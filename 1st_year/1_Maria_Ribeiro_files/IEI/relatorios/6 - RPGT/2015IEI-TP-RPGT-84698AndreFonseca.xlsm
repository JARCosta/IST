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Documents\IST\IEI\Horarios\"/>
    </mc:Choice>
  </mc:AlternateContent>
  <workbookProtection workbookAlgorithmName="SHA-512" workbookHashValue="b7Q2XcmK8E+dIoa+pTq2+wRAgzyeXOLmeZLWnIhGsMbRYlxTcqBqVEuF/F36jd/fEtvEm3OcCpjIFCE7+bjN7w==" workbookSaltValue="4m2CltqK+eGYSPCXhHSj6w==" workbookSpinCount="100000" lockStructure="1"/>
  <bookViews>
    <workbookView xWindow="0" yWindow="0" windowWidth="23040" windowHeight="9216" activeTab="1"/>
  </bookViews>
  <sheets>
    <sheet name="INFO BASE" sheetId="3" r:id="rId1"/>
    <sheet name="HORÁRIO" sheetId="7" r:id="rId2"/>
    <sheet name="AVALIAÇAO" sheetId="12" r:id="rId3"/>
    <sheet name="DASHBOARD" sheetId="9" r:id="rId4"/>
  </sheets>
  <definedNames>
    <definedName name="_xlnm._FilterDatabase" localSheetId="0" hidden="1">'INFO BASE'!$B$40:$I$54</definedName>
    <definedName name="categorias">Table1[Descrição]</definedName>
    <definedName name="_xlnm.Print_Area" localSheetId="3">DASHBOARD!$B$1:$O$39</definedName>
    <definedName name="_xlnm.Print_Area" localSheetId="1">HORÁRIO!$P$406:$AG$455</definedName>
    <definedName name="Product">OFFSET('INFO BASE'!$AL$2,0,0,MATCH("ZZZZZZZZ",'INFO BASE'!$AL:$AL)-1)</definedName>
    <definedName name="Region">OFFSET('INFO BASE'!$AK$2,0,0,MATCH("ZZZZZZZZ",'INFO BASE'!$AK:$AK)-1)</definedName>
    <definedName name="SEMANA1">HORÁRIO!$B$9:$O$56</definedName>
    <definedName name="SEMANA10">HORÁRIO!$B$522:$O$569</definedName>
    <definedName name="SEMANA11">HORÁRIO!$B$579:$O$626</definedName>
    <definedName name="SEMANA12">HORÁRIO!$B$636:$O$683</definedName>
    <definedName name="SEMANA13">HORÁRIO!$B$693:$O$740</definedName>
    <definedName name="SEMANA14">HORÁRIO!$B$750:$O$797</definedName>
    <definedName name="SEMANA15">HORÁRIO!$B$807:$O$854</definedName>
    <definedName name="SEMANA16">HORÁRIO!$B$864:$O$911</definedName>
    <definedName name="SEMANA2">HORÁRIO!$B$66:$O$113</definedName>
    <definedName name="SEMANA3">HORÁRIO!$B$123:$O$170</definedName>
    <definedName name="SEMANA4">HORÁRIO!$B$180:$O$227</definedName>
    <definedName name="SEMANA5">HORÁRIO!$B$237:$O$284</definedName>
    <definedName name="SEMANA6">HORÁRIO!$B$294:$O$341</definedName>
    <definedName name="SEMANA7">HORÁRIO!$B$351:$O$398</definedName>
    <definedName name="SEMANA8">HORÁRIO!$B$408:$O$455</definedName>
    <definedName name="SEMANA9">HORÁRIO!$B$465:$O$512</definedName>
    <definedName name="SIGLASCATEG">Table1[Siglas Categorias]</definedName>
    <definedName name="SIGLASCATEGORIAS">Table1[Siglas Categorias]</definedName>
    <definedName name="SIGLASDISCIPLINAS">'INFO BASE'!$B$32:$B$37</definedName>
    <definedName name="UC">'INFO BASE'!$B$32:$B$38</definedName>
    <definedName name="UniqueProduct">OFFSET('INFO BASE'!$AS$2,0,MATCH(HORÁRIO!$B1,'INFO BASE'!$AS$1:$BE$1,0)-1,SUMPRODUCT(--(HORÁRIO!$B1=Region)))</definedName>
    <definedName name="UniqueproductDg">OFFSET('INFO BASE'!$AS$2,0,MATCH(HORÁRIO!$N1,'INFO BASE'!$AS$1:$BE$1,0)-1,SUMPRODUCT(--(HORÁRIO!$N1=Region)))</definedName>
    <definedName name="UniqueProductQt">OFFSET('INFO BASE'!$AS$2,0,MATCH(HORÁRIO!$F1,'INFO BASE'!$AS$1:$BE$1,0)-1,SUMPRODUCT(--(HORÁRIO!$F1=Region)))</definedName>
    <definedName name="UniqueProductQuit">OFFSET('INFO BASE'!$AS$2,0,MATCH(HORÁRIO!$H1,'INFO BASE'!$AS$1:$BE$1,0)-1,SUMPRODUCT(--(HORÁRIO!$H1=Region)))</definedName>
    <definedName name="UniqueProductSb">OFFSET('INFO BASE'!$AS$2,0,MATCH(HORÁRIO!$L1,'INFO BASE'!$AS$1:$BE$1,0)-1,SUMPRODUCT(--(HORÁRIO!$L1=Region)))</definedName>
    <definedName name="UniqueProductSext">OFFSET('INFO BASE'!$AS$2,0,MATCH(HORÁRIO!$J1,'INFO BASE'!$AS$1:$BE$1,0)-1,SUMPRODUCT(--(HORÁRIO!$J1=Region)))</definedName>
    <definedName name="UniqueProductter">OFFSET('INFO BASE'!$AS$2,0,MATCH(HORÁRIO!$D1,'INFO BASE'!$AS$1:$BE$1,0)-1,SUMPRODUCT(--(HORÁRIO!$D1=Region)))</definedName>
    <definedName name="UniqueRegion">OFFSET('INFO BASE'!$AS$1,0,0,1,MATCH("ZZZZZZZ",'INFO BASE'!$AS$1:$BE$1))</definedName>
  </definedNames>
  <calcPr calcId="152511" concurrentCalc="0"/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8" i="9"/>
  <c r="Q56" i="7"/>
  <c r="D29" i="3"/>
  <c r="R56" i="7"/>
  <c r="R113" i="7"/>
  <c r="R170" i="7"/>
  <c r="R227" i="7"/>
  <c r="R284" i="7"/>
  <c r="R341" i="7"/>
  <c r="R398" i="7"/>
  <c r="R455" i="7"/>
  <c r="R512" i="7"/>
  <c r="R569" i="7"/>
  <c r="R626" i="7"/>
  <c r="R683" i="7"/>
  <c r="R740" i="7"/>
  <c r="R797" i="7"/>
  <c r="R854" i="7"/>
  <c r="R911" i="7"/>
  <c r="Q55" i="7"/>
  <c r="D28" i="3"/>
  <c r="R55" i="7"/>
  <c r="R112" i="7"/>
  <c r="R169" i="7"/>
  <c r="R226" i="7"/>
  <c r="R283" i="7"/>
  <c r="R340" i="7"/>
  <c r="R397" i="7"/>
  <c r="R454" i="7"/>
  <c r="R511" i="7"/>
  <c r="R568" i="7"/>
  <c r="R625" i="7"/>
  <c r="R682" i="7"/>
  <c r="R739" i="7"/>
  <c r="R796" i="7"/>
  <c r="R853" i="7"/>
  <c r="R910" i="7"/>
  <c r="Q54" i="7"/>
  <c r="D27" i="3"/>
  <c r="R54" i="7"/>
  <c r="R111" i="7"/>
  <c r="R168" i="7"/>
  <c r="R225" i="7"/>
  <c r="R282" i="7"/>
  <c r="R339" i="7"/>
  <c r="R396" i="7"/>
  <c r="R453" i="7"/>
  <c r="R510" i="7"/>
  <c r="R567" i="7"/>
  <c r="R624" i="7"/>
  <c r="R681" i="7"/>
  <c r="R738" i="7"/>
  <c r="R795" i="7"/>
  <c r="R852" i="7"/>
  <c r="R909" i="7"/>
  <c r="Q53" i="7"/>
  <c r="D26" i="3"/>
  <c r="R53" i="7"/>
  <c r="R110" i="7"/>
  <c r="R167" i="7"/>
  <c r="R224" i="7"/>
  <c r="R281" i="7"/>
  <c r="R338" i="7"/>
  <c r="R395" i="7"/>
  <c r="R452" i="7"/>
  <c r="R509" i="7"/>
  <c r="R566" i="7"/>
  <c r="R623" i="7"/>
  <c r="R680" i="7"/>
  <c r="R737" i="7"/>
  <c r="R794" i="7"/>
  <c r="R851" i="7"/>
  <c r="R908" i="7"/>
  <c r="Q52" i="7"/>
  <c r="D25" i="3"/>
  <c r="R52" i="7"/>
  <c r="R109" i="7"/>
  <c r="R166" i="7"/>
  <c r="R223" i="7"/>
  <c r="R280" i="7"/>
  <c r="R337" i="7"/>
  <c r="R394" i="7"/>
  <c r="R451" i="7"/>
  <c r="R508" i="7"/>
  <c r="R565" i="7"/>
  <c r="R622" i="7"/>
  <c r="R679" i="7"/>
  <c r="R736" i="7"/>
  <c r="R793" i="7"/>
  <c r="R850" i="7"/>
  <c r="R907" i="7"/>
  <c r="Q51" i="7"/>
  <c r="D24" i="3"/>
  <c r="R51" i="7"/>
  <c r="R108" i="7"/>
  <c r="R165" i="7"/>
  <c r="R222" i="7"/>
  <c r="R279" i="7"/>
  <c r="R336" i="7"/>
  <c r="R393" i="7"/>
  <c r="R450" i="7"/>
  <c r="R507" i="7"/>
  <c r="R564" i="7"/>
  <c r="R621" i="7"/>
  <c r="R678" i="7"/>
  <c r="R735" i="7"/>
  <c r="R792" i="7"/>
  <c r="R849" i="7"/>
  <c r="R906" i="7"/>
  <c r="Q50" i="7"/>
  <c r="D23" i="3"/>
  <c r="R50" i="7"/>
  <c r="R107" i="7"/>
  <c r="R164" i="7"/>
  <c r="R221" i="7"/>
  <c r="R278" i="7"/>
  <c r="R335" i="7"/>
  <c r="R392" i="7"/>
  <c r="R449" i="7"/>
  <c r="R506" i="7"/>
  <c r="R563" i="7"/>
  <c r="R620" i="7"/>
  <c r="R677" i="7"/>
  <c r="R734" i="7"/>
  <c r="R791" i="7"/>
  <c r="R848" i="7"/>
  <c r="R905" i="7"/>
  <c r="Q49" i="7"/>
  <c r="D22" i="3"/>
  <c r="R49" i="7"/>
  <c r="R106" i="7"/>
  <c r="R163" i="7"/>
  <c r="R220" i="7"/>
  <c r="R277" i="7"/>
  <c r="R334" i="7"/>
  <c r="R391" i="7"/>
  <c r="R448" i="7"/>
  <c r="R505" i="7"/>
  <c r="R562" i="7"/>
  <c r="R619" i="7"/>
  <c r="R676" i="7"/>
  <c r="R733" i="7"/>
  <c r="R790" i="7"/>
  <c r="R847" i="7"/>
  <c r="R904" i="7"/>
  <c r="Q48" i="7"/>
  <c r="D21" i="3"/>
  <c r="R48" i="7"/>
  <c r="R105" i="7"/>
  <c r="R162" i="7"/>
  <c r="R219" i="7"/>
  <c r="R276" i="7"/>
  <c r="R333" i="7"/>
  <c r="R390" i="7"/>
  <c r="R447" i="7"/>
  <c r="R504" i="7"/>
  <c r="R561" i="7"/>
  <c r="R618" i="7"/>
  <c r="R675" i="7"/>
  <c r="R732" i="7"/>
  <c r="R789" i="7"/>
  <c r="R846" i="7"/>
  <c r="R903" i="7"/>
  <c r="R26" i="7"/>
  <c r="R33" i="7"/>
  <c r="R40" i="7"/>
  <c r="R47" i="7"/>
  <c r="R104" i="7"/>
  <c r="R161" i="7"/>
  <c r="R218" i="7"/>
  <c r="R275" i="7"/>
  <c r="R332" i="7"/>
  <c r="R389" i="7"/>
  <c r="R446" i="7"/>
  <c r="R503" i="7"/>
  <c r="R560" i="7"/>
  <c r="R617" i="7"/>
  <c r="R674" i="7"/>
  <c r="R731" i="7"/>
  <c r="R788" i="7"/>
  <c r="R845" i="7"/>
  <c r="R902" i="7"/>
  <c r="R25" i="7"/>
  <c r="R32" i="7"/>
  <c r="R39" i="7"/>
  <c r="R46" i="7"/>
  <c r="R103" i="7"/>
  <c r="R160" i="7"/>
  <c r="R217" i="7"/>
  <c r="R274" i="7"/>
  <c r="R331" i="7"/>
  <c r="R388" i="7"/>
  <c r="R445" i="7"/>
  <c r="R502" i="7"/>
  <c r="R559" i="7"/>
  <c r="R616" i="7"/>
  <c r="R673" i="7"/>
  <c r="R730" i="7"/>
  <c r="R787" i="7"/>
  <c r="R844" i="7"/>
  <c r="R901" i="7"/>
  <c r="R24" i="7"/>
  <c r="R31" i="7"/>
  <c r="R38" i="7"/>
  <c r="R45" i="7"/>
  <c r="R102" i="7"/>
  <c r="R159" i="7"/>
  <c r="R216" i="7"/>
  <c r="R273" i="7"/>
  <c r="R330" i="7"/>
  <c r="R387" i="7"/>
  <c r="R444" i="7"/>
  <c r="R501" i="7"/>
  <c r="R558" i="7"/>
  <c r="R615" i="7"/>
  <c r="R672" i="7"/>
  <c r="R729" i="7"/>
  <c r="R786" i="7"/>
  <c r="R843" i="7"/>
  <c r="R900" i="7"/>
  <c r="R23" i="7"/>
  <c r="R30" i="7"/>
  <c r="R37" i="7"/>
  <c r="R44" i="7"/>
  <c r="R101" i="7"/>
  <c r="R158" i="7"/>
  <c r="R215" i="7"/>
  <c r="R272" i="7"/>
  <c r="R329" i="7"/>
  <c r="R386" i="7"/>
  <c r="R443" i="7"/>
  <c r="R500" i="7"/>
  <c r="R557" i="7"/>
  <c r="R614" i="7"/>
  <c r="R671" i="7"/>
  <c r="R728" i="7"/>
  <c r="R785" i="7"/>
  <c r="R842" i="7"/>
  <c r="R899" i="7"/>
  <c r="R22" i="7"/>
  <c r="R29" i="7"/>
  <c r="R36" i="7"/>
  <c r="R43" i="7"/>
  <c r="R100" i="7"/>
  <c r="R157" i="7"/>
  <c r="R214" i="7"/>
  <c r="R271" i="7"/>
  <c r="R328" i="7"/>
  <c r="R385" i="7"/>
  <c r="R442" i="7"/>
  <c r="R499" i="7"/>
  <c r="R556" i="7"/>
  <c r="R613" i="7"/>
  <c r="R670" i="7"/>
  <c r="R727" i="7"/>
  <c r="R784" i="7"/>
  <c r="R841" i="7"/>
  <c r="R898" i="7"/>
  <c r="R21" i="7"/>
  <c r="R28" i="7"/>
  <c r="R35" i="7"/>
  <c r="R42" i="7"/>
  <c r="R99" i="7"/>
  <c r="R156" i="7"/>
  <c r="R213" i="7"/>
  <c r="R270" i="7"/>
  <c r="R327" i="7"/>
  <c r="R384" i="7"/>
  <c r="R441" i="7"/>
  <c r="R498" i="7"/>
  <c r="R555" i="7"/>
  <c r="R612" i="7"/>
  <c r="R669" i="7"/>
  <c r="R726" i="7"/>
  <c r="R783" i="7"/>
  <c r="R840" i="7"/>
  <c r="R897" i="7"/>
  <c r="Q41" i="7"/>
  <c r="D20" i="3"/>
  <c r="R41" i="7"/>
  <c r="R98" i="7"/>
  <c r="R155" i="7"/>
  <c r="R212" i="7"/>
  <c r="R269" i="7"/>
  <c r="R326" i="7"/>
  <c r="R383" i="7"/>
  <c r="R440" i="7"/>
  <c r="R497" i="7"/>
  <c r="R554" i="7"/>
  <c r="R611" i="7"/>
  <c r="R668" i="7"/>
  <c r="R725" i="7"/>
  <c r="R782" i="7"/>
  <c r="R839" i="7"/>
  <c r="R896" i="7"/>
  <c r="R97" i="7"/>
  <c r="R154" i="7"/>
  <c r="R211" i="7"/>
  <c r="R268" i="7"/>
  <c r="R325" i="7"/>
  <c r="R382" i="7"/>
  <c r="R439" i="7"/>
  <c r="R496" i="7"/>
  <c r="R553" i="7"/>
  <c r="R610" i="7"/>
  <c r="R667" i="7"/>
  <c r="R724" i="7"/>
  <c r="R781" i="7"/>
  <c r="R838" i="7"/>
  <c r="R895" i="7"/>
  <c r="R96" i="7"/>
  <c r="R153" i="7"/>
  <c r="R210" i="7"/>
  <c r="R267" i="7"/>
  <c r="R324" i="7"/>
  <c r="R381" i="7"/>
  <c r="R438" i="7"/>
  <c r="R495" i="7"/>
  <c r="R552" i="7"/>
  <c r="R609" i="7"/>
  <c r="R666" i="7"/>
  <c r="R723" i="7"/>
  <c r="R780" i="7"/>
  <c r="R837" i="7"/>
  <c r="R894" i="7"/>
  <c r="R95" i="7"/>
  <c r="R152" i="7"/>
  <c r="R209" i="7"/>
  <c r="R266" i="7"/>
  <c r="R323" i="7"/>
  <c r="R380" i="7"/>
  <c r="R437" i="7"/>
  <c r="R494" i="7"/>
  <c r="R551" i="7"/>
  <c r="R608" i="7"/>
  <c r="R665" i="7"/>
  <c r="R722" i="7"/>
  <c r="R779" i="7"/>
  <c r="R836" i="7"/>
  <c r="R893" i="7"/>
  <c r="R94" i="7"/>
  <c r="R151" i="7"/>
  <c r="R208" i="7"/>
  <c r="R265" i="7"/>
  <c r="R322" i="7"/>
  <c r="R379" i="7"/>
  <c r="R436" i="7"/>
  <c r="R493" i="7"/>
  <c r="R550" i="7"/>
  <c r="R607" i="7"/>
  <c r="R664" i="7"/>
  <c r="R721" i="7"/>
  <c r="R778" i="7"/>
  <c r="R835" i="7"/>
  <c r="R892" i="7"/>
  <c r="R93" i="7"/>
  <c r="R150" i="7"/>
  <c r="R207" i="7"/>
  <c r="R264" i="7"/>
  <c r="R321" i="7"/>
  <c r="R378" i="7"/>
  <c r="R435" i="7"/>
  <c r="R492" i="7"/>
  <c r="R549" i="7"/>
  <c r="R606" i="7"/>
  <c r="R663" i="7"/>
  <c r="R720" i="7"/>
  <c r="R777" i="7"/>
  <c r="R834" i="7"/>
  <c r="R891" i="7"/>
  <c r="R92" i="7"/>
  <c r="R149" i="7"/>
  <c r="R206" i="7"/>
  <c r="R263" i="7"/>
  <c r="R320" i="7"/>
  <c r="R377" i="7"/>
  <c r="R434" i="7"/>
  <c r="R491" i="7"/>
  <c r="R548" i="7"/>
  <c r="R605" i="7"/>
  <c r="R662" i="7"/>
  <c r="R719" i="7"/>
  <c r="R776" i="7"/>
  <c r="R833" i="7"/>
  <c r="R890" i="7"/>
  <c r="Q34" i="7"/>
  <c r="D19" i="3"/>
  <c r="R34" i="7"/>
  <c r="R91" i="7"/>
  <c r="R148" i="7"/>
  <c r="R205" i="7"/>
  <c r="R262" i="7"/>
  <c r="R319" i="7"/>
  <c r="R376" i="7"/>
  <c r="R433" i="7"/>
  <c r="R490" i="7"/>
  <c r="R547" i="7"/>
  <c r="R604" i="7"/>
  <c r="R661" i="7"/>
  <c r="R718" i="7"/>
  <c r="R775" i="7"/>
  <c r="R832" i="7"/>
  <c r="R889" i="7"/>
  <c r="R90" i="7"/>
  <c r="R147" i="7"/>
  <c r="R204" i="7"/>
  <c r="R261" i="7"/>
  <c r="R318" i="7"/>
  <c r="R375" i="7"/>
  <c r="R432" i="7"/>
  <c r="R489" i="7"/>
  <c r="R546" i="7"/>
  <c r="R603" i="7"/>
  <c r="R660" i="7"/>
  <c r="R717" i="7"/>
  <c r="R774" i="7"/>
  <c r="R831" i="7"/>
  <c r="R888" i="7"/>
  <c r="R89" i="7"/>
  <c r="R146" i="7"/>
  <c r="R203" i="7"/>
  <c r="R260" i="7"/>
  <c r="R317" i="7"/>
  <c r="R374" i="7"/>
  <c r="R431" i="7"/>
  <c r="R488" i="7"/>
  <c r="R545" i="7"/>
  <c r="R602" i="7"/>
  <c r="R659" i="7"/>
  <c r="R716" i="7"/>
  <c r="R773" i="7"/>
  <c r="R830" i="7"/>
  <c r="R887" i="7"/>
  <c r="R88" i="7"/>
  <c r="R145" i="7"/>
  <c r="R202" i="7"/>
  <c r="R259" i="7"/>
  <c r="R316" i="7"/>
  <c r="R373" i="7"/>
  <c r="R430" i="7"/>
  <c r="R487" i="7"/>
  <c r="R544" i="7"/>
  <c r="R601" i="7"/>
  <c r="R658" i="7"/>
  <c r="R715" i="7"/>
  <c r="R772" i="7"/>
  <c r="R829" i="7"/>
  <c r="R886" i="7"/>
  <c r="R87" i="7"/>
  <c r="R144" i="7"/>
  <c r="R201" i="7"/>
  <c r="R258" i="7"/>
  <c r="R315" i="7"/>
  <c r="R372" i="7"/>
  <c r="R429" i="7"/>
  <c r="R486" i="7"/>
  <c r="R543" i="7"/>
  <c r="R600" i="7"/>
  <c r="R657" i="7"/>
  <c r="R714" i="7"/>
  <c r="R771" i="7"/>
  <c r="R828" i="7"/>
  <c r="R885" i="7"/>
  <c r="R86" i="7"/>
  <c r="R143" i="7"/>
  <c r="R200" i="7"/>
  <c r="R257" i="7"/>
  <c r="R314" i="7"/>
  <c r="R371" i="7"/>
  <c r="R428" i="7"/>
  <c r="R485" i="7"/>
  <c r="R542" i="7"/>
  <c r="R599" i="7"/>
  <c r="R656" i="7"/>
  <c r="R713" i="7"/>
  <c r="R770" i="7"/>
  <c r="R827" i="7"/>
  <c r="R884" i="7"/>
  <c r="R85" i="7"/>
  <c r="R142" i="7"/>
  <c r="R199" i="7"/>
  <c r="R256" i="7"/>
  <c r="R313" i="7"/>
  <c r="R370" i="7"/>
  <c r="R427" i="7"/>
  <c r="R484" i="7"/>
  <c r="R541" i="7"/>
  <c r="R598" i="7"/>
  <c r="R655" i="7"/>
  <c r="R712" i="7"/>
  <c r="R769" i="7"/>
  <c r="R826" i="7"/>
  <c r="R883" i="7"/>
  <c r="Q27" i="7"/>
  <c r="D18" i="3"/>
  <c r="R27" i="7"/>
  <c r="R84" i="7"/>
  <c r="R141" i="7"/>
  <c r="R198" i="7"/>
  <c r="R255" i="7"/>
  <c r="R312" i="7"/>
  <c r="R369" i="7"/>
  <c r="R426" i="7"/>
  <c r="R483" i="7"/>
  <c r="R540" i="7"/>
  <c r="R597" i="7"/>
  <c r="R654" i="7"/>
  <c r="R711" i="7"/>
  <c r="R768" i="7"/>
  <c r="R825" i="7"/>
  <c r="R882" i="7"/>
  <c r="R83" i="7"/>
  <c r="R140" i="7"/>
  <c r="R197" i="7"/>
  <c r="R254" i="7"/>
  <c r="R311" i="7"/>
  <c r="R368" i="7"/>
  <c r="R425" i="7"/>
  <c r="R482" i="7"/>
  <c r="R539" i="7"/>
  <c r="R596" i="7"/>
  <c r="R653" i="7"/>
  <c r="R710" i="7"/>
  <c r="R767" i="7"/>
  <c r="R824" i="7"/>
  <c r="R881" i="7"/>
  <c r="R82" i="7"/>
  <c r="R139" i="7"/>
  <c r="R196" i="7"/>
  <c r="R253" i="7"/>
  <c r="R310" i="7"/>
  <c r="R367" i="7"/>
  <c r="R424" i="7"/>
  <c r="R481" i="7"/>
  <c r="R538" i="7"/>
  <c r="R595" i="7"/>
  <c r="R652" i="7"/>
  <c r="R709" i="7"/>
  <c r="R766" i="7"/>
  <c r="R823" i="7"/>
  <c r="R880" i="7"/>
  <c r="R81" i="7"/>
  <c r="R138" i="7"/>
  <c r="R195" i="7"/>
  <c r="R252" i="7"/>
  <c r="R309" i="7"/>
  <c r="R366" i="7"/>
  <c r="R423" i="7"/>
  <c r="R480" i="7"/>
  <c r="R537" i="7"/>
  <c r="R594" i="7"/>
  <c r="R651" i="7"/>
  <c r="R708" i="7"/>
  <c r="R765" i="7"/>
  <c r="R822" i="7"/>
  <c r="R879" i="7"/>
  <c r="R80" i="7"/>
  <c r="R137" i="7"/>
  <c r="R194" i="7"/>
  <c r="R251" i="7"/>
  <c r="R308" i="7"/>
  <c r="R365" i="7"/>
  <c r="R422" i="7"/>
  <c r="R479" i="7"/>
  <c r="R536" i="7"/>
  <c r="R593" i="7"/>
  <c r="R650" i="7"/>
  <c r="R707" i="7"/>
  <c r="R764" i="7"/>
  <c r="R821" i="7"/>
  <c r="R878" i="7"/>
  <c r="R79" i="7"/>
  <c r="R136" i="7"/>
  <c r="R193" i="7"/>
  <c r="R250" i="7"/>
  <c r="R307" i="7"/>
  <c r="R364" i="7"/>
  <c r="R421" i="7"/>
  <c r="R478" i="7"/>
  <c r="R535" i="7"/>
  <c r="R592" i="7"/>
  <c r="R649" i="7"/>
  <c r="R706" i="7"/>
  <c r="R763" i="7"/>
  <c r="R820" i="7"/>
  <c r="R877" i="7"/>
  <c r="R78" i="7"/>
  <c r="R135" i="7"/>
  <c r="R192" i="7"/>
  <c r="R249" i="7"/>
  <c r="R306" i="7"/>
  <c r="R363" i="7"/>
  <c r="R420" i="7"/>
  <c r="R477" i="7"/>
  <c r="R534" i="7"/>
  <c r="R591" i="7"/>
  <c r="R648" i="7"/>
  <c r="R705" i="7"/>
  <c r="R762" i="7"/>
  <c r="R819" i="7"/>
  <c r="R876" i="7"/>
  <c r="Q20" i="7"/>
  <c r="D17" i="3"/>
  <c r="R20" i="7"/>
  <c r="R77" i="7"/>
  <c r="R134" i="7"/>
  <c r="R191" i="7"/>
  <c r="R248" i="7"/>
  <c r="R305" i="7"/>
  <c r="R362" i="7"/>
  <c r="R419" i="7"/>
  <c r="R476" i="7"/>
  <c r="R533" i="7"/>
  <c r="R590" i="7"/>
  <c r="R647" i="7"/>
  <c r="R704" i="7"/>
  <c r="R761" i="7"/>
  <c r="R818" i="7"/>
  <c r="R875" i="7"/>
  <c r="AT2" i="3"/>
  <c r="AU2" i="3"/>
  <c r="AV2" i="3"/>
  <c r="AW2" i="3"/>
  <c r="AX2" i="3"/>
  <c r="AY2" i="3"/>
  <c r="AZ2" i="3"/>
  <c r="BA2" i="3"/>
  <c r="AT3" i="3"/>
  <c r="AU3" i="3"/>
  <c r="AV3" i="3"/>
  <c r="AW3" i="3"/>
  <c r="AX3" i="3"/>
  <c r="AY3" i="3"/>
  <c r="AZ3" i="3"/>
  <c r="BA3" i="3"/>
  <c r="AT4" i="3"/>
  <c r="AU4" i="3"/>
  <c r="AV4" i="3"/>
  <c r="AW4" i="3"/>
  <c r="AX4" i="3"/>
  <c r="AY4" i="3"/>
  <c r="AZ4" i="3"/>
  <c r="BA4" i="3"/>
  <c r="AT5" i="3"/>
  <c r="AU5" i="3"/>
  <c r="AV5" i="3"/>
  <c r="AW5" i="3"/>
  <c r="AX5" i="3"/>
  <c r="AY5" i="3"/>
  <c r="AZ5" i="3"/>
  <c r="BA5" i="3"/>
  <c r="AT6" i="3"/>
  <c r="AU6" i="3"/>
  <c r="AV6" i="3"/>
  <c r="AW6" i="3"/>
  <c r="AX6" i="3"/>
  <c r="AY6" i="3"/>
  <c r="AZ6" i="3"/>
  <c r="BA6" i="3"/>
  <c r="AT7" i="3"/>
  <c r="AU7" i="3"/>
  <c r="AV7" i="3"/>
  <c r="AW7" i="3"/>
  <c r="AX7" i="3"/>
  <c r="AY7" i="3"/>
  <c r="AZ7" i="3"/>
  <c r="BA7" i="3"/>
  <c r="AS3" i="3"/>
  <c r="AS4" i="3"/>
  <c r="AS5" i="3"/>
  <c r="AS6" i="3"/>
  <c r="AS7" i="3"/>
  <c r="AS2" i="3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7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Y9" i="7"/>
  <c r="AY10" i="7"/>
  <c r="AY11" i="7"/>
  <c r="AY12" i="7"/>
  <c r="AY13" i="7"/>
  <c r="AY14" i="7"/>
  <c r="AY15" i="7"/>
  <c r="AY16" i="7"/>
  <c r="AY17" i="7"/>
  <c r="AY18" i="7"/>
  <c r="AY19" i="7"/>
  <c r="AY20" i="7"/>
  <c r="AY21" i="7"/>
  <c r="AY22" i="7"/>
  <c r="AY23" i="7"/>
  <c r="AY24" i="7"/>
  <c r="AY25" i="7"/>
  <c r="AY26" i="7"/>
  <c r="AY27" i="7"/>
  <c r="AY28" i="7"/>
  <c r="AY29" i="7"/>
  <c r="AY30" i="7"/>
  <c r="AY31" i="7"/>
  <c r="AY32" i="7"/>
  <c r="AY33" i="7"/>
  <c r="AY34" i="7"/>
  <c r="AY35" i="7"/>
  <c r="AY36" i="7"/>
  <c r="AY37" i="7"/>
  <c r="AY38" i="7"/>
  <c r="AY39" i="7"/>
  <c r="AY40" i="7"/>
  <c r="AY41" i="7"/>
  <c r="AY42" i="7"/>
  <c r="AY43" i="7"/>
  <c r="AY44" i="7"/>
  <c r="AY45" i="7"/>
  <c r="AY46" i="7"/>
  <c r="AY47" i="7"/>
  <c r="AY48" i="7"/>
  <c r="AY49" i="7"/>
  <c r="AY50" i="7"/>
  <c r="AY51" i="7"/>
  <c r="AY52" i="7"/>
  <c r="AY53" i="7"/>
  <c r="AY54" i="7"/>
  <c r="AY55" i="7"/>
  <c r="AY56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39" i="7"/>
  <c r="AZ40" i="7"/>
  <c r="AZ41" i="7"/>
  <c r="AZ42" i="7"/>
  <c r="AZ43" i="7"/>
  <c r="AZ44" i="7"/>
  <c r="AZ45" i="7"/>
  <c r="AZ46" i="7"/>
  <c r="AZ47" i="7"/>
  <c r="AZ48" i="7"/>
  <c r="AZ49" i="7"/>
  <c r="AZ50" i="7"/>
  <c r="AZ51" i="7"/>
  <c r="AZ52" i="7"/>
  <c r="AZ53" i="7"/>
  <c r="AZ54" i="7"/>
  <c r="AZ55" i="7"/>
  <c r="AZ56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34" i="7"/>
  <c r="BA35" i="7"/>
  <c r="BA36" i="7"/>
  <c r="BA37" i="7"/>
  <c r="BA38" i="7"/>
  <c r="BA39" i="7"/>
  <c r="BA40" i="7"/>
  <c r="BA41" i="7"/>
  <c r="BA42" i="7"/>
  <c r="BA43" i="7"/>
  <c r="BA44" i="7"/>
  <c r="BA45" i="7"/>
  <c r="BA46" i="7"/>
  <c r="BA47" i="7"/>
  <c r="BA48" i="7"/>
  <c r="BA49" i="7"/>
  <c r="BA50" i="7"/>
  <c r="BA51" i="7"/>
  <c r="BA52" i="7"/>
  <c r="BA53" i="7"/>
  <c r="BA54" i="7"/>
  <c r="BA55" i="7"/>
  <c r="BA56" i="7"/>
  <c r="BB9" i="7"/>
  <c r="BB10" i="7"/>
  <c r="BB11" i="7"/>
  <c r="BB12" i="7"/>
  <c r="BB13" i="7"/>
  <c r="BB14" i="7"/>
  <c r="BB15" i="7"/>
  <c r="BB16" i="7"/>
  <c r="BB17" i="7"/>
  <c r="BB18" i="7"/>
  <c r="BB19" i="7"/>
  <c r="BB20" i="7"/>
  <c r="BB21" i="7"/>
  <c r="BB22" i="7"/>
  <c r="BB23" i="7"/>
  <c r="BB24" i="7"/>
  <c r="BB25" i="7"/>
  <c r="BB26" i="7"/>
  <c r="BB27" i="7"/>
  <c r="BB28" i="7"/>
  <c r="BB29" i="7"/>
  <c r="BB30" i="7"/>
  <c r="BB31" i="7"/>
  <c r="BB32" i="7"/>
  <c r="BB33" i="7"/>
  <c r="BB34" i="7"/>
  <c r="BB35" i="7"/>
  <c r="BB36" i="7"/>
  <c r="BB37" i="7"/>
  <c r="BB38" i="7"/>
  <c r="BB39" i="7"/>
  <c r="BB40" i="7"/>
  <c r="BB41" i="7"/>
  <c r="BB42" i="7"/>
  <c r="BB43" i="7"/>
  <c r="BB44" i="7"/>
  <c r="BB45" i="7"/>
  <c r="BB46" i="7"/>
  <c r="BB47" i="7"/>
  <c r="BB48" i="7"/>
  <c r="BB49" i="7"/>
  <c r="BB50" i="7"/>
  <c r="BB51" i="7"/>
  <c r="BB52" i="7"/>
  <c r="BB53" i="7"/>
  <c r="BB54" i="7"/>
  <c r="BB55" i="7"/>
  <c r="BB56" i="7"/>
  <c r="BC9" i="7"/>
  <c r="BC10" i="7"/>
  <c r="BC11" i="7"/>
  <c r="BC12" i="7"/>
  <c r="BC13" i="7"/>
  <c r="BC14" i="7"/>
  <c r="BC15" i="7"/>
  <c r="BC16" i="7"/>
  <c r="BC17" i="7"/>
  <c r="BC18" i="7"/>
  <c r="BC19" i="7"/>
  <c r="BC20" i="7"/>
  <c r="BC21" i="7"/>
  <c r="BC22" i="7"/>
  <c r="BC23" i="7"/>
  <c r="BC24" i="7"/>
  <c r="BC25" i="7"/>
  <c r="BC26" i="7"/>
  <c r="BC27" i="7"/>
  <c r="BC28" i="7"/>
  <c r="BC29" i="7"/>
  <c r="BC30" i="7"/>
  <c r="BC31" i="7"/>
  <c r="BC32" i="7"/>
  <c r="BC33" i="7"/>
  <c r="BC34" i="7"/>
  <c r="BC35" i="7"/>
  <c r="BC36" i="7"/>
  <c r="BC37" i="7"/>
  <c r="BC38" i="7"/>
  <c r="BC39" i="7"/>
  <c r="BC40" i="7"/>
  <c r="BC41" i="7"/>
  <c r="BC42" i="7"/>
  <c r="BC43" i="7"/>
  <c r="BC44" i="7"/>
  <c r="BC45" i="7"/>
  <c r="BC46" i="7"/>
  <c r="BC47" i="7"/>
  <c r="BC48" i="7"/>
  <c r="BC49" i="7"/>
  <c r="BC50" i="7"/>
  <c r="BC51" i="7"/>
  <c r="BC52" i="7"/>
  <c r="BC53" i="7"/>
  <c r="BC54" i="7"/>
  <c r="BC55" i="7"/>
  <c r="BC56" i="7"/>
  <c r="BD9" i="7"/>
  <c r="BD10" i="7"/>
  <c r="BD11" i="7"/>
  <c r="BD12" i="7"/>
  <c r="BD13" i="7"/>
  <c r="BD14" i="7"/>
  <c r="BD15" i="7"/>
  <c r="BD16" i="7"/>
  <c r="BD17" i="7"/>
  <c r="BD18" i="7"/>
  <c r="BD19" i="7"/>
  <c r="BD20" i="7"/>
  <c r="BD21" i="7"/>
  <c r="BD22" i="7"/>
  <c r="BD23" i="7"/>
  <c r="BD24" i="7"/>
  <c r="BD25" i="7"/>
  <c r="BD26" i="7"/>
  <c r="BD27" i="7"/>
  <c r="BD28" i="7"/>
  <c r="BD29" i="7"/>
  <c r="BD30" i="7"/>
  <c r="BD31" i="7"/>
  <c r="BD32" i="7"/>
  <c r="BD33" i="7"/>
  <c r="BD34" i="7"/>
  <c r="BD35" i="7"/>
  <c r="BD36" i="7"/>
  <c r="BD37" i="7"/>
  <c r="BD38" i="7"/>
  <c r="BD39" i="7"/>
  <c r="BD40" i="7"/>
  <c r="BD41" i="7"/>
  <c r="BD42" i="7"/>
  <c r="BD43" i="7"/>
  <c r="BD44" i="7"/>
  <c r="BD45" i="7"/>
  <c r="BD46" i="7"/>
  <c r="BD47" i="7"/>
  <c r="BD48" i="7"/>
  <c r="BD49" i="7"/>
  <c r="BD50" i="7"/>
  <c r="BD51" i="7"/>
  <c r="BD52" i="7"/>
  <c r="BD53" i="7"/>
  <c r="BD54" i="7"/>
  <c r="BD55" i="7"/>
  <c r="BD56" i="7"/>
  <c r="BE9" i="7"/>
  <c r="BE10" i="7"/>
  <c r="BE11" i="7"/>
  <c r="BE12" i="7"/>
  <c r="BE13" i="7"/>
  <c r="BE14" i="7"/>
  <c r="BE15" i="7"/>
  <c r="BE16" i="7"/>
  <c r="BE17" i="7"/>
  <c r="BE18" i="7"/>
  <c r="BE19" i="7"/>
  <c r="BE20" i="7"/>
  <c r="BE21" i="7"/>
  <c r="BE22" i="7"/>
  <c r="BE23" i="7"/>
  <c r="BE24" i="7"/>
  <c r="BE25" i="7"/>
  <c r="BE26" i="7"/>
  <c r="BE27" i="7"/>
  <c r="BE28" i="7"/>
  <c r="BE29" i="7"/>
  <c r="BE30" i="7"/>
  <c r="BE31" i="7"/>
  <c r="BE32" i="7"/>
  <c r="BE33" i="7"/>
  <c r="BE34" i="7"/>
  <c r="BE35" i="7"/>
  <c r="BE36" i="7"/>
  <c r="BE37" i="7"/>
  <c r="BE38" i="7"/>
  <c r="BE39" i="7"/>
  <c r="BE40" i="7"/>
  <c r="BE41" i="7"/>
  <c r="BE42" i="7"/>
  <c r="BE43" i="7"/>
  <c r="BE44" i="7"/>
  <c r="BE45" i="7"/>
  <c r="BE46" i="7"/>
  <c r="BE47" i="7"/>
  <c r="BE48" i="7"/>
  <c r="BE49" i="7"/>
  <c r="BE50" i="7"/>
  <c r="BE51" i="7"/>
  <c r="BE52" i="7"/>
  <c r="BE53" i="7"/>
  <c r="BE54" i="7"/>
  <c r="BE55" i="7"/>
  <c r="BE56" i="7"/>
  <c r="BF9" i="7"/>
  <c r="BF10" i="7"/>
  <c r="BF11" i="7"/>
  <c r="BF12" i="7"/>
  <c r="BF13" i="7"/>
  <c r="BF14" i="7"/>
  <c r="BF15" i="7"/>
  <c r="BF16" i="7"/>
  <c r="BF17" i="7"/>
  <c r="BF18" i="7"/>
  <c r="BF19" i="7"/>
  <c r="BF20" i="7"/>
  <c r="BF21" i="7"/>
  <c r="BF22" i="7"/>
  <c r="BF23" i="7"/>
  <c r="BF24" i="7"/>
  <c r="BF25" i="7"/>
  <c r="BF26" i="7"/>
  <c r="BF27" i="7"/>
  <c r="BF28" i="7"/>
  <c r="BF29" i="7"/>
  <c r="BF30" i="7"/>
  <c r="BF31" i="7"/>
  <c r="BF32" i="7"/>
  <c r="BF33" i="7"/>
  <c r="BF34" i="7"/>
  <c r="BF35" i="7"/>
  <c r="BF36" i="7"/>
  <c r="BF37" i="7"/>
  <c r="BF38" i="7"/>
  <c r="BF39" i="7"/>
  <c r="BF40" i="7"/>
  <c r="BF41" i="7"/>
  <c r="BF42" i="7"/>
  <c r="BF43" i="7"/>
  <c r="BF44" i="7"/>
  <c r="BF45" i="7"/>
  <c r="BF46" i="7"/>
  <c r="BF47" i="7"/>
  <c r="BF48" i="7"/>
  <c r="BF49" i="7"/>
  <c r="BF50" i="7"/>
  <c r="BF51" i="7"/>
  <c r="BF52" i="7"/>
  <c r="BF53" i="7"/>
  <c r="BF54" i="7"/>
  <c r="BF55" i="7"/>
  <c r="BF56" i="7"/>
  <c r="BG9" i="7"/>
  <c r="BG10" i="7"/>
  <c r="BG11" i="7"/>
  <c r="BG12" i="7"/>
  <c r="BG13" i="7"/>
  <c r="BG14" i="7"/>
  <c r="BG15" i="7"/>
  <c r="BG16" i="7"/>
  <c r="BG17" i="7"/>
  <c r="BG18" i="7"/>
  <c r="BG19" i="7"/>
  <c r="BG20" i="7"/>
  <c r="BG21" i="7"/>
  <c r="BG22" i="7"/>
  <c r="BG23" i="7"/>
  <c r="BG24" i="7"/>
  <c r="BG25" i="7"/>
  <c r="BG26" i="7"/>
  <c r="BG27" i="7"/>
  <c r="BG28" i="7"/>
  <c r="BG29" i="7"/>
  <c r="BG30" i="7"/>
  <c r="BG31" i="7"/>
  <c r="BG32" i="7"/>
  <c r="BG33" i="7"/>
  <c r="BG34" i="7"/>
  <c r="BG35" i="7"/>
  <c r="BG36" i="7"/>
  <c r="BG37" i="7"/>
  <c r="BG38" i="7"/>
  <c r="BG39" i="7"/>
  <c r="BG40" i="7"/>
  <c r="BG41" i="7"/>
  <c r="BG42" i="7"/>
  <c r="BG43" i="7"/>
  <c r="BG44" i="7"/>
  <c r="BG45" i="7"/>
  <c r="BG46" i="7"/>
  <c r="BG47" i="7"/>
  <c r="BG48" i="7"/>
  <c r="BG49" i="7"/>
  <c r="BG50" i="7"/>
  <c r="BG51" i="7"/>
  <c r="BG52" i="7"/>
  <c r="BG53" i="7"/>
  <c r="BG54" i="7"/>
  <c r="BG55" i="7"/>
  <c r="BG56" i="7"/>
  <c r="BH9" i="7"/>
  <c r="BH10" i="7"/>
  <c r="BH11" i="7"/>
  <c r="BH12" i="7"/>
  <c r="BH13" i="7"/>
  <c r="BH14" i="7"/>
  <c r="BH15" i="7"/>
  <c r="BH16" i="7"/>
  <c r="BH17" i="7"/>
  <c r="BH18" i="7"/>
  <c r="BH19" i="7"/>
  <c r="BH20" i="7"/>
  <c r="BH21" i="7"/>
  <c r="BH22" i="7"/>
  <c r="BH23" i="7"/>
  <c r="BH24" i="7"/>
  <c r="BH25" i="7"/>
  <c r="BH26" i="7"/>
  <c r="BH27" i="7"/>
  <c r="BH28" i="7"/>
  <c r="BH29" i="7"/>
  <c r="BH30" i="7"/>
  <c r="BH31" i="7"/>
  <c r="BH32" i="7"/>
  <c r="BH33" i="7"/>
  <c r="BH34" i="7"/>
  <c r="BH35" i="7"/>
  <c r="BH36" i="7"/>
  <c r="BH37" i="7"/>
  <c r="BH38" i="7"/>
  <c r="BH39" i="7"/>
  <c r="BH40" i="7"/>
  <c r="BH41" i="7"/>
  <c r="BH42" i="7"/>
  <c r="BH43" i="7"/>
  <c r="BH44" i="7"/>
  <c r="BH45" i="7"/>
  <c r="BH46" i="7"/>
  <c r="BH47" i="7"/>
  <c r="BH48" i="7"/>
  <c r="BH49" i="7"/>
  <c r="BH50" i="7"/>
  <c r="BH51" i="7"/>
  <c r="BH52" i="7"/>
  <c r="BH53" i="7"/>
  <c r="BH54" i="7"/>
  <c r="BH55" i="7"/>
  <c r="BH56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29" i="7"/>
  <c r="BI30" i="7"/>
  <c r="BI31" i="7"/>
  <c r="BI32" i="7"/>
  <c r="BI33" i="7"/>
  <c r="BI34" i="7"/>
  <c r="BI35" i="7"/>
  <c r="BI36" i="7"/>
  <c r="BI37" i="7"/>
  <c r="BI38" i="7"/>
  <c r="BI39" i="7"/>
  <c r="BI40" i="7"/>
  <c r="BI41" i="7"/>
  <c r="BI42" i="7"/>
  <c r="BI43" i="7"/>
  <c r="BI44" i="7"/>
  <c r="BI45" i="7"/>
  <c r="BI46" i="7"/>
  <c r="BI47" i="7"/>
  <c r="BI48" i="7"/>
  <c r="BI49" i="7"/>
  <c r="BI50" i="7"/>
  <c r="BI51" i="7"/>
  <c r="BI52" i="7"/>
  <c r="BI53" i="7"/>
  <c r="BI54" i="7"/>
  <c r="BI55" i="7"/>
  <c r="BI56" i="7"/>
  <c r="BJ9" i="7"/>
  <c r="BJ10" i="7"/>
  <c r="BJ11" i="7"/>
  <c r="BJ12" i="7"/>
  <c r="BJ13" i="7"/>
  <c r="BJ14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28" i="7"/>
  <c r="BJ29" i="7"/>
  <c r="BJ30" i="7"/>
  <c r="BJ31" i="7"/>
  <c r="BJ32" i="7"/>
  <c r="BJ33" i="7"/>
  <c r="BJ34" i="7"/>
  <c r="BJ35" i="7"/>
  <c r="BJ36" i="7"/>
  <c r="BJ37" i="7"/>
  <c r="BJ38" i="7"/>
  <c r="BJ39" i="7"/>
  <c r="BJ40" i="7"/>
  <c r="BJ41" i="7"/>
  <c r="BJ42" i="7"/>
  <c r="BJ43" i="7"/>
  <c r="BJ44" i="7"/>
  <c r="BJ45" i="7"/>
  <c r="BJ46" i="7"/>
  <c r="BJ47" i="7"/>
  <c r="BJ48" i="7"/>
  <c r="BJ49" i="7"/>
  <c r="BJ50" i="7"/>
  <c r="BJ51" i="7"/>
  <c r="BJ52" i="7"/>
  <c r="BJ53" i="7"/>
  <c r="BJ54" i="7"/>
  <c r="BJ55" i="7"/>
  <c r="BJ56" i="7"/>
  <c r="BK9" i="7"/>
  <c r="BK10" i="7"/>
  <c r="BK11" i="7"/>
  <c r="BK12" i="7"/>
  <c r="BK13" i="7"/>
  <c r="BK14" i="7"/>
  <c r="BK15" i="7"/>
  <c r="BK16" i="7"/>
  <c r="BK17" i="7"/>
  <c r="BK18" i="7"/>
  <c r="BK19" i="7"/>
  <c r="BK20" i="7"/>
  <c r="BK21" i="7"/>
  <c r="BK22" i="7"/>
  <c r="BK23" i="7"/>
  <c r="BK24" i="7"/>
  <c r="BK25" i="7"/>
  <c r="BK26" i="7"/>
  <c r="BK27" i="7"/>
  <c r="BK28" i="7"/>
  <c r="BK29" i="7"/>
  <c r="BK30" i="7"/>
  <c r="BK31" i="7"/>
  <c r="BK32" i="7"/>
  <c r="BK33" i="7"/>
  <c r="BK34" i="7"/>
  <c r="BK35" i="7"/>
  <c r="BK36" i="7"/>
  <c r="BK37" i="7"/>
  <c r="BK38" i="7"/>
  <c r="BK39" i="7"/>
  <c r="BK40" i="7"/>
  <c r="BK41" i="7"/>
  <c r="BK42" i="7"/>
  <c r="BK43" i="7"/>
  <c r="BK44" i="7"/>
  <c r="BK45" i="7"/>
  <c r="BK46" i="7"/>
  <c r="BK47" i="7"/>
  <c r="BK48" i="7"/>
  <c r="BK49" i="7"/>
  <c r="BK50" i="7"/>
  <c r="BK51" i="7"/>
  <c r="BK52" i="7"/>
  <c r="BK53" i="7"/>
  <c r="BK54" i="7"/>
  <c r="BK55" i="7"/>
  <c r="BK56" i="7"/>
  <c r="BO18" i="7"/>
  <c r="BO17" i="7"/>
  <c r="BM17" i="7"/>
  <c r="BM18" i="7"/>
  <c r="BP18" i="7"/>
  <c r="BO189" i="7"/>
  <c r="BO75" i="7"/>
  <c r="BO74" i="7"/>
  <c r="BM74" i="7"/>
  <c r="BM75" i="7"/>
  <c r="AX66" i="7"/>
  <c r="AX67" i="7"/>
  <c r="AX68" i="7"/>
  <c r="AX69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X84" i="7"/>
  <c r="AX85" i="7"/>
  <c r="AX86" i="7"/>
  <c r="AX87" i="7"/>
  <c r="AX88" i="7"/>
  <c r="AX89" i="7"/>
  <c r="AX90" i="7"/>
  <c r="AX91" i="7"/>
  <c r="AX92" i="7"/>
  <c r="AX93" i="7"/>
  <c r="AX94" i="7"/>
  <c r="AX95" i="7"/>
  <c r="AX96" i="7"/>
  <c r="AX97" i="7"/>
  <c r="AX98" i="7"/>
  <c r="AX99" i="7"/>
  <c r="AX100" i="7"/>
  <c r="AX101" i="7"/>
  <c r="AX102" i="7"/>
  <c r="AX103" i="7"/>
  <c r="AX104" i="7"/>
  <c r="AX105" i="7"/>
  <c r="AX106" i="7"/>
  <c r="AX107" i="7"/>
  <c r="AX108" i="7"/>
  <c r="AX109" i="7"/>
  <c r="AX110" i="7"/>
  <c r="AX111" i="7"/>
  <c r="AX112" i="7"/>
  <c r="AX113" i="7"/>
  <c r="AY66" i="7"/>
  <c r="AY67" i="7"/>
  <c r="AY68" i="7"/>
  <c r="AY69" i="7"/>
  <c r="AY70" i="7"/>
  <c r="AY71" i="7"/>
  <c r="AY72" i="7"/>
  <c r="AY73" i="7"/>
  <c r="AY74" i="7"/>
  <c r="AY75" i="7"/>
  <c r="AY76" i="7"/>
  <c r="AY77" i="7"/>
  <c r="AY78" i="7"/>
  <c r="AY79" i="7"/>
  <c r="AY80" i="7"/>
  <c r="AY81" i="7"/>
  <c r="AY82" i="7"/>
  <c r="AY83" i="7"/>
  <c r="AY84" i="7"/>
  <c r="AY85" i="7"/>
  <c r="AY86" i="7"/>
  <c r="AY87" i="7"/>
  <c r="AY88" i="7"/>
  <c r="AY89" i="7"/>
  <c r="AY90" i="7"/>
  <c r="AY91" i="7"/>
  <c r="AY92" i="7"/>
  <c r="AY93" i="7"/>
  <c r="AY94" i="7"/>
  <c r="AY95" i="7"/>
  <c r="AY96" i="7"/>
  <c r="AY97" i="7"/>
  <c r="AY98" i="7"/>
  <c r="AY99" i="7"/>
  <c r="AY100" i="7"/>
  <c r="AY101" i="7"/>
  <c r="AY102" i="7"/>
  <c r="AY103" i="7"/>
  <c r="AY104" i="7"/>
  <c r="AY105" i="7"/>
  <c r="AY106" i="7"/>
  <c r="AY107" i="7"/>
  <c r="AY108" i="7"/>
  <c r="AY109" i="7"/>
  <c r="AY110" i="7"/>
  <c r="AY111" i="7"/>
  <c r="AY112" i="7"/>
  <c r="AY113" i="7"/>
  <c r="AZ66" i="7"/>
  <c r="AZ67" i="7"/>
  <c r="AZ68" i="7"/>
  <c r="AZ69" i="7"/>
  <c r="AZ70" i="7"/>
  <c r="AZ71" i="7"/>
  <c r="AZ72" i="7"/>
  <c r="AZ73" i="7"/>
  <c r="AZ74" i="7"/>
  <c r="AZ75" i="7"/>
  <c r="AZ76" i="7"/>
  <c r="AZ77" i="7"/>
  <c r="AZ78" i="7"/>
  <c r="AZ79" i="7"/>
  <c r="AZ80" i="7"/>
  <c r="AZ81" i="7"/>
  <c r="AZ82" i="7"/>
  <c r="AZ83" i="7"/>
  <c r="AZ84" i="7"/>
  <c r="AZ85" i="7"/>
  <c r="AZ86" i="7"/>
  <c r="AZ87" i="7"/>
  <c r="AZ88" i="7"/>
  <c r="AZ89" i="7"/>
  <c r="AZ90" i="7"/>
  <c r="AZ91" i="7"/>
  <c r="AZ92" i="7"/>
  <c r="AZ93" i="7"/>
  <c r="AZ94" i="7"/>
  <c r="AZ95" i="7"/>
  <c r="AZ96" i="7"/>
  <c r="AZ97" i="7"/>
  <c r="AZ98" i="7"/>
  <c r="AZ99" i="7"/>
  <c r="AZ100" i="7"/>
  <c r="AZ101" i="7"/>
  <c r="AZ102" i="7"/>
  <c r="AZ103" i="7"/>
  <c r="AZ104" i="7"/>
  <c r="AZ105" i="7"/>
  <c r="AZ106" i="7"/>
  <c r="AZ107" i="7"/>
  <c r="AZ108" i="7"/>
  <c r="AZ109" i="7"/>
  <c r="AZ110" i="7"/>
  <c r="AZ111" i="7"/>
  <c r="AZ112" i="7"/>
  <c r="AZ113" i="7"/>
  <c r="BA66" i="7"/>
  <c r="BA67" i="7"/>
  <c r="BA68" i="7"/>
  <c r="BA69" i="7"/>
  <c r="BA70" i="7"/>
  <c r="BA71" i="7"/>
  <c r="BA72" i="7"/>
  <c r="BA73" i="7"/>
  <c r="BA74" i="7"/>
  <c r="BA75" i="7"/>
  <c r="BA76" i="7"/>
  <c r="BA77" i="7"/>
  <c r="BA78" i="7"/>
  <c r="BA79" i="7"/>
  <c r="BA80" i="7"/>
  <c r="BA81" i="7"/>
  <c r="BA82" i="7"/>
  <c r="BA83" i="7"/>
  <c r="BA84" i="7"/>
  <c r="BA85" i="7"/>
  <c r="BA86" i="7"/>
  <c r="BA87" i="7"/>
  <c r="BA88" i="7"/>
  <c r="BA89" i="7"/>
  <c r="BA90" i="7"/>
  <c r="BA91" i="7"/>
  <c r="BA92" i="7"/>
  <c r="BA93" i="7"/>
  <c r="BA94" i="7"/>
  <c r="BA95" i="7"/>
  <c r="BA96" i="7"/>
  <c r="BA97" i="7"/>
  <c r="BA98" i="7"/>
  <c r="BA99" i="7"/>
  <c r="BA100" i="7"/>
  <c r="BA101" i="7"/>
  <c r="BA102" i="7"/>
  <c r="BA103" i="7"/>
  <c r="BA104" i="7"/>
  <c r="BA105" i="7"/>
  <c r="BA106" i="7"/>
  <c r="BA107" i="7"/>
  <c r="BA108" i="7"/>
  <c r="BA109" i="7"/>
  <c r="BA110" i="7"/>
  <c r="BA111" i="7"/>
  <c r="BA112" i="7"/>
  <c r="BA113" i="7"/>
  <c r="BB66" i="7"/>
  <c r="BB67" i="7"/>
  <c r="BB68" i="7"/>
  <c r="BB69" i="7"/>
  <c r="BB70" i="7"/>
  <c r="BB71" i="7"/>
  <c r="BB72" i="7"/>
  <c r="BB73" i="7"/>
  <c r="BB74" i="7"/>
  <c r="BB75" i="7"/>
  <c r="BB76" i="7"/>
  <c r="BB77" i="7"/>
  <c r="BB78" i="7"/>
  <c r="BB79" i="7"/>
  <c r="BB80" i="7"/>
  <c r="BB81" i="7"/>
  <c r="BB82" i="7"/>
  <c r="BB83" i="7"/>
  <c r="BB84" i="7"/>
  <c r="BB85" i="7"/>
  <c r="BB86" i="7"/>
  <c r="BB87" i="7"/>
  <c r="BB88" i="7"/>
  <c r="BB89" i="7"/>
  <c r="BB90" i="7"/>
  <c r="BB91" i="7"/>
  <c r="BB92" i="7"/>
  <c r="BB93" i="7"/>
  <c r="BB94" i="7"/>
  <c r="BB95" i="7"/>
  <c r="BB96" i="7"/>
  <c r="BB97" i="7"/>
  <c r="BB98" i="7"/>
  <c r="BB99" i="7"/>
  <c r="BB100" i="7"/>
  <c r="BB101" i="7"/>
  <c r="BB102" i="7"/>
  <c r="BB103" i="7"/>
  <c r="BB104" i="7"/>
  <c r="BB105" i="7"/>
  <c r="BB106" i="7"/>
  <c r="BB107" i="7"/>
  <c r="BB108" i="7"/>
  <c r="BB109" i="7"/>
  <c r="BB110" i="7"/>
  <c r="BB111" i="7"/>
  <c r="BB112" i="7"/>
  <c r="BB113" i="7"/>
  <c r="BC66" i="7"/>
  <c r="BC67" i="7"/>
  <c r="BC68" i="7"/>
  <c r="BC69" i="7"/>
  <c r="BC70" i="7"/>
  <c r="BC71" i="7"/>
  <c r="BC72" i="7"/>
  <c r="BC73" i="7"/>
  <c r="BC74" i="7"/>
  <c r="BC75" i="7"/>
  <c r="BC76" i="7"/>
  <c r="BC77" i="7"/>
  <c r="BC78" i="7"/>
  <c r="BC79" i="7"/>
  <c r="BC80" i="7"/>
  <c r="BC81" i="7"/>
  <c r="BC82" i="7"/>
  <c r="BC83" i="7"/>
  <c r="BC84" i="7"/>
  <c r="BC85" i="7"/>
  <c r="BC86" i="7"/>
  <c r="BC87" i="7"/>
  <c r="BC88" i="7"/>
  <c r="BC89" i="7"/>
  <c r="BC90" i="7"/>
  <c r="BC91" i="7"/>
  <c r="BC92" i="7"/>
  <c r="BC93" i="7"/>
  <c r="BC94" i="7"/>
  <c r="BC95" i="7"/>
  <c r="BC96" i="7"/>
  <c r="BC97" i="7"/>
  <c r="BC98" i="7"/>
  <c r="BC99" i="7"/>
  <c r="BC100" i="7"/>
  <c r="BC101" i="7"/>
  <c r="BC102" i="7"/>
  <c r="BC103" i="7"/>
  <c r="BC104" i="7"/>
  <c r="BC105" i="7"/>
  <c r="BC106" i="7"/>
  <c r="BC107" i="7"/>
  <c r="BC108" i="7"/>
  <c r="BC109" i="7"/>
  <c r="BC110" i="7"/>
  <c r="BC111" i="7"/>
  <c r="BC112" i="7"/>
  <c r="BC113" i="7"/>
  <c r="BD66" i="7"/>
  <c r="BD67" i="7"/>
  <c r="BD68" i="7"/>
  <c r="BD69" i="7"/>
  <c r="BD70" i="7"/>
  <c r="BD71" i="7"/>
  <c r="BD72" i="7"/>
  <c r="BD73" i="7"/>
  <c r="BD74" i="7"/>
  <c r="BD75" i="7"/>
  <c r="BD76" i="7"/>
  <c r="BD77" i="7"/>
  <c r="BD78" i="7"/>
  <c r="BD79" i="7"/>
  <c r="BD80" i="7"/>
  <c r="BD81" i="7"/>
  <c r="BD82" i="7"/>
  <c r="BD83" i="7"/>
  <c r="BD84" i="7"/>
  <c r="BD85" i="7"/>
  <c r="BD86" i="7"/>
  <c r="BD87" i="7"/>
  <c r="BD88" i="7"/>
  <c r="BD89" i="7"/>
  <c r="BD90" i="7"/>
  <c r="BD91" i="7"/>
  <c r="BD92" i="7"/>
  <c r="BD93" i="7"/>
  <c r="BD94" i="7"/>
  <c r="BD95" i="7"/>
  <c r="BD96" i="7"/>
  <c r="BD97" i="7"/>
  <c r="BD98" i="7"/>
  <c r="BD99" i="7"/>
  <c r="BD100" i="7"/>
  <c r="BD101" i="7"/>
  <c r="BD102" i="7"/>
  <c r="BD103" i="7"/>
  <c r="BD104" i="7"/>
  <c r="BD105" i="7"/>
  <c r="BD106" i="7"/>
  <c r="BD107" i="7"/>
  <c r="BD108" i="7"/>
  <c r="BD109" i="7"/>
  <c r="BD110" i="7"/>
  <c r="BD111" i="7"/>
  <c r="BD112" i="7"/>
  <c r="BD113" i="7"/>
  <c r="BE66" i="7"/>
  <c r="BE67" i="7"/>
  <c r="BE68" i="7"/>
  <c r="BE69" i="7"/>
  <c r="BE70" i="7"/>
  <c r="BE71" i="7"/>
  <c r="BE72" i="7"/>
  <c r="BE73" i="7"/>
  <c r="BE74" i="7"/>
  <c r="BE75" i="7"/>
  <c r="BE76" i="7"/>
  <c r="BE77" i="7"/>
  <c r="BE78" i="7"/>
  <c r="BE79" i="7"/>
  <c r="BE80" i="7"/>
  <c r="BE81" i="7"/>
  <c r="BE82" i="7"/>
  <c r="BE83" i="7"/>
  <c r="BE84" i="7"/>
  <c r="BE85" i="7"/>
  <c r="BE86" i="7"/>
  <c r="BE87" i="7"/>
  <c r="BE88" i="7"/>
  <c r="BE89" i="7"/>
  <c r="BE90" i="7"/>
  <c r="BE91" i="7"/>
  <c r="BE92" i="7"/>
  <c r="BE93" i="7"/>
  <c r="BE94" i="7"/>
  <c r="BE95" i="7"/>
  <c r="BE96" i="7"/>
  <c r="BE97" i="7"/>
  <c r="BE98" i="7"/>
  <c r="BE99" i="7"/>
  <c r="BE100" i="7"/>
  <c r="BE101" i="7"/>
  <c r="BE102" i="7"/>
  <c r="BE103" i="7"/>
  <c r="BE104" i="7"/>
  <c r="BE105" i="7"/>
  <c r="BE106" i="7"/>
  <c r="BE107" i="7"/>
  <c r="BE108" i="7"/>
  <c r="BE109" i="7"/>
  <c r="BE110" i="7"/>
  <c r="BE111" i="7"/>
  <c r="BE112" i="7"/>
  <c r="BE113" i="7"/>
  <c r="BF66" i="7"/>
  <c r="BF67" i="7"/>
  <c r="BF68" i="7"/>
  <c r="BF69" i="7"/>
  <c r="BF70" i="7"/>
  <c r="BF71" i="7"/>
  <c r="BF72" i="7"/>
  <c r="BF73" i="7"/>
  <c r="BF74" i="7"/>
  <c r="BF75" i="7"/>
  <c r="BF76" i="7"/>
  <c r="BF77" i="7"/>
  <c r="BF78" i="7"/>
  <c r="BF79" i="7"/>
  <c r="BF80" i="7"/>
  <c r="BF81" i="7"/>
  <c r="BF82" i="7"/>
  <c r="BF83" i="7"/>
  <c r="BF84" i="7"/>
  <c r="BF85" i="7"/>
  <c r="BF86" i="7"/>
  <c r="BF87" i="7"/>
  <c r="BF88" i="7"/>
  <c r="BF89" i="7"/>
  <c r="BF90" i="7"/>
  <c r="BF91" i="7"/>
  <c r="BF92" i="7"/>
  <c r="BF93" i="7"/>
  <c r="BF94" i="7"/>
  <c r="BF95" i="7"/>
  <c r="BF96" i="7"/>
  <c r="BF97" i="7"/>
  <c r="BF98" i="7"/>
  <c r="BF99" i="7"/>
  <c r="BF100" i="7"/>
  <c r="BF101" i="7"/>
  <c r="BF102" i="7"/>
  <c r="BF103" i="7"/>
  <c r="BF104" i="7"/>
  <c r="BF105" i="7"/>
  <c r="BF106" i="7"/>
  <c r="BF107" i="7"/>
  <c r="BF108" i="7"/>
  <c r="BF109" i="7"/>
  <c r="BF110" i="7"/>
  <c r="BF111" i="7"/>
  <c r="BF112" i="7"/>
  <c r="BF113" i="7"/>
  <c r="BG66" i="7"/>
  <c r="BG67" i="7"/>
  <c r="BG68" i="7"/>
  <c r="BG69" i="7"/>
  <c r="BG70" i="7"/>
  <c r="BG71" i="7"/>
  <c r="BG72" i="7"/>
  <c r="BG73" i="7"/>
  <c r="BG74" i="7"/>
  <c r="BG75" i="7"/>
  <c r="BG76" i="7"/>
  <c r="BG77" i="7"/>
  <c r="BG78" i="7"/>
  <c r="BG79" i="7"/>
  <c r="BG80" i="7"/>
  <c r="BG81" i="7"/>
  <c r="BG82" i="7"/>
  <c r="BG83" i="7"/>
  <c r="BG84" i="7"/>
  <c r="BG85" i="7"/>
  <c r="BG86" i="7"/>
  <c r="BG87" i="7"/>
  <c r="BG88" i="7"/>
  <c r="BG89" i="7"/>
  <c r="BG90" i="7"/>
  <c r="BG91" i="7"/>
  <c r="BG92" i="7"/>
  <c r="BG93" i="7"/>
  <c r="BG94" i="7"/>
  <c r="BG95" i="7"/>
  <c r="BG96" i="7"/>
  <c r="BG97" i="7"/>
  <c r="BG98" i="7"/>
  <c r="BG99" i="7"/>
  <c r="BG100" i="7"/>
  <c r="BG101" i="7"/>
  <c r="BG102" i="7"/>
  <c r="BG103" i="7"/>
  <c r="BG104" i="7"/>
  <c r="BG105" i="7"/>
  <c r="BG106" i="7"/>
  <c r="BG107" i="7"/>
  <c r="BG108" i="7"/>
  <c r="BG109" i="7"/>
  <c r="BG110" i="7"/>
  <c r="BG111" i="7"/>
  <c r="BG112" i="7"/>
  <c r="BG113" i="7"/>
  <c r="BH66" i="7"/>
  <c r="BH67" i="7"/>
  <c r="BH68" i="7"/>
  <c r="BH69" i="7"/>
  <c r="BH70" i="7"/>
  <c r="BH71" i="7"/>
  <c r="BH72" i="7"/>
  <c r="BH73" i="7"/>
  <c r="BH74" i="7"/>
  <c r="BH75" i="7"/>
  <c r="BH76" i="7"/>
  <c r="BH77" i="7"/>
  <c r="BH78" i="7"/>
  <c r="BH79" i="7"/>
  <c r="BH80" i="7"/>
  <c r="BH81" i="7"/>
  <c r="BH82" i="7"/>
  <c r="BH83" i="7"/>
  <c r="BH84" i="7"/>
  <c r="BH85" i="7"/>
  <c r="BH86" i="7"/>
  <c r="BH87" i="7"/>
  <c r="BH88" i="7"/>
  <c r="BH89" i="7"/>
  <c r="BH90" i="7"/>
  <c r="BH91" i="7"/>
  <c r="BH92" i="7"/>
  <c r="BH93" i="7"/>
  <c r="BH94" i="7"/>
  <c r="BH95" i="7"/>
  <c r="BH96" i="7"/>
  <c r="BH97" i="7"/>
  <c r="BH98" i="7"/>
  <c r="BH99" i="7"/>
  <c r="BH100" i="7"/>
  <c r="BH101" i="7"/>
  <c r="BH102" i="7"/>
  <c r="BH103" i="7"/>
  <c r="BH104" i="7"/>
  <c r="BH105" i="7"/>
  <c r="BH106" i="7"/>
  <c r="BH107" i="7"/>
  <c r="BH108" i="7"/>
  <c r="BH109" i="7"/>
  <c r="BH110" i="7"/>
  <c r="BH111" i="7"/>
  <c r="BH112" i="7"/>
  <c r="BH113" i="7"/>
  <c r="BI66" i="7"/>
  <c r="BI67" i="7"/>
  <c r="BI68" i="7"/>
  <c r="BI69" i="7"/>
  <c r="BI70" i="7"/>
  <c r="BI71" i="7"/>
  <c r="BI72" i="7"/>
  <c r="BI73" i="7"/>
  <c r="BI74" i="7"/>
  <c r="BI75" i="7"/>
  <c r="BI76" i="7"/>
  <c r="BI77" i="7"/>
  <c r="BI78" i="7"/>
  <c r="BI79" i="7"/>
  <c r="BI80" i="7"/>
  <c r="BI81" i="7"/>
  <c r="BI82" i="7"/>
  <c r="BI83" i="7"/>
  <c r="BI84" i="7"/>
  <c r="BI85" i="7"/>
  <c r="BI86" i="7"/>
  <c r="BI87" i="7"/>
  <c r="BI88" i="7"/>
  <c r="BI89" i="7"/>
  <c r="BI90" i="7"/>
  <c r="BI91" i="7"/>
  <c r="BI92" i="7"/>
  <c r="BI93" i="7"/>
  <c r="BI94" i="7"/>
  <c r="BI95" i="7"/>
  <c r="BI96" i="7"/>
  <c r="BI97" i="7"/>
  <c r="BI98" i="7"/>
  <c r="BI99" i="7"/>
  <c r="BI100" i="7"/>
  <c r="BI101" i="7"/>
  <c r="BI102" i="7"/>
  <c r="BI103" i="7"/>
  <c r="BI104" i="7"/>
  <c r="BI105" i="7"/>
  <c r="BI106" i="7"/>
  <c r="BI107" i="7"/>
  <c r="BI108" i="7"/>
  <c r="BI109" i="7"/>
  <c r="BI110" i="7"/>
  <c r="BI111" i="7"/>
  <c r="BI112" i="7"/>
  <c r="BI113" i="7"/>
  <c r="BJ66" i="7"/>
  <c r="BJ67" i="7"/>
  <c r="BJ68" i="7"/>
  <c r="BJ69" i="7"/>
  <c r="BJ70" i="7"/>
  <c r="BJ71" i="7"/>
  <c r="BJ72" i="7"/>
  <c r="BJ73" i="7"/>
  <c r="BJ74" i="7"/>
  <c r="BJ75" i="7"/>
  <c r="BJ76" i="7"/>
  <c r="BJ77" i="7"/>
  <c r="BJ78" i="7"/>
  <c r="BJ79" i="7"/>
  <c r="BJ80" i="7"/>
  <c r="BJ81" i="7"/>
  <c r="BJ82" i="7"/>
  <c r="BJ83" i="7"/>
  <c r="BJ84" i="7"/>
  <c r="BJ85" i="7"/>
  <c r="BJ86" i="7"/>
  <c r="BJ87" i="7"/>
  <c r="BJ88" i="7"/>
  <c r="BJ89" i="7"/>
  <c r="BJ90" i="7"/>
  <c r="BJ91" i="7"/>
  <c r="BJ92" i="7"/>
  <c r="BJ93" i="7"/>
  <c r="BJ94" i="7"/>
  <c r="BJ95" i="7"/>
  <c r="BJ96" i="7"/>
  <c r="BJ97" i="7"/>
  <c r="BJ98" i="7"/>
  <c r="BJ99" i="7"/>
  <c r="BJ100" i="7"/>
  <c r="BJ101" i="7"/>
  <c r="BJ102" i="7"/>
  <c r="BJ103" i="7"/>
  <c r="BJ104" i="7"/>
  <c r="BJ105" i="7"/>
  <c r="BJ106" i="7"/>
  <c r="BJ107" i="7"/>
  <c r="BJ108" i="7"/>
  <c r="BJ109" i="7"/>
  <c r="BJ110" i="7"/>
  <c r="BJ111" i="7"/>
  <c r="BJ112" i="7"/>
  <c r="BJ113" i="7"/>
  <c r="BK66" i="7"/>
  <c r="BK67" i="7"/>
  <c r="BK68" i="7"/>
  <c r="BK69" i="7"/>
  <c r="BK70" i="7"/>
  <c r="BK71" i="7"/>
  <c r="BK72" i="7"/>
  <c r="BK73" i="7"/>
  <c r="BK74" i="7"/>
  <c r="BK75" i="7"/>
  <c r="BK76" i="7"/>
  <c r="BK77" i="7"/>
  <c r="BK78" i="7"/>
  <c r="BK79" i="7"/>
  <c r="BK80" i="7"/>
  <c r="BK81" i="7"/>
  <c r="BK82" i="7"/>
  <c r="BK83" i="7"/>
  <c r="BK84" i="7"/>
  <c r="BK85" i="7"/>
  <c r="BK86" i="7"/>
  <c r="BK87" i="7"/>
  <c r="BK88" i="7"/>
  <c r="BK89" i="7"/>
  <c r="BK90" i="7"/>
  <c r="BK91" i="7"/>
  <c r="BK92" i="7"/>
  <c r="BK93" i="7"/>
  <c r="BK94" i="7"/>
  <c r="BK95" i="7"/>
  <c r="BK96" i="7"/>
  <c r="BK97" i="7"/>
  <c r="BK98" i="7"/>
  <c r="BK99" i="7"/>
  <c r="BK100" i="7"/>
  <c r="BK101" i="7"/>
  <c r="BK102" i="7"/>
  <c r="BK103" i="7"/>
  <c r="BK104" i="7"/>
  <c r="BK105" i="7"/>
  <c r="BK106" i="7"/>
  <c r="BK107" i="7"/>
  <c r="BK108" i="7"/>
  <c r="BK109" i="7"/>
  <c r="BK110" i="7"/>
  <c r="BK111" i="7"/>
  <c r="BK112" i="7"/>
  <c r="BK113" i="7"/>
  <c r="BP75" i="7"/>
  <c r="BO132" i="7"/>
  <c r="BO32" i="7"/>
  <c r="BO31" i="7"/>
  <c r="BM31" i="7"/>
  <c r="BM32" i="7"/>
  <c r="BP32" i="7"/>
  <c r="BO39" i="7"/>
  <c r="BO38" i="7"/>
  <c r="BM38" i="7"/>
  <c r="BM39" i="7"/>
  <c r="BP39" i="7"/>
  <c r="BO82" i="7"/>
  <c r="BO81" i="7"/>
  <c r="BM81" i="7"/>
  <c r="BM82" i="7"/>
  <c r="BP82" i="7"/>
  <c r="BO89" i="7"/>
  <c r="BO88" i="7"/>
  <c r="BM88" i="7"/>
  <c r="BM89" i="7"/>
  <c r="BP89" i="7"/>
  <c r="BO96" i="7"/>
  <c r="BO95" i="7"/>
  <c r="BM95" i="7"/>
  <c r="BM96" i="7"/>
  <c r="BP96" i="7"/>
  <c r="BO131" i="7"/>
  <c r="BM131" i="7"/>
  <c r="BM132" i="7"/>
  <c r="AX123" i="7"/>
  <c r="AX124" i="7"/>
  <c r="AX125" i="7"/>
  <c r="AX126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141" i="7"/>
  <c r="AX142" i="7"/>
  <c r="AX143" i="7"/>
  <c r="AX144" i="7"/>
  <c r="AX145" i="7"/>
  <c r="AX146" i="7"/>
  <c r="AX147" i="7"/>
  <c r="AX148" i="7"/>
  <c r="AX149" i="7"/>
  <c r="AX150" i="7"/>
  <c r="AX151" i="7"/>
  <c r="AX152" i="7"/>
  <c r="AX153" i="7"/>
  <c r="AX154" i="7"/>
  <c r="AX155" i="7"/>
  <c r="AX156" i="7"/>
  <c r="AX157" i="7"/>
  <c r="AX158" i="7"/>
  <c r="AX159" i="7"/>
  <c r="AX160" i="7"/>
  <c r="AX161" i="7"/>
  <c r="AX162" i="7"/>
  <c r="AX163" i="7"/>
  <c r="AX164" i="7"/>
  <c r="AX165" i="7"/>
  <c r="AX166" i="7"/>
  <c r="AX167" i="7"/>
  <c r="AX168" i="7"/>
  <c r="AX169" i="7"/>
  <c r="AX170" i="7"/>
  <c r="AY123" i="7"/>
  <c r="AY124" i="7"/>
  <c r="AY125" i="7"/>
  <c r="AY126" i="7"/>
  <c r="AY127" i="7"/>
  <c r="AY128" i="7"/>
  <c r="AY129" i="7"/>
  <c r="AY130" i="7"/>
  <c r="AY131" i="7"/>
  <c r="AY132" i="7"/>
  <c r="AY133" i="7"/>
  <c r="AY134" i="7"/>
  <c r="AY135" i="7"/>
  <c r="AY136" i="7"/>
  <c r="AY137" i="7"/>
  <c r="AY138" i="7"/>
  <c r="AY139" i="7"/>
  <c r="AY140" i="7"/>
  <c r="AY141" i="7"/>
  <c r="AY142" i="7"/>
  <c r="AY143" i="7"/>
  <c r="AY144" i="7"/>
  <c r="AY145" i="7"/>
  <c r="AY146" i="7"/>
  <c r="AY147" i="7"/>
  <c r="AY148" i="7"/>
  <c r="AY149" i="7"/>
  <c r="AY150" i="7"/>
  <c r="AY151" i="7"/>
  <c r="AY152" i="7"/>
  <c r="AY153" i="7"/>
  <c r="AY154" i="7"/>
  <c r="AY155" i="7"/>
  <c r="AY156" i="7"/>
  <c r="AY157" i="7"/>
  <c r="AY158" i="7"/>
  <c r="AY159" i="7"/>
  <c r="AY160" i="7"/>
  <c r="AY161" i="7"/>
  <c r="AY162" i="7"/>
  <c r="AY163" i="7"/>
  <c r="AY164" i="7"/>
  <c r="AY165" i="7"/>
  <c r="AY166" i="7"/>
  <c r="AY167" i="7"/>
  <c r="AY168" i="7"/>
  <c r="AY169" i="7"/>
  <c r="AY170" i="7"/>
  <c r="AZ123" i="7"/>
  <c r="AZ124" i="7"/>
  <c r="AZ125" i="7"/>
  <c r="AZ126" i="7"/>
  <c r="AZ127" i="7"/>
  <c r="AZ128" i="7"/>
  <c r="AZ129" i="7"/>
  <c r="AZ130" i="7"/>
  <c r="AZ131" i="7"/>
  <c r="AZ132" i="7"/>
  <c r="AZ133" i="7"/>
  <c r="AZ134" i="7"/>
  <c r="AZ135" i="7"/>
  <c r="AZ136" i="7"/>
  <c r="AZ137" i="7"/>
  <c r="AZ138" i="7"/>
  <c r="AZ139" i="7"/>
  <c r="AZ140" i="7"/>
  <c r="AZ141" i="7"/>
  <c r="AZ142" i="7"/>
  <c r="AZ143" i="7"/>
  <c r="AZ144" i="7"/>
  <c r="AZ145" i="7"/>
  <c r="AZ146" i="7"/>
  <c r="AZ147" i="7"/>
  <c r="AZ148" i="7"/>
  <c r="AZ149" i="7"/>
  <c r="AZ150" i="7"/>
  <c r="AZ151" i="7"/>
  <c r="AZ152" i="7"/>
  <c r="AZ153" i="7"/>
  <c r="AZ154" i="7"/>
  <c r="AZ155" i="7"/>
  <c r="AZ156" i="7"/>
  <c r="AZ157" i="7"/>
  <c r="AZ158" i="7"/>
  <c r="AZ159" i="7"/>
  <c r="AZ160" i="7"/>
  <c r="AZ161" i="7"/>
  <c r="AZ162" i="7"/>
  <c r="AZ163" i="7"/>
  <c r="AZ164" i="7"/>
  <c r="AZ165" i="7"/>
  <c r="AZ166" i="7"/>
  <c r="AZ167" i="7"/>
  <c r="AZ168" i="7"/>
  <c r="AZ169" i="7"/>
  <c r="AZ170" i="7"/>
  <c r="BA123" i="7"/>
  <c r="BA124" i="7"/>
  <c r="BA125" i="7"/>
  <c r="BA126" i="7"/>
  <c r="BA127" i="7"/>
  <c r="BA128" i="7"/>
  <c r="BA129" i="7"/>
  <c r="BA130" i="7"/>
  <c r="BA131" i="7"/>
  <c r="BA132" i="7"/>
  <c r="BA133" i="7"/>
  <c r="BA134" i="7"/>
  <c r="BA135" i="7"/>
  <c r="BA136" i="7"/>
  <c r="BA137" i="7"/>
  <c r="BA138" i="7"/>
  <c r="BA139" i="7"/>
  <c r="BA140" i="7"/>
  <c r="BA141" i="7"/>
  <c r="BA142" i="7"/>
  <c r="BA143" i="7"/>
  <c r="BA144" i="7"/>
  <c r="BA145" i="7"/>
  <c r="BA146" i="7"/>
  <c r="BA147" i="7"/>
  <c r="BA148" i="7"/>
  <c r="BA149" i="7"/>
  <c r="BA150" i="7"/>
  <c r="BA151" i="7"/>
  <c r="BA152" i="7"/>
  <c r="BA153" i="7"/>
  <c r="BA154" i="7"/>
  <c r="BA155" i="7"/>
  <c r="BA156" i="7"/>
  <c r="BA157" i="7"/>
  <c r="BA158" i="7"/>
  <c r="BA159" i="7"/>
  <c r="BA160" i="7"/>
  <c r="BA161" i="7"/>
  <c r="BA162" i="7"/>
  <c r="BA163" i="7"/>
  <c r="BA164" i="7"/>
  <c r="BA165" i="7"/>
  <c r="BA166" i="7"/>
  <c r="BA167" i="7"/>
  <c r="BA168" i="7"/>
  <c r="BA169" i="7"/>
  <c r="BA170" i="7"/>
  <c r="BB123" i="7"/>
  <c r="BB124" i="7"/>
  <c r="BB125" i="7"/>
  <c r="BB126" i="7"/>
  <c r="BB127" i="7"/>
  <c r="BB128" i="7"/>
  <c r="BB129" i="7"/>
  <c r="BB130" i="7"/>
  <c r="BB131" i="7"/>
  <c r="BB132" i="7"/>
  <c r="BB133" i="7"/>
  <c r="BB134" i="7"/>
  <c r="BB135" i="7"/>
  <c r="BB136" i="7"/>
  <c r="BB137" i="7"/>
  <c r="BB138" i="7"/>
  <c r="BB139" i="7"/>
  <c r="BB140" i="7"/>
  <c r="BB141" i="7"/>
  <c r="BB142" i="7"/>
  <c r="BB143" i="7"/>
  <c r="BB144" i="7"/>
  <c r="BB145" i="7"/>
  <c r="BB146" i="7"/>
  <c r="BB147" i="7"/>
  <c r="BB148" i="7"/>
  <c r="BB149" i="7"/>
  <c r="BB150" i="7"/>
  <c r="BB151" i="7"/>
  <c r="BB152" i="7"/>
  <c r="BB153" i="7"/>
  <c r="BB154" i="7"/>
  <c r="BB155" i="7"/>
  <c r="BB156" i="7"/>
  <c r="BB157" i="7"/>
  <c r="BB158" i="7"/>
  <c r="BB159" i="7"/>
  <c r="BB160" i="7"/>
  <c r="BB161" i="7"/>
  <c r="BB162" i="7"/>
  <c r="BB163" i="7"/>
  <c r="BB164" i="7"/>
  <c r="BB165" i="7"/>
  <c r="BB166" i="7"/>
  <c r="BB167" i="7"/>
  <c r="BB168" i="7"/>
  <c r="BB169" i="7"/>
  <c r="BB170" i="7"/>
  <c r="BC123" i="7"/>
  <c r="BC124" i="7"/>
  <c r="BC125" i="7"/>
  <c r="BC126" i="7"/>
  <c r="BC127" i="7"/>
  <c r="BC128" i="7"/>
  <c r="BC129" i="7"/>
  <c r="BC130" i="7"/>
  <c r="BC131" i="7"/>
  <c r="BC132" i="7"/>
  <c r="BC133" i="7"/>
  <c r="BC134" i="7"/>
  <c r="BC135" i="7"/>
  <c r="BC136" i="7"/>
  <c r="BC137" i="7"/>
  <c r="BC138" i="7"/>
  <c r="BC139" i="7"/>
  <c r="BC140" i="7"/>
  <c r="BC141" i="7"/>
  <c r="BC142" i="7"/>
  <c r="BC143" i="7"/>
  <c r="BC144" i="7"/>
  <c r="BC145" i="7"/>
  <c r="BC146" i="7"/>
  <c r="BC147" i="7"/>
  <c r="BC148" i="7"/>
  <c r="BC149" i="7"/>
  <c r="BC150" i="7"/>
  <c r="BC151" i="7"/>
  <c r="BC152" i="7"/>
  <c r="BC153" i="7"/>
  <c r="BC154" i="7"/>
  <c r="BC155" i="7"/>
  <c r="BC156" i="7"/>
  <c r="BC157" i="7"/>
  <c r="BC158" i="7"/>
  <c r="BC159" i="7"/>
  <c r="BC160" i="7"/>
  <c r="BC161" i="7"/>
  <c r="BC162" i="7"/>
  <c r="BC163" i="7"/>
  <c r="BC164" i="7"/>
  <c r="BC165" i="7"/>
  <c r="BC166" i="7"/>
  <c r="BC167" i="7"/>
  <c r="BC168" i="7"/>
  <c r="BC169" i="7"/>
  <c r="BC170" i="7"/>
  <c r="BD123" i="7"/>
  <c r="BD124" i="7"/>
  <c r="BD125" i="7"/>
  <c r="BD126" i="7"/>
  <c r="BD127" i="7"/>
  <c r="BD128" i="7"/>
  <c r="BD129" i="7"/>
  <c r="BD130" i="7"/>
  <c r="BD131" i="7"/>
  <c r="BD132" i="7"/>
  <c r="BD133" i="7"/>
  <c r="BD134" i="7"/>
  <c r="BD135" i="7"/>
  <c r="BD136" i="7"/>
  <c r="BD137" i="7"/>
  <c r="BD138" i="7"/>
  <c r="BD139" i="7"/>
  <c r="BD140" i="7"/>
  <c r="BD141" i="7"/>
  <c r="BD142" i="7"/>
  <c r="BD143" i="7"/>
  <c r="BD144" i="7"/>
  <c r="BD145" i="7"/>
  <c r="BD146" i="7"/>
  <c r="BD147" i="7"/>
  <c r="BD148" i="7"/>
  <c r="BD149" i="7"/>
  <c r="BD150" i="7"/>
  <c r="BD151" i="7"/>
  <c r="BD152" i="7"/>
  <c r="BD153" i="7"/>
  <c r="BD154" i="7"/>
  <c r="BD155" i="7"/>
  <c r="BD156" i="7"/>
  <c r="BD157" i="7"/>
  <c r="BD158" i="7"/>
  <c r="BD159" i="7"/>
  <c r="BD160" i="7"/>
  <c r="BD161" i="7"/>
  <c r="BD162" i="7"/>
  <c r="BD163" i="7"/>
  <c r="BD164" i="7"/>
  <c r="BD165" i="7"/>
  <c r="BD166" i="7"/>
  <c r="BD167" i="7"/>
  <c r="BD168" i="7"/>
  <c r="BD169" i="7"/>
  <c r="BD170" i="7"/>
  <c r="BE123" i="7"/>
  <c r="BE124" i="7"/>
  <c r="BE125" i="7"/>
  <c r="BE126" i="7"/>
  <c r="BE127" i="7"/>
  <c r="BE128" i="7"/>
  <c r="BE129" i="7"/>
  <c r="BE130" i="7"/>
  <c r="BE131" i="7"/>
  <c r="BE132" i="7"/>
  <c r="BE133" i="7"/>
  <c r="BE134" i="7"/>
  <c r="BE135" i="7"/>
  <c r="BE136" i="7"/>
  <c r="BE137" i="7"/>
  <c r="BE138" i="7"/>
  <c r="BE139" i="7"/>
  <c r="BE140" i="7"/>
  <c r="BE141" i="7"/>
  <c r="BE142" i="7"/>
  <c r="BE143" i="7"/>
  <c r="BE144" i="7"/>
  <c r="BE145" i="7"/>
  <c r="BE146" i="7"/>
  <c r="BE147" i="7"/>
  <c r="BE148" i="7"/>
  <c r="BE149" i="7"/>
  <c r="BE150" i="7"/>
  <c r="BE151" i="7"/>
  <c r="BE152" i="7"/>
  <c r="BE153" i="7"/>
  <c r="BE154" i="7"/>
  <c r="BE155" i="7"/>
  <c r="BE156" i="7"/>
  <c r="BE157" i="7"/>
  <c r="BE158" i="7"/>
  <c r="BE159" i="7"/>
  <c r="BE160" i="7"/>
  <c r="BE161" i="7"/>
  <c r="BE162" i="7"/>
  <c r="BE163" i="7"/>
  <c r="BE164" i="7"/>
  <c r="BE165" i="7"/>
  <c r="BE166" i="7"/>
  <c r="BE167" i="7"/>
  <c r="BE168" i="7"/>
  <c r="BE169" i="7"/>
  <c r="BE170" i="7"/>
  <c r="BF123" i="7"/>
  <c r="BF124" i="7"/>
  <c r="BF125" i="7"/>
  <c r="BF126" i="7"/>
  <c r="BF127" i="7"/>
  <c r="BF128" i="7"/>
  <c r="BF129" i="7"/>
  <c r="BF130" i="7"/>
  <c r="BF131" i="7"/>
  <c r="BF132" i="7"/>
  <c r="BF133" i="7"/>
  <c r="BF134" i="7"/>
  <c r="BF135" i="7"/>
  <c r="BF136" i="7"/>
  <c r="BF137" i="7"/>
  <c r="BF138" i="7"/>
  <c r="BF139" i="7"/>
  <c r="BF140" i="7"/>
  <c r="BF141" i="7"/>
  <c r="BF142" i="7"/>
  <c r="BF143" i="7"/>
  <c r="BF144" i="7"/>
  <c r="BF145" i="7"/>
  <c r="BF146" i="7"/>
  <c r="BF147" i="7"/>
  <c r="BF148" i="7"/>
  <c r="BF149" i="7"/>
  <c r="BF150" i="7"/>
  <c r="BF151" i="7"/>
  <c r="BF152" i="7"/>
  <c r="BF153" i="7"/>
  <c r="BF154" i="7"/>
  <c r="BF155" i="7"/>
  <c r="BF156" i="7"/>
  <c r="BF157" i="7"/>
  <c r="BF158" i="7"/>
  <c r="BF159" i="7"/>
  <c r="BF160" i="7"/>
  <c r="BF161" i="7"/>
  <c r="BF162" i="7"/>
  <c r="BF163" i="7"/>
  <c r="BF164" i="7"/>
  <c r="BF165" i="7"/>
  <c r="BF166" i="7"/>
  <c r="BF167" i="7"/>
  <c r="BF168" i="7"/>
  <c r="BF169" i="7"/>
  <c r="BF170" i="7"/>
  <c r="BG123" i="7"/>
  <c r="BG124" i="7"/>
  <c r="BG125" i="7"/>
  <c r="BG126" i="7"/>
  <c r="BG127" i="7"/>
  <c r="BG128" i="7"/>
  <c r="BG129" i="7"/>
  <c r="BG130" i="7"/>
  <c r="BG131" i="7"/>
  <c r="BG132" i="7"/>
  <c r="BG133" i="7"/>
  <c r="BG134" i="7"/>
  <c r="BG135" i="7"/>
  <c r="BG136" i="7"/>
  <c r="BG137" i="7"/>
  <c r="BG138" i="7"/>
  <c r="BG139" i="7"/>
  <c r="BG140" i="7"/>
  <c r="BG141" i="7"/>
  <c r="BG142" i="7"/>
  <c r="BG143" i="7"/>
  <c r="BG144" i="7"/>
  <c r="BG145" i="7"/>
  <c r="BG146" i="7"/>
  <c r="BG147" i="7"/>
  <c r="BG148" i="7"/>
  <c r="BG149" i="7"/>
  <c r="BG150" i="7"/>
  <c r="BG151" i="7"/>
  <c r="BG152" i="7"/>
  <c r="BG153" i="7"/>
  <c r="BG154" i="7"/>
  <c r="BG155" i="7"/>
  <c r="BG156" i="7"/>
  <c r="BG157" i="7"/>
  <c r="BG158" i="7"/>
  <c r="BG159" i="7"/>
  <c r="BG160" i="7"/>
  <c r="BG161" i="7"/>
  <c r="BG162" i="7"/>
  <c r="BG163" i="7"/>
  <c r="BG164" i="7"/>
  <c r="BG165" i="7"/>
  <c r="BG166" i="7"/>
  <c r="BG167" i="7"/>
  <c r="BG168" i="7"/>
  <c r="BG169" i="7"/>
  <c r="BG170" i="7"/>
  <c r="BH123" i="7"/>
  <c r="BH124" i="7"/>
  <c r="BH125" i="7"/>
  <c r="BH126" i="7"/>
  <c r="BH127" i="7"/>
  <c r="BH128" i="7"/>
  <c r="BH129" i="7"/>
  <c r="BH130" i="7"/>
  <c r="BH131" i="7"/>
  <c r="BH132" i="7"/>
  <c r="BH133" i="7"/>
  <c r="BH134" i="7"/>
  <c r="BH135" i="7"/>
  <c r="BH136" i="7"/>
  <c r="BH137" i="7"/>
  <c r="BH138" i="7"/>
  <c r="BH139" i="7"/>
  <c r="BH140" i="7"/>
  <c r="BH141" i="7"/>
  <c r="BH142" i="7"/>
  <c r="BH143" i="7"/>
  <c r="BH144" i="7"/>
  <c r="BH145" i="7"/>
  <c r="BH146" i="7"/>
  <c r="BH147" i="7"/>
  <c r="BH148" i="7"/>
  <c r="BH149" i="7"/>
  <c r="BH150" i="7"/>
  <c r="BH151" i="7"/>
  <c r="BH152" i="7"/>
  <c r="BH153" i="7"/>
  <c r="BH154" i="7"/>
  <c r="BH155" i="7"/>
  <c r="BH156" i="7"/>
  <c r="BH157" i="7"/>
  <c r="BH158" i="7"/>
  <c r="BH159" i="7"/>
  <c r="BH160" i="7"/>
  <c r="BH161" i="7"/>
  <c r="BH162" i="7"/>
  <c r="BH163" i="7"/>
  <c r="BH164" i="7"/>
  <c r="BH165" i="7"/>
  <c r="BH166" i="7"/>
  <c r="BH167" i="7"/>
  <c r="BH168" i="7"/>
  <c r="BH169" i="7"/>
  <c r="BH170" i="7"/>
  <c r="BI123" i="7"/>
  <c r="BI124" i="7"/>
  <c r="BI125" i="7"/>
  <c r="BI126" i="7"/>
  <c r="BI127" i="7"/>
  <c r="BI128" i="7"/>
  <c r="BI129" i="7"/>
  <c r="BI130" i="7"/>
  <c r="BI131" i="7"/>
  <c r="BI132" i="7"/>
  <c r="BI133" i="7"/>
  <c r="BI134" i="7"/>
  <c r="BI135" i="7"/>
  <c r="BI136" i="7"/>
  <c r="BI137" i="7"/>
  <c r="BI138" i="7"/>
  <c r="BI139" i="7"/>
  <c r="BI140" i="7"/>
  <c r="BI141" i="7"/>
  <c r="BI142" i="7"/>
  <c r="BI143" i="7"/>
  <c r="BI144" i="7"/>
  <c r="BI145" i="7"/>
  <c r="BI146" i="7"/>
  <c r="BI147" i="7"/>
  <c r="BI148" i="7"/>
  <c r="BI149" i="7"/>
  <c r="BI150" i="7"/>
  <c r="BI151" i="7"/>
  <c r="BI152" i="7"/>
  <c r="BI153" i="7"/>
  <c r="BI154" i="7"/>
  <c r="BI155" i="7"/>
  <c r="BI156" i="7"/>
  <c r="BI157" i="7"/>
  <c r="BI158" i="7"/>
  <c r="BI159" i="7"/>
  <c r="BI160" i="7"/>
  <c r="BI161" i="7"/>
  <c r="BI162" i="7"/>
  <c r="BI163" i="7"/>
  <c r="BI164" i="7"/>
  <c r="BI165" i="7"/>
  <c r="BI166" i="7"/>
  <c r="BI167" i="7"/>
  <c r="BI168" i="7"/>
  <c r="BI169" i="7"/>
  <c r="BI170" i="7"/>
  <c r="BJ123" i="7"/>
  <c r="BJ124" i="7"/>
  <c r="BJ125" i="7"/>
  <c r="BJ126" i="7"/>
  <c r="BJ127" i="7"/>
  <c r="BJ128" i="7"/>
  <c r="BJ129" i="7"/>
  <c r="BJ130" i="7"/>
  <c r="BJ131" i="7"/>
  <c r="BJ132" i="7"/>
  <c r="BJ133" i="7"/>
  <c r="BJ134" i="7"/>
  <c r="BJ135" i="7"/>
  <c r="BJ136" i="7"/>
  <c r="BJ137" i="7"/>
  <c r="BJ138" i="7"/>
  <c r="BJ139" i="7"/>
  <c r="BJ140" i="7"/>
  <c r="BJ141" i="7"/>
  <c r="BJ142" i="7"/>
  <c r="BJ143" i="7"/>
  <c r="BJ144" i="7"/>
  <c r="BJ145" i="7"/>
  <c r="BJ146" i="7"/>
  <c r="BJ147" i="7"/>
  <c r="BJ148" i="7"/>
  <c r="BJ149" i="7"/>
  <c r="BJ150" i="7"/>
  <c r="BJ151" i="7"/>
  <c r="BJ152" i="7"/>
  <c r="BJ153" i="7"/>
  <c r="BJ154" i="7"/>
  <c r="BJ155" i="7"/>
  <c r="BJ156" i="7"/>
  <c r="BJ157" i="7"/>
  <c r="BJ158" i="7"/>
  <c r="BJ159" i="7"/>
  <c r="BJ160" i="7"/>
  <c r="BJ161" i="7"/>
  <c r="BJ162" i="7"/>
  <c r="BJ163" i="7"/>
  <c r="BJ164" i="7"/>
  <c r="BJ165" i="7"/>
  <c r="BJ166" i="7"/>
  <c r="BJ167" i="7"/>
  <c r="BJ168" i="7"/>
  <c r="BJ169" i="7"/>
  <c r="BJ170" i="7"/>
  <c r="BK123" i="7"/>
  <c r="BK124" i="7"/>
  <c r="BK125" i="7"/>
  <c r="BK126" i="7"/>
  <c r="BK127" i="7"/>
  <c r="BK128" i="7"/>
  <c r="BK129" i="7"/>
  <c r="BK130" i="7"/>
  <c r="BK131" i="7"/>
  <c r="BK132" i="7"/>
  <c r="BK133" i="7"/>
  <c r="BK134" i="7"/>
  <c r="BK135" i="7"/>
  <c r="BK136" i="7"/>
  <c r="BK137" i="7"/>
  <c r="BK138" i="7"/>
  <c r="BK139" i="7"/>
  <c r="BK140" i="7"/>
  <c r="BK141" i="7"/>
  <c r="BK142" i="7"/>
  <c r="BK143" i="7"/>
  <c r="BK144" i="7"/>
  <c r="BK145" i="7"/>
  <c r="BK146" i="7"/>
  <c r="BK147" i="7"/>
  <c r="BK148" i="7"/>
  <c r="BK149" i="7"/>
  <c r="BK150" i="7"/>
  <c r="BK151" i="7"/>
  <c r="BK152" i="7"/>
  <c r="BK153" i="7"/>
  <c r="BK154" i="7"/>
  <c r="BK155" i="7"/>
  <c r="BK156" i="7"/>
  <c r="BK157" i="7"/>
  <c r="BK158" i="7"/>
  <c r="BK159" i="7"/>
  <c r="BK160" i="7"/>
  <c r="BK161" i="7"/>
  <c r="BK162" i="7"/>
  <c r="BK163" i="7"/>
  <c r="BK164" i="7"/>
  <c r="BK165" i="7"/>
  <c r="BK166" i="7"/>
  <c r="BK167" i="7"/>
  <c r="BK168" i="7"/>
  <c r="BK169" i="7"/>
  <c r="BK170" i="7"/>
  <c r="BP132" i="7"/>
  <c r="BO139" i="7"/>
  <c r="BO138" i="7"/>
  <c r="BM138" i="7"/>
  <c r="BM139" i="7"/>
  <c r="BP139" i="7"/>
  <c r="BO146" i="7"/>
  <c r="BO145" i="7"/>
  <c r="BM145" i="7"/>
  <c r="BM146" i="7"/>
  <c r="BP146" i="7"/>
  <c r="BO153" i="7"/>
  <c r="BO152" i="7"/>
  <c r="BM152" i="7"/>
  <c r="BM153" i="7"/>
  <c r="BP153" i="7"/>
  <c r="BO188" i="7"/>
  <c r="BM188" i="7"/>
  <c r="BM189" i="7"/>
  <c r="AX180" i="7"/>
  <c r="AX181" i="7"/>
  <c r="AX182" i="7"/>
  <c r="AX183" i="7"/>
  <c r="AX184" i="7"/>
  <c r="AX185" i="7"/>
  <c r="AX186" i="7"/>
  <c r="AX187" i="7"/>
  <c r="AX188" i="7"/>
  <c r="AX189" i="7"/>
  <c r="AX190" i="7"/>
  <c r="AX191" i="7"/>
  <c r="AX192" i="7"/>
  <c r="AX193" i="7"/>
  <c r="AX194" i="7"/>
  <c r="AX195" i="7"/>
  <c r="AX196" i="7"/>
  <c r="AX197" i="7"/>
  <c r="AX198" i="7"/>
  <c r="AX199" i="7"/>
  <c r="AX200" i="7"/>
  <c r="AX201" i="7"/>
  <c r="AX202" i="7"/>
  <c r="AX203" i="7"/>
  <c r="AX204" i="7"/>
  <c r="AX205" i="7"/>
  <c r="AX206" i="7"/>
  <c r="AX207" i="7"/>
  <c r="AX208" i="7"/>
  <c r="AX209" i="7"/>
  <c r="AX210" i="7"/>
  <c r="AX211" i="7"/>
  <c r="AX212" i="7"/>
  <c r="AX213" i="7"/>
  <c r="AX214" i="7"/>
  <c r="AX215" i="7"/>
  <c r="AX216" i="7"/>
  <c r="AX217" i="7"/>
  <c r="AX218" i="7"/>
  <c r="AX219" i="7"/>
  <c r="AX220" i="7"/>
  <c r="AX221" i="7"/>
  <c r="AX222" i="7"/>
  <c r="AX223" i="7"/>
  <c r="AX224" i="7"/>
  <c r="AX225" i="7"/>
  <c r="AX226" i="7"/>
  <c r="AX227" i="7"/>
  <c r="AY180" i="7"/>
  <c r="AY181" i="7"/>
  <c r="AY182" i="7"/>
  <c r="AY183" i="7"/>
  <c r="AY184" i="7"/>
  <c r="AY185" i="7"/>
  <c r="AY186" i="7"/>
  <c r="AY187" i="7"/>
  <c r="AY188" i="7"/>
  <c r="AY189" i="7"/>
  <c r="AY190" i="7"/>
  <c r="AY191" i="7"/>
  <c r="AY192" i="7"/>
  <c r="AY193" i="7"/>
  <c r="AY194" i="7"/>
  <c r="AY195" i="7"/>
  <c r="AY196" i="7"/>
  <c r="AY197" i="7"/>
  <c r="AY198" i="7"/>
  <c r="AY199" i="7"/>
  <c r="AY200" i="7"/>
  <c r="AY201" i="7"/>
  <c r="AY202" i="7"/>
  <c r="AY203" i="7"/>
  <c r="AY204" i="7"/>
  <c r="AY205" i="7"/>
  <c r="AY206" i="7"/>
  <c r="AY207" i="7"/>
  <c r="AY208" i="7"/>
  <c r="AY209" i="7"/>
  <c r="AY210" i="7"/>
  <c r="AY211" i="7"/>
  <c r="AY212" i="7"/>
  <c r="AY213" i="7"/>
  <c r="AY214" i="7"/>
  <c r="AY215" i="7"/>
  <c r="AY216" i="7"/>
  <c r="AY217" i="7"/>
  <c r="AY218" i="7"/>
  <c r="AY219" i="7"/>
  <c r="AY220" i="7"/>
  <c r="AY221" i="7"/>
  <c r="AY222" i="7"/>
  <c r="AY223" i="7"/>
  <c r="AY224" i="7"/>
  <c r="AY225" i="7"/>
  <c r="AY226" i="7"/>
  <c r="AY227" i="7"/>
  <c r="AZ180" i="7"/>
  <c r="AZ181" i="7"/>
  <c r="AZ182" i="7"/>
  <c r="AZ183" i="7"/>
  <c r="AZ184" i="7"/>
  <c r="AZ185" i="7"/>
  <c r="AZ186" i="7"/>
  <c r="AZ187" i="7"/>
  <c r="AZ188" i="7"/>
  <c r="AZ189" i="7"/>
  <c r="AZ190" i="7"/>
  <c r="AZ191" i="7"/>
  <c r="AZ192" i="7"/>
  <c r="AZ193" i="7"/>
  <c r="AZ194" i="7"/>
  <c r="AZ195" i="7"/>
  <c r="AZ196" i="7"/>
  <c r="AZ197" i="7"/>
  <c r="AZ198" i="7"/>
  <c r="AZ199" i="7"/>
  <c r="AZ200" i="7"/>
  <c r="AZ201" i="7"/>
  <c r="AZ202" i="7"/>
  <c r="AZ203" i="7"/>
  <c r="AZ204" i="7"/>
  <c r="AZ205" i="7"/>
  <c r="AZ206" i="7"/>
  <c r="AZ207" i="7"/>
  <c r="AZ208" i="7"/>
  <c r="AZ209" i="7"/>
  <c r="AZ210" i="7"/>
  <c r="AZ211" i="7"/>
  <c r="AZ212" i="7"/>
  <c r="AZ213" i="7"/>
  <c r="AZ214" i="7"/>
  <c r="AZ215" i="7"/>
  <c r="AZ216" i="7"/>
  <c r="AZ217" i="7"/>
  <c r="AZ218" i="7"/>
  <c r="AZ219" i="7"/>
  <c r="AZ220" i="7"/>
  <c r="AZ221" i="7"/>
  <c r="AZ222" i="7"/>
  <c r="AZ223" i="7"/>
  <c r="AZ224" i="7"/>
  <c r="AZ225" i="7"/>
  <c r="AZ226" i="7"/>
  <c r="AZ227" i="7"/>
  <c r="BA180" i="7"/>
  <c r="BA181" i="7"/>
  <c r="BA182" i="7"/>
  <c r="BA183" i="7"/>
  <c r="BA184" i="7"/>
  <c r="BA185" i="7"/>
  <c r="BA186" i="7"/>
  <c r="BA187" i="7"/>
  <c r="BA188" i="7"/>
  <c r="BA189" i="7"/>
  <c r="BA190" i="7"/>
  <c r="BA191" i="7"/>
  <c r="BA192" i="7"/>
  <c r="BA193" i="7"/>
  <c r="BA194" i="7"/>
  <c r="BA195" i="7"/>
  <c r="BA196" i="7"/>
  <c r="BA197" i="7"/>
  <c r="BA198" i="7"/>
  <c r="BA199" i="7"/>
  <c r="BA200" i="7"/>
  <c r="BA201" i="7"/>
  <c r="BA202" i="7"/>
  <c r="BA203" i="7"/>
  <c r="BA204" i="7"/>
  <c r="BA205" i="7"/>
  <c r="BA206" i="7"/>
  <c r="BA207" i="7"/>
  <c r="BA208" i="7"/>
  <c r="BA209" i="7"/>
  <c r="BA210" i="7"/>
  <c r="BA211" i="7"/>
  <c r="BA212" i="7"/>
  <c r="BA213" i="7"/>
  <c r="BA214" i="7"/>
  <c r="BA215" i="7"/>
  <c r="BA216" i="7"/>
  <c r="BA217" i="7"/>
  <c r="BA218" i="7"/>
  <c r="BA219" i="7"/>
  <c r="BA220" i="7"/>
  <c r="BA221" i="7"/>
  <c r="BA222" i="7"/>
  <c r="BA223" i="7"/>
  <c r="BA224" i="7"/>
  <c r="BA225" i="7"/>
  <c r="BA226" i="7"/>
  <c r="BA227" i="7"/>
  <c r="BB180" i="7"/>
  <c r="BB181" i="7"/>
  <c r="BB182" i="7"/>
  <c r="BB183" i="7"/>
  <c r="BB184" i="7"/>
  <c r="BB185" i="7"/>
  <c r="BB186" i="7"/>
  <c r="BB187" i="7"/>
  <c r="BB188" i="7"/>
  <c r="BB189" i="7"/>
  <c r="BB190" i="7"/>
  <c r="BB191" i="7"/>
  <c r="BB192" i="7"/>
  <c r="BB193" i="7"/>
  <c r="BB194" i="7"/>
  <c r="BB195" i="7"/>
  <c r="BB196" i="7"/>
  <c r="BB197" i="7"/>
  <c r="BB198" i="7"/>
  <c r="BB199" i="7"/>
  <c r="BB200" i="7"/>
  <c r="BB201" i="7"/>
  <c r="BB202" i="7"/>
  <c r="BB203" i="7"/>
  <c r="BB204" i="7"/>
  <c r="BB205" i="7"/>
  <c r="BB206" i="7"/>
  <c r="BB207" i="7"/>
  <c r="BB208" i="7"/>
  <c r="BB209" i="7"/>
  <c r="BB210" i="7"/>
  <c r="BB211" i="7"/>
  <c r="BB212" i="7"/>
  <c r="BB213" i="7"/>
  <c r="BB214" i="7"/>
  <c r="BB215" i="7"/>
  <c r="BB216" i="7"/>
  <c r="BB217" i="7"/>
  <c r="BB218" i="7"/>
  <c r="BB219" i="7"/>
  <c r="BB220" i="7"/>
  <c r="BB221" i="7"/>
  <c r="BB222" i="7"/>
  <c r="BB223" i="7"/>
  <c r="BB224" i="7"/>
  <c r="BB225" i="7"/>
  <c r="BB226" i="7"/>
  <c r="BB227" i="7"/>
  <c r="BC180" i="7"/>
  <c r="BC181" i="7"/>
  <c r="BC182" i="7"/>
  <c r="BC183" i="7"/>
  <c r="BC184" i="7"/>
  <c r="BC185" i="7"/>
  <c r="BC186" i="7"/>
  <c r="BC187" i="7"/>
  <c r="BC188" i="7"/>
  <c r="BC189" i="7"/>
  <c r="BC190" i="7"/>
  <c r="BC191" i="7"/>
  <c r="BC192" i="7"/>
  <c r="BC193" i="7"/>
  <c r="BC194" i="7"/>
  <c r="BC195" i="7"/>
  <c r="BC196" i="7"/>
  <c r="BC197" i="7"/>
  <c r="BC198" i="7"/>
  <c r="BC199" i="7"/>
  <c r="BC200" i="7"/>
  <c r="BC201" i="7"/>
  <c r="BC202" i="7"/>
  <c r="BC203" i="7"/>
  <c r="BC204" i="7"/>
  <c r="BC205" i="7"/>
  <c r="BC206" i="7"/>
  <c r="BC207" i="7"/>
  <c r="BC208" i="7"/>
  <c r="BC209" i="7"/>
  <c r="BC210" i="7"/>
  <c r="BC211" i="7"/>
  <c r="BC212" i="7"/>
  <c r="BC213" i="7"/>
  <c r="BC214" i="7"/>
  <c r="BC215" i="7"/>
  <c r="BC216" i="7"/>
  <c r="BC217" i="7"/>
  <c r="BC218" i="7"/>
  <c r="BC219" i="7"/>
  <c r="BC220" i="7"/>
  <c r="BC221" i="7"/>
  <c r="BC222" i="7"/>
  <c r="BC223" i="7"/>
  <c r="BC224" i="7"/>
  <c r="BC225" i="7"/>
  <c r="BC226" i="7"/>
  <c r="BC227" i="7"/>
  <c r="BD180" i="7"/>
  <c r="BD181" i="7"/>
  <c r="BD182" i="7"/>
  <c r="BD183" i="7"/>
  <c r="BD184" i="7"/>
  <c r="BD185" i="7"/>
  <c r="BD186" i="7"/>
  <c r="BD187" i="7"/>
  <c r="BD188" i="7"/>
  <c r="BD189" i="7"/>
  <c r="BD190" i="7"/>
  <c r="BD191" i="7"/>
  <c r="BD192" i="7"/>
  <c r="BD193" i="7"/>
  <c r="BD194" i="7"/>
  <c r="BD195" i="7"/>
  <c r="BD196" i="7"/>
  <c r="BD197" i="7"/>
  <c r="BD198" i="7"/>
  <c r="BD199" i="7"/>
  <c r="BD200" i="7"/>
  <c r="BD201" i="7"/>
  <c r="BD202" i="7"/>
  <c r="BD203" i="7"/>
  <c r="BD204" i="7"/>
  <c r="BD205" i="7"/>
  <c r="BD206" i="7"/>
  <c r="BD207" i="7"/>
  <c r="BD208" i="7"/>
  <c r="BD209" i="7"/>
  <c r="BD210" i="7"/>
  <c r="BD211" i="7"/>
  <c r="BD212" i="7"/>
  <c r="BD213" i="7"/>
  <c r="BD214" i="7"/>
  <c r="BD215" i="7"/>
  <c r="BD216" i="7"/>
  <c r="BD217" i="7"/>
  <c r="BD218" i="7"/>
  <c r="BD219" i="7"/>
  <c r="BD220" i="7"/>
  <c r="BD221" i="7"/>
  <c r="BD222" i="7"/>
  <c r="BD223" i="7"/>
  <c r="BD224" i="7"/>
  <c r="BD225" i="7"/>
  <c r="BD226" i="7"/>
  <c r="BD227" i="7"/>
  <c r="BE180" i="7"/>
  <c r="BE181" i="7"/>
  <c r="BE182" i="7"/>
  <c r="BE183" i="7"/>
  <c r="BE184" i="7"/>
  <c r="BE185" i="7"/>
  <c r="BE186" i="7"/>
  <c r="BE187" i="7"/>
  <c r="BE188" i="7"/>
  <c r="BE189" i="7"/>
  <c r="BE190" i="7"/>
  <c r="BE191" i="7"/>
  <c r="BE192" i="7"/>
  <c r="BE193" i="7"/>
  <c r="BE194" i="7"/>
  <c r="BE195" i="7"/>
  <c r="BE196" i="7"/>
  <c r="BE197" i="7"/>
  <c r="BE198" i="7"/>
  <c r="BE199" i="7"/>
  <c r="BE200" i="7"/>
  <c r="BE201" i="7"/>
  <c r="BE202" i="7"/>
  <c r="BE203" i="7"/>
  <c r="BE204" i="7"/>
  <c r="BE205" i="7"/>
  <c r="BE206" i="7"/>
  <c r="BE207" i="7"/>
  <c r="BE208" i="7"/>
  <c r="BE209" i="7"/>
  <c r="BE210" i="7"/>
  <c r="BE211" i="7"/>
  <c r="BE212" i="7"/>
  <c r="BE213" i="7"/>
  <c r="BE214" i="7"/>
  <c r="BE215" i="7"/>
  <c r="BE216" i="7"/>
  <c r="BE217" i="7"/>
  <c r="BE218" i="7"/>
  <c r="BE219" i="7"/>
  <c r="BE220" i="7"/>
  <c r="BE221" i="7"/>
  <c r="BE222" i="7"/>
  <c r="BE223" i="7"/>
  <c r="BE224" i="7"/>
  <c r="BE225" i="7"/>
  <c r="BE226" i="7"/>
  <c r="BE227" i="7"/>
  <c r="BF180" i="7"/>
  <c r="BF181" i="7"/>
  <c r="BF182" i="7"/>
  <c r="BF183" i="7"/>
  <c r="BF184" i="7"/>
  <c r="BF185" i="7"/>
  <c r="BF186" i="7"/>
  <c r="BF187" i="7"/>
  <c r="BF188" i="7"/>
  <c r="BF189" i="7"/>
  <c r="BF190" i="7"/>
  <c r="BF191" i="7"/>
  <c r="BF192" i="7"/>
  <c r="BF193" i="7"/>
  <c r="BF194" i="7"/>
  <c r="BF195" i="7"/>
  <c r="BF196" i="7"/>
  <c r="BF197" i="7"/>
  <c r="BF198" i="7"/>
  <c r="BF199" i="7"/>
  <c r="BF200" i="7"/>
  <c r="BF201" i="7"/>
  <c r="BF202" i="7"/>
  <c r="BF203" i="7"/>
  <c r="BF204" i="7"/>
  <c r="BF205" i="7"/>
  <c r="BF206" i="7"/>
  <c r="BF207" i="7"/>
  <c r="BF208" i="7"/>
  <c r="BF209" i="7"/>
  <c r="BF210" i="7"/>
  <c r="BF211" i="7"/>
  <c r="BF212" i="7"/>
  <c r="BF213" i="7"/>
  <c r="BF214" i="7"/>
  <c r="BF215" i="7"/>
  <c r="BF216" i="7"/>
  <c r="BF217" i="7"/>
  <c r="BF218" i="7"/>
  <c r="BF219" i="7"/>
  <c r="BF220" i="7"/>
  <c r="BF221" i="7"/>
  <c r="BF222" i="7"/>
  <c r="BF223" i="7"/>
  <c r="BF224" i="7"/>
  <c r="BF225" i="7"/>
  <c r="BF226" i="7"/>
  <c r="BF227" i="7"/>
  <c r="BG180" i="7"/>
  <c r="BG181" i="7"/>
  <c r="BG182" i="7"/>
  <c r="BG183" i="7"/>
  <c r="BG184" i="7"/>
  <c r="BG185" i="7"/>
  <c r="BG186" i="7"/>
  <c r="BG187" i="7"/>
  <c r="BG188" i="7"/>
  <c r="BG189" i="7"/>
  <c r="BG190" i="7"/>
  <c r="BG191" i="7"/>
  <c r="BG192" i="7"/>
  <c r="BG193" i="7"/>
  <c r="BG194" i="7"/>
  <c r="BG195" i="7"/>
  <c r="BG196" i="7"/>
  <c r="BG197" i="7"/>
  <c r="BG198" i="7"/>
  <c r="BG199" i="7"/>
  <c r="BG200" i="7"/>
  <c r="BG201" i="7"/>
  <c r="BG202" i="7"/>
  <c r="BG203" i="7"/>
  <c r="BG204" i="7"/>
  <c r="BG205" i="7"/>
  <c r="BG206" i="7"/>
  <c r="BG207" i="7"/>
  <c r="BG208" i="7"/>
  <c r="BG209" i="7"/>
  <c r="BG210" i="7"/>
  <c r="BG211" i="7"/>
  <c r="BG212" i="7"/>
  <c r="BG213" i="7"/>
  <c r="BG214" i="7"/>
  <c r="BG215" i="7"/>
  <c r="BG216" i="7"/>
  <c r="BG217" i="7"/>
  <c r="BG218" i="7"/>
  <c r="BG219" i="7"/>
  <c r="BG220" i="7"/>
  <c r="BG221" i="7"/>
  <c r="BG222" i="7"/>
  <c r="BG223" i="7"/>
  <c r="BG224" i="7"/>
  <c r="BG225" i="7"/>
  <c r="BG226" i="7"/>
  <c r="BG227" i="7"/>
  <c r="BH180" i="7"/>
  <c r="BH181" i="7"/>
  <c r="BH182" i="7"/>
  <c r="BH183" i="7"/>
  <c r="BH184" i="7"/>
  <c r="BH185" i="7"/>
  <c r="BH186" i="7"/>
  <c r="BH187" i="7"/>
  <c r="BH188" i="7"/>
  <c r="BH189" i="7"/>
  <c r="BH190" i="7"/>
  <c r="BH191" i="7"/>
  <c r="BH192" i="7"/>
  <c r="BH193" i="7"/>
  <c r="BH194" i="7"/>
  <c r="BH195" i="7"/>
  <c r="BH196" i="7"/>
  <c r="BH197" i="7"/>
  <c r="BH198" i="7"/>
  <c r="BH199" i="7"/>
  <c r="BH200" i="7"/>
  <c r="BH201" i="7"/>
  <c r="BH202" i="7"/>
  <c r="BH203" i="7"/>
  <c r="BH204" i="7"/>
  <c r="BH205" i="7"/>
  <c r="BH206" i="7"/>
  <c r="BH207" i="7"/>
  <c r="BH208" i="7"/>
  <c r="BH209" i="7"/>
  <c r="BH210" i="7"/>
  <c r="BH211" i="7"/>
  <c r="BH212" i="7"/>
  <c r="BH213" i="7"/>
  <c r="BH214" i="7"/>
  <c r="BH215" i="7"/>
  <c r="BH216" i="7"/>
  <c r="BH217" i="7"/>
  <c r="BH218" i="7"/>
  <c r="BH219" i="7"/>
  <c r="BH220" i="7"/>
  <c r="BH221" i="7"/>
  <c r="BH222" i="7"/>
  <c r="BH223" i="7"/>
  <c r="BH224" i="7"/>
  <c r="BH225" i="7"/>
  <c r="BH226" i="7"/>
  <c r="BH227" i="7"/>
  <c r="BI180" i="7"/>
  <c r="BI181" i="7"/>
  <c r="BI182" i="7"/>
  <c r="BI183" i="7"/>
  <c r="BI184" i="7"/>
  <c r="BI185" i="7"/>
  <c r="BI186" i="7"/>
  <c r="BI187" i="7"/>
  <c r="BI188" i="7"/>
  <c r="BI189" i="7"/>
  <c r="BI190" i="7"/>
  <c r="BI191" i="7"/>
  <c r="BI192" i="7"/>
  <c r="BI193" i="7"/>
  <c r="BI194" i="7"/>
  <c r="BI195" i="7"/>
  <c r="BI196" i="7"/>
  <c r="BI197" i="7"/>
  <c r="BI198" i="7"/>
  <c r="BI199" i="7"/>
  <c r="BI200" i="7"/>
  <c r="BI201" i="7"/>
  <c r="BI202" i="7"/>
  <c r="BI203" i="7"/>
  <c r="BI204" i="7"/>
  <c r="BI205" i="7"/>
  <c r="BI206" i="7"/>
  <c r="BI207" i="7"/>
  <c r="BI208" i="7"/>
  <c r="BI209" i="7"/>
  <c r="BI210" i="7"/>
  <c r="BI211" i="7"/>
  <c r="BI212" i="7"/>
  <c r="BI213" i="7"/>
  <c r="BI214" i="7"/>
  <c r="BI215" i="7"/>
  <c r="BI216" i="7"/>
  <c r="BI217" i="7"/>
  <c r="BI218" i="7"/>
  <c r="BI219" i="7"/>
  <c r="BI220" i="7"/>
  <c r="BI221" i="7"/>
  <c r="BI222" i="7"/>
  <c r="BI223" i="7"/>
  <c r="BI224" i="7"/>
  <c r="BI225" i="7"/>
  <c r="BI226" i="7"/>
  <c r="BI227" i="7"/>
  <c r="BJ180" i="7"/>
  <c r="BJ181" i="7"/>
  <c r="BJ182" i="7"/>
  <c r="BJ183" i="7"/>
  <c r="BJ184" i="7"/>
  <c r="BJ185" i="7"/>
  <c r="BJ186" i="7"/>
  <c r="BJ187" i="7"/>
  <c r="BJ188" i="7"/>
  <c r="BJ189" i="7"/>
  <c r="BJ190" i="7"/>
  <c r="BJ191" i="7"/>
  <c r="BJ192" i="7"/>
  <c r="BJ193" i="7"/>
  <c r="BJ194" i="7"/>
  <c r="BJ195" i="7"/>
  <c r="BJ196" i="7"/>
  <c r="BJ197" i="7"/>
  <c r="BJ198" i="7"/>
  <c r="BJ199" i="7"/>
  <c r="BJ200" i="7"/>
  <c r="BJ201" i="7"/>
  <c r="BJ202" i="7"/>
  <c r="BJ203" i="7"/>
  <c r="BJ204" i="7"/>
  <c r="BJ205" i="7"/>
  <c r="BJ206" i="7"/>
  <c r="BJ207" i="7"/>
  <c r="BJ208" i="7"/>
  <c r="BJ209" i="7"/>
  <c r="BJ210" i="7"/>
  <c r="BJ211" i="7"/>
  <c r="BJ212" i="7"/>
  <c r="BJ213" i="7"/>
  <c r="BJ214" i="7"/>
  <c r="BJ215" i="7"/>
  <c r="BJ216" i="7"/>
  <c r="BJ217" i="7"/>
  <c r="BJ218" i="7"/>
  <c r="BJ219" i="7"/>
  <c r="BJ220" i="7"/>
  <c r="BJ221" i="7"/>
  <c r="BJ222" i="7"/>
  <c r="BJ223" i="7"/>
  <c r="BJ224" i="7"/>
  <c r="BJ225" i="7"/>
  <c r="BJ226" i="7"/>
  <c r="BJ227" i="7"/>
  <c r="BK180" i="7"/>
  <c r="BK181" i="7"/>
  <c r="BK182" i="7"/>
  <c r="BK183" i="7"/>
  <c r="BK184" i="7"/>
  <c r="BK185" i="7"/>
  <c r="BK186" i="7"/>
  <c r="BK187" i="7"/>
  <c r="BK188" i="7"/>
  <c r="BK189" i="7"/>
  <c r="BK190" i="7"/>
  <c r="BK191" i="7"/>
  <c r="BK192" i="7"/>
  <c r="BK193" i="7"/>
  <c r="BK194" i="7"/>
  <c r="BK195" i="7"/>
  <c r="BK196" i="7"/>
  <c r="BK197" i="7"/>
  <c r="BK198" i="7"/>
  <c r="BK199" i="7"/>
  <c r="BK200" i="7"/>
  <c r="BK201" i="7"/>
  <c r="BK202" i="7"/>
  <c r="BK203" i="7"/>
  <c r="BK204" i="7"/>
  <c r="BK205" i="7"/>
  <c r="BK206" i="7"/>
  <c r="BK207" i="7"/>
  <c r="BK208" i="7"/>
  <c r="BK209" i="7"/>
  <c r="BK210" i="7"/>
  <c r="BK211" i="7"/>
  <c r="BK212" i="7"/>
  <c r="BK213" i="7"/>
  <c r="BK214" i="7"/>
  <c r="BK215" i="7"/>
  <c r="BK216" i="7"/>
  <c r="BK217" i="7"/>
  <c r="BK218" i="7"/>
  <c r="BK219" i="7"/>
  <c r="BK220" i="7"/>
  <c r="BK221" i="7"/>
  <c r="BK222" i="7"/>
  <c r="BK223" i="7"/>
  <c r="BK224" i="7"/>
  <c r="BK225" i="7"/>
  <c r="BK226" i="7"/>
  <c r="BK227" i="7"/>
  <c r="BP189" i="7"/>
  <c r="BO196" i="7"/>
  <c r="BO195" i="7"/>
  <c r="BM195" i="7"/>
  <c r="BM196" i="7"/>
  <c r="BP196" i="7"/>
  <c r="BO203" i="7"/>
  <c r="BO202" i="7"/>
  <c r="BM202" i="7"/>
  <c r="BM203" i="7"/>
  <c r="BP203" i="7"/>
  <c r="BO210" i="7"/>
  <c r="BO209" i="7"/>
  <c r="BM209" i="7"/>
  <c r="BM210" i="7"/>
  <c r="BP210" i="7"/>
  <c r="BO246" i="7"/>
  <c r="BO245" i="7"/>
  <c r="BM245" i="7"/>
  <c r="BM246" i="7"/>
  <c r="AX237" i="7"/>
  <c r="AX238" i="7"/>
  <c r="AX239" i="7"/>
  <c r="AX240" i="7"/>
  <c r="AX241" i="7"/>
  <c r="AX242" i="7"/>
  <c r="AX243" i="7"/>
  <c r="AX244" i="7"/>
  <c r="AX245" i="7"/>
  <c r="AX246" i="7"/>
  <c r="AX247" i="7"/>
  <c r="AX248" i="7"/>
  <c r="AX249" i="7"/>
  <c r="AX250" i="7"/>
  <c r="AX251" i="7"/>
  <c r="AX252" i="7"/>
  <c r="AX253" i="7"/>
  <c r="AX254" i="7"/>
  <c r="AX255" i="7"/>
  <c r="AX256" i="7"/>
  <c r="AX257" i="7"/>
  <c r="AX258" i="7"/>
  <c r="AX259" i="7"/>
  <c r="AX260" i="7"/>
  <c r="AX261" i="7"/>
  <c r="AX262" i="7"/>
  <c r="AX263" i="7"/>
  <c r="AX264" i="7"/>
  <c r="AX265" i="7"/>
  <c r="AX266" i="7"/>
  <c r="AX267" i="7"/>
  <c r="AX268" i="7"/>
  <c r="AX269" i="7"/>
  <c r="AX270" i="7"/>
  <c r="AX271" i="7"/>
  <c r="AX272" i="7"/>
  <c r="AX273" i="7"/>
  <c r="AX274" i="7"/>
  <c r="AX275" i="7"/>
  <c r="AX276" i="7"/>
  <c r="AX277" i="7"/>
  <c r="AX278" i="7"/>
  <c r="AX279" i="7"/>
  <c r="AX280" i="7"/>
  <c r="AX281" i="7"/>
  <c r="AX282" i="7"/>
  <c r="AX283" i="7"/>
  <c r="AX284" i="7"/>
  <c r="AY237" i="7"/>
  <c r="AY238" i="7"/>
  <c r="AY239" i="7"/>
  <c r="AY240" i="7"/>
  <c r="AY241" i="7"/>
  <c r="AY242" i="7"/>
  <c r="AY243" i="7"/>
  <c r="AY244" i="7"/>
  <c r="AY245" i="7"/>
  <c r="AY246" i="7"/>
  <c r="AY247" i="7"/>
  <c r="AY248" i="7"/>
  <c r="AY249" i="7"/>
  <c r="AY250" i="7"/>
  <c r="AY251" i="7"/>
  <c r="AY252" i="7"/>
  <c r="AY253" i="7"/>
  <c r="AY254" i="7"/>
  <c r="AY255" i="7"/>
  <c r="AY256" i="7"/>
  <c r="AY257" i="7"/>
  <c r="AY258" i="7"/>
  <c r="AY259" i="7"/>
  <c r="AY260" i="7"/>
  <c r="AY261" i="7"/>
  <c r="AY262" i="7"/>
  <c r="AY263" i="7"/>
  <c r="AY264" i="7"/>
  <c r="AY265" i="7"/>
  <c r="AY266" i="7"/>
  <c r="AY267" i="7"/>
  <c r="AY268" i="7"/>
  <c r="AY269" i="7"/>
  <c r="AY270" i="7"/>
  <c r="AY271" i="7"/>
  <c r="AY272" i="7"/>
  <c r="AY273" i="7"/>
  <c r="AY274" i="7"/>
  <c r="AY275" i="7"/>
  <c r="AY276" i="7"/>
  <c r="AY277" i="7"/>
  <c r="AY278" i="7"/>
  <c r="AY279" i="7"/>
  <c r="AY280" i="7"/>
  <c r="AY281" i="7"/>
  <c r="AY282" i="7"/>
  <c r="AY283" i="7"/>
  <c r="AY284" i="7"/>
  <c r="AZ237" i="7"/>
  <c r="AZ238" i="7"/>
  <c r="AZ239" i="7"/>
  <c r="AZ240" i="7"/>
  <c r="AZ241" i="7"/>
  <c r="AZ242" i="7"/>
  <c r="AZ243" i="7"/>
  <c r="AZ244" i="7"/>
  <c r="AZ245" i="7"/>
  <c r="AZ246" i="7"/>
  <c r="AZ247" i="7"/>
  <c r="AZ248" i="7"/>
  <c r="AZ249" i="7"/>
  <c r="AZ250" i="7"/>
  <c r="AZ251" i="7"/>
  <c r="AZ252" i="7"/>
  <c r="AZ253" i="7"/>
  <c r="AZ254" i="7"/>
  <c r="AZ255" i="7"/>
  <c r="AZ256" i="7"/>
  <c r="AZ257" i="7"/>
  <c r="AZ258" i="7"/>
  <c r="AZ259" i="7"/>
  <c r="AZ260" i="7"/>
  <c r="AZ261" i="7"/>
  <c r="AZ262" i="7"/>
  <c r="AZ263" i="7"/>
  <c r="AZ264" i="7"/>
  <c r="AZ265" i="7"/>
  <c r="AZ266" i="7"/>
  <c r="AZ267" i="7"/>
  <c r="AZ268" i="7"/>
  <c r="AZ269" i="7"/>
  <c r="AZ270" i="7"/>
  <c r="AZ271" i="7"/>
  <c r="AZ272" i="7"/>
  <c r="AZ273" i="7"/>
  <c r="AZ274" i="7"/>
  <c r="AZ275" i="7"/>
  <c r="AZ276" i="7"/>
  <c r="AZ277" i="7"/>
  <c r="AZ278" i="7"/>
  <c r="AZ279" i="7"/>
  <c r="AZ280" i="7"/>
  <c r="AZ281" i="7"/>
  <c r="AZ282" i="7"/>
  <c r="AZ283" i="7"/>
  <c r="AZ284" i="7"/>
  <c r="BA237" i="7"/>
  <c r="BA238" i="7"/>
  <c r="BA239" i="7"/>
  <c r="BA240" i="7"/>
  <c r="BA241" i="7"/>
  <c r="BA242" i="7"/>
  <c r="BA243" i="7"/>
  <c r="BA244" i="7"/>
  <c r="BA245" i="7"/>
  <c r="BA246" i="7"/>
  <c r="BA247" i="7"/>
  <c r="BA248" i="7"/>
  <c r="BA249" i="7"/>
  <c r="BA250" i="7"/>
  <c r="BA251" i="7"/>
  <c r="BA252" i="7"/>
  <c r="BA253" i="7"/>
  <c r="BA254" i="7"/>
  <c r="BA255" i="7"/>
  <c r="BA256" i="7"/>
  <c r="BA257" i="7"/>
  <c r="BA258" i="7"/>
  <c r="BA259" i="7"/>
  <c r="BA260" i="7"/>
  <c r="BA261" i="7"/>
  <c r="BA262" i="7"/>
  <c r="BA263" i="7"/>
  <c r="BA264" i="7"/>
  <c r="BA265" i="7"/>
  <c r="BA266" i="7"/>
  <c r="BA267" i="7"/>
  <c r="BA268" i="7"/>
  <c r="BA269" i="7"/>
  <c r="BA270" i="7"/>
  <c r="BA271" i="7"/>
  <c r="BA272" i="7"/>
  <c r="BA273" i="7"/>
  <c r="BA274" i="7"/>
  <c r="BA275" i="7"/>
  <c r="BA276" i="7"/>
  <c r="BA277" i="7"/>
  <c r="BA278" i="7"/>
  <c r="BA279" i="7"/>
  <c r="BA280" i="7"/>
  <c r="BA281" i="7"/>
  <c r="BA282" i="7"/>
  <c r="BA283" i="7"/>
  <c r="BA284" i="7"/>
  <c r="BB237" i="7"/>
  <c r="BB238" i="7"/>
  <c r="BB239" i="7"/>
  <c r="BB240" i="7"/>
  <c r="BB241" i="7"/>
  <c r="BB242" i="7"/>
  <c r="BB243" i="7"/>
  <c r="BB244" i="7"/>
  <c r="BB245" i="7"/>
  <c r="BB246" i="7"/>
  <c r="BB247" i="7"/>
  <c r="BB248" i="7"/>
  <c r="BB249" i="7"/>
  <c r="BB250" i="7"/>
  <c r="BB251" i="7"/>
  <c r="BB252" i="7"/>
  <c r="BB253" i="7"/>
  <c r="BB254" i="7"/>
  <c r="BB255" i="7"/>
  <c r="BB256" i="7"/>
  <c r="BB257" i="7"/>
  <c r="BB258" i="7"/>
  <c r="BB259" i="7"/>
  <c r="BB260" i="7"/>
  <c r="BB261" i="7"/>
  <c r="BB262" i="7"/>
  <c r="BB263" i="7"/>
  <c r="BB264" i="7"/>
  <c r="BB265" i="7"/>
  <c r="BB266" i="7"/>
  <c r="BB267" i="7"/>
  <c r="BB268" i="7"/>
  <c r="BB269" i="7"/>
  <c r="BB270" i="7"/>
  <c r="BB271" i="7"/>
  <c r="BB272" i="7"/>
  <c r="BB273" i="7"/>
  <c r="BB274" i="7"/>
  <c r="BB275" i="7"/>
  <c r="BB276" i="7"/>
  <c r="BB277" i="7"/>
  <c r="BB278" i="7"/>
  <c r="BB279" i="7"/>
  <c r="BB280" i="7"/>
  <c r="BB281" i="7"/>
  <c r="BB282" i="7"/>
  <c r="BB283" i="7"/>
  <c r="BB284" i="7"/>
  <c r="BC237" i="7"/>
  <c r="BC238" i="7"/>
  <c r="BC239" i="7"/>
  <c r="BC240" i="7"/>
  <c r="BC241" i="7"/>
  <c r="BC242" i="7"/>
  <c r="BC243" i="7"/>
  <c r="BC244" i="7"/>
  <c r="BC245" i="7"/>
  <c r="BC246" i="7"/>
  <c r="BC247" i="7"/>
  <c r="BC248" i="7"/>
  <c r="BC249" i="7"/>
  <c r="BC250" i="7"/>
  <c r="BC251" i="7"/>
  <c r="BC252" i="7"/>
  <c r="BC253" i="7"/>
  <c r="BC254" i="7"/>
  <c r="BC255" i="7"/>
  <c r="BC256" i="7"/>
  <c r="BC257" i="7"/>
  <c r="BC258" i="7"/>
  <c r="BC259" i="7"/>
  <c r="BC260" i="7"/>
  <c r="BC261" i="7"/>
  <c r="BC262" i="7"/>
  <c r="BC263" i="7"/>
  <c r="BC264" i="7"/>
  <c r="BC265" i="7"/>
  <c r="BC266" i="7"/>
  <c r="BC267" i="7"/>
  <c r="BC268" i="7"/>
  <c r="BC269" i="7"/>
  <c r="BC270" i="7"/>
  <c r="BC271" i="7"/>
  <c r="BC272" i="7"/>
  <c r="BC273" i="7"/>
  <c r="BC274" i="7"/>
  <c r="BC275" i="7"/>
  <c r="BC276" i="7"/>
  <c r="BC277" i="7"/>
  <c r="BC278" i="7"/>
  <c r="BC279" i="7"/>
  <c r="BC280" i="7"/>
  <c r="BC281" i="7"/>
  <c r="BC282" i="7"/>
  <c r="BC283" i="7"/>
  <c r="BC284" i="7"/>
  <c r="BD237" i="7"/>
  <c r="BD238" i="7"/>
  <c r="BD239" i="7"/>
  <c r="BD240" i="7"/>
  <c r="BD241" i="7"/>
  <c r="BD242" i="7"/>
  <c r="BD243" i="7"/>
  <c r="BD244" i="7"/>
  <c r="BD245" i="7"/>
  <c r="BD246" i="7"/>
  <c r="BD247" i="7"/>
  <c r="BD248" i="7"/>
  <c r="BD249" i="7"/>
  <c r="BD250" i="7"/>
  <c r="BD251" i="7"/>
  <c r="BD252" i="7"/>
  <c r="BD253" i="7"/>
  <c r="BD254" i="7"/>
  <c r="BD255" i="7"/>
  <c r="BD256" i="7"/>
  <c r="BD257" i="7"/>
  <c r="BD258" i="7"/>
  <c r="BD259" i="7"/>
  <c r="BD260" i="7"/>
  <c r="BD261" i="7"/>
  <c r="BD262" i="7"/>
  <c r="BD263" i="7"/>
  <c r="BD264" i="7"/>
  <c r="BD265" i="7"/>
  <c r="BD266" i="7"/>
  <c r="BD267" i="7"/>
  <c r="BD268" i="7"/>
  <c r="BD269" i="7"/>
  <c r="BD270" i="7"/>
  <c r="BD271" i="7"/>
  <c r="BD272" i="7"/>
  <c r="BD273" i="7"/>
  <c r="BD274" i="7"/>
  <c r="BD275" i="7"/>
  <c r="BD276" i="7"/>
  <c r="BD277" i="7"/>
  <c r="BD278" i="7"/>
  <c r="BD279" i="7"/>
  <c r="BD280" i="7"/>
  <c r="BD281" i="7"/>
  <c r="BD282" i="7"/>
  <c r="BD283" i="7"/>
  <c r="BD284" i="7"/>
  <c r="BE237" i="7"/>
  <c r="BE238" i="7"/>
  <c r="BE239" i="7"/>
  <c r="BE240" i="7"/>
  <c r="BE241" i="7"/>
  <c r="BE242" i="7"/>
  <c r="BE243" i="7"/>
  <c r="BE244" i="7"/>
  <c r="BE245" i="7"/>
  <c r="BE246" i="7"/>
  <c r="BE247" i="7"/>
  <c r="BE248" i="7"/>
  <c r="BE249" i="7"/>
  <c r="BE250" i="7"/>
  <c r="BE251" i="7"/>
  <c r="BE252" i="7"/>
  <c r="BE253" i="7"/>
  <c r="BE254" i="7"/>
  <c r="BE255" i="7"/>
  <c r="BE256" i="7"/>
  <c r="BE257" i="7"/>
  <c r="BE258" i="7"/>
  <c r="BE259" i="7"/>
  <c r="BE260" i="7"/>
  <c r="BE261" i="7"/>
  <c r="BE262" i="7"/>
  <c r="BE263" i="7"/>
  <c r="BE264" i="7"/>
  <c r="BE265" i="7"/>
  <c r="BE266" i="7"/>
  <c r="BE267" i="7"/>
  <c r="BE268" i="7"/>
  <c r="BE269" i="7"/>
  <c r="BE270" i="7"/>
  <c r="BE271" i="7"/>
  <c r="BE272" i="7"/>
  <c r="BE273" i="7"/>
  <c r="BE274" i="7"/>
  <c r="BE275" i="7"/>
  <c r="BE276" i="7"/>
  <c r="BE277" i="7"/>
  <c r="BE278" i="7"/>
  <c r="BE279" i="7"/>
  <c r="BE280" i="7"/>
  <c r="BE281" i="7"/>
  <c r="BE282" i="7"/>
  <c r="BE283" i="7"/>
  <c r="BE284" i="7"/>
  <c r="BF237" i="7"/>
  <c r="BF238" i="7"/>
  <c r="BF239" i="7"/>
  <c r="BF240" i="7"/>
  <c r="BF241" i="7"/>
  <c r="BF242" i="7"/>
  <c r="BF243" i="7"/>
  <c r="BF244" i="7"/>
  <c r="BF245" i="7"/>
  <c r="BF246" i="7"/>
  <c r="BF247" i="7"/>
  <c r="BF248" i="7"/>
  <c r="BF249" i="7"/>
  <c r="BF250" i="7"/>
  <c r="BF251" i="7"/>
  <c r="BF252" i="7"/>
  <c r="BF253" i="7"/>
  <c r="BF254" i="7"/>
  <c r="BF255" i="7"/>
  <c r="BF256" i="7"/>
  <c r="BF257" i="7"/>
  <c r="BF258" i="7"/>
  <c r="BF259" i="7"/>
  <c r="BF260" i="7"/>
  <c r="BF261" i="7"/>
  <c r="BF262" i="7"/>
  <c r="BF263" i="7"/>
  <c r="BF264" i="7"/>
  <c r="BF265" i="7"/>
  <c r="BF266" i="7"/>
  <c r="BF267" i="7"/>
  <c r="BF268" i="7"/>
  <c r="BF269" i="7"/>
  <c r="BF270" i="7"/>
  <c r="BF271" i="7"/>
  <c r="BF272" i="7"/>
  <c r="BF273" i="7"/>
  <c r="BF274" i="7"/>
  <c r="BF275" i="7"/>
  <c r="BF276" i="7"/>
  <c r="BF277" i="7"/>
  <c r="BF278" i="7"/>
  <c r="BF279" i="7"/>
  <c r="BF280" i="7"/>
  <c r="BF281" i="7"/>
  <c r="BF282" i="7"/>
  <c r="BF283" i="7"/>
  <c r="BF284" i="7"/>
  <c r="BG237" i="7"/>
  <c r="BG238" i="7"/>
  <c r="BG239" i="7"/>
  <c r="BG240" i="7"/>
  <c r="BG241" i="7"/>
  <c r="BG242" i="7"/>
  <c r="BG243" i="7"/>
  <c r="BG244" i="7"/>
  <c r="BG245" i="7"/>
  <c r="BG246" i="7"/>
  <c r="BG247" i="7"/>
  <c r="BG248" i="7"/>
  <c r="BG249" i="7"/>
  <c r="BG250" i="7"/>
  <c r="BG251" i="7"/>
  <c r="BG252" i="7"/>
  <c r="BG253" i="7"/>
  <c r="BG254" i="7"/>
  <c r="BG255" i="7"/>
  <c r="BG256" i="7"/>
  <c r="BG257" i="7"/>
  <c r="BG258" i="7"/>
  <c r="BG259" i="7"/>
  <c r="BG260" i="7"/>
  <c r="BG261" i="7"/>
  <c r="BG262" i="7"/>
  <c r="BG263" i="7"/>
  <c r="BG264" i="7"/>
  <c r="BG265" i="7"/>
  <c r="BG266" i="7"/>
  <c r="BG267" i="7"/>
  <c r="BG268" i="7"/>
  <c r="BG269" i="7"/>
  <c r="BG270" i="7"/>
  <c r="BG271" i="7"/>
  <c r="BG272" i="7"/>
  <c r="BG273" i="7"/>
  <c r="BG274" i="7"/>
  <c r="BG275" i="7"/>
  <c r="BG276" i="7"/>
  <c r="BG277" i="7"/>
  <c r="BG278" i="7"/>
  <c r="BG279" i="7"/>
  <c r="BG280" i="7"/>
  <c r="BG281" i="7"/>
  <c r="BG282" i="7"/>
  <c r="BG283" i="7"/>
  <c r="BG284" i="7"/>
  <c r="BH237" i="7"/>
  <c r="BH238" i="7"/>
  <c r="BH239" i="7"/>
  <c r="BH240" i="7"/>
  <c r="BH241" i="7"/>
  <c r="BH242" i="7"/>
  <c r="BH243" i="7"/>
  <c r="BH244" i="7"/>
  <c r="BH245" i="7"/>
  <c r="BH246" i="7"/>
  <c r="BH247" i="7"/>
  <c r="BH248" i="7"/>
  <c r="BH249" i="7"/>
  <c r="BH250" i="7"/>
  <c r="BH251" i="7"/>
  <c r="BH252" i="7"/>
  <c r="BH253" i="7"/>
  <c r="BH254" i="7"/>
  <c r="BH255" i="7"/>
  <c r="BH256" i="7"/>
  <c r="BH257" i="7"/>
  <c r="BH258" i="7"/>
  <c r="BH259" i="7"/>
  <c r="BH260" i="7"/>
  <c r="BH261" i="7"/>
  <c r="BH262" i="7"/>
  <c r="BH263" i="7"/>
  <c r="BH264" i="7"/>
  <c r="BH265" i="7"/>
  <c r="BH266" i="7"/>
  <c r="BH267" i="7"/>
  <c r="BH268" i="7"/>
  <c r="BH269" i="7"/>
  <c r="BH270" i="7"/>
  <c r="BH271" i="7"/>
  <c r="BH272" i="7"/>
  <c r="BH273" i="7"/>
  <c r="BH274" i="7"/>
  <c r="BH275" i="7"/>
  <c r="BH276" i="7"/>
  <c r="BH277" i="7"/>
  <c r="BH278" i="7"/>
  <c r="BH279" i="7"/>
  <c r="BH280" i="7"/>
  <c r="BH281" i="7"/>
  <c r="BH282" i="7"/>
  <c r="BH283" i="7"/>
  <c r="BH284" i="7"/>
  <c r="BI237" i="7"/>
  <c r="BI238" i="7"/>
  <c r="BI239" i="7"/>
  <c r="BI240" i="7"/>
  <c r="BI241" i="7"/>
  <c r="BI242" i="7"/>
  <c r="BI243" i="7"/>
  <c r="BI244" i="7"/>
  <c r="BI245" i="7"/>
  <c r="BI246" i="7"/>
  <c r="BI247" i="7"/>
  <c r="BI248" i="7"/>
  <c r="BI249" i="7"/>
  <c r="BI250" i="7"/>
  <c r="BI251" i="7"/>
  <c r="BI252" i="7"/>
  <c r="BI253" i="7"/>
  <c r="BI254" i="7"/>
  <c r="BI255" i="7"/>
  <c r="BI256" i="7"/>
  <c r="BI257" i="7"/>
  <c r="BI258" i="7"/>
  <c r="BI259" i="7"/>
  <c r="BI260" i="7"/>
  <c r="BI261" i="7"/>
  <c r="BI262" i="7"/>
  <c r="BI263" i="7"/>
  <c r="BI264" i="7"/>
  <c r="BI265" i="7"/>
  <c r="BI266" i="7"/>
  <c r="BI267" i="7"/>
  <c r="BI268" i="7"/>
  <c r="BI269" i="7"/>
  <c r="BI270" i="7"/>
  <c r="BI271" i="7"/>
  <c r="BI272" i="7"/>
  <c r="BI273" i="7"/>
  <c r="BI274" i="7"/>
  <c r="BI275" i="7"/>
  <c r="BI276" i="7"/>
  <c r="BI277" i="7"/>
  <c r="BI278" i="7"/>
  <c r="BI279" i="7"/>
  <c r="BI280" i="7"/>
  <c r="BI281" i="7"/>
  <c r="BI282" i="7"/>
  <c r="BI283" i="7"/>
  <c r="BI284" i="7"/>
  <c r="BJ237" i="7"/>
  <c r="BJ238" i="7"/>
  <c r="BJ239" i="7"/>
  <c r="BJ240" i="7"/>
  <c r="BJ241" i="7"/>
  <c r="BJ242" i="7"/>
  <c r="BJ243" i="7"/>
  <c r="BJ244" i="7"/>
  <c r="BJ245" i="7"/>
  <c r="BJ246" i="7"/>
  <c r="BJ247" i="7"/>
  <c r="BJ248" i="7"/>
  <c r="BJ249" i="7"/>
  <c r="BJ250" i="7"/>
  <c r="BJ251" i="7"/>
  <c r="BJ252" i="7"/>
  <c r="BJ253" i="7"/>
  <c r="BJ254" i="7"/>
  <c r="BJ255" i="7"/>
  <c r="BJ256" i="7"/>
  <c r="BJ257" i="7"/>
  <c r="BJ258" i="7"/>
  <c r="BJ259" i="7"/>
  <c r="BJ260" i="7"/>
  <c r="BJ261" i="7"/>
  <c r="BJ262" i="7"/>
  <c r="BJ263" i="7"/>
  <c r="BJ264" i="7"/>
  <c r="BJ265" i="7"/>
  <c r="BJ266" i="7"/>
  <c r="BJ267" i="7"/>
  <c r="BJ268" i="7"/>
  <c r="BJ269" i="7"/>
  <c r="BJ270" i="7"/>
  <c r="BJ271" i="7"/>
  <c r="BJ272" i="7"/>
  <c r="BJ273" i="7"/>
  <c r="BJ274" i="7"/>
  <c r="BJ275" i="7"/>
  <c r="BJ276" i="7"/>
  <c r="BJ277" i="7"/>
  <c r="BJ278" i="7"/>
  <c r="BJ279" i="7"/>
  <c r="BJ280" i="7"/>
  <c r="BJ281" i="7"/>
  <c r="BJ282" i="7"/>
  <c r="BJ283" i="7"/>
  <c r="BJ284" i="7"/>
  <c r="BK237" i="7"/>
  <c r="BK238" i="7"/>
  <c r="BK239" i="7"/>
  <c r="BK240" i="7"/>
  <c r="BK241" i="7"/>
  <c r="BK242" i="7"/>
  <c r="BK243" i="7"/>
  <c r="BK244" i="7"/>
  <c r="BK245" i="7"/>
  <c r="BK246" i="7"/>
  <c r="BK247" i="7"/>
  <c r="BK248" i="7"/>
  <c r="BK249" i="7"/>
  <c r="BK250" i="7"/>
  <c r="BK251" i="7"/>
  <c r="BK252" i="7"/>
  <c r="BK253" i="7"/>
  <c r="BK254" i="7"/>
  <c r="BK255" i="7"/>
  <c r="BK256" i="7"/>
  <c r="BK257" i="7"/>
  <c r="BK258" i="7"/>
  <c r="BK259" i="7"/>
  <c r="BK260" i="7"/>
  <c r="BK261" i="7"/>
  <c r="BK262" i="7"/>
  <c r="BK263" i="7"/>
  <c r="BK264" i="7"/>
  <c r="BK265" i="7"/>
  <c r="BK266" i="7"/>
  <c r="BK267" i="7"/>
  <c r="BK268" i="7"/>
  <c r="BK269" i="7"/>
  <c r="BK270" i="7"/>
  <c r="BK271" i="7"/>
  <c r="BK272" i="7"/>
  <c r="BK273" i="7"/>
  <c r="BK274" i="7"/>
  <c r="BK275" i="7"/>
  <c r="BK276" i="7"/>
  <c r="BK277" i="7"/>
  <c r="BK278" i="7"/>
  <c r="BK279" i="7"/>
  <c r="BK280" i="7"/>
  <c r="BK281" i="7"/>
  <c r="BK282" i="7"/>
  <c r="BK283" i="7"/>
  <c r="BK284" i="7"/>
  <c r="BP246" i="7"/>
  <c r="BO253" i="7"/>
  <c r="BO252" i="7"/>
  <c r="BM252" i="7"/>
  <c r="BM253" i="7"/>
  <c r="BP253" i="7"/>
  <c r="BO260" i="7"/>
  <c r="BO259" i="7"/>
  <c r="BM259" i="7"/>
  <c r="BM260" i="7"/>
  <c r="BP260" i="7"/>
  <c r="BO267" i="7"/>
  <c r="BO266" i="7"/>
  <c r="BM266" i="7"/>
  <c r="BM267" i="7"/>
  <c r="BP267" i="7"/>
  <c r="BO303" i="7"/>
  <c r="BO302" i="7"/>
  <c r="BM302" i="7"/>
  <c r="BM303" i="7"/>
  <c r="AX294" i="7"/>
  <c r="AX295" i="7"/>
  <c r="AX296" i="7"/>
  <c r="AX297" i="7"/>
  <c r="AX298" i="7"/>
  <c r="AX299" i="7"/>
  <c r="AX300" i="7"/>
  <c r="AX301" i="7"/>
  <c r="AX302" i="7"/>
  <c r="AX303" i="7"/>
  <c r="AX304" i="7"/>
  <c r="AX305" i="7"/>
  <c r="AX306" i="7"/>
  <c r="AX307" i="7"/>
  <c r="AX308" i="7"/>
  <c r="AX309" i="7"/>
  <c r="AX310" i="7"/>
  <c r="AX311" i="7"/>
  <c r="AX312" i="7"/>
  <c r="AX313" i="7"/>
  <c r="AX314" i="7"/>
  <c r="AX315" i="7"/>
  <c r="AX316" i="7"/>
  <c r="AX317" i="7"/>
  <c r="AX318" i="7"/>
  <c r="AX319" i="7"/>
  <c r="AX320" i="7"/>
  <c r="AX321" i="7"/>
  <c r="AX322" i="7"/>
  <c r="AX323" i="7"/>
  <c r="AX324" i="7"/>
  <c r="AX325" i="7"/>
  <c r="AX326" i="7"/>
  <c r="AX327" i="7"/>
  <c r="AX328" i="7"/>
  <c r="AX329" i="7"/>
  <c r="AX330" i="7"/>
  <c r="AX331" i="7"/>
  <c r="AX332" i="7"/>
  <c r="AX333" i="7"/>
  <c r="AX334" i="7"/>
  <c r="AX335" i="7"/>
  <c r="AX336" i="7"/>
  <c r="AX337" i="7"/>
  <c r="AX338" i="7"/>
  <c r="AX339" i="7"/>
  <c r="AX340" i="7"/>
  <c r="AX341" i="7"/>
  <c r="AY294" i="7"/>
  <c r="AY295" i="7"/>
  <c r="AY296" i="7"/>
  <c r="AY297" i="7"/>
  <c r="AY298" i="7"/>
  <c r="AY299" i="7"/>
  <c r="AY300" i="7"/>
  <c r="AY301" i="7"/>
  <c r="AY302" i="7"/>
  <c r="AY303" i="7"/>
  <c r="AY304" i="7"/>
  <c r="AY305" i="7"/>
  <c r="AY306" i="7"/>
  <c r="AY307" i="7"/>
  <c r="AY308" i="7"/>
  <c r="AY309" i="7"/>
  <c r="AY310" i="7"/>
  <c r="AY311" i="7"/>
  <c r="AY312" i="7"/>
  <c r="AY313" i="7"/>
  <c r="AY314" i="7"/>
  <c r="AY315" i="7"/>
  <c r="AY316" i="7"/>
  <c r="AY317" i="7"/>
  <c r="AY318" i="7"/>
  <c r="AY319" i="7"/>
  <c r="AY320" i="7"/>
  <c r="AY321" i="7"/>
  <c r="AY322" i="7"/>
  <c r="AY323" i="7"/>
  <c r="AY324" i="7"/>
  <c r="AY325" i="7"/>
  <c r="AY326" i="7"/>
  <c r="AY327" i="7"/>
  <c r="AY328" i="7"/>
  <c r="AY329" i="7"/>
  <c r="AY330" i="7"/>
  <c r="AY331" i="7"/>
  <c r="AY332" i="7"/>
  <c r="AY333" i="7"/>
  <c r="AY334" i="7"/>
  <c r="AY335" i="7"/>
  <c r="AY336" i="7"/>
  <c r="AY337" i="7"/>
  <c r="AY338" i="7"/>
  <c r="AY339" i="7"/>
  <c r="AY340" i="7"/>
  <c r="AY341" i="7"/>
  <c r="AZ294" i="7"/>
  <c r="AZ295" i="7"/>
  <c r="AZ296" i="7"/>
  <c r="AZ297" i="7"/>
  <c r="AZ298" i="7"/>
  <c r="AZ299" i="7"/>
  <c r="AZ300" i="7"/>
  <c r="AZ301" i="7"/>
  <c r="AZ302" i="7"/>
  <c r="AZ303" i="7"/>
  <c r="AZ304" i="7"/>
  <c r="AZ305" i="7"/>
  <c r="AZ306" i="7"/>
  <c r="AZ307" i="7"/>
  <c r="AZ308" i="7"/>
  <c r="AZ309" i="7"/>
  <c r="AZ310" i="7"/>
  <c r="AZ311" i="7"/>
  <c r="AZ312" i="7"/>
  <c r="AZ313" i="7"/>
  <c r="AZ314" i="7"/>
  <c r="AZ315" i="7"/>
  <c r="AZ316" i="7"/>
  <c r="AZ317" i="7"/>
  <c r="AZ318" i="7"/>
  <c r="AZ319" i="7"/>
  <c r="AZ320" i="7"/>
  <c r="AZ321" i="7"/>
  <c r="AZ322" i="7"/>
  <c r="AZ323" i="7"/>
  <c r="AZ324" i="7"/>
  <c r="AZ325" i="7"/>
  <c r="AZ326" i="7"/>
  <c r="AZ327" i="7"/>
  <c r="AZ328" i="7"/>
  <c r="AZ329" i="7"/>
  <c r="AZ330" i="7"/>
  <c r="AZ331" i="7"/>
  <c r="AZ332" i="7"/>
  <c r="AZ333" i="7"/>
  <c r="AZ334" i="7"/>
  <c r="AZ335" i="7"/>
  <c r="AZ336" i="7"/>
  <c r="AZ337" i="7"/>
  <c r="AZ338" i="7"/>
  <c r="AZ339" i="7"/>
  <c r="AZ340" i="7"/>
  <c r="AZ341" i="7"/>
  <c r="BA294" i="7"/>
  <c r="BA295" i="7"/>
  <c r="BA296" i="7"/>
  <c r="BA297" i="7"/>
  <c r="BA298" i="7"/>
  <c r="BA299" i="7"/>
  <c r="BA300" i="7"/>
  <c r="BA301" i="7"/>
  <c r="BA302" i="7"/>
  <c r="BA303" i="7"/>
  <c r="BA304" i="7"/>
  <c r="BA305" i="7"/>
  <c r="BA306" i="7"/>
  <c r="BA307" i="7"/>
  <c r="BA308" i="7"/>
  <c r="BA309" i="7"/>
  <c r="BA310" i="7"/>
  <c r="BA311" i="7"/>
  <c r="BA312" i="7"/>
  <c r="BA313" i="7"/>
  <c r="BA314" i="7"/>
  <c r="BA315" i="7"/>
  <c r="BA316" i="7"/>
  <c r="BA317" i="7"/>
  <c r="BA318" i="7"/>
  <c r="BA319" i="7"/>
  <c r="BA320" i="7"/>
  <c r="BA321" i="7"/>
  <c r="BA322" i="7"/>
  <c r="BA323" i="7"/>
  <c r="BA324" i="7"/>
  <c r="BA325" i="7"/>
  <c r="BA326" i="7"/>
  <c r="BA327" i="7"/>
  <c r="BA328" i="7"/>
  <c r="BA329" i="7"/>
  <c r="BA330" i="7"/>
  <c r="BA331" i="7"/>
  <c r="BA332" i="7"/>
  <c r="BA333" i="7"/>
  <c r="BA334" i="7"/>
  <c r="BA335" i="7"/>
  <c r="BA336" i="7"/>
  <c r="BA337" i="7"/>
  <c r="BA338" i="7"/>
  <c r="BA339" i="7"/>
  <c r="BA340" i="7"/>
  <c r="BA341" i="7"/>
  <c r="BB294" i="7"/>
  <c r="BB295" i="7"/>
  <c r="BB296" i="7"/>
  <c r="BB297" i="7"/>
  <c r="BB298" i="7"/>
  <c r="BB299" i="7"/>
  <c r="BB300" i="7"/>
  <c r="BB301" i="7"/>
  <c r="BB302" i="7"/>
  <c r="BB303" i="7"/>
  <c r="BB304" i="7"/>
  <c r="BB305" i="7"/>
  <c r="BB306" i="7"/>
  <c r="BB307" i="7"/>
  <c r="BB308" i="7"/>
  <c r="BB309" i="7"/>
  <c r="BB310" i="7"/>
  <c r="BB311" i="7"/>
  <c r="BB312" i="7"/>
  <c r="BB313" i="7"/>
  <c r="BB314" i="7"/>
  <c r="BB315" i="7"/>
  <c r="BB316" i="7"/>
  <c r="BB317" i="7"/>
  <c r="BB318" i="7"/>
  <c r="BB319" i="7"/>
  <c r="BB320" i="7"/>
  <c r="BB321" i="7"/>
  <c r="BB322" i="7"/>
  <c r="BB323" i="7"/>
  <c r="BB324" i="7"/>
  <c r="BB325" i="7"/>
  <c r="BB326" i="7"/>
  <c r="BB327" i="7"/>
  <c r="BB328" i="7"/>
  <c r="BB329" i="7"/>
  <c r="BB330" i="7"/>
  <c r="BB331" i="7"/>
  <c r="BB332" i="7"/>
  <c r="BB333" i="7"/>
  <c r="BB334" i="7"/>
  <c r="BB335" i="7"/>
  <c r="BB336" i="7"/>
  <c r="BB337" i="7"/>
  <c r="BB338" i="7"/>
  <c r="BB339" i="7"/>
  <c r="BB340" i="7"/>
  <c r="BB341" i="7"/>
  <c r="BC294" i="7"/>
  <c r="BC295" i="7"/>
  <c r="BC296" i="7"/>
  <c r="BC297" i="7"/>
  <c r="BC298" i="7"/>
  <c r="BC299" i="7"/>
  <c r="BC300" i="7"/>
  <c r="BC301" i="7"/>
  <c r="BC302" i="7"/>
  <c r="BC303" i="7"/>
  <c r="BC304" i="7"/>
  <c r="BC305" i="7"/>
  <c r="BC306" i="7"/>
  <c r="BC307" i="7"/>
  <c r="BC308" i="7"/>
  <c r="BC309" i="7"/>
  <c r="BC310" i="7"/>
  <c r="BC311" i="7"/>
  <c r="BC312" i="7"/>
  <c r="BC313" i="7"/>
  <c r="BC314" i="7"/>
  <c r="BC315" i="7"/>
  <c r="BC316" i="7"/>
  <c r="BC317" i="7"/>
  <c r="BC318" i="7"/>
  <c r="BC319" i="7"/>
  <c r="BC320" i="7"/>
  <c r="BC321" i="7"/>
  <c r="BC322" i="7"/>
  <c r="BC323" i="7"/>
  <c r="BC324" i="7"/>
  <c r="BC325" i="7"/>
  <c r="BC326" i="7"/>
  <c r="BC327" i="7"/>
  <c r="BC328" i="7"/>
  <c r="BC329" i="7"/>
  <c r="BC330" i="7"/>
  <c r="BC331" i="7"/>
  <c r="BC332" i="7"/>
  <c r="BC333" i="7"/>
  <c r="BC334" i="7"/>
  <c r="BC335" i="7"/>
  <c r="BC336" i="7"/>
  <c r="BC337" i="7"/>
  <c r="BC338" i="7"/>
  <c r="BC339" i="7"/>
  <c r="BC340" i="7"/>
  <c r="BC341" i="7"/>
  <c r="BD294" i="7"/>
  <c r="BD295" i="7"/>
  <c r="BD296" i="7"/>
  <c r="BD297" i="7"/>
  <c r="BD298" i="7"/>
  <c r="BD299" i="7"/>
  <c r="BD300" i="7"/>
  <c r="BD301" i="7"/>
  <c r="BD302" i="7"/>
  <c r="BD303" i="7"/>
  <c r="BD304" i="7"/>
  <c r="BD305" i="7"/>
  <c r="BD306" i="7"/>
  <c r="BD307" i="7"/>
  <c r="BD308" i="7"/>
  <c r="BD309" i="7"/>
  <c r="BD310" i="7"/>
  <c r="BD311" i="7"/>
  <c r="BD312" i="7"/>
  <c r="BD313" i="7"/>
  <c r="BD314" i="7"/>
  <c r="BD315" i="7"/>
  <c r="BD316" i="7"/>
  <c r="BD317" i="7"/>
  <c r="BD318" i="7"/>
  <c r="BD319" i="7"/>
  <c r="BD320" i="7"/>
  <c r="BD321" i="7"/>
  <c r="BD322" i="7"/>
  <c r="BD323" i="7"/>
  <c r="BD324" i="7"/>
  <c r="BD325" i="7"/>
  <c r="BD326" i="7"/>
  <c r="BD327" i="7"/>
  <c r="BD328" i="7"/>
  <c r="BD329" i="7"/>
  <c r="BD330" i="7"/>
  <c r="BD331" i="7"/>
  <c r="BD332" i="7"/>
  <c r="BD333" i="7"/>
  <c r="BD334" i="7"/>
  <c r="BD335" i="7"/>
  <c r="BD336" i="7"/>
  <c r="BD337" i="7"/>
  <c r="BD338" i="7"/>
  <c r="BD339" i="7"/>
  <c r="BD340" i="7"/>
  <c r="BD341" i="7"/>
  <c r="BE294" i="7"/>
  <c r="BE295" i="7"/>
  <c r="BE296" i="7"/>
  <c r="BE297" i="7"/>
  <c r="BE298" i="7"/>
  <c r="BE299" i="7"/>
  <c r="BE300" i="7"/>
  <c r="BE301" i="7"/>
  <c r="BE302" i="7"/>
  <c r="BE303" i="7"/>
  <c r="BE304" i="7"/>
  <c r="BE305" i="7"/>
  <c r="BE306" i="7"/>
  <c r="BE307" i="7"/>
  <c r="BE308" i="7"/>
  <c r="BE309" i="7"/>
  <c r="BE310" i="7"/>
  <c r="BE311" i="7"/>
  <c r="BE312" i="7"/>
  <c r="BE313" i="7"/>
  <c r="BE314" i="7"/>
  <c r="BE315" i="7"/>
  <c r="BE316" i="7"/>
  <c r="BE317" i="7"/>
  <c r="BE318" i="7"/>
  <c r="BE319" i="7"/>
  <c r="BE320" i="7"/>
  <c r="BE321" i="7"/>
  <c r="BE322" i="7"/>
  <c r="BE323" i="7"/>
  <c r="BE324" i="7"/>
  <c r="BE325" i="7"/>
  <c r="BE326" i="7"/>
  <c r="BE327" i="7"/>
  <c r="BE328" i="7"/>
  <c r="BE329" i="7"/>
  <c r="BE330" i="7"/>
  <c r="BE331" i="7"/>
  <c r="BE332" i="7"/>
  <c r="BE333" i="7"/>
  <c r="BE334" i="7"/>
  <c r="BE335" i="7"/>
  <c r="BE336" i="7"/>
  <c r="BE337" i="7"/>
  <c r="BE338" i="7"/>
  <c r="BE339" i="7"/>
  <c r="BE340" i="7"/>
  <c r="BE341" i="7"/>
  <c r="BF294" i="7"/>
  <c r="BF295" i="7"/>
  <c r="BF296" i="7"/>
  <c r="BF297" i="7"/>
  <c r="BF298" i="7"/>
  <c r="BF299" i="7"/>
  <c r="BF300" i="7"/>
  <c r="BF301" i="7"/>
  <c r="BF302" i="7"/>
  <c r="BF303" i="7"/>
  <c r="BF304" i="7"/>
  <c r="BF305" i="7"/>
  <c r="BF306" i="7"/>
  <c r="BF307" i="7"/>
  <c r="BF308" i="7"/>
  <c r="BF309" i="7"/>
  <c r="BF310" i="7"/>
  <c r="BF311" i="7"/>
  <c r="BF312" i="7"/>
  <c r="BF313" i="7"/>
  <c r="BF314" i="7"/>
  <c r="BF315" i="7"/>
  <c r="BF316" i="7"/>
  <c r="BF317" i="7"/>
  <c r="BF318" i="7"/>
  <c r="BF319" i="7"/>
  <c r="BF320" i="7"/>
  <c r="BF321" i="7"/>
  <c r="BF322" i="7"/>
  <c r="BF323" i="7"/>
  <c r="BF324" i="7"/>
  <c r="BF325" i="7"/>
  <c r="BF326" i="7"/>
  <c r="BF327" i="7"/>
  <c r="BF328" i="7"/>
  <c r="BF329" i="7"/>
  <c r="BF330" i="7"/>
  <c r="BF331" i="7"/>
  <c r="BF332" i="7"/>
  <c r="BF333" i="7"/>
  <c r="BF334" i="7"/>
  <c r="BF335" i="7"/>
  <c r="BF336" i="7"/>
  <c r="BF337" i="7"/>
  <c r="BF338" i="7"/>
  <c r="BF339" i="7"/>
  <c r="BF340" i="7"/>
  <c r="BF341" i="7"/>
  <c r="BG294" i="7"/>
  <c r="BG295" i="7"/>
  <c r="BG296" i="7"/>
  <c r="BG297" i="7"/>
  <c r="BG298" i="7"/>
  <c r="BG299" i="7"/>
  <c r="BG300" i="7"/>
  <c r="BG301" i="7"/>
  <c r="BG302" i="7"/>
  <c r="BG303" i="7"/>
  <c r="BG304" i="7"/>
  <c r="BG305" i="7"/>
  <c r="BG306" i="7"/>
  <c r="BG307" i="7"/>
  <c r="BG308" i="7"/>
  <c r="BG309" i="7"/>
  <c r="BG310" i="7"/>
  <c r="BG311" i="7"/>
  <c r="BG312" i="7"/>
  <c r="BG313" i="7"/>
  <c r="BG314" i="7"/>
  <c r="BG315" i="7"/>
  <c r="BG316" i="7"/>
  <c r="BG317" i="7"/>
  <c r="BG318" i="7"/>
  <c r="BG319" i="7"/>
  <c r="BG320" i="7"/>
  <c r="BG321" i="7"/>
  <c r="BG322" i="7"/>
  <c r="BG323" i="7"/>
  <c r="BG324" i="7"/>
  <c r="BG325" i="7"/>
  <c r="BG326" i="7"/>
  <c r="BG327" i="7"/>
  <c r="BG328" i="7"/>
  <c r="BG329" i="7"/>
  <c r="BG330" i="7"/>
  <c r="BG331" i="7"/>
  <c r="BG332" i="7"/>
  <c r="BG333" i="7"/>
  <c r="BG334" i="7"/>
  <c r="BG335" i="7"/>
  <c r="BG336" i="7"/>
  <c r="BG337" i="7"/>
  <c r="BG338" i="7"/>
  <c r="BG339" i="7"/>
  <c r="BG340" i="7"/>
  <c r="BG341" i="7"/>
  <c r="BH294" i="7"/>
  <c r="BH295" i="7"/>
  <c r="BH296" i="7"/>
  <c r="BH297" i="7"/>
  <c r="BH298" i="7"/>
  <c r="BH299" i="7"/>
  <c r="BH300" i="7"/>
  <c r="BH301" i="7"/>
  <c r="BH302" i="7"/>
  <c r="BH303" i="7"/>
  <c r="BH304" i="7"/>
  <c r="BH305" i="7"/>
  <c r="BH306" i="7"/>
  <c r="BH307" i="7"/>
  <c r="BH308" i="7"/>
  <c r="BH309" i="7"/>
  <c r="BH310" i="7"/>
  <c r="BH311" i="7"/>
  <c r="BH312" i="7"/>
  <c r="BH313" i="7"/>
  <c r="BH314" i="7"/>
  <c r="BH315" i="7"/>
  <c r="BH316" i="7"/>
  <c r="BH317" i="7"/>
  <c r="BH318" i="7"/>
  <c r="BH319" i="7"/>
  <c r="BH320" i="7"/>
  <c r="BH321" i="7"/>
  <c r="BH322" i="7"/>
  <c r="BH323" i="7"/>
  <c r="BH324" i="7"/>
  <c r="BH325" i="7"/>
  <c r="BH326" i="7"/>
  <c r="BH327" i="7"/>
  <c r="BH328" i="7"/>
  <c r="BH329" i="7"/>
  <c r="BH330" i="7"/>
  <c r="BH331" i="7"/>
  <c r="BH332" i="7"/>
  <c r="BH333" i="7"/>
  <c r="BH334" i="7"/>
  <c r="BH335" i="7"/>
  <c r="BH336" i="7"/>
  <c r="BH337" i="7"/>
  <c r="BH338" i="7"/>
  <c r="BH339" i="7"/>
  <c r="BH340" i="7"/>
  <c r="BH341" i="7"/>
  <c r="BI294" i="7"/>
  <c r="BI295" i="7"/>
  <c r="BI296" i="7"/>
  <c r="BI297" i="7"/>
  <c r="BI298" i="7"/>
  <c r="BI299" i="7"/>
  <c r="BI300" i="7"/>
  <c r="BI301" i="7"/>
  <c r="BI302" i="7"/>
  <c r="BI303" i="7"/>
  <c r="BI304" i="7"/>
  <c r="BI305" i="7"/>
  <c r="BI306" i="7"/>
  <c r="BI307" i="7"/>
  <c r="BI308" i="7"/>
  <c r="BI309" i="7"/>
  <c r="BI310" i="7"/>
  <c r="BI311" i="7"/>
  <c r="BI312" i="7"/>
  <c r="BI313" i="7"/>
  <c r="BI314" i="7"/>
  <c r="BI315" i="7"/>
  <c r="BI316" i="7"/>
  <c r="BI317" i="7"/>
  <c r="BI318" i="7"/>
  <c r="BI319" i="7"/>
  <c r="BI320" i="7"/>
  <c r="BI321" i="7"/>
  <c r="BI322" i="7"/>
  <c r="BI323" i="7"/>
  <c r="BI324" i="7"/>
  <c r="BI325" i="7"/>
  <c r="BI326" i="7"/>
  <c r="BI327" i="7"/>
  <c r="BI328" i="7"/>
  <c r="BI329" i="7"/>
  <c r="BI330" i="7"/>
  <c r="BI331" i="7"/>
  <c r="BI332" i="7"/>
  <c r="BI333" i="7"/>
  <c r="BI334" i="7"/>
  <c r="BI335" i="7"/>
  <c r="BI336" i="7"/>
  <c r="BI337" i="7"/>
  <c r="BI338" i="7"/>
  <c r="BI339" i="7"/>
  <c r="BI340" i="7"/>
  <c r="BI341" i="7"/>
  <c r="BJ294" i="7"/>
  <c r="BJ295" i="7"/>
  <c r="BJ296" i="7"/>
  <c r="BJ297" i="7"/>
  <c r="BJ298" i="7"/>
  <c r="BJ299" i="7"/>
  <c r="BJ300" i="7"/>
  <c r="BJ301" i="7"/>
  <c r="BJ302" i="7"/>
  <c r="BJ303" i="7"/>
  <c r="BJ304" i="7"/>
  <c r="BJ305" i="7"/>
  <c r="BJ306" i="7"/>
  <c r="BJ307" i="7"/>
  <c r="BJ308" i="7"/>
  <c r="BJ309" i="7"/>
  <c r="BJ310" i="7"/>
  <c r="BJ311" i="7"/>
  <c r="BJ312" i="7"/>
  <c r="BJ313" i="7"/>
  <c r="BJ314" i="7"/>
  <c r="BJ315" i="7"/>
  <c r="BJ316" i="7"/>
  <c r="BJ317" i="7"/>
  <c r="BJ318" i="7"/>
  <c r="BJ319" i="7"/>
  <c r="BJ320" i="7"/>
  <c r="BJ321" i="7"/>
  <c r="BJ322" i="7"/>
  <c r="BJ323" i="7"/>
  <c r="BJ324" i="7"/>
  <c r="BJ325" i="7"/>
  <c r="BJ326" i="7"/>
  <c r="BJ327" i="7"/>
  <c r="BJ328" i="7"/>
  <c r="BJ329" i="7"/>
  <c r="BJ330" i="7"/>
  <c r="BJ331" i="7"/>
  <c r="BJ332" i="7"/>
  <c r="BJ333" i="7"/>
  <c r="BJ334" i="7"/>
  <c r="BJ335" i="7"/>
  <c r="BJ336" i="7"/>
  <c r="BJ337" i="7"/>
  <c r="BJ338" i="7"/>
  <c r="BJ339" i="7"/>
  <c r="BJ340" i="7"/>
  <c r="BJ341" i="7"/>
  <c r="BK294" i="7"/>
  <c r="BK295" i="7"/>
  <c r="BK296" i="7"/>
  <c r="BK297" i="7"/>
  <c r="BK298" i="7"/>
  <c r="BK299" i="7"/>
  <c r="BK300" i="7"/>
  <c r="BK301" i="7"/>
  <c r="BK302" i="7"/>
  <c r="BK303" i="7"/>
  <c r="BK304" i="7"/>
  <c r="BK305" i="7"/>
  <c r="BK306" i="7"/>
  <c r="BK307" i="7"/>
  <c r="BK308" i="7"/>
  <c r="BK309" i="7"/>
  <c r="BK310" i="7"/>
  <c r="BK311" i="7"/>
  <c r="BK312" i="7"/>
  <c r="BK313" i="7"/>
  <c r="BK314" i="7"/>
  <c r="BK315" i="7"/>
  <c r="BK316" i="7"/>
  <c r="BK317" i="7"/>
  <c r="BK318" i="7"/>
  <c r="BK319" i="7"/>
  <c r="BK320" i="7"/>
  <c r="BK321" i="7"/>
  <c r="BK322" i="7"/>
  <c r="BK323" i="7"/>
  <c r="BK324" i="7"/>
  <c r="BK325" i="7"/>
  <c r="BK326" i="7"/>
  <c r="BK327" i="7"/>
  <c r="BK328" i="7"/>
  <c r="BK329" i="7"/>
  <c r="BK330" i="7"/>
  <c r="BK331" i="7"/>
  <c r="BK332" i="7"/>
  <c r="BK333" i="7"/>
  <c r="BK334" i="7"/>
  <c r="BK335" i="7"/>
  <c r="BK336" i="7"/>
  <c r="BK337" i="7"/>
  <c r="BK338" i="7"/>
  <c r="BK339" i="7"/>
  <c r="BK340" i="7"/>
  <c r="BK341" i="7"/>
  <c r="BP303" i="7"/>
  <c r="BO310" i="7"/>
  <c r="BO309" i="7"/>
  <c r="BM309" i="7"/>
  <c r="BM310" i="7"/>
  <c r="BP310" i="7"/>
  <c r="BO317" i="7"/>
  <c r="BO316" i="7"/>
  <c r="BM316" i="7"/>
  <c r="BM317" i="7"/>
  <c r="BP317" i="7"/>
  <c r="BO324" i="7"/>
  <c r="BO323" i="7"/>
  <c r="BM323" i="7"/>
  <c r="BM324" i="7"/>
  <c r="BP324" i="7"/>
  <c r="BO360" i="7"/>
  <c r="BO359" i="7"/>
  <c r="BM359" i="7"/>
  <c r="BM360" i="7"/>
  <c r="AX351" i="7"/>
  <c r="AX352" i="7"/>
  <c r="AX353" i="7"/>
  <c r="AX354" i="7"/>
  <c r="AX355" i="7"/>
  <c r="AX356" i="7"/>
  <c r="AX357" i="7"/>
  <c r="AX358" i="7"/>
  <c r="AX359" i="7"/>
  <c r="AX360" i="7"/>
  <c r="AX361" i="7"/>
  <c r="AX362" i="7"/>
  <c r="AX363" i="7"/>
  <c r="AX364" i="7"/>
  <c r="AX365" i="7"/>
  <c r="AX366" i="7"/>
  <c r="AX367" i="7"/>
  <c r="AX368" i="7"/>
  <c r="AX369" i="7"/>
  <c r="AX370" i="7"/>
  <c r="AX371" i="7"/>
  <c r="AX372" i="7"/>
  <c r="AX373" i="7"/>
  <c r="AX374" i="7"/>
  <c r="AX375" i="7"/>
  <c r="AX376" i="7"/>
  <c r="AX377" i="7"/>
  <c r="AX378" i="7"/>
  <c r="AX379" i="7"/>
  <c r="AX380" i="7"/>
  <c r="AX381" i="7"/>
  <c r="AX382" i="7"/>
  <c r="AX383" i="7"/>
  <c r="AX384" i="7"/>
  <c r="AX385" i="7"/>
  <c r="AX386" i="7"/>
  <c r="AX387" i="7"/>
  <c r="AX388" i="7"/>
  <c r="AX389" i="7"/>
  <c r="AX390" i="7"/>
  <c r="AX391" i="7"/>
  <c r="AX392" i="7"/>
  <c r="AX393" i="7"/>
  <c r="AX394" i="7"/>
  <c r="AX395" i="7"/>
  <c r="AX396" i="7"/>
  <c r="AX397" i="7"/>
  <c r="AX398" i="7"/>
  <c r="AY351" i="7"/>
  <c r="AY352" i="7"/>
  <c r="AY353" i="7"/>
  <c r="AY354" i="7"/>
  <c r="AY355" i="7"/>
  <c r="AY356" i="7"/>
  <c r="AY357" i="7"/>
  <c r="AY358" i="7"/>
  <c r="AY359" i="7"/>
  <c r="AY360" i="7"/>
  <c r="AY361" i="7"/>
  <c r="AY362" i="7"/>
  <c r="AY363" i="7"/>
  <c r="AY364" i="7"/>
  <c r="AY365" i="7"/>
  <c r="AY366" i="7"/>
  <c r="AY367" i="7"/>
  <c r="AY368" i="7"/>
  <c r="AY369" i="7"/>
  <c r="AY370" i="7"/>
  <c r="AY371" i="7"/>
  <c r="AY372" i="7"/>
  <c r="AY373" i="7"/>
  <c r="AY374" i="7"/>
  <c r="AY375" i="7"/>
  <c r="AY376" i="7"/>
  <c r="AY377" i="7"/>
  <c r="AY378" i="7"/>
  <c r="AY379" i="7"/>
  <c r="AY380" i="7"/>
  <c r="AY381" i="7"/>
  <c r="AY382" i="7"/>
  <c r="AY383" i="7"/>
  <c r="AY384" i="7"/>
  <c r="AY385" i="7"/>
  <c r="AY386" i="7"/>
  <c r="AY387" i="7"/>
  <c r="AY388" i="7"/>
  <c r="AY389" i="7"/>
  <c r="AY390" i="7"/>
  <c r="AY391" i="7"/>
  <c r="AY392" i="7"/>
  <c r="AY393" i="7"/>
  <c r="AY394" i="7"/>
  <c r="AY395" i="7"/>
  <c r="AY396" i="7"/>
  <c r="AY397" i="7"/>
  <c r="AY398" i="7"/>
  <c r="AZ351" i="7"/>
  <c r="AZ352" i="7"/>
  <c r="AZ353" i="7"/>
  <c r="AZ354" i="7"/>
  <c r="AZ355" i="7"/>
  <c r="AZ356" i="7"/>
  <c r="AZ357" i="7"/>
  <c r="AZ358" i="7"/>
  <c r="AZ359" i="7"/>
  <c r="AZ360" i="7"/>
  <c r="AZ361" i="7"/>
  <c r="AZ362" i="7"/>
  <c r="AZ363" i="7"/>
  <c r="AZ364" i="7"/>
  <c r="AZ365" i="7"/>
  <c r="AZ366" i="7"/>
  <c r="AZ367" i="7"/>
  <c r="AZ368" i="7"/>
  <c r="AZ369" i="7"/>
  <c r="AZ370" i="7"/>
  <c r="AZ371" i="7"/>
  <c r="AZ372" i="7"/>
  <c r="AZ373" i="7"/>
  <c r="AZ374" i="7"/>
  <c r="AZ375" i="7"/>
  <c r="AZ376" i="7"/>
  <c r="AZ377" i="7"/>
  <c r="AZ378" i="7"/>
  <c r="AZ379" i="7"/>
  <c r="AZ380" i="7"/>
  <c r="AZ381" i="7"/>
  <c r="AZ382" i="7"/>
  <c r="AZ383" i="7"/>
  <c r="AZ384" i="7"/>
  <c r="AZ385" i="7"/>
  <c r="AZ386" i="7"/>
  <c r="AZ387" i="7"/>
  <c r="AZ388" i="7"/>
  <c r="AZ389" i="7"/>
  <c r="AZ390" i="7"/>
  <c r="AZ391" i="7"/>
  <c r="AZ392" i="7"/>
  <c r="AZ393" i="7"/>
  <c r="AZ394" i="7"/>
  <c r="AZ395" i="7"/>
  <c r="AZ396" i="7"/>
  <c r="AZ397" i="7"/>
  <c r="AZ398" i="7"/>
  <c r="BA351" i="7"/>
  <c r="BA352" i="7"/>
  <c r="BA353" i="7"/>
  <c r="BA354" i="7"/>
  <c r="BA355" i="7"/>
  <c r="BA356" i="7"/>
  <c r="BA357" i="7"/>
  <c r="BA358" i="7"/>
  <c r="BA359" i="7"/>
  <c r="BA360" i="7"/>
  <c r="BA361" i="7"/>
  <c r="BA362" i="7"/>
  <c r="BA363" i="7"/>
  <c r="BA364" i="7"/>
  <c r="BA365" i="7"/>
  <c r="BA366" i="7"/>
  <c r="BA367" i="7"/>
  <c r="BA368" i="7"/>
  <c r="BA369" i="7"/>
  <c r="BA370" i="7"/>
  <c r="BA371" i="7"/>
  <c r="BA372" i="7"/>
  <c r="BA373" i="7"/>
  <c r="BA374" i="7"/>
  <c r="BA375" i="7"/>
  <c r="BA376" i="7"/>
  <c r="BA377" i="7"/>
  <c r="BA378" i="7"/>
  <c r="BA379" i="7"/>
  <c r="BA380" i="7"/>
  <c r="BA381" i="7"/>
  <c r="BA382" i="7"/>
  <c r="BA383" i="7"/>
  <c r="BA384" i="7"/>
  <c r="BA385" i="7"/>
  <c r="BA386" i="7"/>
  <c r="BA387" i="7"/>
  <c r="BA388" i="7"/>
  <c r="BA389" i="7"/>
  <c r="BA390" i="7"/>
  <c r="BA391" i="7"/>
  <c r="BA392" i="7"/>
  <c r="BA393" i="7"/>
  <c r="BA394" i="7"/>
  <c r="BA395" i="7"/>
  <c r="BA396" i="7"/>
  <c r="BA397" i="7"/>
  <c r="BA398" i="7"/>
  <c r="BB351" i="7"/>
  <c r="BB352" i="7"/>
  <c r="BB353" i="7"/>
  <c r="BB354" i="7"/>
  <c r="BB355" i="7"/>
  <c r="BB356" i="7"/>
  <c r="BB357" i="7"/>
  <c r="BB358" i="7"/>
  <c r="BB359" i="7"/>
  <c r="BB360" i="7"/>
  <c r="BB361" i="7"/>
  <c r="BB362" i="7"/>
  <c r="BB363" i="7"/>
  <c r="BB364" i="7"/>
  <c r="BB365" i="7"/>
  <c r="BB366" i="7"/>
  <c r="BB367" i="7"/>
  <c r="BB368" i="7"/>
  <c r="BB369" i="7"/>
  <c r="BB370" i="7"/>
  <c r="BB371" i="7"/>
  <c r="BB372" i="7"/>
  <c r="BB373" i="7"/>
  <c r="BB374" i="7"/>
  <c r="BB375" i="7"/>
  <c r="BB376" i="7"/>
  <c r="BB377" i="7"/>
  <c r="BB378" i="7"/>
  <c r="BB379" i="7"/>
  <c r="BB380" i="7"/>
  <c r="BB381" i="7"/>
  <c r="BB382" i="7"/>
  <c r="BB383" i="7"/>
  <c r="BB384" i="7"/>
  <c r="BB385" i="7"/>
  <c r="BB386" i="7"/>
  <c r="BB387" i="7"/>
  <c r="BB388" i="7"/>
  <c r="BB389" i="7"/>
  <c r="BB390" i="7"/>
  <c r="BB391" i="7"/>
  <c r="BB392" i="7"/>
  <c r="BB393" i="7"/>
  <c r="BB394" i="7"/>
  <c r="BB395" i="7"/>
  <c r="BB396" i="7"/>
  <c r="BB397" i="7"/>
  <c r="BB398" i="7"/>
  <c r="BC351" i="7"/>
  <c r="BC352" i="7"/>
  <c r="BC353" i="7"/>
  <c r="BC354" i="7"/>
  <c r="BC355" i="7"/>
  <c r="BC356" i="7"/>
  <c r="BC357" i="7"/>
  <c r="BC358" i="7"/>
  <c r="BC359" i="7"/>
  <c r="BC360" i="7"/>
  <c r="BC361" i="7"/>
  <c r="BC362" i="7"/>
  <c r="BC363" i="7"/>
  <c r="BC364" i="7"/>
  <c r="BC365" i="7"/>
  <c r="BC366" i="7"/>
  <c r="BC367" i="7"/>
  <c r="BC368" i="7"/>
  <c r="BC369" i="7"/>
  <c r="BC370" i="7"/>
  <c r="BC371" i="7"/>
  <c r="BC372" i="7"/>
  <c r="BC373" i="7"/>
  <c r="BC374" i="7"/>
  <c r="BC375" i="7"/>
  <c r="BC376" i="7"/>
  <c r="BC377" i="7"/>
  <c r="BC378" i="7"/>
  <c r="BC379" i="7"/>
  <c r="BC380" i="7"/>
  <c r="BC381" i="7"/>
  <c r="BC382" i="7"/>
  <c r="BC383" i="7"/>
  <c r="BC384" i="7"/>
  <c r="BC385" i="7"/>
  <c r="BC386" i="7"/>
  <c r="BC387" i="7"/>
  <c r="BC388" i="7"/>
  <c r="BC389" i="7"/>
  <c r="BC390" i="7"/>
  <c r="BC391" i="7"/>
  <c r="BC392" i="7"/>
  <c r="BC393" i="7"/>
  <c r="BC394" i="7"/>
  <c r="BC395" i="7"/>
  <c r="BC396" i="7"/>
  <c r="BC397" i="7"/>
  <c r="BC398" i="7"/>
  <c r="BD351" i="7"/>
  <c r="BD352" i="7"/>
  <c r="BD353" i="7"/>
  <c r="BD354" i="7"/>
  <c r="BD355" i="7"/>
  <c r="BD356" i="7"/>
  <c r="BD357" i="7"/>
  <c r="BD358" i="7"/>
  <c r="BD359" i="7"/>
  <c r="BD360" i="7"/>
  <c r="BD361" i="7"/>
  <c r="BD362" i="7"/>
  <c r="BD363" i="7"/>
  <c r="BD364" i="7"/>
  <c r="BD365" i="7"/>
  <c r="BD366" i="7"/>
  <c r="BD367" i="7"/>
  <c r="BD368" i="7"/>
  <c r="BD369" i="7"/>
  <c r="BD370" i="7"/>
  <c r="BD371" i="7"/>
  <c r="BD372" i="7"/>
  <c r="BD373" i="7"/>
  <c r="BD374" i="7"/>
  <c r="BD375" i="7"/>
  <c r="BD376" i="7"/>
  <c r="BD377" i="7"/>
  <c r="BD378" i="7"/>
  <c r="BD379" i="7"/>
  <c r="BD380" i="7"/>
  <c r="BD381" i="7"/>
  <c r="BD382" i="7"/>
  <c r="BD383" i="7"/>
  <c r="BD384" i="7"/>
  <c r="BD385" i="7"/>
  <c r="BD386" i="7"/>
  <c r="BD387" i="7"/>
  <c r="BD388" i="7"/>
  <c r="BD389" i="7"/>
  <c r="BD390" i="7"/>
  <c r="BD391" i="7"/>
  <c r="BD392" i="7"/>
  <c r="BD393" i="7"/>
  <c r="BD394" i="7"/>
  <c r="BD395" i="7"/>
  <c r="BD396" i="7"/>
  <c r="BD397" i="7"/>
  <c r="BD398" i="7"/>
  <c r="BE351" i="7"/>
  <c r="BE352" i="7"/>
  <c r="BE353" i="7"/>
  <c r="BE354" i="7"/>
  <c r="BE355" i="7"/>
  <c r="BE356" i="7"/>
  <c r="BE357" i="7"/>
  <c r="BE358" i="7"/>
  <c r="BE359" i="7"/>
  <c r="BE360" i="7"/>
  <c r="BE361" i="7"/>
  <c r="BE362" i="7"/>
  <c r="BE363" i="7"/>
  <c r="BE364" i="7"/>
  <c r="BE365" i="7"/>
  <c r="BE366" i="7"/>
  <c r="BE367" i="7"/>
  <c r="BE368" i="7"/>
  <c r="BE369" i="7"/>
  <c r="BE370" i="7"/>
  <c r="BE371" i="7"/>
  <c r="BE372" i="7"/>
  <c r="BE373" i="7"/>
  <c r="BE374" i="7"/>
  <c r="BE375" i="7"/>
  <c r="BE376" i="7"/>
  <c r="BE377" i="7"/>
  <c r="BE378" i="7"/>
  <c r="BE379" i="7"/>
  <c r="BE380" i="7"/>
  <c r="BE381" i="7"/>
  <c r="BE382" i="7"/>
  <c r="BE383" i="7"/>
  <c r="BE384" i="7"/>
  <c r="BE385" i="7"/>
  <c r="BE386" i="7"/>
  <c r="BE387" i="7"/>
  <c r="BE388" i="7"/>
  <c r="BE389" i="7"/>
  <c r="BE390" i="7"/>
  <c r="BE391" i="7"/>
  <c r="BE392" i="7"/>
  <c r="BE393" i="7"/>
  <c r="BE394" i="7"/>
  <c r="BE395" i="7"/>
  <c r="BE396" i="7"/>
  <c r="BE397" i="7"/>
  <c r="BE398" i="7"/>
  <c r="BF351" i="7"/>
  <c r="BF352" i="7"/>
  <c r="BF353" i="7"/>
  <c r="BF354" i="7"/>
  <c r="BF355" i="7"/>
  <c r="BF356" i="7"/>
  <c r="BF357" i="7"/>
  <c r="BF358" i="7"/>
  <c r="BF359" i="7"/>
  <c r="BF360" i="7"/>
  <c r="BF361" i="7"/>
  <c r="BF362" i="7"/>
  <c r="BF363" i="7"/>
  <c r="BF364" i="7"/>
  <c r="BF365" i="7"/>
  <c r="BF366" i="7"/>
  <c r="BF367" i="7"/>
  <c r="BF368" i="7"/>
  <c r="BF369" i="7"/>
  <c r="BF370" i="7"/>
  <c r="BF371" i="7"/>
  <c r="BF372" i="7"/>
  <c r="BF373" i="7"/>
  <c r="BF374" i="7"/>
  <c r="BF375" i="7"/>
  <c r="BF376" i="7"/>
  <c r="BF377" i="7"/>
  <c r="BF378" i="7"/>
  <c r="BF379" i="7"/>
  <c r="BF380" i="7"/>
  <c r="BF381" i="7"/>
  <c r="BF382" i="7"/>
  <c r="BF383" i="7"/>
  <c r="BF384" i="7"/>
  <c r="BF385" i="7"/>
  <c r="BF386" i="7"/>
  <c r="BF387" i="7"/>
  <c r="BF388" i="7"/>
  <c r="BF389" i="7"/>
  <c r="BF390" i="7"/>
  <c r="BF391" i="7"/>
  <c r="BF392" i="7"/>
  <c r="BF393" i="7"/>
  <c r="BF394" i="7"/>
  <c r="BF395" i="7"/>
  <c r="BF396" i="7"/>
  <c r="BF397" i="7"/>
  <c r="BF398" i="7"/>
  <c r="BG351" i="7"/>
  <c r="BG352" i="7"/>
  <c r="BG353" i="7"/>
  <c r="BG354" i="7"/>
  <c r="BG355" i="7"/>
  <c r="BG356" i="7"/>
  <c r="BG357" i="7"/>
  <c r="BG358" i="7"/>
  <c r="BG359" i="7"/>
  <c r="BG360" i="7"/>
  <c r="BG361" i="7"/>
  <c r="BG362" i="7"/>
  <c r="BG363" i="7"/>
  <c r="BG364" i="7"/>
  <c r="BG365" i="7"/>
  <c r="BG366" i="7"/>
  <c r="BG367" i="7"/>
  <c r="BG368" i="7"/>
  <c r="BG369" i="7"/>
  <c r="BG370" i="7"/>
  <c r="BG371" i="7"/>
  <c r="BG372" i="7"/>
  <c r="BG373" i="7"/>
  <c r="BG374" i="7"/>
  <c r="BG375" i="7"/>
  <c r="BG376" i="7"/>
  <c r="BG377" i="7"/>
  <c r="BG378" i="7"/>
  <c r="BG379" i="7"/>
  <c r="BG380" i="7"/>
  <c r="BG381" i="7"/>
  <c r="BG382" i="7"/>
  <c r="BG383" i="7"/>
  <c r="BG384" i="7"/>
  <c r="BG385" i="7"/>
  <c r="BG386" i="7"/>
  <c r="BG387" i="7"/>
  <c r="BG388" i="7"/>
  <c r="BG389" i="7"/>
  <c r="BG390" i="7"/>
  <c r="BG391" i="7"/>
  <c r="BG392" i="7"/>
  <c r="BG393" i="7"/>
  <c r="BG394" i="7"/>
  <c r="BG395" i="7"/>
  <c r="BG396" i="7"/>
  <c r="BG397" i="7"/>
  <c r="BG398" i="7"/>
  <c r="BH351" i="7"/>
  <c r="BH352" i="7"/>
  <c r="BH353" i="7"/>
  <c r="BH354" i="7"/>
  <c r="BH355" i="7"/>
  <c r="BH356" i="7"/>
  <c r="BH357" i="7"/>
  <c r="BH358" i="7"/>
  <c r="BH359" i="7"/>
  <c r="BH360" i="7"/>
  <c r="BH361" i="7"/>
  <c r="BH362" i="7"/>
  <c r="BH363" i="7"/>
  <c r="BH364" i="7"/>
  <c r="BH365" i="7"/>
  <c r="BH366" i="7"/>
  <c r="BH367" i="7"/>
  <c r="BH368" i="7"/>
  <c r="BH369" i="7"/>
  <c r="BH370" i="7"/>
  <c r="BH371" i="7"/>
  <c r="BH372" i="7"/>
  <c r="BH373" i="7"/>
  <c r="BH374" i="7"/>
  <c r="BH375" i="7"/>
  <c r="BH376" i="7"/>
  <c r="BH377" i="7"/>
  <c r="BH378" i="7"/>
  <c r="BH379" i="7"/>
  <c r="BH380" i="7"/>
  <c r="BH381" i="7"/>
  <c r="BH382" i="7"/>
  <c r="BH383" i="7"/>
  <c r="BH384" i="7"/>
  <c r="BH385" i="7"/>
  <c r="BH386" i="7"/>
  <c r="BH387" i="7"/>
  <c r="BH388" i="7"/>
  <c r="BH389" i="7"/>
  <c r="BH390" i="7"/>
  <c r="BH391" i="7"/>
  <c r="BH392" i="7"/>
  <c r="BH393" i="7"/>
  <c r="BH394" i="7"/>
  <c r="BH395" i="7"/>
  <c r="BH396" i="7"/>
  <c r="BH397" i="7"/>
  <c r="BH398" i="7"/>
  <c r="BI351" i="7"/>
  <c r="BI352" i="7"/>
  <c r="BI353" i="7"/>
  <c r="BI354" i="7"/>
  <c r="BI355" i="7"/>
  <c r="BI356" i="7"/>
  <c r="BI357" i="7"/>
  <c r="BI358" i="7"/>
  <c r="BI359" i="7"/>
  <c r="BI360" i="7"/>
  <c r="BI361" i="7"/>
  <c r="BI362" i="7"/>
  <c r="BI363" i="7"/>
  <c r="BI364" i="7"/>
  <c r="BI365" i="7"/>
  <c r="BI366" i="7"/>
  <c r="BI367" i="7"/>
  <c r="BI368" i="7"/>
  <c r="BI369" i="7"/>
  <c r="BI370" i="7"/>
  <c r="BI371" i="7"/>
  <c r="BI372" i="7"/>
  <c r="BI373" i="7"/>
  <c r="BI374" i="7"/>
  <c r="BI375" i="7"/>
  <c r="BI376" i="7"/>
  <c r="BI377" i="7"/>
  <c r="BI378" i="7"/>
  <c r="BI379" i="7"/>
  <c r="BI380" i="7"/>
  <c r="BI381" i="7"/>
  <c r="BI382" i="7"/>
  <c r="BI383" i="7"/>
  <c r="BI384" i="7"/>
  <c r="BI385" i="7"/>
  <c r="BI386" i="7"/>
  <c r="BI387" i="7"/>
  <c r="BI388" i="7"/>
  <c r="BI389" i="7"/>
  <c r="BI390" i="7"/>
  <c r="BI391" i="7"/>
  <c r="BI392" i="7"/>
  <c r="BI393" i="7"/>
  <c r="BI394" i="7"/>
  <c r="BI395" i="7"/>
  <c r="BI396" i="7"/>
  <c r="BI397" i="7"/>
  <c r="BI398" i="7"/>
  <c r="BJ351" i="7"/>
  <c r="BJ352" i="7"/>
  <c r="BJ353" i="7"/>
  <c r="BJ354" i="7"/>
  <c r="BJ355" i="7"/>
  <c r="BJ356" i="7"/>
  <c r="BJ357" i="7"/>
  <c r="BJ358" i="7"/>
  <c r="BJ359" i="7"/>
  <c r="BJ360" i="7"/>
  <c r="BJ361" i="7"/>
  <c r="BJ362" i="7"/>
  <c r="BJ363" i="7"/>
  <c r="BJ364" i="7"/>
  <c r="BJ365" i="7"/>
  <c r="BJ366" i="7"/>
  <c r="BJ367" i="7"/>
  <c r="BJ368" i="7"/>
  <c r="BJ369" i="7"/>
  <c r="BJ370" i="7"/>
  <c r="BJ371" i="7"/>
  <c r="BJ372" i="7"/>
  <c r="BJ373" i="7"/>
  <c r="BJ374" i="7"/>
  <c r="BJ375" i="7"/>
  <c r="BJ376" i="7"/>
  <c r="BJ377" i="7"/>
  <c r="BJ378" i="7"/>
  <c r="BJ379" i="7"/>
  <c r="BJ380" i="7"/>
  <c r="BJ381" i="7"/>
  <c r="BJ382" i="7"/>
  <c r="BJ383" i="7"/>
  <c r="BJ384" i="7"/>
  <c r="BJ385" i="7"/>
  <c r="BJ386" i="7"/>
  <c r="BJ387" i="7"/>
  <c r="BJ388" i="7"/>
  <c r="BJ389" i="7"/>
  <c r="BJ390" i="7"/>
  <c r="BJ391" i="7"/>
  <c r="BJ392" i="7"/>
  <c r="BJ393" i="7"/>
  <c r="BJ394" i="7"/>
  <c r="BJ395" i="7"/>
  <c r="BJ396" i="7"/>
  <c r="BJ397" i="7"/>
  <c r="BJ398" i="7"/>
  <c r="BK351" i="7"/>
  <c r="BK352" i="7"/>
  <c r="BK353" i="7"/>
  <c r="BK354" i="7"/>
  <c r="BK355" i="7"/>
  <c r="BK356" i="7"/>
  <c r="BK357" i="7"/>
  <c r="BK358" i="7"/>
  <c r="BK359" i="7"/>
  <c r="BK360" i="7"/>
  <c r="BK361" i="7"/>
  <c r="BK362" i="7"/>
  <c r="BK363" i="7"/>
  <c r="BK364" i="7"/>
  <c r="BK365" i="7"/>
  <c r="BK366" i="7"/>
  <c r="BK367" i="7"/>
  <c r="BK368" i="7"/>
  <c r="BK369" i="7"/>
  <c r="BK370" i="7"/>
  <c r="BK371" i="7"/>
  <c r="BK372" i="7"/>
  <c r="BK373" i="7"/>
  <c r="BK374" i="7"/>
  <c r="BK375" i="7"/>
  <c r="BK376" i="7"/>
  <c r="BK377" i="7"/>
  <c r="BK378" i="7"/>
  <c r="BK379" i="7"/>
  <c r="BK380" i="7"/>
  <c r="BK381" i="7"/>
  <c r="BK382" i="7"/>
  <c r="BK383" i="7"/>
  <c r="BK384" i="7"/>
  <c r="BK385" i="7"/>
  <c r="BK386" i="7"/>
  <c r="BK387" i="7"/>
  <c r="BK388" i="7"/>
  <c r="BK389" i="7"/>
  <c r="BK390" i="7"/>
  <c r="BK391" i="7"/>
  <c r="BK392" i="7"/>
  <c r="BK393" i="7"/>
  <c r="BK394" i="7"/>
  <c r="BK395" i="7"/>
  <c r="BK396" i="7"/>
  <c r="BK397" i="7"/>
  <c r="BK398" i="7"/>
  <c r="BP360" i="7"/>
  <c r="BO367" i="7"/>
  <c r="BO366" i="7"/>
  <c r="BM366" i="7"/>
  <c r="BM367" i="7"/>
  <c r="BP367" i="7"/>
  <c r="BO374" i="7"/>
  <c r="BO373" i="7"/>
  <c r="BM373" i="7"/>
  <c r="BM374" i="7"/>
  <c r="BP374" i="7"/>
  <c r="BO381" i="7"/>
  <c r="BO380" i="7"/>
  <c r="BM380" i="7"/>
  <c r="BM381" i="7"/>
  <c r="BP381" i="7"/>
  <c r="BO417" i="7"/>
  <c r="BO416" i="7"/>
  <c r="BM416" i="7"/>
  <c r="BM417" i="7"/>
  <c r="AX408" i="7"/>
  <c r="AX409" i="7"/>
  <c r="AX410" i="7"/>
  <c r="AX411" i="7"/>
  <c r="AX412" i="7"/>
  <c r="AX413" i="7"/>
  <c r="AX414" i="7"/>
  <c r="AX415" i="7"/>
  <c r="AX416" i="7"/>
  <c r="AX417" i="7"/>
  <c r="AX418" i="7"/>
  <c r="AX419" i="7"/>
  <c r="AX420" i="7"/>
  <c r="AX421" i="7"/>
  <c r="AX422" i="7"/>
  <c r="AX423" i="7"/>
  <c r="AX424" i="7"/>
  <c r="AX425" i="7"/>
  <c r="AX426" i="7"/>
  <c r="AX427" i="7"/>
  <c r="AX428" i="7"/>
  <c r="AX429" i="7"/>
  <c r="AX430" i="7"/>
  <c r="AX431" i="7"/>
  <c r="AX432" i="7"/>
  <c r="AX433" i="7"/>
  <c r="AX434" i="7"/>
  <c r="AX435" i="7"/>
  <c r="AX436" i="7"/>
  <c r="AX437" i="7"/>
  <c r="AX438" i="7"/>
  <c r="AX439" i="7"/>
  <c r="AX440" i="7"/>
  <c r="AX441" i="7"/>
  <c r="AX442" i="7"/>
  <c r="AX443" i="7"/>
  <c r="AX444" i="7"/>
  <c r="AX445" i="7"/>
  <c r="AX446" i="7"/>
  <c r="AX447" i="7"/>
  <c r="AX448" i="7"/>
  <c r="AX449" i="7"/>
  <c r="AX450" i="7"/>
  <c r="AX451" i="7"/>
  <c r="AX452" i="7"/>
  <c r="AX453" i="7"/>
  <c r="AX454" i="7"/>
  <c r="AX455" i="7"/>
  <c r="AY408" i="7"/>
  <c r="AY409" i="7"/>
  <c r="AY410" i="7"/>
  <c r="AY411" i="7"/>
  <c r="AY412" i="7"/>
  <c r="AY413" i="7"/>
  <c r="AY414" i="7"/>
  <c r="AY415" i="7"/>
  <c r="AY416" i="7"/>
  <c r="AY417" i="7"/>
  <c r="AY418" i="7"/>
  <c r="AY419" i="7"/>
  <c r="AY420" i="7"/>
  <c r="AY421" i="7"/>
  <c r="AY422" i="7"/>
  <c r="AY423" i="7"/>
  <c r="AY424" i="7"/>
  <c r="AY425" i="7"/>
  <c r="AY426" i="7"/>
  <c r="AY427" i="7"/>
  <c r="AY428" i="7"/>
  <c r="AY429" i="7"/>
  <c r="AY430" i="7"/>
  <c r="AY431" i="7"/>
  <c r="AY432" i="7"/>
  <c r="AY433" i="7"/>
  <c r="AY434" i="7"/>
  <c r="AY435" i="7"/>
  <c r="AY436" i="7"/>
  <c r="AY437" i="7"/>
  <c r="AY438" i="7"/>
  <c r="AY439" i="7"/>
  <c r="AY440" i="7"/>
  <c r="AY441" i="7"/>
  <c r="AY442" i="7"/>
  <c r="AY443" i="7"/>
  <c r="AY444" i="7"/>
  <c r="AY445" i="7"/>
  <c r="AY446" i="7"/>
  <c r="AY447" i="7"/>
  <c r="AY448" i="7"/>
  <c r="AY449" i="7"/>
  <c r="AY450" i="7"/>
  <c r="AY451" i="7"/>
  <c r="AY452" i="7"/>
  <c r="AY453" i="7"/>
  <c r="AY454" i="7"/>
  <c r="AY455" i="7"/>
  <c r="AZ408" i="7"/>
  <c r="AZ409" i="7"/>
  <c r="AZ410" i="7"/>
  <c r="AZ411" i="7"/>
  <c r="AZ412" i="7"/>
  <c r="AZ413" i="7"/>
  <c r="AZ414" i="7"/>
  <c r="AZ415" i="7"/>
  <c r="AZ416" i="7"/>
  <c r="AZ417" i="7"/>
  <c r="AZ418" i="7"/>
  <c r="AZ419" i="7"/>
  <c r="AZ420" i="7"/>
  <c r="AZ421" i="7"/>
  <c r="AZ422" i="7"/>
  <c r="AZ423" i="7"/>
  <c r="AZ424" i="7"/>
  <c r="AZ425" i="7"/>
  <c r="AZ426" i="7"/>
  <c r="AZ427" i="7"/>
  <c r="AZ428" i="7"/>
  <c r="AZ429" i="7"/>
  <c r="AZ430" i="7"/>
  <c r="AZ431" i="7"/>
  <c r="AZ432" i="7"/>
  <c r="AZ433" i="7"/>
  <c r="AZ434" i="7"/>
  <c r="AZ435" i="7"/>
  <c r="AZ436" i="7"/>
  <c r="AZ437" i="7"/>
  <c r="AZ438" i="7"/>
  <c r="AZ439" i="7"/>
  <c r="AZ440" i="7"/>
  <c r="AZ441" i="7"/>
  <c r="AZ442" i="7"/>
  <c r="AZ443" i="7"/>
  <c r="AZ444" i="7"/>
  <c r="AZ445" i="7"/>
  <c r="AZ446" i="7"/>
  <c r="AZ447" i="7"/>
  <c r="AZ448" i="7"/>
  <c r="AZ449" i="7"/>
  <c r="AZ450" i="7"/>
  <c r="AZ451" i="7"/>
  <c r="AZ452" i="7"/>
  <c r="AZ453" i="7"/>
  <c r="AZ454" i="7"/>
  <c r="AZ455" i="7"/>
  <c r="BA408" i="7"/>
  <c r="BA409" i="7"/>
  <c r="BA410" i="7"/>
  <c r="BA411" i="7"/>
  <c r="BA412" i="7"/>
  <c r="BA413" i="7"/>
  <c r="BA414" i="7"/>
  <c r="BA415" i="7"/>
  <c r="BA416" i="7"/>
  <c r="BA417" i="7"/>
  <c r="BA418" i="7"/>
  <c r="BA419" i="7"/>
  <c r="BA420" i="7"/>
  <c r="BA421" i="7"/>
  <c r="BA422" i="7"/>
  <c r="BA423" i="7"/>
  <c r="BA424" i="7"/>
  <c r="BA425" i="7"/>
  <c r="BA426" i="7"/>
  <c r="BA427" i="7"/>
  <c r="BA428" i="7"/>
  <c r="BA429" i="7"/>
  <c r="BA430" i="7"/>
  <c r="BA431" i="7"/>
  <c r="BA432" i="7"/>
  <c r="BA433" i="7"/>
  <c r="BA434" i="7"/>
  <c r="BA435" i="7"/>
  <c r="BA436" i="7"/>
  <c r="BA437" i="7"/>
  <c r="BA438" i="7"/>
  <c r="BA439" i="7"/>
  <c r="BA440" i="7"/>
  <c r="BA441" i="7"/>
  <c r="BA442" i="7"/>
  <c r="BA443" i="7"/>
  <c r="BA444" i="7"/>
  <c r="BA445" i="7"/>
  <c r="BA446" i="7"/>
  <c r="BA447" i="7"/>
  <c r="BA448" i="7"/>
  <c r="BA449" i="7"/>
  <c r="BA450" i="7"/>
  <c r="BA451" i="7"/>
  <c r="BA452" i="7"/>
  <c r="BA453" i="7"/>
  <c r="BA454" i="7"/>
  <c r="BA455" i="7"/>
  <c r="BB408" i="7"/>
  <c r="BB409" i="7"/>
  <c r="BB410" i="7"/>
  <c r="BB411" i="7"/>
  <c r="BB412" i="7"/>
  <c r="BB413" i="7"/>
  <c r="BB414" i="7"/>
  <c r="BB415" i="7"/>
  <c r="BB416" i="7"/>
  <c r="BB417" i="7"/>
  <c r="BB418" i="7"/>
  <c r="BB419" i="7"/>
  <c r="BB420" i="7"/>
  <c r="BB421" i="7"/>
  <c r="BB422" i="7"/>
  <c r="BB423" i="7"/>
  <c r="BB424" i="7"/>
  <c r="BB425" i="7"/>
  <c r="BB426" i="7"/>
  <c r="BB427" i="7"/>
  <c r="BB428" i="7"/>
  <c r="BB429" i="7"/>
  <c r="BB430" i="7"/>
  <c r="BB431" i="7"/>
  <c r="BB432" i="7"/>
  <c r="BB433" i="7"/>
  <c r="BB434" i="7"/>
  <c r="BB435" i="7"/>
  <c r="BB436" i="7"/>
  <c r="BB437" i="7"/>
  <c r="BB438" i="7"/>
  <c r="BB439" i="7"/>
  <c r="BB440" i="7"/>
  <c r="BB441" i="7"/>
  <c r="BB442" i="7"/>
  <c r="BB443" i="7"/>
  <c r="BB444" i="7"/>
  <c r="BB445" i="7"/>
  <c r="BB446" i="7"/>
  <c r="BB447" i="7"/>
  <c r="BB448" i="7"/>
  <c r="BB449" i="7"/>
  <c r="BB450" i="7"/>
  <c r="BB451" i="7"/>
  <c r="BB452" i="7"/>
  <c r="BB453" i="7"/>
  <c r="BB454" i="7"/>
  <c r="BB455" i="7"/>
  <c r="BC408" i="7"/>
  <c r="BC409" i="7"/>
  <c r="BC410" i="7"/>
  <c r="BC411" i="7"/>
  <c r="BC412" i="7"/>
  <c r="BC413" i="7"/>
  <c r="BC414" i="7"/>
  <c r="BC415" i="7"/>
  <c r="BC416" i="7"/>
  <c r="BC417" i="7"/>
  <c r="BC418" i="7"/>
  <c r="BC419" i="7"/>
  <c r="BC420" i="7"/>
  <c r="BC421" i="7"/>
  <c r="BC422" i="7"/>
  <c r="BC423" i="7"/>
  <c r="BC424" i="7"/>
  <c r="BC425" i="7"/>
  <c r="BC426" i="7"/>
  <c r="BC427" i="7"/>
  <c r="BC428" i="7"/>
  <c r="BC429" i="7"/>
  <c r="BC430" i="7"/>
  <c r="BC431" i="7"/>
  <c r="BC432" i="7"/>
  <c r="BC433" i="7"/>
  <c r="BC434" i="7"/>
  <c r="BC435" i="7"/>
  <c r="BC436" i="7"/>
  <c r="BC437" i="7"/>
  <c r="BC438" i="7"/>
  <c r="BC439" i="7"/>
  <c r="BC440" i="7"/>
  <c r="BC441" i="7"/>
  <c r="BC442" i="7"/>
  <c r="BC443" i="7"/>
  <c r="BC444" i="7"/>
  <c r="BC445" i="7"/>
  <c r="BC446" i="7"/>
  <c r="BC447" i="7"/>
  <c r="BC448" i="7"/>
  <c r="BC449" i="7"/>
  <c r="BC450" i="7"/>
  <c r="BC451" i="7"/>
  <c r="BC452" i="7"/>
  <c r="BC453" i="7"/>
  <c r="BC454" i="7"/>
  <c r="BC455" i="7"/>
  <c r="BD408" i="7"/>
  <c r="BD409" i="7"/>
  <c r="BD410" i="7"/>
  <c r="BD411" i="7"/>
  <c r="BD412" i="7"/>
  <c r="BD413" i="7"/>
  <c r="BD414" i="7"/>
  <c r="BD415" i="7"/>
  <c r="BD416" i="7"/>
  <c r="BD417" i="7"/>
  <c r="BD418" i="7"/>
  <c r="BD419" i="7"/>
  <c r="BD420" i="7"/>
  <c r="BD421" i="7"/>
  <c r="BD422" i="7"/>
  <c r="BD423" i="7"/>
  <c r="BD424" i="7"/>
  <c r="BD425" i="7"/>
  <c r="BD426" i="7"/>
  <c r="BD427" i="7"/>
  <c r="BD428" i="7"/>
  <c r="BD429" i="7"/>
  <c r="BD430" i="7"/>
  <c r="BD431" i="7"/>
  <c r="BD432" i="7"/>
  <c r="BD433" i="7"/>
  <c r="BD434" i="7"/>
  <c r="BD435" i="7"/>
  <c r="BD436" i="7"/>
  <c r="BD437" i="7"/>
  <c r="BD438" i="7"/>
  <c r="BD439" i="7"/>
  <c r="BD440" i="7"/>
  <c r="BD441" i="7"/>
  <c r="BD442" i="7"/>
  <c r="BD443" i="7"/>
  <c r="BD444" i="7"/>
  <c r="BD445" i="7"/>
  <c r="BD446" i="7"/>
  <c r="BD447" i="7"/>
  <c r="BD448" i="7"/>
  <c r="BD449" i="7"/>
  <c r="BD450" i="7"/>
  <c r="BD451" i="7"/>
  <c r="BD452" i="7"/>
  <c r="BD453" i="7"/>
  <c r="BD454" i="7"/>
  <c r="BD455" i="7"/>
  <c r="BE408" i="7"/>
  <c r="BE409" i="7"/>
  <c r="BE410" i="7"/>
  <c r="BE411" i="7"/>
  <c r="BE412" i="7"/>
  <c r="BE413" i="7"/>
  <c r="BE414" i="7"/>
  <c r="BE415" i="7"/>
  <c r="BE416" i="7"/>
  <c r="BE417" i="7"/>
  <c r="BE418" i="7"/>
  <c r="BE419" i="7"/>
  <c r="BE420" i="7"/>
  <c r="BE421" i="7"/>
  <c r="BE422" i="7"/>
  <c r="BE423" i="7"/>
  <c r="BE424" i="7"/>
  <c r="BE425" i="7"/>
  <c r="BE426" i="7"/>
  <c r="BE427" i="7"/>
  <c r="BE428" i="7"/>
  <c r="BE429" i="7"/>
  <c r="BE430" i="7"/>
  <c r="BE431" i="7"/>
  <c r="BE432" i="7"/>
  <c r="BE433" i="7"/>
  <c r="BE434" i="7"/>
  <c r="BE435" i="7"/>
  <c r="BE436" i="7"/>
  <c r="BE437" i="7"/>
  <c r="BE438" i="7"/>
  <c r="BE439" i="7"/>
  <c r="BE440" i="7"/>
  <c r="BE441" i="7"/>
  <c r="BE442" i="7"/>
  <c r="BE443" i="7"/>
  <c r="BE444" i="7"/>
  <c r="BE445" i="7"/>
  <c r="BE446" i="7"/>
  <c r="BE447" i="7"/>
  <c r="BE448" i="7"/>
  <c r="BE449" i="7"/>
  <c r="BE450" i="7"/>
  <c r="BE451" i="7"/>
  <c r="BE452" i="7"/>
  <c r="BE453" i="7"/>
  <c r="BE454" i="7"/>
  <c r="BE455" i="7"/>
  <c r="BF408" i="7"/>
  <c r="BF409" i="7"/>
  <c r="BF410" i="7"/>
  <c r="BF411" i="7"/>
  <c r="BF412" i="7"/>
  <c r="BF413" i="7"/>
  <c r="BF414" i="7"/>
  <c r="BF415" i="7"/>
  <c r="BF416" i="7"/>
  <c r="BF417" i="7"/>
  <c r="BF418" i="7"/>
  <c r="BF419" i="7"/>
  <c r="BF420" i="7"/>
  <c r="BF421" i="7"/>
  <c r="BF422" i="7"/>
  <c r="BF423" i="7"/>
  <c r="BF424" i="7"/>
  <c r="BF425" i="7"/>
  <c r="BF426" i="7"/>
  <c r="BF427" i="7"/>
  <c r="BF428" i="7"/>
  <c r="BF429" i="7"/>
  <c r="BF430" i="7"/>
  <c r="BF431" i="7"/>
  <c r="BF432" i="7"/>
  <c r="BF433" i="7"/>
  <c r="BF434" i="7"/>
  <c r="BF435" i="7"/>
  <c r="BF436" i="7"/>
  <c r="BF437" i="7"/>
  <c r="BF438" i="7"/>
  <c r="BF439" i="7"/>
  <c r="BF440" i="7"/>
  <c r="BF441" i="7"/>
  <c r="BF442" i="7"/>
  <c r="BF443" i="7"/>
  <c r="BF444" i="7"/>
  <c r="BF445" i="7"/>
  <c r="BF446" i="7"/>
  <c r="BF447" i="7"/>
  <c r="BF448" i="7"/>
  <c r="BF449" i="7"/>
  <c r="BF450" i="7"/>
  <c r="BF451" i="7"/>
  <c r="BF452" i="7"/>
  <c r="BF453" i="7"/>
  <c r="BF454" i="7"/>
  <c r="BF455" i="7"/>
  <c r="BG408" i="7"/>
  <c r="BG409" i="7"/>
  <c r="BG410" i="7"/>
  <c r="BG411" i="7"/>
  <c r="BG412" i="7"/>
  <c r="BG413" i="7"/>
  <c r="BG414" i="7"/>
  <c r="BG415" i="7"/>
  <c r="BG416" i="7"/>
  <c r="BG417" i="7"/>
  <c r="BG418" i="7"/>
  <c r="BG419" i="7"/>
  <c r="BG420" i="7"/>
  <c r="BG421" i="7"/>
  <c r="BG422" i="7"/>
  <c r="BG423" i="7"/>
  <c r="BG424" i="7"/>
  <c r="BG425" i="7"/>
  <c r="BG426" i="7"/>
  <c r="BG427" i="7"/>
  <c r="BG428" i="7"/>
  <c r="BG429" i="7"/>
  <c r="BG430" i="7"/>
  <c r="BG431" i="7"/>
  <c r="BG432" i="7"/>
  <c r="BG433" i="7"/>
  <c r="BG434" i="7"/>
  <c r="BG435" i="7"/>
  <c r="BG436" i="7"/>
  <c r="BG437" i="7"/>
  <c r="BG438" i="7"/>
  <c r="BG439" i="7"/>
  <c r="BG440" i="7"/>
  <c r="BG441" i="7"/>
  <c r="BG442" i="7"/>
  <c r="BG443" i="7"/>
  <c r="BG444" i="7"/>
  <c r="BG445" i="7"/>
  <c r="BG446" i="7"/>
  <c r="BG447" i="7"/>
  <c r="BG448" i="7"/>
  <c r="BG449" i="7"/>
  <c r="BG450" i="7"/>
  <c r="BG451" i="7"/>
  <c r="BG452" i="7"/>
  <c r="BG453" i="7"/>
  <c r="BG454" i="7"/>
  <c r="BG455" i="7"/>
  <c r="BH408" i="7"/>
  <c r="BH409" i="7"/>
  <c r="BH410" i="7"/>
  <c r="BH411" i="7"/>
  <c r="BH412" i="7"/>
  <c r="BH413" i="7"/>
  <c r="BH414" i="7"/>
  <c r="BH415" i="7"/>
  <c r="BH416" i="7"/>
  <c r="BH417" i="7"/>
  <c r="BH418" i="7"/>
  <c r="BH419" i="7"/>
  <c r="BH420" i="7"/>
  <c r="BH421" i="7"/>
  <c r="BH422" i="7"/>
  <c r="BH423" i="7"/>
  <c r="BH424" i="7"/>
  <c r="BH425" i="7"/>
  <c r="BH426" i="7"/>
  <c r="BH427" i="7"/>
  <c r="BH428" i="7"/>
  <c r="BH429" i="7"/>
  <c r="BH430" i="7"/>
  <c r="BH431" i="7"/>
  <c r="BH432" i="7"/>
  <c r="BH433" i="7"/>
  <c r="BH434" i="7"/>
  <c r="BH435" i="7"/>
  <c r="BH436" i="7"/>
  <c r="BH437" i="7"/>
  <c r="BH438" i="7"/>
  <c r="BH439" i="7"/>
  <c r="BH440" i="7"/>
  <c r="BH441" i="7"/>
  <c r="BH442" i="7"/>
  <c r="BH443" i="7"/>
  <c r="BH444" i="7"/>
  <c r="BH445" i="7"/>
  <c r="BH446" i="7"/>
  <c r="BH447" i="7"/>
  <c r="BH448" i="7"/>
  <c r="BH449" i="7"/>
  <c r="BH450" i="7"/>
  <c r="BH451" i="7"/>
  <c r="BH452" i="7"/>
  <c r="BH453" i="7"/>
  <c r="BH454" i="7"/>
  <c r="BH455" i="7"/>
  <c r="BI408" i="7"/>
  <c r="BI409" i="7"/>
  <c r="BI410" i="7"/>
  <c r="BI411" i="7"/>
  <c r="BI412" i="7"/>
  <c r="BI413" i="7"/>
  <c r="BI414" i="7"/>
  <c r="BI415" i="7"/>
  <c r="BI416" i="7"/>
  <c r="BI417" i="7"/>
  <c r="BI418" i="7"/>
  <c r="BI419" i="7"/>
  <c r="BI420" i="7"/>
  <c r="BI421" i="7"/>
  <c r="BI422" i="7"/>
  <c r="BI423" i="7"/>
  <c r="BI424" i="7"/>
  <c r="BI425" i="7"/>
  <c r="BI426" i="7"/>
  <c r="BI427" i="7"/>
  <c r="BI428" i="7"/>
  <c r="BI429" i="7"/>
  <c r="BI430" i="7"/>
  <c r="BI431" i="7"/>
  <c r="BI432" i="7"/>
  <c r="BI433" i="7"/>
  <c r="BI434" i="7"/>
  <c r="BI435" i="7"/>
  <c r="BI436" i="7"/>
  <c r="BI437" i="7"/>
  <c r="BI438" i="7"/>
  <c r="BI439" i="7"/>
  <c r="BI440" i="7"/>
  <c r="BI441" i="7"/>
  <c r="BI442" i="7"/>
  <c r="BI443" i="7"/>
  <c r="BI444" i="7"/>
  <c r="BI445" i="7"/>
  <c r="BI446" i="7"/>
  <c r="BI447" i="7"/>
  <c r="BI448" i="7"/>
  <c r="BI449" i="7"/>
  <c r="BI450" i="7"/>
  <c r="BI451" i="7"/>
  <c r="BI452" i="7"/>
  <c r="BI453" i="7"/>
  <c r="BI454" i="7"/>
  <c r="BI455" i="7"/>
  <c r="BJ408" i="7"/>
  <c r="BJ409" i="7"/>
  <c r="BJ410" i="7"/>
  <c r="BJ411" i="7"/>
  <c r="BJ412" i="7"/>
  <c r="BJ413" i="7"/>
  <c r="BJ414" i="7"/>
  <c r="BJ415" i="7"/>
  <c r="BJ416" i="7"/>
  <c r="BJ417" i="7"/>
  <c r="BJ418" i="7"/>
  <c r="BJ419" i="7"/>
  <c r="BJ420" i="7"/>
  <c r="BJ421" i="7"/>
  <c r="BJ422" i="7"/>
  <c r="BJ423" i="7"/>
  <c r="BJ424" i="7"/>
  <c r="BJ425" i="7"/>
  <c r="BJ426" i="7"/>
  <c r="BJ427" i="7"/>
  <c r="BJ428" i="7"/>
  <c r="BJ429" i="7"/>
  <c r="BJ430" i="7"/>
  <c r="BJ431" i="7"/>
  <c r="BJ432" i="7"/>
  <c r="BJ433" i="7"/>
  <c r="BJ434" i="7"/>
  <c r="BJ435" i="7"/>
  <c r="BJ436" i="7"/>
  <c r="BJ437" i="7"/>
  <c r="BJ438" i="7"/>
  <c r="BJ439" i="7"/>
  <c r="BJ440" i="7"/>
  <c r="BJ441" i="7"/>
  <c r="BJ442" i="7"/>
  <c r="BJ443" i="7"/>
  <c r="BJ444" i="7"/>
  <c r="BJ445" i="7"/>
  <c r="BJ446" i="7"/>
  <c r="BJ447" i="7"/>
  <c r="BJ448" i="7"/>
  <c r="BJ449" i="7"/>
  <c r="BJ450" i="7"/>
  <c r="BJ451" i="7"/>
  <c r="BJ452" i="7"/>
  <c r="BJ453" i="7"/>
  <c r="BJ454" i="7"/>
  <c r="BJ455" i="7"/>
  <c r="BK408" i="7"/>
  <c r="BK409" i="7"/>
  <c r="BK410" i="7"/>
  <c r="BK411" i="7"/>
  <c r="BK412" i="7"/>
  <c r="BK413" i="7"/>
  <c r="BK414" i="7"/>
  <c r="BK415" i="7"/>
  <c r="BK416" i="7"/>
  <c r="BK417" i="7"/>
  <c r="BK418" i="7"/>
  <c r="BK419" i="7"/>
  <c r="BK420" i="7"/>
  <c r="BK421" i="7"/>
  <c r="BK422" i="7"/>
  <c r="BK423" i="7"/>
  <c r="BK424" i="7"/>
  <c r="BK425" i="7"/>
  <c r="BK426" i="7"/>
  <c r="BK427" i="7"/>
  <c r="BK428" i="7"/>
  <c r="BK429" i="7"/>
  <c r="BK430" i="7"/>
  <c r="BK431" i="7"/>
  <c r="BK432" i="7"/>
  <c r="BK433" i="7"/>
  <c r="BK434" i="7"/>
  <c r="BK435" i="7"/>
  <c r="BK436" i="7"/>
  <c r="BK437" i="7"/>
  <c r="BK438" i="7"/>
  <c r="BK439" i="7"/>
  <c r="BK440" i="7"/>
  <c r="BK441" i="7"/>
  <c r="BK442" i="7"/>
  <c r="BK443" i="7"/>
  <c r="BK444" i="7"/>
  <c r="BK445" i="7"/>
  <c r="BK446" i="7"/>
  <c r="BK447" i="7"/>
  <c r="BK448" i="7"/>
  <c r="BK449" i="7"/>
  <c r="BK450" i="7"/>
  <c r="BK451" i="7"/>
  <c r="BK452" i="7"/>
  <c r="BK453" i="7"/>
  <c r="BK454" i="7"/>
  <c r="BK455" i="7"/>
  <c r="BP417" i="7"/>
  <c r="BO424" i="7"/>
  <c r="BO423" i="7"/>
  <c r="BM423" i="7"/>
  <c r="BM424" i="7"/>
  <c r="BP424" i="7"/>
  <c r="BO431" i="7"/>
  <c r="BO430" i="7"/>
  <c r="BM430" i="7"/>
  <c r="BM431" i="7"/>
  <c r="BP431" i="7"/>
  <c r="BO438" i="7"/>
  <c r="BO437" i="7"/>
  <c r="BM437" i="7"/>
  <c r="BM438" i="7"/>
  <c r="BP438" i="7"/>
  <c r="BO474" i="7"/>
  <c r="BO473" i="7"/>
  <c r="BM473" i="7"/>
  <c r="BM474" i="7"/>
  <c r="AX465" i="7"/>
  <c r="AX466" i="7"/>
  <c r="AX467" i="7"/>
  <c r="AX468" i="7"/>
  <c r="AX469" i="7"/>
  <c r="AX470" i="7"/>
  <c r="AX471" i="7"/>
  <c r="AX472" i="7"/>
  <c r="AX473" i="7"/>
  <c r="AX474" i="7"/>
  <c r="AX475" i="7"/>
  <c r="AX476" i="7"/>
  <c r="AX477" i="7"/>
  <c r="AX478" i="7"/>
  <c r="AX479" i="7"/>
  <c r="AX480" i="7"/>
  <c r="AX481" i="7"/>
  <c r="AX482" i="7"/>
  <c r="AX483" i="7"/>
  <c r="AX484" i="7"/>
  <c r="AX485" i="7"/>
  <c r="AX486" i="7"/>
  <c r="AX487" i="7"/>
  <c r="AX488" i="7"/>
  <c r="AX489" i="7"/>
  <c r="AX490" i="7"/>
  <c r="AX491" i="7"/>
  <c r="AX492" i="7"/>
  <c r="AX493" i="7"/>
  <c r="AX494" i="7"/>
  <c r="AX495" i="7"/>
  <c r="AX496" i="7"/>
  <c r="AX497" i="7"/>
  <c r="AX498" i="7"/>
  <c r="AX499" i="7"/>
  <c r="AX500" i="7"/>
  <c r="AX501" i="7"/>
  <c r="AX502" i="7"/>
  <c r="AX503" i="7"/>
  <c r="AX504" i="7"/>
  <c r="AX505" i="7"/>
  <c r="AX506" i="7"/>
  <c r="AX507" i="7"/>
  <c r="AX508" i="7"/>
  <c r="AX509" i="7"/>
  <c r="AX510" i="7"/>
  <c r="AX511" i="7"/>
  <c r="AX512" i="7"/>
  <c r="AY465" i="7"/>
  <c r="AY466" i="7"/>
  <c r="AY467" i="7"/>
  <c r="AY468" i="7"/>
  <c r="AY469" i="7"/>
  <c r="AY470" i="7"/>
  <c r="AY471" i="7"/>
  <c r="AY472" i="7"/>
  <c r="AY473" i="7"/>
  <c r="AY474" i="7"/>
  <c r="AY475" i="7"/>
  <c r="AY476" i="7"/>
  <c r="AY477" i="7"/>
  <c r="AY478" i="7"/>
  <c r="AY479" i="7"/>
  <c r="AY480" i="7"/>
  <c r="AY481" i="7"/>
  <c r="AY482" i="7"/>
  <c r="AY483" i="7"/>
  <c r="AY484" i="7"/>
  <c r="AY485" i="7"/>
  <c r="AY486" i="7"/>
  <c r="AY487" i="7"/>
  <c r="AY488" i="7"/>
  <c r="AY489" i="7"/>
  <c r="AY490" i="7"/>
  <c r="AY491" i="7"/>
  <c r="AY492" i="7"/>
  <c r="AY493" i="7"/>
  <c r="AY494" i="7"/>
  <c r="AY495" i="7"/>
  <c r="AY496" i="7"/>
  <c r="AY497" i="7"/>
  <c r="AY498" i="7"/>
  <c r="AY499" i="7"/>
  <c r="AY500" i="7"/>
  <c r="AY501" i="7"/>
  <c r="AY502" i="7"/>
  <c r="AY503" i="7"/>
  <c r="AY504" i="7"/>
  <c r="AY505" i="7"/>
  <c r="AY506" i="7"/>
  <c r="AY507" i="7"/>
  <c r="AY508" i="7"/>
  <c r="AY509" i="7"/>
  <c r="AY510" i="7"/>
  <c r="AY511" i="7"/>
  <c r="AY512" i="7"/>
  <c r="AZ465" i="7"/>
  <c r="AZ466" i="7"/>
  <c r="AZ467" i="7"/>
  <c r="AZ468" i="7"/>
  <c r="AZ469" i="7"/>
  <c r="AZ470" i="7"/>
  <c r="AZ471" i="7"/>
  <c r="AZ472" i="7"/>
  <c r="AZ473" i="7"/>
  <c r="AZ474" i="7"/>
  <c r="AZ475" i="7"/>
  <c r="AZ476" i="7"/>
  <c r="AZ477" i="7"/>
  <c r="AZ478" i="7"/>
  <c r="AZ479" i="7"/>
  <c r="AZ480" i="7"/>
  <c r="AZ481" i="7"/>
  <c r="AZ482" i="7"/>
  <c r="AZ483" i="7"/>
  <c r="AZ484" i="7"/>
  <c r="AZ485" i="7"/>
  <c r="AZ486" i="7"/>
  <c r="AZ487" i="7"/>
  <c r="AZ488" i="7"/>
  <c r="AZ489" i="7"/>
  <c r="AZ490" i="7"/>
  <c r="AZ491" i="7"/>
  <c r="AZ492" i="7"/>
  <c r="AZ493" i="7"/>
  <c r="AZ494" i="7"/>
  <c r="AZ495" i="7"/>
  <c r="AZ496" i="7"/>
  <c r="AZ497" i="7"/>
  <c r="AZ498" i="7"/>
  <c r="AZ499" i="7"/>
  <c r="AZ500" i="7"/>
  <c r="AZ501" i="7"/>
  <c r="AZ502" i="7"/>
  <c r="AZ503" i="7"/>
  <c r="AZ504" i="7"/>
  <c r="AZ505" i="7"/>
  <c r="AZ506" i="7"/>
  <c r="AZ507" i="7"/>
  <c r="AZ508" i="7"/>
  <c r="AZ509" i="7"/>
  <c r="AZ510" i="7"/>
  <c r="AZ511" i="7"/>
  <c r="AZ512" i="7"/>
  <c r="BA465" i="7"/>
  <c r="BA466" i="7"/>
  <c r="BA467" i="7"/>
  <c r="BA468" i="7"/>
  <c r="BA469" i="7"/>
  <c r="BA470" i="7"/>
  <c r="BA471" i="7"/>
  <c r="BA472" i="7"/>
  <c r="BA473" i="7"/>
  <c r="BA474" i="7"/>
  <c r="BA475" i="7"/>
  <c r="BA476" i="7"/>
  <c r="BA477" i="7"/>
  <c r="BA478" i="7"/>
  <c r="BA479" i="7"/>
  <c r="BA480" i="7"/>
  <c r="BA481" i="7"/>
  <c r="BA482" i="7"/>
  <c r="BA483" i="7"/>
  <c r="BA484" i="7"/>
  <c r="BA485" i="7"/>
  <c r="BA486" i="7"/>
  <c r="BA487" i="7"/>
  <c r="BA488" i="7"/>
  <c r="BA489" i="7"/>
  <c r="BA490" i="7"/>
  <c r="BA491" i="7"/>
  <c r="BA492" i="7"/>
  <c r="BA493" i="7"/>
  <c r="BA494" i="7"/>
  <c r="BA495" i="7"/>
  <c r="BA496" i="7"/>
  <c r="BA497" i="7"/>
  <c r="BA498" i="7"/>
  <c r="BA499" i="7"/>
  <c r="BA500" i="7"/>
  <c r="BA501" i="7"/>
  <c r="BA502" i="7"/>
  <c r="BA503" i="7"/>
  <c r="BA504" i="7"/>
  <c r="BA505" i="7"/>
  <c r="BA506" i="7"/>
  <c r="BA507" i="7"/>
  <c r="BA508" i="7"/>
  <c r="BA509" i="7"/>
  <c r="BA510" i="7"/>
  <c r="BA511" i="7"/>
  <c r="BA512" i="7"/>
  <c r="BB465" i="7"/>
  <c r="BB466" i="7"/>
  <c r="BB467" i="7"/>
  <c r="BB468" i="7"/>
  <c r="BB469" i="7"/>
  <c r="BB470" i="7"/>
  <c r="BB471" i="7"/>
  <c r="BB472" i="7"/>
  <c r="BB473" i="7"/>
  <c r="BB474" i="7"/>
  <c r="BB475" i="7"/>
  <c r="BB476" i="7"/>
  <c r="BB477" i="7"/>
  <c r="BB478" i="7"/>
  <c r="BB479" i="7"/>
  <c r="BB480" i="7"/>
  <c r="BB481" i="7"/>
  <c r="BB482" i="7"/>
  <c r="BB483" i="7"/>
  <c r="BB484" i="7"/>
  <c r="BB485" i="7"/>
  <c r="BB486" i="7"/>
  <c r="BB487" i="7"/>
  <c r="BB488" i="7"/>
  <c r="BB489" i="7"/>
  <c r="BB490" i="7"/>
  <c r="BB491" i="7"/>
  <c r="BB492" i="7"/>
  <c r="BB493" i="7"/>
  <c r="BB494" i="7"/>
  <c r="BB495" i="7"/>
  <c r="BB496" i="7"/>
  <c r="BB497" i="7"/>
  <c r="BB498" i="7"/>
  <c r="BB499" i="7"/>
  <c r="BB500" i="7"/>
  <c r="BB501" i="7"/>
  <c r="BB502" i="7"/>
  <c r="BB503" i="7"/>
  <c r="BB504" i="7"/>
  <c r="BB505" i="7"/>
  <c r="BB506" i="7"/>
  <c r="BB507" i="7"/>
  <c r="BB508" i="7"/>
  <c r="BB509" i="7"/>
  <c r="BB510" i="7"/>
  <c r="BB511" i="7"/>
  <c r="BB512" i="7"/>
  <c r="BC465" i="7"/>
  <c r="BC466" i="7"/>
  <c r="BC467" i="7"/>
  <c r="BC468" i="7"/>
  <c r="BC469" i="7"/>
  <c r="BC470" i="7"/>
  <c r="BC471" i="7"/>
  <c r="BC472" i="7"/>
  <c r="BC473" i="7"/>
  <c r="BC474" i="7"/>
  <c r="BC475" i="7"/>
  <c r="BC476" i="7"/>
  <c r="BC477" i="7"/>
  <c r="BC478" i="7"/>
  <c r="BC479" i="7"/>
  <c r="BC480" i="7"/>
  <c r="BC481" i="7"/>
  <c r="BC482" i="7"/>
  <c r="BC483" i="7"/>
  <c r="BC484" i="7"/>
  <c r="BC485" i="7"/>
  <c r="BC486" i="7"/>
  <c r="BC487" i="7"/>
  <c r="BC488" i="7"/>
  <c r="BC489" i="7"/>
  <c r="BC490" i="7"/>
  <c r="BC491" i="7"/>
  <c r="BC492" i="7"/>
  <c r="BC493" i="7"/>
  <c r="BC494" i="7"/>
  <c r="BC495" i="7"/>
  <c r="BC496" i="7"/>
  <c r="BC497" i="7"/>
  <c r="BC498" i="7"/>
  <c r="BC499" i="7"/>
  <c r="BC500" i="7"/>
  <c r="BC501" i="7"/>
  <c r="BC502" i="7"/>
  <c r="BC503" i="7"/>
  <c r="BC504" i="7"/>
  <c r="BC505" i="7"/>
  <c r="BC506" i="7"/>
  <c r="BC507" i="7"/>
  <c r="BC508" i="7"/>
  <c r="BC509" i="7"/>
  <c r="BC510" i="7"/>
  <c r="BC511" i="7"/>
  <c r="BC512" i="7"/>
  <c r="BD465" i="7"/>
  <c r="BD466" i="7"/>
  <c r="BD467" i="7"/>
  <c r="BD468" i="7"/>
  <c r="BD469" i="7"/>
  <c r="BD470" i="7"/>
  <c r="BD471" i="7"/>
  <c r="BD472" i="7"/>
  <c r="BD473" i="7"/>
  <c r="BD474" i="7"/>
  <c r="BD475" i="7"/>
  <c r="BD476" i="7"/>
  <c r="BD477" i="7"/>
  <c r="BD478" i="7"/>
  <c r="BD479" i="7"/>
  <c r="BD480" i="7"/>
  <c r="BD481" i="7"/>
  <c r="BD482" i="7"/>
  <c r="BD483" i="7"/>
  <c r="BD484" i="7"/>
  <c r="BD485" i="7"/>
  <c r="BD486" i="7"/>
  <c r="BD487" i="7"/>
  <c r="BD488" i="7"/>
  <c r="BD489" i="7"/>
  <c r="BD490" i="7"/>
  <c r="BD491" i="7"/>
  <c r="BD492" i="7"/>
  <c r="BD493" i="7"/>
  <c r="BD494" i="7"/>
  <c r="BD495" i="7"/>
  <c r="BD496" i="7"/>
  <c r="BD497" i="7"/>
  <c r="BD498" i="7"/>
  <c r="BD499" i="7"/>
  <c r="BD500" i="7"/>
  <c r="BD501" i="7"/>
  <c r="BD502" i="7"/>
  <c r="BD503" i="7"/>
  <c r="BD504" i="7"/>
  <c r="BD505" i="7"/>
  <c r="BD506" i="7"/>
  <c r="BD507" i="7"/>
  <c r="BD508" i="7"/>
  <c r="BD509" i="7"/>
  <c r="BD510" i="7"/>
  <c r="BD511" i="7"/>
  <c r="BD512" i="7"/>
  <c r="BE465" i="7"/>
  <c r="BE466" i="7"/>
  <c r="BE467" i="7"/>
  <c r="BE468" i="7"/>
  <c r="BE469" i="7"/>
  <c r="BE470" i="7"/>
  <c r="BE471" i="7"/>
  <c r="BE472" i="7"/>
  <c r="BE473" i="7"/>
  <c r="BE474" i="7"/>
  <c r="BE475" i="7"/>
  <c r="BE476" i="7"/>
  <c r="BE477" i="7"/>
  <c r="BE478" i="7"/>
  <c r="BE479" i="7"/>
  <c r="BE480" i="7"/>
  <c r="BE481" i="7"/>
  <c r="BE482" i="7"/>
  <c r="BE483" i="7"/>
  <c r="BE484" i="7"/>
  <c r="BE485" i="7"/>
  <c r="BE486" i="7"/>
  <c r="BE487" i="7"/>
  <c r="BE488" i="7"/>
  <c r="BE489" i="7"/>
  <c r="BE490" i="7"/>
  <c r="BE491" i="7"/>
  <c r="BE492" i="7"/>
  <c r="BE493" i="7"/>
  <c r="BE494" i="7"/>
  <c r="BE495" i="7"/>
  <c r="BE496" i="7"/>
  <c r="BE497" i="7"/>
  <c r="BE498" i="7"/>
  <c r="BE499" i="7"/>
  <c r="BE500" i="7"/>
  <c r="BE501" i="7"/>
  <c r="BE502" i="7"/>
  <c r="BE503" i="7"/>
  <c r="BE504" i="7"/>
  <c r="BE505" i="7"/>
  <c r="BE506" i="7"/>
  <c r="BE507" i="7"/>
  <c r="BE508" i="7"/>
  <c r="BE509" i="7"/>
  <c r="BE510" i="7"/>
  <c r="BE511" i="7"/>
  <c r="BE512" i="7"/>
  <c r="BF465" i="7"/>
  <c r="BF466" i="7"/>
  <c r="BF467" i="7"/>
  <c r="BF468" i="7"/>
  <c r="BF469" i="7"/>
  <c r="BF470" i="7"/>
  <c r="BF471" i="7"/>
  <c r="BF472" i="7"/>
  <c r="BF473" i="7"/>
  <c r="BF474" i="7"/>
  <c r="BF475" i="7"/>
  <c r="BF476" i="7"/>
  <c r="BF477" i="7"/>
  <c r="BF478" i="7"/>
  <c r="BF479" i="7"/>
  <c r="BF480" i="7"/>
  <c r="BF481" i="7"/>
  <c r="BF482" i="7"/>
  <c r="BF483" i="7"/>
  <c r="BF484" i="7"/>
  <c r="BF485" i="7"/>
  <c r="BF486" i="7"/>
  <c r="BF487" i="7"/>
  <c r="BF488" i="7"/>
  <c r="BF489" i="7"/>
  <c r="BF490" i="7"/>
  <c r="BF491" i="7"/>
  <c r="BF492" i="7"/>
  <c r="BF493" i="7"/>
  <c r="BF494" i="7"/>
  <c r="BF495" i="7"/>
  <c r="BF496" i="7"/>
  <c r="BF497" i="7"/>
  <c r="BF498" i="7"/>
  <c r="BF499" i="7"/>
  <c r="BF500" i="7"/>
  <c r="BF501" i="7"/>
  <c r="BF502" i="7"/>
  <c r="BF503" i="7"/>
  <c r="BF504" i="7"/>
  <c r="BF505" i="7"/>
  <c r="BF506" i="7"/>
  <c r="BF507" i="7"/>
  <c r="BF508" i="7"/>
  <c r="BF509" i="7"/>
  <c r="BF510" i="7"/>
  <c r="BF511" i="7"/>
  <c r="BF512" i="7"/>
  <c r="BG465" i="7"/>
  <c r="BG466" i="7"/>
  <c r="BG467" i="7"/>
  <c r="BG468" i="7"/>
  <c r="BG469" i="7"/>
  <c r="BG470" i="7"/>
  <c r="BG471" i="7"/>
  <c r="BG472" i="7"/>
  <c r="BG473" i="7"/>
  <c r="BG474" i="7"/>
  <c r="BG475" i="7"/>
  <c r="BG476" i="7"/>
  <c r="BG477" i="7"/>
  <c r="BG478" i="7"/>
  <c r="BG479" i="7"/>
  <c r="BG480" i="7"/>
  <c r="BG481" i="7"/>
  <c r="BG482" i="7"/>
  <c r="BG483" i="7"/>
  <c r="BG484" i="7"/>
  <c r="BG485" i="7"/>
  <c r="BG486" i="7"/>
  <c r="BG487" i="7"/>
  <c r="BG488" i="7"/>
  <c r="BG489" i="7"/>
  <c r="BG490" i="7"/>
  <c r="BG491" i="7"/>
  <c r="BG492" i="7"/>
  <c r="BG493" i="7"/>
  <c r="BG494" i="7"/>
  <c r="BG495" i="7"/>
  <c r="BG496" i="7"/>
  <c r="BG497" i="7"/>
  <c r="BG498" i="7"/>
  <c r="BG499" i="7"/>
  <c r="BG500" i="7"/>
  <c r="BG501" i="7"/>
  <c r="BG502" i="7"/>
  <c r="BG503" i="7"/>
  <c r="BG504" i="7"/>
  <c r="BG505" i="7"/>
  <c r="BG506" i="7"/>
  <c r="BG507" i="7"/>
  <c r="BG508" i="7"/>
  <c r="BG509" i="7"/>
  <c r="BG510" i="7"/>
  <c r="BG511" i="7"/>
  <c r="BG512" i="7"/>
  <c r="BH465" i="7"/>
  <c r="BH466" i="7"/>
  <c r="BH467" i="7"/>
  <c r="BH468" i="7"/>
  <c r="BH469" i="7"/>
  <c r="BH470" i="7"/>
  <c r="BH471" i="7"/>
  <c r="BH472" i="7"/>
  <c r="BH473" i="7"/>
  <c r="BH474" i="7"/>
  <c r="BH475" i="7"/>
  <c r="BH476" i="7"/>
  <c r="BH477" i="7"/>
  <c r="BH478" i="7"/>
  <c r="BH479" i="7"/>
  <c r="BH480" i="7"/>
  <c r="BH481" i="7"/>
  <c r="BH482" i="7"/>
  <c r="BH483" i="7"/>
  <c r="BH484" i="7"/>
  <c r="BH485" i="7"/>
  <c r="BH486" i="7"/>
  <c r="BH487" i="7"/>
  <c r="BH488" i="7"/>
  <c r="BH489" i="7"/>
  <c r="BH490" i="7"/>
  <c r="BH491" i="7"/>
  <c r="BH492" i="7"/>
  <c r="BH493" i="7"/>
  <c r="BH494" i="7"/>
  <c r="BH495" i="7"/>
  <c r="BH496" i="7"/>
  <c r="BH497" i="7"/>
  <c r="BH498" i="7"/>
  <c r="BH499" i="7"/>
  <c r="BH500" i="7"/>
  <c r="BH501" i="7"/>
  <c r="BH502" i="7"/>
  <c r="BH503" i="7"/>
  <c r="BH504" i="7"/>
  <c r="BH505" i="7"/>
  <c r="BH506" i="7"/>
  <c r="BH507" i="7"/>
  <c r="BH508" i="7"/>
  <c r="BH509" i="7"/>
  <c r="BH510" i="7"/>
  <c r="BH511" i="7"/>
  <c r="BH512" i="7"/>
  <c r="BI465" i="7"/>
  <c r="BI466" i="7"/>
  <c r="BI467" i="7"/>
  <c r="BI468" i="7"/>
  <c r="BI469" i="7"/>
  <c r="BI470" i="7"/>
  <c r="BI471" i="7"/>
  <c r="BI472" i="7"/>
  <c r="BI473" i="7"/>
  <c r="BI474" i="7"/>
  <c r="BI475" i="7"/>
  <c r="BI476" i="7"/>
  <c r="BI477" i="7"/>
  <c r="BI478" i="7"/>
  <c r="BI479" i="7"/>
  <c r="BI480" i="7"/>
  <c r="BI481" i="7"/>
  <c r="BI482" i="7"/>
  <c r="BI483" i="7"/>
  <c r="BI484" i="7"/>
  <c r="BI485" i="7"/>
  <c r="BI486" i="7"/>
  <c r="BI487" i="7"/>
  <c r="BI488" i="7"/>
  <c r="BI489" i="7"/>
  <c r="BI490" i="7"/>
  <c r="BI491" i="7"/>
  <c r="BI492" i="7"/>
  <c r="BI493" i="7"/>
  <c r="BI494" i="7"/>
  <c r="BI495" i="7"/>
  <c r="BI496" i="7"/>
  <c r="BI497" i="7"/>
  <c r="BI498" i="7"/>
  <c r="BI499" i="7"/>
  <c r="BI500" i="7"/>
  <c r="BI501" i="7"/>
  <c r="BI502" i="7"/>
  <c r="BI503" i="7"/>
  <c r="BI504" i="7"/>
  <c r="BI505" i="7"/>
  <c r="BI506" i="7"/>
  <c r="BI507" i="7"/>
  <c r="BI508" i="7"/>
  <c r="BI509" i="7"/>
  <c r="BI510" i="7"/>
  <c r="BI511" i="7"/>
  <c r="BI512" i="7"/>
  <c r="BJ465" i="7"/>
  <c r="BJ466" i="7"/>
  <c r="BJ467" i="7"/>
  <c r="BJ468" i="7"/>
  <c r="BJ469" i="7"/>
  <c r="BJ470" i="7"/>
  <c r="BJ471" i="7"/>
  <c r="BJ472" i="7"/>
  <c r="BJ473" i="7"/>
  <c r="BJ474" i="7"/>
  <c r="BJ475" i="7"/>
  <c r="BJ476" i="7"/>
  <c r="BJ477" i="7"/>
  <c r="BJ478" i="7"/>
  <c r="BJ479" i="7"/>
  <c r="BJ480" i="7"/>
  <c r="BJ481" i="7"/>
  <c r="BJ482" i="7"/>
  <c r="BJ483" i="7"/>
  <c r="BJ484" i="7"/>
  <c r="BJ485" i="7"/>
  <c r="BJ486" i="7"/>
  <c r="BJ487" i="7"/>
  <c r="BJ488" i="7"/>
  <c r="BJ489" i="7"/>
  <c r="BJ490" i="7"/>
  <c r="BJ491" i="7"/>
  <c r="BJ492" i="7"/>
  <c r="BJ493" i="7"/>
  <c r="BJ494" i="7"/>
  <c r="BJ495" i="7"/>
  <c r="BJ496" i="7"/>
  <c r="BJ497" i="7"/>
  <c r="BJ498" i="7"/>
  <c r="BJ499" i="7"/>
  <c r="BJ500" i="7"/>
  <c r="BJ501" i="7"/>
  <c r="BJ502" i="7"/>
  <c r="BJ503" i="7"/>
  <c r="BJ504" i="7"/>
  <c r="BJ505" i="7"/>
  <c r="BJ506" i="7"/>
  <c r="BJ507" i="7"/>
  <c r="BJ508" i="7"/>
  <c r="BJ509" i="7"/>
  <c r="BJ510" i="7"/>
  <c r="BJ511" i="7"/>
  <c r="BJ512" i="7"/>
  <c r="BK465" i="7"/>
  <c r="BK466" i="7"/>
  <c r="BK467" i="7"/>
  <c r="BK468" i="7"/>
  <c r="BK469" i="7"/>
  <c r="BK470" i="7"/>
  <c r="BK471" i="7"/>
  <c r="BK472" i="7"/>
  <c r="BK473" i="7"/>
  <c r="BK474" i="7"/>
  <c r="BK475" i="7"/>
  <c r="BK476" i="7"/>
  <c r="BK477" i="7"/>
  <c r="BK478" i="7"/>
  <c r="BK479" i="7"/>
  <c r="BK480" i="7"/>
  <c r="BK481" i="7"/>
  <c r="BK482" i="7"/>
  <c r="BK483" i="7"/>
  <c r="BK484" i="7"/>
  <c r="BK485" i="7"/>
  <c r="BK486" i="7"/>
  <c r="BK487" i="7"/>
  <c r="BK488" i="7"/>
  <c r="BK489" i="7"/>
  <c r="BK490" i="7"/>
  <c r="BK491" i="7"/>
  <c r="BK492" i="7"/>
  <c r="BK493" i="7"/>
  <c r="BK494" i="7"/>
  <c r="BK495" i="7"/>
  <c r="BK496" i="7"/>
  <c r="BK497" i="7"/>
  <c r="BK498" i="7"/>
  <c r="BK499" i="7"/>
  <c r="BK500" i="7"/>
  <c r="BK501" i="7"/>
  <c r="BK502" i="7"/>
  <c r="BK503" i="7"/>
  <c r="BK504" i="7"/>
  <c r="BK505" i="7"/>
  <c r="BK506" i="7"/>
  <c r="BK507" i="7"/>
  <c r="BK508" i="7"/>
  <c r="BK509" i="7"/>
  <c r="BK510" i="7"/>
  <c r="BK511" i="7"/>
  <c r="BK512" i="7"/>
  <c r="BP474" i="7"/>
  <c r="BO481" i="7"/>
  <c r="BO480" i="7"/>
  <c r="BM480" i="7"/>
  <c r="BM481" i="7"/>
  <c r="BP481" i="7"/>
  <c r="BO488" i="7"/>
  <c r="BO487" i="7"/>
  <c r="BM487" i="7"/>
  <c r="BM488" i="7"/>
  <c r="BP488" i="7"/>
  <c r="BO495" i="7"/>
  <c r="BO494" i="7"/>
  <c r="BM494" i="7"/>
  <c r="BM495" i="7"/>
  <c r="BP495" i="7"/>
  <c r="BO531" i="7"/>
  <c r="BO530" i="7"/>
  <c r="BM530" i="7"/>
  <c r="BM531" i="7"/>
  <c r="AX522" i="7"/>
  <c r="AX523" i="7"/>
  <c r="AX524" i="7"/>
  <c r="AX525" i="7"/>
  <c r="AX526" i="7"/>
  <c r="AX527" i="7"/>
  <c r="AX528" i="7"/>
  <c r="AX529" i="7"/>
  <c r="AX530" i="7"/>
  <c r="AX531" i="7"/>
  <c r="AX532" i="7"/>
  <c r="AX533" i="7"/>
  <c r="AX534" i="7"/>
  <c r="AX535" i="7"/>
  <c r="AX536" i="7"/>
  <c r="AX537" i="7"/>
  <c r="AX538" i="7"/>
  <c r="AX539" i="7"/>
  <c r="AX540" i="7"/>
  <c r="AX541" i="7"/>
  <c r="AX542" i="7"/>
  <c r="AX543" i="7"/>
  <c r="AX544" i="7"/>
  <c r="AX545" i="7"/>
  <c r="AX546" i="7"/>
  <c r="AX547" i="7"/>
  <c r="AX548" i="7"/>
  <c r="AX549" i="7"/>
  <c r="AX550" i="7"/>
  <c r="AX551" i="7"/>
  <c r="AX552" i="7"/>
  <c r="AX553" i="7"/>
  <c r="AX554" i="7"/>
  <c r="AX555" i="7"/>
  <c r="AX556" i="7"/>
  <c r="AX557" i="7"/>
  <c r="AX558" i="7"/>
  <c r="AX559" i="7"/>
  <c r="AX560" i="7"/>
  <c r="AX561" i="7"/>
  <c r="AX562" i="7"/>
  <c r="AX563" i="7"/>
  <c r="AX564" i="7"/>
  <c r="AX565" i="7"/>
  <c r="AX566" i="7"/>
  <c r="AX567" i="7"/>
  <c r="AX568" i="7"/>
  <c r="AX569" i="7"/>
  <c r="AY522" i="7"/>
  <c r="AY523" i="7"/>
  <c r="AY524" i="7"/>
  <c r="AY525" i="7"/>
  <c r="AY526" i="7"/>
  <c r="AY527" i="7"/>
  <c r="AY528" i="7"/>
  <c r="AY529" i="7"/>
  <c r="AY530" i="7"/>
  <c r="AY531" i="7"/>
  <c r="AY532" i="7"/>
  <c r="AY533" i="7"/>
  <c r="AY534" i="7"/>
  <c r="AY535" i="7"/>
  <c r="AY536" i="7"/>
  <c r="AY537" i="7"/>
  <c r="AY538" i="7"/>
  <c r="AY539" i="7"/>
  <c r="AY540" i="7"/>
  <c r="AY541" i="7"/>
  <c r="AY542" i="7"/>
  <c r="AY543" i="7"/>
  <c r="AY544" i="7"/>
  <c r="AY545" i="7"/>
  <c r="AY546" i="7"/>
  <c r="AY547" i="7"/>
  <c r="AY548" i="7"/>
  <c r="AY549" i="7"/>
  <c r="AY550" i="7"/>
  <c r="AY551" i="7"/>
  <c r="AY552" i="7"/>
  <c r="AY553" i="7"/>
  <c r="AY554" i="7"/>
  <c r="AY555" i="7"/>
  <c r="AY556" i="7"/>
  <c r="AY557" i="7"/>
  <c r="AY558" i="7"/>
  <c r="AY559" i="7"/>
  <c r="AY560" i="7"/>
  <c r="AY561" i="7"/>
  <c r="AY562" i="7"/>
  <c r="AY563" i="7"/>
  <c r="AY564" i="7"/>
  <c r="AY565" i="7"/>
  <c r="AY566" i="7"/>
  <c r="AY567" i="7"/>
  <c r="AY568" i="7"/>
  <c r="AY569" i="7"/>
  <c r="AZ522" i="7"/>
  <c r="AZ523" i="7"/>
  <c r="AZ524" i="7"/>
  <c r="AZ525" i="7"/>
  <c r="AZ526" i="7"/>
  <c r="AZ527" i="7"/>
  <c r="AZ528" i="7"/>
  <c r="AZ529" i="7"/>
  <c r="AZ530" i="7"/>
  <c r="AZ531" i="7"/>
  <c r="AZ532" i="7"/>
  <c r="AZ533" i="7"/>
  <c r="AZ534" i="7"/>
  <c r="AZ535" i="7"/>
  <c r="AZ536" i="7"/>
  <c r="AZ537" i="7"/>
  <c r="AZ538" i="7"/>
  <c r="AZ539" i="7"/>
  <c r="AZ540" i="7"/>
  <c r="AZ541" i="7"/>
  <c r="AZ542" i="7"/>
  <c r="AZ543" i="7"/>
  <c r="AZ544" i="7"/>
  <c r="AZ545" i="7"/>
  <c r="AZ546" i="7"/>
  <c r="AZ547" i="7"/>
  <c r="AZ548" i="7"/>
  <c r="AZ549" i="7"/>
  <c r="AZ550" i="7"/>
  <c r="AZ551" i="7"/>
  <c r="AZ552" i="7"/>
  <c r="AZ553" i="7"/>
  <c r="AZ554" i="7"/>
  <c r="AZ555" i="7"/>
  <c r="AZ556" i="7"/>
  <c r="AZ557" i="7"/>
  <c r="AZ558" i="7"/>
  <c r="AZ559" i="7"/>
  <c r="AZ560" i="7"/>
  <c r="AZ561" i="7"/>
  <c r="AZ562" i="7"/>
  <c r="AZ563" i="7"/>
  <c r="AZ564" i="7"/>
  <c r="AZ565" i="7"/>
  <c r="AZ566" i="7"/>
  <c r="AZ567" i="7"/>
  <c r="AZ568" i="7"/>
  <c r="AZ569" i="7"/>
  <c r="BA522" i="7"/>
  <c r="BA523" i="7"/>
  <c r="BA524" i="7"/>
  <c r="BA525" i="7"/>
  <c r="BA526" i="7"/>
  <c r="BA527" i="7"/>
  <c r="BA528" i="7"/>
  <c r="BA529" i="7"/>
  <c r="BA530" i="7"/>
  <c r="BA531" i="7"/>
  <c r="BA532" i="7"/>
  <c r="BA533" i="7"/>
  <c r="BA534" i="7"/>
  <c r="BA535" i="7"/>
  <c r="BA536" i="7"/>
  <c r="BA537" i="7"/>
  <c r="BA538" i="7"/>
  <c r="BA539" i="7"/>
  <c r="BA540" i="7"/>
  <c r="BA541" i="7"/>
  <c r="BA542" i="7"/>
  <c r="BA543" i="7"/>
  <c r="BA544" i="7"/>
  <c r="BA545" i="7"/>
  <c r="BA546" i="7"/>
  <c r="BA547" i="7"/>
  <c r="BA548" i="7"/>
  <c r="BA549" i="7"/>
  <c r="BA550" i="7"/>
  <c r="BA551" i="7"/>
  <c r="BA552" i="7"/>
  <c r="BA553" i="7"/>
  <c r="BA554" i="7"/>
  <c r="BA555" i="7"/>
  <c r="BA556" i="7"/>
  <c r="BA557" i="7"/>
  <c r="BA558" i="7"/>
  <c r="BA559" i="7"/>
  <c r="BA560" i="7"/>
  <c r="BA561" i="7"/>
  <c r="BA562" i="7"/>
  <c r="BA563" i="7"/>
  <c r="BA564" i="7"/>
  <c r="BA565" i="7"/>
  <c r="BA566" i="7"/>
  <c r="BA567" i="7"/>
  <c r="BA568" i="7"/>
  <c r="BA569" i="7"/>
  <c r="BB522" i="7"/>
  <c r="BB523" i="7"/>
  <c r="BB524" i="7"/>
  <c r="BB525" i="7"/>
  <c r="BB526" i="7"/>
  <c r="BB527" i="7"/>
  <c r="BB528" i="7"/>
  <c r="BB529" i="7"/>
  <c r="BB530" i="7"/>
  <c r="BB531" i="7"/>
  <c r="BB532" i="7"/>
  <c r="BB533" i="7"/>
  <c r="BB534" i="7"/>
  <c r="BB535" i="7"/>
  <c r="BB536" i="7"/>
  <c r="BB537" i="7"/>
  <c r="BB538" i="7"/>
  <c r="BB539" i="7"/>
  <c r="BB540" i="7"/>
  <c r="BB541" i="7"/>
  <c r="BB542" i="7"/>
  <c r="BB543" i="7"/>
  <c r="BB544" i="7"/>
  <c r="BB545" i="7"/>
  <c r="BB546" i="7"/>
  <c r="BB547" i="7"/>
  <c r="BB548" i="7"/>
  <c r="BB549" i="7"/>
  <c r="BB550" i="7"/>
  <c r="BB551" i="7"/>
  <c r="BB552" i="7"/>
  <c r="BB553" i="7"/>
  <c r="BB554" i="7"/>
  <c r="BB555" i="7"/>
  <c r="BB556" i="7"/>
  <c r="BB557" i="7"/>
  <c r="BB558" i="7"/>
  <c r="BB559" i="7"/>
  <c r="BB560" i="7"/>
  <c r="BB561" i="7"/>
  <c r="BB562" i="7"/>
  <c r="BB563" i="7"/>
  <c r="BB564" i="7"/>
  <c r="BB565" i="7"/>
  <c r="BB566" i="7"/>
  <c r="BB567" i="7"/>
  <c r="BB568" i="7"/>
  <c r="BB569" i="7"/>
  <c r="BC522" i="7"/>
  <c r="BC523" i="7"/>
  <c r="BC524" i="7"/>
  <c r="BC525" i="7"/>
  <c r="BC526" i="7"/>
  <c r="BC527" i="7"/>
  <c r="BC528" i="7"/>
  <c r="BC529" i="7"/>
  <c r="BC530" i="7"/>
  <c r="BC531" i="7"/>
  <c r="BC532" i="7"/>
  <c r="BC533" i="7"/>
  <c r="BC534" i="7"/>
  <c r="BC535" i="7"/>
  <c r="BC536" i="7"/>
  <c r="BC537" i="7"/>
  <c r="BC538" i="7"/>
  <c r="BC539" i="7"/>
  <c r="BC540" i="7"/>
  <c r="BC541" i="7"/>
  <c r="BC542" i="7"/>
  <c r="BC543" i="7"/>
  <c r="BC544" i="7"/>
  <c r="BC545" i="7"/>
  <c r="BC546" i="7"/>
  <c r="BC547" i="7"/>
  <c r="BC548" i="7"/>
  <c r="BC549" i="7"/>
  <c r="BC550" i="7"/>
  <c r="BC551" i="7"/>
  <c r="BC552" i="7"/>
  <c r="BC553" i="7"/>
  <c r="BC554" i="7"/>
  <c r="BC555" i="7"/>
  <c r="BC556" i="7"/>
  <c r="BC557" i="7"/>
  <c r="BC558" i="7"/>
  <c r="BC559" i="7"/>
  <c r="BC560" i="7"/>
  <c r="BC561" i="7"/>
  <c r="BC562" i="7"/>
  <c r="BC563" i="7"/>
  <c r="BC564" i="7"/>
  <c r="BC565" i="7"/>
  <c r="BC566" i="7"/>
  <c r="BC567" i="7"/>
  <c r="BC568" i="7"/>
  <c r="BC569" i="7"/>
  <c r="BD522" i="7"/>
  <c r="BD523" i="7"/>
  <c r="BD524" i="7"/>
  <c r="BD525" i="7"/>
  <c r="BD526" i="7"/>
  <c r="BD527" i="7"/>
  <c r="BD528" i="7"/>
  <c r="BD529" i="7"/>
  <c r="BD530" i="7"/>
  <c r="BD531" i="7"/>
  <c r="BD532" i="7"/>
  <c r="BD533" i="7"/>
  <c r="BD534" i="7"/>
  <c r="BD535" i="7"/>
  <c r="BD536" i="7"/>
  <c r="BD537" i="7"/>
  <c r="BD538" i="7"/>
  <c r="BD539" i="7"/>
  <c r="BD540" i="7"/>
  <c r="BD541" i="7"/>
  <c r="BD542" i="7"/>
  <c r="BD543" i="7"/>
  <c r="BD544" i="7"/>
  <c r="BD545" i="7"/>
  <c r="BD546" i="7"/>
  <c r="BD547" i="7"/>
  <c r="BD548" i="7"/>
  <c r="BD549" i="7"/>
  <c r="BD550" i="7"/>
  <c r="BD551" i="7"/>
  <c r="BD552" i="7"/>
  <c r="BD553" i="7"/>
  <c r="BD554" i="7"/>
  <c r="BD555" i="7"/>
  <c r="BD556" i="7"/>
  <c r="BD557" i="7"/>
  <c r="BD558" i="7"/>
  <c r="BD559" i="7"/>
  <c r="BD560" i="7"/>
  <c r="BD561" i="7"/>
  <c r="BD562" i="7"/>
  <c r="BD563" i="7"/>
  <c r="BD564" i="7"/>
  <c r="BD565" i="7"/>
  <c r="BD566" i="7"/>
  <c r="BD567" i="7"/>
  <c r="BD568" i="7"/>
  <c r="BD569" i="7"/>
  <c r="BE522" i="7"/>
  <c r="BE523" i="7"/>
  <c r="BE524" i="7"/>
  <c r="BE525" i="7"/>
  <c r="BE526" i="7"/>
  <c r="BE527" i="7"/>
  <c r="BE528" i="7"/>
  <c r="BE529" i="7"/>
  <c r="BE530" i="7"/>
  <c r="BE531" i="7"/>
  <c r="BE532" i="7"/>
  <c r="BE533" i="7"/>
  <c r="BE534" i="7"/>
  <c r="BE535" i="7"/>
  <c r="BE536" i="7"/>
  <c r="BE537" i="7"/>
  <c r="BE538" i="7"/>
  <c r="BE539" i="7"/>
  <c r="BE540" i="7"/>
  <c r="BE541" i="7"/>
  <c r="BE542" i="7"/>
  <c r="BE543" i="7"/>
  <c r="BE544" i="7"/>
  <c r="BE545" i="7"/>
  <c r="BE546" i="7"/>
  <c r="BE547" i="7"/>
  <c r="BE548" i="7"/>
  <c r="BE549" i="7"/>
  <c r="BE550" i="7"/>
  <c r="BE551" i="7"/>
  <c r="BE552" i="7"/>
  <c r="BE553" i="7"/>
  <c r="BE554" i="7"/>
  <c r="BE555" i="7"/>
  <c r="BE556" i="7"/>
  <c r="BE557" i="7"/>
  <c r="BE558" i="7"/>
  <c r="BE559" i="7"/>
  <c r="BE560" i="7"/>
  <c r="BE561" i="7"/>
  <c r="BE562" i="7"/>
  <c r="BE563" i="7"/>
  <c r="BE564" i="7"/>
  <c r="BE565" i="7"/>
  <c r="BE566" i="7"/>
  <c r="BE567" i="7"/>
  <c r="BE568" i="7"/>
  <c r="BE569" i="7"/>
  <c r="BF522" i="7"/>
  <c r="BF523" i="7"/>
  <c r="BF524" i="7"/>
  <c r="BF525" i="7"/>
  <c r="BF526" i="7"/>
  <c r="BF527" i="7"/>
  <c r="BF528" i="7"/>
  <c r="BF529" i="7"/>
  <c r="BF530" i="7"/>
  <c r="BF531" i="7"/>
  <c r="BF532" i="7"/>
  <c r="BF533" i="7"/>
  <c r="BF534" i="7"/>
  <c r="BF535" i="7"/>
  <c r="BF536" i="7"/>
  <c r="BF537" i="7"/>
  <c r="BF538" i="7"/>
  <c r="BF539" i="7"/>
  <c r="BF540" i="7"/>
  <c r="BF541" i="7"/>
  <c r="BF542" i="7"/>
  <c r="BF543" i="7"/>
  <c r="BF544" i="7"/>
  <c r="BF545" i="7"/>
  <c r="BF546" i="7"/>
  <c r="BF547" i="7"/>
  <c r="BF548" i="7"/>
  <c r="BF549" i="7"/>
  <c r="BF550" i="7"/>
  <c r="BF551" i="7"/>
  <c r="BF552" i="7"/>
  <c r="BF553" i="7"/>
  <c r="BF554" i="7"/>
  <c r="BF555" i="7"/>
  <c r="BF556" i="7"/>
  <c r="BF557" i="7"/>
  <c r="BF558" i="7"/>
  <c r="BF559" i="7"/>
  <c r="BF560" i="7"/>
  <c r="BF561" i="7"/>
  <c r="BF562" i="7"/>
  <c r="BF563" i="7"/>
  <c r="BF564" i="7"/>
  <c r="BF565" i="7"/>
  <c r="BF566" i="7"/>
  <c r="BF567" i="7"/>
  <c r="BF568" i="7"/>
  <c r="BF569" i="7"/>
  <c r="BG522" i="7"/>
  <c r="BG523" i="7"/>
  <c r="BG524" i="7"/>
  <c r="BG525" i="7"/>
  <c r="BG526" i="7"/>
  <c r="BG527" i="7"/>
  <c r="BG528" i="7"/>
  <c r="BG529" i="7"/>
  <c r="BG530" i="7"/>
  <c r="BG531" i="7"/>
  <c r="BG532" i="7"/>
  <c r="BG533" i="7"/>
  <c r="BG534" i="7"/>
  <c r="BG535" i="7"/>
  <c r="BG536" i="7"/>
  <c r="BG537" i="7"/>
  <c r="BG538" i="7"/>
  <c r="BG539" i="7"/>
  <c r="BG540" i="7"/>
  <c r="BG541" i="7"/>
  <c r="BG542" i="7"/>
  <c r="BG543" i="7"/>
  <c r="BG544" i="7"/>
  <c r="BG545" i="7"/>
  <c r="BG546" i="7"/>
  <c r="BG547" i="7"/>
  <c r="BG548" i="7"/>
  <c r="BG549" i="7"/>
  <c r="BG550" i="7"/>
  <c r="BG551" i="7"/>
  <c r="BG552" i="7"/>
  <c r="BG553" i="7"/>
  <c r="BG554" i="7"/>
  <c r="BG555" i="7"/>
  <c r="BG556" i="7"/>
  <c r="BG557" i="7"/>
  <c r="BG558" i="7"/>
  <c r="BG559" i="7"/>
  <c r="BG560" i="7"/>
  <c r="BG561" i="7"/>
  <c r="BG562" i="7"/>
  <c r="BG563" i="7"/>
  <c r="BG564" i="7"/>
  <c r="BG565" i="7"/>
  <c r="BG566" i="7"/>
  <c r="BG567" i="7"/>
  <c r="BG568" i="7"/>
  <c r="BG569" i="7"/>
  <c r="BH522" i="7"/>
  <c r="BH523" i="7"/>
  <c r="BH524" i="7"/>
  <c r="BH525" i="7"/>
  <c r="BH526" i="7"/>
  <c r="BH527" i="7"/>
  <c r="BH528" i="7"/>
  <c r="BH529" i="7"/>
  <c r="BH530" i="7"/>
  <c r="BH531" i="7"/>
  <c r="BH532" i="7"/>
  <c r="BH533" i="7"/>
  <c r="BH534" i="7"/>
  <c r="BH535" i="7"/>
  <c r="BH536" i="7"/>
  <c r="BH537" i="7"/>
  <c r="BH538" i="7"/>
  <c r="BH539" i="7"/>
  <c r="BH540" i="7"/>
  <c r="BH541" i="7"/>
  <c r="BH542" i="7"/>
  <c r="BH543" i="7"/>
  <c r="BH544" i="7"/>
  <c r="BH545" i="7"/>
  <c r="BH546" i="7"/>
  <c r="BH547" i="7"/>
  <c r="BH548" i="7"/>
  <c r="BH549" i="7"/>
  <c r="BH550" i="7"/>
  <c r="BH551" i="7"/>
  <c r="BH552" i="7"/>
  <c r="BH553" i="7"/>
  <c r="BH554" i="7"/>
  <c r="BH555" i="7"/>
  <c r="BH556" i="7"/>
  <c r="BH557" i="7"/>
  <c r="BH558" i="7"/>
  <c r="BH559" i="7"/>
  <c r="BH560" i="7"/>
  <c r="BH561" i="7"/>
  <c r="BH562" i="7"/>
  <c r="BH563" i="7"/>
  <c r="BH564" i="7"/>
  <c r="BH565" i="7"/>
  <c r="BH566" i="7"/>
  <c r="BH567" i="7"/>
  <c r="BH568" i="7"/>
  <c r="BH569" i="7"/>
  <c r="BI522" i="7"/>
  <c r="BI523" i="7"/>
  <c r="BI524" i="7"/>
  <c r="BI525" i="7"/>
  <c r="BI526" i="7"/>
  <c r="BI527" i="7"/>
  <c r="BI528" i="7"/>
  <c r="BI529" i="7"/>
  <c r="BI530" i="7"/>
  <c r="BI531" i="7"/>
  <c r="BI532" i="7"/>
  <c r="BI533" i="7"/>
  <c r="BI534" i="7"/>
  <c r="BI535" i="7"/>
  <c r="BI536" i="7"/>
  <c r="BI537" i="7"/>
  <c r="BI538" i="7"/>
  <c r="BI539" i="7"/>
  <c r="BI540" i="7"/>
  <c r="BI541" i="7"/>
  <c r="BI542" i="7"/>
  <c r="BI543" i="7"/>
  <c r="BI544" i="7"/>
  <c r="BI545" i="7"/>
  <c r="BI546" i="7"/>
  <c r="BI547" i="7"/>
  <c r="BI548" i="7"/>
  <c r="BI549" i="7"/>
  <c r="BI550" i="7"/>
  <c r="BI551" i="7"/>
  <c r="BI552" i="7"/>
  <c r="BI553" i="7"/>
  <c r="BI554" i="7"/>
  <c r="BI555" i="7"/>
  <c r="BI556" i="7"/>
  <c r="BI557" i="7"/>
  <c r="BI558" i="7"/>
  <c r="BI559" i="7"/>
  <c r="BI560" i="7"/>
  <c r="BI561" i="7"/>
  <c r="BI562" i="7"/>
  <c r="BI563" i="7"/>
  <c r="BI564" i="7"/>
  <c r="BI565" i="7"/>
  <c r="BI566" i="7"/>
  <c r="BI567" i="7"/>
  <c r="BI568" i="7"/>
  <c r="BI569" i="7"/>
  <c r="BJ522" i="7"/>
  <c r="BJ523" i="7"/>
  <c r="BJ524" i="7"/>
  <c r="BJ525" i="7"/>
  <c r="BJ526" i="7"/>
  <c r="BJ527" i="7"/>
  <c r="BJ528" i="7"/>
  <c r="BJ529" i="7"/>
  <c r="BJ530" i="7"/>
  <c r="BJ531" i="7"/>
  <c r="BJ532" i="7"/>
  <c r="BJ533" i="7"/>
  <c r="BJ534" i="7"/>
  <c r="BJ535" i="7"/>
  <c r="BJ536" i="7"/>
  <c r="BJ537" i="7"/>
  <c r="BJ538" i="7"/>
  <c r="BJ539" i="7"/>
  <c r="BJ540" i="7"/>
  <c r="BJ541" i="7"/>
  <c r="BJ542" i="7"/>
  <c r="BJ543" i="7"/>
  <c r="BJ544" i="7"/>
  <c r="BJ545" i="7"/>
  <c r="BJ546" i="7"/>
  <c r="BJ547" i="7"/>
  <c r="BJ548" i="7"/>
  <c r="BJ549" i="7"/>
  <c r="BJ550" i="7"/>
  <c r="BJ551" i="7"/>
  <c r="BJ552" i="7"/>
  <c r="BJ553" i="7"/>
  <c r="BJ554" i="7"/>
  <c r="BJ555" i="7"/>
  <c r="BJ556" i="7"/>
  <c r="BJ557" i="7"/>
  <c r="BJ558" i="7"/>
  <c r="BJ559" i="7"/>
  <c r="BJ560" i="7"/>
  <c r="BJ561" i="7"/>
  <c r="BJ562" i="7"/>
  <c r="BJ563" i="7"/>
  <c r="BJ564" i="7"/>
  <c r="BJ565" i="7"/>
  <c r="BJ566" i="7"/>
  <c r="BJ567" i="7"/>
  <c r="BJ568" i="7"/>
  <c r="BJ569" i="7"/>
  <c r="BK522" i="7"/>
  <c r="BK523" i="7"/>
  <c r="BK524" i="7"/>
  <c r="BK525" i="7"/>
  <c r="BK526" i="7"/>
  <c r="BK527" i="7"/>
  <c r="BK528" i="7"/>
  <c r="BK529" i="7"/>
  <c r="BK530" i="7"/>
  <c r="BK531" i="7"/>
  <c r="BK532" i="7"/>
  <c r="BK533" i="7"/>
  <c r="BK534" i="7"/>
  <c r="BK535" i="7"/>
  <c r="BK536" i="7"/>
  <c r="BK537" i="7"/>
  <c r="BK538" i="7"/>
  <c r="BK539" i="7"/>
  <c r="BK540" i="7"/>
  <c r="BK541" i="7"/>
  <c r="BK542" i="7"/>
  <c r="BK543" i="7"/>
  <c r="BK544" i="7"/>
  <c r="BK545" i="7"/>
  <c r="BK546" i="7"/>
  <c r="BK547" i="7"/>
  <c r="BK548" i="7"/>
  <c r="BK549" i="7"/>
  <c r="BK550" i="7"/>
  <c r="BK551" i="7"/>
  <c r="BK552" i="7"/>
  <c r="BK553" i="7"/>
  <c r="BK554" i="7"/>
  <c r="BK555" i="7"/>
  <c r="BK556" i="7"/>
  <c r="BK557" i="7"/>
  <c r="BK558" i="7"/>
  <c r="BK559" i="7"/>
  <c r="BK560" i="7"/>
  <c r="BK561" i="7"/>
  <c r="BK562" i="7"/>
  <c r="BK563" i="7"/>
  <c r="BK564" i="7"/>
  <c r="BK565" i="7"/>
  <c r="BK566" i="7"/>
  <c r="BK567" i="7"/>
  <c r="BK568" i="7"/>
  <c r="BK569" i="7"/>
  <c r="BP531" i="7"/>
  <c r="BO538" i="7"/>
  <c r="BO537" i="7"/>
  <c r="BM537" i="7"/>
  <c r="BM538" i="7"/>
  <c r="BP538" i="7"/>
  <c r="BO545" i="7"/>
  <c r="BO544" i="7"/>
  <c r="BM544" i="7"/>
  <c r="BM545" i="7"/>
  <c r="BP545" i="7"/>
  <c r="BO552" i="7"/>
  <c r="BO551" i="7"/>
  <c r="BM551" i="7"/>
  <c r="BM552" i="7"/>
  <c r="BP552" i="7"/>
  <c r="BO588" i="7"/>
  <c r="BO587" i="7"/>
  <c r="BM587" i="7"/>
  <c r="BM588" i="7"/>
  <c r="AX579" i="7"/>
  <c r="AX580" i="7"/>
  <c r="AX581" i="7"/>
  <c r="AX582" i="7"/>
  <c r="AX583" i="7"/>
  <c r="AX584" i="7"/>
  <c r="AX585" i="7"/>
  <c r="AX586" i="7"/>
  <c r="AX587" i="7"/>
  <c r="AX588" i="7"/>
  <c r="AX589" i="7"/>
  <c r="AX590" i="7"/>
  <c r="AX591" i="7"/>
  <c r="AX592" i="7"/>
  <c r="AX593" i="7"/>
  <c r="AX594" i="7"/>
  <c r="AX595" i="7"/>
  <c r="AX596" i="7"/>
  <c r="AX597" i="7"/>
  <c r="AX598" i="7"/>
  <c r="AX599" i="7"/>
  <c r="AX600" i="7"/>
  <c r="AX601" i="7"/>
  <c r="AX602" i="7"/>
  <c r="AX603" i="7"/>
  <c r="AX604" i="7"/>
  <c r="AX605" i="7"/>
  <c r="AX606" i="7"/>
  <c r="AX607" i="7"/>
  <c r="AX608" i="7"/>
  <c r="AX609" i="7"/>
  <c r="AX610" i="7"/>
  <c r="AX611" i="7"/>
  <c r="AX612" i="7"/>
  <c r="AX613" i="7"/>
  <c r="AX614" i="7"/>
  <c r="AX615" i="7"/>
  <c r="AX616" i="7"/>
  <c r="AX617" i="7"/>
  <c r="AX618" i="7"/>
  <c r="AX619" i="7"/>
  <c r="AX620" i="7"/>
  <c r="AX621" i="7"/>
  <c r="AX622" i="7"/>
  <c r="AX623" i="7"/>
  <c r="AX624" i="7"/>
  <c r="AX625" i="7"/>
  <c r="AX626" i="7"/>
  <c r="AY579" i="7"/>
  <c r="AY580" i="7"/>
  <c r="AY581" i="7"/>
  <c r="AY582" i="7"/>
  <c r="AY583" i="7"/>
  <c r="AY584" i="7"/>
  <c r="AY585" i="7"/>
  <c r="AY586" i="7"/>
  <c r="AY587" i="7"/>
  <c r="AY588" i="7"/>
  <c r="AY589" i="7"/>
  <c r="AY590" i="7"/>
  <c r="AY591" i="7"/>
  <c r="AY592" i="7"/>
  <c r="AY593" i="7"/>
  <c r="AY594" i="7"/>
  <c r="AY595" i="7"/>
  <c r="AY596" i="7"/>
  <c r="AY597" i="7"/>
  <c r="AY598" i="7"/>
  <c r="AY599" i="7"/>
  <c r="AY600" i="7"/>
  <c r="AY601" i="7"/>
  <c r="AY602" i="7"/>
  <c r="AY603" i="7"/>
  <c r="AY604" i="7"/>
  <c r="AY605" i="7"/>
  <c r="AY606" i="7"/>
  <c r="AY607" i="7"/>
  <c r="AY608" i="7"/>
  <c r="AY609" i="7"/>
  <c r="AY610" i="7"/>
  <c r="AY611" i="7"/>
  <c r="AY612" i="7"/>
  <c r="AY613" i="7"/>
  <c r="AY614" i="7"/>
  <c r="AY615" i="7"/>
  <c r="AY616" i="7"/>
  <c r="AY617" i="7"/>
  <c r="AY618" i="7"/>
  <c r="AY619" i="7"/>
  <c r="AY620" i="7"/>
  <c r="AY621" i="7"/>
  <c r="AY622" i="7"/>
  <c r="AY623" i="7"/>
  <c r="AY624" i="7"/>
  <c r="AY625" i="7"/>
  <c r="AY626" i="7"/>
  <c r="AZ579" i="7"/>
  <c r="AZ580" i="7"/>
  <c r="AZ581" i="7"/>
  <c r="AZ582" i="7"/>
  <c r="AZ583" i="7"/>
  <c r="AZ584" i="7"/>
  <c r="AZ585" i="7"/>
  <c r="AZ586" i="7"/>
  <c r="AZ587" i="7"/>
  <c r="AZ588" i="7"/>
  <c r="AZ589" i="7"/>
  <c r="AZ590" i="7"/>
  <c r="AZ591" i="7"/>
  <c r="AZ592" i="7"/>
  <c r="AZ593" i="7"/>
  <c r="AZ594" i="7"/>
  <c r="AZ595" i="7"/>
  <c r="AZ596" i="7"/>
  <c r="AZ597" i="7"/>
  <c r="AZ598" i="7"/>
  <c r="AZ599" i="7"/>
  <c r="AZ600" i="7"/>
  <c r="AZ601" i="7"/>
  <c r="AZ602" i="7"/>
  <c r="AZ603" i="7"/>
  <c r="AZ604" i="7"/>
  <c r="AZ605" i="7"/>
  <c r="AZ606" i="7"/>
  <c r="AZ607" i="7"/>
  <c r="AZ608" i="7"/>
  <c r="AZ609" i="7"/>
  <c r="AZ610" i="7"/>
  <c r="AZ611" i="7"/>
  <c r="AZ612" i="7"/>
  <c r="AZ613" i="7"/>
  <c r="AZ614" i="7"/>
  <c r="AZ615" i="7"/>
  <c r="AZ616" i="7"/>
  <c r="AZ617" i="7"/>
  <c r="AZ618" i="7"/>
  <c r="AZ619" i="7"/>
  <c r="AZ620" i="7"/>
  <c r="AZ621" i="7"/>
  <c r="AZ622" i="7"/>
  <c r="AZ623" i="7"/>
  <c r="AZ624" i="7"/>
  <c r="AZ625" i="7"/>
  <c r="AZ626" i="7"/>
  <c r="BA579" i="7"/>
  <c r="BA580" i="7"/>
  <c r="BA581" i="7"/>
  <c r="BA582" i="7"/>
  <c r="BA583" i="7"/>
  <c r="BA584" i="7"/>
  <c r="BA585" i="7"/>
  <c r="BA586" i="7"/>
  <c r="BA587" i="7"/>
  <c r="BA588" i="7"/>
  <c r="BA589" i="7"/>
  <c r="BA590" i="7"/>
  <c r="BA591" i="7"/>
  <c r="BA592" i="7"/>
  <c r="BA593" i="7"/>
  <c r="BA594" i="7"/>
  <c r="BA595" i="7"/>
  <c r="BA596" i="7"/>
  <c r="BA597" i="7"/>
  <c r="BA598" i="7"/>
  <c r="BA599" i="7"/>
  <c r="BA600" i="7"/>
  <c r="BA601" i="7"/>
  <c r="BA602" i="7"/>
  <c r="BA603" i="7"/>
  <c r="BA604" i="7"/>
  <c r="BA605" i="7"/>
  <c r="BA606" i="7"/>
  <c r="BA607" i="7"/>
  <c r="BA608" i="7"/>
  <c r="BA609" i="7"/>
  <c r="BA610" i="7"/>
  <c r="BA611" i="7"/>
  <c r="BA612" i="7"/>
  <c r="BA613" i="7"/>
  <c r="BA614" i="7"/>
  <c r="BA615" i="7"/>
  <c r="BA616" i="7"/>
  <c r="BA617" i="7"/>
  <c r="BA618" i="7"/>
  <c r="BA619" i="7"/>
  <c r="BA620" i="7"/>
  <c r="BA621" i="7"/>
  <c r="BA622" i="7"/>
  <c r="BA623" i="7"/>
  <c r="BA624" i="7"/>
  <c r="BA625" i="7"/>
  <c r="BA626" i="7"/>
  <c r="BB579" i="7"/>
  <c r="BB580" i="7"/>
  <c r="BB581" i="7"/>
  <c r="BB582" i="7"/>
  <c r="BB583" i="7"/>
  <c r="BB584" i="7"/>
  <c r="BB585" i="7"/>
  <c r="BB586" i="7"/>
  <c r="BB587" i="7"/>
  <c r="BB588" i="7"/>
  <c r="BB589" i="7"/>
  <c r="BB590" i="7"/>
  <c r="BB591" i="7"/>
  <c r="BB592" i="7"/>
  <c r="BB593" i="7"/>
  <c r="BB594" i="7"/>
  <c r="BB595" i="7"/>
  <c r="BB596" i="7"/>
  <c r="BB597" i="7"/>
  <c r="BB598" i="7"/>
  <c r="BB599" i="7"/>
  <c r="BB600" i="7"/>
  <c r="BB601" i="7"/>
  <c r="BB602" i="7"/>
  <c r="BB603" i="7"/>
  <c r="BB604" i="7"/>
  <c r="BB605" i="7"/>
  <c r="BB606" i="7"/>
  <c r="BB607" i="7"/>
  <c r="BB608" i="7"/>
  <c r="BB609" i="7"/>
  <c r="BB610" i="7"/>
  <c r="BB611" i="7"/>
  <c r="BB612" i="7"/>
  <c r="BB613" i="7"/>
  <c r="BB614" i="7"/>
  <c r="BB615" i="7"/>
  <c r="BB616" i="7"/>
  <c r="BB617" i="7"/>
  <c r="BB618" i="7"/>
  <c r="BB619" i="7"/>
  <c r="BB620" i="7"/>
  <c r="BB621" i="7"/>
  <c r="BB622" i="7"/>
  <c r="BB623" i="7"/>
  <c r="BB624" i="7"/>
  <c r="BB625" i="7"/>
  <c r="BB626" i="7"/>
  <c r="BC579" i="7"/>
  <c r="BC580" i="7"/>
  <c r="BC581" i="7"/>
  <c r="BC582" i="7"/>
  <c r="BC583" i="7"/>
  <c r="BC584" i="7"/>
  <c r="BC585" i="7"/>
  <c r="BC586" i="7"/>
  <c r="BC587" i="7"/>
  <c r="BC588" i="7"/>
  <c r="BC589" i="7"/>
  <c r="BC590" i="7"/>
  <c r="BC591" i="7"/>
  <c r="BC592" i="7"/>
  <c r="BC593" i="7"/>
  <c r="BC594" i="7"/>
  <c r="BC595" i="7"/>
  <c r="BC596" i="7"/>
  <c r="BC597" i="7"/>
  <c r="BC598" i="7"/>
  <c r="BC599" i="7"/>
  <c r="BC600" i="7"/>
  <c r="BC601" i="7"/>
  <c r="BC602" i="7"/>
  <c r="BC603" i="7"/>
  <c r="BC604" i="7"/>
  <c r="BC605" i="7"/>
  <c r="BC606" i="7"/>
  <c r="BC607" i="7"/>
  <c r="BC608" i="7"/>
  <c r="BC609" i="7"/>
  <c r="BC610" i="7"/>
  <c r="BC611" i="7"/>
  <c r="BC612" i="7"/>
  <c r="BC613" i="7"/>
  <c r="BC614" i="7"/>
  <c r="BC615" i="7"/>
  <c r="BC616" i="7"/>
  <c r="BC617" i="7"/>
  <c r="BC618" i="7"/>
  <c r="BC619" i="7"/>
  <c r="BC620" i="7"/>
  <c r="BC621" i="7"/>
  <c r="BC622" i="7"/>
  <c r="BC623" i="7"/>
  <c r="BC624" i="7"/>
  <c r="BC625" i="7"/>
  <c r="BC626" i="7"/>
  <c r="BD579" i="7"/>
  <c r="BD580" i="7"/>
  <c r="BD581" i="7"/>
  <c r="BD582" i="7"/>
  <c r="BD583" i="7"/>
  <c r="BD584" i="7"/>
  <c r="BD585" i="7"/>
  <c r="BD586" i="7"/>
  <c r="BD587" i="7"/>
  <c r="BD588" i="7"/>
  <c r="BD589" i="7"/>
  <c r="BD590" i="7"/>
  <c r="BD591" i="7"/>
  <c r="BD592" i="7"/>
  <c r="BD593" i="7"/>
  <c r="BD594" i="7"/>
  <c r="BD595" i="7"/>
  <c r="BD596" i="7"/>
  <c r="BD597" i="7"/>
  <c r="BD598" i="7"/>
  <c r="BD599" i="7"/>
  <c r="BD600" i="7"/>
  <c r="BD601" i="7"/>
  <c r="BD602" i="7"/>
  <c r="BD603" i="7"/>
  <c r="BD604" i="7"/>
  <c r="BD605" i="7"/>
  <c r="BD606" i="7"/>
  <c r="BD607" i="7"/>
  <c r="BD608" i="7"/>
  <c r="BD609" i="7"/>
  <c r="BD610" i="7"/>
  <c r="BD611" i="7"/>
  <c r="BD612" i="7"/>
  <c r="BD613" i="7"/>
  <c r="BD614" i="7"/>
  <c r="BD615" i="7"/>
  <c r="BD616" i="7"/>
  <c r="BD617" i="7"/>
  <c r="BD618" i="7"/>
  <c r="BD619" i="7"/>
  <c r="BD620" i="7"/>
  <c r="BD621" i="7"/>
  <c r="BD622" i="7"/>
  <c r="BD623" i="7"/>
  <c r="BD624" i="7"/>
  <c r="BD625" i="7"/>
  <c r="BD626" i="7"/>
  <c r="BE579" i="7"/>
  <c r="BE580" i="7"/>
  <c r="BE581" i="7"/>
  <c r="BE582" i="7"/>
  <c r="BE583" i="7"/>
  <c r="BE584" i="7"/>
  <c r="BE585" i="7"/>
  <c r="BE586" i="7"/>
  <c r="BE587" i="7"/>
  <c r="BE588" i="7"/>
  <c r="BE589" i="7"/>
  <c r="BE590" i="7"/>
  <c r="BE591" i="7"/>
  <c r="BE592" i="7"/>
  <c r="BE593" i="7"/>
  <c r="BE594" i="7"/>
  <c r="BE595" i="7"/>
  <c r="BE596" i="7"/>
  <c r="BE597" i="7"/>
  <c r="BE598" i="7"/>
  <c r="BE599" i="7"/>
  <c r="BE600" i="7"/>
  <c r="BE601" i="7"/>
  <c r="BE602" i="7"/>
  <c r="BE603" i="7"/>
  <c r="BE604" i="7"/>
  <c r="BE605" i="7"/>
  <c r="BE606" i="7"/>
  <c r="BE607" i="7"/>
  <c r="BE608" i="7"/>
  <c r="BE609" i="7"/>
  <c r="BE610" i="7"/>
  <c r="BE611" i="7"/>
  <c r="BE612" i="7"/>
  <c r="BE613" i="7"/>
  <c r="BE614" i="7"/>
  <c r="BE615" i="7"/>
  <c r="BE616" i="7"/>
  <c r="BE617" i="7"/>
  <c r="BE618" i="7"/>
  <c r="BE619" i="7"/>
  <c r="BE620" i="7"/>
  <c r="BE621" i="7"/>
  <c r="BE622" i="7"/>
  <c r="BE623" i="7"/>
  <c r="BE624" i="7"/>
  <c r="BE625" i="7"/>
  <c r="BE626" i="7"/>
  <c r="BF579" i="7"/>
  <c r="BF580" i="7"/>
  <c r="BF581" i="7"/>
  <c r="BF582" i="7"/>
  <c r="BF583" i="7"/>
  <c r="BF584" i="7"/>
  <c r="BF585" i="7"/>
  <c r="BF586" i="7"/>
  <c r="BF587" i="7"/>
  <c r="BF588" i="7"/>
  <c r="BF589" i="7"/>
  <c r="BF590" i="7"/>
  <c r="BF591" i="7"/>
  <c r="BF592" i="7"/>
  <c r="BF593" i="7"/>
  <c r="BF594" i="7"/>
  <c r="BF595" i="7"/>
  <c r="BF596" i="7"/>
  <c r="BF597" i="7"/>
  <c r="BF598" i="7"/>
  <c r="BF599" i="7"/>
  <c r="BF600" i="7"/>
  <c r="BF601" i="7"/>
  <c r="BF602" i="7"/>
  <c r="BF603" i="7"/>
  <c r="BF604" i="7"/>
  <c r="BF605" i="7"/>
  <c r="BF606" i="7"/>
  <c r="BF607" i="7"/>
  <c r="BF608" i="7"/>
  <c r="BF609" i="7"/>
  <c r="BF610" i="7"/>
  <c r="BF611" i="7"/>
  <c r="BF612" i="7"/>
  <c r="BF613" i="7"/>
  <c r="BF614" i="7"/>
  <c r="BF615" i="7"/>
  <c r="BF616" i="7"/>
  <c r="BF617" i="7"/>
  <c r="BF618" i="7"/>
  <c r="BF619" i="7"/>
  <c r="BF620" i="7"/>
  <c r="BF621" i="7"/>
  <c r="BF622" i="7"/>
  <c r="BF623" i="7"/>
  <c r="BF624" i="7"/>
  <c r="BF625" i="7"/>
  <c r="BF626" i="7"/>
  <c r="BG579" i="7"/>
  <c r="BG580" i="7"/>
  <c r="BG581" i="7"/>
  <c r="BG582" i="7"/>
  <c r="BG583" i="7"/>
  <c r="BG584" i="7"/>
  <c r="BG585" i="7"/>
  <c r="BG586" i="7"/>
  <c r="BG587" i="7"/>
  <c r="BG588" i="7"/>
  <c r="BG589" i="7"/>
  <c r="BG590" i="7"/>
  <c r="BG591" i="7"/>
  <c r="BG592" i="7"/>
  <c r="BG593" i="7"/>
  <c r="BG594" i="7"/>
  <c r="BG595" i="7"/>
  <c r="BG596" i="7"/>
  <c r="BG597" i="7"/>
  <c r="BG598" i="7"/>
  <c r="BG599" i="7"/>
  <c r="BG600" i="7"/>
  <c r="BG601" i="7"/>
  <c r="BG602" i="7"/>
  <c r="BG603" i="7"/>
  <c r="BG604" i="7"/>
  <c r="BG605" i="7"/>
  <c r="BG606" i="7"/>
  <c r="BG607" i="7"/>
  <c r="BG608" i="7"/>
  <c r="BG609" i="7"/>
  <c r="BG610" i="7"/>
  <c r="BG611" i="7"/>
  <c r="BG612" i="7"/>
  <c r="BG613" i="7"/>
  <c r="BG614" i="7"/>
  <c r="BG615" i="7"/>
  <c r="BG616" i="7"/>
  <c r="BG617" i="7"/>
  <c r="BG618" i="7"/>
  <c r="BG619" i="7"/>
  <c r="BG620" i="7"/>
  <c r="BG621" i="7"/>
  <c r="BG622" i="7"/>
  <c r="BG623" i="7"/>
  <c r="BG624" i="7"/>
  <c r="BG625" i="7"/>
  <c r="BG626" i="7"/>
  <c r="BH579" i="7"/>
  <c r="BH580" i="7"/>
  <c r="BH581" i="7"/>
  <c r="BH582" i="7"/>
  <c r="BH583" i="7"/>
  <c r="BH584" i="7"/>
  <c r="BH585" i="7"/>
  <c r="BH586" i="7"/>
  <c r="BH587" i="7"/>
  <c r="BH588" i="7"/>
  <c r="BH589" i="7"/>
  <c r="BH590" i="7"/>
  <c r="BH591" i="7"/>
  <c r="BH592" i="7"/>
  <c r="BH593" i="7"/>
  <c r="BH594" i="7"/>
  <c r="BH595" i="7"/>
  <c r="BH596" i="7"/>
  <c r="BH597" i="7"/>
  <c r="BH598" i="7"/>
  <c r="BH599" i="7"/>
  <c r="BH600" i="7"/>
  <c r="BH601" i="7"/>
  <c r="BH602" i="7"/>
  <c r="BH603" i="7"/>
  <c r="BH604" i="7"/>
  <c r="BH605" i="7"/>
  <c r="BH606" i="7"/>
  <c r="BH607" i="7"/>
  <c r="BH608" i="7"/>
  <c r="BH609" i="7"/>
  <c r="BH610" i="7"/>
  <c r="BH611" i="7"/>
  <c r="BH612" i="7"/>
  <c r="BH613" i="7"/>
  <c r="BH614" i="7"/>
  <c r="BH615" i="7"/>
  <c r="BH616" i="7"/>
  <c r="BH617" i="7"/>
  <c r="BH618" i="7"/>
  <c r="BH619" i="7"/>
  <c r="BH620" i="7"/>
  <c r="BH621" i="7"/>
  <c r="BH622" i="7"/>
  <c r="BH623" i="7"/>
  <c r="BH624" i="7"/>
  <c r="BH625" i="7"/>
  <c r="BH626" i="7"/>
  <c r="BI579" i="7"/>
  <c r="BI580" i="7"/>
  <c r="BI581" i="7"/>
  <c r="BI582" i="7"/>
  <c r="BI583" i="7"/>
  <c r="BI584" i="7"/>
  <c r="BI585" i="7"/>
  <c r="BI586" i="7"/>
  <c r="BI587" i="7"/>
  <c r="BI588" i="7"/>
  <c r="BI589" i="7"/>
  <c r="BI590" i="7"/>
  <c r="BI591" i="7"/>
  <c r="BI592" i="7"/>
  <c r="BI593" i="7"/>
  <c r="BI594" i="7"/>
  <c r="BI595" i="7"/>
  <c r="BI596" i="7"/>
  <c r="BI597" i="7"/>
  <c r="BI598" i="7"/>
  <c r="BI599" i="7"/>
  <c r="BI600" i="7"/>
  <c r="BI601" i="7"/>
  <c r="BI602" i="7"/>
  <c r="BI603" i="7"/>
  <c r="BI604" i="7"/>
  <c r="BI605" i="7"/>
  <c r="BI606" i="7"/>
  <c r="BI607" i="7"/>
  <c r="BI608" i="7"/>
  <c r="BI609" i="7"/>
  <c r="BI610" i="7"/>
  <c r="BI611" i="7"/>
  <c r="BI612" i="7"/>
  <c r="BI613" i="7"/>
  <c r="BI614" i="7"/>
  <c r="BI615" i="7"/>
  <c r="BI616" i="7"/>
  <c r="BI617" i="7"/>
  <c r="BI618" i="7"/>
  <c r="BI619" i="7"/>
  <c r="BI620" i="7"/>
  <c r="BI621" i="7"/>
  <c r="BI622" i="7"/>
  <c r="BI623" i="7"/>
  <c r="BI624" i="7"/>
  <c r="BI625" i="7"/>
  <c r="BI626" i="7"/>
  <c r="BJ579" i="7"/>
  <c r="BJ580" i="7"/>
  <c r="BJ581" i="7"/>
  <c r="BJ582" i="7"/>
  <c r="BJ583" i="7"/>
  <c r="BJ584" i="7"/>
  <c r="BJ585" i="7"/>
  <c r="BJ586" i="7"/>
  <c r="BJ587" i="7"/>
  <c r="BJ588" i="7"/>
  <c r="BJ589" i="7"/>
  <c r="BJ590" i="7"/>
  <c r="BJ591" i="7"/>
  <c r="BJ592" i="7"/>
  <c r="BJ593" i="7"/>
  <c r="BJ594" i="7"/>
  <c r="BJ595" i="7"/>
  <c r="BJ596" i="7"/>
  <c r="BJ597" i="7"/>
  <c r="BJ598" i="7"/>
  <c r="BJ599" i="7"/>
  <c r="BJ600" i="7"/>
  <c r="BJ601" i="7"/>
  <c r="BJ602" i="7"/>
  <c r="BJ603" i="7"/>
  <c r="BJ604" i="7"/>
  <c r="BJ605" i="7"/>
  <c r="BJ606" i="7"/>
  <c r="BJ607" i="7"/>
  <c r="BJ608" i="7"/>
  <c r="BJ609" i="7"/>
  <c r="BJ610" i="7"/>
  <c r="BJ611" i="7"/>
  <c r="BJ612" i="7"/>
  <c r="BJ613" i="7"/>
  <c r="BJ614" i="7"/>
  <c r="BJ615" i="7"/>
  <c r="BJ616" i="7"/>
  <c r="BJ617" i="7"/>
  <c r="BJ618" i="7"/>
  <c r="BJ619" i="7"/>
  <c r="BJ620" i="7"/>
  <c r="BJ621" i="7"/>
  <c r="BJ622" i="7"/>
  <c r="BJ623" i="7"/>
  <c r="BJ624" i="7"/>
  <c r="BJ625" i="7"/>
  <c r="BJ626" i="7"/>
  <c r="BK579" i="7"/>
  <c r="BK580" i="7"/>
  <c r="BK581" i="7"/>
  <c r="BK582" i="7"/>
  <c r="BK583" i="7"/>
  <c r="BK584" i="7"/>
  <c r="BK585" i="7"/>
  <c r="BK586" i="7"/>
  <c r="BK587" i="7"/>
  <c r="BK588" i="7"/>
  <c r="BK589" i="7"/>
  <c r="BK590" i="7"/>
  <c r="BK591" i="7"/>
  <c r="BK592" i="7"/>
  <c r="BK593" i="7"/>
  <c r="BK594" i="7"/>
  <c r="BK595" i="7"/>
  <c r="BK596" i="7"/>
  <c r="BK597" i="7"/>
  <c r="BK598" i="7"/>
  <c r="BK599" i="7"/>
  <c r="BK600" i="7"/>
  <c r="BK601" i="7"/>
  <c r="BK602" i="7"/>
  <c r="BK603" i="7"/>
  <c r="BK604" i="7"/>
  <c r="BK605" i="7"/>
  <c r="BK606" i="7"/>
  <c r="BK607" i="7"/>
  <c r="BK608" i="7"/>
  <c r="BK609" i="7"/>
  <c r="BK610" i="7"/>
  <c r="BK611" i="7"/>
  <c r="BK612" i="7"/>
  <c r="BK613" i="7"/>
  <c r="BK614" i="7"/>
  <c r="BK615" i="7"/>
  <c r="BK616" i="7"/>
  <c r="BK617" i="7"/>
  <c r="BK618" i="7"/>
  <c r="BK619" i="7"/>
  <c r="BK620" i="7"/>
  <c r="BK621" i="7"/>
  <c r="BK622" i="7"/>
  <c r="BK623" i="7"/>
  <c r="BK624" i="7"/>
  <c r="BK625" i="7"/>
  <c r="BK626" i="7"/>
  <c r="BP588" i="7"/>
  <c r="BO595" i="7"/>
  <c r="BO594" i="7"/>
  <c r="BM594" i="7"/>
  <c r="BM595" i="7"/>
  <c r="BP595" i="7"/>
  <c r="BO602" i="7"/>
  <c r="BO601" i="7"/>
  <c r="BM601" i="7"/>
  <c r="BM602" i="7"/>
  <c r="BP602" i="7"/>
  <c r="BO609" i="7"/>
  <c r="BO608" i="7"/>
  <c r="BM608" i="7"/>
  <c r="BM609" i="7"/>
  <c r="BP609" i="7"/>
  <c r="BO645" i="7"/>
  <c r="BO644" i="7"/>
  <c r="BM644" i="7"/>
  <c r="BM645" i="7"/>
  <c r="AX636" i="7"/>
  <c r="AX637" i="7"/>
  <c r="AX638" i="7"/>
  <c r="AX639" i="7"/>
  <c r="AX640" i="7"/>
  <c r="AX641" i="7"/>
  <c r="AX642" i="7"/>
  <c r="AX643" i="7"/>
  <c r="AX644" i="7"/>
  <c r="AX645" i="7"/>
  <c r="AX646" i="7"/>
  <c r="AX647" i="7"/>
  <c r="AX648" i="7"/>
  <c r="AX649" i="7"/>
  <c r="AX650" i="7"/>
  <c r="AX651" i="7"/>
  <c r="AX652" i="7"/>
  <c r="AX653" i="7"/>
  <c r="AX654" i="7"/>
  <c r="AX655" i="7"/>
  <c r="AX656" i="7"/>
  <c r="AX657" i="7"/>
  <c r="AX658" i="7"/>
  <c r="AX659" i="7"/>
  <c r="AX660" i="7"/>
  <c r="AX661" i="7"/>
  <c r="AX662" i="7"/>
  <c r="AX663" i="7"/>
  <c r="AX664" i="7"/>
  <c r="AX665" i="7"/>
  <c r="AX666" i="7"/>
  <c r="AX667" i="7"/>
  <c r="AX668" i="7"/>
  <c r="AX669" i="7"/>
  <c r="AX670" i="7"/>
  <c r="AX671" i="7"/>
  <c r="AX672" i="7"/>
  <c r="AX673" i="7"/>
  <c r="AX674" i="7"/>
  <c r="AX675" i="7"/>
  <c r="AX676" i="7"/>
  <c r="AX677" i="7"/>
  <c r="AX678" i="7"/>
  <c r="AX679" i="7"/>
  <c r="AX680" i="7"/>
  <c r="AX681" i="7"/>
  <c r="AX682" i="7"/>
  <c r="AX683" i="7"/>
  <c r="AY636" i="7"/>
  <c r="AY637" i="7"/>
  <c r="AY638" i="7"/>
  <c r="AY639" i="7"/>
  <c r="AY640" i="7"/>
  <c r="AY641" i="7"/>
  <c r="AY642" i="7"/>
  <c r="AY643" i="7"/>
  <c r="AY644" i="7"/>
  <c r="AY645" i="7"/>
  <c r="AY646" i="7"/>
  <c r="AY647" i="7"/>
  <c r="AY648" i="7"/>
  <c r="AY649" i="7"/>
  <c r="AY650" i="7"/>
  <c r="AY651" i="7"/>
  <c r="AY652" i="7"/>
  <c r="AY653" i="7"/>
  <c r="AY654" i="7"/>
  <c r="AY655" i="7"/>
  <c r="AY656" i="7"/>
  <c r="AY657" i="7"/>
  <c r="AY658" i="7"/>
  <c r="AY659" i="7"/>
  <c r="AY660" i="7"/>
  <c r="AY661" i="7"/>
  <c r="AY662" i="7"/>
  <c r="AY663" i="7"/>
  <c r="AY664" i="7"/>
  <c r="AY665" i="7"/>
  <c r="AY666" i="7"/>
  <c r="AY667" i="7"/>
  <c r="AY668" i="7"/>
  <c r="AY669" i="7"/>
  <c r="AY670" i="7"/>
  <c r="AY671" i="7"/>
  <c r="AY672" i="7"/>
  <c r="AY673" i="7"/>
  <c r="AY674" i="7"/>
  <c r="AY675" i="7"/>
  <c r="AY676" i="7"/>
  <c r="AY677" i="7"/>
  <c r="AY678" i="7"/>
  <c r="AY679" i="7"/>
  <c r="AY680" i="7"/>
  <c r="AY681" i="7"/>
  <c r="AY682" i="7"/>
  <c r="AY683" i="7"/>
  <c r="AZ636" i="7"/>
  <c r="AZ637" i="7"/>
  <c r="AZ638" i="7"/>
  <c r="AZ639" i="7"/>
  <c r="AZ640" i="7"/>
  <c r="AZ641" i="7"/>
  <c r="AZ642" i="7"/>
  <c r="AZ643" i="7"/>
  <c r="AZ644" i="7"/>
  <c r="AZ645" i="7"/>
  <c r="AZ646" i="7"/>
  <c r="AZ647" i="7"/>
  <c r="AZ648" i="7"/>
  <c r="AZ649" i="7"/>
  <c r="AZ650" i="7"/>
  <c r="AZ651" i="7"/>
  <c r="AZ652" i="7"/>
  <c r="AZ653" i="7"/>
  <c r="AZ654" i="7"/>
  <c r="AZ655" i="7"/>
  <c r="AZ656" i="7"/>
  <c r="AZ657" i="7"/>
  <c r="AZ658" i="7"/>
  <c r="AZ659" i="7"/>
  <c r="AZ660" i="7"/>
  <c r="AZ661" i="7"/>
  <c r="AZ662" i="7"/>
  <c r="AZ663" i="7"/>
  <c r="AZ664" i="7"/>
  <c r="AZ665" i="7"/>
  <c r="AZ666" i="7"/>
  <c r="AZ667" i="7"/>
  <c r="AZ668" i="7"/>
  <c r="AZ669" i="7"/>
  <c r="AZ670" i="7"/>
  <c r="AZ671" i="7"/>
  <c r="AZ672" i="7"/>
  <c r="AZ673" i="7"/>
  <c r="AZ674" i="7"/>
  <c r="AZ675" i="7"/>
  <c r="AZ676" i="7"/>
  <c r="AZ677" i="7"/>
  <c r="AZ678" i="7"/>
  <c r="AZ679" i="7"/>
  <c r="AZ680" i="7"/>
  <c r="AZ681" i="7"/>
  <c r="AZ682" i="7"/>
  <c r="AZ683" i="7"/>
  <c r="BA636" i="7"/>
  <c r="BA637" i="7"/>
  <c r="BA638" i="7"/>
  <c r="BA639" i="7"/>
  <c r="BA640" i="7"/>
  <c r="BA641" i="7"/>
  <c r="BA642" i="7"/>
  <c r="BA643" i="7"/>
  <c r="BA644" i="7"/>
  <c r="BA645" i="7"/>
  <c r="BA646" i="7"/>
  <c r="BA647" i="7"/>
  <c r="BA648" i="7"/>
  <c r="BA649" i="7"/>
  <c r="BA650" i="7"/>
  <c r="BA651" i="7"/>
  <c r="BA652" i="7"/>
  <c r="BA653" i="7"/>
  <c r="BA654" i="7"/>
  <c r="BA655" i="7"/>
  <c r="BA656" i="7"/>
  <c r="BA657" i="7"/>
  <c r="BA658" i="7"/>
  <c r="BA659" i="7"/>
  <c r="BA660" i="7"/>
  <c r="BA661" i="7"/>
  <c r="BA662" i="7"/>
  <c r="BA663" i="7"/>
  <c r="BA664" i="7"/>
  <c r="BA665" i="7"/>
  <c r="BA666" i="7"/>
  <c r="BA667" i="7"/>
  <c r="BA668" i="7"/>
  <c r="BA669" i="7"/>
  <c r="BA670" i="7"/>
  <c r="BA671" i="7"/>
  <c r="BA672" i="7"/>
  <c r="BA673" i="7"/>
  <c r="BA674" i="7"/>
  <c r="BA675" i="7"/>
  <c r="BA676" i="7"/>
  <c r="BA677" i="7"/>
  <c r="BA678" i="7"/>
  <c r="BA679" i="7"/>
  <c r="BA680" i="7"/>
  <c r="BA681" i="7"/>
  <c r="BA682" i="7"/>
  <c r="BA683" i="7"/>
  <c r="BB636" i="7"/>
  <c r="BB637" i="7"/>
  <c r="BB638" i="7"/>
  <c r="BB639" i="7"/>
  <c r="BB640" i="7"/>
  <c r="BB641" i="7"/>
  <c r="BB642" i="7"/>
  <c r="BB643" i="7"/>
  <c r="BB644" i="7"/>
  <c r="BB645" i="7"/>
  <c r="BB646" i="7"/>
  <c r="BB647" i="7"/>
  <c r="BB648" i="7"/>
  <c r="BB649" i="7"/>
  <c r="BB650" i="7"/>
  <c r="BB651" i="7"/>
  <c r="BB652" i="7"/>
  <c r="BB653" i="7"/>
  <c r="BB654" i="7"/>
  <c r="BB655" i="7"/>
  <c r="BB656" i="7"/>
  <c r="BB657" i="7"/>
  <c r="BB658" i="7"/>
  <c r="BB659" i="7"/>
  <c r="BB660" i="7"/>
  <c r="BB661" i="7"/>
  <c r="BB662" i="7"/>
  <c r="BB663" i="7"/>
  <c r="BB664" i="7"/>
  <c r="BB665" i="7"/>
  <c r="BB666" i="7"/>
  <c r="BB667" i="7"/>
  <c r="BB668" i="7"/>
  <c r="BB669" i="7"/>
  <c r="BB670" i="7"/>
  <c r="BB671" i="7"/>
  <c r="BB672" i="7"/>
  <c r="BB673" i="7"/>
  <c r="BB674" i="7"/>
  <c r="BB675" i="7"/>
  <c r="BB676" i="7"/>
  <c r="BB677" i="7"/>
  <c r="BB678" i="7"/>
  <c r="BB679" i="7"/>
  <c r="BB680" i="7"/>
  <c r="BB681" i="7"/>
  <c r="BB682" i="7"/>
  <c r="BB683" i="7"/>
  <c r="BC636" i="7"/>
  <c r="BC637" i="7"/>
  <c r="BC638" i="7"/>
  <c r="BC639" i="7"/>
  <c r="BC640" i="7"/>
  <c r="BC641" i="7"/>
  <c r="BC642" i="7"/>
  <c r="BC643" i="7"/>
  <c r="BC644" i="7"/>
  <c r="BC645" i="7"/>
  <c r="BC646" i="7"/>
  <c r="BC647" i="7"/>
  <c r="BC648" i="7"/>
  <c r="BC649" i="7"/>
  <c r="BC650" i="7"/>
  <c r="BC651" i="7"/>
  <c r="BC652" i="7"/>
  <c r="BC653" i="7"/>
  <c r="BC654" i="7"/>
  <c r="BC655" i="7"/>
  <c r="BC656" i="7"/>
  <c r="BC657" i="7"/>
  <c r="BC658" i="7"/>
  <c r="BC659" i="7"/>
  <c r="BC660" i="7"/>
  <c r="BC661" i="7"/>
  <c r="BC662" i="7"/>
  <c r="BC663" i="7"/>
  <c r="BC664" i="7"/>
  <c r="BC665" i="7"/>
  <c r="BC666" i="7"/>
  <c r="BC667" i="7"/>
  <c r="BC668" i="7"/>
  <c r="BC669" i="7"/>
  <c r="BC670" i="7"/>
  <c r="BC671" i="7"/>
  <c r="BC672" i="7"/>
  <c r="BC673" i="7"/>
  <c r="BC674" i="7"/>
  <c r="BC675" i="7"/>
  <c r="BC676" i="7"/>
  <c r="BC677" i="7"/>
  <c r="BC678" i="7"/>
  <c r="BC679" i="7"/>
  <c r="BC680" i="7"/>
  <c r="BC681" i="7"/>
  <c r="BC682" i="7"/>
  <c r="BC683" i="7"/>
  <c r="BD636" i="7"/>
  <c r="BD637" i="7"/>
  <c r="BD638" i="7"/>
  <c r="BD639" i="7"/>
  <c r="BD640" i="7"/>
  <c r="BD641" i="7"/>
  <c r="BD642" i="7"/>
  <c r="BD643" i="7"/>
  <c r="BD644" i="7"/>
  <c r="BD645" i="7"/>
  <c r="BD646" i="7"/>
  <c r="BD647" i="7"/>
  <c r="BD648" i="7"/>
  <c r="BD649" i="7"/>
  <c r="BD650" i="7"/>
  <c r="BD651" i="7"/>
  <c r="BD652" i="7"/>
  <c r="BD653" i="7"/>
  <c r="BD654" i="7"/>
  <c r="BD655" i="7"/>
  <c r="BD656" i="7"/>
  <c r="BD657" i="7"/>
  <c r="BD658" i="7"/>
  <c r="BD659" i="7"/>
  <c r="BD660" i="7"/>
  <c r="BD661" i="7"/>
  <c r="BD662" i="7"/>
  <c r="BD663" i="7"/>
  <c r="BD664" i="7"/>
  <c r="BD665" i="7"/>
  <c r="BD666" i="7"/>
  <c r="BD667" i="7"/>
  <c r="BD668" i="7"/>
  <c r="BD669" i="7"/>
  <c r="BD670" i="7"/>
  <c r="BD671" i="7"/>
  <c r="BD672" i="7"/>
  <c r="BD673" i="7"/>
  <c r="BD674" i="7"/>
  <c r="BD675" i="7"/>
  <c r="BD676" i="7"/>
  <c r="BD677" i="7"/>
  <c r="BD678" i="7"/>
  <c r="BD679" i="7"/>
  <c r="BD680" i="7"/>
  <c r="BD681" i="7"/>
  <c r="BD682" i="7"/>
  <c r="BD683" i="7"/>
  <c r="BE636" i="7"/>
  <c r="BE637" i="7"/>
  <c r="BE638" i="7"/>
  <c r="BE639" i="7"/>
  <c r="BE640" i="7"/>
  <c r="BE641" i="7"/>
  <c r="BE642" i="7"/>
  <c r="BE643" i="7"/>
  <c r="BE644" i="7"/>
  <c r="BE645" i="7"/>
  <c r="BE646" i="7"/>
  <c r="BE647" i="7"/>
  <c r="BE648" i="7"/>
  <c r="BE649" i="7"/>
  <c r="BE650" i="7"/>
  <c r="BE651" i="7"/>
  <c r="BE652" i="7"/>
  <c r="BE653" i="7"/>
  <c r="BE654" i="7"/>
  <c r="BE655" i="7"/>
  <c r="BE656" i="7"/>
  <c r="BE657" i="7"/>
  <c r="BE658" i="7"/>
  <c r="BE659" i="7"/>
  <c r="BE660" i="7"/>
  <c r="BE661" i="7"/>
  <c r="BE662" i="7"/>
  <c r="BE663" i="7"/>
  <c r="BE664" i="7"/>
  <c r="BE665" i="7"/>
  <c r="BE666" i="7"/>
  <c r="BE667" i="7"/>
  <c r="BE668" i="7"/>
  <c r="BE669" i="7"/>
  <c r="BE670" i="7"/>
  <c r="BE671" i="7"/>
  <c r="BE672" i="7"/>
  <c r="BE673" i="7"/>
  <c r="BE674" i="7"/>
  <c r="BE675" i="7"/>
  <c r="BE676" i="7"/>
  <c r="BE677" i="7"/>
  <c r="BE678" i="7"/>
  <c r="BE679" i="7"/>
  <c r="BE680" i="7"/>
  <c r="BE681" i="7"/>
  <c r="BE682" i="7"/>
  <c r="BE683" i="7"/>
  <c r="BF636" i="7"/>
  <c r="BF637" i="7"/>
  <c r="BF638" i="7"/>
  <c r="BF639" i="7"/>
  <c r="BF640" i="7"/>
  <c r="BF641" i="7"/>
  <c r="BF642" i="7"/>
  <c r="BF643" i="7"/>
  <c r="BF644" i="7"/>
  <c r="BF645" i="7"/>
  <c r="BF646" i="7"/>
  <c r="BF647" i="7"/>
  <c r="BF648" i="7"/>
  <c r="BF649" i="7"/>
  <c r="BF650" i="7"/>
  <c r="BF651" i="7"/>
  <c r="BF652" i="7"/>
  <c r="BF653" i="7"/>
  <c r="BF654" i="7"/>
  <c r="BF655" i="7"/>
  <c r="BF656" i="7"/>
  <c r="BF657" i="7"/>
  <c r="BF658" i="7"/>
  <c r="BF659" i="7"/>
  <c r="BF660" i="7"/>
  <c r="BF661" i="7"/>
  <c r="BF662" i="7"/>
  <c r="BF663" i="7"/>
  <c r="BF664" i="7"/>
  <c r="BF665" i="7"/>
  <c r="BF666" i="7"/>
  <c r="BF667" i="7"/>
  <c r="BF668" i="7"/>
  <c r="BF669" i="7"/>
  <c r="BF670" i="7"/>
  <c r="BF671" i="7"/>
  <c r="BF672" i="7"/>
  <c r="BF673" i="7"/>
  <c r="BF674" i="7"/>
  <c r="BF675" i="7"/>
  <c r="BF676" i="7"/>
  <c r="BF677" i="7"/>
  <c r="BF678" i="7"/>
  <c r="BF679" i="7"/>
  <c r="BF680" i="7"/>
  <c r="BF681" i="7"/>
  <c r="BF682" i="7"/>
  <c r="BF683" i="7"/>
  <c r="BG636" i="7"/>
  <c r="BG637" i="7"/>
  <c r="BG638" i="7"/>
  <c r="BG639" i="7"/>
  <c r="BG640" i="7"/>
  <c r="BG641" i="7"/>
  <c r="BG642" i="7"/>
  <c r="BG643" i="7"/>
  <c r="BG644" i="7"/>
  <c r="BG645" i="7"/>
  <c r="BG646" i="7"/>
  <c r="BG647" i="7"/>
  <c r="BG648" i="7"/>
  <c r="BG649" i="7"/>
  <c r="BG650" i="7"/>
  <c r="BG651" i="7"/>
  <c r="BG652" i="7"/>
  <c r="BG653" i="7"/>
  <c r="BG654" i="7"/>
  <c r="BG655" i="7"/>
  <c r="BG656" i="7"/>
  <c r="BG657" i="7"/>
  <c r="BG658" i="7"/>
  <c r="BG659" i="7"/>
  <c r="BG660" i="7"/>
  <c r="BG661" i="7"/>
  <c r="BG662" i="7"/>
  <c r="BG663" i="7"/>
  <c r="BG664" i="7"/>
  <c r="BG665" i="7"/>
  <c r="BG666" i="7"/>
  <c r="BG667" i="7"/>
  <c r="BG668" i="7"/>
  <c r="BG669" i="7"/>
  <c r="BG670" i="7"/>
  <c r="BG671" i="7"/>
  <c r="BG672" i="7"/>
  <c r="BG673" i="7"/>
  <c r="BG674" i="7"/>
  <c r="BG675" i="7"/>
  <c r="BG676" i="7"/>
  <c r="BG677" i="7"/>
  <c r="BG678" i="7"/>
  <c r="BG679" i="7"/>
  <c r="BG680" i="7"/>
  <c r="BG681" i="7"/>
  <c r="BG682" i="7"/>
  <c r="BG683" i="7"/>
  <c r="BH636" i="7"/>
  <c r="BH637" i="7"/>
  <c r="BH638" i="7"/>
  <c r="BH639" i="7"/>
  <c r="BH640" i="7"/>
  <c r="BH641" i="7"/>
  <c r="BH642" i="7"/>
  <c r="BH643" i="7"/>
  <c r="BH644" i="7"/>
  <c r="BH645" i="7"/>
  <c r="BH646" i="7"/>
  <c r="BH647" i="7"/>
  <c r="BH648" i="7"/>
  <c r="BH649" i="7"/>
  <c r="BH650" i="7"/>
  <c r="BH651" i="7"/>
  <c r="BH652" i="7"/>
  <c r="BH653" i="7"/>
  <c r="BH654" i="7"/>
  <c r="BH655" i="7"/>
  <c r="BH656" i="7"/>
  <c r="BH657" i="7"/>
  <c r="BH658" i="7"/>
  <c r="BH659" i="7"/>
  <c r="BH660" i="7"/>
  <c r="BH661" i="7"/>
  <c r="BH662" i="7"/>
  <c r="BH663" i="7"/>
  <c r="BH664" i="7"/>
  <c r="BH665" i="7"/>
  <c r="BH666" i="7"/>
  <c r="BH667" i="7"/>
  <c r="BH668" i="7"/>
  <c r="BH669" i="7"/>
  <c r="BH670" i="7"/>
  <c r="BH671" i="7"/>
  <c r="BH672" i="7"/>
  <c r="BH673" i="7"/>
  <c r="BH674" i="7"/>
  <c r="BH675" i="7"/>
  <c r="BH676" i="7"/>
  <c r="BH677" i="7"/>
  <c r="BH678" i="7"/>
  <c r="BH679" i="7"/>
  <c r="BH680" i="7"/>
  <c r="BH681" i="7"/>
  <c r="BH682" i="7"/>
  <c r="BH683" i="7"/>
  <c r="BI636" i="7"/>
  <c r="BI637" i="7"/>
  <c r="BI638" i="7"/>
  <c r="BI639" i="7"/>
  <c r="BI640" i="7"/>
  <c r="BI641" i="7"/>
  <c r="BI642" i="7"/>
  <c r="BI643" i="7"/>
  <c r="BI644" i="7"/>
  <c r="BI645" i="7"/>
  <c r="BI646" i="7"/>
  <c r="BI647" i="7"/>
  <c r="BI648" i="7"/>
  <c r="BI649" i="7"/>
  <c r="BI650" i="7"/>
  <c r="BI651" i="7"/>
  <c r="BI652" i="7"/>
  <c r="BI653" i="7"/>
  <c r="BI654" i="7"/>
  <c r="BI655" i="7"/>
  <c r="BI656" i="7"/>
  <c r="BI657" i="7"/>
  <c r="BI658" i="7"/>
  <c r="BI659" i="7"/>
  <c r="BI660" i="7"/>
  <c r="BI661" i="7"/>
  <c r="BI662" i="7"/>
  <c r="BI663" i="7"/>
  <c r="BI664" i="7"/>
  <c r="BI665" i="7"/>
  <c r="BI666" i="7"/>
  <c r="BI667" i="7"/>
  <c r="BI668" i="7"/>
  <c r="BI669" i="7"/>
  <c r="BI670" i="7"/>
  <c r="BI671" i="7"/>
  <c r="BI672" i="7"/>
  <c r="BI673" i="7"/>
  <c r="BI674" i="7"/>
  <c r="BI675" i="7"/>
  <c r="BI676" i="7"/>
  <c r="BI677" i="7"/>
  <c r="BI678" i="7"/>
  <c r="BI679" i="7"/>
  <c r="BI680" i="7"/>
  <c r="BI681" i="7"/>
  <c r="BI682" i="7"/>
  <c r="BI683" i="7"/>
  <c r="BJ636" i="7"/>
  <c r="BJ637" i="7"/>
  <c r="BJ638" i="7"/>
  <c r="BJ639" i="7"/>
  <c r="BJ640" i="7"/>
  <c r="BJ641" i="7"/>
  <c r="BJ642" i="7"/>
  <c r="BJ643" i="7"/>
  <c r="BJ644" i="7"/>
  <c r="BJ645" i="7"/>
  <c r="BJ646" i="7"/>
  <c r="BJ647" i="7"/>
  <c r="BJ648" i="7"/>
  <c r="BJ649" i="7"/>
  <c r="BJ650" i="7"/>
  <c r="BJ651" i="7"/>
  <c r="BJ652" i="7"/>
  <c r="BJ653" i="7"/>
  <c r="BJ654" i="7"/>
  <c r="BJ655" i="7"/>
  <c r="BJ656" i="7"/>
  <c r="BJ657" i="7"/>
  <c r="BJ658" i="7"/>
  <c r="BJ659" i="7"/>
  <c r="BJ660" i="7"/>
  <c r="BJ661" i="7"/>
  <c r="BJ662" i="7"/>
  <c r="BJ663" i="7"/>
  <c r="BJ664" i="7"/>
  <c r="BJ665" i="7"/>
  <c r="BJ666" i="7"/>
  <c r="BJ667" i="7"/>
  <c r="BJ668" i="7"/>
  <c r="BJ669" i="7"/>
  <c r="BJ670" i="7"/>
  <c r="BJ671" i="7"/>
  <c r="BJ672" i="7"/>
  <c r="BJ673" i="7"/>
  <c r="BJ674" i="7"/>
  <c r="BJ675" i="7"/>
  <c r="BJ676" i="7"/>
  <c r="BJ677" i="7"/>
  <c r="BJ678" i="7"/>
  <c r="BJ679" i="7"/>
  <c r="BJ680" i="7"/>
  <c r="BJ681" i="7"/>
  <c r="BJ682" i="7"/>
  <c r="BJ683" i="7"/>
  <c r="BK636" i="7"/>
  <c r="BK637" i="7"/>
  <c r="BK638" i="7"/>
  <c r="BK639" i="7"/>
  <c r="BK640" i="7"/>
  <c r="BK641" i="7"/>
  <c r="BK642" i="7"/>
  <c r="BK643" i="7"/>
  <c r="BK644" i="7"/>
  <c r="BK645" i="7"/>
  <c r="BK646" i="7"/>
  <c r="BK647" i="7"/>
  <c r="BK648" i="7"/>
  <c r="BK649" i="7"/>
  <c r="BK650" i="7"/>
  <c r="BK651" i="7"/>
  <c r="BK652" i="7"/>
  <c r="BK653" i="7"/>
  <c r="BK654" i="7"/>
  <c r="BK655" i="7"/>
  <c r="BK656" i="7"/>
  <c r="BK657" i="7"/>
  <c r="BK658" i="7"/>
  <c r="BK659" i="7"/>
  <c r="BK660" i="7"/>
  <c r="BK661" i="7"/>
  <c r="BK662" i="7"/>
  <c r="BK663" i="7"/>
  <c r="BK664" i="7"/>
  <c r="BK665" i="7"/>
  <c r="BK666" i="7"/>
  <c r="BK667" i="7"/>
  <c r="BK668" i="7"/>
  <c r="BK669" i="7"/>
  <c r="BK670" i="7"/>
  <c r="BK671" i="7"/>
  <c r="BK672" i="7"/>
  <c r="BK673" i="7"/>
  <c r="BK674" i="7"/>
  <c r="BK675" i="7"/>
  <c r="BK676" i="7"/>
  <c r="BK677" i="7"/>
  <c r="BK678" i="7"/>
  <c r="BK679" i="7"/>
  <c r="BK680" i="7"/>
  <c r="BK681" i="7"/>
  <c r="BK682" i="7"/>
  <c r="BK683" i="7"/>
  <c r="BP645" i="7"/>
  <c r="BO652" i="7"/>
  <c r="BO651" i="7"/>
  <c r="BM651" i="7"/>
  <c r="BM652" i="7"/>
  <c r="BP652" i="7"/>
  <c r="BO659" i="7"/>
  <c r="BO658" i="7"/>
  <c r="BM658" i="7"/>
  <c r="BM659" i="7"/>
  <c r="BP659" i="7"/>
  <c r="BO666" i="7"/>
  <c r="BO665" i="7"/>
  <c r="BM665" i="7"/>
  <c r="BM666" i="7"/>
  <c r="BP666" i="7"/>
  <c r="BO702" i="7"/>
  <c r="BO701" i="7"/>
  <c r="BM701" i="7"/>
  <c r="BM702" i="7"/>
  <c r="AX693" i="7"/>
  <c r="AX694" i="7"/>
  <c r="AX695" i="7"/>
  <c r="AX696" i="7"/>
  <c r="AX697" i="7"/>
  <c r="AX698" i="7"/>
  <c r="AX699" i="7"/>
  <c r="AX700" i="7"/>
  <c r="AX701" i="7"/>
  <c r="AX702" i="7"/>
  <c r="AX703" i="7"/>
  <c r="AX704" i="7"/>
  <c r="AX705" i="7"/>
  <c r="AX706" i="7"/>
  <c r="AX707" i="7"/>
  <c r="AX708" i="7"/>
  <c r="AX709" i="7"/>
  <c r="AX710" i="7"/>
  <c r="AX711" i="7"/>
  <c r="AX712" i="7"/>
  <c r="AX713" i="7"/>
  <c r="AX714" i="7"/>
  <c r="AX715" i="7"/>
  <c r="AX716" i="7"/>
  <c r="AX717" i="7"/>
  <c r="AX718" i="7"/>
  <c r="AX719" i="7"/>
  <c r="AX720" i="7"/>
  <c r="AX721" i="7"/>
  <c r="AX722" i="7"/>
  <c r="AX723" i="7"/>
  <c r="AX724" i="7"/>
  <c r="AX725" i="7"/>
  <c r="AX726" i="7"/>
  <c r="AX727" i="7"/>
  <c r="AX728" i="7"/>
  <c r="AX729" i="7"/>
  <c r="AX730" i="7"/>
  <c r="AX731" i="7"/>
  <c r="AX732" i="7"/>
  <c r="AX733" i="7"/>
  <c r="AX734" i="7"/>
  <c r="AX735" i="7"/>
  <c r="AX736" i="7"/>
  <c r="AX737" i="7"/>
  <c r="AX738" i="7"/>
  <c r="AX739" i="7"/>
  <c r="AX740" i="7"/>
  <c r="AY693" i="7"/>
  <c r="AY694" i="7"/>
  <c r="AY695" i="7"/>
  <c r="AY696" i="7"/>
  <c r="AY697" i="7"/>
  <c r="AY698" i="7"/>
  <c r="AY699" i="7"/>
  <c r="AY700" i="7"/>
  <c r="AY701" i="7"/>
  <c r="AY702" i="7"/>
  <c r="AY703" i="7"/>
  <c r="AY704" i="7"/>
  <c r="AY705" i="7"/>
  <c r="AY706" i="7"/>
  <c r="AY707" i="7"/>
  <c r="AY708" i="7"/>
  <c r="AY709" i="7"/>
  <c r="AY710" i="7"/>
  <c r="AY711" i="7"/>
  <c r="AY712" i="7"/>
  <c r="AY713" i="7"/>
  <c r="AY714" i="7"/>
  <c r="AY715" i="7"/>
  <c r="AY716" i="7"/>
  <c r="AY717" i="7"/>
  <c r="AY718" i="7"/>
  <c r="AY719" i="7"/>
  <c r="AY720" i="7"/>
  <c r="AY721" i="7"/>
  <c r="AY722" i="7"/>
  <c r="AY723" i="7"/>
  <c r="AY724" i="7"/>
  <c r="AY725" i="7"/>
  <c r="AY726" i="7"/>
  <c r="AY727" i="7"/>
  <c r="AY728" i="7"/>
  <c r="AY729" i="7"/>
  <c r="AY730" i="7"/>
  <c r="AY731" i="7"/>
  <c r="AY732" i="7"/>
  <c r="AY733" i="7"/>
  <c r="AY734" i="7"/>
  <c r="AY735" i="7"/>
  <c r="AY736" i="7"/>
  <c r="AY737" i="7"/>
  <c r="AY738" i="7"/>
  <c r="AY739" i="7"/>
  <c r="AY740" i="7"/>
  <c r="AZ693" i="7"/>
  <c r="AZ694" i="7"/>
  <c r="AZ695" i="7"/>
  <c r="AZ696" i="7"/>
  <c r="AZ697" i="7"/>
  <c r="AZ698" i="7"/>
  <c r="AZ699" i="7"/>
  <c r="AZ700" i="7"/>
  <c r="AZ701" i="7"/>
  <c r="AZ702" i="7"/>
  <c r="AZ703" i="7"/>
  <c r="AZ704" i="7"/>
  <c r="AZ705" i="7"/>
  <c r="AZ706" i="7"/>
  <c r="AZ707" i="7"/>
  <c r="AZ708" i="7"/>
  <c r="AZ709" i="7"/>
  <c r="AZ710" i="7"/>
  <c r="AZ711" i="7"/>
  <c r="AZ712" i="7"/>
  <c r="AZ713" i="7"/>
  <c r="AZ714" i="7"/>
  <c r="AZ715" i="7"/>
  <c r="AZ716" i="7"/>
  <c r="AZ717" i="7"/>
  <c r="AZ718" i="7"/>
  <c r="AZ719" i="7"/>
  <c r="AZ720" i="7"/>
  <c r="AZ721" i="7"/>
  <c r="AZ722" i="7"/>
  <c r="AZ723" i="7"/>
  <c r="AZ724" i="7"/>
  <c r="AZ725" i="7"/>
  <c r="AZ726" i="7"/>
  <c r="AZ727" i="7"/>
  <c r="AZ728" i="7"/>
  <c r="AZ729" i="7"/>
  <c r="AZ730" i="7"/>
  <c r="AZ731" i="7"/>
  <c r="AZ732" i="7"/>
  <c r="AZ733" i="7"/>
  <c r="AZ734" i="7"/>
  <c r="AZ735" i="7"/>
  <c r="AZ736" i="7"/>
  <c r="AZ737" i="7"/>
  <c r="AZ738" i="7"/>
  <c r="AZ739" i="7"/>
  <c r="AZ740" i="7"/>
  <c r="BA693" i="7"/>
  <c r="BA694" i="7"/>
  <c r="BA695" i="7"/>
  <c r="BA696" i="7"/>
  <c r="BA697" i="7"/>
  <c r="BA698" i="7"/>
  <c r="BA699" i="7"/>
  <c r="BA700" i="7"/>
  <c r="BA701" i="7"/>
  <c r="BA702" i="7"/>
  <c r="BA703" i="7"/>
  <c r="BA704" i="7"/>
  <c r="BA705" i="7"/>
  <c r="BA706" i="7"/>
  <c r="BA707" i="7"/>
  <c r="BA708" i="7"/>
  <c r="BA709" i="7"/>
  <c r="BA710" i="7"/>
  <c r="BA711" i="7"/>
  <c r="BA712" i="7"/>
  <c r="BA713" i="7"/>
  <c r="BA714" i="7"/>
  <c r="BA715" i="7"/>
  <c r="BA716" i="7"/>
  <c r="BA717" i="7"/>
  <c r="BA718" i="7"/>
  <c r="BA719" i="7"/>
  <c r="BA720" i="7"/>
  <c r="BA721" i="7"/>
  <c r="BA722" i="7"/>
  <c r="BA723" i="7"/>
  <c r="BA724" i="7"/>
  <c r="BA725" i="7"/>
  <c r="BA726" i="7"/>
  <c r="BA727" i="7"/>
  <c r="BA728" i="7"/>
  <c r="BA729" i="7"/>
  <c r="BA730" i="7"/>
  <c r="BA731" i="7"/>
  <c r="BA732" i="7"/>
  <c r="BA733" i="7"/>
  <c r="BA734" i="7"/>
  <c r="BA735" i="7"/>
  <c r="BA736" i="7"/>
  <c r="BA737" i="7"/>
  <c r="BA738" i="7"/>
  <c r="BA739" i="7"/>
  <c r="BA740" i="7"/>
  <c r="BB693" i="7"/>
  <c r="BB694" i="7"/>
  <c r="BB695" i="7"/>
  <c r="BB696" i="7"/>
  <c r="BB697" i="7"/>
  <c r="BB698" i="7"/>
  <c r="BB699" i="7"/>
  <c r="BB700" i="7"/>
  <c r="BB701" i="7"/>
  <c r="BB702" i="7"/>
  <c r="BB703" i="7"/>
  <c r="BB704" i="7"/>
  <c r="BB705" i="7"/>
  <c r="BB706" i="7"/>
  <c r="BB707" i="7"/>
  <c r="BB708" i="7"/>
  <c r="BB709" i="7"/>
  <c r="BB710" i="7"/>
  <c r="BB711" i="7"/>
  <c r="BB712" i="7"/>
  <c r="BB713" i="7"/>
  <c r="BB714" i="7"/>
  <c r="BB715" i="7"/>
  <c r="BB716" i="7"/>
  <c r="BB717" i="7"/>
  <c r="BB718" i="7"/>
  <c r="BB719" i="7"/>
  <c r="BB720" i="7"/>
  <c r="BB721" i="7"/>
  <c r="BB722" i="7"/>
  <c r="BB723" i="7"/>
  <c r="BB724" i="7"/>
  <c r="BB725" i="7"/>
  <c r="BB726" i="7"/>
  <c r="BB727" i="7"/>
  <c r="BB728" i="7"/>
  <c r="BB729" i="7"/>
  <c r="BB730" i="7"/>
  <c r="BB731" i="7"/>
  <c r="BB732" i="7"/>
  <c r="BB733" i="7"/>
  <c r="BB734" i="7"/>
  <c r="BB735" i="7"/>
  <c r="BB736" i="7"/>
  <c r="BB737" i="7"/>
  <c r="BB738" i="7"/>
  <c r="BB739" i="7"/>
  <c r="BB740" i="7"/>
  <c r="BC693" i="7"/>
  <c r="BC694" i="7"/>
  <c r="BC695" i="7"/>
  <c r="BC696" i="7"/>
  <c r="BC697" i="7"/>
  <c r="BC698" i="7"/>
  <c r="BC699" i="7"/>
  <c r="BC700" i="7"/>
  <c r="BC701" i="7"/>
  <c r="BC702" i="7"/>
  <c r="BC703" i="7"/>
  <c r="BC704" i="7"/>
  <c r="BC705" i="7"/>
  <c r="BC706" i="7"/>
  <c r="BC707" i="7"/>
  <c r="BC708" i="7"/>
  <c r="BC709" i="7"/>
  <c r="BC710" i="7"/>
  <c r="BC711" i="7"/>
  <c r="BC712" i="7"/>
  <c r="BC713" i="7"/>
  <c r="BC714" i="7"/>
  <c r="BC715" i="7"/>
  <c r="BC716" i="7"/>
  <c r="BC717" i="7"/>
  <c r="BC718" i="7"/>
  <c r="BC719" i="7"/>
  <c r="BC720" i="7"/>
  <c r="BC721" i="7"/>
  <c r="BC722" i="7"/>
  <c r="BC723" i="7"/>
  <c r="BC724" i="7"/>
  <c r="BC725" i="7"/>
  <c r="BC726" i="7"/>
  <c r="BC727" i="7"/>
  <c r="BC728" i="7"/>
  <c r="BC729" i="7"/>
  <c r="BC730" i="7"/>
  <c r="BC731" i="7"/>
  <c r="BC732" i="7"/>
  <c r="BC733" i="7"/>
  <c r="BC734" i="7"/>
  <c r="BC735" i="7"/>
  <c r="BC736" i="7"/>
  <c r="BC737" i="7"/>
  <c r="BC738" i="7"/>
  <c r="BC739" i="7"/>
  <c r="BC740" i="7"/>
  <c r="BD693" i="7"/>
  <c r="BD694" i="7"/>
  <c r="BD695" i="7"/>
  <c r="BD696" i="7"/>
  <c r="BD697" i="7"/>
  <c r="BD698" i="7"/>
  <c r="BD699" i="7"/>
  <c r="BD700" i="7"/>
  <c r="BD701" i="7"/>
  <c r="BD702" i="7"/>
  <c r="BD703" i="7"/>
  <c r="BD704" i="7"/>
  <c r="BD705" i="7"/>
  <c r="BD706" i="7"/>
  <c r="BD707" i="7"/>
  <c r="BD708" i="7"/>
  <c r="BD709" i="7"/>
  <c r="BD710" i="7"/>
  <c r="BD711" i="7"/>
  <c r="BD712" i="7"/>
  <c r="BD713" i="7"/>
  <c r="BD714" i="7"/>
  <c r="BD715" i="7"/>
  <c r="BD716" i="7"/>
  <c r="BD717" i="7"/>
  <c r="BD718" i="7"/>
  <c r="BD719" i="7"/>
  <c r="BD720" i="7"/>
  <c r="BD721" i="7"/>
  <c r="BD722" i="7"/>
  <c r="BD723" i="7"/>
  <c r="BD724" i="7"/>
  <c r="BD725" i="7"/>
  <c r="BD726" i="7"/>
  <c r="BD727" i="7"/>
  <c r="BD728" i="7"/>
  <c r="BD729" i="7"/>
  <c r="BD730" i="7"/>
  <c r="BD731" i="7"/>
  <c r="BD732" i="7"/>
  <c r="BD733" i="7"/>
  <c r="BD734" i="7"/>
  <c r="BD735" i="7"/>
  <c r="BD736" i="7"/>
  <c r="BD737" i="7"/>
  <c r="BD738" i="7"/>
  <c r="BD739" i="7"/>
  <c r="BD740" i="7"/>
  <c r="BE693" i="7"/>
  <c r="BE694" i="7"/>
  <c r="BE695" i="7"/>
  <c r="BE696" i="7"/>
  <c r="BE697" i="7"/>
  <c r="BE698" i="7"/>
  <c r="BE699" i="7"/>
  <c r="BE700" i="7"/>
  <c r="BE701" i="7"/>
  <c r="BE702" i="7"/>
  <c r="BE703" i="7"/>
  <c r="BE704" i="7"/>
  <c r="BE705" i="7"/>
  <c r="BE706" i="7"/>
  <c r="BE707" i="7"/>
  <c r="BE708" i="7"/>
  <c r="BE709" i="7"/>
  <c r="BE710" i="7"/>
  <c r="BE711" i="7"/>
  <c r="BE712" i="7"/>
  <c r="BE713" i="7"/>
  <c r="BE714" i="7"/>
  <c r="BE715" i="7"/>
  <c r="BE716" i="7"/>
  <c r="BE717" i="7"/>
  <c r="BE718" i="7"/>
  <c r="BE719" i="7"/>
  <c r="BE720" i="7"/>
  <c r="BE721" i="7"/>
  <c r="BE722" i="7"/>
  <c r="BE723" i="7"/>
  <c r="BE724" i="7"/>
  <c r="BE725" i="7"/>
  <c r="BE726" i="7"/>
  <c r="BE727" i="7"/>
  <c r="BE728" i="7"/>
  <c r="BE729" i="7"/>
  <c r="BE730" i="7"/>
  <c r="BE731" i="7"/>
  <c r="BE732" i="7"/>
  <c r="BE733" i="7"/>
  <c r="BE734" i="7"/>
  <c r="BE735" i="7"/>
  <c r="BE736" i="7"/>
  <c r="BE737" i="7"/>
  <c r="BE738" i="7"/>
  <c r="BE739" i="7"/>
  <c r="BE740" i="7"/>
  <c r="BF693" i="7"/>
  <c r="BF694" i="7"/>
  <c r="BF695" i="7"/>
  <c r="BF696" i="7"/>
  <c r="BF697" i="7"/>
  <c r="BF698" i="7"/>
  <c r="BF699" i="7"/>
  <c r="BF700" i="7"/>
  <c r="BF701" i="7"/>
  <c r="BF702" i="7"/>
  <c r="BF703" i="7"/>
  <c r="BF704" i="7"/>
  <c r="BF705" i="7"/>
  <c r="BF706" i="7"/>
  <c r="BF707" i="7"/>
  <c r="BF708" i="7"/>
  <c r="BF709" i="7"/>
  <c r="BF710" i="7"/>
  <c r="BF711" i="7"/>
  <c r="BF712" i="7"/>
  <c r="BF713" i="7"/>
  <c r="BF714" i="7"/>
  <c r="BF715" i="7"/>
  <c r="BF716" i="7"/>
  <c r="BF717" i="7"/>
  <c r="BF718" i="7"/>
  <c r="BF719" i="7"/>
  <c r="BF720" i="7"/>
  <c r="BF721" i="7"/>
  <c r="BF722" i="7"/>
  <c r="BF723" i="7"/>
  <c r="BF724" i="7"/>
  <c r="BF725" i="7"/>
  <c r="BF726" i="7"/>
  <c r="BF727" i="7"/>
  <c r="BF728" i="7"/>
  <c r="BF729" i="7"/>
  <c r="BF730" i="7"/>
  <c r="BF731" i="7"/>
  <c r="BF732" i="7"/>
  <c r="BF733" i="7"/>
  <c r="BF734" i="7"/>
  <c r="BF735" i="7"/>
  <c r="BF736" i="7"/>
  <c r="BF737" i="7"/>
  <c r="BF738" i="7"/>
  <c r="BF739" i="7"/>
  <c r="BF740" i="7"/>
  <c r="BG693" i="7"/>
  <c r="BG694" i="7"/>
  <c r="BG695" i="7"/>
  <c r="BG696" i="7"/>
  <c r="BG697" i="7"/>
  <c r="BG698" i="7"/>
  <c r="BG699" i="7"/>
  <c r="BG700" i="7"/>
  <c r="BG701" i="7"/>
  <c r="BG702" i="7"/>
  <c r="BG703" i="7"/>
  <c r="BG704" i="7"/>
  <c r="BG705" i="7"/>
  <c r="BG706" i="7"/>
  <c r="BG707" i="7"/>
  <c r="BG708" i="7"/>
  <c r="BG709" i="7"/>
  <c r="BG710" i="7"/>
  <c r="BG711" i="7"/>
  <c r="BG712" i="7"/>
  <c r="BG713" i="7"/>
  <c r="BG714" i="7"/>
  <c r="BG715" i="7"/>
  <c r="BG716" i="7"/>
  <c r="BG717" i="7"/>
  <c r="BG718" i="7"/>
  <c r="BG719" i="7"/>
  <c r="BG720" i="7"/>
  <c r="BG721" i="7"/>
  <c r="BG722" i="7"/>
  <c r="BG723" i="7"/>
  <c r="BG724" i="7"/>
  <c r="BG725" i="7"/>
  <c r="BG726" i="7"/>
  <c r="BG727" i="7"/>
  <c r="BG728" i="7"/>
  <c r="BG729" i="7"/>
  <c r="BG730" i="7"/>
  <c r="BG731" i="7"/>
  <c r="BG732" i="7"/>
  <c r="BG733" i="7"/>
  <c r="BG734" i="7"/>
  <c r="BG735" i="7"/>
  <c r="BG736" i="7"/>
  <c r="BG737" i="7"/>
  <c r="BG738" i="7"/>
  <c r="BG739" i="7"/>
  <c r="BG740" i="7"/>
  <c r="BH693" i="7"/>
  <c r="BH694" i="7"/>
  <c r="BH695" i="7"/>
  <c r="BH696" i="7"/>
  <c r="BH697" i="7"/>
  <c r="BH698" i="7"/>
  <c r="BH699" i="7"/>
  <c r="BH700" i="7"/>
  <c r="BH701" i="7"/>
  <c r="BH702" i="7"/>
  <c r="BH703" i="7"/>
  <c r="BH704" i="7"/>
  <c r="BH705" i="7"/>
  <c r="BH706" i="7"/>
  <c r="BH707" i="7"/>
  <c r="BH708" i="7"/>
  <c r="BH709" i="7"/>
  <c r="BH710" i="7"/>
  <c r="BH711" i="7"/>
  <c r="BH712" i="7"/>
  <c r="BH713" i="7"/>
  <c r="BH714" i="7"/>
  <c r="BH715" i="7"/>
  <c r="BH716" i="7"/>
  <c r="BH717" i="7"/>
  <c r="BH718" i="7"/>
  <c r="BH719" i="7"/>
  <c r="BH720" i="7"/>
  <c r="BH721" i="7"/>
  <c r="BH722" i="7"/>
  <c r="BH723" i="7"/>
  <c r="BH724" i="7"/>
  <c r="BH725" i="7"/>
  <c r="BH726" i="7"/>
  <c r="BH727" i="7"/>
  <c r="BH728" i="7"/>
  <c r="BH729" i="7"/>
  <c r="BH730" i="7"/>
  <c r="BH731" i="7"/>
  <c r="BH732" i="7"/>
  <c r="BH733" i="7"/>
  <c r="BH734" i="7"/>
  <c r="BH735" i="7"/>
  <c r="BH736" i="7"/>
  <c r="BH737" i="7"/>
  <c r="BH738" i="7"/>
  <c r="BH739" i="7"/>
  <c r="BH740" i="7"/>
  <c r="BI693" i="7"/>
  <c r="BI694" i="7"/>
  <c r="BI695" i="7"/>
  <c r="BI696" i="7"/>
  <c r="BI697" i="7"/>
  <c r="BI698" i="7"/>
  <c r="BI699" i="7"/>
  <c r="BI700" i="7"/>
  <c r="BI701" i="7"/>
  <c r="BI702" i="7"/>
  <c r="BI703" i="7"/>
  <c r="BI704" i="7"/>
  <c r="BI705" i="7"/>
  <c r="BI706" i="7"/>
  <c r="BI707" i="7"/>
  <c r="BI708" i="7"/>
  <c r="BI709" i="7"/>
  <c r="BI710" i="7"/>
  <c r="BI711" i="7"/>
  <c r="BI712" i="7"/>
  <c r="BI713" i="7"/>
  <c r="BI714" i="7"/>
  <c r="BI715" i="7"/>
  <c r="BI716" i="7"/>
  <c r="BI717" i="7"/>
  <c r="BI718" i="7"/>
  <c r="BI719" i="7"/>
  <c r="BI720" i="7"/>
  <c r="BI721" i="7"/>
  <c r="BI722" i="7"/>
  <c r="BI723" i="7"/>
  <c r="BI724" i="7"/>
  <c r="BI725" i="7"/>
  <c r="BI726" i="7"/>
  <c r="BI727" i="7"/>
  <c r="BI728" i="7"/>
  <c r="BI729" i="7"/>
  <c r="BI730" i="7"/>
  <c r="BI731" i="7"/>
  <c r="BI732" i="7"/>
  <c r="BI733" i="7"/>
  <c r="BI734" i="7"/>
  <c r="BI735" i="7"/>
  <c r="BI736" i="7"/>
  <c r="BI737" i="7"/>
  <c r="BI738" i="7"/>
  <c r="BI739" i="7"/>
  <c r="BI740" i="7"/>
  <c r="BJ693" i="7"/>
  <c r="BJ694" i="7"/>
  <c r="BJ695" i="7"/>
  <c r="BJ696" i="7"/>
  <c r="BJ697" i="7"/>
  <c r="BJ698" i="7"/>
  <c r="BJ699" i="7"/>
  <c r="BJ700" i="7"/>
  <c r="BJ701" i="7"/>
  <c r="BJ702" i="7"/>
  <c r="BJ703" i="7"/>
  <c r="BJ704" i="7"/>
  <c r="BJ705" i="7"/>
  <c r="BJ706" i="7"/>
  <c r="BJ707" i="7"/>
  <c r="BJ708" i="7"/>
  <c r="BJ709" i="7"/>
  <c r="BJ710" i="7"/>
  <c r="BJ711" i="7"/>
  <c r="BJ712" i="7"/>
  <c r="BJ713" i="7"/>
  <c r="BJ714" i="7"/>
  <c r="BJ715" i="7"/>
  <c r="BJ716" i="7"/>
  <c r="BJ717" i="7"/>
  <c r="BJ718" i="7"/>
  <c r="BJ719" i="7"/>
  <c r="BJ720" i="7"/>
  <c r="BJ721" i="7"/>
  <c r="BJ722" i="7"/>
  <c r="BJ723" i="7"/>
  <c r="BJ724" i="7"/>
  <c r="BJ725" i="7"/>
  <c r="BJ726" i="7"/>
  <c r="BJ727" i="7"/>
  <c r="BJ728" i="7"/>
  <c r="BJ729" i="7"/>
  <c r="BJ730" i="7"/>
  <c r="BJ731" i="7"/>
  <c r="BJ732" i="7"/>
  <c r="BJ733" i="7"/>
  <c r="BJ734" i="7"/>
  <c r="BJ735" i="7"/>
  <c r="BJ736" i="7"/>
  <c r="BJ737" i="7"/>
  <c r="BJ738" i="7"/>
  <c r="BJ739" i="7"/>
  <c r="BJ740" i="7"/>
  <c r="BK693" i="7"/>
  <c r="BK694" i="7"/>
  <c r="BK695" i="7"/>
  <c r="BK696" i="7"/>
  <c r="BK697" i="7"/>
  <c r="BK698" i="7"/>
  <c r="BK699" i="7"/>
  <c r="BK700" i="7"/>
  <c r="BK701" i="7"/>
  <c r="BK702" i="7"/>
  <c r="BK703" i="7"/>
  <c r="BK704" i="7"/>
  <c r="BK705" i="7"/>
  <c r="BK706" i="7"/>
  <c r="BK707" i="7"/>
  <c r="BK708" i="7"/>
  <c r="BK709" i="7"/>
  <c r="BK710" i="7"/>
  <c r="BK711" i="7"/>
  <c r="BK712" i="7"/>
  <c r="BK713" i="7"/>
  <c r="BK714" i="7"/>
  <c r="BK715" i="7"/>
  <c r="BK716" i="7"/>
  <c r="BK717" i="7"/>
  <c r="BK718" i="7"/>
  <c r="BK719" i="7"/>
  <c r="BK720" i="7"/>
  <c r="BK721" i="7"/>
  <c r="BK722" i="7"/>
  <c r="BK723" i="7"/>
  <c r="BK724" i="7"/>
  <c r="BK725" i="7"/>
  <c r="BK726" i="7"/>
  <c r="BK727" i="7"/>
  <c r="BK728" i="7"/>
  <c r="BK729" i="7"/>
  <c r="BK730" i="7"/>
  <c r="BK731" i="7"/>
  <c r="BK732" i="7"/>
  <c r="BK733" i="7"/>
  <c r="BK734" i="7"/>
  <c r="BK735" i="7"/>
  <c r="BK736" i="7"/>
  <c r="BK737" i="7"/>
  <c r="BK738" i="7"/>
  <c r="BK739" i="7"/>
  <c r="BK740" i="7"/>
  <c r="BP702" i="7"/>
  <c r="BO709" i="7"/>
  <c r="BO708" i="7"/>
  <c r="BM708" i="7"/>
  <c r="BM709" i="7"/>
  <c r="BP709" i="7"/>
  <c r="BO716" i="7"/>
  <c r="BO715" i="7"/>
  <c r="BM715" i="7"/>
  <c r="BM716" i="7"/>
  <c r="BP716" i="7"/>
  <c r="BO723" i="7"/>
  <c r="BO722" i="7"/>
  <c r="BM722" i="7"/>
  <c r="BM723" i="7"/>
  <c r="BP723" i="7"/>
  <c r="BO759" i="7"/>
  <c r="BO758" i="7"/>
  <c r="BM758" i="7"/>
  <c r="BM759" i="7"/>
  <c r="AX750" i="7"/>
  <c r="AX751" i="7"/>
  <c r="AX752" i="7"/>
  <c r="AX753" i="7"/>
  <c r="AX754" i="7"/>
  <c r="AX755" i="7"/>
  <c r="AX756" i="7"/>
  <c r="AX757" i="7"/>
  <c r="AX758" i="7"/>
  <c r="AX759" i="7"/>
  <c r="AX760" i="7"/>
  <c r="AX761" i="7"/>
  <c r="AX762" i="7"/>
  <c r="AX763" i="7"/>
  <c r="AX764" i="7"/>
  <c r="AX765" i="7"/>
  <c r="AX766" i="7"/>
  <c r="AX767" i="7"/>
  <c r="AX768" i="7"/>
  <c r="AX769" i="7"/>
  <c r="AX770" i="7"/>
  <c r="AX771" i="7"/>
  <c r="AX772" i="7"/>
  <c r="AX773" i="7"/>
  <c r="AX774" i="7"/>
  <c r="AX775" i="7"/>
  <c r="AX776" i="7"/>
  <c r="AX777" i="7"/>
  <c r="AX778" i="7"/>
  <c r="AX779" i="7"/>
  <c r="AX780" i="7"/>
  <c r="AX781" i="7"/>
  <c r="AX782" i="7"/>
  <c r="AX783" i="7"/>
  <c r="AX784" i="7"/>
  <c r="AX785" i="7"/>
  <c r="AX786" i="7"/>
  <c r="AX787" i="7"/>
  <c r="AX788" i="7"/>
  <c r="AX789" i="7"/>
  <c r="AX790" i="7"/>
  <c r="AX791" i="7"/>
  <c r="AX792" i="7"/>
  <c r="AX793" i="7"/>
  <c r="AX794" i="7"/>
  <c r="AX795" i="7"/>
  <c r="AX796" i="7"/>
  <c r="AX797" i="7"/>
  <c r="AY750" i="7"/>
  <c r="AY751" i="7"/>
  <c r="AY752" i="7"/>
  <c r="AY753" i="7"/>
  <c r="AY754" i="7"/>
  <c r="AY755" i="7"/>
  <c r="AY756" i="7"/>
  <c r="AY757" i="7"/>
  <c r="AY758" i="7"/>
  <c r="AY759" i="7"/>
  <c r="AY760" i="7"/>
  <c r="AY761" i="7"/>
  <c r="AY762" i="7"/>
  <c r="AY763" i="7"/>
  <c r="AY764" i="7"/>
  <c r="AY765" i="7"/>
  <c r="AY766" i="7"/>
  <c r="AY767" i="7"/>
  <c r="AY768" i="7"/>
  <c r="AY769" i="7"/>
  <c r="AY770" i="7"/>
  <c r="AY771" i="7"/>
  <c r="AY772" i="7"/>
  <c r="AY773" i="7"/>
  <c r="AY774" i="7"/>
  <c r="AY775" i="7"/>
  <c r="AY776" i="7"/>
  <c r="AY777" i="7"/>
  <c r="AY778" i="7"/>
  <c r="AY779" i="7"/>
  <c r="AY780" i="7"/>
  <c r="AY781" i="7"/>
  <c r="AY782" i="7"/>
  <c r="AY783" i="7"/>
  <c r="AY784" i="7"/>
  <c r="AY785" i="7"/>
  <c r="AY786" i="7"/>
  <c r="AY787" i="7"/>
  <c r="AY788" i="7"/>
  <c r="AY789" i="7"/>
  <c r="AY790" i="7"/>
  <c r="AY791" i="7"/>
  <c r="AY792" i="7"/>
  <c r="AY793" i="7"/>
  <c r="AY794" i="7"/>
  <c r="AY795" i="7"/>
  <c r="AY796" i="7"/>
  <c r="AY797" i="7"/>
  <c r="AZ750" i="7"/>
  <c r="AZ751" i="7"/>
  <c r="AZ752" i="7"/>
  <c r="AZ753" i="7"/>
  <c r="AZ754" i="7"/>
  <c r="AZ755" i="7"/>
  <c r="AZ756" i="7"/>
  <c r="AZ757" i="7"/>
  <c r="AZ758" i="7"/>
  <c r="AZ759" i="7"/>
  <c r="AZ760" i="7"/>
  <c r="AZ761" i="7"/>
  <c r="AZ762" i="7"/>
  <c r="AZ763" i="7"/>
  <c r="AZ764" i="7"/>
  <c r="AZ765" i="7"/>
  <c r="AZ766" i="7"/>
  <c r="AZ767" i="7"/>
  <c r="AZ768" i="7"/>
  <c r="AZ769" i="7"/>
  <c r="AZ770" i="7"/>
  <c r="AZ771" i="7"/>
  <c r="AZ772" i="7"/>
  <c r="AZ773" i="7"/>
  <c r="AZ774" i="7"/>
  <c r="AZ775" i="7"/>
  <c r="AZ776" i="7"/>
  <c r="AZ777" i="7"/>
  <c r="AZ778" i="7"/>
  <c r="AZ779" i="7"/>
  <c r="AZ780" i="7"/>
  <c r="AZ781" i="7"/>
  <c r="AZ782" i="7"/>
  <c r="AZ783" i="7"/>
  <c r="AZ784" i="7"/>
  <c r="AZ785" i="7"/>
  <c r="AZ786" i="7"/>
  <c r="AZ787" i="7"/>
  <c r="AZ788" i="7"/>
  <c r="AZ789" i="7"/>
  <c r="AZ790" i="7"/>
  <c r="AZ791" i="7"/>
  <c r="AZ792" i="7"/>
  <c r="AZ793" i="7"/>
  <c r="AZ794" i="7"/>
  <c r="AZ795" i="7"/>
  <c r="AZ796" i="7"/>
  <c r="AZ797" i="7"/>
  <c r="BA750" i="7"/>
  <c r="BA751" i="7"/>
  <c r="BA752" i="7"/>
  <c r="BA753" i="7"/>
  <c r="BA754" i="7"/>
  <c r="BA755" i="7"/>
  <c r="BA756" i="7"/>
  <c r="BA757" i="7"/>
  <c r="BA758" i="7"/>
  <c r="BA759" i="7"/>
  <c r="BA760" i="7"/>
  <c r="BA761" i="7"/>
  <c r="BA762" i="7"/>
  <c r="BA763" i="7"/>
  <c r="BA764" i="7"/>
  <c r="BA765" i="7"/>
  <c r="BA766" i="7"/>
  <c r="BA767" i="7"/>
  <c r="BA768" i="7"/>
  <c r="BA769" i="7"/>
  <c r="BA770" i="7"/>
  <c r="BA771" i="7"/>
  <c r="BA772" i="7"/>
  <c r="BA773" i="7"/>
  <c r="BA774" i="7"/>
  <c r="BA775" i="7"/>
  <c r="BA776" i="7"/>
  <c r="BA777" i="7"/>
  <c r="BA778" i="7"/>
  <c r="BA779" i="7"/>
  <c r="BA780" i="7"/>
  <c r="BA781" i="7"/>
  <c r="BA782" i="7"/>
  <c r="BA783" i="7"/>
  <c r="BA784" i="7"/>
  <c r="BA785" i="7"/>
  <c r="BA786" i="7"/>
  <c r="BA787" i="7"/>
  <c r="BA788" i="7"/>
  <c r="BA789" i="7"/>
  <c r="BA790" i="7"/>
  <c r="BA791" i="7"/>
  <c r="BA792" i="7"/>
  <c r="BA793" i="7"/>
  <c r="BA794" i="7"/>
  <c r="BA795" i="7"/>
  <c r="BA796" i="7"/>
  <c r="BA797" i="7"/>
  <c r="BB750" i="7"/>
  <c r="BB751" i="7"/>
  <c r="BB752" i="7"/>
  <c r="BB753" i="7"/>
  <c r="BB754" i="7"/>
  <c r="BB755" i="7"/>
  <c r="BB756" i="7"/>
  <c r="BB757" i="7"/>
  <c r="BB758" i="7"/>
  <c r="BB759" i="7"/>
  <c r="BB760" i="7"/>
  <c r="BB761" i="7"/>
  <c r="BB762" i="7"/>
  <c r="BB763" i="7"/>
  <c r="BB764" i="7"/>
  <c r="BB765" i="7"/>
  <c r="BB766" i="7"/>
  <c r="BB767" i="7"/>
  <c r="BB768" i="7"/>
  <c r="BB769" i="7"/>
  <c r="BB770" i="7"/>
  <c r="BB771" i="7"/>
  <c r="BB772" i="7"/>
  <c r="BB773" i="7"/>
  <c r="BB774" i="7"/>
  <c r="BB775" i="7"/>
  <c r="BB776" i="7"/>
  <c r="BB777" i="7"/>
  <c r="BB778" i="7"/>
  <c r="BB779" i="7"/>
  <c r="BB780" i="7"/>
  <c r="BB781" i="7"/>
  <c r="BB782" i="7"/>
  <c r="BB783" i="7"/>
  <c r="BB784" i="7"/>
  <c r="BB785" i="7"/>
  <c r="BB786" i="7"/>
  <c r="BB787" i="7"/>
  <c r="BB788" i="7"/>
  <c r="BB789" i="7"/>
  <c r="BB790" i="7"/>
  <c r="BB791" i="7"/>
  <c r="BB792" i="7"/>
  <c r="BB793" i="7"/>
  <c r="BB794" i="7"/>
  <c r="BB795" i="7"/>
  <c r="BB796" i="7"/>
  <c r="BB797" i="7"/>
  <c r="BC750" i="7"/>
  <c r="BC751" i="7"/>
  <c r="BC752" i="7"/>
  <c r="BC753" i="7"/>
  <c r="BC754" i="7"/>
  <c r="BC755" i="7"/>
  <c r="BC756" i="7"/>
  <c r="BC757" i="7"/>
  <c r="BC758" i="7"/>
  <c r="BC759" i="7"/>
  <c r="BC760" i="7"/>
  <c r="BC761" i="7"/>
  <c r="BC762" i="7"/>
  <c r="BC763" i="7"/>
  <c r="BC764" i="7"/>
  <c r="BC765" i="7"/>
  <c r="BC766" i="7"/>
  <c r="BC767" i="7"/>
  <c r="BC768" i="7"/>
  <c r="BC769" i="7"/>
  <c r="BC770" i="7"/>
  <c r="BC771" i="7"/>
  <c r="BC772" i="7"/>
  <c r="BC773" i="7"/>
  <c r="BC774" i="7"/>
  <c r="BC775" i="7"/>
  <c r="BC776" i="7"/>
  <c r="BC777" i="7"/>
  <c r="BC778" i="7"/>
  <c r="BC779" i="7"/>
  <c r="BC780" i="7"/>
  <c r="BC781" i="7"/>
  <c r="BC782" i="7"/>
  <c r="BC783" i="7"/>
  <c r="BC784" i="7"/>
  <c r="BC785" i="7"/>
  <c r="BC786" i="7"/>
  <c r="BC787" i="7"/>
  <c r="BC788" i="7"/>
  <c r="BC789" i="7"/>
  <c r="BC790" i="7"/>
  <c r="BC791" i="7"/>
  <c r="BC792" i="7"/>
  <c r="BC793" i="7"/>
  <c r="BC794" i="7"/>
  <c r="BC795" i="7"/>
  <c r="BC796" i="7"/>
  <c r="BC797" i="7"/>
  <c r="BD750" i="7"/>
  <c r="BD751" i="7"/>
  <c r="BD752" i="7"/>
  <c r="BD753" i="7"/>
  <c r="BD754" i="7"/>
  <c r="BD755" i="7"/>
  <c r="BD756" i="7"/>
  <c r="BD757" i="7"/>
  <c r="BD758" i="7"/>
  <c r="BD759" i="7"/>
  <c r="BD760" i="7"/>
  <c r="BD761" i="7"/>
  <c r="BD762" i="7"/>
  <c r="BD763" i="7"/>
  <c r="BD764" i="7"/>
  <c r="BD765" i="7"/>
  <c r="BD766" i="7"/>
  <c r="BD767" i="7"/>
  <c r="BD768" i="7"/>
  <c r="BD769" i="7"/>
  <c r="BD770" i="7"/>
  <c r="BD771" i="7"/>
  <c r="BD772" i="7"/>
  <c r="BD773" i="7"/>
  <c r="BD774" i="7"/>
  <c r="BD775" i="7"/>
  <c r="BD776" i="7"/>
  <c r="BD777" i="7"/>
  <c r="BD778" i="7"/>
  <c r="BD779" i="7"/>
  <c r="BD780" i="7"/>
  <c r="BD781" i="7"/>
  <c r="BD782" i="7"/>
  <c r="BD783" i="7"/>
  <c r="BD784" i="7"/>
  <c r="BD785" i="7"/>
  <c r="BD786" i="7"/>
  <c r="BD787" i="7"/>
  <c r="BD788" i="7"/>
  <c r="BD789" i="7"/>
  <c r="BD790" i="7"/>
  <c r="BD791" i="7"/>
  <c r="BD792" i="7"/>
  <c r="BD793" i="7"/>
  <c r="BD794" i="7"/>
  <c r="BD795" i="7"/>
  <c r="BD796" i="7"/>
  <c r="BD797" i="7"/>
  <c r="BE750" i="7"/>
  <c r="BE751" i="7"/>
  <c r="BE752" i="7"/>
  <c r="BE753" i="7"/>
  <c r="BE754" i="7"/>
  <c r="BE755" i="7"/>
  <c r="BE756" i="7"/>
  <c r="BE757" i="7"/>
  <c r="BE758" i="7"/>
  <c r="BE759" i="7"/>
  <c r="BE760" i="7"/>
  <c r="BE761" i="7"/>
  <c r="BE762" i="7"/>
  <c r="BE763" i="7"/>
  <c r="BE764" i="7"/>
  <c r="BE765" i="7"/>
  <c r="BE766" i="7"/>
  <c r="BE767" i="7"/>
  <c r="BE768" i="7"/>
  <c r="BE769" i="7"/>
  <c r="BE770" i="7"/>
  <c r="BE771" i="7"/>
  <c r="BE772" i="7"/>
  <c r="BE773" i="7"/>
  <c r="BE774" i="7"/>
  <c r="BE775" i="7"/>
  <c r="BE776" i="7"/>
  <c r="BE777" i="7"/>
  <c r="BE778" i="7"/>
  <c r="BE779" i="7"/>
  <c r="BE780" i="7"/>
  <c r="BE781" i="7"/>
  <c r="BE782" i="7"/>
  <c r="BE783" i="7"/>
  <c r="BE784" i="7"/>
  <c r="BE785" i="7"/>
  <c r="BE786" i="7"/>
  <c r="BE787" i="7"/>
  <c r="BE788" i="7"/>
  <c r="BE789" i="7"/>
  <c r="BE790" i="7"/>
  <c r="BE791" i="7"/>
  <c r="BE792" i="7"/>
  <c r="BE793" i="7"/>
  <c r="BE794" i="7"/>
  <c r="BE795" i="7"/>
  <c r="BE796" i="7"/>
  <c r="BE797" i="7"/>
  <c r="BF750" i="7"/>
  <c r="BF751" i="7"/>
  <c r="BF752" i="7"/>
  <c r="BF753" i="7"/>
  <c r="BF754" i="7"/>
  <c r="BF755" i="7"/>
  <c r="BF756" i="7"/>
  <c r="BF757" i="7"/>
  <c r="BF758" i="7"/>
  <c r="BF759" i="7"/>
  <c r="BF760" i="7"/>
  <c r="BF761" i="7"/>
  <c r="BF762" i="7"/>
  <c r="BF763" i="7"/>
  <c r="BF764" i="7"/>
  <c r="BF765" i="7"/>
  <c r="BF766" i="7"/>
  <c r="BF767" i="7"/>
  <c r="BF768" i="7"/>
  <c r="BF769" i="7"/>
  <c r="BF770" i="7"/>
  <c r="BF771" i="7"/>
  <c r="BF772" i="7"/>
  <c r="BF773" i="7"/>
  <c r="BF774" i="7"/>
  <c r="BF775" i="7"/>
  <c r="BF776" i="7"/>
  <c r="BF777" i="7"/>
  <c r="BF778" i="7"/>
  <c r="BF779" i="7"/>
  <c r="BF780" i="7"/>
  <c r="BF781" i="7"/>
  <c r="BF782" i="7"/>
  <c r="BF783" i="7"/>
  <c r="BF784" i="7"/>
  <c r="BF785" i="7"/>
  <c r="BF786" i="7"/>
  <c r="BF787" i="7"/>
  <c r="BF788" i="7"/>
  <c r="BF789" i="7"/>
  <c r="BF790" i="7"/>
  <c r="BF791" i="7"/>
  <c r="BF792" i="7"/>
  <c r="BF793" i="7"/>
  <c r="BF794" i="7"/>
  <c r="BF795" i="7"/>
  <c r="BF796" i="7"/>
  <c r="BF797" i="7"/>
  <c r="BG750" i="7"/>
  <c r="BG751" i="7"/>
  <c r="BG752" i="7"/>
  <c r="BG753" i="7"/>
  <c r="BG754" i="7"/>
  <c r="BG755" i="7"/>
  <c r="BG756" i="7"/>
  <c r="BG757" i="7"/>
  <c r="BG758" i="7"/>
  <c r="BG759" i="7"/>
  <c r="BG760" i="7"/>
  <c r="BG761" i="7"/>
  <c r="BG762" i="7"/>
  <c r="BG763" i="7"/>
  <c r="BG764" i="7"/>
  <c r="BG765" i="7"/>
  <c r="BG766" i="7"/>
  <c r="BG767" i="7"/>
  <c r="BG768" i="7"/>
  <c r="BG769" i="7"/>
  <c r="BG770" i="7"/>
  <c r="BG771" i="7"/>
  <c r="BG772" i="7"/>
  <c r="BG773" i="7"/>
  <c r="BG774" i="7"/>
  <c r="BG775" i="7"/>
  <c r="BG776" i="7"/>
  <c r="BG777" i="7"/>
  <c r="BG778" i="7"/>
  <c r="BG779" i="7"/>
  <c r="BG780" i="7"/>
  <c r="BG781" i="7"/>
  <c r="BG782" i="7"/>
  <c r="BG783" i="7"/>
  <c r="BG784" i="7"/>
  <c r="BG785" i="7"/>
  <c r="BG786" i="7"/>
  <c r="BG787" i="7"/>
  <c r="BG788" i="7"/>
  <c r="BG789" i="7"/>
  <c r="BG790" i="7"/>
  <c r="BG791" i="7"/>
  <c r="BG792" i="7"/>
  <c r="BG793" i="7"/>
  <c r="BG794" i="7"/>
  <c r="BG795" i="7"/>
  <c r="BG796" i="7"/>
  <c r="BG797" i="7"/>
  <c r="BH750" i="7"/>
  <c r="BH751" i="7"/>
  <c r="BH752" i="7"/>
  <c r="BH753" i="7"/>
  <c r="BH754" i="7"/>
  <c r="BH755" i="7"/>
  <c r="BH756" i="7"/>
  <c r="BH757" i="7"/>
  <c r="BH758" i="7"/>
  <c r="BH759" i="7"/>
  <c r="BH760" i="7"/>
  <c r="BH761" i="7"/>
  <c r="BH762" i="7"/>
  <c r="BH763" i="7"/>
  <c r="BH764" i="7"/>
  <c r="BH765" i="7"/>
  <c r="BH766" i="7"/>
  <c r="BH767" i="7"/>
  <c r="BH768" i="7"/>
  <c r="BH769" i="7"/>
  <c r="BH770" i="7"/>
  <c r="BH771" i="7"/>
  <c r="BH772" i="7"/>
  <c r="BH773" i="7"/>
  <c r="BH774" i="7"/>
  <c r="BH775" i="7"/>
  <c r="BH776" i="7"/>
  <c r="BH777" i="7"/>
  <c r="BH778" i="7"/>
  <c r="BH779" i="7"/>
  <c r="BH780" i="7"/>
  <c r="BH781" i="7"/>
  <c r="BH782" i="7"/>
  <c r="BH783" i="7"/>
  <c r="BH784" i="7"/>
  <c r="BH785" i="7"/>
  <c r="BH786" i="7"/>
  <c r="BH787" i="7"/>
  <c r="BH788" i="7"/>
  <c r="BH789" i="7"/>
  <c r="BH790" i="7"/>
  <c r="BH791" i="7"/>
  <c r="BH792" i="7"/>
  <c r="BH793" i="7"/>
  <c r="BH794" i="7"/>
  <c r="BH795" i="7"/>
  <c r="BH796" i="7"/>
  <c r="BH797" i="7"/>
  <c r="BI750" i="7"/>
  <c r="BI751" i="7"/>
  <c r="BI752" i="7"/>
  <c r="BI753" i="7"/>
  <c r="BI754" i="7"/>
  <c r="BI755" i="7"/>
  <c r="BI756" i="7"/>
  <c r="BI757" i="7"/>
  <c r="BI758" i="7"/>
  <c r="BI759" i="7"/>
  <c r="BI760" i="7"/>
  <c r="BI761" i="7"/>
  <c r="BI762" i="7"/>
  <c r="BI763" i="7"/>
  <c r="BI764" i="7"/>
  <c r="BI765" i="7"/>
  <c r="BI766" i="7"/>
  <c r="BI767" i="7"/>
  <c r="BI768" i="7"/>
  <c r="BI769" i="7"/>
  <c r="BI770" i="7"/>
  <c r="BI771" i="7"/>
  <c r="BI772" i="7"/>
  <c r="BI773" i="7"/>
  <c r="BI774" i="7"/>
  <c r="BI775" i="7"/>
  <c r="BI776" i="7"/>
  <c r="BI777" i="7"/>
  <c r="BI778" i="7"/>
  <c r="BI779" i="7"/>
  <c r="BI780" i="7"/>
  <c r="BI781" i="7"/>
  <c r="BI782" i="7"/>
  <c r="BI783" i="7"/>
  <c r="BI784" i="7"/>
  <c r="BI785" i="7"/>
  <c r="BI786" i="7"/>
  <c r="BI787" i="7"/>
  <c r="BI788" i="7"/>
  <c r="BI789" i="7"/>
  <c r="BI790" i="7"/>
  <c r="BI791" i="7"/>
  <c r="BI792" i="7"/>
  <c r="BI793" i="7"/>
  <c r="BI794" i="7"/>
  <c r="BI795" i="7"/>
  <c r="BI796" i="7"/>
  <c r="BI797" i="7"/>
  <c r="BJ750" i="7"/>
  <c r="BJ751" i="7"/>
  <c r="BJ752" i="7"/>
  <c r="BJ753" i="7"/>
  <c r="BJ754" i="7"/>
  <c r="BJ755" i="7"/>
  <c r="BJ756" i="7"/>
  <c r="BJ757" i="7"/>
  <c r="BJ758" i="7"/>
  <c r="BJ759" i="7"/>
  <c r="BJ760" i="7"/>
  <c r="BJ761" i="7"/>
  <c r="BJ762" i="7"/>
  <c r="BJ763" i="7"/>
  <c r="BJ764" i="7"/>
  <c r="BJ765" i="7"/>
  <c r="BJ766" i="7"/>
  <c r="BJ767" i="7"/>
  <c r="BJ768" i="7"/>
  <c r="BJ769" i="7"/>
  <c r="BJ770" i="7"/>
  <c r="BJ771" i="7"/>
  <c r="BJ772" i="7"/>
  <c r="BJ773" i="7"/>
  <c r="BJ774" i="7"/>
  <c r="BJ775" i="7"/>
  <c r="BJ776" i="7"/>
  <c r="BJ777" i="7"/>
  <c r="BJ778" i="7"/>
  <c r="BJ779" i="7"/>
  <c r="BJ780" i="7"/>
  <c r="BJ781" i="7"/>
  <c r="BJ782" i="7"/>
  <c r="BJ783" i="7"/>
  <c r="BJ784" i="7"/>
  <c r="BJ785" i="7"/>
  <c r="BJ786" i="7"/>
  <c r="BJ787" i="7"/>
  <c r="BJ788" i="7"/>
  <c r="BJ789" i="7"/>
  <c r="BJ790" i="7"/>
  <c r="BJ791" i="7"/>
  <c r="BJ792" i="7"/>
  <c r="BJ793" i="7"/>
  <c r="BJ794" i="7"/>
  <c r="BJ795" i="7"/>
  <c r="BJ796" i="7"/>
  <c r="BJ797" i="7"/>
  <c r="BK750" i="7"/>
  <c r="BK751" i="7"/>
  <c r="BK752" i="7"/>
  <c r="BK753" i="7"/>
  <c r="BK754" i="7"/>
  <c r="BK755" i="7"/>
  <c r="BK756" i="7"/>
  <c r="BK757" i="7"/>
  <c r="BK758" i="7"/>
  <c r="BK759" i="7"/>
  <c r="BK760" i="7"/>
  <c r="BK761" i="7"/>
  <c r="BK762" i="7"/>
  <c r="BK763" i="7"/>
  <c r="BK764" i="7"/>
  <c r="BK765" i="7"/>
  <c r="BK766" i="7"/>
  <c r="BK767" i="7"/>
  <c r="BK768" i="7"/>
  <c r="BK769" i="7"/>
  <c r="BK770" i="7"/>
  <c r="BK771" i="7"/>
  <c r="BK772" i="7"/>
  <c r="BK773" i="7"/>
  <c r="BK774" i="7"/>
  <c r="BK775" i="7"/>
  <c r="BK776" i="7"/>
  <c r="BK777" i="7"/>
  <c r="BK778" i="7"/>
  <c r="BK779" i="7"/>
  <c r="BK780" i="7"/>
  <c r="BK781" i="7"/>
  <c r="BK782" i="7"/>
  <c r="BK783" i="7"/>
  <c r="BK784" i="7"/>
  <c r="BK785" i="7"/>
  <c r="BK786" i="7"/>
  <c r="BK787" i="7"/>
  <c r="BK788" i="7"/>
  <c r="BK789" i="7"/>
  <c r="BK790" i="7"/>
  <c r="BK791" i="7"/>
  <c r="BK792" i="7"/>
  <c r="BK793" i="7"/>
  <c r="BK794" i="7"/>
  <c r="BK795" i="7"/>
  <c r="BK796" i="7"/>
  <c r="BK797" i="7"/>
  <c r="BP759" i="7"/>
  <c r="BO766" i="7"/>
  <c r="BO765" i="7"/>
  <c r="BM765" i="7"/>
  <c r="BM766" i="7"/>
  <c r="BP766" i="7"/>
  <c r="BO773" i="7"/>
  <c r="BO772" i="7"/>
  <c r="BM772" i="7"/>
  <c r="BM773" i="7"/>
  <c r="BP773" i="7"/>
  <c r="BO780" i="7"/>
  <c r="BO779" i="7"/>
  <c r="BM779" i="7"/>
  <c r="BM780" i="7"/>
  <c r="BP780" i="7"/>
  <c r="BO816" i="7"/>
  <c r="BO815" i="7"/>
  <c r="BM815" i="7"/>
  <c r="BM816" i="7"/>
  <c r="AX807" i="7"/>
  <c r="AX808" i="7"/>
  <c r="AX809" i="7"/>
  <c r="AX810" i="7"/>
  <c r="AX811" i="7"/>
  <c r="AX812" i="7"/>
  <c r="AX813" i="7"/>
  <c r="AX814" i="7"/>
  <c r="AX815" i="7"/>
  <c r="AX816" i="7"/>
  <c r="AX817" i="7"/>
  <c r="AX818" i="7"/>
  <c r="AX819" i="7"/>
  <c r="AX820" i="7"/>
  <c r="AX821" i="7"/>
  <c r="AX822" i="7"/>
  <c r="AX823" i="7"/>
  <c r="AX824" i="7"/>
  <c r="AX825" i="7"/>
  <c r="AX826" i="7"/>
  <c r="AX827" i="7"/>
  <c r="AX828" i="7"/>
  <c r="AX829" i="7"/>
  <c r="AX830" i="7"/>
  <c r="AX831" i="7"/>
  <c r="AX832" i="7"/>
  <c r="AX833" i="7"/>
  <c r="AX834" i="7"/>
  <c r="AX835" i="7"/>
  <c r="AX836" i="7"/>
  <c r="AX837" i="7"/>
  <c r="AX838" i="7"/>
  <c r="AX839" i="7"/>
  <c r="AX840" i="7"/>
  <c r="AX841" i="7"/>
  <c r="AX842" i="7"/>
  <c r="AX843" i="7"/>
  <c r="AX844" i="7"/>
  <c r="AX845" i="7"/>
  <c r="AX846" i="7"/>
  <c r="AX847" i="7"/>
  <c r="AX848" i="7"/>
  <c r="AX849" i="7"/>
  <c r="AX850" i="7"/>
  <c r="AX851" i="7"/>
  <c r="AX852" i="7"/>
  <c r="AX853" i="7"/>
  <c r="AX854" i="7"/>
  <c r="AY807" i="7"/>
  <c r="AY808" i="7"/>
  <c r="AY809" i="7"/>
  <c r="AY810" i="7"/>
  <c r="AY811" i="7"/>
  <c r="AY812" i="7"/>
  <c r="AY813" i="7"/>
  <c r="AY814" i="7"/>
  <c r="AY815" i="7"/>
  <c r="AY816" i="7"/>
  <c r="AY817" i="7"/>
  <c r="AY818" i="7"/>
  <c r="AY819" i="7"/>
  <c r="AY820" i="7"/>
  <c r="AY821" i="7"/>
  <c r="AY822" i="7"/>
  <c r="AY823" i="7"/>
  <c r="AY824" i="7"/>
  <c r="AY825" i="7"/>
  <c r="AY826" i="7"/>
  <c r="AY827" i="7"/>
  <c r="AY828" i="7"/>
  <c r="AY829" i="7"/>
  <c r="AY830" i="7"/>
  <c r="AY831" i="7"/>
  <c r="AY832" i="7"/>
  <c r="AY833" i="7"/>
  <c r="AY834" i="7"/>
  <c r="AY835" i="7"/>
  <c r="AY836" i="7"/>
  <c r="AY837" i="7"/>
  <c r="AY838" i="7"/>
  <c r="AY839" i="7"/>
  <c r="AY840" i="7"/>
  <c r="AY841" i="7"/>
  <c r="AY842" i="7"/>
  <c r="AY843" i="7"/>
  <c r="AY844" i="7"/>
  <c r="AY845" i="7"/>
  <c r="AY846" i="7"/>
  <c r="AY847" i="7"/>
  <c r="AY848" i="7"/>
  <c r="AY849" i="7"/>
  <c r="AY850" i="7"/>
  <c r="AY851" i="7"/>
  <c r="AY852" i="7"/>
  <c r="AY853" i="7"/>
  <c r="AY854" i="7"/>
  <c r="AZ807" i="7"/>
  <c r="AZ808" i="7"/>
  <c r="AZ809" i="7"/>
  <c r="AZ810" i="7"/>
  <c r="AZ811" i="7"/>
  <c r="AZ812" i="7"/>
  <c r="AZ813" i="7"/>
  <c r="AZ814" i="7"/>
  <c r="AZ815" i="7"/>
  <c r="AZ816" i="7"/>
  <c r="AZ817" i="7"/>
  <c r="AZ818" i="7"/>
  <c r="AZ819" i="7"/>
  <c r="AZ820" i="7"/>
  <c r="AZ821" i="7"/>
  <c r="AZ822" i="7"/>
  <c r="AZ823" i="7"/>
  <c r="AZ824" i="7"/>
  <c r="AZ825" i="7"/>
  <c r="AZ826" i="7"/>
  <c r="AZ827" i="7"/>
  <c r="AZ828" i="7"/>
  <c r="AZ829" i="7"/>
  <c r="AZ830" i="7"/>
  <c r="AZ831" i="7"/>
  <c r="AZ832" i="7"/>
  <c r="AZ833" i="7"/>
  <c r="AZ834" i="7"/>
  <c r="AZ835" i="7"/>
  <c r="AZ836" i="7"/>
  <c r="AZ837" i="7"/>
  <c r="AZ838" i="7"/>
  <c r="AZ839" i="7"/>
  <c r="AZ840" i="7"/>
  <c r="AZ841" i="7"/>
  <c r="AZ842" i="7"/>
  <c r="AZ843" i="7"/>
  <c r="AZ844" i="7"/>
  <c r="AZ845" i="7"/>
  <c r="AZ846" i="7"/>
  <c r="AZ847" i="7"/>
  <c r="AZ848" i="7"/>
  <c r="AZ849" i="7"/>
  <c r="AZ850" i="7"/>
  <c r="AZ851" i="7"/>
  <c r="AZ852" i="7"/>
  <c r="AZ853" i="7"/>
  <c r="AZ854" i="7"/>
  <c r="BA807" i="7"/>
  <c r="BA808" i="7"/>
  <c r="BA809" i="7"/>
  <c r="BA810" i="7"/>
  <c r="BA811" i="7"/>
  <c r="BA812" i="7"/>
  <c r="BA813" i="7"/>
  <c r="BA814" i="7"/>
  <c r="BA815" i="7"/>
  <c r="BA816" i="7"/>
  <c r="BA817" i="7"/>
  <c r="BA818" i="7"/>
  <c r="BA819" i="7"/>
  <c r="BA820" i="7"/>
  <c r="BA821" i="7"/>
  <c r="BA822" i="7"/>
  <c r="BA823" i="7"/>
  <c r="BA824" i="7"/>
  <c r="BA825" i="7"/>
  <c r="BA826" i="7"/>
  <c r="BA827" i="7"/>
  <c r="BA828" i="7"/>
  <c r="BA829" i="7"/>
  <c r="BA830" i="7"/>
  <c r="BA831" i="7"/>
  <c r="BA832" i="7"/>
  <c r="BA833" i="7"/>
  <c r="BA834" i="7"/>
  <c r="BA835" i="7"/>
  <c r="BA836" i="7"/>
  <c r="BA837" i="7"/>
  <c r="BA838" i="7"/>
  <c r="BA839" i="7"/>
  <c r="BA840" i="7"/>
  <c r="BA841" i="7"/>
  <c r="BA842" i="7"/>
  <c r="BA843" i="7"/>
  <c r="BA844" i="7"/>
  <c r="BA845" i="7"/>
  <c r="BA846" i="7"/>
  <c r="BA847" i="7"/>
  <c r="BA848" i="7"/>
  <c r="BA849" i="7"/>
  <c r="BA850" i="7"/>
  <c r="BA851" i="7"/>
  <c r="BA852" i="7"/>
  <c r="BA853" i="7"/>
  <c r="BA854" i="7"/>
  <c r="BB807" i="7"/>
  <c r="BB808" i="7"/>
  <c r="BB809" i="7"/>
  <c r="BB810" i="7"/>
  <c r="BB811" i="7"/>
  <c r="BB812" i="7"/>
  <c r="BB813" i="7"/>
  <c r="BB814" i="7"/>
  <c r="BB815" i="7"/>
  <c r="BB816" i="7"/>
  <c r="BB817" i="7"/>
  <c r="BB818" i="7"/>
  <c r="BB819" i="7"/>
  <c r="BB820" i="7"/>
  <c r="BB821" i="7"/>
  <c r="BB822" i="7"/>
  <c r="BB823" i="7"/>
  <c r="BB824" i="7"/>
  <c r="BB825" i="7"/>
  <c r="BB826" i="7"/>
  <c r="BB827" i="7"/>
  <c r="BB828" i="7"/>
  <c r="BB829" i="7"/>
  <c r="BB830" i="7"/>
  <c r="BB831" i="7"/>
  <c r="BB832" i="7"/>
  <c r="BB833" i="7"/>
  <c r="BB834" i="7"/>
  <c r="BB835" i="7"/>
  <c r="BB836" i="7"/>
  <c r="BB837" i="7"/>
  <c r="BB838" i="7"/>
  <c r="BB839" i="7"/>
  <c r="BB840" i="7"/>
  <c r="BB841" i="7"/>
  <c r="BB842" i="7"/>
  <c r="BB843" i="7"/>
  <c r="BB844" i="7"/>
  <c r="BB845" i="7"/>
  <c r="BB846" i="7"/>
  <c r="BB847" i="7"/>
  <c r="BB848" i="7"/>
  <c r="BB849" i="7"/>
  <c r="BB850" i="7"/>
  <c r="BB851" i="7"/>
  <c r="BB852" i="7"/>
  <c r="BB853" i="7"/>
  <c r="BB854" i="7"/>
  <c r="BC807" i="7"/>
  <c r="BC808" i="7"/>
  <c r="BC809" i="7"/>
  <c r="BC810" i="7"/>
  <c r="BC811" i="7"/>
  <c r="BC812" i="7"/>
  <c r="BC813" i="7"/>
  <c r="BC814" i="7"/>
  <c r="BC815" i="7"/>
  <c r="BC816" i="7"/>
  <c r="BC817" i="7"/>
  <c r="BC818" i="7"/>
  <c r="BC819" i="7"/>
  <c r="BC820" i="7"/>
  <c r="BC821" i="7"/>
  <c r="BC822" i="7"/>
  <c r="BC823" i="7"/>
  <c r="BC824" i="7"/>
  <c r="BC825" i="7"/>
  <c r="BC826" i="7"/>
  <c r="BC827" i="7"/>
  <c r="BC828" i="7"/>
  <c r="BC829" i="7"/>
  <c r="BC830" i="7"/>
  <c r="BC831" i="7"/>
  <c r="BC832" i="7"/>
  <c r="BC833" i="7"/>
  <c r="BC834" i="7"/>
  <c r="BC835" i="7"/>
  <c r="BC836" i="7"/>
  <c r="BC837" i="7"/>
  <c r="BC838" i="7"/>
  <c r="BC839" i="7"/>
  <c r="BC840" i="7"/>
  <c r="BC841" i="7"/>
  <c r="BC842" i="7"/>
  <c r="BC843" i="7"/>
  <c r="BC844" i="7"/>
  <c r="BC845" i="7"/>
  <c r="BC846" i="7"/>
  <c r="BC847" i="7"/>
  <c r="BC848" i="7"/>
  <c r="BC849" i="7"/>
  <c r="BC850" i="7"/>
  <c r="BC851" i="7"/>
  <c r="BC852" i="7"/>
  <c r="BC853" i="7"/>
  <c r="BC854" i="7"/>
  <c r="BD807" i="7"/>
  <c r="BD808" i="7"/>
  <c r="BD809" i="7"/>
  <c r="BD810" i="7"/>
  <c r="BD811" i="7"/>
  <c r="BD812" i="7"/>
  <c r="BD813" i="7"/>
  <c r="BD814" i="7"/>
  <c r="BD815" i="7"/>
  <c r="BD816" i="7"/>
  <c r="BD817" i="7"/>
  <c r="BD818" i="7"/>
  <c r="BD819" i="7"/>
  <c r="BD820" i="7"/>
  <c r="BD821" i="7"/>
  <c r="BD822" i="7"/>
  <c r="BD823" i="7"/>
  <c r="BD824" i="7"/>
  <c r="BD825" i="7"/>
  <c r="BD826" i="7"/>
  <c r="BD827" i="7"/>
  <c r="BD828" i="7"/>
  <c r="BD829" i="7"/>
  <c r="BD830" i="7"/>
  <c r="BD831" i="7"/>
  <c r="BD832" i="7"/>
  <c r="BD833" i="7"/>
  <c r="BD834" i="7"/>
  <c r="BD835" i="7"/>
  <c r="BD836" i="7"/>
  <c r="BD837" i="7"/>
  <c r="BD838" i="7"/>
  <c r="BD839" i="7"/>
  <c r="BD840" i="7"/>
  <c r="BD841" i="7"/>
  <c r="BD842" i="7"/>
  <c r="BD843" i="7"/>
  <c r="BD844" i="7"/>
  <c r="BD845" i="7"/>
  <c r="BD846" i="7"/>
  <c r="BD847" i="7"/>
  <c r="BD848" i="7"/>
  <c r="BD849" i="7"/>
  <c r="BD850" i="7"/>
  <c r="BD851" i="7"/>
  <c r="BD852" i="7"/>
  <c r="BD853" i="7"/>
  <c r="BD854" i="7"/>
  <c r="BE807" i="7"/>
  <c r="BE808" i="7"/>
  <c r="BE809" i="7"/>
  <c r="BE810" i="7"/>
  <c r="BE811" i="7"/>
  <c r="BE812" i="7"/>
  <c r="BE813" i="7"/>
  <c r="BE814" i="7"/>
  <c r="BE815" i="7"/>
  <c r="BE816" i="7"/>
  <c r="BE817" i="7"/>
  <c r="BE818" i="7"/>
  <c r="BE819" i="7"/>
  <c r="BE820" i="7"/>
  <c r="BE821" i="7"/>
  <c r="BE822" i="7"/>
  <c r="BE823" i="7"/>
  <c r="BE824" i="7"/>
  <c r="BE825" i="7"/>
  <c r="BE826" i="7"/>
  <c r="BE827" i="7"/>
  <c r="BE828" i="7"/>
  <c r="BE829" i="7"/>
  <c r="BE830" i="7"/>
  <c r="BE831" i="7"/>
  <c r="BE832" i="7"/>
  <c r="BE833" i="7"/>
  <c r="BE834" i="7"/>
  <c r="BE835" i="7"/>
  <c r="BE836" i="7"/>
  <c r="BE837" i="7"/>
  <c r="BE838" i="7"/>
  <c r="BE839" i="7"/>
  <c r="BE840" i="7"/>
  <c r="BE841" i="7"/>
  <c r="BE842" i="7"/>
  <c r="BE843" i="7"/>
  <c r="BE844" i="7"/>
  <c r="BE845" i="7"/>
  <c r="BE846" i="7"/>
  <c r="BE847" i="7"/>
  <c r="BE848" i="7"/>
  <c r="BE849" i="7"/>
  <c r="BE850" i="7"/>
  <c r="BE851" i="7"/>
  <c r="BE852" i="7"/>
  <c r="BE853" i="7"/>
  <c r="BE854" i="7"/>
  <c r="BF807" i="7"/>
  <c r="BF808" i="7"/>
  <c r="BF809" i="7"/>
  <c r="BF810" i="7"/>
  <c r="BF811" i="7"/>
  <c r="BF812" i="7"/>
  <c r="BF813" i="7"/>
  <c r="BF814" i="7"/>
  <c r="BF815" i="7"/>
  <c r="BF816" i="7"/>
  <c r="BF817" i="7"/>
  <c r="BF818" i="7"/>
  <c r="BF819" i="7"/>
  <c r="BF820" i="7"/>
  <c r="BF821" i="7"/>
  <c r="BF822" i="7"/>
  <c r="BF823" i="7"/>
  <c r="BF824" i="7"/>
  <c r="BF825" i="7"/>
  <c r="BF826" i="7"/>
  <c r="BF827" i="7"/>
  <c r="BF828" i="7"/>
  <c r="BF829" i="7"/>
  <c r="BF830" i="7"/>
  <c r="BF831" i="7"/>
  <c r="BF832" i="7"/>
  <c r="BF833" i="7"/>
  <c r="BF834" i="7"/>
  <c r="BF835" i="7"/>
  <c r="BF836" i="7"/>
  <c r="BF837" i="7"/>
  <c r="BF838" i="7"/>
  <c r="BF839" i="7"/>
  <c r="BF840" i="7"/>
  <c r="BF841" i="7"/>
  <c r="BF842" i="7"/>
  <c r="BF843" i="7"/>
  <c r="BF844" i="7"/>
  <c r="BF845" i="7"/>
  <c r="BF846" i="7"/>
  <c r="BF847" i="7"/>
  <c r="BF848" i="7"/>
  <c r="BF849" i="7"/>
  <c r="BF850" i="7"/>
  <c r="BF851" i="7"/>
  <c r="BF852" i="7"/>
  <c r="BF853" i="7"/>
  <c r="BF854" i="7"/>
  <c r="BG807" i="7"/>
  <c r="BG808" i="7"/>
  <c r="BG809" i="7"/>
  <c r="BG810" i="7"/>
  <c r="BG811" i="7"/>
  <c r="BG812" i="7"/>
  <c r="BG813" i="7"/>
  <c r="BG814" i="7"/>
  <c r="BG815" i="7"/>
  <c r="BG816" i="7"/>
  <c r="BG817" i="7"/>
  <c r="BG818" i="7"/>
  <c r="BG819" i="7"/>
  <c r="BG820" i="7"/>
  <c r="BG821" i="7"/>
  <c r="BG822" i="7"/>
  <c r="BG823" i="7"/>
  <c r="BG824" i="7"/>
  <c r="BG825" i="7"/>
  <c r="BG826" i="7"/>
  <c r="BG827" i="7"/>
  <c r="BG828" i="7"/>
  <c r="BG829" i="7"/>
  <c r="BG830" i="7"/>
  <c r="BG831" i="7"/>
  <c r="BG832" i="7"/>
  <c r="BG833" i="7"/>
  <c r="BG834" i="7"/>
  <c r="BG835" i="7"/>
  <c r="BG836" i="7"/>
  <c r="BG837" i="7"/>
  <c r="BG838" i="7"/>
  <c r="BG839" i="7"/>
  <c r="BG840" i="7"/>
  <c r="BG841" i="7"/>
  <c r="BG842" i="7"/>
  <c r="BG843" i="7"/>
  <c r="BG844" i="7"/>
  <c r="BG845" i="7"/>
  <c r="BG846" i="7"/>
  <c r="BG847" i="7"/>
  <c r="BG848" i="7"/>
  <c r="BG849" i="7"/>
  <c r="BG850" i="7"/>
  <c r="BG851" i="7"/>
  <c r="BG852" i="7"/>
  <c r="BG853" i="7"/>
  <c r="BG854" i="7"/>
  <c r="BH807" i="7"/>
  <c r="BH808" i="7"/>
  <c r="BH809" i="7"/>
  <c r="BH810" i="7"/>
  <c r="BH811" i="7"/>
  <c r="BH812" i="7"/>
  <c r="BH813" i="7"/>
  <c r="BH814" i="7"/>
  <c r="BH815" i="7"/>
  <c r="BH816" i="7"/>
  <c r="BH817" i="7"/>
  <c r="BH818" i="7"/>
  <c r="BH819" i="7"/>
  <c r="BH820" i="7"/>
  <c r="BH821" i="7"/>
  <c r="BH822" i="7"/>
  <c r="BH823" i="7"/>
  <c r="BH824" i="7"/>
  <c r="BH825" i="7"/>
  <c r="BH826" i="7"/>
  <c r="BH827" i="7"/>
  <c r="BH828" i="7"/>
  <c r="BH829" i="7"/>
  <c r="BH830" i="7"/>
  <c r="BH831" i="7"/>
  <c r="BH832" i="7"/>
  <c r="BH833" i="7"/>
  <c r="BH834" i="7"/>
  <c r="BH835" i="7"/>
  <c r="BH836" i="7"/>
  <c r="BH837" i="7"/>
  <c r="BH838" i="7"/>
  <c r="BH839" i="7"/>
  <c r="BH840" i="7"/>
  <c r="BH841" i="7"/>
  <c r="BH842" i="7"/>
  <c r="BH843" i="7"/>
  <c r="BH844" i="7"/>
  <c r="BH845" i="7"/>
  <c r="BH846" i="7"/>
  <c r="BH847" i="7"/>
  <c r="BH848" i="7"/>
  <c r="BH849" i="7"/>
  <c r="BH850" i="7"/>
  <c r="BH851" i="7"/>
  <c r="BH852" i="7"/>
  <c r="BH853" i="7"/>
  <c r="BH854" i="7"/>
  <c r="BI807" i="7"/>
  <c r="BI808" i="7"/>
  <c r="BI809" i="7"/>
  <c r="BI810" i="7"/>
  <c r="BI811" i="7"/>
  <c r="BI812" i="7"/>
  <c r="BI813" i="7"/>
  <c r="BI814" i="7"/>
  <c r="BI815" i="7"/>
  <c r="BI816" i="7"/>
  <c r="BI817" i="7"/>
  <c r="BI818" i="7"/>
  <c r="BI819" i="7"/>
  <c r="BI820" i="7"/>
  <c r="BI821" i="7"/>
  <c r="BI822" i="7"/>
  <c r="BI823" i="7"/>
  <c r="BI824" i="7"/>
  <c r="BI825" i="7"/>
  <c r="BI826" i="7"/>
  <c r="BI827" i="7"/>
  <c r="BI828" i="7"/>
  <c r="BI829" i="7"/>
  <c r="BI830" i="7"/>
  <c r="BI831" i="7"/>
  <c r="BI832" i="7"/>
  <c r="BI833" i="7"/>
  <c r="BI834" i="7"/>
  <c r="BI835" i="7"/>
  <c r="BI836" i="7"/>
  <c r="BI837" i="7"/>
  <c r="BI838" i="7"/>
  <c r="BI839" i="7"/>
  <c r="BI840" i="7"/>
  <c r="BI841" i="7"/>
  <c r="BI842" i="7"/>
  <c r="BI843" i="7"/>
  <c r="BI844" i="7"/>
  <c r="BI845" i="7"/>
  <c r="BI846" i="7"/>
  <c r="BI847" i="7"/>
  <c r="BI848" i="7"/>
  <c r="BI849" i="7"/>
  <c r="BI850" i="7"/>
  <c r="BI851" i="7"/>
  <c r="BI852" i="7"/>
  <c r="BI853" i="7"/>
  <c r="BI854" i="7"/>
  <c r="BJ807" i="7"/>
  <c r="BJ808" i="7"/>
  <c r="BJ809" i="7"/>
  <c r="BJ810" i="7"/>
  <c r="BJ811" i="7"/>
  <c r="BJ812" i="7"/>
  <c r="BJ813" i="7"/>
  <c r="BJ814" i="7"/>
  <c r="BJ815" i="7"/>
  <c r="BJ816" i="7"/>
  <c r="BJ817" i="7"/>
  <c r="BJ818" i="7"/>
  <c r="BJ819" i="7"/>
  <c r="BJ820" i="7"/>
  <c r="BJ821" i="7"/>
  <c r="BJ822" i="7"/>
  <c r="BJ823" i="7"/>
  <c r="BJ824" i="7"/>
  <c r="BJ825" i="7"/>
  <c r="BJ826" i="7"/>
  <c r="BJ827" i="7"/>
  <c r="BJ828" i="7"/>
  <c r="BJ829" i="7"/>
  <c r="BJ830" i="7"/>
  <c r="BJ831" i="7"/>
  <c r="BJ832" i="7"/>
  <c r="BJ833" i="7"/>
  <c r="BJ834" i="7"/>
  <c r="BJ835" i="7"/>
  <c r="BJ836" i="7"/>
  <c r="BJ837" i="7"/>
  <c r="BJ838" i="7"/>
  <c r="BJ839" i="7"/>
  <c r="BJ840" i="7"/>
  <c r="BJ841" i="7"/>
  <c r="BJ842" i="7"/>
  <c r="BJ843" i="7"/>
  <c r="BJ844" i="7"/>
  <c r="BJ845" i="7"/>
  <c r="BJ846" i="7"/>
  <c r="BJ847" i="7"/>
  <c r="BJ848" i="7"/>
  <c r="BJ849" i="7"/>
  <c r="BJ850" i="7"/>
  <c r="BJ851" i="7"/>
  <c r="BJ852" i="7"/>
  <c r="BJ853" i="7"/>
  <c r="BJ854" i="7"/>
  <c r="BK807" i="7"/>
  <c r="BK808" i="7"/>
  <c r="BK809" i="7"/>
  <c r="BK810" i="7"/>
  <c r="BK811" i="7"/>
  <c r="BK812" i="7"/>
  <c r="BK813" i="7"/>
  <c r="BK814" i="7"/>
  <c r="BK815" i="7"/>
  <c r="BK816" i="7"/>
  <c r="BK817" i="7"/>
  <c r="BK818" i="7"/>
  <c r="BK819" i="7"/>
  <c r="BK820" i="7"/>
  <c r="BK821" i="7"/>
  <c r="BK822" i="7"/>
  <c r="BK823" i="7"/>
  <c r="BK824" i="7"/>
  <c r="BK825" i="7"/>
  <c r="BK826" i="7"/>
  <c r="BK827" i="7"/>
  <c r="BK828" i="7"/>
  <c r="BK829" i="7"/>
  <c r="BK830" i="7"/>
  <c r="BK831" i="7"/>
  <c r="BK832" i="7"/>
  <c r="BK833" i="7"/>
  <c r="BK834" i="7"/>
  <c r="BK835" i="7"/>
  <c r="BK836" i="7"/>
  <c r="BK837" i="7"/>
  <c r="BK838" i="7"/>
  <c r="BK839" i="7"/>
  <c r="BK840" i="7"/>
  <c r="BK841" i="7"/>
  <c r="BK842" i="7"/>
  <c r="BK843" i="7"/>
  <c r="BK844" i="7"/>
  <c r="BK845" i="7"/>
  <c r="BK846" i="7"/>
  <c r="BK847" i="7"/>
  <c r="BK848" i="7"/>
  <c r="BK849" i="7"/>
  <c r="BK850" i="7"/>
  <c r="BK851" i="7"/>
  <c r="BK852" i="7"/>
  <c r="BK853" i="7"/>
  <c r="BK854" i="7"/>
  <c r="BP816" i="7"/>
  <c r="BO823" i="7"/>
  <c r="BO822" i="7"/>
  <c r="BM822" i="7"/>
  <c r="BM823" i="7"/>
  <c r="BP823" i="7"/>
  <c r="BO830" i="7"/>
  <c r="BO829" i="7"/>
  <c r="BM829" i="7"/>
  <c r="BM830" i="7"/>
  <c r="BP830" i="7"/>
  <c r="BO837" i="7"/>
  <c r="BO836" i="7"/>
  <c r="BM836" i="7"/>
  <c r="BM837" i="7"/>
  <c r="BP837" i="7"/>
  <c r="BO873" i="7"/>
  <c r="BO872" i="7"/>
  <c r="BM872" i="7"/>
  <c r="BM873" i="7"/>
  <c r="AX864" i="7"/>
  <c r="AX865" i="7"/>
  <c r="AX866" i="7"/>
  <c r="AX867" i="7"/>
  <c r="AX868" i="7"/>
  <c r="AX869" i="7"/>
  <c r="AX870" i="7"/>
  <c r="AX871" i="7"/>
  <c r="AX872" i="7"/>
  <c r="AX873" i="7"/>
  <c r="AX874" i="7"/>
  <c r="AX875" i="7"/>
  <c r="AX876" i="7"/>
  <c r="AX877" i="7"/>
  <c r="AX878" i="7"/>
  <c r="AX879" i="7"/>
  <c r="AX880" i="7"/>
  <c r="AX881" i="7"/>
  <c r="AX882" i="7"/>
  <c r="AX883" i="7"/>
  <c r="AX884" i="7"/>
  <c r="AX885" i="7"/>
  <c r="AX886" i="7"/>
  <c r="AX887" i="7"/>
  <c r="AX888" i="7"/>
  <c r="AX889" i="7"/>
  <c r="AX890" i="7"/>
  <c r="AX891" i="7"/>
  <c r="AX892" i="7"/>
  <c r="AX893" i="7"/>
  <c r="AX894" i="7"/>
  <c r="AX895" i="7"/>
  <c r="AX896" i="7"/>
  <c r="AX897" i="7"/>
  <c r="AX898" i="7"/>
  <c r="AX899" i="7"/>
  <c r="AX900" i="7"/>
  <c r="AX901" i="7"/>
  <c r="AX902" i="7"/>
  <c r="AX903" i="7"/>
  <c r="AX904" i="7"/>
  <c r="AX905" i="7"/>
  <c r="AX906" i="7"/>
  <c r="AX907" i="7"/>
  <c r="AX908" i="7"/>
  <c r="AX909" i="7"/>
  <c r="AX910" i="7"/>
  <c r="AX911" i="7"/>
  <c r="AY864" i="7"/>
  <c r="AY865" i="7"/>
  <c r="AY866" i="7"/>
  <c r="AY867" i="7"/>
  <c r="AY868" i="7"/>
  <c r="AY869" i="7"/>
  <c r="AY870" i="7"/>
  <c r="AY871" i="7"/>
  <c r="AY872" i="7"/>
  <c r="AY873" i="7"/>
  <c r="AY874" i="7"/>
  <c r="AY875" i="7"/>
  <c r="AY876" i="7"/>
  <c r="AY877" i="7"/>
  <c r="AY878" i="7"/>
  <c r="AY879" i="7"/>
  <c r="AY880" i="7"/>
  <c r="AY881" i="7"/>
  <c r="AY882" i="7"/>
  <c r="AY883" i="7"/>
  <c r="AY884" i="7"/>
  <c r="AY885" i="7"/>
  <c r="AY886" i="7"/>
  <c r="AY887" i="7"/>
  <c r="AY888" i="7"/>
  <c r="AY889" i="7"/>
  <c r="AY890" i="7"/>
  <c r="AY891" i="7"/>
  <c r="AY892" i="7"/>
  <c r="AY893" i="7"/>
  <c r="AY894" i="7"/>
  <c r="AY895" i="7"/>
  <c r="AY896" i="7"/>
  <c r="AY897" i="7"/>
  <c r="AY898" i="7"/>
  <c r="AY899" i="7"/>
  <c r="AY900" i="7"/>
  <c r="AY901" i="7"/>
  <c r="AY902" i="7"/>
  <c r="AY903" i="7"/>
  <c r="AY904" i="7"/>
  <c r="AY905" i="7"/>
  <c r="AY906" i="7"/>
  <c r="AY907" i="7"/>
  <c r="AY908" i="7"/>
  <c r="AY909" i="7"/>
  <c r="AY910" i="7"/>
  <c r="AY911" i="7"/>
  <c r="AZ864" i="7"/>
  <c r="AZ865" i="7"/>
  <c r="AZ866" i="7"/>
  <c r="AZ867" i="7"/>
  <c r="AZ868" i="7"/>
  <c r="AZ869" i="7"/>
  <c r="AZ870" i="7"/>
  <c r="AZ871" i="7"/>
  <c r="AZ872" i="7"/>
  <c r="AZ873" i="7"/>
  <c r="AZ874" i="7"/>
  <c r="AZ875" i="7"/>
  <c r="AZ876" i="7"/>
  <c r="AZ877" i="7"/>
  <c r="AZ878" i="7"/>
  <c r="AZ879" i="7"/>
  <c r="AZ880" i="7"/>
  <c r="AZ881" i="7"/>
  <c r="AZ882" i="7"/>
  <c r="AZ883" i="7"/>
  <c r="AZ884" i="7"/>
  <c r="AZ885" i="7"/>
  <c r="AZ886" i="7"/>
  <c r="AZ887" i="7"/>
  <c r="AZ888" i="7"/>
  <c r="AZ889" i="7"/>
  <c r="AZ890" i="7"/>
  <c r="AZ891" i="7"/>
  <c r="AZ892" i="7"/>
  <c r="AZ893" i="7"/>
  <c r="AZ894" i="7"/>
  <c r="AZ895" i="7"/>
  <c r="AZ896" i="7"/>
  <c r="AZ897" i="7"/>
  <c r="AZ898" i="7"/>
  <c r="AZ899" i="7"/>
  <c r="AZ900" i="7"/>
  <c r="AZ901" i="7"/>
  <c r="AZ902" i="7"/>
  <c r="AZ903" i="7"/>
  <c r="AZ904" i="7"/>
  <c r="AZ905" i="7"/>
  <c r="AZ906" i="7"/>
  <c r="AZ907" i="7"/>
  <c r="AZ908" i="7"/>
  <c r="AZ909" i="7"/>
  <c r="AZ910" i="7"/>
  <c r="AZ911" i="7"/>
  <c r="BA864" i="7"/>
  <c r="BA865" i="7"/>
  <c r="BA866" i="7"/>
  <c r="BA867" i="7"/>
  <c r="BA868" i="7"/>
  <c r="BA869" i="7"/>
  <c r="BA870" i="7"/>
  <c r="BA871" i="7"/>
  <c r="BA872" i="7"/>
  <c r="BA873" i="7"/>
  <c r="BA874" i="7"/>
  <c r="BA875" i="7"/>
  <c r="BA876" i="7"/>
  <c r="BA877" i="7"/>
  <c r="BA878" i="7"/>
  <c r="BA879" i="7"/>
  <c r="BA880" i="7"/>
  <c r="BA881" i="7"/>
  <c r="BA882" i="7"/>
  <c r="BA883" i="7"/>
  <c r="BA884" i="7"/>
  <c r="BA885" i="7"/>
  <c r="BA886" i="7"/>
  <c r="BA887" i="7"/>
  <c r="BA888" i="7"/>
  <c r="BA889" i="7"/>
  <c r="BA890" i="7"/>
  <c r="BA891" i="7"/>
  <c r="BA892" i="7"/>
  <c r="BA893" i="7"/>
  <c r="BA894" i="7"/>
  <c r="BA895" i="7"/>
  <c r="BA896" i="7"/>
  <c r="BA897" i="7"/>
  <c r="BA898" i="7"/>
  <c r="BA899" i="7"/>
  <c r="BA900" i="7"/>
  <c r="BA901" i="7"/>
  <c r="BA902" i="7"/>
  <c r="BA903" i="7"/>
  <c r="BA904" i="7"/>
  <c r="BA905" i="7"/>
  <c r="BA906" i="7"/>
  <c r="BA907" i="7"/>
  <c r="BA908" i="7"/>
  <c r="BA909" i="7"/>
  <c r="BA910" i="7"/>
  <c r="BA911" i="7"/>
  <c r="BB864" i="7"/>
  <c r="BB865" i="7"/>
  <c r="BB866" i="7"/>
  <c r="BB867" i="7"/>
  <c r="BB868" i="7"/>
  <c r="BB869" i="7"/>
  <c r="BB870" i="7"/>
  <c r="BB871" i="7"/>
  <c r="BB872" i="7"/>
  <c r="BB873" i="7"/>
  <c r="BB874" i="7"/>
  <c r="BB875" i="7"/>
  <c r="BB876" i="7"/>
  <c r="BB877" i="7"/>
  <c r="BB878" i="7"/>
  <c r="BB879" i="7"/>
  <c r="BB880" i="7"/>
  <c r="BB881" i="7"/>
  <c r="BB882" i="7"/>
  <c r="BB883" i="7"/>
  <c r="BB884" i="7"/>
  <c r="BB885" i="7"/>
  <c r="BB886" i="7"/>
  <c r="BB887" i="7"/>
  <c r="BB888" i="7"/>
  <c r="BB889" i="7"/>
  <c r="BB890" i="7"/>
  <c r="BB891" i="7"/>
  <c r="BB892" i="7"/>
  <c r="BB893" i="7"/>
  <c r="BB894" i="7"/>
  <c r="BB895" i="7"/>
  <c r="BB896" i="7"/>
  <c r="BB897" i="7"/>
  <c r="BB898" i="7"/>
  <c r="BB899" i="7"/>
  <c r="BB900" i="7"/>
  <c r="BB901" i="7"/>
  <c r="BB902" i="7"/>
  <c r="BB903" i="7"/>
  <c r="BB904" i="7"/>
  <c r="BB905" i="7"/>
  <c r="BB906" i="7"/>
  <c r="BB907" i="7"/>
  <c r="BB908" i="7"/>
  <c r="BB909" i="7"/>
  <c r="BB910" i="7"/>
  <c r="BB911" i="7"/>
  <c r="BC864" i="7"/>
  <c r="BC865" i="7"/>
  <c r="BC866" i="7"/>
  <c r="BC867" i="7"/>
  <c r="BC868" i="7"/>
  <c r="BC869" i="7"/>
  <c r="BC870" i="7"/>
  <c r="BC871" i="7"/>
  <c r="BC872" i="7"/>
  <c r="BC873" i="7"/>
  <c r="BC874" i="7"/>
  <c r="BC875" i="7"/>
  <c r="BC876" i="7"/>
  <c r="BC877" i="7"/>
  <c r="BC878" i="7"/>
  <c r="BC879" i="7"/>
  <c r="BC880" i="7"/>
  <c r="BC881" i="7"/>
  <c r="BC882" i="7"/>
  <c r="BC883" i="7"/>
  <c r="BC884" i="7"/>
  <c r="BC885" i="7"/>
  <c r="BC886" i="7"/>
  <c r="BC887" i="7"/>
  <c r="BC888" i="7"/>
  <c r="BC889" i="7"/>
  <c r="BC890" i="7"/>
  <c r="BC891" i="7"/>
  <c r="BC892" i="7"/>
  <c r="BC893" i="7"/>
  <c r="BC894" i="7"/>
  <c r="BC895" i="7"/>
  <c r="BC896" i="7"/>
  <c r="BC897" i="7"/>
  <c r="BC898" i="7"/>
  <c r="BC899" i="7"/>
  <c r="BC900" i="7"/>
  <c r="BC901" i="7"/>
  <c r="BC902" i="7"/>
  <c r="BC903" i="7"/>
  <c r="BC904" i="7"/>
  <c r="BC905" i="7"/>
  <c r="BC906" i="7"/>
  <c r="BC907" i="7"/>
  <c r="BC908" i="7"/>
  <c r="BC909" i="7"/>
  <c r="BC910" i="7"/>
  <c r="BC911" i="7"/>
  <c r="BD864" i="7"/>
  <c r="BD865" i="7"/>
  <c r="BD866" i="7"/>
  <c r="BD867" i="7"/>
  <c r="BD868" i="7"/>
  <c r="BD869" i="7"/>
  <c r="BD870" i="7"/>
  <c r="BD871" i="7"/>
  <c r="BD872" i="7"/>
  <c r="BD873" i="7"/>
  <c r="BD874" i="7"/>
  <c r="BD875" i="7"/>
  <c r="BD876" i="7"/>
  <c r="BD877" i="7"/>
  <c r="BD878" i="7"/>
  <c r="BD879" i="7"/>
  <c r="BD880" i="7"/>
  <c r="BD881" i="7"/>
  <c r="BD882" i="7"/>
  <c r="BD883" i="7"/>
  <c r="BD884" i="7"/>
  <c r="BD885" i="7"/>
  <c r="BD886" i="7"/>
  <c r="BD887" i="7"/>
  <c r="BD888" i="7"/>
  <c r="BD889" i="7"/>
  <c r="BD890" i="7"/>
  <c r="BD891" i="7"/>
  <c r="BD892" i="7"/>
  <c r="BD893" i="7"/>
  <c r="BD894" i="7"/>
  <c r="BD895" i="7"/>
  <c r="BD896" i="7"/>
  <c r="BD897" i="7"/>
  <c r="BD898" i="7"/>
  <c r="BD899" i="7"/>
  <c r="BD900" i="7"/>
  <c r="BD901" i="7"/>
  <c r="BD902" i="7"/>
  <c r="BD903" i="7"/>
  <c r="BD904" i="7"/>
  <c r="BD905" i="7"/>
  <c r="BD906" i="7"/>
  <c r="BD907" i="7"/>
  <c r="BD908" i="7"/>
  <c r="BD909" i="7"/>
  <c r="BD910" i="7"/>
  <c r="BD911" i="7"/>
  <c r="BE864" i="7"/>
  <c r="BE865" i="7"/>
  <c r="BE866" i="7"/>
  <c r="BE867" i="7"/>
  <c r="BE868" i="7"/>
  <c r="BE869" i="7"/>
  <c r="BE870" i="7"/>
  <c r="BE871" i="7"/>
  <c r="BE872" i="7"/>
  <c r="BE873" i="7"/>
  <c r="BE874" i="7"/>
  <c r="BE875" i="7"/>
  <c r="BE876" i="7"/>
  <c r="BE877" i="7"/>
  <c r="BE878" i="7"/>
  <c r="BE879" i="7"/>
  <c r="BE880" i="7"/>
  <c r="BE881" i="7"/>
  <c r="BE882" i="7"/>
  <c r="BE883" i="7"/>
  <c r="BE884" i="7"/>
  <c r="BE885" i="7"/>
  <c r="BE886" i="7"/>
  <c r="BE887" i="7"/>
  <c r="BE888" i="7"/>
  <c r="BE889" i="7"/>
  <c r="BE890" i="7"/>
  <c r="BE891" i="7"/>
  <c r="BE892" i="7"/>
  <c r="BE893" i="7"/>
  <c r="BE894" i="7"/>
  <c r="BE895" i="7"/>
  <c r="BE896" i="7"/>
  <c r="BE897" i="7"/>
  <c r="BE898" i="7"/>
  <c r="BE899" i="7"/>
  <c r="BE900" i="7"/>
  <c r="BE901" i="7"/>
  <c r="BE902" i="7"/>
  <c r="BE903" i="7"/>
  <c r="BE904" i="7"/>
  <c r="BE905" i="7"/>
  <c r="BE906" i="7"/>
  <c r="BE907" i="7"/>
  <c r="BE908" i="7"/>
  <c r="BE909" i="7"/>
  <c r="BE910" i="7"/>
  <c r="BE911" i="7"/>
  <c r="BF864" i="7"/>
  <c r="BF865" i="7"/>
  <c r="BF866" i="7"/>
  <c r="BF867" i="7"/>
  <c r="BF868" i="7"/>
  <c r="BF869" i="7"/>
  <c r="BF870" i="7"/>
  <c r="BF871" i="7"/>
  <c r="BF872" i="7"/>
  <c r="BF873" i="7"/>
  <c r="BF874" i="7"/>
  <c r="BF875" i="7"/>
  <c r="BF876" i="7"/>
  <c r="BF877" i="7"/>
  <c r="BF878" i="7"/>
  <c r="BF879" i="7"/>
  <c r="BF880" i="7"/>
  <c r="BF881" i="7"/>
  <c r="BF882" i="7"/>
  <c r="BF883" i="7"/>
  <c r="BF884" i="7"/>
  <c r="BF885" i="7"/>
  <c r="BF886" i="7"/>
  <c r="BF887" i="7"/>
  <c r="BF888" i="7"/>
  <c r="BF889" i="7"/>
  <c r="BF890" i="7"/>
  <c r="BF891" i="7"/>
  <c r="BF892" i="7"/>
  <c r="BF893" i="7"/>
  <c r="BF894" i="7"/>
  <c r="BF895" i="7"/>
  <c r="BF896" i="7"/>
  <c r="BF897" i="7"/>
  <c r="BF898" i="7"/>
  <c r="BF899" i="7"/>
  <c r="BF900" i="7"/>
  <c r="BF901" i="7"/>
  <c r="BF902" i="7"/>
  <c r="BF903" i="7"/>
  <c r="BF904" i="7"/>
  <c r="BF905" i="7"/>
  <c r="BF906" i="7"/>
  <c r="BF907" i="7"/>
  <c r="BF908" i="7"/>
  <c r="BF909" i="7"/>
  <c r="BF910" i="7"/>
  <c r="BF911" i="7"/>
  <c r="BG864" i="7"/>
  <c r="BG865" i="7"/>
  <c r="BG866" i="7"/>
  <c r="BG867" i="7"/>
  <c r="BG868" i="7"/>
  <c r="BG869" i="7"/>
  <c r="BG870" i="7"/>
  <c r="BG871" i="7"/>
  <c r="BG872" i="7"/>
  <c r="BG873" i="7"/>
  <c r="BG874" i="7"/>
  <c r="BG875" i="7"/>
  <c r="BG876" i="7"/>
  <c r="BG877" i="7"/>
  <c r="BG878" i="7"/>
  <c r="BG879" i="7"/>
  <c r="BG880" i="7"/>
  <c r="BG881" i="7"/>
  <c r="BG882" i="7"/>
  <c r="BG883" i="7"/>
  <c r="BG884" i="7"/>
  <c r="BG885" i="7"/>
  <c r="BG886" i="7"/>
  <c r="BG887" i="7"/>
  <c r="BG888" i="7"/>
  <c r="BG889" i="7"/>
  <c r="BG890" i="7"/>
  <c r="BG891" i="7"/>
  <c r="BG892" i="7"/>
  <c r="BG893" i="7"/>
  <c r="BG894" i="7"/>
  <c r="BG895" i="7"/>
  <c r="BG896" i="7"/>
  <c r="BG897" i="7"/>
  <c r="BG898" i="7"/>
  <c r="BG899" i="7"/>
  <c r="BG900" i="7"/>
  <c r="BG901" i="7"/>
  <c r="BG902" i="7"/>
  <c r="BG903" i="7"/>
  <c r="BG904" i="7"/>
  <c r="BG905" i="7"/>
  <c r="BG906" i="7"/>
  <c r="BG907" i="7"/>
  <c r="BG908" i="7"/>
  <c r="BG909" i="7"/>
  <c r="BG910" i="7"/>
  <c r="BG911" i="7"/>
  <c r="BH864" i="7"/>
  <c r="BH865" i="7"/>
  <c r="BH866" i="7"/>
  <c r="BH867" i="7"/>
  <c r="BH868" i="7"/>
  <c r="BH869" i="7"/>
  <c r="BH870" i="7"/>
  <c r="BH871" i="7"/>
  <c r="BH872" i="7"/>
  <c r="BH873" i="7"/>
  <c r="BH874" i="7"/>
  <c r="BH875" i="7"/>
  <c r="BH876" i="7"/>
  <c r="BH877" i="7"/>
  <c r="BH878" i="7"/>
  <c r="BH879" i="7"/>
  <c r="BH880" i="7"/>
  <c r="BH881" i="7"/>
  <c r="BH882" i="7"/>
  <c r="BH883" i="7"/>
  <c r="BH884" i="7"/>
  <c r="BH885" i="7"/>
  <c r="BH886" i="7"/>
  <c r="BH887" i="7"/>
  <c r="BH888" i="7"/>
  <c r="BH889" i="7"/>
  <c r="BH890" i="7"/>
  <c r="BH891" i="7"/>
  <c r="BH892" i="7"/>
  <c r="BH893" i="7"/>
  <c r="BH894" i="7"/>
  <c r="BH895" i="7"/>
  <c r="BH896" i="7"/>
  <c r="BH897" i="7"/>
  <c r="BH898" i="7"/>
  <c r="BH899" i="7"/>
  <c r="BH900" i="7"/>
  <c r="BH901" i="7"/>
  <c r="BH902" i="7"/>
  <c r="BH903" i="7"/>
  <c r="BH904" i="7"/>
  <c r="BH905" i="7"/>
  <c r="BH906" i="7"/>
  <c r="BH907" i="7"/>
  <c r="BH908" i="7"/>
  <c r="BH909" i="7"/>
  <c r="BH910" i="7"/>
  <c r="BH911" i="7"/>
  <c r="BI864" i="7"/>
  <c r="BI865" i="7"/>
  <c r="BI866" i="7"/>
  <c r="BI867" i="7"/>
  <c r="BI868" i="7"/>
  <c r="BI869" i="7"/>
  <c r="BI870" i="7"/>
  <c r="BI871" i="7"/>
  <c r="BI872" i="7"/>
  <c r="BI873" i="7"/>
  <c r="BI874" i="7"/>
  <c r="BI875" i="7"/>
  <c r="BI876" i="7"/>
  <c r="BI877" i="7"/>
  <c r="BI878" i="7"/>
  <c r="BI879" i="7"/>
  <c r="BI880" i="7"/>
  <c r="BI881" i="7"/>
  <c r="BI882" i="7"/>
  <c r="BI883" i="7"/>
  <c r="BI884" i="7"/>
  <c r="BI885" i="7"/>
  <c r="BI886" i="7"/>
  <c r="BI887" i="7"/>
  <c r="BI888" i="7"/>
  <c r="BI889" i="7"/>
  <c r="BI890" i="7"/>
  <c r="BI891" i="7"/>
  <c r="BI892" i="7"/>
  <c r="BI893" i="7"/>
  <c r="BI894" i="7"/>
  <c r="BI895" i="7"/>
  <c r="BI896" i="7"/>
  <c r="BI897" i="7"/>
  <c r="BI898" i="7"/>
  <c r="BI899" i="7"/>
  <c r="BI900" i="7"/>
  <c r="BI901" i="7"/>
  <c r="BI902" i="7"/>
  <c r="BI903" i="7"/>
  <c r="BI904" i="7"/>
  <c r="BI905" i="7"/>
  <c r="BI906" i="7"/>
  <c r="BI907" i="7"/>
  <c r="BI908" i="7"/>
  <c r="BI909" i="7"/>
  <c r="BI910" i="7"/>
  <c r="BI911" i="7"/>
  <c r="BJ864" i="7"/>
  <c r="BJ865" i="7"/>
  <c r="BJ866" i="7"/>
  <c r="BJ867" i="7"/>
  <c r="BJ868" i="7"/>
  <c r="BJ869" i="7"/>
  <c r="BJ870" i="7"/>
  <c r="BJ871" i="7"/>
  <c r="BJ872" i="7"/>
  <c r="BJ873" i="7"/>
  <c r="BJ874" i="7"/>
  <c r="BJ875" i="7"/>
  <c r="BJ876" i="7"/>
  <c r="BJ877" i="7"/>
  <c r="BJ878" i="7"/>
  <c r="BJ879" i="7"/>
  <c r="BJ880" i="7"/>
  <c r="BJ881" i="7"/>
  <c r="BJ882" i="7"/>
  <c r="BJ883" i="7"/>
  <c r="BJ884" i="7"/>
  <c r="BJ885" i="7"/>
  <c r="BJ886" i="7"/>
  <c r="BJ887" i="7"/>
  <c r="BJ888" i="7"/>
  <c r="BJ889" i="7"/>
  <c r="BJ890" i="7"/>
  <c r="BJ891" i="7"/>
  <c r="BJ892" i="7"/>
  <c r="BJ893" i="7"/>
  <c r="BJ894" i="7"/>
  <c r="BJ895" i="7"/>
  <c r="BJ896" i="7"/>
  <c r="BJ897" i="7"/>
  <c r="BJ898" i="7"/>
  <c r="BJ899" i="7"/>
  <c r="BJ900" i="7"/>
  <c r="BJ901" i="7"/>
  <c r="BJ902" i="7"/>
  <c r="BJ903" i="7"/>
  <c r="BJ904" i="7"/>
  <c r="BJ905" i="7"/>
  <c r="BJ906" i="7"/>
  <c r="BJ907" i="7"/>
  <c r="BJ908" i="7"/>
  <c r="BJ909" i="7"/>
  <c r="BJ910" i="7"/>
  <c r="BJ911" i="7"/>
  <c r="BK864" i="7"/>
  <c r="BK865" i="7"/>
  <c r="BK866" i="7"/>
  <c r="BK867" i="7"/>
  <c r="BK868" i="7"/>
  <c r="BK869" i="7"/>
  <c r="BK870" i="7"/>
  <c r="BK871" i="7"/>
  <c r="BK872" i="7"/>
  <c r="BK873" i="7"/>
  <c r="BK874" i="7"/>
  <c r="BK875" i="7"/>
  <c r="BK876" i="7"/>
  <c r="BK877" i="7"/>
  <c r="BK878" i="7"/>
  <c r="BK879" i="7"/>
  <c r="BK880" i="7"/>
  <c r="BK881" i="7"/>
  <c r="BK882" i="7"/>
  <c r="BK883" i="7"/>
  <c r="BK884" i="7"/>
  <c r="BK885" i="7"/>
  <c r="BK886" i="7"/>
  <c r="BK887" i="7"/>
  <c r="BK888" i="7"/>
  <c r="BK889" i="7"/>
  <c r="BK890" i="7"/>
  <c r="BK891" i="7"/>
  <c r="BK892" i="7"/>
  <c r="BK893" i="7"/>
  <c r="BK894" i="7"/>
  <c r="BK895" i="7"/>
  <c r="BK896" i="7"/>
  <c r="BK897" i="7"/>
  <c r="BK898" i="7"/>
  <c r="BK899" i="7"/>
  <c r="BK900" i="7"/>
  <c r="BK901" i="7"/>
  <c r="BK902" i="7"/>
  <c r="BK903" i="7"/>
  <c r="BK904" i="7"/>
  <c r="BK905" i="7"/>
  <c r="BK906" i="7"/>
  <c r="BK907" i="7"/>
  <c r="BK908" i="7"/>
  <c r="BK909" i="7"/>
  <c r="BK910" i="7"/>
  <c r="BK911" i="7"/>
  <c r="BP873" i="7"/>
  <c r="BO880" i="7"/>
  <c r="BO879" i="7"/>
  <c r="BM879" i="7"/>
  <c r="BM880" i="7"/>
  <c r="BP880" i="7"/>
  <c r="BO887" i="7"/>
  <c r="BO886" i="7"/>
  <c r="BM886" i="7"/>
  <c r="BM887" i="7"/>
  <c r="BP887" i="7"/>
  <c r="BO894" i="7"/>
  <c r="BO893" i="7"/>
  <c r="BM893" i="7"/>
  <c r="BM894" i="7"/>
  <c r="BP894" i="7"/>
  <c r="BO23" i="7"/>
  <c r="BO80" i="7"/>
  <c r="BO137" i="7"/>
  <c r="BO194" i="7"/>
  <c r="BM19" i="7"/>
  <c r="BM20" i="7"/>
  <c r="BM21" i="7"/>
  <c r="BM22" i="7"/>
  <c r="BM23" i="7"/>
  <c r="BP23" i="7"/>
  <c r="BO30" i="7"/>
  <c r="BO24" i="7"/>
  <c r="BM24" i="7"/>
  <c r="BM25" i="7"/>
  <c r="BM26" i="7"/>
  <c r="BM27" i="7"/>
  <c r="BM28" i="7"/>
  <c r="BM29" i="7"/>
  <c r="BM30" i="7"/>
  <c r="BP30" i="7"/>
  <c r="BO37" i="7"/>
  <c r="BM33" i="7"/>
  <c r="BM34" i="7"/>
  <c r="BM35" i="7"/>
  <c r="BM36" i="7"/>
  <c r="BM37" i="7"/>
  <c r="BP37" i="7"/>
  <c r="BO44" i="7"/>
  <c r="BM40" i="7"/>
  <c r="BM41" i="7"/>
  <c r="BM42" i="7"/>
  <c r="BM43" i="7"/>
  <c r="BM44" i="7"/>
  <c r="BP44" i="7"/>
  <c r="BM76" i="7"/>
  <c r="BM77" i="7"/>
  <c r="BM78" i="7"/>
  <c r="BM79" i="7"/>
  <c r="BM80" i="7"/>
  <c r="BP80" i="7"/>
  <c r="BO87" i="7"/>
  <c r="BM83" i="7"/>
  <c r="BM84" i="7"/>
  <c r="BM85" i="7"/>
  <c r="BM86" i="7"/>
  <c r="BM87" i="7"/>
  <c r="BP87" i="7"/>
  <c r="BO94" i="7"/>
  <c r="BM90" i="7"/>
  <c r="BM91" i="7"/>
  <c r="BM92" i="7"/>
  <c r="BM93" i="7"/>
  <c r="BM94" i="7"/>
  <c r="BP94" i="7"/>
  <c r="BO101" i="7"/>
  <c r="BM97" i="7"/>
  <c r="BM98" i="7"/>
  <c r="BM99" i="7"/>
  <c r="BM100" i="7"/>
  <c r="BM101" i="7"/>
  <c r="BP101" i="7"/>
  <c r="BM133" i="7"/>
  <c r="BM134" i="7"/>
  <c r="BM135" i="7"/>
  <c r="BM136" i="7"/>
  <c r="BM137" i="7"/>
  <c r="BP137" i="7"/>
  <c r="BO144" i="7"/>
  <c r="BM140" i="7"/>
  <c r="BM141" i="7"/>
  <c r="BM142" i="7"/>
  <c r="BM143" i="7"/>
  <c r="BM144" i="7"/>
  <c r="BP144" i="7"/>
  <c r="BO151" i="7"/>
  <c r="BM147" i="7"/>
  <c r="BM148" i="7"/>
  <c r="BM149" i="7"/>
  <c r="BM150" i="7"/>
  <c r="BM151" i="7"/>
  <c r="BP151" i="7"/>
  <c r="BO158" i="7"/>
  <c r="BM154" i="7"/>
  <c r="BM155" i="7"/>
  <c r="BM156" i="7"/>
  <c r="BM157" i="7"/>
  <c r="BM158" i="7"/>
  <c r="BP158" i="7"/>
  <c r="BM190" i="7"/>
  <c r="BM191" i="7"/>
  <c r="BM192" i="7"/>
  <c r="BM193" i="7"/>
  <c r="BM194" i="7"/>
  <c r="BP194" i="7"/>
  <c r="BO201" i="7"/>
  <c r="BM197" i="7"/>
  <c r="BM198" i="7"/>
  <c r="BM199" i="7"/>
  <c r="BM200" i="7"/>
  <c r="BM201" i="7"/>
  <c r="BP201" i="7"/>
  <c r="BO208" i="7"/>
  <c r="BM204" i="7"/>
  <c r="BM205" i="7"/>
  <c r="BM206" i="7"/>
  <c r="BM207" i="7"/>
  <c r="BM208" i="7"/>
  <c r="BP208" i="7"/>
  <c r="BO215" i="7"/>
  <c r="BM211" i="7"/>
  <c r="BM212" i="7"/>
  <c r="BM213" i="7"/>
  <c r="BM214" i="7"/>
  <c r="BM215" i="7"/>
  <c r="BP215" i="7"/>
  <c r="BO251" i="7"/>
  <c r="BM247" i="7"/>
  <c r="BM248" i="7"/>
  <c r="BM249" i="7"/>
  <c r="BM250" i="7"/>
  <c r="BM251" i="7"/>
  <c r="BP251" i="7"/>
  <c r="BO258" i="7"/>
  <c r="BM254" i="7"/>
  <c r="BM255" i="7"/>
  <c r="BM256" i="7"/>
  <c r="BM257" i="7"/>
  <c r="BM258" i="7"/>
  <c r="BP258" i="7"/>
  <c r="BO265" i="7"/>
  <c r="BM261" i="7"/>
  <c r="BM262" i="7"/>
  <c r="BM263" i="7"/>
  <c r="BM264" i="7"/>
  <c r="BM265" i="7"/>
  <c r="BP265" i="7"/>
  <c r="BO272" i="7"/>
  <c r="BM268" i="7"/>
  <c r="BM269" i="7"/>
  <c r="BM270" i="7"/>
  <c r="BM271" i="7"/>
  <c r="BM272" i="7"/>
  <c r="BP272" i="7"/>
  <c r="BO308" i="7"/>
  <c r="BM304" i="7"/>
  <c r="BM305" i="7"/>
  <c r="BM306" i="7"/>
  <c r="BM307" i="7"/>
  <c r="BM308" i="7"/>
  <c r="BP308" i="7"/>
  <c r="BO315" i="7"/>
  <c r="BM311" i="7"/>
  <c r="BM312" i="7"/>
  <c r="BM313" i="7"/>
  <c r="BM314" i="7"/>
  <c r="BM315" i="7"/>
  <c r="BP315" i="7"/>
  <c r="BO322" i="7"/>
  <c r="BM318" i="7"/>
  <c r="BM319" i="7"/>
  <c r="BM320" i="7"/>
  <c r="BM321" i="7"/>
  <c r="BM322" i="7"/>
  <c r="BP322" i="7"/>
  <c r="BO329" i="7"/>
  <c r="BM325" i="7"/>
  <c r="BM326" i="7"/>
  <c r="BM327" i="7"/>
  <c r="BM328" i="7"/>
  <c r="BM329" i="7"/>
  <c r="BP329" i="7"/>
  <c r="BO365" i="7"/>
  <c r="BM361" i="7"/>
  <c r="BM362" i="7"/>
  <c r="BM363" i="7"/>
  <c r="BM364" i="7"/>
  <c r="BM365" i="7"/>
  <c r="BP365" i="7"/>
  <c r="BO372" i="7"/>
  <c r="BM368" i="7"/>
  <c r="BM369" i="7"/>
  <c r="BM370" i="7"/>
  <c r="BM371" i="7"/>
  <c r="BM372" i="7"/>
  <c r="BP372" i="7"/>
  <c r="BO379" i="7"/>
  <c r="BM375" i="7"/>
  <c r="BM376" i="7"/>
  <c r="BM377" i="7"/>
  <c r="BM378" i="7"/>
  <c r="BM379" i="7"/>
  <c r="BP379" i="7"/>
  <c r="BO386" i="7"/>
  <c r="BM382" i="7"/>
  <c r="BM383" i="7"/>
  <c r="BM384" i="7"/>
  <c r="BM385" i="7"/>
  <c r="BM386" i="7"/>
  <c r="BP386" i="7"/>
  <c r="BO422" i="7"/>
  <c r="BM418" i="7"/>
  <c r="BM419" i="7"/>
  <c r="BM420" i="7"/>
  <c r="BM421" i="7"/>
  <c r="BM422" i="7"/>
  <c r="BP422" i="7"/>
  <c r="BO429" i="7"/>
  <c r="BM425" i="7"/>
  <c r="BM426" i="7"/>
  <c r="BM427" i="7"/>
  <c r="BM428" i="7"/>
  <c r="BM429" i="7"/>
  <c r="BP429" i="7"/>
  <c r="BO436" i="7"/>
  <c r="BM432" i="7"/>
  <c r="BM433" i="7"/>
  <c r="BM434" i="7"/>
  <c r="BM435" i="7"/>
  <c r="BM436" i="7"/>
  <c r="BP436" i="7"/>
  <c r="BO443" i="7"/>
  <c r="BM439" i="7"/>
  <c r="BM440" i="7"/>
  <c r="BM441" i="7"/>
  <c r="BM442" i="7"/>
  <c r="BM443" i="7"/>
  <c r="BP443" i="7"/>
  <c r="BO479" i="7"/>
  <c r="BM475" i="7"/>
  <c r="BM476" i="7"/>
  <c r="BM477" i="7"/>
  <c r="BM478" i="7"/>
  <c r="BM479" i="7"/>
  <c r="BP479" i="7"/>
  <c r="BO486" i="7"/>
  <c r="BM482" i="7"/>
  <c r="BM483" i="7"/>
  <c r="BM484" i="7"/>
  <c r="BM485" i="7"/>
  <c r="BM486" i="7"/>
  <c r="BP486" i="7"/>
  <c r="BO493" i="7"/>
  <c r="BM489" i="7"/>
  <c r="BM490" i="7"/>
  <c r="BM491" i="7"/>
  <c r="BM492" i="7"/>
  <c r="BM493" i="7"/>
  <c r="BP493" i="7"/>
  <c r="BO500" i="7"/>
  <c r="BM496" i="7"/>
  <c r="BM497" i="7"/>
  <c r="BM498" i="7"/>
  <c r="BM499" i="7"/>
  <c r="BM500" i="7"/>
  <c r="BP500" i="7"/>
  <c r="BO536" i="7"/>
  <c r="BM532" i="7"/>
  <c r="BM533" i="7"/>
  <c r="BM534" i="7"/>
  <c r="BM535" i="7"/>
  <c r="BM536" i="7"/>
  <c r="BP536" i="7"/>
  <c r="BO543" i="7"/>
  <c r="BM539" i="7"/>
  <c r="BM540" i="7"/>
  <c r="BM541" i="7"/>
  <c r="BM542" i="7"/>
  <c r="BM543" i="7"/>
  <c r="BP543" i="7"/>
  <c r="BO550" i="7"/>
  <c r="BM546" i="7"/>
  <c r="BM547" i="7"/>
  <c r="BM548" i="7"/>
  <c r="BM549" i="7"/>
  <c r="BM550" i="7"/>
  <c r="BP550" i="7"/>
  <c r="BO557" i="7"/>
  <c r="BM553" i="7"/>
  <c r="BM554" i="7"/>
  <c r="BM555" i="7"/>
  <c r="BM556" i="7"/>
  <c r="BM557" i="7"/>
  <c r="BP557" i="7"/>
  <c r="BO593" i="7"/>
  <c r="BM589" i="7"/>
  <c r="BM590" i="7"/>
  <c r="BM591" i="7"/>
  <c r="BM592" i="7"/>
  <c r="BM593" i="7"/>
  <c r="BP593" i="7"/>
  <c r="BO600" i="7"/>
  <c r="BM596" i="7"/>
  <c r="BM597" i="7"/>
  <c r="BM598" i="7"/>
  <c r="BM599" i="7"/>
  <c r="BM600" i="7"/>
  <c r="BP600" i="7"/>
  <c r="BO607" i="7"/>
  <c r="BM603" i="7"/>
  <c r="BM604" i="7"/>
  <c r="BM605" i="7"/>
  <c r="BM606" i="7"/>
  <c r="BM607" i="7"/>
  <c r="BP607" i="7"/>
  <c r="BO614" i="7"/>
  <c r="BM610" i="7"/>
  <c r="BM611" i="7"/>
  <c r="BM612" i="7"/>
  <c r="BM613" i="7"/>
  <c r="BM614" i="7"/>
  <c r="BP614" i="7"/>
  <c r="BO650" i="7"/>
  <c r="BM646" i="7"/>
  <c r="BM647" i="7"/>
  <c r="BM648" i="7"/>
  <c r="BM649" i="7"/>
  <c r="BM650" i="7"/>
  <c r="BP650" i="7"/>
  <c r="BO657" i="7"/>
  <c r="BM653" i="7"/>
  <c r="BM654" i="7"/>
  <c r="BM655" i="7"/>
  <c r="BM656" i="7"/>
  <c r="BM657" i="7"/>
  <c r="BP657" i="7"/>
  <c r="BO664" i="7"/>
  <c r="BM660" i="7"/>
  <c r="BM661" i="7"/>
  <c r="BM662" i="7"/>
  <c r="BM663" i="7"/>
  <c r="BM664" i="7"/>
  <c r="BP664" i="7"/>
  <c r="BO671" i="7"/>
  <c r="BM667" i="7"/>
  <c r="BM668" i="7"/>
  <c r="BM669" i="7"/>
  <c r="BM670" i="7"/>
  <c r="BM671" i="7"/>
  <c r="BP671" i="7"/>
  <c r="BO707" i="7"/>
  <c r="BM703" i="7"/>
  <c r="BM704" i="7"/>
  <c r="BM705" i="7"/>
  <c r="BM706" i="7"/>
  <c r="BM707" i="7"/>
  <c r="BP707" i="7"/>
  <c r="BO714" i="7"/>
  <c r="BM710" i="7"/>
  <c r="BM711" i="7"/>
  <c r="BM712" i="7"/>
  <c r="BM713" i="7"/>
  <c r="BM714" i="7"/>
  <c r="BP714" i="7"/>
  <c r="BO721" i="7"/>
  <c r="BM717" i="7"/>
  <c r="BM718" i="7"/>
  <c r="BM719" i="7"/>
  <c r="BM720" i="7"/>
  <c r="BM721" i="7"/>
  <c r="BP721" i="7"/>
  <c r="BO728" i="7"/>
  <c r="BM724" i="7"/>
  <c r="BM725" i="7"/>
  <c r="BM726" i="7"/>
  <c r="BM727" i="7"/>
  <c r="BM728" i="7"/>
  <c r="BP728" i="7"/>
  <c r="BO764" i="7"/>
  <c r="BM760" i="7"/>
  <c r="BM761" i="7"/>
  <c r="BM762" i="7"/>
  <c r="BM763" i="7"/>
  <c r="BM764" i="7"/>
  <c r="BP764" i="7"/>
  <c r="BO771" i="7"/>
  <c r="BM767" i="7"/>
  <c r="BM768" i="7"/>
  <c r="BM769" i="7"/>
  <c r="BM770" i="7"/>
  <c r="BM771" i="7"/>
  <c r="BP771" i="7"/>
  <c r="BO778" i="7"/>
  <c r="BM774" i="7"/>
  <c r="BM775" i="7"/>
  <c r="BM776" i="7"/>
  <c r="BM777" i="7"/>
  <c r="BM778" i="7"/>
  <c r="BP778" i="7"/>
  <c r="BO785" i="7"/>
  <c r="BM781" i="7"/>
  <c r="BM782" i="7"/>
  <c r="BM783" i="7"/>
  <c r="BM784" i="7"/>
  <c r="BM785" i="7"/>
  <c r="BP785" i="7"/>
  <c r="BO821" i="7"/>
  <c r="BM817" i="7"/>
  <c r="BM818" i="7"/>
  <c r="BM819" i="7"/>
  <c r="BM820" i="7"/>
  <c r="BM821" i="7"/>
  <c r="BP821" i="7"/>
  <c r="BO828" i="7"/>
  <c r="BM824" i="7"/>
  <c r="BM825" i="7"/>
  <c r="BM826" i="7"/>
  <c r="BM827" i="7"/>
  <c r="BM828" i="7"/>
  <c r="BP828" i="7"/>
  <c r="BO835" i="7"/>
  <c r="BM831" i="7"/>
  <c r="BM832" i="7"/>
  <c r="BM833" i="7"/>
  <c r="BM834" i="7"/>
  <c r="BM835" i="7"/>
  <c r="BP835" i="7"/>
  <c r="BO842" i="7"/>
  <c r="BM838" i="7"/>
  <c r="BM839" i="7"/>
  <c r="BM840" i="7"/>
  <c r="BM841" i="7"/>
  <c r="BM842" i="7"/>
  <c r="BP842" i="7"/>
  <c r="BO878" i="7"/>
  <c r="BM874" i="7"/>
  <c r="BM875" i="7"/>
  <c r="BM876" i="7"/>
  <c r="BM877" i="7"/>
  <c r="BM878" i="7"/>
  <c r="BP878" i="7"/>
  <c r="BO885" i="7"/>
  <c r="BM881" i="7"/>
  <c r="BM882" i="7"/>
  <c r="BM883" i="7"/>
  <c r="BM884" i="7"/>
  <c r="BM885" i="7"/>
  <c r="BP885" i="7"/>
  <c r="BO892" i="7"/>
  <c r="BM888" i="7"/>
  <c r="BM889" i="7"/>
  <c r="BM890" i="7"/>
  <c r="BM891" i="7"/>
  <c r="BM892" i="7"/>
  <c r="BP892" i="7"/>
  <c r="BO899" i="7"/>
  <c r="BM895" i="7"/>
  <c r="BM896" i="7"/>
  <c r="BM897" i="7"/>
  <c r="BM898" i="7"/>
  <c r="BM899" i="7"/>
  <c r="BP899" i="7"/>
  <c r="BO19" i="7"/>
  <c r="BO20" i="7"/>
  <c r="BO21" i="7"/>
  <c r="BO22" i="7"/>
  <c r="BO190" i="7"/>
  <c r="BO191" i="7"/>
  <c r="BO192" i="7"/>
  <c r="BO193" i="7"/>
  <c r="BO247" i="7"/>
  <c r="BO248" i="7"/>
  <c r="BO249" i="7"/>
  <c r="BO250" i="7"/>
  <c r="BO76" i="7"/>
  <c r="BO77" i="7"/>
  <c r="BO78" i="7"/>
  <c r="BO79" i="7"/>
  <c r="BO133" i="7"/>
  <c r="BO134" i="7"/>
  <c r="BO135" i="7"/>
  <c r="BO136" i="7"/>
  <c r="BO304" i="7"/>
  <c r="BO305" i="7"/>
  <c r="BO306" i="7"/>
  <c r="BO307" i="7"/>
  <c r="BO361" i="7"/>
  <c r="BO362" i="7"/>
  <c r="BO363" i="7"/>
  <c r="BO364" i="7"/>
  <c r="BO418" i="7"/>
  <c r="BO419" i="7"/>
  <c r="BO420" i="7"/>
  <c r="BO421" i="7"/>
  <c r="BO475" i="7"/>
  <c r="BO476" i="7"/>
  <c r="BO477" i="7"/>
  <c r="BO478" i="7"/>
  <c r="BO532" i="7"/>
  <c r="BO533" i="7"/>
  <c r="BO534" i="7"/>
  <c r="BO535" i="7"/>
  <c r="BO589" i="7"/>
  <c r="BO590" i="7"/>
  <c r="BO591" i="7"/>
  <c r="BO592" i="7"/>
  <c r="BO646" i="7"/>
  <c r="BO647" i="7"/>
  <c r="BO648" i="7"/>
  <c r="BO649" i="7"/>
  <c r="BO703" i="7"/>
  <c r="BO704" i="7"/>
  <c r="BO705" i="7"/>
  <c r="BO706" i="7"/>
  <c r="BO760" i="7"/>
  <c r="BO761" i="7"/>
  <c r="BO762" i="7"/>
  <c r="BO763" i="7"/>
  <c r="BO817" i="7"/>
  <c r="BO818" i="7"/>
  <c r="BO819" i="7"/>
  <c r="BO820" i="7"/>
  <c r="BO874" i="7"/>
  <c r="BO875" i="7"/>
  <c r="BO876" i="7"/>
  <c r="BO877" i="7"/>
  <c r="Q191" i="7"/>
  <c r="Q192" i="7"/>
  <c r="Q193" i="7"/>
  <c r="Q194" i="7"/>
  <c r="BN191" i="7"/>
  <c r="BQ191" i="7"/>
  <c r="BN17" i="7"/>
  <c r="Q21" i="7"/>
  <c r="BN18" i="7"/>
  <c r="Q22" i="7"/>
  <c r="BN19" i="7"/>
  <c r="BP17" i="7"/>
  <c r="BP19" i="7"/>
  <c r="BP20" i="7"/>
  <c r="BP21" i="7"/>
  <c r="BP22" i="7"/>
  <c r="BP24" i="7"/>
  <c r="BO25" i="7"/>
  <c r="BP25" i="7"/>
  <c r="BO26" i="7"/>
  <c r="BP26" i="7"/>
  <c r="BO27" i="7"/>
  <c r="BP27" i="7"/>
  <c r="BO28" i="7"/>
  <c r="BP28" i="7"/>
  <c r="BO29" i="7"/>
  <c r="BP29" i="7"/>
  <c r="BP31" i="7"/>
  <c r="BO33" i="7"/>
  <c r="BP33" i="7"/>
  <c r="BO34" i="7"/>
  <c r="BP34" i="7"/>
  <c r="BO35" i="7"/>
  <c r="BP35" i="7"/>
  <c r="BO36" i="7"/>
  <c r="BP36" i="7"/>
  <c r="BP38" i="7"/>
  <c r="BO40" i="7"/>
  <c r="BP40" i="7"/>
  <c r="BO41" i="7"/>
  <c r="BP41" i="7"/>
  <c r="BO42" i="7"/>
  <c r="BP42" i="7"/>
  <c r="BO43" i="7"/>
  <c r="BP43" i="7"/>
  <c r="BO45" i="7"/>
  <c r="BP45" i="7"/>
  <c r="BO46" i="7"/>
  <c r="BP46" i="7"/>
  <c r="BO47" i="7"/>
  <c r="BP47" i="7"/>
  <c r="BO48" i="7"/>
  <c r="BP48" i="7"/>
  <c r="BO49" i="7"/>
  <c r="BP49" i="7"/>
  <c r="BO50" i="7"/>
  <c r="BP50" i="7"/>
  <c r="BO51" i="7"/>
  <c r="BP51" i="7"/>
  <c r="BO52" i="7"/>
  <c r="BP52" i="7"/>
  <c r="BO53" i="7"/>
  <c r="BP53" i="7"/>
  <c r="BP54" i="7"/>
  <c r="BP55" i="7"/>
  <c r="BP56" i="7"/>
  <c r="BP74" i="7"/>
  <c r="BP76" i="7"/>
  <c r="BP77" i="7"/>
  <c r="BP78" i="7"/>
  <c r="BP79" i="7"/>
  <c r="BP81" i="7"/>
  <c r="BO83" i="7"/>
  <c r="BP83" i="7"/>
  <c r="BO84" i="7"/>
  <c r="BP84" i="7"/>
  <c r="BO85" i="7"/>
  <c r="BP85" i="7"/>
  <c r="BO86" i="7"/>
  <c r="BP86" i="7"/>
  <c r="BP88" i="7"/>
  <c r="BO90" i="7"/>
  <c r="BP90" i="7"/>
  <c r="BO91" i="7"/>
  <c r="BP91" i="7"/>
  <c r="BO92" i="7"/>
  <c r="BP92" i="7"/>
  <c r="BO93" i="7"/>
  <c r="BP93" i="7"/>
  <c r="BP95" i="7"/>
  <c r="BO97" i="7"/>
  <c r="BP97" i="7"/>
  <c r="BO98" i="7"/>
  <c r="BP98" i="7"/>
  <c r="BO99" i="7"/>
  <c r="BP99" i="7"/>
  <c r="BO100" i="7"/>
  <c r="BP100" i="7"/>
  <c r="BO102" i="7"/>
  <c r="BP102" i="7"/>
  <c r="BO103" i="7"/>
  <c r="BP103" i="7"/>
  <c r="BO104" i="7"/>
  <c r="BP104" i="7"/>
  <c r="BO105" i="7"/>
  <c r="BP105" i="7"/>
  <c r="BO106" i="7"/>
  <c r="BP106" i="7"/>
  <c r="BO107" i="7"/>
  <c r="BP107" i="7"/>
  <c r="BO108" i="7"/>
  <c r="BP108" i="7"/>
  <c r="BO109" i="7"/>
  <c r="BP109" i="7"/>
  <c r="BO110" i="7"/>
  <c r="BP110" i="7"/>
  <c r="BP111" i="7"/>
  <c r="BP112" i="7"/>
  <c r="BP113" i="7"/>
  <c r="BP131" i="7"/>
  <c r="BP133" i="7"/>
  <c r="BP134" i="7"/>
  <c r="BP135" i="7"/>
  <c r="BP136" i="7"/>
  <c r="BP138" i="7"/>
  <c r="BO140" i="7"/>
  <c r="BP140" i="7"/>
  <c r="BO141" i="7"/>
  <c r="BP141" i="7"/>
  <c r="BO142" i="7"/>
  <c r="BP142" i="7"/>
  <c r="BO143" i="7"/>
  <c r="BP143" i="7"/>
  <c r="BP145" i="7"/>
  <c r="BO147" i="7"/>
  <c r="BP147" i="7"/>
  <c r="BO148" i="7"/>
  <c r="BP148" i="7"/>
  <c r="BO149" i="7"/>
  <c r="BP149" i="7"/>
  <c r="BO150" i="7"/>
  <c r="BP150" i="7"/>
  <c r="BP152" i="7"/>
  <c r="BO154" i="7"/>
  <c r="BP154" i="7"/>
  <c r="BO155" i="7"/>
  <c r="BP155" i="7"/>
  <c r="BO156" i="7"/>
  <c r="BP156" i="7"/>
  <c r="BO157" i="7"/>
  <c r="BP157" i="7"/>
  <c r="BO159" i="7"/>
  <c r="BP159" i="7"/>
  <c r="BO160" i="7"/>
  <c r="BP160" i="7"/>
  <c r="BO161" i="7"/>
  <c r="BP161" i="7"/>
  <c r="BO162" i="7"/>
  <c r="BP162" i="7"/>
  <c r="BO163" i="7"/>
  <c r="BP163" i="7"/>
  <c r="BO164" i="7"/>
  <c r="BP164" i="7"/>
  <c r="BO165" i="7"/>
  <c r="BP165" i="7"/>
  <c r="BO166" i="7"/>
  <c r="BP166" i="7"/>
  <c r="BO167" i="7"/>
  <c r="BP167" i="7"/>
  <c r="BP168" i="7"/>
  <c r="BP169" i="7"/>
  <c r="BP170" i="7"/>
  <c r="BP188" i="7"/>
  <c r="BP190" i="7"/>
  <c r="BP191" i="7"/>
  <c r="BP192" i="7"/>
  <c r="BP193" i="7"/>
  <c r="BP195" i="7"/>
  <c r="BO197" i="7"/>
  <c r="BP197" i="7"/>
  <c r="BO198" i="7"/>
  <c r="BP198" i="7"/>
  <c r="BO199" i="7"/>
  <c r="BP199" i="7"/>
  <c r="BO200" i="7"/>
  <c r="BP200" i="7"/>
  <c r="BP202" i="7"/>
  <c r="BO204" i="7"/>
  <c r="BP204" i="7"/>
  <c r="BO205" i="7"/>
  <c r="BP205" i="7"/>
  <c r="BO206" i="7"/>
  <c r="BP206" i="7"/>
  <c r="BO207" i="7"/>
  <c r="BP207" i="7"/>
  <c r="BP209" i="7"/>
  <c r="BO211" i="7"/>
  <c r="BP211" i="7"/>
  <c r="BO212" i="7"/>
  <c r="BP212" i="7"/>
  <c r="BO213" i="7"/>
  <c r="BP213" i="7"/>
  <c r="BO214" i="7"/>
  <c r="BP214" i="7"/>
  <c r="BO216" i="7"/>
  <c r="BP216" i="7"/>
  <c r="BO217" i="7"/>
  <c r="BP217" i="7"/>
  <c r="BO218" i="7"/>
  <c r="BP218" i="7"/>
  <c r="BO219" i="7"/>
  <c r="BP219" i="7"/>
  <c r="BO220" i="7"/>
  <c r="BP220" i="7"/>
  <c r="BO221" i="7"/>
  <c r="BP221" i="7"/>
  <c r="BO222" i="7"/>
  <c r="BP222" i="7"/>
  <c r="BO223" i="7"/>
  <c r="BP223" i="7"/>
  <c r="BO224" i="7"/>
  <c r="BP224" i="7"/>
  <c r="BP225" i="7"/>
  <c r="BP226" i="7"/>
  <c r="BP227" i="7"/>
  <c r="BP245" i="7"/>
  <c r="BP247" i="7"/>
  <c r="BP248" i="7"/>
  <c r="BP249" i="7"/>
  <c r="BP250" i="7"/>
  <c r="BP252" i="7"/>
  <c r="BO254" i="7"/>
  <c r="BP254" i="7"/>
  <c r="BO255" i="7"/>
  <c r="BP255" i="7"/>
  <c r="BO256" i="7"/>
  <c r="BP256" i="7"/>
  <c r="BO257" i="7"/>
  <c r="BP257" i="7"/>
  <c r="BP259" i="7"/>
  <c r="BO261" i="7"/>
  <c r="BP261" i="7"/>
  <c r="BO262" i="7"/>
  <c r="BP262" i="7"/>
  <c r="BO263" i="7"/>
  <c r="BP263" i="7"/>
  <c r="BO264" i="7"/>
  <c r="BP264" i="7"/>
  <c r="BP266" i="7"/>
  <c r="BO268" i="7"/>
  <c r="BP268" i="7"/>
  <c r="BO269" i="7"/>
  <c r="BP269" i="7"/>
  <c r="BO270" i="7"/>
  <c r="BP270" i="7"/>
  <c r="BO271" i="7"/>
  <c r="BP271" i="7"/>
  <c r="BO273" i="7"/>
  <c r="BP273" i="7"/>
  <c r="BO274" i="7"/>
  <c r="BP274" i="7"/>
  <c r="BO275" i="7"/>
  <c r="BP275" i="7"/>
  <c r="BO276" i="7"/>
  <c r="BP276" i="7"/>
  <c r="BO277" i="7"/>
  <c r="BP277" i="7"/>
  <c r="BO278" i="7"/>
  <c r="BP278" i="7"/>
  <c r="BO279" i="7"/>
  <c r="BP279" i="7"/>
  <c r="BO280" i="7"/>
  <c r="BP280" i="7"/>
  <c r="BO281" i="7"/>
  <c r="BP281" i="7"/>
  <c r="BP282" i="7"/>
  <c r="BP283" i="7"/>
  <c r="BP284" i="7"/>
  <c r="BP302" i="7"/>
  <c r="BP304" i="7"/>
  <c r="BP305" i="7"/>
  <c r="BP306" i="7"/>
  <c r="BP307" i="7"/>
  <c r="BP309" i="7"/>
  <c r="BO311" i="7"/>
  <c r="BP311" i="7"/>
  <c r="BO312" i="7"/>
  <c r="BP312" i="7"/>
  <c r="BO313" i="7"/>
  <c r="BP313" i="7"/>
  <c r="BO314" i="7"/>
  <c r="BP314" i="7"/>
  <c r="BP316" i="7"/>
  <c r="BO318" i="7"/>
  <c r="BP318" i="7"/>
  <c r="BO319" i="7"/>
  <c r="BP319" i="7"/>
  <c r="BO320" i="7"/>
  <c r="BP320" i="7"/>
  <c r="BO321" i="7"/>
  <c r="BP321" i="7"/>
  <c r="BP323" i="7"/>
  <c r="BO325" i="7"/>
  <c r="BP325" i="7"/>
  <c r="BO326" i="7"/>
  <c r="BP326" i="7"/>
  <c r="BO327" i="7"/>
  <c r="BP327" i="7"/>
  <c r="BO328" i="7"/>
  <c r="BP328" i="7"/>
  <c r="BO330" i="7"/>
  <c r="BP330" i="7"/>
  <c r="BO331" i="7"/>
  <c r="BP331" i="7"/>
  <c r="BO332" i="7"/>
  <c r="BP332" i="7"/>
  <c r="BO333" i="7"/>
  <c r="BP333" i="7"/>
  <c r="BO334" i="7"/>
  <c r="BP334" i="7"/>
  <c r="BO335" i="7"/>
  <c r="BP335" i="7"/>
  <c r="BO336" i="7"/>
  <c r="BP336" i="7"/>
  <c r="BO337" i="7"/>
  <c r="BP337" i="7"/>
  <c r="BO338" i="7"/>
  <c r="BP338" i="7"/>
  <c r="BP339" i="7"/>
  <c r="BP340" i="7"/>
  <c r="BP341" i="7"/>
  <c r="BP359" i="7"/>
  <c r="BP361" i="7"/>
  <c r="BP362" i="7"/>
  <c r="BP363" i="7"/>
  <c r="BP364" i="7"/>
  <c r="BP366" i="7"/>
  <c r="BO368" i="7"/>
  <c r="BP368" i="7"/>
  <c r="BO369" i="7"/>
  <c r="BP369" i="7"/>
  <c r="BO370" i="7"/>
  <c r="BP370" i="7"/>
  <c r="BO371" i="7"/>
  <c r="BP371" i="7"/>
  <c r="BP373" i="7"/>
  <c r="BO375" i="7"/>
  <c r="BP375" i="7"/>
  <c r="BO376" i="7"/>
  <c r="BP376" i="7"/>
  <c r="BO377" i="7"/>
  <c r="BP377" i="7"/>
  <c r="BO378" i="7"/>
  <c r="BP378" i="7"/>
  <c r="BP380" i="7"/>
  <c r="BO382" i="7"/>
  <c r="BP382" i="7"/>
  <c r="BO383" i="7"/>
  <c r="BP383" i="7"/>
  <c r="BO384" i="7"/>
  <c r="BP384" i="7"/>
  <c r="BO385" i="7"/>
  <c r="BP385" i="7"/>
  <c r="BO387" i="7"/>
  <c r="BP387" i="7"/>
  <c r="BO388" i="7"/>
  <c r="BP388" i="7"/>
  <c r="BO389" i="7"/>
  <c r="BP389" i="7"/>
  <c r="BO390" i="7"/>
  <c r="BP390" i="7"/>
  <c r="BO391" i="7"/>
  <c r="BP391" i="7"/>
  <c r="BO392" i="7"/>
  <c r="BP392" i="7"/>
  <c r="BO393" i="7"/>
  <c r="BP393" i="7"/>
  <c r="BO394" i="7"/>
  <c r="BP394" i="7"/>
  <c r="BO395" i="7"/>
  <c r="BP395" i="7"/>
  <c r="BP396" i="7"/>
  <c r="BP397" i="7"/>
  <c r="BP398" i="7"/>
  <c r="BP416" i="7"/>
  <c r="BP418" i="7"/>
  <c r="BP419" i="7"/>
  <c r="BP420" i="7"/>
  <c r="BP421" i="7"/>
  <c r="BP423" i="7"/>
  <c r="BO425" i="7"/>
  <c r="BP425" i="7"/>
  <c r="BO426" i="7"/>
  <c r="BP426" i="7"/>
  <c r="BO427" i="7"/>
  <c r="BP427" i="7"/>
  <c r="BO428" i="7"/>
  <c r="BP428" i="7"/>
  <c r="BP430" i="7"/>
  <c r="BO432" i="7"/>
  <c r="BP432" i="7"/>
  <c r="BO433" i="7"/>
  <c r="BP433" i="7"/>
  <c r="BO434" i="7"/>
  <c r="BP434" i="7"/>
  <c r="BO435" i="7"/>
  <c r="BP435" i="7"/>
  <c r="BP437" i="7"/>
  <c r="BO439" i="7"/>
  <c r="BP439" i="7"/>
  <c r="BO440" i="7"/>
  <c r="BP440" i="7"/>
  <c r="BO441" i="7"/>
  <c r="BP441" i="7"/>
  <c r="BO442" i="7"/>
  <c r="BP442" i="7"/>
  <c r="BO444" i="7"/>
  <c r="BP444" i="7"/>
  <c r="BO445" i="7"/>
  <c r="BP445" i="7"/>
  <c r="BO446" i="7"/>
  <c r="BP446" i="7"/>
  <c r="BO447" i="7"/>
  <c r="BP447" i="7"/>
  <c r="BO448" i="7"/>
  <c r="BP448" i="7"/>
  <c r="BO449" i="7"/>
  <c r="BP449" i="7"/>
  <c r="BO450" i="7"/>
  <c r="BP450" i="7"/>
  <c r="BO451" i="7"/>
  <c r="BP451" i="7"/>
  <c r="BO452" i="7"/>
  <c r="BP452" i="7"/>
  <c r="BP453" i="7"/>
  <c r="BP454" i="7"/>
  <c r="BP455" i="7"/>
  <c r="BP473" i="7"/>
  <c r="BP475" i="7"/>
  <c r="BP476" i="7"/>
  <c r="BP477" i="7"/>
  <c r="BP478" i="7"/>
  <c r="BP480" i="7"/>
  <c r="BO482" i="7"/>
  <c r="BP482" i="7"/>
  <c r="BO483" i="7"/>
  <c r="BP483" i="7"/>
  <c r="BO484" i="7"/>
  <c r="BP484" i="7"/>
  <c r="BO485" i="7"/>
  <c r="BP485" i="7"/>
  <c r="BP487" i="7"/>
  <c r="BO489" i="7"/>
  <c r="BP489" i="7"/>
  <c r="BO490" i="7"/>
  <c r="BP490" i="7"/>
  <c r="BO491" i="7"/>
  <c r="BP491" i="7"/>
  <c r="BO492" i="7"/>
  <c r="BP492" i="7"/>
  <c r="BP494" i="7"/>
  <c r="BO496" i="7"/>
  <c r="BP496" i="7"/>
  <c r="BO497" i="7"/>
  <c r="BP497" i="7"/>
  <c r="BO498" i="7"/>
  <c r="BP498" i="7"/>
  <c r="BO499" i="7"/>
  <c r="BP499" i="7"/>
  <c r="BO501" i="7"/>
  <c r="BP501" i="7"/>
  <c r="BO502" i="7"/>
  <c r="BP502" i="7"/>
  <c r="BO503" i="7"/>
  <c r="BP503" i="7"/>
  <c r="BO504" i="7"/>
  <c r="BP504" i="7"/>
  <c r="BO505" i="7"/>
  <c r="BP505" i="7"/>
  <c r="BO506" i="7"/>
  <c r="BP506" i="7"/>
  <c r="BO507" i="7"/>
  <c r="BP507" i="7"/>
  <c r="BO508" i="7"/>
  <c r="BP508" i="7"/>
  <c r="BO509" i="7"/>
  <c r="BP509" i="7"/>
  <c r="BP510" i="7"/>
  <c r="BP511" i="7"/>
  <c r="BP512" i="7"/>
  <c r="BP530" i="7"/>
  <c r="BP532" i="7"/>
  <c r="BP533" i="7"/>
  <c r="BP534" i="7"/>
  <c r="BP535" i="7"/>
  <c r="BP537" i="7"/>
  <c r="BO539" i="7"/>
  <c r="BP539" i="7"/>
  <c r="BO540" i="7"/>
  <c r="BP540" i="7"/>
  <c r="BO541" i="7"/>
  <c r="BP541" i="7"/>
  <c r="BO542" i="7"/>
  <c r="BP542" i="7"/>
  <c r="BP544" i="7"/>
  <c r="BO546" i="7"/>
  <c r="BP546" i="7"/>
  <c r="BO547" i="7"/>
  <c r="BP547" i="7"/>
  <c r="BO548" i="7"/>
  <c r="BP548" i="7"/>
  <c r="BO549" i="7"/>
  <c r="BP549" i="7"/>
  <c r="BP551" i="7"/>
  <c r="BO553" i="7"/>
  <c r="BP553" i="7"/>
  <c r="BO554" i="7"/>
  <c r="BP554" i="7"/>
  <c r="BO555" i="7"/>
  <c r="BP555" i="7"/>
  <c r="BO556" i="7"/>
  <c r="BP556" i="7"/>
  <c r="BO558" i="7"/>
  <c r="BP558" i="7"/>
  <c r="BO559" i="7"/>
  <c r="BP559" i="7"/>
  <c r="BO560" i="7"/>
  <c r="BP560" i="7"/>
  <c r="BO561" i="7"/>
  <c r="BP561" i="7"/>
  <c r="BO562" i="7"/>
  <c r="BP562" i="7"/>
  <c r="BO563" i="7"/>
  <c r="BP563" i="7"/>
  <c r="BO564" i="7"/>
  <c r="BP564" i="7"/>
  <c r="BO565" i="7"/>
  <c r="BP565" i="7"/>
  <c r="BO566" i="7"/>
  <c r="BP566" i="7"/>
  <c r="BP567" i="7"/>
  <c r="BP568" i="7"/>
  <c r="BP569" i="7"/>
  <c r="BP587" i="7"/>
  <c r="BP589" i="7"/>
  <c r="BP590" i="7"/>
  <c r="BP591" i="7"/>
  <c r="BP592" i="7"/>
  <c r="BP594" i="7"/>
  <c r="BO596" i="7"/>
  <c r="BP596" i="7"/>
  <c r="BO597" i="7"/>
  <c r="BP597" i="7"/>
  <c r="BO598" i="7"/>
  <c r="BP598" i="7"/>
  <c r="BO599" i="7"/>
  <c r="BP599" i="7"/>
  <c r="BP601" i="7"/>
  <c r="BO603" i="7"/>
  <c r="BP603" i="7"/>
  <c r="BO604" i="7"/>
  <c r="BP604" i="7"/>
  <c r="BO605" i="7"/>
  <c r="BP605" i="7"/>
  <c r="BO606" i="7"/>
  <c r="BP606" i="7"/>
  <c r="BP608" i="7"/>
  <c r="BO610" i="7"/>
  <c r="BP610" i="7"/>
  <c r="BO611" i="7"/>
  <c r="BP611" i="7"/>
  <c r="BO612" i="7"/>
  <c r="BP612" i="7"/>
  <c r="BO613" i="7"/>
  <c r="BP613" i="7"/>
  <c r="BO615" i="7"/>
  <c r="BP615" i="7"/>
  <c r="BO616" i="7"/>
  <c r="BP616" i="7"/>
  <c r="BO617" i="7"/>
  <c r="BP617" i="7"/>
  <c r="BO618" i="7"/>
  <c r="BP618" i="7"/>
  <c r="BO619" i="7"/>
  <c r="BP619" i="7"/>
  <c r="BO620" i="7"/>
  <c r="BP620" i="7"/>
  <c r="BO621" i="7"/>
  <c r="BP621" i="7"/>
  <c r="BO622" i="7"/>
  <c r="BP622" i="7"/>
  <c r="BO623" i="7"/>
  <c r="BP623" i="7"/>
  <c r="BP624" i="7"/>
  <c r="BP625" i="7"/>
  <c r="BP626" i="7"/>
  <c r="BP644" i="7"/>
  <c r="BP646" i="7"/>
  <c r="BP647" i="7"/>
  <c r="BP648" i="7"/>
  <c r="BP649" i="7"/>
  <c r="BP651" i="7"/>
  <c r="BO653" i="7"/>
  <c r="BP653" i="7"/>
  <c r="BO654" i="7"/>
  <c r="BP654" i="7"/>
  <c r="BO655" i="7"/>
  <c r="BP655" i="7"/>
  <c r="BO656" i="7"/>
  <c r="BP656" i="7"/>
  <c r="BP658" i="7"/>
  <c r="BO660" i="7"/>
  <c r="BP660" i="7"/>
  <c r="BO661" i="7"/>
  <c r="BP661" i="7"/>
  <c r="BO662" i="7"/>
  <c r="BP662" i="7"/>
  <c r="BO663" i="7"/>
  <c r="BP663" i="7"/>
  <c r="BP665" i="7"/>
  <c r="BO667" i="7"/>
  <c r="BP667" i="7"/>
  <c r="BO668" i="7"/>
  <c r="BP668" i="7"/>
  <c r="BO669" i="7"/>
  <c r="BP669" i="7"/>
  <c r="BO670" i="7"/>
  <c r="BP670" i="7"/>
  <c r="BO672" i="7"/>
  <c r="BP672" i="7"/>
  <c r="BO673" i="7"/>
  <c r="BP673" i="7"/>
  <c r="BO674" i="7"/>
  <c r="BP674" i="7"/>
  <c r="BO675" i="7"/>
  <c r="BP675" i="7"/>
  <c r="BO676" i="7"/>
  <c r="BP676" i="7"/>
  <c r="BO677" i="7"/>
  <c r="BP677" i="7"/>
  <c r="BO678" i="7"/>
  <c r="BP678" i="7"/>
  <c r="BO679" i="7"/>
  <c r="BP679" i="7"/>
  <c r="BO680" i="7"/>
  <c r="BP680" i="7"/>
  <c r="BP681" i="7"/>
  <c r="BP682" i="7"/>
  <c r="BP683" i="7"/>
  <c r="BP701" i="7"/>
  <c r="BP703" i="7"/>
  <c r="BP704" i="7"/>
  <c r="BP705" i="7"/>
  <c r="BP706" i="7"/>
  <c r="BP708" i="7"/>
  <c r="BO710" i="7"/>
  <c r="BP710" i="7"/>
  <c r="BO711" i="7"/>
  <c r="BP711" i="7"/>
  <c r="BO712" i="7"/>
  <c r="BP712" i="7"/>
  <c r="BO713" i="7"/>
  <c r="BP713" i="7"/>
  <c r="BP715" i="7"/>
  <c r="BO717" i="7"/>
  <c r="BP717" i="7"/>
  <c r="BO718" i="7"/>
  <c r="BP718" i="7"/>
  <c r="BO719" i="7"/>
  <c r="BP719" i="7"/>
  <c r="BO720" i="7"/>
  <c r="BP720" i="7"/>
  <c r="BP722" i="7"/>
  <c r="BO724" i="7"/>
  <c r="BP724" i="7"/>
  <c r="BO725" i="7"/>
  <c r="BP725" i="7"/>
  <c r="BO726" i="7"/>
  <c r="BP726" i="7"/>
  <c r="BO727" i="7"/>
  <c r="BP727" i="7"/>
  <c r="BO729" i="7"/>
  <c r="BP729" i="7"/>
  <c r="BO730" i="7"/>
  <c r="BP730" i="7"/>
  <c r="BO731" i="7"/>
  <c r="BP731" i="7"/>
  <c r="BO732" i="7"/>
  <c r="BP732" i="7"/>
  <c r="BO733" i="7"/>
  <c r="BP733" i="7"/>
  <c r="BO734" i="7"/>
  <c r="BP734" i="7"/>
  <c r="BO735" i="7"/>
  <c r="BP735" i="7"/>
  <c r="BO736" i="7"/>
  <c r="BP736" i="7"/>
  <c r="BO737" i="7"/>
  <c r="BP737" i="7"/>
  <c r="BP738" i="7"/>
  <c r="BP739" i="7"/>
  <c r="BP740" i="7"/>
  <c r="BP758" i="7"/>
  <c r="BP760" i="7"/>
  <c r="BP761" i="7"/>
  <c r="BP762" i="7"/>
  <c r="BP763" i="7"/>
  <c r="BP765" i="7"/>
  <c r="BO767" i="7"/>
  <c r="BP767" i="7"/>
  <c r="BO768" i="7"/>
  <c r="BP768" i="7"/>
  <c r="BO769" i="7"/>
  <c r="BP769" i="7"/>
  <c r="BO770" i="7"/>
  <c r="BP770" i="7"/>
  <c r="BP772" i="7"/>
  <c r="BO774" i="7"/>
  <c r="BP774" i="7"/>
  <c r="BO775" i="7"/>
  <c r="BP775" i="7"/>
  <c r="BO776" i="7"/>
  <c r="BP776" i="7"/>
  <c r="BO777" i="7"/>
  <c r="BP777" i="7"/>
  <c r="BP779" i="7"/>
  <c r="BO781" i="7"/>
  <c r="BP781" i="7"/>
  <c r="BO782" i="7"/>
  <c r="BP782" i="7"/>
  <c r="BO783" i="7"/>
  <c r="BP783" i="7"/>
  <c r="BO784" i="7"/>
  <c r="BP784" i="7"/>
  <c r="BO786" i="7"/>
  <c r="BP786" i="7"/>
  <c r="BO787" i="7"/>
  <c r="BP787" i="7"/>
  <c r="BO788" i="7"/>
  <c r="BP788" i="7"/>
  <c r="BO789" i="7"/>
  <c r="BP789" i="7"/>
  <c r="BO790" i="7"/>
  <c r="BP790" i="7"/>
  <c r="BO791" i="7"/>
  <c r="BP791" i="7"/>
  <c r="BO792" i="7"/>
  <c r="BP792" i="7"/>
  <c r="BO793" i="7"/>
  <c r="BP793" i="7"/>
  <c r="BO794" i="7"/>
  <c r="BP794" i="7"/>
  <c r="BP795" i="7"/>
  <c r="BP796" i="7"/>
  <c r="BP797" i="7"/>
  <c r="BP815" i="7"/>
  <c r="BP817" i="7"/>
  <c r="BP818" i="7"/>
  <c r="BP819" i="7"/>
  <c r="BP820" i="7"/>
  <c r="BP822" i="7"/>
  <c r="BO824" i="7"/>
  <c r="BP824" i="7"/>
  <c r="BO825" i="7"/>
  <c r="BP825" i="7"/>
  <c r="BO826" i="7"/>
  <c r="BP826" i="7"/>
  <c r="BO827" i="7"/>
  <c r="BP827" i="7"/>
  <c r="BP829" i="7"/>
  <c r="BO831" i="7"/>
  <c r="BP831" i="7"/>
  <c r="BO832" i="7"/>
  <c r="BP832" i="7"/>
  <c r="BO833" i="7"/>
  <c r="BP833" i="7"/>
  <c r="BO834" i="7"/>
  <c r="BP834" i="7"/>
  <c r="BP836" i="7"/>
  <c r="BO838" i="7"/>
  <c r="BP838" i="7"/>
  <c r="BO839" i="7"/>
  <c r="BP839" i="7"/>
  <c r="BO840" i="7"/>
  <c r="BP840" i="7"/>
  <c r="BO841" i="7"/>
  <c r="BP841" i="7"/>
  <c r="BO843" i="7"/>
  <c r="BP843" i="7"/>
  <c r="BO844" i="7"/>
  <c r="BP844" i="7"/>
  <c r="BO845" i="7"/>
  <c r="BP845" i="7"/>
  <c r="BO846" i="7"/>
  <c r="BP846" i="7"/>
  <c r="BO847" i="7"/>
  <c r="BP847" i="7"/>
  <c r="BO848" i="7"/>
  <c r="BP848" i="7"/>
  <c r="BO849" i="7"/>
  <c r="BP849" i="7"/>
  <c r="BO850" i="7"/>
  <c r="BP850" i="7"/>
  <c r="BO851" i="7"/>
  <c r="BP851" i="7"/>
  <c r="BP852" i="7"/>
  <c r="BP853" i="7"/>
  <c r="BP854" i="7"/>
  <c r="BP872" i="7"/>
  <c r="BP874" i="7"/>
  <c r="BP875" i="7"/>
  <c r="BP876" i="7"/>
  <c r="BP877" i="7"/>
  <c r="BP879" i="7"/>
  <c r="BO881" i="7"/>
  <c r="BP881" i="7"/>
  <c r="BO882" i="7"/>
  <c r="BP882" i="7"/>
  <c r="BO883" i="7"/>
  <c r="BP883" i="7"/>
  <c r="BO884" i="7"/>
  <c r="BP884" i="7"/>
  <c r="BP886" i="7"/>
  <c r="BO888" i="7"/>
  <c r="BP888" i="7"/>
  <c r="BO889" i="7"/>
  <c r="BP889" i="7"/>
  <c r="BO890" i="7"/>
  <c r="BP890" i="7"/>
  <c r="BO891" i="7"/>
  <c r="BP891" i="7"/>
  <c r="BP893" i="7"/>
  <c r="BO895" i="7"/>
  <c r="BP895" i="7"/>
  <c r="BO896" i="7"/>
  <c r="BP896" i="7"/>
  <c r="BO897" i="7"/>
  <c r="BP897" i="7"/>
  <c r="BO898" i="7"/>
  <c r="BP898" i="7"/>
  <c r="BO900" i="7"/>
  <c r="BP900" i="7"/>
  <c r="BO901" i="7"/>
  <c r="BP901" i="7"/>
  <c r="BO902" i="7"/>
  <c r="BP902" i="7"/>
  <c r="BO903" i="7"/>
  <c r="BP903" i="7"/>
  <c r="BO904" i="7"/>
  <c r="BP904" i="7"/>
  <c r="BO905" i="7"/>
  <c r="BP905" i="7"/>
  <c r="BO906" i="7"/>
  <c r="BP906" i="7"/>
  <c r="BO907" i="7"/>
  <c r="BP907" i="7"/>
  <c r="BO908" i="7"/>
  <c r="BP908" i="7"/>
  <c r="BP909" i="7"/>
  <c r="BP910" i="7"/>
  <c r="BP911" i="7"/>
  <c r="Q23" i="7"/>
  <c r="BN20" i="7"/>
  <c r="Q24" i="7"/>
  <c r="BN21" i="7"/>
  <c r="Q25" i="7"/>
  <c r="BN22" i="7"/>
  <c r="Q26" i="7"/>
  <c r="BN23" i="7"/>
  <c r="BN24" i="7"/>
  <c r="Q28" i="7"/>
  <c r="BN25" i="7"/>
  <c r="Q29" i="7"/>
  <c r="BN26" i="7"/>
  <c r="Q30" i="7"/>
  <c r="BN27" i="7"/>
  <c r="Q31" i="7"/>
  <c r="BN28" i="7"/>
  <c r="Q32" i="7"/>
  <c r="BN29" i="7"/>
  <c r="Q33" i="7"/>
  <c r="BN30" i="7"/>
  <c r="BN31" i="7"/>
  <c r="Q35" i="7"/>
  <c r="BN32" i="7"/>
  <c r="Q36" i="7"/>
  <c r="BN33" i="7"/>
  <c r="Q37" i="7"/>
  <c r="BN34" i="7"/>
  <c r="Q38" i="7"/>
  <c r="BN35" i="7"/>
  <c r="Q39" i="7"/>
  <c r="BN36" i="7"/>
  <c r="Q40" i="7"/>
  <c r="BN37" i="7"/>
  <c r="BN38" i="7"/>
  <c r="Q42" i="7"/>
  <c r="BN39" i="7"/>
  <c r="Q43" i="7"/>
  <c r="BN40" i="7"/>
  <c r="Q44" i="7"/>
  <c r="BN41" i="7"/>
  <c r="Q45" i="7"/>
  <c r="BN42" i="7"/>
  <c r="Q46" i="7"/>
  <c r="BN43" i="7"/>
  <c r="Q47" i="7"/>
  <c r="BN44" i="7"/>
  <c r="BN45" i="7"/>
  <c r="BN46" i="7"/>
  <c r="BN47" i="7"/>
  <c r="BN48" i="7"/>
  <c r="BN49" i="7"/>
  <c r="BN50" i="7"/>
  <c r="BN51" i="7"/>
  <c r="BN52" i="7"/>
  <c r="BN53" i="7"/>
  <c r="Q77" i="7"/>
  <c r="BN74" i="7"/>
  <c r="Q78" i="7"/>
  <c r="BN75" i="7"/>
  <c r="Q79" i="7"/>
  <c r="BN76" i="7"/>
  <c r="Q80" i="7"/>
  <c r="BN77" i="7"/>
  <c r="Q81" i="7"/>
  <c r="BN78" i="7"/>
  <c r="Q82" i="7"/>
  <c r="BN79" i="7"/>
  <c r="Q83" i="7"/>
  <c r="BN80" i="7"/>
  <c r="Q84" i="7"/>
  <c r="BN81" i="7"/>
  <c r="Q85" i="7"/>
  <c r="BN82" i="7"/>
  <c r="Q86" i="7"/>
  <c r="BN83" i="7"/>
  <c r="Q87" i="7"/>
  <c r="BN84" i="7"/>
  <c r="Q88" i="7"/>
  <c r="BN85" i="7"/>
  <c r="Q89" i="7"/>
  <c r="BN86" i="7"/>
  <c r="Q90" i="7"/>
  <c r="BN87" i="7"/>
  <c r="Q91" i="7"/>
  <c r="BN88" i="7"/>
  <c r="Q92" i="7"/>
  <c r="BN89" i="7"/>
  <c r="Q93" i="7"/>
  <c r="BN90" i="7"/>
  <c r="Q94" i="7"/>
  <c r="BN91" i="7"/>
  <c r="Q95" i="7"/>
  <c r="BN92" i="7"/>
  <c r="Q96" i="7"/>
  <c r="BN93" i="7"/>
  <c r="Q97" i="7"/>
  <c r="BN94" i="7"/>
  <c r="Q98" i="7"/>
  <c r="BN95" i="7"/>
  <c r="Q99" i="7"/>
  <c r="BN96" i="7"/>
  <c r="Q100" i="7"/>
  <c r="BN97" i="7"/>
  <c r="Q101" i="7"/>
  <c r="BN98" i="7"/>
  <c r="Q102" i="7"/>
  <c r="BN99" i="7"/>
  <c r="Q103" i="7"/>
  <c r="BN100" i="7"/>
  <c r="Q104" i="7"/>
  <c r="BN101" i="7"/>
  <c r="Q105" i="7"/>
  <c r="BN102" i="7"/>
  <c r="Q106" i="7"/>
  <c r="BN103" i="7"/>
  <c r="Q107" i="7"/>
  <c r="BN104" i="7"/>
  <c r="Q108" i="7"/>
  <c r="BN105" i="7"/>
  <c r="Q109" i="7"/>
  <c r="BN106" i="7"/>
  <c r="Q110" i="7"/>
  <c r="BN107" i="7"/>
  <c r="Q111" i="7"/>
  <c r="BN108" i="7"/>
  <c r="Q112" i="7"/>
  <c r="BN109" i="7"/>
  <c r="Q113" i="7"/>
  <c r="BN110" i="7"/>
  <c r="Q134" i="7"/>
  <c r="BN131" i="7"/>
  <c r="Q135" i="7"/>
  <c r="BN132" i="7"/>
  <c r="Q136" i="7"/>
  <c r="BN133" i="7"/>
  <c r="Q137" i="7"/>
  <c r="BN134" i="7"/>
  <c r="Q138" i="7"/>
  <c r="BN135" i="7"/>
  <c r="Q139" i="7"/>
  <c r="BN136" i="7"/>
  <c r="Q140" i="7"/>
  <c r="BN137" i="7"/>
  <c r="Q141" i="7"/>
  <c r="BN138" i="7"/>
  <c r="Q142" i="7"/>
  <c r="BN139" i="7"/>
  <c r="Q143" i="7"/>
  <c r="BN140" i="7"/>
  <c r="Q144" i="7"/>
  <c r="BN141" i="7"/>
  <c r="Q145" i="7"/>
  <c r="BN142" i="7"/>
  <c r="Q146" i="7"/>
  <c r="BN143" i="7"/>
  <c r="Q147" i="7"/>
  <c r="BN144" i="7"/>
  <c r="Q148" i="7"/>
  <c r="BN145" i="7"/>
  <c r="Q149" i="7"/>
  <c r="BN146" i="7"/>
  <c r="Q150" i="7"/>
  <c r="BN147" i="7"/>
  <c r="Q151" i="7"/>
  <c r="BN148" i="7"/>
  <c r="Q152" i="7"/>
  <c r="BN149" i="7"/>
  <c r="Q153" i="7"/>
  <c r="BN150" i="7"/>
  <c r="Q154" i="7"/>
  <c r="BN151" i="7"/>
  <c r="Q155" i="7"/>
  <c r="BN152" i="7"/>
  <c r="Q156" i="7"/>
  <c r="BN153" i="7"/>
  <c r="Q157" i="7"/>
  <c r="BN154" i="7"/>
  <c r="Q158" i="7"/>
  <c r="BN155" i="7"/>
  <c r="Q159" i="7"/>
  <c r="BN156" i="7"/>
  <c r="Q160" i="7"/>
  <c r="BN157" i="7"/>
  <c r="Q161" i="7"/>
  <c r="BN158" i="7"/>
  <c r="Q162" i="7"/>
  <c r="BN159" i="7"/>
  <c r="Q163" i="7"/>
  <c r="BN160" i="7"/>
  <c r="Q164" i="7"/>
  <c r="BN161" i="7"/>
  <c r="Q165" i="7"/>
  <c r="BN162" i="7"/>
  <c r="Q166" i="7"/>
  <c r="BN163" i="7"/>
  <c r="Q167" i="7"/>
  <c r="BN164" i="7"/>
  <c r="Q168" i="7"/>
  <c r="BN165" i="7"/>
  <c r="Q169" i="7"/>
  <c r="BN166" i="7"/>
  <c r="Q170" i="7"/>
  <c r="BN167" i="7"/>
  <c r="BN188" i="7"/>
  <c r="BN189" i="7"/>
  <c r="BN190" i="7"/>
  <c r="Q195" i="7"/>
  <c r="BN192" i="7"/>
  <c r="Q196" i="7"/>
  <c r="BN193" i="7"/>
  <c r="Q197" i="7"/>
  <c r="BN194" i="7"/>
  <c r="Q198" i="7"/>
  <c r="BN195" i="7"/>
  <c r="Q199" i="7"/>
  <c r="BN196" i="7"/>
  <c r="Q200" i="7"/>
  <c r="BN197" i="7"/>
  <c r="Q201" i="7"/>
  <c r="BN198" i="7"/>
  <c r="Q202" i="7"/>
  <c r="BN199" i="7"/>
  <c r="Q203" i="7"/>
  <c r="BN200" i="7"/>
  <c r="Q204" i="7"/>
  <c r="BN201" i="7"/>
  <c r="Q205" i="7"/>
  <c r="BN202" i="7"/>
  <c r="Q206" i="7"/>
  <c r="BN203" i="7"/>
  <c r="Q207" i="7"/>
  <c r="BN204" i="7"/>
  <c r="Q208" i="7"/>
  <c r="BN205" i="7"/>
  <c r="Q209" i="7"/>
  <c r="BN206" i="7"/>
  <c r="Q210" i="7"/>
  <c r="BN207" i="7"/>
  <c r="Q211" i="7"/>
  <c r="BN208" i="7"/>
  <c r="Q212" i="7"/>
  <c r="BN209" i="7"/>
  <c r="Q213" i="7"/>
  <c r="BN210" i="7"/>
  <c r="Q214" i="7"/>
  <c r="BN211" i="7"/>
  <c r="Q215" i="7"/>
  <c r="BN212" i="7"/>
  <c r="Q216" i="7"/>
  <c r="BN213" i="7"/>
  <c r="Q217" i="7"/>
  <c r="BN214" i="7"/>
  <c r="Q218" i="7"/>
  <c r="BN215" i="7"/>
  <c r="Q219" i="7"/>
  <c r="BN216" i="7"/>
  <c r="Q220" i="7"/>
  <c r="BN217" i="7"/>
  <c r="Q221" i="7"/>
  <c r="BN218" i="7"/>
  <c r="Q222" i="7"/>
  <c r="BN219" i="7"/>
  <c r="Q223" i="7"/>
  <c r="BN220" i="7"/>
  <c r="Q224" i="7"/>
  <c r="BN221" i="7"/>
  <c r="Q225" i="7"/>
  <c r="BN222" i="7"/>
  <c r="Q226" i="7"/>
  <c r="BN223" i="7"/>
  <c r="Q227" i="7"/>
  <c r="BN224" i="7"/>
  <c r="Q248" i="7"/>
  <c r="BN245" i="7"/>
  <c r="Q249" i="7"/>
  <c r="BN246" i="7"/>
  <c r="Q250" i="7"/>
  <c r="BN247" i="7"/>
  <c r="Q251" i="7"/>
  <c r="BN248" i="7"/>
  <c r="Q252" i="7"/>
  <c r="BN249" i="7"/>
  <c r="Q253" i="7"/>
  <c r="BN250" i="7"/>
  <c r="Q254" i="7"/>
  <c r="BN251" i="7"/>
  <c r="Q255" i="7"/>
  <c r="BN252" i="7"/>
  <c r="Q256" i="7"/>
  <c r="BN253" i="7"/>
  <c r="Q257" i="7"/>
  <c r="BN254" i="7"/>
  <c r="Q258" i="7"/>
  <c r="BN255" i="7"/>
  <c r="Q259" i="7"/>
  <c r="BN256" i="7"/>
  <c r="Q260" i="7"/>
  <c r="BN257" i="7"/>
  <c r="Q261" i="7"/>
  <c r="BN258" i="7"/>
  <c r="Q262" i="7"/>
  <c r="BN259" i="7"/>
  <c r="Q263" i="7"/>
  <c r="BN260" i="7"/>
  <c r="Q264" i="7"/>
  <c r="BN261" i="7"/>
  <c r="Q265" i="7"/>
  <c r="BN262" i="7"/>
  <c r="Q266" i="7"/>
  <c r="BN263" i="7"/>
  <c r="Q267" i="7"/>
  <c r="BN264" i="7"/>
  <c r="Q268" i="7"/>
  <c r="BN265" i="7"/>
  <c r="Q269" i="7"/>
  <c r="BN266" i="7"/>
  <c r="Q270" i="7"/>
  <c r="BN267" i="7"/>
  <c r="Q271" i="7"/>
  <c r="BN268" i="7"/>
  <c r="Q272" i="7"/>
  <c r="BN269" i="7"/>
  <c r="Q273" i="7"/>
  <c r="BN270" i="7"/>
  <c r="Q274" i="7"/>
  <c r="BN271" i="7"/>
  <c r="Q275" i="7"/>
  <c r="BN272" i="7"/>
  <c r="Q276" i="7"/>
  <c r="BN273" i="7"/>
  <c r="Q277" i="7"/>
  <c r="BN274" i="7"/>
  <c r="Q278" i="7"/>
  <c r="BN275" i="7"/>
  <c r="Q279" i="7"/>
  <c r="BN276" i="7"/>
  <c r="Q280" i="7"/>
  <c r="BN277" i="7"/>
  <c r="Q281" i="7"/>
  <c r="BN278" i="7"/>
  <c r="Q282" i="7"/>
  <c r="BN279" i="7"/>
  <c r="Q283" i="7"/>
  <c r="BN280" i="7"/>
  <c r="Q284" i="7"/>
  <c r="BN281" i="7"/>
  <c r="Q305" i="7"/>
  <c r="BN302" i="7"/>
  <c r="Q306" i="7"/>
  <c r="BN303" i="7"/>
  <c r="Q307" i="7"/>
  <c r="BN304" i="7"/>
  <c r="Q308" i="7"/>
  <c r="BN305" i="7"/>
  <c r="Q309" i="7"/>
  <c r="BN306" i="7"/>
  <c r="Q310" i="7"/>
  <c r="BN307" i="7"/>
  <c r="Q311" i="7"/>
  <c r="BN308" i="7"/>
  <c r="Q312" i="7"/>
  <c r="BN309" i="7"/>
  <c r="Q313" i="7"/>
  <c r="BN310" i="7"/>
  <c r="Q314" i="7"/>
  <c r="BN311" i="7"/>
  <c r="Q315" i="7"/>
  <c r="BN312" i="7"/>
  <c r="Q316" i="7"/>
  <c r="BN313" i="7"/>
  <c r="Q317" i="7"/>
  <c r="BN314" i="7"/>
  <c r="Q318" i="7"/>
  <c r="BN315" i="7"/>
  <c r="Q319" i="7"/>
  <c r="BN316" i="7"/>
  <c r="Q320" i="7"/>
  <c r="BN317" i="7"/>
  <c r="Q321" i="7"/>
  <c r="BN318" i="7"/>
  <c r="Q322" i="7"/>
  <c r="BN319" i="7"/>
  <c r="Q323" i="7"/>
  <c r="BN320" i="7"/>
  <c r="Q324" i="7"/>
  <c r="BN321" i="7"/>
  <c r="Q325" i="7"/>
  <c r="BN322" i="7"/>
  <c r="Q326" i="7"/>
  <c r="BN323" i="7"/>
  <c r="Q327" i="7"/>
  <c r="BN324" i="7"/>
  <c r="Q328" i="7"/>
  <c r="BN325" i="7"/>
  <c r="Q329" i="7"/>
  <c r="BN326" i="7"/>
  <c r="Q330" i="7"/>
  <c r="BN327" i="7"/>
  <c r="Q331" i="7"/>
  <c r="BN328" i="7"/>
  <c r="Q332" i="7"/>
  <c r="BN329" i="7"/>
  <c r="Q333" i="7"/>
  <c r="BN330" i="7"/>
  <c r="Q334" i="7"/>
  <c r="BN331" i="7"/>
  <c r="Q335" i="7"/>
  <c r="BN332" i="7"/>
  <c r="Q336" i="7"/>
  <c r="BN333" i="7"/>
  <c r="Q337" i="7"/>
  <c r="BN334" i="7"/>
  <c r="Q338" i="7"/>
  <c r="BN335" i="7"/>
  <c r="Q339" i="7"/>
  <c r="BN336" i="7"/>
  <c r="Q340" i="7"/>
  <c r="BN337" i="7"/>
  <c r="Q341" i="7"/>
  <c r="BN338" i="7"/>
  <c r="Q362" i="7"/>
  <c r="BN359" i="7"/>
  <c r="Q363" i="7"/>
  <c r="BN360" i="7"/>
  <c r="Q364" i="7"/>
  <c r="BN361" i="7"/>
  <c r="Q365" i="7"/>
  <c r="BN362" i="7"/>
  <c r="Q366" i="7"/>
  <c r="BN363" i="7"/>
  <c r="Q367" i="7"/>
  <c r="BN364" i="7"/>
  <c r="Q368" i="7"/>
  <c r="BN365" i="7"/>
  <c r="Q369" i="7"/>
  <c r="BN366" i="7"/>
  <c r="Q370" i="7"/>
  <c r="BN367" i="7"/>
  <c r="Q371" i="7"/>
  <c r="BN368" i="7"/>
  <c r="Q372" i="7"/>
  <c r="BN369" i="7"/>
  <c r="Q373" i="7"/>
  <c r="BN370" i="7"/>
  <c r="Q374" i="7"/>
  <c r="BN371" i="7"/>
  <c r="Q375" i="7"/>
  <c r="BN372" i="7"/>
  <c r="Q376" i="7"/>
  <c r="BN373" i="7"/>
  <c r="Q377" i="7"/>
  <c r="BN374" i="7"/>
  <c r="Q378" i="7"/>
  <c r="BN375" i="7"/>
  <c r="Q379" i="7"/>
  <c r="BN376" i="7"/>
  <c r="Q380" i="7"/>
  <c r="BN377" i="7"/>
  <c r="Q381" i="7"/>
  <c r="BN378" i="7"/>
  <c r="Q382" i="7"/>
  <c r="BN379" i="7"/>
  <c r="Q383" i="7"/>
  <c r="BN380" i="7"/>
  <c r="Q384" i="7"/>
  <c r="BN381" i="7"/>
  <c r="Q385" i="7"/>
  <c r="BN382" i="7"/>
  <c r="Q386" i="7"/>
  <c r="BN383" i="7"/>
  <c r="Q387" i="7"/>
  <c r="BN384" i="7"/>
  <c r="Q388" i="7"/>
  <c r="BN385" i="7"/>
  <c r="Q389" i="7"/>
  <c r="BN386" i="7"/>
  <c r="Q390" i="7"/>
  <c r="BN387" i="7"/>
  <c r="Q391" i="7"/>
  <c r="BN388" i="7"/>
  <c r="Q392" i="7"/>
  <c r="BN389" i="7"/>
  <c r="Q393" i="7"/>
  <c r="BN390" i="7"/>
  <c r="Q394" i="7"/>
  <c r="BN391" i="7"/>
  <c r="Q395" i="7"/>
  <c r="BN392" i="7"/>
  <c r="Q396" i="7"/>
  <c r="BN393" i="7"/>
  <c r="Q397" i="7"/>
  <c r="BN394" i="7"/>
  <c r="Q398" i="7"/>
  <c r="BN395" i="7"/>
  <c r="Q419" i="7"/>
  <c r="BN416" i="7"/>
  <c r="Q420" i="7"/>
  <c r="BN417" i="7"/>
  <c r="Q421" i="7"/>
  <c r="BN418" i="7"/>
  <c r="Q422" i="7"/>
  <c r="BN419" i="7"/>
  <c r="Q423" i="7"/>
  <c r="BN420" i="7"/>
  <c r="Q424" i="7"/>
  <c r="BN421" i="7"/>
  <c r="Q425" i="7"/>
  <c r="BN422" i="7"/>
  <c r="Q426" i="7"/>
  <c r="BN423" i="7"/>
  <c r="Q427" i="7"/>
  <c r="BN424" i="7"/>
  <c r="Q428" i="7"/>
  <c r="BN425" i="7"/>
  <c r="Q429" i="7"/>
  <c r="BN426" i="7"/>
  <c r="Q430" i="7"/>
  <c r="BN427" i="7"/>
  <c r="Q431" i="7"/>
  <c r="BN428" i="7"/>
  <c r="Q432" i="7"/>
  <c r="BN429" i="7"/>
  <c r="Q433" i="7"/>
  <c r="BN430" i="7"/>
  <c r="Q434" i="7"/>
  <c r="BN431" i="7"/>
  <c r="Q435" i="7"/>
  <c r="BN432" i="7"/>
  <c r="Q436" i="7"/>
  <c r="BN433" i="7"/>
  <c r="Q437" i="7"/>
  <c r="BN434" i="7"/>
  <c r="Q438" i="7"/>
  <c r="BN435" i="7"/>
  <c r="Q439" i="7"/>
  <c r="BN436" i="7"/>
  <c r="Q440" i="7"/>
  <c r="BN437" i="7"/>
  <c r="Q441" i="7"/>
  <c r="BN438" i="7"/>
  <c r="Q442" i="7"/>
  <c r="BN439" i="7"/>
  <c r="Q443" i="7"/>
  <c r="BN440" i="7"/>
  <c r="Q444" i="7"/>
  <c r="BN441" i="7"/>
  <c r="Q445" i="7"/>
  <c r="BN442" i="7"/>
  <c r="Q446" i="7"/>
  <c r="BN443" i="7"/>
  <c r="Q447" i="7"/>
  <c r="BN444" i="7"/>
  <c r="Q448" i="7"/>
  <c r="BN445" i="7"/>
  <c r="Q449" i="7"/>
  <c r="BN446" i="7"/>
  <c r="Q450" i="7"/>
  <c r="BN447" i="7"/>
  <c r="Q451" i="7"/>
  <c r="BN448" i="7"/>
  <c r="Q452" i="7"/>
  <c r="BN449" i="7"/>
  <c r="Q453" i="7"/>
  <c r="BN450" i="7"/>
  <c r="Q454" i="7"/>
  <c r="BN451" i="7"/>
  <c r="Q455" i="7"/>
  <c r="BN452" i="7"/>
  <c r="Q476" i="7"/>
  <c r="BN473" i="7"/>
  <c r="Q477" i="7"/>
  <c r="BN474" i="7"/>
  <c r="Q478" i="7"/>
  <c r="BN475" i="7"/>
  <c r="Q479" i="7"/>
  <c r="BN476" i="7"/>
  <c r="Q480" i="7"/>
  <c r="BN477" i="7"/>
  <c r="Q481" i="7"/>
  <c r="BN478" i="7"/>
  <c r="Q482" i="7"/>
  <c r="BN479" i="7"/>
  <c r="Q483" i="7"/>
  <c r="BN480" i="7"/>
  <c r="Q484" i="7"/>
  <c r="BN481" i="7"/>
  <c r="Q485" i="7"/>
  <c r="BN482" i="7"/>
  <c r="Q486" i="7"/>
  <c r="BN483" i="7"/>
  <c r="Q487" i="7"/>
  <c r="BN484" i="7"/>
  <c r="Q488" i="7"/>
  <c r="BN485" i="7"/>
  <c r="Q489" i="7"/>
  <c r="BN486" i="7"/>
  <c r="Q490" i="7"/>
  <c r="BN487" i="7"/>
  <c r="Q491" i="7"/>
  <c r="BN488" i="7"/>
  <c r="Q492" i="7"/>
  <c r="BN489" i="7"/>
  <c r="Q493" i="7"/>
  <c r="BN490" i="7"/>
  <c r="Q494" i="7"/>
  <c r="BN491" i="7"/>
  <c r="Q495" i="7"/>
  <c r="BN492" i="7"/>
  <c r="Q496" i="7"/>
  <c r="BN493" i="7"/>
  <c r="Q497" i="7"/>
  <c r="BN494" i="7"/>
  <c r="Q498" i="7"/>
  <c r="BN495" i="7"/>
  <c r="Q499" i="7"/>
  <c r="BN496" i="7"/>
  <c r="Q500" i="7"/>
  <c r="BN497" i="7"/>
  <c r="Q501" i="7"/>
  <c r="BN498" i="7"/>
  <c r="Q502" i="7"/>
  <c r="BN499" i="7"/>
  <c r="Q503" i="7"/>
  <c r="BN500" i="7"/>
  <c r="Q504" i="7"/>
  <c r="BN501" i="7"/>
  <c r="Q505" i="7"/>
  <c r="BN502" i="7"/>
  <c r="Q506" i="7"/>
  <c r="BN503" i="7"/>
  <c r="Q507" i="7"/>
  <c r="BN504" i="7"/>
  <c r="Q508" i="7"/>
  <c r="BN505" i="7"/>
  <c r="Q509" i="7"/>
  <c r="BN506" i="7"/>
  <c r="Q510" i="7"/>
  <c r="BN507" i="7"/>
  <c r="Q511" i="7"/>
  <c r="BN508" i="7"/>
  <c r="Q512" i="7"/>
  <c r="BN509" i="7"/>
  <c r="Q533" i="7"/>
  <c r="BN530" i="7"/>
  <c r="Q534" i="7"/>
  <c r="BN531" i="7"/>
  <c r="Q535" i="7"/>
  <c r="BN532" i="7"/>
  <c r="Q536" i="7"/>
  <c r="BN533" i="7"/>
  <c r="Q537" i="7"/>
  <c r="BN534" i="7"/>
  <c r="Q538" i="7"/>
  <c r="BN535" i="7"/>
  <c r="Q539" i="7"/>
  <c r="BN536" i="7"/>
  <c r="Q540" i="7"/>
  <c r="BN537" i="7"/>
  <c r="Q541" i="7"/>
  <c r="BN538" i="7"/>
  <c r="Q542" i="7"/>
  <c r="BN539" i="7"/>
  <c r="Q543" i="7"/>
  <c r="BN540" i="7"/>
  <c r="Q544" i="7"/>
  <c r="BN541" i="7"/>
  <c r="Q545" i="7"/>
  <c r="BN542" i="7"/>
  <c r="Q546" i="7"/>
  <c r="BN543" i="7"/>
  <c r="Q547" i="7"/>
  <c r="BN544" i="7"/>
  <c r="Q548" i="7"/>
  <c r="BN545" i="7"/>
  <c r="Q549" i="7"/>
  <c r="BN546" i="7"/>
  <c r="Q550" i="7"/>
  <c r="BN547" i="7"/>
  <c r="Q551" i="7"/>
  <c r="BN548" i="7"/>
  <c r="Q552" i="7"/>
  <c r="BN549" i="7"/>
  <c r="Q553" i="7"/>
  <c r="BN550" i="7"/>
  <c r="Q554" i="7"/>
  <c r="BN551" i="7"/>
  <c r="Q555" i="7"/>
  <c r="BN552" i="7"/>
  <c r="Q556" i="7"/>
  <c r="BN553" i="7"/>
  <c r="Q557" i="7"/>
  <c r="BN554" i="7"/>
  <c r="Q558" i="7"/>
  <c r="BN555" i="7"/>
  <c r="Q559" i="7"/>
  <c r="BN556" i="7"/>
  <c r="Q560" i="7"/>
  <c r="BN557" i="7"/>
  <c r="Q561" i="7"/>
  <c r="BN558" i="7"/>
  <c r="Q562" i="7"/>
  <c r="BN559" i="7"/>
  <c r="Q563" i="7"/>
  <c r="BN560" i="7"/>
  <c r="Q564" i="7"/>
  <c r="BN561" i="7"/>
  <c r="Q565" i="7"/>
  <c r="BN562" i="7"/>
  <c r="Q566" i="7"/>
  <c r="BN563" i="7"/>
  <c r="Q567" i="7"/>
  <c r="BN564" i="7"/>
  <c r="Q568" i="7"/>
  <c r="BN565" i="7"/>
  <c r="Q569" i="7"/>
  <c r="BN566" i="7"/>
  <c r="Q590" i="7"/>
  <c r="BN587" i="7"/>
  <c r="Q591" i="7"/>
  <c r="BN588" i="7"/>
  <c r="Q592" i="7"/>
  <c r="BN589" i="7"/>
  <c r="Q593" i="7"/>
  <c r="BN590" i="7"/>
  <c r="Q594" i="7"/>
  <c r="BN591" i="7"/>
  <c r="Q595" i="7"/>
  <c r="BN592" i="7"/>
  <c r="Q596" i="7"/>
  <c r="BN593" i="7"/>
  <c r="Q597" i="7"/>
  <c r="BN594" i="7"/>
  <c r="Q598" i="7"/>
  <c r="BN595" i="7"/>
  <c r="Q599" i="7"/>
  <c r="BN596" i="7"/>
  <c r="Q600" i="7"/>
  <c r="BN597" i="7"/>
  <c r="Q601" i="7"/>
  <c r="BN598" i="7"/>
  <c r="Q602" i="7"/>
  <c r="BN599" i="7"/>
  <c r="Q603" i="7"/>
  <c r="BN600" i="7"/>
  <c r="Q604" i="7"/>
  <c r="BN601" i="7"/>
  <c r="Q605" i="7"/>
  <c r="BN602" i="7"/>
  <c r="Q606" i="7"/>
  <c r="BN603" i="7"/>
  <c r="Q607" i="7"/>
  <c r="BN604" i="7"/>
  <c r="Q608" i="7"/>
  <c r="BN605" i="7"/>
  <c r="Q609" i="7"/>
  <c r="BN606" i="7"/>
  <c r="Q610" i="7"/>
  <c r="BN607" i="7"/>
  <c r="Q611" i="7"/>
  <c r="BN608" i="7"/>
  <c r="Q612" i="7"/>
  <c r="BN609" i="7"/>
  <c r="Q613" i="7"/>
  <c r="BN610" i="7"/>
  <c r="Q614" i="7"/>
  <c r="BN611" i="7"/>
  <c r="Q615" i="7"/>
  <c r="BN612" i="7"/>
  <c r="Q616" i="7"/>
  <c r="BN613" i="7"/>
  <c r="Q617" i="7"/>
  <c r="BN614" i="7"/>
  <c r="Q618" i="7"/>
  <c r="BN615" i="7"/>
  <c r="Q619" i="7"/>
  <c r="BN616" i="7"/>
  <c r="Q620" i="7"/>
  <c r="BN617" i="7"/>
  <c r="Q621" i="7"/>
  <c r="BN618" i="7"/>
  <c r="Q622" i="7"/>
  <c r="BN619" i="7"/>
  <c r="Q623" i="7"/>
  <c r="BN620" i="7"/>
  <c r="Q624" i="7"/>
  <c r="BN621" i="7"/>
  <c r="Q625" i="7"/>
  <c r="BN622" i="7"/>
  <c r="Q626" i="7"/>
  <c r="BN623" i="7"/>
  <c r="Q647" i="7"/>
  <c r="BN644" i="7"/>
  <c r="Q648" i="7"/>
  <c r="BN645" i="7"/>
  <c r="Q649" i="7"/>
  <c r="BN646" i="7"/>
  <c r="Q650" i="7"/>
  <c r="BN647" i="7"/>
  <c r="Q651" i="7"/>
  <c r="BN648" i="7"/>
  <c r="Q652" i="7"/>
  <c r="BN649" i="7"/>
  <c r="Q653" i="7"/>
  <c r="BN650" i="7"/>
  <c r="Q654" i="7"/>
  <c r="BN651" i="7"/>
  <c r="Q655" i="7"/>
  <c r="BN652" i="7"/>
  <c r="Q656" i="7"/>
  <c r="BN653" i="7"/>
  <c r="Q657" i="7"/>
  <c r="BN654" i="7"/>
  <c r="Q658" i="7"/>
  <c r="BN655" i="7"/>
  <c r="Q659" i="7"/>
  <c r="BN656" i="7"/>
  <c r="Q660" i="7"/>
  <c r="BN657" i="7"/>
  <c r="Q661" i="7"/>
  <c r="BN658" i="7"/>
  <c r="Q662" i="7"/>
  <c r="BN659" i="7"/>
  <c r="Q663" i="7"/>
  <c r="BN660" i="7"/>
  <c r="Q664" i="7"/>
  <c r="BN661" i="7"/>
  <c r="Q665" i="7"/>
  <c r="BN662" i="7"/>
  <c r="Q666" i="7"/>
  <c r="BN663" i="7"/>
  <c r="Q667" i="7"/>
  <c r="BN664" i="7"/>
  <c r="Q668" i="7"/>
  <c r="BN665" i="7"/>
  <c r="Q669" i="7"/>
  <c r="BN666" i="7"/>
  <c r="Q670" i="7"/>
  <c r="BN667" i="7"/>
  <c r="Q671" i="7"/>
  <c r="BN668" i="7"/>
  <c r="Q672" i="7"/>
  <c r="BN669" i="7"/>
  <c r="Q673" i="7"/>
  <c r="BN670" i="7"/>
  <c r="Q674" i="7"/>
  <c r="BN671" i="7"/>
  <c r="Q675" i="7"/>
  <c r="BN672" i="7"/>
  <c r="Q676" i="7"/>
  <c r="BN673" i="7"/>
  <c r="Q677" i="7"/>
  <c r="BN674" i="7"/>
  <c r="Q678" i="7"/>
  <c r="BN675" i="7"/>
  <c r="Q679" i="7"/>
  <c r="BN676" i="7"/>
  <c r="Q680" i="7"/>
  <c r="BN677" i="7"/>
  <c r="Q681" i="7"/>
  <c r="BN678" i="7"/>
  <c r="Q682" i="7"/>
  <c r="BN679" i="7"/>
  <c r="Q683" i="7"/>
  <c r="BN680" i="7"/>
  <c r="Q704" i="7"/>
  <c r="BN701" i="7"/>
  <c r="Q705" i="7"/>
  <c r="BN702" i="7"/>
  <c r="Q706" i="7"/>
  <c r="BN703" i="7"/>
  <c r="Q707" i="7"/>
  <c r="BN704" i="7"/>
  <c r="Q708" i="7"/>
  <c r="BN705" i="7"/>
  <c r="Q709" i="7"/>
  <c r="BN706" i="7"/>
  <c r="Q710" i="7"/>
  <c r="BN707" i="7"/>
  <c r="Q711" i="7"/>
  <c r="BN708" i="7"/>
  <c r="Q712" i="7"/>
  <c r="BN709" i="7"/>
  <c r="Q713" i="7"/>
  <c r="BN710" i="7"/>
  <c r="Q714" i="7"/>
  <c r="BN711" i="7"/>
  <c r="Q715" i="7"/>
  <c r="BN712" i="7"/>
  <c r="Q716" i="7"/>
  <c r="BN713" i="7"/>
  <c r="Q717" i="7"/>
  <c r="BN714" i="7"/>
  <c r="Q718" i="7"/>
  <c r="BN715" i="7"/>
  <c r="Q719" i="7"/>
  <c r="BN716" i="7"/>
  <c r="Q720" i="7"/>
  <c r="BN717" i="7"/>
  <c r="Q721" i="7"/>
  <c r="BN718" i="7"/>
  <c r="Q722" i="7"/>
  <c r="BN719" i="7"/>
  <c r="Q723" i="7"/>
  <c r="BN720" i="7"/>
  <c r="Q724" i="7"/>
  <c r="BN721" i="7"/>
  <c r="Q725" i="7"/>
  <c r="BN722" i="7"/>
  <c r="Q726" i="7"/>
  <c r="BN723" i="7"/>
  <c r="Q727" i="7"/>
  <c r="BN724" i="7"/>
  <c r="Q728" i="7"/>
  <c r="BN725" i="7"/>
  <c r="Q729" i="7"/>
  <c r="BN726" i="7"/>
  <c r="Q730" i="7"/>
  <c r="BN727" i="7"/>
  <c r="Q731" i="7"/>
  <c r="BN728" i="7"/>
  <c r="Q732" i="7"/>
  <c r="BN729" i="7"/>
  <c r="Q733" i="7"/>
  <c r="BN730" i="7"/>
  <c r="Q734" i="7"/>
  <c r="BN731" i="7"/>
  <c r="Q735" i="7"/>
  <c r="BN732" i="7"/>
  <c r="Q736" i="7"/>
  <c r="BN733" i="7"/>
  <c r="Q737" i="7"/>
  <c r="BN734" i="7"/>
  <c r="Q738" i="7"/>
  <c r="BN735" i="7"/>
  <c r="Q739" i="7"/>
  <c r="BN736" i="7"/>
  <c r="Q740" i="7"/>
  <c r="BN737" i="7"/>
  <c r="Q761" i="7"/>
  <c r="BN758" i="7"/>
  <c r="Q762" i="7"/>
  <c r="BN759" i="7"/>
  <c r="Q763" i="7"/>
  <c r="BN760" i="7"/>
  <c r="Q764" i="7"/>
  <c r="BN761" i="7"/>
  <c r="Q765" i="7"/>
  <c r="BN762" i="7"/>
  <c r="Q766" i="7"/>
  <c r="BN763" i="7"/>
  <c r="Q767" i="7"/>
  <c r="BN764" i="7"/>
  <c r="Q768" i="7"/>
  <c r="BN765" i="7"/>
  <c r="Q769" i="7"/>
  <c r="BN766" i="7"/>
  <c r="Q770" i="7"/>
  <c r="BN767" i="7"/>
  <c r="Q771" i="7"/>
  <c r="BN768" i="7"/>
  <c r="Q772" i="7"/>
  <c r="BN769" i="7"/>
  <c r="Q773" i="7"/>
  <c r="BN770" i="7"/>
  <c r="Q774" i="7"/>
  <c r="BN771" i="7"/>
  <c r="Q775" i="7"/>
  <c r="BN772" i="7"/>
  <c r="Q776" i="7"/>
  <c r="BN773" i="7"/>
  <c r="Q777" i="7"/>
  <c r="BN774" i="7"/>
  <c r="Q778" i="7"/>
  <c r="BN775" i="7"/>
  <c r="Q779" i="7"/>
  <c r="BN776" i="7"/>
  <c r="Q780" i="7"/>
  <c r="BN777" i="7"/>
  <c r="Q781" i="7"/>
  <c r="BN778" i="7"/>
  <c r="Q782" i="7"/>
  <c r="BN779" i="7"/>
  <c r="Q783" i="7"/>
  <c r="BN780" i="7"/>
  <c r="Q784" i="7"/>
  <c r="BN781" i="7"/>
  <c r="Q785" i="7"/>
  <c r="BN782" i="7"/>
  <c r="Q786" i="7"/>
  <c r="BN783" i="7"/>
  <c r="Q787" i="7"/>
  <c r="BN784" i="7"/>
  <c r="Q788" i="7"/>
  <c r="BN785" i="7"/>
  <c r="Q789" i="7"/>
  <c r="BN786" i="7"/>
  <c r="Q790" i="7"/>
  <c r="BN787" i="7"/>
  <c r="Q791" i="7"/>
  <c r="BN788" i="7"/>
  <c r="Q792" i="7"/>
  <c r="BN789" i="7"/>
  <c r="Q793" i="7"/>
  <c r="BN790" i="7"/>
  <c r="Q794" i="7"/>
  <c r="BN791" i="7"/>
  <c r="Q795" i="7"/>
  <c r="BN792" i="7"/>
  <c r="Q796" i="7"/>
  <c r="BN793" i="7"/>
  <c r="Q797" i="7"/>
  <c r="BN794" i="7"/>
  <c r="Q818" i="7"/>
  <c r="BN815" i="7"/>
  <c r="Q819" i="7"/>
  <c r="BN816" i="7"/>
  <c r="Q820" i="7"/>
  <c r="BN817" i="7"/>
  <c r="Q821" i="7"/>
  <c r="BN818" i="7"/>
  <c r="Q822" i="7"/>
  <c r="BN819" i="7"/>
  <c r="Q823" i="7"/>
  <c r="BN820" i="7"/>
  <c r="Q824" i="7"/>
  <c r="BN821" i="7"/>
  <c r="Q825" i="7"/>
  <c r="BN822" i="7"/>
  <c r="Q826" i="7"/>
  <c r="BN823" i="7"/>
  <c r="Q827" i="7"/>
  <c r="BN824" i="7"/>
  <c r="Q828" i="7"/>
  <c r="BN825" i="7"/>
  <c r="Q829" i="7"/>
  <c r="BN826" i="7"/>
  <c r="Q830" i="7"/>
  <c r="BN827" i="7"/>
  <c r="Q831" i="7"/>
  <c r="BN828" i="7"/>
  <c r="Q832" i="7"/>
  <c r="BN829" i="7"/>
  <c r="Q833" i="7"/>
  <c r="BN830" i="7"/>
  <c r="Q834" i="7"/>
  <c r="BN831" i="7"/>
  <c r="Q835" i="7"/>
  <c r="BN832" i="7"/>
  <c r="Q836" i="7"/>
  <c r="BN833" i="7"/>
  <c r="Q837" i="7"/>
  <c r="BN834" i="7"/>
  <c r="Q838" i="7"/>
  <c r="BN835" i="7"/>
  <c r="Q839" i="7"/>
  <c r="BN836" i="7"/>
  <c r="Q840" i="7"/>
  <c r="BN837" i="7"/>
  <c r="Q841" i="7"/>
  <c r="BN838" i="7"/>
  <c r="Q842" i="7"/>
  <c r="BN839" i="7"/>
  <c r="Q843" i="7"/>
  <c r="BN840" i="7"/>
  <c r="Q844" i="7"/>
  <c r="BN841" i="7"/>
  <c r="Q845" i="7"/>
  <c r="BN842" i="7"/>
  <c r="Q846" i="7"/>
  <c r="BN843" i="7"/>
  <c r="Q847" i="7"/>
  <c r="BN844" i="7"/>
  <c r="Q848" i="7"/>
  <c r="BN845" i="7"/>
  <c r="Q849" i="7"/>
  <c r="BN846" i="7"/>
  <c r="Q850" i="7"/>
  <c r="BN847" i="7"/>
  <c r="Q851" i="7"/>
  <c r="BN848" i="7"/>
  <c r="Q852" i="7"/>
  <c r="BN849" i="7"/>
  <c r="Q853" i="7"/>
  <c r="BN850" i="7"/>
  <c r="Q854" i="7"/>
  <c r="BN851" i="7"/>
  <c r="Q875" i="7"/>
  <c r="BN872" i="7"/>
  <c r="Q876" i="7"/>
  <c r="BN873" i="7"/>
  <c r="Q877" i="7"/>
  <c r="BN874" i="7"/>
  <c r="Q878" i="7"/>
  <c r="BN875" i="7"/>
  <c r="Q879" i="7"/>
  <c r="BN876" i="7"/>
  <c r="Q880" i="7"/>
  <c r="BN877" i="7"/>
  <c r="Q881" i="7"/>
  <c r="BN878" i="7"/>
  <c r="Q882" i="7"/>
  <c r="BN879" i="7"/>
  <c r="Q883" i="7"/>
  <c r="BN880" i="7"/>
  <c r="Q884" i="7"/>
  <c r="BN881" i="7"/>
  <c r="Q885" i="7"/>
  <c r="BN882" i="7"/>
  <c r="Q886" i="7"/>
  <c r="BN883" i="7"/>
  <c r="Q887" i="7"/>
  <c r="BN884" i="7"/>
  <c r="Q888" i="7"/>
  <c r="BN885" i="7"/>
  <c r="Q889" i="7"/>
  <c r="BN886" i="7"/>
  <c r="Q890" i="7"/>
  <c r="BN887" i="7"/>
  <c r="Q891" i="7"/>
  <c r="BN888" i="7"/>
  <c r="Q892" i="7"/>
  <c r="BN889" i="7"/>
  <c r="Q893" i="7"/>
  <c r="BN890" i="7"/>
  <c r="Q894" i="7"/>
  <c r="BN891" i="7"/>
  <c r="Q895" i="7"/>
  <c r="BN892" i="7"/>
  <c r="Q896" i="7"/>
  <c r="BN893" i="7"/>
  <c r="Q897" i="7"/>
  <c r="BN894" i="7"/>
  <c r="Q898" i="7"/>
  <c r="BN895" i="7"/>
  <c r="Q899" i="7"/>
  <c r="BN896" i="7"/>
  <c r="Q900" i="7"/>
  <c r="BN897" i="7"/>
  <c r="Q901" i="7"/>
  <c r="BN898" i="7"/>
  <c r="Q902" i="7"/>
  <c r="BN899" i="7"/>
  <c r="Q903" i="7"/>
  <c r="BN900" i="7"/>
  <c r="Q904" i="7"/>
  <c r="BN901" i="7"/>
  <c r="Q905" i="7"/>
  <c r="BN902" i="7"/>
  <c r="Q906" i="7"/>
  <c r="BN903" i="7"/>
  <c r="Q907" i="7"/>
  <c r="BN904" i="7"/>
  <c r="Q908" i="7"/>
  <c r="BN905" i="7"/>
  <c r="Q909" i="7"/>
  <c r="BN906" i="7"/>
  <c r="Q910" i="7"/>
  <c r="BN907" i="7"/>
  <c r="Q911" i="7"/>
  <c r="BN908" i="7"/>
  <c r="BU191" i="7"/>
  <c r="BQ20" i="7"/>
  <c r="BU20" i="7"/>
  <c r="V56" i="7"/>
  <c r="V227" i="7"/>
  <c r="V284" i="7"/>
  <c r="V113" i="7"/>
  <c r="V170" i="7"/>
  <c r="V341" i="7"/>
  <c r="V398" i="7"/>
  <c r="V455" i="7"/>
  <c r="AI465" i="7"/>
  <c r="AJ465" i="7"/>
  <c r="AK465" i="7"/>
  <c r="AL465" i="7"/>
  <c r="AM465" i="7"/>
  <c r="AN465" i="7"/>
  <c r="AO465" i="7"/>
  <c r="AP465" i="7"/>
  <c r="AQ465" i="7"/>
  <c r="AR465" i="7"/>
  <c r="AS465" i="7"/>
  <c r="AT465" i="7"/>
  <c r="AU465" i="7"/>
  <c r="AV465" i="7"/>
  <c r="AI466" i="7"/>
  <c r="AJ466" i="7"/>
  <c r="AK466" i="7"/>
  <c r="AL466" i="7"/>
  <c r="AM466" i="7"/>
  <c r="AN466" i="7"/>
  <c r="AO466" i="7"/>
  <c r="AP466" i="7"/>
  <c r="AQ466" i="7"/>
  <c r="AR466" i="7"/>
  <c r="AS466" i="7"/>
  <c r="AT466" i="7"/>
  <c r="AU466" i="7"/>
  <c r="AV466" i="7"/>
  <c r="AI467" i="7"/>
  <c r="AJ467" i="7"/>
  <c r="AK467" i="7"/>
  <c r="AL467" i="7"/>
  <c r="AM467" i="7"/>
  <c r="AN467" i="7"/>
  <c r="AO467" i="7"/>
  <c r="AP467" i="7"/>
  <c r="AQ467" i="7"/>
  <c r="AR467" i="7"/>
  <c r="AS467" i="7"/>
  <c r="AT467" i="7"/>
  <c r="AU467" i="7"/>
  <c r="AV467" i="7"/>
  <c r="AI468" i="7"/>
  <c r="AJ468" i="7"/>
  <c r="AK468" i="7"/>
  <c r="AL468" i="7"/>
  <c r="AM468" i="7"/>
  <c r="AN468" i="7"/>
  <c r="AO468" i="7"/>
  <c r="AP468" i="7"/>
  <c r="AQ468" i="7"/>
  <c r="AR468" i="7"/>
  <c r="AS468" i="7"/>
  <c r="AT468" i="7"/>
  <c r="AU468" i="7"/>
  <c r="AV468" i="7"/>
  <c r="AI469" i="7"/>
  <c r="AJ469" i="7"/>
  <c r="AK469" i="7"/>
  <c r="AL469" i="7"/>
  <c r="AM469" i="7"/>
  <c r="AN469" i="7"/>
  <c r="AO469" i="7"/>
  <c r="AP469" i="7"/>
  <c r="AQ469" i="7"/>
  <c r="AR469" i="7"/>
  <c r="AS469" i="7"/>
  <c r="AT469" i="7"/>
  <c r="AU469" i="7"/>
  <c r="AV469" i="7"/>
  <c r="AI470" i="7"/>
  <c r="AJ470" i="7"/>
  <c r="AK470" i="7"/>
  <c r="AL470" i="7"/>
  <c r="AM470" i="7"/>
  <c r="AN470" i="7"/>
  <c r="AO470" i="7"/>
  <c r="AP470" i="7"/>
  <c r="AQ470" i="7"/>
  <c r="AR470" i="7"/>
  <c r="AS470" i="7"/>
  <c r="AT470" i="7"/>
  <c r="AU470" i="7"/>
  <c r="AV470" i="7"/>
  <c r="AI471" i="7"/>
  <c r="AJ471" i="7"/>
  <c r="AK471" i="7"/>
  <c r="AL471" i="7"/>
  <c r="AM471" i="7"/>
  <c r="AN471" i="7"/>
  <c r="AO471" i="7"/>
  <c r="AP471" i="7"/>
  <c r="AQ471" i="7"/>
  <c r="AR471" i="7"/>
  <c r="AS471" i="7"/>
  <c r="AT471" i="7"/>
  <c r="AU471" i="7"/>
  <c r="AV471" i="7"/>
  <c r="AI472" i="7"/>
  <c r="AJ472" i="7"/>
  <c r="AK472" i="7"/>
  <c r="AL472" i="7"/>
  <c r="AM472" i="7"/>
  <c r="AN472" i="7"/>
  <c r="AO472" i="7"/>
  <c r="AP472" i="7"/>
  <c r="AQ472" i="7"/>
  <c r="AR472" i="7"/>
  <c r="AS472" i="7"/>
  <c r="AT472" i="7"/>
  <c r="AU472" i="7"/>
  <c r="AV472" i="7"/>
  <c r="AI473" i="7"/>
  <c r="AJ473" i="7"/>
  <c r="AK473" i="7"/>
  <c r="AL473" i="7"/>
  <c r="AM473" i="7"/>
  <c r="AN473" i="7"/>
  <c r="AO473" i="7"/>
  <c r="AP473" i="7"/>
  <c r="AQ473" i="7"/>
  <c r="AR473" i="7"/>
  <c r="AS473" i="7"/>
  <c r="AT473" i="7"/>
  <c r="AU473" i="7"/>
  <c r="AV473" i="7"/>
  <c r="AI474" i="7"/>
  <c r="AJ474" i="7"/>
  <c r="AK474" i="7"/>
  <c r="AL474" i="7"/>
  <c r="AM474" i="7"/>
  <c r="AN474" i="7"/>
  <c r="AO474" i="7"/>
  <c r="AP474" i="7"/>
  <c r="AQ474" i="7"/>
  <c r="AR474" i="7"/>
  <c r="AS474" i="7"/>
  <c r="AT474" i="7"/>
  <c r="AU474" i="7"/>
  <c r="AV474" i="7"/>
  <c r="AI475" i="7"/>
  <c r="AJ475" i="7"/>
  <c r="AK475" i="7"/>
  <c r="AL475" i="7"/>
  <c r="AM475" i="7"/>
  <c r="AN475" i="7"/>
  <c r="AO475" i="7"/>
  <c r="AP475" i="7"/>
  <c r="AQ475" i="7"/>
  <c r="AR475" i="7"/>
  <c r="AS475" i="7"/>
  <c r="AT475" i="7"/>
  <c r="AU475" i="7"/>
  <c r="AV475" i="7"/>
  <c r="AI476" i="7"/>
  <c r="AJ476" i="7"/>
  <c r="AK476" i="7"/>
  <c r="AL476" i="7"/>
  <c r="AM476" i="7"/>
  <c r="AN476" i="7"/>
  <c r="AO476" i="7"/>
  <c r="AP476" i="7"/>
  <c r="AQ476" i="7"/>
  <c r="AR476" i="7"/>
  <c r="AS476" i="7"/>
  <c r="AT476" i="7"/>
  <c r="AU476" i="7"/>
  <c r="AV476" i="7"/>
  <c r="AI477" i="7"/>
  <c r="AJ477" i="7"/>
  <c r="AK477" i="7"/>
  <c r="AL477" i="7"/>
  <c r="AM477" i="7"/>
  <c r="AN477" i="7"/>
  <c r="AO477" i="7"/>
  <c r="AP477" i="7"/>
  <c r="AQ477" i="7"/>
  <c r="AR477" i="7"/>
  <c r="AS477" i="7"/>
  <c r="AT477" i="7"/>
  <c r="AU477" i="7"/>
  <c r="AV477" i="7"/>
  <c r="AI478" i="7"/>
  <c r="AJ478" i="7"/>
  <c r="AK478" i="7"/>
  <c r="AL478" i="7"/>
  <c r="AM478" i="7"/>
  <c r="AN478" i="7"/>
  <c r="AO478" i="7"/>
  <c r="AP478" i="7"/>
  <c r="AQ478" i="7"/>
  <c r="AR478" i="7"/>
  <c r="AS478" i="7"/>
  <c r="AT478" i="7"/>
  <c r="AU478" i="7"/>
  <c r="AV478" i="7"/>
  <c r="AI479" i="7"/>
  <c r="AJ479" i="7"/>
  <c r="AK479" i="7"/>
  <c r="AL479" i="7"/>
  <c r="AM479" i="7"/>
  <c r="AN479" i="7"/>
  <c r="AO479" i="7"/>
  <c r="AP479" i="7"/>
  <c r="AQ479" i="7"/>
  <c r="AR479" i="7"/>
  <c r="AS479" i="7"/>
  <c r="AT479" i="7"/>
  <c r="AU479" i="7"/>
  <c r="AV479" i="7"/>
  <c r="AI480" i="7"/>
  <c r="AJ480" i="7"/>
  <c r="AK480" i="7"/>
  <c r="AL480" i="7"/>
  <c r="AM480" i="7"/>
  <c r="AN480" i="7"/>
  <c r="AO480" i="7"/>
  <c r="AP480" i="7"/>
  <c r="AQ480" i="7"/>
  <c r="AR480" i="7"/>
  <c r="AS480" i="7"/>
  <c r="AT480" i="7"/>
  <c r="AU480" i="7"/>
  <c r="AV480" i="7"/>
  <c r="AI481" i="7"/>
  <c r="AJ481" i="7"/>
  <c r="AK481" i="7"/>
  <c r="AL481" i="7"/>
  <c r="AM481" i="7"/>
  <c r="AN481" i="7"/>
  <c r="AO481" i="7"/>
  <c r="AP481" i="7"/>
  <c r="AQ481" i="7"/>
  <c r="AR481" i="7"/>
  <c r="AS481" i="7"/>
  <c r="AT481" i="7"/>
  <c r="AU481" i="7"/>
  <c r="AV481" i="7"/>
  <c r="AI482" i="7"/>
  <c r="AJ482" i="7"/>
  <c r="AK482" i="7"/>
  <c r="AL482" i="7"/>
  <c r="AM482" i="7"/>
  <c r="AN482" i="7"/>
  <c r="AO482" i="7"/>
  <c r="AP482" i="7"/>
  <c r="AQ482" i="7"/>
  <c r="AR482" i="7"/>
  <c r="AS482" i="7"/>
  <c r="AT482" i="7"/>
  <c r="AU482" i="7"/>
  <c r="AV482" i="7"/>
  <c r="AI483" i="7"/>
  <c r="AJ483" i="7"/>
  <c r="AK483" i="7"/>
  <c r="AL483" i="7"/>
  <c r="AM483" i="7"/>
  <c r="AN483" i="7"/>
  <c r="AO483" i="7"/>
  <c r="AP483" i="7"/>
  <c r="AQ483" i="7"/>
  <c r="AR483" i="7"/>
  <c r="AS483" i="7"/>
  <c r="AT483" i="7"/>
  <c r="AU483" i="7"/>
  <c r="AV483" i="7"/>
  <c r="AI484" i="7"/>
  <c r="AJ484" i="7"/>
  <c r="AK484" i="7"/>
  <c r="AL484" i="7"/>
  <c r="AM484" i="7"/>
  <c r="AN484" i="7"/>
  <c r="AO484" i="7"/>
  <c r="AP484" i="7"/>
  <c r="AQ484" i="7"/>
  <c r="AR484" i="7"/>
  <c r="AS484" i="7"/>
  <c r="AT484" i="7"/>
  <c r="AU484" i="7"/>
  <c r="AV484" i="7"/>
  <c r="AI485" i="7"/>
  <c r="AJ485" i="7"/>
  <c r="AK485" i="7"/>
  <c r="AL485" i="7"/>
  <c r="AM485" i="7"/>
  <c r="AN485" i="7"/>
  <c r="AO485" i="7"/>
  <c r="AP485" i="7"/>
  <c r="AQ485" i="7"/>
  <c r="AR485" i="7"/>
  <c r="AS485" i="7"/>
  <c r="AT485" i="7"/>
  <c r="AU485" i="7"/>
  <c r="AV485" i="7"/>
  <c r="AI486" i="7"/>
  <c r="AJ486" i="7"/>
  <c r="AK486" i="7"/>
  <c r="AL486" i="7"/>
  <c r="AM486" i="7"/>
  <c r="AN486" i="7"/>
  <c r="AO486" i="7"/>
  <c r="AP486" i="7"/>
  <c r="AQ486" i="7"/>
  <c r="AR486" i="7"/>
  <c r="AS486" i="7"/>
  <c r="AT486" i="7"/>
  <c r="AU486" i="7"/>
  <c r="AV486" i="7"/>
  <c r="AI487" i="7"/>
  <c r="AJ487" i="7"/>
  <c r="AK487" i="7"/>
  <c r="AL487" i="7"/>
  <c r="AM487" i="7"/>
  <c r="AN487" i="7"/>
  <c r="AO487" i="7"/>
  <c r="AP487" i="7"/>
  <c r="AQ487" i="7"/>
  <c r="AR487" i="7"/>
  <c r="AS487" i="7"/>
  <c r="AT487" i="7"/>
  <c r="AU487" i="7"/>
  <c r="AV487" i="7"/>
  <c r="AI488" i="7"/>
  <c r="AJ488" i="7"/>
  <c r="AK488" i="7"/>
  <c r="AL488" i="7"/>
  <c r="AM488" i="7"/>
  <c r="AN488" i="7"/>
  <c r="AO488" i="7"/>
  <c r="AP488" i="7"/>
  <c r="AQ488" i="7"/>
  <c r="AR488" i="7"/>
  <c r="AS488" i="7"/>
  <c r="AT488" i="7"/>
  <c r="AU488" i="7"/>
  <c r="AV488" i="7"/>
  <c r="AI489" i="7"/>
  <c r="AJ489" i="7"/>
  <c r="AK489" i="7"/>
  <c r="AL489" i="7"/>
  <c r="AM489" i="7"/>
  <c r="AN489" i="7"/>
  <c r="AO489" i="7"/>
  <c r="AP489" i="7"/>
  <c r="AQ489" i="7"/>
  <c r="AR489" i="7"/>
  <c r="AS489" i="7"/>
  <c r="AT489" i="7"/>
  <c r="AU489" i="7"/>
  <c r="AV489" i="7"/>
  <c r="AI490" i="7"/>
  <c r="AJ490" i="7"/>
  <c r="AK490" i="7"/>
  <c r="AL490" i="7"/>
  <c r="AM490" i="7"/>
  <c r="AN490" i="7"/>
  <c r="AO490" i="7"/>
  <c r="AP490" i="7"/>
  <c r="AQ490" i="7"/>
  <c r="AR490" i="7"/>
  <c r="AS490" i="7"/>
  <c r="AT490" i="7"/>
  <c r="AU490" i="7"/>
  <c r="AV490" i="7"/>
  <c r="AI491" i="7"/>
  <c r="AJ491" i="7"/>
  <c r="AK491" i="7"/>
  <c r="AL491" i="7"/>
  <c r="AM491" i="7"/>
  <c r="AN491" i="7"/>
  <c r="AO491" i="7"/>
  <c r="AP491" i="7"/>
  <c r="AQ491" i="7"/>
  <c r="AR491" i="7"/>
  <c r="AS491" i="7"/>
  <c r="AT491" i="7"/>
  <c r="AU491" i="7"/>
  <c r="AV491" i="7"/>
  <c r="AI492" i="7"/>
  <c r="AJ492" i="7"/>
  <c r="AK492" i="7"/>
  <c r="AL492" i="7"/>
  <c r="AM492" i="7"/>
  <c r="AN492" i="7"/>
  <c r="AO492" i="7"/>
  <c r="AP492" i="7"/>
  <c r="AQ492" i="7"/>
  <c r="AR492" i="7"/>
  <c r="AS492" i="7"/>
  <c r="AT492" i="7"/>
  <c r="AU492" i="7"/>
  <c r="AV492" i="7"/>
  <c r="AI493" i="7"/>
  <c r="AJ493" i="7"/>
  <c r="AK493" i="7"/>
  <c r="AL493" i="7"/>
  <c r="AM493" i="7"/>
  <c r="AN493" i="7"/>
  <c r="AO493" i="7"/>
  <c r="AP493" i="7"/>
  <c r="AQ493" i="7"/>
  <c r="AR493" i="7"/>
  <c r="AS493" i="7"/>
  <c r="AT493" i="7"/>
  <c r="AU493" i="7"/>
  <c r="AV493" i="7"/>
  <c r="AI494" i="7"/>
  <c r="AJ494" i="7"/>
  <c r="AK494" i="7"/>
  <c r="AL494" i="7"/>
  <c r="AM494" i="7"/>
  <c r="AN494" i="7"/>
  <c r="AO494" i="7"/>
  <c r="AP494" i="7"/>
  <c r="AQ494" i="7"/>
  <c r="AR494" i="7"/>
  <c r="AS494" i="7"/>
  <c r="AT494" i="7"/>
  <c r="AU494" i="7"/>
  <c r="AV494" i="7"/>
  <c r="AI495" i="7"/>
  <c r="AJ495" i="7"/>
  <c r="AK495" i="7"/>
  <c r="AL495" i="7"/>
  <c r="AM495" i="7"/>
  <c r="AN495" i="7"/>
  <c r="AO495" i="7"/>
  <c r="AP495" i="7"/>
  <c r="AQ495" i="7"/>
  <c r="AR495" i="7"/>
  <c r="AS495" i="7"/>
  <c r="AT495" i="7"/>
  <c r="AU495" i="7"/>
  <c r="AV495" i="7"/>
  <c r="AI496" i="7"/>
  <c r="AJ496" i="7"/>
  <c r="AK496" i="7"/>
  <c r="AL496" i="7"/>
  <c r="AM496" i="7"/>
  <c r="AN496" i="7"/>
  <c r="AO496" i="7"/>
  <c r="AP496" i="7"/>
  <c r="AQ496" i="7"/>
  <c r="AR496" i="7"/>
  <c r="AS496" i="7"/>
  <c r="AT496" i="7"/>
  <c r="AU496" i="7"/>
  <c r="AV496" i="7"/>
  <c r="AI497" i="7"/>
  <c r="AJ497" i="7"/>
  <c r="AK497" i="7"/>
  <c r="AL497" i="7"/>
  <c r="AM497" i="7"/>
  <c r="AN497" i="7"/>
  <c r="AO497" i="7"/>
  <c r="AP497" i="7"/>
  <c r="AQ497" i="7"/>
  <c r="AR497" i="7"/>
  <c r="AS497" i="7"/>
  <c r="AT497" i="7"/>
  <c r="AU497" i="7"/>
  <c r="AV497" i="7"/>
  <c r="AI498" i="7"/>
  <c r="AJ498" i="7"/>
  <c r="AK498" i="7"/>
  <c r="AL498" i="7"/>
  <c r="AM498" i="7"/>
  <c r="AN498" i="7"/>
  <c r="AO498" i="7"/>
  <c r="AP498" i="7"/>
  <c r="AQ498" i="7"/>
  <c r="AR498" i="7"/>
  <c r="AS498" i="7"/>
  <c r="AT498" i="7"/>
  <c r="AU498" i="7"/>
  <c r="AV498" i="7"/>
  <c r="AI499" i="7"/>
  <c r="AJ499" i="7"/>
  <c r="AK499" i="7"/>
  <c r="AL499" i="7"/>
  <c r="AM499" i="7"/>
  <c r="AN499" i="7"/>
  <c r="AO499" i="7"/>
  <c r="AP499" i="7"/>
  <c r="AQ499" i="7"/>
  <c r="AR499" i="7"/>
  <c r="AS499" i="7"/>
  <c r="AT499" i="7"/>
  <c r="AU499" i="7"/>
  <c r="AV499" i="7"/>
  <c r="AI500" i="7"/>
  <c r="AJ500" i="7"/>
  <c r="AK500" i="7"/>
  <c r="AL500" i="7"/>
  <c r="AM500" i="7"/>
  <c r="AN500" i="7"/>
  <c r="AO500" i="7"/>
  <c r="AP500" i="7"/>
  <c r="AQ500" i="7"/>
  <c r="AR500" i="7"/>
  <c r="AS500" i="7"/>
  <c r="AT500" i="7"/>
  <c r="AU500" i="7"/>
  <c r="AV500" i="7"/>
  <c r="AI501" i="7"/>
  <c r="AJ501" i="7"/>
  <c r="AK501" i="7"/>
  <c r="AL501" i="7"/>
  <c r="AM501" i="7"/>
  <c r="AN501" i="7"/>
  <c r="AO501" i="7"/>
  <c r="AP501" i="7"/>
  <c r="AQ501" i="7"/>
  <c r="AR501" i="7"/>
  <c r="AS501" i="7"/>
  <c r="AT501" i="7"/>
  <c r="AU501" i="7"/>
  <c r="AV501" i="7"/>
  <c r="AI502" i="7"/>
  <c r="AJ502" i="7"/>
  <c r="AK502" i="7"/>
  <c r="AL502" i="7"/>
  <c r="AM502" i="7"/>
  <c r="AN502" i="7"/>
  <c r="AO502" i="7"/>
  <c r="AP502" i="7"/>
  <c r="AQ502" i="7"/>
  <c r="AR502" i="7"/>
  <c r="AS502" i="7"/>
  <c r="AT502" i="7"/>
  <c r="AU502" i="7"/>
  <c r="AV502" i="7"/>
  <c r="AI503" i="7"/>
  <c r="AJ503" i="7"/>
  <c r="AK503" i="7"/>
  <c r="AL503" i="7"/>
  <c r="AM503" i="7"/>
  <c r="AN503" i="7"/>
  <c r="AO503" i="7"/>
  <c r="AP503" i="7"/>
  <c r="AQ503" i="7"/>
  <c r="AR503" i="7"/>
  <c r="AS503" i="7"/>
  <c r="AT503" i="7"/>
  <c r="AU503" i="7"/>
  <c r="AV503" i="7"/>
  <c r="AI504" i="7"/>
  <c r="AJ504" i="7"/>
  <c r="AK504" i="7"/>
  <c r="AL504" i="7"/>
  <c r="AM504" i="7"/>
  <c r="AN504" i="7"/>
  <c r="AO504" i="7"/>
  <c r="AP504" i="7"/>
  <c r="AQ504" i="7"/>
  <c r="AR504" i="7"/>
  <c r="AS504" i="7"/>
  <c r="AT504" i="7"/>
  <c r="AU504" i="7"/>
  <c r="AV504" i="7"/>
  <c r="AI505" i="7"/>
  <c r="AJ505" i="7"/>
  <c r="AK505" i="7"/>
  <c r="AL505" i="7"/>
  <c r="AM505" i="7"/>
  <c r="AN505" i="7"/>
  <c r="AO505" i="7"/>
  <c r="AP505" i="7"/>
  <c r="AQ505" i="7"/>
  <c r="AR505" i="7"/>
  <c r="AS505" i="7"/>
  <c r="AT505" i="7"/>
  <c r="AU505" i="7"/>
  <c r="AV505" i="7"/>
  <c r="AI506" i="7"/>
  <c r="AJ506" i="7"/>
  <c r="AK506" i="7"/>
  <c r="AL506" i="7"/>
  <c r="AM506" i="7"/>
  <c r="AN506" i="7"/>
  <c r="AO506" i="7"/>
  <c r="AP506" i="7"/>
  <c r="AQ506" i="7"/>
  <c r="AR506" i="7"/>
  <c r="AS506" i="7"/>
  <c r="AT506" i="7"/>
  <c r="AU506" i="7"/>
  <c r="AV506" i="7"/>
  <c r="AI507" i="7"/>
  <c r="AJ507" i="7"/>
  <c r="AK507" i="7"/>
  <c r="AL507" i="7"/>
  <c r="AM507" i="7"/>
  <c r="AN507" i="7"/>
  <c r="AO507" i="7"/>
  <c r="AP507" i="7"/>
  <c r="AQ507" i="7"/>
  <c r="AR507" i="7"/>
  <c r="AS507" i="7"/>
  <c r="AT507" i="7"/>
  <c r="AU507" i="7"/>
  <c r="AV507" i="7"/>
  <c r="AI508" i="7"/>
  <c r="AJ508" i="7"/>
  <c r="AK508" i="7"/>
  <c r="AL508" i="7"/>
  <c r="AM508" i="7"/>
  <c r="AN508" i="7"/>
  <c r="AO508" i="7"/>
  <c r="AP508" i="7"/>
  <c r="AQ508" i="7"/>
  <c r="AR508" i="7"/>
  <c r="AS508" i="7"/>
  <c r="AT508" i="7"/>
  <c r="AU508" i="7"/>
  <c r="AV508" i="7"/>
  <c r="AI509" i="7"/>
  <c r="AJ509" i="7"/>
  <c r="AK509" i="7"/>
  <c r="AL509" i="7"/>
  <c r="AM509" i="7"/>
  <c r="AN509" i="7"/>
  <c r="AO509" i="7"/>
  <c r="AP509" i="7"/>
  <c r="AQ509" i="7"/>
  <c r="AR509" i="7"/>
  <c r="AS509" i="7"/>
  <c r="AT509" i="7"/>
  <c r="AU509" i="7"/>
  <c r="AV509" i="7"/>
  <c r="AI510" i="7"/>
  <c r="AJ510" i="7"/>
  <c r="AK510" i="7"/>
  <c r="AL510" i="7"/>
  <c r="AM510" i="7"/>
  <c r="AN510" i="7"/>
  <c r="AO510" i="7"/>
  <c r="AP510" i="7"/>
  <c r="AQ510" i="7"/>
  <c r="AR510" i="7"/>
  <c r="AS510" i="7"/>
  <c r="AT510" i="7"/>
  <c r="AU510" i="7"/>
  <c r="AV510" i="7"/>
  <c r="AI511" i="7"/>
  <c r="AJ511" i="7"/>
  <c r="AK511" i="7"/>
  <c r="AL511" i="7"/>
  <c r="AM511" i="7"/>
  <c r="AN511" i="7"/>
  <c r="AO511" i="7"/>
  <c r="AP511" i="7"/>
  <c r="AQ511" i="7"/>
  <c r="AR511" i="7"/>
  <c r="AS511" i="7"/>
  <c r="AT511" i="7"/>
  <c r="AU511" i="7"/>
  <c r="AV511" i="7"/>
  <c r="AI512" i="7"/>
  <c r="AJ512" i="7"/>
  <c r="AK512" i="7"/>
  <c r="AL512" i="7"/>
  <c r="AM512" i="7"/>
  <c r="AN512" i="7"/>
  <c r="AO512" i="7"/>
  <c r="AP512" i="7"/>
  <c r="AQ512" i="7"/>
  <c r="AR512" i="7"/>
  <c r="AS512" i="7"/>
  <c r="AT512" i="7"/>
  <c r="AU512" i="7"/>
  <c r="AV512" i="7"/>
  <c r="V512" i="7"/>
  <c r="AI522" i="7"/>
  <c r="AJ522" i="7"/>
  <c r="AK522" i="7"/>
  <c r="AL522" i="7"/>
  <c r="AM522" i="7"/>
  <c r="AN522" i="7"/>
  <c r="AO522" i="7"/>
  <c r="AP522" i="7"/>
  <c r="AQ522" i="7"/>
  <c r="AR522" i="7"/>
  <c r="AS522" i="7"/>
  <c r="AT522" i="7"/>
  <c r="AU522" i="7"/>
  <c r="AV522" i="7"/>
  <c r="AI523" i="7"/>
  <c r="AJ523" i="7"/>
  <c r="AK523" i="7"/>
  <c r="AL523" i="7"/>
  <c r="AM523" i="7"/>
  <c r="AN523" i="7"/>
  <c r="AO523" i="7"/>
  <c r="AP523" i="7"/>
  <c r="AQ523" i="7"/>
  <c r="AR523" i="7"/>
  <c r="AS523" i="7"/>
  <c r="AT523" i="7"/>
  <c r="AU523" i="7"/>
  <c r="AV523" i="7"/>
  <c r="AI524" i="7"/>
  <c r="AJ524" i="7"/>
  <c r="AK524" i="7"/>
  <c r="AL524" i="7"/>
  <c r="AM524" i="7"/>
  <c r="AN524" i="7"/>
  <c r="AO524" i="7"/>
  <c r="AP524" i="7"/>
  <c r="AQ524" i="7"/>
  <c r="AR524" i="7"/>
  <c r="AS524" i="7"/>
  <c r="AT524" i="7"/>
  <c r="AU524" i="7"/>
  <c r="AV524" i="7"/>
  <c r="AI525" i="7"/>
  <c r="AJ525" i="7"/>
  <c r="AK525" i="7"/>
  <c r="AL525" i="7"/>
  <c r="AM525" i="7"/>
  <c r="AN525" i="7"/>
  <c r="AO525" i="7"/>
  <c r="AP525" i="7"/>
  <c r="AQ525" i="7"/>
  <c r="AR525" i="7"/>
  <c r="AS525" i="7"/>
  <c r="AT525" i="7"/>
  <c r="AU525" i="7"/>
  <c r="AV525" i="7"/>
  <c r="AI526" i="7"/>
  <c r="AJ526" i="7"/>
  <c r="AK526" i="7"/>
  <c r="AL526" i="7"/>
  <c r="AM526" i="7"/>
  <c r="AN526" i="7"/>
  <c r="AO526" i="7"/>
  <c r="AP526" i="7"/>
  <c r="AQ526" i="7"/>
  <c r="AR526" i="7"/>
  <c r="AS526" i="7"/>
  <c r="AT526" i="7"/>
  <c r="AU526" i="7"/>
  <c r="AV526" i="7"/>
  <c r="AI527" i="7"/>
  <c r="AJ527" i="7"/>
  <c r="AK527" i="7"/>
  <c r="AL527" i="7"/>
  <c r="AM527" i="7"/>
  <c r="AN527" i="7"/>
  <c r="AO527" i="7"/>
  <c r="AP527" i="7"/>
  <c r="AQ527" i="7"/>
  <c r="AR527" i="7"/>
  <c r="AS527" i="7"/>
  <c r="AT527" i="7"/>
  <c r="AU527" i="7"/>
  <c r="AV527" i="7"/>
  <c r="AI528" i="7"/>
  <c r="AJ528" i="7"/>
  <c r="AK528" i="7"/>
  <c r="AL528" i="7"/>
  <c r="AM528" i="7"/>
  <c r="AN528" i="7"/>
  <c r="AO528" i="7"/>
  <c r="AP528" i="7"/>
  <c r="AQ528" i="7"/>
  <c r="AR528" i="7"/>
  <c r="AS528" i="7"/>
  <c r="AT528" i="7"/>
  <c r="AU528" i="7"/>
  <c r="AV528" i="7"/>
  <c r="AI529" i="7"/>
  <c r="AJ529" i="7"/>
  <c r="AK529" i="7"/>
  <c r="AL529" i="7"/>
  <c r="AM529" i="7"/>
  <c r="AN529" i="7"/>
  <c r="AO529" i="7"/>
  <c r="AP529" i="7"/>
  <c r="AQ529" i="7"/>
  <c r="AR529" i="7"/>
  <c r="AS529" i="7"/>
  <c r="AT529" i="7"/>
  <c r="AU529" i="7"/>
  <c r="AV529" i="7"/>
  <c r="AI530" i="7"/>
  <c r="AJ530" i="7"/>
  <c r="AK530" i="7"/>
  <c r="AL530" i="7"/>
  <c r="AM530" i="7"/>
  <c r="AN530" i="7"/>
  <c r="AO530" i="7"/>
  <c r="AP530" i="7"/>
  <c r="AQ530" i="7"/>
  <c r="AR530" i="7"/>
  <c r="AS530" i="7"/>
  <c r="AT530" i="7"/>
  <c r="AU530" i="7"/>
  <c r="AV530" i="7"/>
  <c r="AI531" i="7"/>
  <c r="AJ531" i="7"/>
  <c r="AK531" i="7"/>
  <c r="AL531" i="7"/>
  <c r="AM531" i="7"/>
  <c r="AN531" i="7"/>
  <c r="AO531" i="7"/>
  <c r="AP531" i="7"/>
  <c r="AQ531" i="7"/>
  <c r="AR531" i="7"/>
  <c r="AS531" i="7"/>
  <c r="AT531" i="7"/>
  <c r="AU531" i="7"/>
  <c r="AV531" i="7"/>
  <c r="AI532" i="7"/>
  <c r="AJ532" i="7"/>
  <c r="AK532" i="7"/>
  <c r="AL532" i="7"/>
  <c r="AM532" i="7"/>
  <c r="AN532" i="7"/>
  <c r="AO532" i="7"/>
  <c r="AP532" i="7"/>
  <c r="AQ532" i="7"/>
  <c r="AR532" i="7"/>
  <c r="AS532" i="7"/>
  <c r="AT532" i="7"/>
  <c r="AU532" i="7"/>
  <c r="AV532" i="7"/>
  <c r="AI533" i="7"/>
  <c r="AJ533" i="7"/>
  <c r="AK533" i="7"/>
  <c r="AL533" i="7"/>
  <c r="AM533" i="7"/>
  <c r="AN533" i="7"/>
  <c r="AO533" i="7"/>
  <c r="AP533" i="7"/>
  <c r="AQ533" i="7"/>
  <c r="AR533" i="7"/>
  <c r="AS533" i="7"/>
  <c r="AT533" i="7"/>
  <c r="AU533" i="7"/>
  <c r="AV533" i="7"/>
  <c r="AI534" i="7"/>
  <c r="AJ534" i="7"/>
  <c r="AK534" i="7"/>
  <c r="AL534" i="7"/>
  <c r="AM534" i="7"/>
  <c r="AN534" i="7"/>
  <c r="AO534" i="7"/>
  <c r="AP534" i="7"/>
  <c r="AQ534" i="7"/>
  <c r="AR534" i="7"/>
  <c r="AS534" i="7"/>
  <c r="AT534" i="7"/>
  <c r="AU534" i="7"/>
  <c r="AV534" i="7"/>
  <c r="AI535" i="7"/>
  <c r="AJ535" i="7"/>
  <c r="AK535" i="7"/>
  <c r="AL535" i="7"/>
  <c r="AM535" i="7"/>
  <c r="AN535" i="7"/>
  <c r="AO535" i="7"/>
  <c r="AP535" i="7"/>
  <c r="AQ535" i="7"/>
  <c r="AR535" i="7"/>
  <c r="AS535" i="7"/>
  <c r="AT535" i="7"/>
  <c r="AU535" i="7"/>
  <c r="AV535" i="7"/>
  <c r="AI536" i="7"/>
  <c r="AJ536" i="7"/>
  <c r="AK536" i="7"/>
  <c r="AL536" i="7"/>
  <c r="AM536" i="7"/>
  <c r="AN536" i="7"/>
  <c r="AO536" i="7"/>
  <c r="AP536" i="7"/>
  <c r="AQ536" i="7"/>
  <c r="AR536" i="7"/>
  <c r="AS536" i="7"/>
  <c r="AT536" i="7"/>
  <c r="AU536" i="7"/>
  <c r="AV536" i="7"/>
  <c r="AI537" i="7"/>
  <c r="AJ537" i="7"/>
  <c r="AK537" i="7"/>
  <c r="AL537" i="7"/>
  <c r="AM537" i="7"/>
  <c r="AN537" i="7"/>
  <c r="AO537" i="7"/>
  <c r="AP537" i="7"/>
  <c r="AQ537" i="7"/>
  <c r="AR537" i="7"/>
  <c r="AS537" i="7"/>
  <c r="AT537" i="7"/>
  <c r="AU537" i="7"/>
  <c r="AV537" i="7"/>
  <c r="AI538" i="7"/>
  <c r="AJ538" i="7"/>
  <c r="AK538" i="7"/>
  <c r="AL538" i="7"/>
  <c r="AM538" i="7"/>
  <c r="AN538" i="7"/>
  <c r="AO538" i="7"/>
  <c r="AP538" i="7"/>
  <c r="AQ538" i="7"/>
  <c r="AR538" i="7"/>
  <c r="AS538" i="7"/>
  <c r="AT538" i="7"/>
  <c r="AU538" i="7"/>
  <c r="AV538" i="7"/>
  <c r="AI539" i="7"/>
  <c r="AJ539" i="7"/>
  <c r="AK539" i="7"/>
  <c r="AL539" i="7"/>
  <c r="AM539" i="7"/>
  <c r="AN539" i="7"/>
  <c r="AO539" i="7"/>
  <c r="AP539" i="7"/>
  <c r="AQ539" i="7"/>
  <c r="AR539" i="7"/>
  <c r="AS539" i="7"/>
  <c r="AT539" i="7"/>
  <c r="AU539" i="7"/>
  <c r="AV539" i="7"/>
  <c r="AI540" i="7"/>
  <c r="AJ540" i="7"/>
  <c r="AK540" i="7"/>
  <c r="AL540" i="7"/>
  <c r="AM540" i="7"/>
  <c r="AN540" i="7"/>
  <c r="AO540" i="7"/>
  <c r="AP540" i="7"/>
  <c r="AQ540" i="7"/>
  <c r="AR540" i="7"/>
  <c r="AS540" i="7"/>
  <c r="AT540" i="7"/>
  <c r="AU540" i="7"/>
  <c r="AV540" i="7"/>
  <c r="AI541" i="7"/>
  <c r="AJ541" i="7"/>
  <c r="AK541" i="7"/>
  <c r="AL541" i="7"/>
  <c r="AM541" i="7"/>
  <c r="AN541" i="7"/>
  <c r="AO541" i="7"/>
  <c r="AP541" i="7"/>
  <c r="AQ541" i="7"/>
  <c r="AR541" i="7"/>
  <c r="AS541" i="7"/>
  <c r="AT541" i="7"/>
  <c r="AU541" i="7"/>
  <c r="AV541" i="7"/>
  <c r="AI542" i="7"/>
  <c r="AJ542" i="7"/>
  <c r="AK542" i="7"/>
  <c r="AL542" i="7"/>
  <c r="AM542" i="7"/>
  <c r="AN542" i="7"/>
  <c r="AO542" i="7"/>
  <c r="AP542" i="7"/>
  <c r="AQ542" i="7"/>
  <c r="AR542" i="7"/>
  <c r="AS542" i="7"/>
  <c r="AT542" i="7"/>
  <c r="AU542" i="7"/>
  <c r="AV542" i="7"/>
  <c r="AI543" i="7"/>
  <c r="AJ543" i="7"/>
  <c r="AK543" i="7"/>
  <c r="AL543" i="7"/>
  <c r="AM543" i="7"/>
  <c r="AN543" i="7"/>
  <c r="AO543" i="7"/>
  <c r="AP543" i="7"/>
  <c r="AQ543" i="7"/>
  <c r="AR543" i="7"/>
  <c r="AS543" i="7"/>
  <c r="AT543" i="7"/>
  <c r="AU543" i="7"/>
  <c r="AV543" i="7"/>
  <c r="AI544" i="7"/>
  <c r="AJ544" i="7"/>
  <c r="AK544" i="7"/>
  <c r="AL544" i="7"/>
  <c r="AM544" i="7"/>
  <c r="AN544" i="7"/>
  <c r="AO544" i="7"/>
  <c r="AP544" i="7"/>
  <c r="AQ544" i="7"/>
  <c r="AR544" i="7"/>
  <c r="AS544" i="7"/>
  <c r="AT544" i="7"/>
  <c r="AU544" i="7"/>
  <c r="AV544" i="7"/>
  <c r="AI545" i="7"/>
  <c r="AJ545" i="7"/>
  <c r="AK545" i="7"/>
  <c r="AL545" i="7"/>
  <c r="AM545" i="7"/>
  <c r="AN545" i="7"/>
  <c r="AO545" i="7"/>
  <c r="AP545" i="7"/>
  <c r="AQ545" i="7"/>
  <c r="AR545" i="7"/>
  <c r="AS545" i="7"/>
  <c r="AT545" i="7"/>
  <c r="AU545" i="7"/>
  <c r="AV545" i="7"/>
  <c r="AI546" i="7"/>
  <c r="AJ546" i="7"/>
  <c r="AK546" i="7"/>
  <c r="AL546" i="7"/>
  <c r="AM546" i="7"/>
  <c r="AN546" i="7"/>
  <c r="AO546" i="7"/>
  <c r="AP546" i="7"/>
  <c r="AQ546" i="7"/>
  <c r="AR546" i="7"/>
  <c r="AS546" i="7"/>
  <c r="AT546" i="7"/>
  <c r="AU546" i="7"/>
  <c r="AV546" i="7"/>
  <c r="AI547" i="7"/>
  <c r="AJ547" i="7"/>
  <c r="AK547" i="7"/>
  <c r="AL547" i="7"/>
  <c r="AM547" i="7"/>
  <c r="AN547" i="7"/>
  <c r="AO547" i="7"/>
  <c r="AP547" i="7"/>
  <c r="AQ547" i="7"/>
  <c r="AR547" i="7"/>
  <c r="AS547" i="7"/>
  <c r="AT547" i="7"/>
  <c r="AU547" i="7"/>
  <c r="AV547" i="7"/>
  <c r="AI548" i="7"/>
  <c r="AJ548" i="7"/>
  <c r="AK548" i="7"/>
  <c r="AL548" i="7"/>
  <c r="AM548" i="7"/>
  <c r="AN548" i="7"/>
  <c r="AO548" i="7"/>
  <c r="AP548" i="7"/>
  <c r="AQ548" i="7"/>
  <c r="AR548" i="7"/>
  <c r="AS548" i="7"/>
  <c r="AT548" i="7"/>
  <c r="AU548" i="7"/>
  <c r="AV548" i="7"/>
  <c r="AI549" i="7"/>
  <c r="AJ549" i="7"/>
  <c r="AK549" i="7"/>
  <c r="AL549" i="7"/>
  <c r="AM549" i="7"/>
  <c r="AN549" i="7"/>
  <c r="AO549" i="7"/>
  <c r="AP549" i="7"/>
  <c r="AQ549" i="7"/>
  <c r="AR549" i="7"/>
  <c r="AS549" i="7"/>
  <c r="AT549" i="7"/>
  <c r="AU549" i="7"/>
  <c r="AV549" i="7"/>
  <c r="AI550" i="7"/>
  <c r="AJ550" i="7"/>
  <c r="AK550" i="7"/>
  <c r="AL550" i="7"/>
  <c r="AM550" i="7"/>
  <c r="AN550" i="7"/>
  <c r="AO550" i="7"/>
  <c r="AP550" i="7"/>
  <c r="AQ550" i="7"/>
  <c r="AR550" i="7"/>
  <c r="AS550" i="7"/>
  <c r="AT550" i="7"/>
  <c r="AU550" i="7"/>
  <c r="AV550" i="7"/>
  <c r="AI551" i="7"/>
  <c r="AJ551" i="7"/>
  <c r="AK551" i="7"/>
  <c r="AL551" i="7"/>
  <c r="AM551" i="7"/>
  <c r="AN551" i="7"/>
  <c r="AO551" i="7"/>
  <c r="AP551" i="7"/>
  <c r="AQ551" i="7"/>
  <c r="AR551" i="7"/>
  <c r="AS551" i="7"/>
  <c r="AT551" i="7"/>
  <c r="AU551" i="7"/>
  <c r="AV551" i="7"/>
  <c r="AI552" i="7"/>
  <c r="AJ552" i="7"/>
  <c r="AK552" i="7"/>
  <c r="AL552" i="7"/>
  <c r="AM552" i="7"/>
  <c r="AN552" i="7"/>
  <c r="AO552" i="7"/>
  <c r="AP552" i="7"/>
  <c r="AQ552" i="7"/>
  <c r="AR552" i="7"/>
  <c r="AS552" i="7"/>
  <c r="AT552" i="7"/>
  <c r="AU552" i="7"/>
  <c r="AV552" i="7"/>
  <c r="AI553" i="7"/>
  <c r="AJ553" i="7"/>
  <c r="AK553" i="7"/>
  <c r="AL553" i="7"/>
  <c r="AM553" i="7"/>
  <c r="AN553" i="7"/>
  <c r="AO553" i="7"/>
  <c r="AP553" i="7"/>
  <c r="AQ553" i="7"/>
  <c r="AR553" i="7"/>
  <c r="AS553" i="7"/>
  <c r="AT553" i="7"/>
  <c r="AU553" i="7"/>
  <c r="AV553" i="7"/>
  <c r="AI554" i="7"/>
  <c r="AJ554" i="7"/>
  <c r="AK554" i="7"/>
  <c r="AL554" i="7"/>
  <c r="AM554" i="7"/>
  <c r="AN554" i="7"/>
  <c r="AO554" i="7"/>
  <c r="AP554" i="7"/>
  <c r="AQ554" i="7"/>
  <c r="AR554" i="7"/>
  <c r="AS554" i="7"/>
  <c r="AT554" i="7"/>
  <c r="AU554" i="7"/>
  <c r="AV554" i="7"/>
  <c r="AI555" i="7"/>
  <c r="AJ555" i="7"/>
  <c r="AK555" i="7"/>
  <c r="AL555" i="7"/>
  <c r="AM555" i="7"/>
  <c r="AN555" i="7"/>
  <c r="AO555" i="7"/>
  <c r="AP555" i="7"/>
  <c r="AQ555" i="7"/>
  <c r="AR555" i="7"/>
  <c r="AS555" i="7"/>
  <c r="AT555" i="7"/>
  <c r="AU555" i="7"/>
  <c r="AV555" i="7"/>
  <c r="AI556" i="7"/>
  <c r="AJ556" i="7"/>
  <c r="AK556" i="7"/>
  <c r="AL556" i="7"/>
  <c r="AM556" i="7"/>
  <c r="AN556" i="7"/>
  <c r="AO556" i="7"/>
  <c r="AP556" i="7"/>
  <c r="AQ556" i="7"/>
  <c r="AR556" i="7"/>
  <c r="AS556" i="7"/>
  <c r="AT556" i="7"/>
  <c r="AU556" i="7"/>
  <c r="AV556" i="7"/>
  <c r="AI557" i="7"/>
  <c r="AJ557" i="7"/>
  <c r="AK557" i="7"/>
  <c r="AL557" i="7"/>
  <c r="AM557" i="7"/>
  <c r="AN557" i="7"/>
  <c r="AO557" i="7"/>
  <c r="AP557" i="7"/>
  <c r="AQ557" i="7"/>
  <c r="AR557" i="7"/>
  <c r="AS557" i="7"/>
  <c r="AT557" i="7"/>
  <c r="AU557" i="7"/>
  <c r="AV557" i="7"/>
  <c r="AI558" i="7"/>
  <c r="AJ558" i="7"/>
  <c r="AK558" i="7"/>
  <c r="AL558" i="7"/>
  <c r="AM558" i="7"/>
  <c r="AN558" i="7"/>
  <c r="AO558" i="7"/>
  <c r="AP558" i="7"/>
  <c r="AQ558" i="7"/>
  <c r="AR558" i="7"/>
  <c r="AS558" i="7"/>
  <c r="AT558" i="7"/>
  <c r="AU558" i="7"/>
  <c r="AV558" i="7"/>
  <c r="AI559" i="7"/>
  <c r="AJ559" i="7"/>
  <c r="AK559" i="7"/>
  <c r="AL559" i="7"/>
  <c r="AM559" i="7"/>
  <c r="AN559" i="7"/>
  <c r="AO559" i="7"/>
  <c r="AP559" i="7"/>
  <c r="AQ559" i="7"/>
  <c r="AR559" i="7"/>
  <c r="AS559" i="7"/>
  <c r="AT559" i="7"/>
  <c r="AU559" i="7"/>
  <c r="AV559" i="7"/>
  <c r="AI560" i="7"/>
  <c r="AJ560" i="7"/>
  <c r="AK560" i="7"/>
  <c r="AL560" i="7"/>
  <c r="AM560" i="7"/>
  <c r="AN560" i="7"/>
  <c r="AO560" i="7"/>
  <c r="AP560" i="7"/>
  <c r="AQ560" i="7"/>
  <c r="AR560" i="7"/>
  <c r="AS560" i="7"/>
  <c r="AT560" i="7"/>
  <c r="AU560" i="7"/>
  <c r="AV560" i="7"/>
  <c r="AI561" i="7"/>
  <c r="AJ561" i="7"/>
  <c r="AK561" i="7"/>
  <c r="AL561" i="7"/>
  <c r="AM561" i="7"/>
  <c r="AN561" i="7"/>
  <c r="AO561" i="7"/>
  <c r="AP561" i="7"/>
  <c r="AQ561" i="7"/>
  <c r="AR561" i="7"/>
  <c r="AS561" i="7"/>
  <c r="AT561" i="7"/>
  <c r="AU561" i="7"/>
  <c r="AV561" i="7"/>
  <c r="AI562" i="7"/>
  <c r="AJ562" i="7"/>
  <c r="AK562" i="7"/>
  <c r="AL562" i="7"/>
  <c r="AM562" i="7"/>
  <c r="AN562" i="7"/>
  <c r="AO562" i="7"/>
  <c r="AP562" i="7"/>
  <c r="AQ562" i="7"/>
  <c r="AR562" i="7"/>
  <c r="AS562" i="7"/>
  <c r="AT562" i="7"/>
  <c r="AU562" i="7"/>
  <c r="AV562" i="7"/>
  <c r="AI563" i="7"/>
  <c r="AJ563" i="7"/>
  <c r="AK563" i="7"/>
  <c r="AL563" i="7"/>
  <c r="AM563" i="7"/>
  <c r="AN563" i="7"/>
  <c r="AO563" i="7"/>
  <c r="AP563" i="7"/>
  <c r="AQ563" i="7"/>
  <c r="AR563" i="7"/>
  <c r="AS563" i="7"/>
  <c r="AT563" i="7"/>
  <c r="AU563" i="7"/>
  <c r="AV563" i="7"/>
  <c r="AI564" i="7"/>
  <c r="AJ564" i="7"/>
  <c r="AK564" i="7"/>
  <c r="AL564" i="7"/>
  <c r="AM564" i="7"/>
  <c r="AN564" i="7"/>
  <c r="AO564" i="7"/>
  <c r="AP564" i="7"/>
  <c r="AQ564" i="7"/>
  <c r="AR564" i="7"/>
  <c r="AS564" i="7"/>
  <c r="AT564" i="7"/>
  <c r="AU564" i="7"/>
  <c r="AV564" i="7"/>
  <c r="AI565" i="7"/>
  <c r="AJ565" i="7"/>
  <c r="AK565" i="7"/>
  <c r="AL565" i="7"/>
  <c r="AM565" i="7"/>
  <c r="AN565" i="7"/>
  <c r="AO565" i="7"/>
  <c r="AP565" i="7"/>
  <c r="AQ565" i="7"/>
  <c r="AR565" i="7"/>
  <c r="AS565" i="7"/>
  <c r="AT565" i="7"/>
  <c r="AU565" i="7"/>
  <c r="AV565" i="7"/>
  <c r="AI566" i="7"/>
  <c r="AJ566" i="7"/>
  <c r="AK566" i="7"/>
  <c r="AL566" i="7"/>
  <c r="AM566" i="7"/>
  <c r="AN566" i="7"/>
  <c r="AO566" i="7"/>
  <c r="AP566" i="7"/>
  <c r="AQ566" i="7"/>
  <c r="AR566" i="7"/>
  <c r="AS566" i="7"/>
  <c r="AT566" i="7"/>
  <c r="AU566" i="7"/>
  <c r="AV566" i="7"/>
  <c r="AI567" i="7"/>
  <c r="AJ567" i="7"/>
  <c r="AK567" i="7"/>
  <c r="AL567" i="7"/>
  <c r="AM567" i="7"/>
  <c r="AN567" i="7"/>
  <c r="AO567" i="7"/>
  <c r="AP567" i="7"/>
  <c r="AQ567" i="7"/>
  <c r="AR567" i="7"/>
  <c r="AS567" i="7"/>
  <c r="AT567" i="7"/>
  <c r="AU567" i="7"/>
  <c r="AV567" i="7"/>
  <c r="AI568" i="7"/>
  <c r="AJ568" i="7"/>
  <c r="AK568" i="7"/>
  <c r="AL568" i="7"/>
  <c r="AM568" i="7"/>
  <c r="AN568" i="7"/>
  <c r="AO568" i="7"/>
  <c r="AP568" i="7"/>
  <c r="AQ568" i="7"/>
  <c r="AR568" i="7"/>
  <c r="AS568" i="7"/>
  <c r="AT568" i="7"/>
  <c r="AU568" i="7"/>
  <c r="AV568" i="7"/>
  <c r="AI569" i="7"/>
  <c r="AJ569" i="7"/>
  <c r="AK569" i="7"/>
  <c r="AL569" i="7"/>
  <c r="AM569" i="7"/>
  <c r="AN569" i="7"/>
  <c r="AO569" i="7"/>
  <c r="AP569" i="7"/>
  <c r="AQ569" i="7"/>
  <c r="AR569" i="7"/>
  <c r="AS569" i="7"/>
  <c r="AT569" i="7"/>
  <c r="AU569" i="7"/>
  <c r="AV569" i="7"/>
  <c r="V569" i="7"/>
  <c r="AI579" i="7"/>
  <c r="AJ579" i="7"/>
  <c r="AK579" i="7"/>
  <c r="AL579" i="7"/>
  <c r="AM579" i="7"/>
  <c r="AN579" i="7"/>
  <c r="AO579" i="7"/>
  <c r="AP579" i="7"/>
  <c r="AQ579" i="7"/>
  <c r="AR579" i="7"/>
  <c r="AS579" i="7"/>
  <c r="AT579" i="7"/>
  <c r="AU579" i="7"/>
  <c r="AV579" i="7"/>
  <c r="AI580" i="7"/>
  <c r="AJ580" i="7"/>
  <c r="AK580" i="7"/>
  <c r="AL580" i="7"/>
  <c r="AM580" i="7"/>
  <c r="AN580" i="7"/>
  <c r="AO580" i="7"/>
  <c r="AP580" i="7"/>
  <c r="AQ580" i="7"/>
  <c r="AR580" i="7"/>
  <c r="AS580" i="7"/>
  <c r="AT580" i="7"/>
  <c r="AU580" i="7"/>
  <c r="AV580" i="7"/>
  <c r="AI581" i="7"/>
  <c r="AJ581" i="7"/>
  <c r="AK581" i="7"/>
  <c r="AL581" i="7"/>
  <c r="AM581" i="7"/>
  <c r="AN581" i="7"/>
  <c r="AO581" i="7"/>
  <c r="AP581" i="7"/>
  <c r="AQ581" i="7"/>
  <c r="AR581" i="7"/>
  <c r="AS581" i="7"/>
  <c r="AT581" i="7"/>
  <c r="AU581" i="7"/>
  <c r="AV581" i="7"/>
  <c r="AI582" i="7"/>
  <c r="AJ582" i="7"/>
  <c r="AK582" i="7"/>
  <c r="AL582" i="7"/>
  <c r="AM582" i="7"/>
  <c r="AN582" i="7"/>
  <c r="AO582" i="7"/>
  <c r="AP582" i="7"/>
  <c r="AQ582" i="7"/>
  <c r="AR582" i="7"/>
  <c r="AS582" i="7"/>
  <c r="AT582" i="7"/>
  <c r="AU582" i="7"/>
  <c r="AV582" i="7"/>
  <c r="AI583" i="7"/>
  <c r="AJ583" i="7"/>
  <c r="AK583" i="7"/>
  <c r="AL583" i="7"/>
  <c r="AM583" i="7"/>
  <c r="AN583" i="7"/>
  <c r="AO583" i="7"/>
  <c r="AP583" i="7"/>
  <c r="AQ583" i="7"/>
  <c r="AR583" i="7"/>
  <c r="AS583" i="7"/>
  <c r="AT583" i="7"/>
  <c r="AU583" i="7"/>
  <c r="AV583" i="7"/>
  <c r="AI584" i="7"/>
  <c r="AJ584" i="7"/>
  <c r="AK584" i="7"/>
  <c r="AL584" i="7"/>
  <c r="AM584" i="7"/>
  <c r="AN584" i="7"/>
  <c r="AO584" i="7"/>
  <c r="AP584" i="7"/>
  <c r="AQ584" i="7"/>
  <c r="AR584" i="7"/>
  <c r="AS584" i="7"/>
  <c r="AT584" i="7"/>
  <c r="AU584" i="7"/>
  <c r="AV584" i="7"/>
  <c r="AI585" i="7"/>
  <c r="AJ585" i="7"/>
  <c r="AK585" i="7"/>
  <c r="AL585" i="7"/>
  <c r="AM585" i="7"/>
  <c r="AN585" i="7"/>
  <c r="AO585" i="7"/>
  <c r="AP585" i="7"/>
  <c r="AQ585" i="7"/>
  <c r="AR585" i="7"/>
  <c r="AS585" i="7"/>
  <c r="AT585" i="7"/>
  <c r="AU585" i="7"/>
  <c r="AV585" i="7"/>
  <c r="AI586" i="7"/>
  <c r="AJ586" i="7"/>
  <c r="AK586" i="7"/>
  <c r="AL586" i="7"/>
  <c r="AM586" i="7"/>
  <c r="AN586" i="7"/>
  <c r="AO586" i="7"/>
  <c r="AP586" i="7"/>
  <c r="AQ586" i="7"/>
  <c r="AR586" i="7"/>
  <c r="AS586" i="7"/>
  <c r="AT586" i="7"/>
  <c r="AU586" i="7"/>
  <c r="AV586" i="7"/>
  <c r="AI587" i="7"/>
  <c r="AJ587" i="7"/>
  <c r="AK587" i="7"/>
  <c r="AL587" i="7"/>
  <c r="AM587" i="7"/>
  <c r="AN587" i="7"/>
  <c r="AO587" i="7"/>
  <c r="AP587" i="7"/>
  <c r="AQ587" i="7"/>
  <c r="AR587" i="7"/>
  <c r="AS587" i="7"/>
  <c r="AT587" i="7"/>
  <c r="AU587" i="7"/>
  <c r="AV587" i="7"/>
  <c r="AI588" i="7"/>
  <c r="AJ588" i="7"/>
  <c r="AK588" i="7"/>
  <c r="AL588" i="7"/>
  <c r="AM588" i="7"/>
  <c r="AN588" i="7"/>
  <c r="AO588" i="7"/>
  <c r="AP588" i="7"/>
  <c r="AQ588" i="7"/>
  <c r="AR588" i="7"/>
  <c r="AS588" i="7"/>
  <c r="AT588" i="7"/>
  <c r="AU588" i="7"/>
  <c r="AV588" i="7"/>
  <c r="AI589" i="7"/>
  <c r="AJ589" i="7"/>
  <c r="AK589" i="7"/>
  <c r="AL589" i="7"/>
  <c r="AM589" i="7"/>
  <c r="AN589" i="7"/>
  <c r="AO589" i="7"/>
  <c r="AP589" i="7"/>
  <c r="AQ589" i="7"/>
  <c r="AR589" i="7"/>
  <c r="AS589" i="7"/>
  <c r="AT589" i="7"/>
  <c r="AU589" i="7"/>
  <c r="AV589" i="7"/>
  <c r="AI590" i="7"/>
  <c r="AJ590" i="7"/>
  <c r="AK590" i="7"/>
  <c r="AL590" i="7"/>
  <c r="AM590" i="7"/>
  <c r="AN590" i="7"/>
  <c r="AO590" i="7"/>
  <c r="AP590" i="7"/>
  <c r="AQ590" i="7"/>
  <c r="AR590" i="7"/>
  <c r="AS590" i="7"/>
  <c r="AT590" i="7"/>
  <c r="AU590" i="7"/>
  <c r="AV590" i="7"/>
  <c r="AI591" i="7"/>
  <c r="AJ591" i="7"/>
  <c r="AK591" i="7"/>
  <c r="AL591" i="7"/>
  <c r="AM591" i="7"/>
  <c r="AN591" i="7"/>
  <c r="AO591" i="7"/>
  <c r="AP591" i="7"/>
  <c r="AQ591" i="7"/>
  <c r="AR591" i="7"/>
  <c r="AS591" i="7"/>
  <c r="AT591" i="7"/>
  <c r="AU591" i="7"/>
  <c r="AV591" i="7"/>
  <c r="AI592" i="7"/>
  <c r="AJ592" i="7"/>
  <c r="AK592" i="7"/>
  <c r="AL592" i="7"/>
  <c r="AM592" i="7"/>
  <c r="AN592" i="7"/>
  <c r="AO592" i="7"/>
  <c r="AP592" i="7"/>
  <c r="AQ592" i="7"/>
  <c r="AR592" i="7"/>
  <c r="AS592" i="7"/>
  <c r="AT592" i="7"/>
  <c r="AU592" i="7"/>
  <c r="AV592" i="7"/>
  <c r="AI593" i="7"/>
  <c r="AJ593" i="7"/>
  <c r="AK593" i="7"/>
  <c r="AL593" i="7"/>
  <c r="AM593" i="7"/>
  <c r="AN593" i="7"/>
  <c r="AO593" i="7"/>
  <c r="AP593" i="7"/>
  <c r="AQ593" i="7"/>
  <c r="AR593" i="7"/>
  <c r="AS593" i="7"/>
  <c r="AT593" i="7"/>
  <c r="AU593" i="7"/>
  <c r="AV593" i="7"/>
  <c r="AI594" i="7"/>
  <c r="AJ594" i="7"/>
  <c r="AK594" i="7"/>
  <c r="AL594" i="7"/>
  <c r="AM594" i="7"/>
  <c r="AN594" i="7"/>
  <c r="AO594" i="7"/>
  <c r="AP594" i="7"/>
  <c r="AQ594" i="7"/>
  <c r="AR594" i="7"/>
  <c r="AS594" i="7"/>
  <c r="AT594" i="7"/>
  <c r="AU594" i="7"/>
  <c r="AV594" i="7"/>
  <c r="AI595" i="7"/>
  <c r="AJ595" i="7"/>
  <c r="AK595" i="7"/>
  <c r="AL595" i="7"/>
  <c r="AM595" i="7"/>
  <c r="AN595" i="7"/>
  <c r="AO595" i="7"/>
  <c r="AP595" i="7"/>
  <c r="AQ595" i="7"/>
  <c r="AR595" i="7"/>
  <c r="AS595" i="7"/>
  <c r="AT595" i="7"/>
  <c r="AU595" i="7"/>
  <c r="AV595" i="7"/>
  <c r="AI596" i="7"/>
  <c r="AJ596" i="7"/>
  <c r="AK596" i="7"/>
  <c r="AL596" i="7"/>
  <c r="AM596" i="7"/>
  <c r="AN596" i="7"/>
  <c r="AO596" i="7"/>
  <c r="AP596" i="7"/>
  <c r="AQ596" i="7"/>
  <c r="AR596" i="7"/>
  <c r="AS596" i="7"/>
  <c r="AT596" i="7"/>
  <c r="AU596" i="7"/>
  <c r="AV596" i="7"/>
  <c r="AI597" i="7"/>
  <c r="AJ597" i="7"/>
  <c r="AK597" i="7"/>
  <c r="AL597" i="7"/>
  <c r="AM597" i="7"/>
  <c r="AN597" i="7"/>
  <c r="AO597" i="7"/>
  <c r="AP597" i="7"/>
  <c r="AQ597" i="7"/>
  <c r="AR597" i="7"/>
  <c r="AS597" i="7"/>
  <c r="AT597" i="7"/>
  <c r="AU597" i="7"/>
  <c r="AV597" i="7"/>
  <c r="AI598" i="7"/>
  <c r="AJ598" i="7"/>
  <c r="AK598" i="7"/>
  <c r="AL598" i="7"/>
  <c r="AM598" i="7"/>
  <c r="AN598" i="7"/>
  <c r="AO598" i="7"/>
  <c r="AP598" i="7"/>
  <c r="AQ598" i="7"/>
  <c r="AR598" i="7"/>
  <c r="AS598" i="7"/>
  <c r="AT598" i="7"/>
  <c r="AU598" i="7"/>
  <c r="AV598" i="7"/>
  <c r="AI599" i="7"/>
  <c r="AJ599" i="7"/>
  <c r="AK599" i="7"/>
  <c r="AL599" i="7"/>
  <c r="AM599" i="7"/>
  <c r="AN599" i="7"/>
  <c r="AO599" i="7"/>
  <c r="AP599" i="7"/>
  <c r="AQ599" i="7"/>
  <c r="AR599" i="7"/>
  <c r="AS599" i="7"/>
  <c r="AT599" i="7"/>
  <c r="AU599" i="7"/>
  <c r="AV599" i="7"/>
  <c r="AI600" i="7"/>
  <c r="AJ600" i="7"/>
  <c r="AK600" i="7"/>
  <c r="AL600" i="7"/>
  <c r="AM600" i="7"/>
  <c r="AN600" i="7"/>
  <c r="AO600" i="7"/>
  <c r="AP600" i="7"/>
  <c r="AQ600" i="7"/>
  <c r="AR600" i="7"/>
  <c r="AS600" i="7"/>
  <c r="AT600" i="7"/>
  <c r="AU600" i="7"/>
  <c r="AV600" i="7"/>
  <c r="AI601" i="7"/>
  <c r="AJ601" i="7"/>
  <c r="AK601" i="7"/>
  <c r="AL601" i="7"/>
  <c r="AM601" i="7"/>
  <c r="AN601" i="7"/>
  <c r="AO601" i="7"/>
  <c r="AP601" i="7"/>
  <c r="AQ601" i="7"/>
  <c r="AR601" i="7"/>
  <c r="AS601" i="7"/>
  <c r="AT601" i="7"/>
  <c r="AU601" i="7"/>
  <c r="AV601" i="7"/>
  <c r="AI602" i="7"/>
  <c r="AJ602" i="7"/>
  <c r="AK602" i="7"/>
  <c r="AL602" i="7"/>
  <c r="AM602" i="7"/>
  <c r="AN602" i="7"/>
  <c r="AO602" i="7"/>
  <c r="AP602" i="7"/>
  <c r="AQ602" i="7"/>
  <c r="AR602" i="7"/>
  <c r="AS602" i="7"/>
  <c r="AT602" i="7"/>
  <c r="AU602" i="7"/>
  <c r="AV602" i="7"/>
  <c r="AI603" i="7"/>
  <c r="AJ603" i="7"/>
  <c r="AK603" i="7"/>
  <c r="AL603" i="7"/>
  <c r="AM603" i="7"/>
  <c r="AN603" i="7"/>
  <c r="AO603" i="7"/>
  <c r="AP603" i="7"/>
  <c r="AQ603" i="7"/>
  <c r="AR603" i="7"/>
  <c r="AS603" i="7"/>
  <c r="AT603" i="7"/>
  <c r="AU603" i="7"/>
  <c r="AV603" i="7"/>
  <c r="AI604" i="7"/>
  <c r="AJ604" i="7"/>
  <c r="AK604" i="7"/>
  <c r="AL604" i="7"/>
  <c r="AM604" i="7"/>
  <c r="AN604" i="7"/>
  <c r="AO604" i="7"/>
  <c r="AP604" i="7"/>
  <c r="AQ604" i="7"/>
  <c r="AR604" i="7"/>
  <c r="AS604" i="7"/>
  <c r="AT604" i="7"/>
  <c r="AU604" i="7"/>
  <c r="AV604" i="7"/>
  <c r="AI605" i="7"/>
  <c r="AJ605" i="7"/>
  <c r="AK605" i="7"/>
  <c r="AL605" i="7"/>
  <c r="AM605" i="7"/>
  <c r="AN605" i="7"/>
  <c r="AO605" i="7"/>
  <c r="AP605" i="7"/>
  <c r="AQ605" i="7"/>
  <c r="AR605" i="7"/>
  <c r="AS605" i="7"/>
  <c r="AT605" i="7"/>
  <c r="AU605" i="7"/>
  <c r="AV605" i="7"/>
  <c r="AI606" i="7"/>
  <c r="AJ606" i="7"/>
  <c r="AK606" i="7"/>
  <c r="AL606" i="7"/>
  <c r="AM606" i="7"/>
  <c r="AN606" i="7"/>
  <c r="AO606" i="7"/>
  <c r="AP606" i="7"/>
  <c r="AQ606" i="7"/>
  <c r="AR606" i="7"/>
  <c r="AS606" i="7"/>
  <c r="AT606" i="7"/>
  <c r="AU606" i="7"/>
  <c r="AV606" i="7"/>
  <c r="AI607" i="7"/>
  <c r="AJ607" i="7"/>
  <c r="AK607" i="7"/>
  <c r="AL607" i="7"/>
  <c r="AM607" i="7"/>
  <c r="AN607" i="7"/>
  <c r="AO607" i="7"/>
  <c r="AP607" i="7"/>
  <c r="AQ607" i="7"/>
  <c r="AR607" i="7"/>
  <c r="AS607" i="7"/>
  <c r="AT607" i="7"/>
  <c r="AU607" i="7"/>
  <c r="AV607" i="7"/>
  <c r="AI608" i="7"/>
  <c r="AJ608" i="7"/>
  <c r="AK608" i="7"/>
  <c r="AL608" i="7"/>
  <c r="AM608" i="7"/>
  <c r="AN608" i="7"/>
  <c r="AO608" i="7"/>
  <c r="AP608" i="7"/>
  <c r="AQ608" i="7"/>
  <c r="AR608" i="7"/>
  <c r="AS608" i="7"/>
  <c r="AT608" i="7"/>
  <c r="AU608" i="7"/>
  <c r="AV608" i="7"/>
  <c r="AI609" i="7"/>
  <c r="AJ609" i="7"/>
  <c r="AK609" i="7"/>
  <c r="AL609" i="7"/>
  <c r="AM609" i="7"/>
  <c r="AN609" i="7"/>
  <c r="AO609" i="7"/>
  <c r="AP609" i="7"/>
  <c r="AQ609" i="7"/>
  <c r="AR609" i="7"/>
  <c r="AS609" i="7"/>
  <c r="AT609" i="7"/>
  <c r="AU609" i="7"/>
  <c r="AV609" i="7"/>
  <c r="AI610" i="7"/>
  <c r="AJ610" i="7"/>
  <c r="AK610" i="7"/>
  <c r="AL610" i="7"/>
  <c r="AM610" i="7"/>
  <c r="AN610" i="7"/>
  <c r="AO610" i="7"/>
  <c r="AP610" i="7"/>
  <c r="AQ610" i="7"/>
  <c r="AR610" i="7"/>
  <c r="AS610" i="7"/>
  <c r="AT610" i="7"/>
  <c r="AU610" i="7"/>
  <c r="AV610" i="7"/>
  <c r="AI611" i="7"/>
  <c r="AJ611" i="7"/>
  <c r="AK611" i="7"/>
  <c r="AL611" i="7"/>
  <c r="AM611" i="7"/>
  <c r="AN611" i="7"/>
  <c r="AO611" i="7"/>
  <c r="AP611" i="7"/>
  <c r="AQ611" i="7"/>
  <c r="AR611" i="7"/>
  <c r="AS611" i="7"/>
  <c r="AT611" i="7"/>
  <c r="AU611" i="7"/>
  <c r="AV611" i="7"/>
  <c r="AI612" i="7"/>
  <c r="AJ612" i="7"/>
  <c r="AK612" i="7"/>
  <c r="AL612" i="7"/>
  <c r="AM612" i="7"/>
  <c r="AN612" i="7"/>
  <c r="AO612" i="7"/>
  <c r="AP612" i="7"/>
  <c r="AQ612" i="7"/>
  <c r="AR612" i="7"/>
  <c r="AS612" i="7"/>
  <c r="AT612" i="7"/>
  <c r="AU612" i="7"/>
  <c r="AV612" i="7"/>
  <c r="AI613" i="7"/>
  <c r="AJ613" i="7"/>
  <c r="AK613" i="7"/>
  <c r="AL613" i="7"/>
  <c r="AM613" i="7"/>
  <c r="AN613" i="7"/>
  <c r="AO613" i="7"/>
  <c r="AP613" i="7"/>
  <c r="AQ613" i="7"/>
  <c r="AR613" i="7"/>
  <c r="AS613" i="7"/>
  <c r="AT613" i="7"/>
  <c r="AU613" i="7"/>
  <c r="AV613" i="7"/>
  <c r="AI614" i="7"/>
  <c r="AJ614" i="7"/>
  <c r="AK614" i="7"/>
  <c r="AL614" i="7"/>
  <c r="AM614" i="7"/>
  <c r="AN614" i="7"/>
  <c r="AO614" i="7"/>
  <c r="AP614" i="7"/>
  <c r="AQ614" i="7"/>
  <c r="AR614" i="7"/>
  <c r="AS614" i="7"/>
  <c r="AT614" i="7"/>
  <c r="AU614" i="7"/>
  <c r="AV614" i="7"/>
  <c r="AI615" i="7"/>
  <c r="AJ615" i="7"/>
  <c r="AK615" i="7"/>
  <c r="AL615" i="7"/>
  <c r="AM615" i="7"/>
  <c r="AN615" i="7"/>
  <c r="AO615" i="7"/>
  <c r="AP615" i="7"/>
  <c r="AQ615" i="7"/>
  <c r="AR615" i="7"/>
  <c r="AS615" i="7"/>
  <c r="AT615" i="7"/>
  <c r="AU615" i="7"/>
  <c r="AV615" i="7"/>
  <c r="AI616" i="7"/>
  <c r="AJ616" i="7"/>
  <c r="AK616" i="7"/>
  <c r="AL616" i="7"/>
  <c r="AM616" i="7"/>
  <c r="AN616" i="7"/>
  <c r="AO616" i="7"/>
  <c r="AP616" i="7"/>
  <c r="AQ616" i="7"/>
  <c r="AR616" i="7"/>
  <c r="AS616" i="7"/>
  <c r="AT616" i="7"/>
  <c r="AU616" i="7"/>
  <c r="AV616" i="7"/>
  <c r="AI617" i="7"/>
  <c r="AJ617" i="7"/>
  <c r="AK617" i="7"/>
  <c r="AL617" i="7"/>
  <c r="AM617" i="7"/>
  <c r="AN617" i="7"/>
  <c r="AO617" i="7"/>
  <c r="AP617" i="7"/>
  <c r="AQ617" i="7"/>
  <c r="AR617" i="7"/>
  <c r="AS617" i="7"/>
  <c r="AT617" i="7"/>
  <c r="AU617" i="7"/>
  <c r="AV617" i="7"/>
  <c r="AI618" i="7"/>
  <c r="AJ618" i="7"/>
  <c r="AK618" i="7"/>
  <c r="AL618" i="7"/>
  <c r="AM618" i="7"/>
  <c r="AN618" i="7"/>
  <c r="AO618" i="7"/>
  <c r="AP618" i="7"/>
  <c r="AQ618" i="7"/>
  <c r="AR618" i="7"/>
  <c r="AS618" i="7"/>
  <c r="AT618" i="7"/>
  <c r="AU618" i="7"/>
  <c r="AV618" i="7"/>
  <c r="AI619" i="7"/>
  <c r="AJ619" i="7"/>
  <c r="AK619" i="7"/>
  <c r="AL619" i="7"/>
  <c r="AM619" i="7"/>
  <c r="AN619" i="7"/>
  <c r="AO619" i="7"/>
  <c r="AP619" i="7"/>
  <c r="AQ619" i="7"/>
  <c r="AR619" i="7"/>
  <c r="AS619" i="7"/>
  <c r="AT619" i="7"/>
  <c r="AU619" i="7"/>
  <c r="AV619" i="7"/>
  <c r="AI620" i="7"/>
  <c r="AJ620" i="7"/>
  <c r="AK620" i="7"/>
  <c r="AL620" i="7"/>
  <c r="AM620" i="7"/>
  <c r="AN620" i="7"/>
  <c r="AO620" i="7"/>
  <c r="AP620" i="7"/>
  <c r="AQ620" i="7"/>
  <c r="AR620" i="7"/>
  <c r="AS620" i="7"/>
  <c r="AT620" i="7"/>
  <c r="AU620" i="7"/>
  <c r="AV620" i="7"/>
  <c r="AI621" i="7"/>
  <c r="AJ621" i="7"/>
  <c r="AK621" i="7"/>
  <c r="AL621" i="7"/>
  <c r="AM621" i="7"/>
  <c r="AN621" i="7"/>
  <c r="AO621" i="7"/>
  <c r="AP621" i="7"/>
  <c r="AQ621" i="7"/>
  <c r="AR621" i="7"/>
  <c r="AS621" i="7"/>
  <c r="AT621" i="7"/>
  <c r="AU621" i="7"/>
  <c r="AV621" i="7"/>
  <c r="AI622" i="7"/>
  <c r="AJ622" i="7"/>
  <c r="AK622" i="7"/>
  <c r="AL622" i="7"/>
  <c r="AM622" i="7"/>
  <c r="AN622" i="7"/>
  <c r="AO622" i="7"/>
  <c r="AP622" i="7"/>
  <c r="AQ622" i="7"/>
  <c r="AR622" i="7"/>
  <c r="AS622" i="7"/>
  <c r="AT622" i="7"/>
  <c r="AU622" i="7"/>
  <c r="AV622" i="7"/>
  <c r="AI623" i="7"/>
  <c r="AJ623" i="7"/>
  <c r="AK623" i="7"/>
  <c r="AL623" i="7"/>
  <c r="AM623" i="7"/>
  <c r="AN623" i="7"/>
  <c r="AO623" i="7"/>
  <c r="AP623" i="7"/>
  <c r="AQ623" i="7"/>
  <c r="AR623" i="7"/>
  <c r="AS623" i="7"/>
  <c r="AT623" i="7"/>
  <c r="AU623" i="7"/>
  <c r="AV623" i="7"/>
  <c r="AI624" i="7"/>
  <c r="AJ624" i="7"/>
  <c r="AK624" i="7"/>
  <c r="AL624" i="7"/>
  <c r="AM624" i="7"/>
  <c r="AN624" i="7"/>
  <c r="AO624" i="7"/>
  <c r="AP624" i="7"/>
  <c r="AQ624" i="7"/>
  <c r="AR624" i="7"/>
  <c r="AS624" i="7"/>
  <c r="AT624" i="7"/>
  <c r="AU624" i="7"/>
  <c r="AV624" i="7"/>
  <c r="AI625" i="7"/>
  <c r="AJ625" i="7"/>
  <c r="AK625" i="7"/>
  <c r="AL625" i="7"/>
  <c r="AM625" i="7"/>
  <c r="AN625" i="7"/>
  <c r="AO625" i="7"/>
  <c r="AP625" i="7"/>
  <c r="AQ625" i="7"/>
  <c r="AR625" i="7"/>
  <c r="AS625" i="7"/>
  <c r="AT625" i="7"/>
  <c r="AU625" i="7"/>
  <c r="AV625" i="7"/>
  <c r="AI626" i="7"/>
  <c r="AJ626" i="7"/>
  <c r="AK626" i="7"/>
  <c r="AL626" i="7"/>
  <c r="AM626" i="7"/>
  <c r="AN626" i="7"/>
  <c r="AO626" i="7"/>
  <c r="AP626" i="7"/>
  <c r="AQ626" i="7"/>
  <c r="AR626" i="7"/>
  <c r="AS626" i="7"/>
  <c r="AT626" i="7"/>
  <c r="AU626" i="7"/>
  <c r="AV626" i="7"/>
  <c r="V626" i="7"/>
  <c r="AI636" i="7"/>
  <c r="AJ636" i="7"/>
  <c r="AK636" i="7"/>
  <c r="AL636" i="7"/>
  <c r="AM636" i="7"/>
  <c r="AN636" i="7"/>
  <c r="AO636" i="7"/>
  <c r="AP636" i="7"/>
  <c r="AQ636" i="7"/>
  <c r="AR636" i="7"/>
  <c r="AS636" i="7"/>
  <c r="AT636" i="7"/>
  <c r="AU636" i="7"/>
  <c r="AV636" i="7"/>
  <c r="AI637" i="7"/>
  <c r="AJ637" i="7"/>
  <c r="AK637" i="7"/>
  <c r="AL637" i="7"/>
  <c r="AM637" i="7"/>
  <c r="AN637" i="7"/>
  <c r="AO637" i="7"/>
  <c r="AP637" i="7"/>
  <c r="AQ637" i="7"/>
  <c r="AR637" i="7"/>
  <c r="AS637" i="7"/>
  <c r="AT637" i="7"/>
  <c r="AU637" i="7"/>
  <c r="AV637" i="7"/>
  <c r="AI638" i="7"/>
  <c r="AJ638" i="7"/>
  <c r="AK638" i="7"/>
  <c r="AL638" i="7"/>
  <c r="AM638" i="7"/>
  <c r="AN638" i="7"/>
  <c r="AO638" i="7"/>
  <c r="AP638" i="7"/>
  <c r="AQ638" i="7"/>
  <c r="AR638" i="7"/>
  <c r="AS638" i="7"/>
  <c r="AT638" i="7"/>
  <c r="AU638" i="7"/>
  <c r="AV638" i="7"/>
  <c r="AI639" i="7"/>
  <c r="AJ639" i="7"/>
  <c r="AK639" i="7"/>
  <c r="AL639" i="7"/>
  <c r="AM639" i="7"/>
  <c r="AN639" i="7"/>
  <c r="AO639" i="7"/>
  <c r="AP639" i="7"/>
  <c r="AQ639" i="7"/>
  <c r="AR639" i="7"/>
  <c r="AS639" i="7"/>
  <c r="AT639" i="7"/>
  <c r="AU639" i="7"/>
  <c r="AV639" i="7"/>
  <c r="AI640" i="7"/>
  <c r="AJ640" i="7"/>
  <c r="AK640" i="7"/>
  <c r="AL640" i="7"/>
  <c r="AM640" i="7"/>
  <c r="AN640" i="7"/>
  <c r="AO640" i="7"/>
  <c r="AP640" i="7"/>
  <c r="AQ640" i="7"/>
  <c r="AR640" i="7"/>
  <c r="AS640" i="7"/>
  <c r="AT640" i="7"/>
  <c r="AU640" i="7"/>
  <c r="AV640" i="7"/>
  <c r="AI641" i="7"/>
  <c r="AJ641" i="7"/>
  <c r="AK641" i="7"/>
  <c r="AL641" i="7"/>
  <c r="AM641" i="7"/>
  <c r="AN641" i="7"/>
  <c r="AO641" i="7"/>
  <c r="AP641" i="7"/>
  <c r="AQ641" i="7"/>
  <c r="AR641" i="7"/>
  <c r="AS641" i="7"/>
  <c r="AT641" i="7"/>
  <c r="AU641" i="7"/>
  <c r="AV641" i="7"/>
  <c r="AI642" i="7"/>
  <c r="AJ642" i="7"/>
  <c r="AK642" i="7"/>
  <c r="AL642" i="7"/>
  <c r="AM642" i="7"/>
  <c r="AN642" i="7"/>
  <c r="AO642" i="7"/>
  <c r="AP642" i="7"/>
  <c r="AQ642" i="7"/>
  <c r="AR642" i="7"/>
  <c r="AS642" i="7"/>
  <c r="AT642" i="7"/>
  <c r="AU642" i="7"/>
  <c r="AV642" i="7"/>
  <c r="AI643" i="7"/>
  <c r="AJ643" i="7"/>
  <c r="AK643" i="7"/>
  <c r="AL643" i="7"/>
  <c r="AM643" i="7"/>
  <c r="AN643" i="7"/>
  <c r="AO643" i="7"/>
  <c r="AP643" i="7"/>
  <c r="AQ643" i="7"/>
  <c r="AR643" i="7"/>
  <c r="AS643" i="7"/>
  <c r="AT643" i="7"/>
  <c r="AU643" i="7"/>
  <c r="AV643" i="7"/>
  <c r="AI644" i="7"/>
  <c r="AJ644" i="7"/>
  <c r="AK644" i="7"/>
  <c r="AL644" i="7"/>
  <c r="AM644" i="7"/>
  <c r="AN644" i="7"/>
  <c r="AO644" i="7"/>
  <c r="AP644" i="7"/>
  <c r="AQ644" i="7"/>
  <c r="AR644" i="7"/>
  <c r="AS644" i="7"/>
  <c r="AT644" i="7"/>
  <c r="AU644" i="7"/>
  <c r="AV644" i="7"/>
  <c r="AI645" i="7"/>
  <c r="AJ645" i="7"/>
  <c r="AK645" i="7"/>
  <c r="AL645" i="7"/>
  <c r="AM645" i="7"/>
  <c r="AN645" i="7"/>
  <c r="AO645" i="7"/>
  <c r="AP645" i="7"/>
  <c r="AQ645" i="7"/>
  <c r="AR645" i="7"/>
  <c r="AS645" i="7"/>
  <c r="AT645" i="7"/>
  <c r="AU645" i="7"/>
  <c r="AV645" i="7"/>
  <c r="AI646" i="7"/>
  <c r="AJ646" i="7"/>
  <c r="AK646" i="7"/>
  <c r="AL646" i="7"/>
  <c r="AM646" i="7"/>
  <c r="AN646" i="7"/>
  <c r="AO646" i="7"/>
  <c r="AP646" i="7"/>
  <c r="AQ646" i="7"/>
  <c r="AR646" i="7"/>
  <c r="AS646" i="7"/>
  <c r="AT646" i="7"/>
  <c r="AU646" i="7"/>
  <c r="AV646" i="7"/>
  <c r="AI647" i="7"/>
  <c r="AJ647" i="7"/>
  <c r="AK647" i="7"/>
  <c r="AL647" i="7"/>
  <c r="AM647" i="7"/>
  <c r="AN647" i="7"/>
  <c r="AO647" i="7"/>
  <c r="AP647" i="7"/>
  <c r="AQ647" i="7"/>
  <c r="AR647" i="7"/>
  <c r="AS647" i="7"/>
  <c r="AT647" i="7"/>
  <c r="AU647" i="7"/>
  <c r="AV647" i="7"/>
  <c r="AI648" i="7"/>
  <c r="AJ648" i="7"/>
  <c r="AK648" i="7"/>
  <c r="AL648" i="7"/>
  <c r="AM648" i="7"/>
  <c r="AN648" i="7"/>
  <c r="AO648" i="7"/>
  <c r="AP648" i="7"/>
  <c r="AQ648" i="7"/>
  <c r="AR648" i="7"/>
  <c r="AS648" i="7"/>
  <c r="AT648" i="7"/>
  <c r="AU648" i="7"/>
  <c r="AV648" i="7"/>
  <c r="AI649" i="7"/>
  <c r="AJ649" i="7"/>
  <c r="AK649" i="7"/>
  <c r="AL649" i="7"/>
  <c r="AM649" i="7"/>
  <c r="AN649" i="7"/>
  <c r="AO649" i="7"/>
  <c r="AP649" i="7"/>
  <c r="AQ649" i="7"/>
  <c r="AR649" i="7"/>
  <c r="AS649" i="7"/>
  <c r="AT649" i="7"/>
  <c r="AU649" i="7"/>
  <c r="AV649" i="7"/>
  <c r="AI650" i="7"/>
  <c r="AJ650" i="7"/>
  <c r="AK650" i="7"/>
  <c r="AL650" i="7"/>
  <c r="AM650" i="7"/>
  <c r="AN650" i="7"/>
  <c r="AO650" i="7"/>
  <c r="AP650" i="7"/>
  <c r="AQ650" i="7"/>
  <c r="AR650" i="7"/>
  <c r="AS650" i="7"/>
  <c r="AT650" i="7"/>
  <c r="AU650" i="7"/>
  <c r="AV650" i="7"/>
  <c r="AI651" i="7"/>
  <c r="AJ651" i="7"/>
  <c r="AK651" i="7"/>
  <c r="AL651" i="7"/>
  <c r="AM651" i="7"/>
  <c r="AN651" i="7"/>
  <c r="AO651" i="7"/>
  <c r="AP651" i="7"/>
  <c r="AQ651" i="7"/>
  <c r="AR651" i="7"/>
  <c r="AS651" i="7"/>
  <c r="AT651" i="7"/>
  <c r="AU651" i="7"/>
  <c r="AV651" i="7"/>
  <c r="AI652" i="7"/>
  <c r="AJ652" i="7"/>
  <c r="AK652" i="7"/>
  <c r="AL652" i="7"/>
  <c r="AM652" i="7"/>
  <c r="AN652" i="7"/>
  <c r="AO652" i="7"/>
  <c r="AP652" i="7"/>
  <c r="AQ652" i="7"/>
  <c r="AR652" i="7"/>
  <c r="AS652" i="7"/>
  <c r="AT652" i="7"/>
  <c r="AU652" i="7"/>
  <c r="AV652" i="7"/>
  <c r="AI653" i="7"/>
  <c r="AJ653" i="7"/>
  <c r="AK653" i="7"/>
  <c r="AL653" i="7"/>
  <c r="AM653" i="7"/>
  <c r="AN653" i="7"/>
  <c r="AO653" i="7"/>
  <c r="AP653" i="7"/>
  <c r="AQ653" i="7"/>
  <c r="AR653" i="7"/>
  <c r="AS653" i="7"/>
  <c r="AT653" i="7"/>
  <c r="AU653" i="7"/>
  <c r="AV653" i="7"/>
  <c r="AI654" i="7"/>
  <c r="AJ654" i="7"/>
  <c r="AK654" i="7"/>
  <c r="AL654" i="7"/>
  <c r="AM654" i="7"/>
  <c r="AN654" i="7"/>
  <c r="AO654" i="7"/>
  <c r="AP654" i="7"/>
  <c r="AQ654" i="7"/>
  <c r="AR654" i="7"/>
  <c r="AS654" i="7"/>
  <c r="AT654" i="7"/>
  <c r="AU654" i="7"/>
  <c r="AV654" i="7"/>
  <c r="AI655" i="7"/>
  <c r="AJ655" i="7"/>
  <c r="AK655" i="7"/>
  <c r="AL655" i="7"/>
  <c r="AM655" i="7"/>
  <c r="AN655" i="7"/>
  <c r="AO655" i="7"/>
  <c r="AP655" i="7"/>
  <c r="AQ655" i="7"/>
  <c r="AR655" i="7"/>
  <c r="AS655" i="7"/>
  <c r="AT655" i="7"/>
  <c r="AU655" i="7"/>
  <c r="AV655" i="7"/>
  <c r="AI656" i="7"/>
  <c r="AJ656" i="7"/>
  <c r="AK656" i="7"/>
  <c r="AL656" i="7"/>
  <c r="AM656" i="7"/>
  <c r="AN656" i="7"/>
  <c r="AO656" i="7"/>
  <c r="AP656" i="7"/>
  <c r="AQ656" i="7"/>
  <c r="AR656" i="7"/>
  <c r="AS656" i="7"/>
  <c r="AT656" i="7"/>
  <c r="AU656" i="7"/>
  <c r="AV656" i="7"/>
  <c r="AI657" i="7"/>
  <c r="AJ657" i="7"/>
  <c r="AK657" i="7"/>
  <c r="AL657" i="7"/>
  <c r="AM657" i="7"/>
  <c r="AN657" i="7"/>
  <c r="AO657" i="7"/>
  <c r="AP657" i="7"/>
  <c r="AQ657" i="7"/>
  <c r="AR657" i="7"/>
  <c r="AS657" i="7"/>
  <c r="AT657" i="7"/>
  <c r="AU657" i="7"/>
  <c r="AV657" i="7"/>
  <c r="AI658" i="7"/>
  <c r="AJ658" i="7"/>
  <c r="AK658" i="7"/>
  <c r="AL658" i="7"/>
  <c r="AM658" i="7"/>
  <c r="AN658" i="7"/>
  <c r="AO658" i="7"/>
  <c r="AP658" i="7"/>
  <c r="AQ658" i="7"/>
  <c r="AR658" i="7"/>
  <c r="AS658" i="7"/>
  <c r="AT658" i="7"/>
  <c r="AU658" i="7"/>
  <c r="AV658" i="7"/>
  <c r="AI659" i="7"/>
  <c r="AJ659" i="7"/>
  <c r="AK659" i="7"/>
  <c r="AL659" i="7"/>
  <c r="AM659" i="7"/>
  <c r="AN659" i="7"/>
  <c r="AO659" i="7"/>
  <c r="AP659" i="7"/>
  <c r="AQ659" i="7"/>
  <c r="AR659" i="7"/>
  <c r="AS659" i="7"/>
  <c r="AT659" i="7"/>
  <c r="AU659" i="7"/>
  <c r="AV659" i="7"/>
  <c r="AI660" i="7"/>
  <c r="AJ660" i="7"/>
  <c r="AK660" i="7"/>
  <c r="AL660" i="7"/>
  <c r="AM660" i="7"/>
  <c r="AN660" i="7"/>
  <c r="AO660" i="7"/>
  <c r="AP660" i="7"/>
  <c r="AQ660" i="7"/>
  <c r="AR660" i="7"/>
  <c r="AS660" i="7"/>
  <c r="AT660" i="7"/>
  <c r="AU660" i="7"/>
  <c r="AV660" i="7"/>
  <c r="AI661" i="7"/>
  <c r="AJ661" i="7"/>
  <c r="AK661" i="7"/>
  <c r="AL661" i="7"/>
  <c r="AM661" i="7"/>
  <c r="AN661" i="7"/>
  <c r="AO661" i="7"/>
  <c r="AP661" i="7"/>
  <c r="AQ661" i="7"/>
  <c r="AR661" i="7"/>
  <c r="AS661" i="7"/>
  <c r="AT661" i="7"/>
  <c r="AU661" i="7"/>
  <c r="AV661" i="7"/>
  <c r="AI662" i="7"/>
  <c r="AJ662" i="7"/>
  <c r="AK662" i="7"/>
  <c r="AL662" i="7"/>
  <c r="AM662" i="7"/>
  <c r="AN662" i="7"/>
  <c r="AO662" i="7"/>
  <c r="AP662" i="7"/>
  <c r="AQ662" i="7"/>
  <c r="AR662" i="7"/>
  <c r="AS662" i="7"/>
  <c r="AT662" i="7"/>
  <c r="AU662" i="7"/>
  <c r="AV662" i="7"/>
  <c r="AI663" i="7"/>
  <c r="AJ663" i="7"/>
  <c r="AK663" i="7"/>
  <c r="AL663" i="7"/>
  <c r="AM663" i="7"/>
  <c r="AN663" i="7"/>
  <c r="AO663" i="7"/>
  <c r="AP663" i="7"/>
  <c r="AQ663" i="7"/>
  <c r="AR663" i="7"/>
  <c r="AS663" i="7"/>
  <c r="AT663" i="7"/>
  <c r="AU663" i="7"/>
  <c r="AV663" i="7"/>
  <c r="AI664" i="7"/>
  <c r="AJ664" i="7"/>
  <c r="AK664" i="7"/>
  <c r="AL664" i="7"/>
  <c r="AM664" i="7"/>
  <c r="AN664" i="7"/>
  <c r="AO664" i="7"/>
  <c r="AP664" i="7"/>
  <c r="AQ664" i="7"/>
  <c r="AR664" i="7"/>
  <c r="AS664" i="7"/>
  <c r="AT664" i="7"/>
  <c r="AU664" i="7"/>
  <c r="AV664" i="7"/>
  <c r="AI665" i="7"/>
  <c r="AJ665" i="7"/>
  <c r="AK665" i="7"/>
  <c r="AL665" i="7"/>
  <c r="AM665" i="7"/>
  <c r="AN665" i="7"/>
  <c r="AO665" i="7"/>
  <c r="AP665" i="7"/>
  <c r="AQ665" i="7"/>
  <c r="AR665" i="7"/>
  <c r="AS665" i="7"/>
  <c r="AT665" i="7"/>
  <c r="AU665" i="7"/>
  <c r="AV665" i="7"/>
  <c r="AI666" i="7"/>
  <c r="AJ666" i="7"/>
  <c r="AK666" i="7"/>
  <c r="AL666" i="7"/>
  <c r="AM666" i="7"/>
  <c r="AN666" i="7"/>
  <c r="AO666" i="7"/>
  <c r="AP666" i="7"/>
  <c r="AQ666" i="7"/>
  <c r="AR666" i="7"/>
  <c r="AS666" i="7"/>
  <c r="AT666" i="7"/>
  <c r="AU666" i="7"/>
  <c r="AV666" i="7"/>
  <c r="AI667" i="7"/>
  <c r="AJ667" i="7"/>
  <c r="AK667" i="7"/>
  <c r="AL667" i="7"/>
  <c r="AM667" i="7"/>
  <c r="AN667" i="7"/>
  <c r="AO667" i="7"/>
  <c r="AP667" i="7"/>
  <c r="AQ667" i="7"/>
  <c r="AR667" i="7"/>
  <c r="AS667" i="7"/>
  <c r="AT667" i="7"/>
  <c r="AU667" i="7"/>
  <c r="AV667" i="7"/>
  <c r="AI668" i="7"/>
  <c r="AJ668" i="7"/>
  <c r="AK668" i="7"/>
  <c r="AL668" i="7"/>
  <c r="AM668" i="7"/>
  <c r="AN668" i="7"/>
  <c r="AO668" i="7"/>
  <c r="AP668" i="7"/>
  <c r="AQ668" i="7"/>
  <c r="AR668" i="7"/>
  <c r="AS668" i="7"/>
  <c r="AT668" i="7"/>
  <c r="AU668" i="7"/>
  <c r="AV668" i="7"/>
  <c r="AI669" i="7"/>
  <c r="AJ669" i="7"/>
  <c r="AK669" i="7"/>
  <c r="AL669" i="7"/>
  <c r="AM669" i="7"/>
  <c r="AN669" i="7"/>
  <c r="AO669" i="7"/>
  <c r="AP669" i="7"/>
  <c r="AQ669" i="7"/>
  <c r="AR669" i="7"/>
  <c r="AS669" i="7"/>
  <c r="AT669" i="7"/>
  <c r="AU669" i="7"/>
  <c r="AV669" i="7"/>
  <c r="AI670" i="7"/>
  <c r="AJ670" i="7"/>
  <c r="AK670" i="7"/>
  <c r="AL670" i="7"/>
  <c r="AM670" i="7"/>
  <c r="AN670" i="7"/>
  <c r="AO670" i="7"/>
  <c r="AP670" i="7"/>
  <c r="AQ670" i="7"/>
  <c r="AR670" i="7"/>
  <c r="AS670" i="7"/>
  <c r="AT670" i="7"/>
  <c r="AU670" i="7"/>
  <c r="AV670" i="7"/>
  <c r="AI671" i="7"/>
  <c r="AJ671" i="7"/>
  <c r="AK671" i="7"/>
  <c r="AL671" i="7"/>
  <c r="AM671" i="7"/>
  <c r="AN671" i="7"/>
  <c r="AO671" i="7"/>
  <c r="AP671" i="7"/>
  <c r="AQ671" i="7"/>
  <c r="AR671" i="7"/>
  <c r="AS671" i="7"/>
  <c r="AT671" i="7"/>
  <c r="AU671" i="7"/>
  <c r="AV671" i="7"/>
  <c r="AI672" i="7"/>
  <c r="AJ672" i="7"/>
  <c r="AK672" i="7"/>
  <c r="AL672" i="7"/>
  <c r="AM672" i="7"/>
  <c r="AN672" i="7"/>
  <c r="AO672" i="7"/>
  <c r="AP672" i="7"/>
  <c r="AQ672" i="7"/>
  <c r="AR672" i="7"/>
  <c r="AS672" i="7"/>
  <c r="AT672" i="7"/>
  <c r="AU672" i="7"/>
  <c r="AV672" i="7"/>
  <c r="AI673" i="7"/>
  <c r="AJ673" i="7"/>
  <c r="AK673" i="7"/>
  <c r="AL673" i="7"/>
  <c r="AM673" i="7"/>
  <c r="AN673" i="7"/>
  <c r="AO673" i="7"/>
  <c r="AP673" i="7"/>
  <c r="AQ673" i="7"/>
  <c r="AR673" i="7"/>
  <c r="AS673" i="7"/>
  <c r="AT673" i="7"/>
  <c r="AU673" i="7"/>
  <c r="AV673" i="7"/>
  <c r="AI674" i="7"/>
  <c r="AJ674" i="7"/>
  <c r="AK674" i="7"/>
  <c r="AL674" i="7"/>
  <c r="AM674" i="7"/>
  <c r="AN674" i="7"/>
  <c r="AO674" i="7"/>
  <c r="AP674" i="7"/>
  <c r="AQ674" i="7"/>
  <c r="AR674" i="7"/>
  <c r="AS674" i="7"/>
  <c r="AT674" i="7"/>
  <c r="AU674" i="7"/>
  <c r="AV674" i="7"/>
  <c r="AI675" i="7"/>
  <c r="AJ675" i="7"/>
  <c r="AK675" i="7"/>
  <c r="AL675" i="7"/>
  <c r="AM675" i="7"/>
  <c r="AN675" i="7"/>
  <c r="AO675" i="7"/>
  <c r="AP675" i="7"/>
  <c r="AQ675" i="7"/>
  <c r="AR675" i="7"/>
  <c r="AS675" i="7"/>
  <c r="AT675" i="7"/>
  <c r="AU675" i="7"/>
  <c r="AV675" i="7"/>
  <c r="AI676" i="7"/>
  <c r="AJ676" i="7"/>
  <c r="AK676" i="7"/>
  <c r="AL676" i="7"/>
  <c r="AM676" i="7"/>
  <c r="AN676" i="7"/>
  <c r="AO676" i="7"/>
  <c r="AP676" i="7"/>
  <c r="AQ676" i="7"/>
  <c r="AR676" i="7"/>
  <c r="AS676" i="7"/>
  <c r="AT676" i="7"/>
  <c r="AU676" i="7"/>
  <c r="AV676" i="7"/>
  <c r="AI677" i="7"/>
  <c r="AJ677" i="7"/>
  <c r="AK677" i="7"/>
  <c r="AL677" i="7"/>
  <c r="AM677" i="7"/>
  <c r="AN677" i="7"/>
  <c r="AO677" i="7"/>
  <c r="AP677" i="7"/>
  <c r="AQ677" i="7"/>
  <c r="AR677" i="7"/>
  <c r="AS677" i="7"/>
  <c r="AT677" i="7"/>
  <c r="AU677" i="7"/>
  <c r="AV677" i="7"/>
  <c r="AI678" i="7"/>
  <c r="AJ678" i="7"/>
  <c r="AK678" i="7"/>
  <c r="AL678" i="7"/>
  <c r="AM678" i="7"/>
  <c r="AN678" i="7"/>
  <c r="AO678" i="7"/>
  <c r="AP678" i="7"/>
  <c r="AQ678" i="7"/>
  <c r="AR678" i="7"/>
  <c r="AS678" i="7"/>
  <c r="AT678" i="7"/>
  <c r="AU678" i="7"/>
  <c r="AV678" i="7"/>
  <c r="AI679" i="7"/>
  <c r="AJ679" i="7"/>
  <c r="AK679" i="7"/>
  <c r="AL679" i="7"/>
  <c r="AM679" i="7"/>
  <c r="AN679" i="7"/>
  <c r="AO679" i="7"/>
  <c r="AP679" i="7"/>
  <c r="AQ679" i="7"/>
  <c r="AR679" i="7"/>
  <c r="AS679" i="7"/>
  <c r="AT679" i="7"/>
  <c r="AU679" i="7"/>
  <c r="AV679" i="7"/>
  <c r="AI680" i="7"/>
  <c r="AJ680" i="7"/>
  <c r="AK680" i="7"/>
  <c r="AL680" i="7"/>
  <c r="AM680" i="7"/>
  <c r="AN680" i="7"/>
  <c r="AO680" i="7"/>
  <c r="AP680" i="7"/>
  <c r="AQ680" i="7"/>
  <c r="AR680" i="7"/>
  <c r="AS680" i="7"/>
  <c r="AT680" i="7"/>
  <c r="AU680" i="7"/>
  <c r="AV680" i="7"/>
  <c r="AI681" i="7"/>
  <c r="AJ681" i="7"/>
  <c r="AK681" i="7"/>
  <c r="AL681" i="7"/>
  <c r="AM681" i="7"/>
  <c r="AN681" i="7"/>
  <c r="AO681" i="7"/>
  <c r="AP681" i="7"/>
  <c r="AQ681" i="7"/>
  <c r="AR681" i="7"/>
  <c r="AS681" i="7"/>
  <c r="AT681" i="7"/>
  <c r="AU681" i="7"/>
  <c r="AV681" i="7"/>
  <c r="AI682" i="7"/>
  <c r="AJ682" i="7"/>
  <c r="AK682" i="7"/>
  <c r="AL682" i="7"/>
  <c r="AM682" i="7"/>
  <c r="AN682" i="7"/>
  <c r="AO682" i="7"/>
  <c r="AP682" i="7"/>
  <c r="AQ682" i="7"/>
  <c r="AR682" i="7"/>
  <c r="AS682" i="7"/>
  <c r="AT682" i="7"/>
  <c r="AU682" i="7"/>
  <c r="AV682" i="7"/>
  <c r="AI683" i="7"/>
  <c r="AJ683" i="7"/>
  <c r="AK683" i="7"/>
  <c r="AL683" i="7"/>
  <c r="AM683" i="7"/>
  <c r="AN683" i="7"/>
  <c r="AO683" i="7"/>
  <c r="AP683" i="7"/>
  <c r="AQ683" i="7"/>
  <c r="AR683" i="7"/>
  <c r="AS683" i="7"/>
  <c r="AT683" i="7"/>
  <c r="AU683" i="7"/>
  <c r="AV683" i="7"/>
  <c r="V683" i="7"/>
  <c r="AI693" i="7"/>
  <c r="AJ693" i="7"/>
  <c r="AK693" i="7"/>
  <c r="AL693" i="7"/>
  <c r="AM693" i="7"/>
  <c r="AN693" i="7"/>
  <c r="AO693" i="7"/>
  <c r="AP693" i="7"/>
  <c r="AQ693" i="7"/>
  <c r="AR693" i="7"/>
  <c r="AS693" i="7"/>
  <c r="AT693" i="7"/>
  <c r="AU693" i="7"/>
  <c r="AV693" i="7"/>
  <c r="AI694" i="7"/>
  <c r="AJ694" i="7"/>
  <c r="AK694" i="7"/>
  <c r="AL694" i="7"/>
  <c r="AM694" i="7"/>
  <c r="AN694" i="7"/>
  <c r="AO694" i="7"/>
  <c r="AP694" i="7"/>
  <c r="AQ694" i="7"/>
  <c r="AR694" i="7"/>
  <c r="AS694" i="7"/>
  <c r="AT694" i="7"/>
  <c r="AU694" i="7"/>
  <c r="AV694" i="7"/>
  <c r="AI695" i="7"/>
  <c r="AJ695" i="7"/>
  <c r="AK695" i="7"/>
  <c r="AL695" i="7"/>
  <c r="AM695" i="7"/>
  <c r="AN695" i="7"/>
  <c r="AO695" i="7"/>
  <c r="AP695" i="7"/>
  <c r="AQ695" i="7"/>
  <c r="AR695" i="7"/>
  <c r="AS695" i="7"/>
  <c r="AT695" i="7"/>
  <c r="AU695" i="7"/>
  <c r="AV695" i="7"/>
  <c r="AI696" i="7"/>
  <c r="AJ696" i="7"/>
  <c r="AK696" i="7"/>
  <c r="AL696" i="7"/>
  <c r="AM696" i="7"/>
  <c r="AN696" i="7"/>
  <c r="AO696" i="7"/>
  <c r="AP696" i="7"/>
  <c r="AQ696" i="7"/>
  <c r="AR696" i="7"/>
  <c r="AS696" i="7"/>
  <c r="AT696" i="7"/>
  <c r="AU696" i="7"/>
  <c r="AV696" i="7"/>
  <c r="AI697" i="7"/>
  <c r="AJ697" i="7"/>
  <c r="AK697" i="7"/>
  <c r="AL697" i="7"/>
  <c r="AM697" i="7"/>
  <c r="AN697" i="7"/>
  <c r="AO697" i="7"/>
  <c r="AP697" i="7"/>
  <c r="AQ697" i="7"/>
  <c r="AR697" i="7"/>
  <c r="AS697" i="7"/>
  <c r="AT697" i="7"/>
  <c r="AU697" i="7"/>
  <c r="AV697" i="7"/>
  <c r="AI698" i="7"/>
  <c r="AJ698" i="7"/>
  <c r="AK698" i="7"/>
  <c r="AL698" i="7"/>
  <c r="AM698" i="7"/>
  <c r="AN698" i="7"/>
  <c r="AO698" i="7"/>
  <c r="AP698" i="7"/>
  <c r="AQ698" i="7"/>
  <c r="AR698" i="7"/>
  <c r="AS698" i="7"/>
  <c r="AT698" i="7"/>
  <c r="AU698" i="7"/>
  <c r="AV698" i="7"/>
  <c r="AI699" i="7"/>
  <c r="AJ699" i="7"/>
  <c r="AK699" i="7"/>
  <c r="AL699" i="7"/>
  <c r="AM699" i="7"/>
  <c r="AN699" i="7"/>
  <c r="AO699" i="7"/>
  <c r="AP699" i="7"/>
  <c r="AQ699" i="7"/>
  <c r="AR699" i="7"/>
  <c r="AS699" i="7"/>
  <c r="AT699" i="7"/>
  <c r="AU699" i="7"/>
  <c r="AV699" i="7"/>
  <c r="AI700" i="7"/>
  <c r="AJ700" i="7"/>
  <c r="AK700" i="7"/>
  <c r="AL700" i="7"/>
  <c r="AM700" i="7"/>
  <c r="AN700" i="7"/>
  <c r="AO700" i="7"/>
  <c r="AP700" i="7"/>
  <c r="AQ700" i="7"/>
  <c r="AR700" i="7"/>
  <c r="AS700" i="7"/>
  <c r="AT700" i="7"/>
  <c r="AU700" i="7"/>
  <c r="AV700" i="7"/>
  <c r="AI701" i="7"/>
  <c r="AJ701" i="7"/>
  <c r="AK701" i="7"/>
  <c r="AL701" i="7"/>
  <c r="AM701" i="7"/>
  <c r="AN701" i="7"/>
  <c r="AO701" i="7"/>
  <c r="AP701" i="7"/>
  <c r="AQ701" i="7"/>
  <c r="AR701" i="7"/>
  <c r="AS701" i="7"/>
  <c r="AT701" i="7"/>
  <c r="AU701" i="7"/>
  <c r="AV701" i="7"/>
  <c r="AI702" i="7"/>
  <c r="AJ702" i="7"/>
  <c r="AK702" i="7"/>
  <c r="AL702" i="7"/>
  <c r="AM702" i="7"/>
  <c r="AN702" i="7"/>
  <c r="AO702" i="7"/>
  <c r="AP702" i="7"/>
  <c r="AQ702" i="7"/>
  <c r="AR702" i="7"/>
  <c r="AS702" i="7"/>
  <c r="AT702" i="7"/>
  <c r="AU702" i="7"/>
  <c r="AV702" i="7"/>
  <c r="AI703" i="7"/>
  <c r="AJ703" i="7"/>
  <c r="AK703" i="7"/>
  <c r="AL703" i="7"/>
  <c r="AM703" i="7"/>
  <c r="AN703" i="7"/>
  <c r="AO703" i="7"/>
  <c r="AP703" i="7"/>
  <c r="AQ703" i="7"/>
  <c r="AR703" i="7"/>
  <c r="AS703" i="7"/>
  <c r="AT703" i="7"/>
  <c r="AU703" i="7"/>
  <c r="AV703" i="7"/>
  <c r="AI704" i="7"/>
  <c r="AJ704" i="7"/>
  <c r="AK704" i="7"/>
  <c r="AL704" i="7"/>
  <c r="AM704" i="7"/>
  <c r="AN704" i="7"/>
  <c r="AO704" i="7"/>
  <c r="AP704" i="7"/>
  <c r="AQ704" i="7"/>
  <c r="AR704" i="7"/>
  <c r="AS704" i="7"/>
  <c r="AT704" i="7"/>
  <c r="AU704" i="7"/>
  <c r="AV704" i="7"/>
  <c r="AI705" i="7"/>
  <c r="AJ705" i="7"/>
  <c r="AK705" i="7"/>
  <c r="AL705" i="7"/>
  <c r="AM705" i="7"/>
  <c r="AN705" i="7"/>
  <c r="AO705" i="7"/>
  <c r="AP705" i="7"/>
  <c r="AQ705" i="7"/>
  <c r="AR705" i="7"/>
  <c r="AS705" i="7"/>
  <c r="AT705" i="7"/>
  <c r="AU705" i="7"/>
  <c r="AV705" i="7"/>
  <c r="AI706" i="7"/>
  <c r="AJ706" i="7"/>
  <c r="AK706" i="7"/>
  <c r="AL706" i="7"/>
  <c r="AM706" i="7"/>
  <c r="AN706" i="7"/>
  <c r="AO706" i="7"/>
  <c r="AP706" i="7"/>
  <c r="AQ706" i="7"/>
  <c r="AR706" i="7"/>
  <c r="AS706" i="7"/>
  <c r="AT706" i="7"/>
  <c r="AU706" i="7"/>
  <c r="AV706" i="7"/>
  <c r="AI707" i="7"/>
  <c r="AJ707" i="7"/>
  <c r="AK707" i="7"/>
  <c r="AL707" i="7"/>
  <c r="AM707" i="7"/>
  <c r="AN707" i="7"/>
  <c r="AO707" i="7"/>
  <c r="AP707" i="7"/>
  <c r="AQ707" i="7"/>
  <c r="AR707" i="7"/>
  <c r="AS707" i="7"/>
  <c r="AT707" i="7"/>
  <c r="AU707" i="7"/>
  <c r="AV707" i="7"/>
  <c r="AI708" i="7"/>
  <c r="AJ708" i="7"/>
  <c r="AK708" i="7"/>
  <c r="AL708" i="7"/>
  <c r="AM708" i="7"/>
  <c r="AN708" i="7"/>
  <c r="AO708" i="7"/>
  <c r="AP708" i="7"/>
  <c r="AQ708" i="7"/>
  <c r="AR708" i="7"/>
  <c r="AS708" i="7"/>
  <c r="AT708" i="7"/>
  <c r="AU708" i="7"/>
  <c r="AV708" i="7"/>
  <c r="AI709" i="7"/>
  <c r="AJ709" i="7"/>
  <c r="AK709" i="7"/>
  <c r="AL709" i="7"/>
  <c r="AM709" i="7"/>
  <c r="AN709" i="7"/>
  <c r="AO709" i="7"/>
  <c r="AP709" i="7"/>
  <c r="AQ709" i="7"/>
  <c r="AR709" i="7"/>
  <c r="AS709" i="7"/>
  <c r="AT709" i="7"/>
  <c r="AU709" i="7"/>
  <c r="AV709" i="7"/>
  <c r="AI710" i="7"/>
  <c r="AJ710" i="7"/>
  <c r="AK710" i="7"/>
  <c r="AL710" i="7"/>
  <c r="AM710" i="7"/>
  <c r="AN710" i="7"/>
  <c r="AO710" i="7"/>
  <c r="AP710" i="7"/>
  <c r="AQ710" i="7"/>
  <c r="AR710" i="7"/>
  <c r="AS710" i="7"/>
  <c r="AT710" i="7"/>
  <c r="AU710" i="7"/>
  <c r="AV710" i="7"/>
  <c r="AI711" i="7"/>
  <c r="AJ711" i="7"/>
  <c r="AK711" i="7"/>
  <c r="AL711" i="7"/>
  <c r="AM711" i="7"/>
  <c r="AN711" i="7"/>
  <c r="AO711" i="7"/>
  <c r="AP711" i="7"/>
  <c r="AQ711" i="7"/>
  <c r="AR711" i="7"/>
  <c r="AS711" i="7"/>
  <c r="AT711" i="7"/>
  <c r="AU711" i="7"/>
  <c r="AV711" i="7"/>
  <c r="AI712" i="7"/>
  <c r="AJ712" i="7"/>
  <c r="AK712" i="7"/>
  <c r="AL712" i="7"/>
  <c r="AM712" i="7"/>
  <c r="AN712" i="7"/>
  <c r="AO712" i="7"/>
  <c r="AP712" i="7"/>
  <c r="AQ712" i="7"/>
  <c r="AR712" i="7"/>
  <c r="AS712" i="7"/>
  <c r="AT712" i="7"/>
  <c r="AU712" i="7"/>
  <c r="AV712" i="7"/>
  <c r="AI713" i="7"/>
  <c r="AJ713" i="7"/>
  <c r="AK713" i="7"/>
  <c r="AL713" i="7"/>
  <c r="AM713" i="7"/>
  <c r="AN713" i="7"/>
  <c r="AO713" i="7"/>
  <c r="AP713" i="7"/>
  <c r="AQ713" i="7"/>
  <c r="AR713" i="7"/>
  <c r="AS713" i="7"/>
  <c r="AT713" i="7"/>
  <c r="AU713" i="7"/>
  <c r="AV713" i="7"/>
  <c r="AI714" i="7"/>
  <c r="AJ714" i="7"/>
  <c r="AK714" i="7"/>
  <c r="AL714" i="7"/>
  <c r="AM714" i="7"/>
  <c r="AN714" i="7"/>
  <c r="AO714" i="7"/>
  <c r="AP714" i="7"/>
  <c r="AQ714" i="7"/>
  <c r="AR714" i="7"/>
  <c r="AS714" i="7"/>
  <c r="AT714" i="7"/>
  <c r="AU714" i="7"/>
  <c r="AV714" i="7"/>
  <c r="AI715" i="7"/>
  <c r="AJ715" i="7"/>
  <c r="AK715" i="7"/>
  <c r="AL715" i="7"/>
  <c r="AM715" i="7"/>
  <c r="AN715" i="7"/>
  <c r="AO715" i="7"/>
  <c r="AP715" i="7"/>
  <c r="AQ715" i="7"/>
  <c r="AR715" i="7"/>
  <c r="AS715" i="7"/>
  <c r="AT715" i="7"/>
  <c r="AU715" i="7"/>
  <c r="AV715" i="7"/>
  <c r="AI716" i="7"/>
  <c r="AJ716" i="7"/>
  <c r="AK716" i="7"/>
  <c r="AL716" i="7"/>
  <c r="AM716" i="7"/>
  <c r="AN716" i="7"/>
  <c r="AO716" i="7"/>
  <c r="AP716" i="7"/>
  <c r="AQ716" i="7"/>
  <c r="AR716" i="7"/>
  <c r="AS716" i="7"/>
  <c r="AT716" i="7"/>
  <c r="AU716" i="7"/>
  <c r="AV716" i="7"/>
  <c r="AI717" i="7"/>
  <c r="AJ717" i="7"/>
  <c r="AK717" i="7"/>
  <c r="AL717" i="7"/>
  <c r="AM717" i="7"/>
  <c r="AN717" i="7"/>
  <c r="AO717" i="7"/>
  <c r="AP717" i="7"/>
  <c r="AQ717" i="7"/>
  <c r="AR717" i="7"/>
  <c r="AS717" i="7"/>
  <c r="AT717" i="7"/>
  <c r="AU717" i="7"/>
  <c r="AV717" i="7"/>
  <c r="AI718" i="7"/>
  <c r="AJ718" i="7"/>
  <c r="AK718" i="7"/>
  <c r="AL718" i="7"/>
  <c r="AM718" i="7"/>
  <c r="AN718" i="7"/>
  <c r="AO718" i="7"/>
  <c r="AP718" i="7"/>
  <c r="AQ718" i="7"/>
  <c r="AR718" i="7"/>
  <c r="AS718" i="7"/>
  <c r="AT718" i="7"/>
  <c r="AU718" i="7"/>
  <c r="AV718" i="7"/>
  <c r="AI719" i="7"/>
  <c r="AJ719" i="7"/>
  <c r="AK719" i="7"/>
  <c r="AL719" i="7"/>
  <c r="AM719" i="7"/>
  <c r="AN719" i="7"/>
  <c r="AO719" i="7"/>
  <c r="AP719" i="7"/>
  <c r="AQ719" i="7"/>
  <c r="AR719" i="7"/>
  <c r="AS719" i="7"/>
  <c r="AT719" i="7"/>
  <c r="AU719" i="7"/>
  <c r="AV719" i="7"/>
  <c r="AI720" i="7"/>
  <c r="AJ720" i="7"/>
  <c r="AK720" i="7"/>
  <c r="AL720" i="7"/>
  <c r="AM720" i="7"/>
  <c r="AN720" i="7"/>
  <c r="AO720" i="7"/>
  <c r="AP720" i="7"/>
  <c r="AQ720" i="7"/>
  <c r="AR720" i="7"/>
  <c r="AS720" i="7"/>
  <c r="AT720" i="7"/>
  <c r="AU720" i="7"/>
  <c r="AV720" i="7"/>
  <c r="AI721" i="7"/>
  <c r="AJ721" i="7"/>
  <c r="AK721" i="7"/>
  <c r="AL721" i="7"/>
  <c r="AM721" i="7"/>
  <c r="AN721" i="7"/>
  <c r="AO721" i="7"/>
  <c r="AP721" i="7"/>
  <c r="AQ721" i="7"/>
  <c r="AR721" i="7"/>
  <c r="AS721" i="7"/>
  <c r="AT721" i="7"/>
  <c r="AU721" i="7"/>
  <c r="AV721" i="7"/>
  <c r="AI722" i="7"/>
  <c r="AJ722" i="7"/>
  <c r="AK722" i="7"/>
  <c r="AL722" i="7"/>
  <c r="AM722" i="7"/>
  <c r="AN722" i="7"/>
  <c r="AO722" i="7"/>
  <c r="AP722" i="7"/>
  <c r="AQ722" i="7"/>
  <c r="AR722" i="7"/>
  <c r="AS722" i="7"/>
  <c r="AT722" i="7"/>
  <c r="AU722" i="7"/>
  <c r="AV722" i="7"/>
  <c r="AI723" i="7"/>
  <c r="AJ723" i="7"/>
  <c r="AK723" i="7"/>
  <c r="AL723" i="7"/>
  <c r="AM723" i="7"/>
  <c r="AN723" i="7"/>
  <c r="AO723" i="7"/>
  <c r="AP723" i="7"/>
  <c r="AQ723" i="7"/>
  <c r="AR723" i="7"/>
  <c r="AS723" i="7"/>
  <c r="AT723" i="7"/>
  <c r="AU723" i="7"/>
  <c r="AV723" i="7"/>
  <c r="AI724" i="7"/>
  <c r="AJ724" i="7"/>
  <c r="AK724" i="7"/>
  <c r="AL724" i="7"/>
  <c r="AM724" i="7"/>
  <c r="AN724" i="7"/>
  <c r="AO724" i="7"/>
  <c r="AP724" i="7"/>
  <c r="AQ724" i="7"/>
  <c r="AR724" i="7"/>
  <c r="AS724" i="7"/>
  <c r="AT724" i="7"/>
  <c r="AU724" i="7"/>
  <c r="AV724" i="7"/>
  <c r="AI725" i="7"/>
  <c r="AJ725" i="7"/>
  <c r="AK725" i="7"/>
  <c r="AL725" i="7"/>
  <c r="AM725" i="7"/>
  <c r="AN725" i="7"/>
  <c r="AO725" i="7"/>
  <c r="AP725" i="7"/>
  <c r="AQ725" i="7"/>
  <c r="AR725" i="7"/>
  <c r="AS725" i="7"/>
  <c r="AT725" i="7"/>
  <c r="AU725" i="7"/>
  <c r="AV725" i="7"/>
  <c r="AI726" i="7"/>
  <c r="AJ726" i="7"/>
  <c r="AK726" i="7"/>
  <c r="AL726" i="7"/>
  <c r="AM726" i="7"/>
  <c r="AN726" i="7"/>
  <c r="AO726" i="7"/>
  <c r="AP726" i="7"/>
  <c r="AQ726" i="7"/>
  <c r="AR726" i="7"/>
  <c r="AS726" i="7"/>
  <c r="AT726" i="7"/>
  <c r="AU726" i="7"/>
  <c r="AV726" i="7"/>
  <c r="AI727" i="7"/>
  <c r="AJ727" i="7"/>
  <c r="AK727" i="7"/>
  <c r="AL727" i="7"/>
  <c r="AM727" i="7"/>
  <c r="AN727" i="7"/>
  <c r="AO727" i="7"/>
  <c r="AP727" i="7"/>
  <c r="AQ727" i="7"/>
  <c r="AR727" i="7"/>
  <c r="AS727" i="7"/>
  <c r="AT727" i="7"/>
  <c r="AU727" i="7"/>
  <c r="AV727" i="7"/>
  <c r="AI728" i="7"/>
  <c r="AJ728" i="7"/>
  <c r="AK728" i="7"/>
  <c r="AL728" i="7"/>
  <c r="AM728" i="7"/>
  <c r="AN728" i="7"/>
  <c r="AO728" i="7"/>
  <c r="AP728" i="7"/>
  <c r="AQ728" i="7"/>
  <c r="AR728" i="7"/>
  <c r="AS728" i="7"/>
  <c r="AT728" i="7"/>
  <c r="AU728" i="7"/>
  <c r="AV728" i="7"/>
  <c r="AI729" i="7"/>
  <c r="AJ729" i="7"/>
  <c r="AK729" i="7"/>
  <c r="AL729" i="7"/>
  <c r="AM729" i="7"/>
  <c r="AN729" i="7"/>
  <c r="AO729" i="7"/>
  <c r="AP729" i="7"/>
  <c r="AQ729" i="7"/>
  <c r="AR729" i="7"/>
  <c r="AS729" i="7"/>
  <c r="AT729" i="7"/>
  <c r="AU729" i="7"/>
  <c r="AV729" i="7"/>
  <c r="AI730" i="7"/>
  <c r="AJ730" i="7"/>
  <c r="AK730" i="7"/>
  <c r="AL730" i="7"/>
  <c r="AM730" i="7"/>
  <c r="AN730" i="7"/>
  <c r="AO730" i="7"/>
  <c r="AP730" i="7"/>
  <c r="AQ730" i="7"/>
  <c r="AR730" i="7"/>
  <c r="AS730" i="7"/>
  <c r="AT730" i="7"/>
  <c r="AU730" i="7"/>
  <c r="AV730" i="7"/>
  <c r="AI731" i="7"/>
  <c r="AJ731" i="7"/>
  <c r="AK731" i="7"/>
  <c r="AL731" i="7"/>
  <c r="AM731" i="7"/>
  <c r="AN731" i="7"/>
  <c r="AO731" i="7"/>
  <c r="AP731" i="7"/>
  <c r="AQ731" i="7"/>
  <c r="AR731" i="7"/>
  <c r="AS731" i="7"/>
  <c r="AT731" i="7"/>
  <c r="AU731" i="7"/>
  <c r="AV731" i="7"/>
  <c r="AI732" i="7"/>
  <c r="AJ732" i="7"/>
  <c r="AK732" i="7"/>
  <c r="AL732" i="7"/>
  <c r="AM732" i="7"/>
  <c r="AN732" i="7"/>
  <c r="AO732" i="7"/>
  <c r="AP732" i="7"/>
  <c r="AQ732" i="7"/>
  <c r="AR732" i="7"/>
  <c r="AS732" i="7"/>
  <c r="AT732" i="7"/>
  <c r="AU732" i="7"/>
  <c r="AV732" i="7"/>
  <c r="AI733" i="7"/>
  <c r="AJ733" i="7"/>
  <c r="AK733" i="7"/>
  <c r="AL733" i="7"/>
  <c r="AM733" i="7"/>
  <c r="AN733" i="7"/>
  <c r="AO733" i="7"/>
  <c r="AP733" i="7"/>
  <c r="AQ733" i="7"/>
  <c r="AR733" i="7"/>
  <c r="AS733" i="7"/>
  <c r="AT733" i="7"/>
  <c r="AU733" i="7"/>
  <c r="AV733" i="7"/>
  <c r="AI734" i="7"/>
  <c r="AJ734" i="7"/>
  <c r="AK734" i="7"/>
  <c r="AL734" i="7"/>
  <c r="AM734" i="7"/>
  <c r="AN734" i="7"/>
  <c r="AO734" i="7"/>
  <c r="AP734" i="7"/>
  <c r="AQ734" i="7"/>
  <c r="AR734" i="7"/>
  <c r="AS734" i="7"/>
  <c r="AT734" i="7"/>
  <c r="AU734" i="7"/>
  <c r="AV734" i="7"/>
  <c r="AI735" i="7"/>
  <c r="AJ735" i="7"/>
  <c r="AK735" i="7"/>
  <c r="AL735" i="7"/>
  <c r="AM735" i="7"/>
  <c r="AN735" i="7"/>
  <c r="AO735" i="7"/>
  <c r="AP735" i="7"/>
  <c r="AQ735" i="7"/>
  <c r="AR735" i="7"/>
  <c r="AS735" i="7"/>
  <c r="AT735" i="7"/>
  <c r="AU735" i="7"/>
  <c r="AV735" i="7"/>
  <c r="AI736" i="7"/>
  <c r="AJ736" i="7"/>
  <c r="AK736" i="7"/>
  <c r="AL736" i="7"/>
  <c r="AM736" i="7"/>
  <c r="AN736" i="7"/>
  <c r="AO736" i="7"/>
  <c r="AP736" i="7"/>
  <c r="AQ736" i="7"/>
  <c r="AR736" i="7"/>
  <c r="AS736" i="7"/>
  <c r="AT736" i="7"/>
  <c r="AU736" i="7"/>
  <c r="AV736" i="7"/>
  <c r="AI737" i="7"/>
  <c r="AJ737" i="7"/>
  <c r="AK737" i="7"/>
  <c r="AL737" i="7"/>
  <c r="AM737" i="7"/>
  <c r="AN737" i="7"/>
  <c r="AO737" i="7"/>
  <c r="AP737" i="7"/>
  <c r="AQ737" i="7"/>
  <c r="AR737" i="7"/>
  <c r="AS737" i="7"/>
  <c r="AT737" i="7"/>
  <c r="AU737" i="7"/>
  <c r="AV737" i="7"/>
  <c r="AI738" i="7"/>
  <c r="AJ738" i="7"/>
  <c r="AK738" i="7"/>
  <c r="AL738" i="7"/>
  <c r="AM738" i="7"/>
  <c r="AN738" i="7"/>
  <c r="AO738" i="7"/>
  <c r="AP738" i="7"/>
  <c r="AQ738" i="7"/>
  <c r="AR738" i="7"/>
  <c r="AS738" i="7"/>
  <c r="AT738" i="7"/>
  <c r="AU738" i="7"/>
  <c r="AV738" i="7"/>
  <c r="AI739" i="7"/>
  <c r="AJ739" i="7"/>
  <c r="AK739" i="7"/>
  <c r="AL739" i="7"/>
  <c r="AM739" i="7"/>
  <c r="AN739" i="7"/>
  <c r="AO739" i="7"/>
  <c r="AP739" i="7"/>
  <c r="AQ739" i="7"/>
  <c r="AR739" i="7"/>
  <c r="AS739" i="7"/>
  <c r="AT739" i="7"/>
  <c r="AU739" i="7"/>
  <c r="AV739" i="7"/>
  <c r="AI740" i="7"/>
  <c r="AJ740" i="7"/>
  <c r="AK740" i="7"/>
  <c r="AL740" i="7"/>
  <c r="AM740" i="7"/>
  <c r="AN740" i="7"/>
  <c r="AO740" i="7"/>
  <c r="AP740" i="7"/>
  <c r="AQ740" i="7"/>
  <c r="AR740" i="7"/>
  <c r="AS740" i="7"/>
  <c r="AT740" i="7"/>
  <c r="AU740" i="7"/>
  <c r="AV740" i="7"/>
  <c r="V740" i="7"/>
  <c r="AI750" i="7"/>
  <c r="AJ750" i="7"/>
  <c r="AK750" i="7"/>
  <c r="AL750" i="7"/>
  <c r="AM750" i="7"/>
  <c r="AN750" i="7"/>
  <c r="AO750" i="7"/>
  <c r="AP750" i="7"/>
  <c r="AQ750" i="7"/>
  <c r="AR750" i="7"/>
  <c r="AS750" i="7"/>
  <c r="AT750" i="7"/>
  <c r="AU750" i="7"/>
  <c r="AV750" i="7"/>
  <c r="AI751" i="7"/>
  <c r="AJ751" i="7"/>
  <c r="AK751" i="7"/>
  <c r="AL751" i="7"/>
  <c r="AM751" i="7"/>
  <c r="AN751" i="7"/>
  <c r="AO751" i="7"/>
  <c r="AP751" i="7"/>
  <c r="AQ751" i="7"/>
  <c r="AR751" i="7"/>
  <c r="AS751" i="7"/>
  <c r="AT751" i="7"/>
  <c r="AU751" i="7"/>
  <c r="AV751" i="7"/>
  <c r="AI752" i="7"/>
  <c r="AJ752" i="7"/>
  <c r="AK752" i="7"/>
  <c r="AL752" i="7"/>
  <c r="AM752" i="7"/>
  <c r="AN752" i="7"/>
  <c r="AO752" i="7"/>
  <c r="AP752" i="7"/>
  <c r="AQ752" i="7"/>
  <c r="AR752" i="7"/>
  <c r="AS752" i="7"/>
  <c r="AT752" i="7"/>
  <c r="AU752" i="7"/>
  <c r="AV752" i="7"/>
  <c r="AI753" i="7"/>
  <c r="AJ753" i="7"/>
  <c r="AK753" i="7"/>
  <c r="AL753" i="7"/>
  <c r="AM753" i="7"/>
  <c r="AN753" i="7"/>
  <c r="AO753" i="7"/>
  <c r="AP753" i="7"/>
  <c r="AQ753" i="7"/>
  <c r="AR753" i="7"/>
  <c r="AS753" i="7"/>
  <c r="AT753" i="7"/>
  <c r="AU753" i="7"/>
  <c r="AV753" i="7"/>
  <c r="AI754" i="7"/>
  <c r="AJ754" i="7"/>
  <c r="AK754" i="7"/>
  <c r="AL754" i="7"/>
  <c r="AM754" i="7"/>
  <c r="AN754" i="7"/>
  <c r="AO754" i="7"/>
  <c r="AP754" i="7"/>
  <c r="AQ754" i="7"/>
  <c r="AR754" i="7"/>
  <c r="AS754" i="7"/>
  <c r="AT754" i="7"/>
  <c r="AU754" i="7"/>
  <c r="AV754" i="7"/>
  <c r="AI755" i="7"/>
  <c r="AJ755" i="7"/>
  <c r="AK755" i="7"/>
  <c r="AL755" i="7"/>
  <c r="AM755" i="7"/>
  <c r="AN755" i="7"/>
  <c r="AO755" i="7"/>
  <c r="AP755" i="7"/>
  <c r="AQ755" i="7"/>
  <c r="AR755" i="7"/>
  <c r="AS755" i="7"/>
  <c r="AT755" i="7"/>
  <c r="AU755" i="7"/>
  <c r="AV755" i="7"/>
  <c r="AI756" i="7"/>
  <c r="AJ756" i="7"/>
  <c r="AK756" i="7"/>
  <c r="AL756" i="7"/>
  <c r="AM756" i="7"/>
  <c r="AN756" i="7"/>
  <c r="AO756" i="7"/>
  <c r="AP756" i="7"/>
  <c r="AQ756" i="7"/>
  <c r="AR756" i="7"/>
  <c r="AS756" i="7"/>
  <c r="AT756" i="7"/>
  <c r="AU756" i="7"/>
  <c r="AV756" i="7"/>
  <c r="AI757" i="7"/>
  <c r="AJ757" i="7"/>
  <c r="AK757" i="7"/>
  <c r="AL757" i="7"/>
  <c r="AM757" i="7"/>
  <c r="AN757" i="7"/>
  <c r="AO757" i="7"/>
  <c r="AP757" i="7"/>
  <c r="AQ757" i="7"/>
  <c r="AR757" i="7"/>
  <c r="AS757" i="7"/>
  <c r="AT757" i="7"/>
  <c r="AU757" i="7"/>
  <c r="AV757" i="7"/>
  <c r="AI758" i="7"/>
  <c r="AJ758" i="7"/>
  <c r="AK758" i="7"/>
  <c r="AL758" i="7"/>
  <c r="AM758" i="7"/>
  <c r="AN758" i="7"/>
  <c r="AO758" i="7"/>
  <c r="AP758" i="7"/>
  <c r="AQ758" i="7"/>
  <c r="AR758" i="7"/>
  <c r="AS758" i="7"/>
  <c r="AT758" i="7"/>
  <c r="AU758" i="7"/>
  <c r="AV758" i="7"/>
  <c r="AI759" i="7"/>
  <c r="AJ759" i="7"/>
  <c r="AK759" i="7"/>
  <c r="AL759" i="7"/>
  <c r="AM759" i="7"/>
  <c r="AN759" i="7"/>
  <c r="AO759" i="7"/>
  <c r="AP759" i="7"/>
  <c r="AQ759" i="7"/>
  <c r="AR759" i="7"/>
  <c r="AS759" i="7"/>
  <c r="AT759" i="7"/>
  <c r="AU759" i="7"/>
  <c r="AV759" i="7"/>
  <c r="AI760" i="7"/>
  <c r="AJ760" i="7"/>
  <c r="AK760" i="7"/>
  <c r="AL760" i="7"/>
  <c r="AM760" i="7"/>
  <c r="AN760" i="7"/>
  <c r="AO760" i="7"/>
  <c r="AP760" i="7"/>
  <c r="AQ760" i="7"/>
  <c r="AR760" i="7"/>
  <c r="AS760" i="7"/>
  <c r="AT760" i="7"/>
  <c r="AU760" i="7"/>
  <c r="AV760" i="7"/>
  <c r="AI761" i="7"/>
  <c r="AJ761" i="7"/>
  <c r="AK761" i="7"/>
  <c r="AL761" i="7"/>
  <c r="AM761" i="7"/>
  <c r="AN761" i="7"/>
  <c r="AO761" i="7"/>
  <c r="AP761" i="7"/>
  <c r="AQ761" i="7"/>
  <c r="AR761" i="7"/>
  <c r="AS761" i="7"/>
  <c r="AT761" i="7"/>
  <c r="AU761" i="7"/>
  <c r="AV761" i="7"/>
  <c r="AI762" i="7"/>
  <c r="AJ762" i="7"/>
  <c r="AK762" i="7"/>
  <c r="AL762" i="7"/>
  <c r="AM762" i="7"/>
  <c r="AN762" i="7"/>
  <c r="AO762" i="7"/>
  <c r="AP762" i="7"/>
  <c r="AQ762" i="7"/>
  <c r="AR762" i="7"/>
  <c r="AS762" i="7"/>
  <c r="AT762" i="7"/>
  <c r="AU762" i="7"/>
  <c r="AV762" i="7"/>
  <c r="AI763" i="7"/>
  <c r="AJ763" i="7"/>
  <c r="AK763" i="7"/>
  <c r="AL763" i="7"/>
  <c r="AM763" i="7"/>
  <c r="AN763" i="7"/>
  <c r="AO763" i="7"/>
  <c r="AP763" i="7"/>
  <c r="AQ763" i="7"/>
  <c r="AR763" i="7"/>
  <c r="AS763" i="7"/>
  <c r="AT763" i="7"/>
  <c r="AU763" i="7"/>
  <c r="AV763" i="7"/>
  <c r="AI764" i="7"/>
  <c r="AJ764" i="7"/>
  <c r="AK764" i="7"/>
  <c r="AL764" i="7"/>
  <c r="AM764" i="7"/>
  <c r="AN764" i="7"/>
  <c r="AO764" i="7"/>
  <c r="AP764" i="7"/>
  <c r="AQ764" i="7"/>
  <c r="AR764" i="7"/>
  <c r="AS764" i="7"/>
  <c r="AT764" i="7"/>
  <c r="AU764" i="7"/>
  <c r="AV764" i="7"/>
  <c r="AI765" i="7"/>
  <c r="AJ765" i="7"/>
  <c r="AK765" i="7"/>
  <c r="AL765" i="7"/>
  <c r="AM765" i="7"/>
  <c r="AN765" i="7"/>
  <c r="AO765" i="7"/>
  <c r="AP765" i="7"/>
  <c r="AQ765" i="7"/>
  <c r="AR765" i="7"/>
  <c r="AS765" i="7"/>
  <c r="AT765" i="7"/>
  <c r="AU765" i="7"/>
  <c r="AV765" i="7"/>
  <c r="AI766" i="7"/>
  <c r="AJ766" i="7"/>
  <c r="AK766" i="7"/>
  <c r="AL766" i="7"/>
  <c r="AM766" i="7"/>
  <c r="AN766" i="7"/>
  <c r="AO766" i="7"/>
  <c r="AP766" i="7"/>
  <c r="AQ766" i="7"/>
  <c r="AR766" i="7"/>
  <c r="AS766" i="7"/>
  <c r="AT766" i="7"/>
  <c r="AU766" i="7"/>
  <c r="AV766" i="7"/>
  <c r="AI767" i="7"/>
  <c r="AJ767" i="7"/>
  <c r="AK767" i="7"/>
  <c r="AL767" i="7"/>
  <c r="AM767" i="7"/>
  <c r="AN767" i="7"/>
  <c r="AO767" i="7"/>
  <c r="AP767" i="7"/>
  <c r="AQ767" i="7"/>
  <c r="AR767" i="7"/>
  <c r="AS767" i="7"/>
  <c r="AT767" i="7"/>
  <c r="AU767" i="7"/>
  <c r="AV767" i="7"/>
  <c r="AI768" i="7"/>
  <c r="AJ768" i="7"/>
  <c r="AK768" i="7"/>
  <c r="AL768" i="7"/>
  <c r="AM768" i="7"/>
  <c r="AN768" i="7"/>
  <c r="AO768" i="7"/>
  <c r="AP768" i="7"/>
  <c r="AQ768" i="7"/>
  <c r="AR768" i="7"/>
  <c r="AS768" i="7"/>
  <c r="AT768" i="7"/>
  <c r="AU768" i="7"/>
  <c r="AV768" i="7"/>
  <c r="AI769" i="7"/>
  <c r="AJ769" i="7"/>
  <c r="AK769" i="7"/>
  <c r="AL769" i="7"/>
  <c r="AM769" i="7"/>
  <c r="AN769" i="7"/>
  <c r="AO769" i="7"/>
  <c r="AP769" i="7"/>
  <c r="AQ769" i="7"/>
  <c r="AR769" i="7"/>
  <c r="AS769" i="7"/>
  <c r="AT769" i="7"/>
  <c r="AU769" i="7"/>
  <c r="AV769" i="7"/>
  <c r="AI770" i="7"/>
  <c r="AJ770" i="7"/>
  <c r="AK770" i="7"/>
  <c r="AL770" i="7"/>
  <c r="AM770" i="7"/>
  <c r="AN770" i="7"/>
  <c r="AO770" i="7"/>
  <c r="AP770" i="7"/>
  <c r="AQ770" i="7"/>
  <c r="AR770" i="7"/>
  <c r="AS770" i="7"/>
  <c r="AT770" i="7"/>
  <c r="AU770" i="7"/>
  <c r="AV770" i="7"/>
  <c r="AI771" i="7"/>
  <c r="AJ771" i="7"/>
  <c r="AK771" i="7"/>
  <c r="AL771" i="7"/>
  <c r="AM771" i="7"/>
  <c r="AN771" i="7"/>
  <c r="AO771" i="7"/>
  <c r="AP771" i="7"/>
  <c r="AQ771" i="7"/>
  <c r="AR771" i="7"/>
  <c r="AS771" i="7"/>
  <c r="AT771" i="7"/>
  <c r="AU771" i="7"/>
  <c r="AV771" i="7"/>
  <c r="AI772" i="7"/>
  <c r="AJ772" i="7"/>
  <c r="AK772" i="7"/>
  <c r="AL772" i="7"/>
  <c r="AM772" i="7"/>
  <c r="AN772" i="7"/>
  <c r="AO772" i="7"/>
  <c r="AP772" i="7"/>
  <c r="AQ772" i="7"/>
  <c r="AR772" i="7"/>
  <c r="AS772" i="7"/>
  <c r="AT772" i="7"/>
  <c r="AU772" i="7"/>
  <c r="AV772" i="7"/>
  <c r="AI773" i="7"/>
  <c r="AJ773" i="7"/>
  <c r="AK773" i="7"/>
  <c r="AL773" i="7"/>
  <c r="AM773" i="7"/>
  <c r="AN773" i="7"/>
  <c r="AO773" i="7"/>
  <c r="AP773" i="7"/>
  <c r="AQ773" i="7"/>
  <c r="AR773" i="7"/>
  <c r="AS773" i="7"/>
  <c r="AT773" i="7"/>
  <c r="AU773" i="7"/>
  <c r="AV773" i="7"/>
  <c r="AI774" i="7"/>
  <c r="AJ774" i="7"/>
  <c r="AK774" i="7"/>
  <c r="AL774" i="7"/>
  <c r="AM774" i="7"/>
  <c r="AN774" i="7"/>
  <c r="AO774" i="7"/>
  <c r="AP774" i="7"/>
  <c r="AQ774" i="7"/>
  <c r="AR774" i="7"/>
  <c r="AS774" i="7"/>
  <c r="AT774" i="7"/>
  <c r="AU774" i="7"/>
  <c r="AV774" i="7"/>
  <c r="AI775" i="7"/>
  <c r="AJ775" i="7"/>
  <c r="AK775" i="7"/>
  <c r="AL775" i="7"/>
  <c r="AM775" i="7"/>
  <c r="AN775" i="7"/>
  <c r="AO775" i="7"/>
  <c r="AP775" i="7"/>
  <c r="AQ775" i="7"/>
  <c r="AR775" i="7"/>
  <c r="AS775" i="7"/>
  <c r="AT775" i="7"/>
  <c r="AU775" i="7"/>
  <c r="AV775" i="7"/>
  <c r="AI776" i="7"/>
  <c r="AJ776" i="7"/>
  <c r="AK776" i="7"/>
  <c r="AL776" i="7"/>
  <c r="AM776" i="7"/>
  <c r="AN776" i="7"/>
  <c r="AO776" i="7"/>
  <c r="AP776" i="7"/>
  <c r="AQ776" i="7"/>
  <c r="AR776" i="7"/>
  <c r="AS776" i="7"/>
  <c r="AT776" i="7"/>
  <c r="AU776" i="7"/>
  <c r="AV776" i="7"/>
  <c r="AI777" i="7"/>
  <c r="AJ777" i="7"/>
  <c r="AK777" i="7"/>
  <c r="AL777" i="7"/>
  <c r="AM777" i="7"/>
  <c r="AN777" i="7"/>
  <c r="AO777" i="7"/>
  <c r="AP777" i="7"/>
  <c r="AQ777" i="7"/>
  <c r="AR777" i="7"/>
  <c r="AS777" i="7"/>
  <c r="AT777" i="7"/>
  <c r="AU777" i="7"/>
  <c r="AV777" i="7"/>
  <c r="AI778" i="7"/>
  <c r="AJ778" i="7"/>
  <c r="AK778" i="7"/>
  <c r="AL778" i="7"/>
  <c r="AM778" i="7"/>
  <c r="AN778" i="7"/>
  <c r="AO778" i="7"/>
  <c r="AP778" i="7"/>
  <c r="AQ778" i="7"/>
  <c r="AR778" i="7"/>
  <c r="AS778" i="7"/>
  <c r="AT778" i="7"/>
  <c r="AU778" i="7"/>
  <c r="AV778" i="7"/>
  <c r="AI779" i="7"/>
  <c r="AJ779" i="7"/>
  <c r="AK779" i="7"/>
  <c r="AL779" i="7"/>
  <c r="AM779" i="7"/>
  <c r="AN779" i="7"/>
  <c r="AO779" i="7"/>
  <c r="AP779" i="7"/>
  <c r="AQ779" i="7"/>
  <c r="AR779" i="7"/>
  <c r="AS779" i="7"/>
  <c r="AT779" i="7"/>
  <c r="AU779" i="7"/>
  <c r="AV779" i="7"/>
  <c r="AI780" i="7"/>
  <c r="AJ780" i="7"/>
  <c r="AK780" i="7"/>
  <c r="AL780" i="7"/>
  <c r="AM780" i="7"/>
  <c r="AN780" i="7"/>
  <c r="AO780" i="7"/>
  <c r="AP780" i="7"/>
  <c r="AQ780" i="7"/>
  <c r="AR780" i="7"/>
  <c r="AS780" i="7"/>
  <c r="AT780" i="7"/>
  <c r="AU780" i="7"/>
  <c r="AV780" i="7"/>
  <c r="AI781" i="7"/>
  <c r="AJ781" i="7"/>
  <c r="AK781" i="7"/>
  <c r="AL781" i="7"/>
  <c r="AM781" i="7"/>
  <c r="AN781" i="7"/>
  <c r="AO781" i="7"/>
  <c r="AP781" i="7"/>
  <c r="AQ781" i="7"/>
  <c r="AR781" i="7"/>
  <c r="AS781" i="7"/>
  <c r="AT781" i="7"/>
  <c r="AU781" i="7"/>
  <c r="AV781" i="7"/>
  <c r="AI782" i="7"/>
  <c r="AJ782" i="7"/>
  <c r="AK782" i="7"/>
  <c r="AL782" i="7"/>
  <c r="AM782" i="7"/>
  <c r="AN782" i="7"/>
  <c r="AO782" i="7"/>
  <c r="AP782" i="7"/>
  <c r="AQ782" i="7"/>
  <c r="AR782" i="7"/>
  <c r="AS782" i="7"/>
  <c r="AT782" i="7"/>
  <c r="AU782" i="7"/>
  <c r="AV782" i="7"/>
  <c r="AI783" i="7"/>
  <c r="AJ783" i="7"/>
  <c r="AK783" i="7"/>
  <c r="AL783" i="7"/>
  <c r="AM783" i="7"/>
  <c r="AN783" i="7"/>
  <c r="AO783" i="7"/>
  <c r="AP783" i="7"/>
  <c r="AQ783" i="7"/>
  <c r="AR783" i="7"/>
  <c r="AS783" i="7"/>
  <c r="AT783" i="7"/>
  <c r="AU783" i="7"/>
  <c r="AV783" i="7"/>
  <c r="AI784" i="7"/>
  <c r="AJ784" i="7"/>
  <c r="AK784" i="7"/>
  <c r="AL784" i="7"/>
  <c r="AM784" i="7"/>
  <c r="AN784" i="7"/>
  <c r="AO784" i="7"/>
  <c r="AP784" i="7"/>
  <c r="AQ784" i="7"/>
  <c r="AR784" i="7"/>
  <c r="AS784" i="7"/>
  <c r="AT784" i="7"/>
  <c r="AU784" i="7"/>
  <c r="AV784" i="7"/>
  <c r="AI785" i="7"/>
  <c r="AJ785" i="7"/>
  <c r="AK785" i="7"/>
  <c r="AL785" i="7"/>
  <c r="AM785" i="7"/>
  <c r="AN785" i="7"/>
  <c r="AO785" i="7"/>
  <c r="AP785" i="7"/>
  <c r="AQ785" i="7"/>
  <c r="AR785" i="7"/>
  <c r="AS785" i="7"/>
  <c r="AT785" i="7"/>
  <c r="AU785" i="7"/>
  <c r="AV785" i="7"/>
  <c r="AI786" i="7"/>
  <c r="AJ786" i="7"/>
  <c r="AK786" i="7"/>
  <c r="AL786" i="7"/>
  <c r="AM786" i="7"/>
  <c r="AN786" i="7"/>
  <c r="AO786" i="7"/>
  <c r="AP786" i="7"/>
  <c r="AQ786" i="7"/>
  <c r="AR786" i="7"/>
  <c r="AS786" i="7"/>
  <c r="AT786" i="7"/>
  <c r="AU786" i="7"/>
  <c r="AV786" i="7"/>
  <c r="AI787" i="7"/>
  <c r="AJ787" i="7"/>
  <c r="AK787" i="7"/>
  <c r="AL787" i="7"/>
  <c r="AM787" i="7"/>
  <c r="AN787" i="7"/>
  <c r="AO787" i="7"/>
  <c r="AP787" i="7"/>
  <c r="AQ787" i="7"/>
  <c r="AR787" i="7"/>
  <c r="AS787" i="7"/>
  <c r="AT787" i="7"/>
  <c r="AU787" i="7"/>
  <c r="AV787" i="7"/>
  <c r="AI788" i="7"/>
  <c r="AJ788" i="7"/>
  <c r="AK788" i="7"/>
  <c r="AL788" i="7"/>
  <c r="AM788" i="7"/>
  <c r="AN788" i="7"/>
  <c r="AO788" i="7"/>
  <c r="AP788" i="7"/>
  <c r="AQ788" i="7"/>
  <c r="AR788" i="7"/>
  <c r="AS788" i="7"/>
  <c r="AT788" i="7"/>
  <c r="AU788" i="7"/>
  <c r="AV788" i="7"/>
  <c r="AI789" i="7"/>
  <c r="AJ789" i="7"/>
  <c r="AK789" i="7"/>
  <c r="AL789" i="7"/>
  <c r="AM789" i="7"/>
  <c r="AN789" i="7"/>
  <c r="AO789" i="7"/>
  <c r="AP789" i="7"/>
  <c r="AQ789" i="7"/>
  <c r="AR789" i="7"/>
  <c r="AS789" i="7"/>
  <c r="AT789" i="7"/>
  <c r="AU789" i="7"/>
  <c r="AV789" i="7"/>
  <c r="AI790" i="7"/>
  <c r="AJ790" i="7"/>
  <c r="AK790" i="7"/>
  <c r="AL790" i="7"/>
  <c r="AM790" i="7"/>
  <c r="AN790" i="7"/>
  <c r="AO790" i="7"/>
  <c r="AP790" i="7"/>
  <c r="AQ790" i="7"/>
  <c r="AR790" i="7"/>
  <c r="AS790" i="7"/>
  <c r="AT790" i="7"/>
  <c r="AU790" i="7"/>
  <c r="AV790" i="7"/>
  <c r="AI791" i="7"/>
  <c r="AJ791" i="7"/>
  <c r="AK791" i="7"/>
  <c r="AL791" i="7"/>
  <c r="AM791" i="7"/>
  <c r="AN791" i="7"/>
  <c r="AO791" i="7"/>
  <c r="AP791" i="7"/>
  <c r="AQ791" i="7"/>
  <c r="AR791" i="7"/>
  <c r="AS791" i="7"/>
  <c r="AT791" i="7"/>
  <c r="AU791" i="7"/>
  <c r="AV791" i="7"/>
  <c r="AI792" i="7"/>
  <c r="AJ792" i="7"/>
  <c r="AK792" i="7"/>
  <c r="AL792" i="7"/>
  <c r="AM792" i="7"/>
  <c r="AN792" i="7"/>
  <c r="AO792" i="7"/>
  <c r="AP792" i="7"/>
  <c r="AQ792" i="7"/>
  <c r="AR792" i="7"/>
  <c r="AS792" i="7"/>
  <c r="AT792" i="7"/>
  <c r="AU792" i="7"/>
  <c r="AV792" i="7"/>
  <c r="AI793" i="7"/>
  <c r="AJ793" i="7"/>
  <c r="AK793" i="7"/>
  <c r="AL793" i="7"/>
  <c r="AM793" i="7"/>
  <c r="AN793" i="7"/>
  <c r="AO793" i="7"/>
  <c r="AP793" i="7"/>
  <c r="AQ793" i="7"/>
  <c r="AR793" i="7"/>
  <c r="AS793" i="7"/>
  <c r="AT793" i="7"/>
  <c r="AU793" i="7"/>
  <c r="AV793" i="7"/>
  <c r="AI794" i="7"/>
  <c r="AJ794" i="7"/>
  <c r="AK794" i="7"/>
  <c r="AL794" i="7"/>
  <c r="AM794" i="7"/>
  <c r="AN794" i="7"/>
  <c r="AO794" i="7"/>
  <c r="AP794" i="7"/>
  <c r="AQ794" i="7"/>
  <c r="AR794" i="7"/>
  <c r="AS794" i="7"/>
  <c r="AT794" i="7"/>
  <c r="AU794" i="7"/>
  <c r="AV794" i="7"/>
  <c r="AI795" i="7"/>
  <c r="AJ795" i="7"/>
  <c r="AK795" i="7"/>
  <c r="AL795" i="7"/>
  <c r="AM795" i="7"/>
  <c r="AN795" i="7"/>
  <c r="AO795" i="7"/>
  <c r="AP795" i="7"/>
  <c r="AQ795" i="7"/>
  <c r="AR795" i="7"/>
  <c r="AS795" i="7"/>
  <c r="AT795" i="7"/>
  <c r="AU795" i="7"/>
  <c r="AV795" i="7"/>
  <c r="AI796" i="7"/>
  <c r="AJ796" i="7"/>
  <c r="AK796" i="7"/>
  <c r="AL796" i="7"/>
  <c r="AM796" i="7"/>
  <c r="AN796" i="7"/>
  <c r="AO796" i="7"/>
  <c r="AP796" i="7"/>
  <c r="AQ796" i="7"/>
  <c r="AR796" i="7"/>
  <c r="AS796" i="7"/>
  <c r="AT796" i="7"/>
  <c r="AU796" i="7"/>
  <c r="AV796" i="7"/>
  <c r="AI797" i="7"/>
  <c r="AJ797" i="7"/>
  <c r="AK797" i="7"/>
  <c r="AL797" i="7"/>
  <c r="AM797" i="7"/>
  <c r="AN797" i="7"/>
  <c r="AO797" i="7"/>
  <c r="AP797" i="7"/>
  <c r="AQ797" i="7"/>
  <c r="AR797" i="7"/>
  <c r="AS797" i="7"/>
  <c r="AT797" i="7"/>
  <c r="AU797" i="7"/>
  <c r="AV797" i="7"/>
  <c r="V797" i="7"/>
  <c r="AI807" i="7"/>
  <c r="AJ807" i="7"/>
  <c r="AK807" i="7"/>
  <c r="AL807" i="7"/>
  <c r="AM807" i="7"/>
  <c r="AN807" i="7"/>
  <c r="AO807" i="7"/>
  <c r="AP807" i="7"/>
  <c r="AQ807" i="7"/>
  <c r="AR807" i="7"/>
  <c r="AS807" i="7"/>
  <c r="AT807" i="7"/>
  <c r="AU807" i="7"/>
  <c r="AV807" i="7"/>
  <c r="AI808" i="7"/>
  <c r="AJ808" i="7"/>
  <c r="AK808" i="7"/>
  <c r="AL808" i="7"/>
  <c r="AM808" i="7"/>
  <c r="AN808" i="7"/>
  <c r="AO808" i="7"/>
  <c r="AP808" i="7"/>
  <c r="AQ808" i="7"/>
  <c r="AR808" i="7"/>
  <c r="AS808" i="7"/>
  <c r="AT808" i="7"/>
  <c r="AU808" i="7"/>
  <c r="AV808" i="7"/>
  <c r="AI809" i="7"/>
  <c r="AJ809" i="7"/>
  <c r="AK809" i="7"/>
  <c r="AL809" i="7"/>
  <c r="AM809" i="7"/>
  <c r="AN809" i="7"/>
  <c r="AO809" i="7"/>
  <c r="AP809" i="7"/>
  <c r="AQ809" i="7"/>
  <c r="AR809" i="7"/>
  <c r="AS809" i="7"/>
  <c r="AT809" i="7"/>
  <c r="AU809" i="7"/>
  <c r="AV809" i="7"/>
  <c r="AI810" i="7"/>
  <c r="AJ810" i="7"/>
  <c r="AK810" i="7"/>
  <c r="AL810" i="7"/>
  <c r="AM810" i="7"/>
  <c r="AN810" i="7"/>
  <c r="AO810" i="7"/>
  <c r="AP810" i="7"/>
  <c r="AQ810" i="7"/>
  <c r="AR810" i="7"/>
  <c r="AS810" i="7"/>
  <c r="AT810" i="7"/>
  <c r="AU810" i="7"/>
  <c r="AV810" i="7"/>
  <c r="AI811" i="7"/>
  <c r="AJ811" i="7"/>
  <c r="AK811" i="7"/>
  <c r="AL811" i="7"/>
  <c r="AM811" i="7"/>
  <c r="AN811" i="7"/>
  <c r="AO811" i="7"/>
  <c r="AP811" i="7"/>
  <c r="AQ811" i="7"/>
  <c r="AR811" i="7"/>
  <c r="AS811" i="7"/>
  <c r="AT811" i="7"/>
  <c r="AU811" i="7"/>
  <c r="AV811" i="7"/>
  <c r="AI812" i="7"/>
  <c r="AJ812" i="7"/>
  <c r="AK812" i="7"/>
  <c r="AL812" i="7"/>
  <c r="AM812" i="7"/>
  <c r="AN812" i="7"/>
  <c r="AO812" i="7"/>
  <c r="AP812" i="7"/>
  <c r="AQ812" i="7"/>
  <c r="AR812" i="7"/>
  <c r="AS812" i="7"/>
  <c r="AT812" i="7"/>
  <c r="AU812" i="7"/>
  <c r="AV812" i="7"/>
  <c r="AI813" i="7"/>
  <c r="AJ813" i="7"/>
  <c r="AK813" i="7"/>
  <c r="AL813" i="7"/>
  <c r="AM813" i="7"/>
  <c r="AN813" i="7"/>
  <c r="AO813" i="7"/>
  <c r="AP813" i="7"/>
  <c r="AQ813" i="7"/>
  <c r="AR813" i="7"/>
  <c r="AS813" i="7"/>
  <c r="AT813" i="7"/>
  <c r="AU813" i="7"/>
  <c r="AV813" i="7"/>
  <c r="AI814" i="7"/>
  <c r="AJ814" i="7"/>
  <c r="AK814" i="7"/>
  <c r="AL814" i="7"/>
  <c r="AM814" i="7"/>
  <c r="AN814" i="7"/>
  <c r="AO814" i="7"/>
  <c r="AP814" i="7"/>
  <c r="AQ814" i="7"/>
  <c r="AR814" i="7"/>
  <c r="AS814" i="7"/>
  <c r="AT814" i="7"/>
  <c r="AU814" i="7"/>
  <c r="AV814" i="7"/>
  <c r="AI815" i="7"/>
  <c r="AJ815" i="7"/>
  <c r="AK815" i="7"/>
  <c r="AL815" i="7"/>
  <c r="AM815" i="7"/>
  <c r="AN815" i="7"/>
  <c r="AO815" i="7"/>
  <c r="AP815" i="7"/>
  <c r="AQ815" i="7"/>
  <c r="AR815" i="7"/>
  <c r="AS815" i="7"/>
  <c r="AT815" i="7"/>
  <c r="AU815" i="7"/>
  <c r="AV815" i="7"/>
  <c r="AI816" i="7"/>
  <c r="AJ816" i="7"/>
  <c r="AK816" i="7"/>
  <c r="AL816" i="7"/>
  <c r="AM816" i="7"/>
  <c r="AN816" i="7"/>
  <c r="AO816" i="7"/>
  <c r="AP816" i="7"/>
  <c r="AQ816" i="7"/>
  <c r="AR816" i="7"/>
  <c r="AS816" i="7"/>
  <c r="AT816" i="7"/>
  <c r="AU816" i="7"/>
  <c r="AV816" i="7"/>
  <c r="AI817" i="7"/>
  <c r="AJ817" i="7"/>
  <c r="AK817" i="7"/>
  <c r="AL817" i="7"/>
  <c r="AM817" i="7"/>
  <c r="AN817" i="7"/>
  <c r="AO817" i="7"/>
  <c r="AP817" i="7"/>
  <c r="AQ817" i="7"/>
  <c r="AR817" i="7"/>
  <c r="AS817" i="7"/>
  <c r="AT817" i="7"/>
  <c r="AU817" i="7"/>
  <c r="AV817" i="7"/>
  <c r="AI818" i="7"/>
  <c r="AJ818" i="7"/>
  <c r="AK818" i="7"/>
  <c r="AL818" i="7"/>
  <c r="AM818" i="7"/>
  <c r="AN818" i="7"/>
  <c r="AO818" i="7"/>
  <c r="AP818" i="7"/>
  <c r="AQ818" i="7"/>
  <c r="AR818" i="7"/>
  <c r="AS818" i="7"/>
  <c r="AT818" i="7"/>
  <c r="AU818" i="7"/>
  <c r="AV818" i="7"/>
  <c r="AI819" i="7"/>
  <c r="AJ819" i="7"/>
  <c r="AK819" i="7"/>
  <c r="AL819" i="7"/>
  <c r="AM819" i="7"/>
  <c r="AN819" i="7"/>
  <c r="AO819" i="7"/>
  <c r="AP819" i="7"/>
  <c r="AQ819" i="7"/>
  <c r="AR819" i="7"/>
  <c r="AS819" i="7"/>
  <c r="AT819" i="7"/>
  <c r="AU819" i="7"/>
  <c r="AV819" i="7"/>
  <c r="AI820" i="7"/>
  <c r="AJ820" i="7"/>
  <c r="AK820" i="7"/>
  <c r="AL820" i="7"/>
  <c r="AM820" i="7"/>
  <c r="AN820" i="7"/>
  <c r="AO820" i="7"/>
  <c r="AP820" i="7"/>
  <c r="AQ820" i="7"/>
  <c r="AR820" i="7"/>
  <c r="AS820" i="7"/>
  <c r="AT820" i="7"/>
  <c r="AU820" i="7"/>
  <c r="AV820" i="7"/>
  <c r="AI821" i="7"/>
  <c r="AJ821" i="7"/>
  <c r="AK821" i="7"/>
  <c r="AL821" i="7"/>
  <c r="AM821" i="7"/>
  <c r="AN821" i="7"/>
  <c r="AO821" i="7"/>
  <c r="AP821" i="7"/>
  <c r="AQ821" i="7"/>
  <c r="AR821" i="7"/>
  <c r="AS821" i="7"/>
  <c r="AT821" i="7"/>
  <c r="AU821" i="7"/>
  <c r="AV821" i="7"/>
  <c r="AI822" i="7"/>
  <c r="AJ822" i="7"/>
  <c r="AK822" i="7"/>
  <c r="AL822" i="7"/>
  <c r="AM822" i="7"/>
  <c r="AN822" i="7"/>
  <c r="AO822" i="7"/>
  <c r="AP822" i="7"/>
  <c r="AQ822" i="7"/>
  <c r="AR822" i="7"/>
  <c r="AS822" i="7"/>
  <c r="AT822" i="7"/>
  <c r="AU822" i="7"/>
  <c r="AV822" i="7"/>
  <c r="AI823" i="7"/>
  <c r="AJ823" i="7"/>
  <c r="AK823" i="7"/>
  <c r="AL823" i="7"/>
  <c r="AM823" i="7"/>
  <c r="AN823" i="7"/>
  <c r="AO823" i="7"/>
  <c r="AP823" i="7"/>
  <c r="AQ823" i="7"/>
  <c r="AR823" i="7"/>
  <c r="AS823" i="7"/>
  <c r="AT823" i="7"/>
  <c r="AU823" i="7"/>
  <c r="AV823" i="7"/>
  <c r="AI824" i="7"/>
  <c r="AJ824" i="7"/>
  <c r="AK824" i="7"/>
  <c r="AL824" i="7"/>
  <c r="AM824" i="7"/>
  <c r="AN824" i="7"/>
  <c r="AO824" i="7"/>
  <c r="AP824" i="7"/>
  <c r="AQ824" i="7"/>
  <c r="AR824" i="7"/>
  <c r="AS824" i="7"/>
  <c r="AT824" i="7"/>
  <c r="AU824" i="7"/>
  <c r="AV824" i="7"/>
  <c r="AI825" i="7"/>
  <c r="AJ825" i="7"/>
  <c r="AK825" i="7"/>
  <c r="AL825" i="7"/>
  <c r="AM825" i="7"/>
  <c r="AN825" i="7"/>
  <c r="AO825" i="7"/>
  <c r="AP825" i="7"/>
  <c r="AQ825" i="7"/>
  <c r="AR825" i="7"/>
  <c r="AS825" i="7"/>
  <c r="AT825" i="7"/>
  <c r="AU825" i="7"/>
  <c r="AV825" i="7"/>
  <c r="AI826" i="7"/>
  <c r="AJ826" i="7"/>
  <c r="AK826" i="7"/>
  <c r="AL826" i="7"/>
  <c r="AM826" i="7"/>
  <c r="AN826" i="7"/>
  <c r="AO826" i="7"/>
  <c r="AP826" i="7"/>
  <c r="AQ826" i="7"/>
  <c r="AR826" i="7"/>
  <c r="AS826" i="7"/>
  <c r="AT826" i="7"/>
  <c r="AU826" i="7"/>
  <c r="AV826" i="7"/>
  <c r="AI827" i="7"/>
  <c r="AJ827" i="7"/>
  <c r="AK827" i="7"/>
  <c r="AL827" i="7"/>
  <c r="AM827" i="7"/>
  <c r="AN827" i="7"/>
  <c r="AO827" i="7"/>
  <c r="AP827" i="7"/>
  <c r="AQ827" i="7"/>
  <c r="AR827" i="7"/>
  <c r="AS827" i="7"/>
  <c r="AT827" i="7"/>
  <c r="AU827" i="7"/>
  <c r="AV827" i="7"/>
  <c r="AI828" i="7"/>
  <c r="AJ828" i="7"/>
  <c r="AK828" i="7"/>
  <c r="AL828" i="7"/>
  <c r="AM828" i="7"/>
  <c r="AN828" i="7"/>
  <c r="AO828" i="7"/>
  <c r="AP828" i="7"/>
  <c r="AQ828" i="7"/>
  <c r="AR828" i="7"/>
  <c r="AS828" i="7"/>
  <c r="AT828" i="7"/>
  <c r="AU828" i="7"/>
  <c r="AV828" i="7"/>
  <c r="AI829" i="7"/>
  <c r="AJ829" i="7"/>
  <c r="AK829" i="7"/>
  <c r="AL829" i="7"/>
  <c r="AM829" i="7"/>
  <c r="AN829" i="7"/>
  <c r="AO829" i="7"/>
  <c r="AP829" i="7"/>
  <c r="AQ829" i="7"/>
  <c r="AR829" i="7"/>
  <c r="AS829" i="7"/>
  <c r="AT829" i="7"/>
  <c r="AU829" i="7"/>
  <c r="AV829" i="7"/>
  <c r="AI830" i="7"/>
  <c r="AJ830" i="7"/>
  <c r="AK830" i="7"/>
  <c r="AL830" i="7"/>
  <c r="AM830" i="7"/>
  <c r="AN830" i="7"/>
  <c r="AO830" i="7"/>
  <c r="AP830" i="7"/>
  <c r="AQ830" i="7"/>
  <c r="AR830" i="7"/>
  <c r="AS830" i="7"/>
  <c r="AT830" i="7"/>
  <c r="AU830" i="7"/>
  <c r="AV830" i="7"/>
  <c r="AI831" i="7"/>
  <c r="AJ831" i="7"/>
  <c r="AK831" i="7"/>
  <c r="AL831" i="7"/>
  <c r="AM831" i="7"/>
  <c r="AN831" i="7"/>
  <c r="AO831" i="7"/>
  <c r="AP831" i="7"/>
  <c r="AQ831" i="7"/>
  <c r="AR831" i="7"/>
  <c r="AS831" i="7"/>
  <c r="AT831" i="7"/>
  <c r="AU831" i="7"/>
  <c r="AV831" i="7"/>
  <c r="AI832" i="7"/>
  <c r="AJ832" i="7"/>
  <c r="AK832" i="7"/>
  <c r="AL832" i="7"/>
  <c r="AM832" i="7"/>
  <c r="AN832" i="7"/>
  <c r="AO832" i="7"/>
  <c r="AP832" i="7"/>
  <c r="AQ832" i="7"/>
  <c r="AR832" i="7"/>
  <c r="AS832" i="7"/>
  <c r="AT832" i="7"/>
  <c r="AU832" i="7"/>
  <c r="AV832" i="7"/>
  <c r="AI833" i="7"/>
  <c r="AJ833" i="7"/>
  <c r="AK833" i="7"/>
  <c r="AL833" i="7"/>
  <c r="AM833" i="7"/>
  <c r="AN833" i="7"/>
  <c r="AO833" i="7"/>
  <c r="AP833" i="7"/>
  <c r="AQ833" i="7"/>
  <c r="AR833" i="7"/>
  <c r="AS833" i="7"/>
  <c r="AT833" i="7"/>
  <c r="AU833" i="7"/>
  <c r="AV833" i="7"/>
  <c r="AI834" i="7"/>
  <c r="AJ834" i="7"/>
  <c r="AK834" i="7"/>
  <c r="AL834" i="7"/>
  <c r="AM834" i="7"/>
  <c r="AN834" i="7"/>
  <c r="AO834" i="7"/>
  <c r="AP834" i="7"/>
  <c r="AQ834" i="7"/>
  <c r="AR834" i="7"/>
  <c r="AS834" i="7"/>
  <c r="AT834" i="7"/>
  <c r="AU834" i="7"/>
  <c r="AV834" i="7"/>
  <c r="AI835" i="7"/>
  <c r="AJ835" i="7"/>
  <c r="AK835" i="7"/>
  <c r="AL835" i="7"/>
  <c r="AM835" i="7"/>
  <c r="AN835" i="7"/>
  <c r="AO835" i="7"/>
  <c r="AP835" i="7"/>
  <c r="AQ835" i="7"/>
  <c r="AR835" i="7"/>
  <c r="AS835" i="7"/>
  <c r="AT835" i="7"/>
  <c r="AU835" i="7"/>
  <c r="AV835" i="7"/>
  <c r="AI836" i="7"/>
  <c r="AJ836" i="7"/>
  <c r="AK836" i="7"/>
  <c r="AL836" i="7"/>
  <c r="AM836" i="7"/>
  <c r="AN836" i="7"/>
  <c r="AO836" i="7"/>
  <c r="AP836" i="7"/>
  <c r="AQ836" i="7"/>
  <c r="AR836" i="7"/>
  <c r="AS836" i="7"/>
  <c r="AT836" i="7"/>
  <c r="AU836" i="7"/>
  <c r="AV836" i="7"/>
  <c r="AI837" i="7"/>
  <c r="AJ837" i="7"/>
  <c r="AK837" i="7"/>
  <c r="AL837" i="7"/>
  <c r="AM837" i="7"/>
  <c r="AN837" i="7"/>
  <c r="AO837" i="7"/>
  <c r="AP837" i="7"/>
  <c r="AQ837" i="7"/>
  <c r="AR837" i="7"/>
  <c r="AS837" i="7"/>
  <c r="AT837" i="7"/>
  <c r="AU837" i="7"/>
  <c r="AV837" i="7"/>
  <c r="AI838" i="7"/>
  <c r="AJ838" i="7"/>
  <c r="AK838" i="7"/>
  <c r="AL838" i="7"/>
  <c r="AM838" i="7"/>
  <c r="AN838" i="7"/>
  <c r="AO838" i="7"/>
  <c r="AP838" i="7"/>
  <c r="AQ838" i="7"/>
  <c r="AR838" i="7"/>
  <c r="AS838" i="7"/>
  <c r="AT838" i="7"/>
  <c r="AU838" i="7"/>
  <c r="AV838" i="7"/>
  <c r="AI839" i="7"/>
  <c r="AJ839" i="7"/>
  <c r="AK839" i="7"/>
  <c r="AL839" i="7"/>
  <c r="AM839" i="7"/>
  <c r="AN839" i="7"/>
  <c r="AO839" i="7"/>
  <c r="AP839" i="7"/>
  <c r="AQ839" i="7"/>
  <c r="AR839" i="7"/>
  <c r="AS839" i="7"/>
  <c r="AT839" i="7"/>
  <c r="AU839" i="7"/>
  <c r="AV839" i="7"/>
  <c r="AI840" i="7"/>
  <c r="AJ840" i="7"/>
  <c r="AK840" i="7"/>
  <c r="AL840" i="7"/>
  <c r="AM840" i="7"/>
  <c r="AN840" i="7"/>
  <c r="AO840" i="7"/>
  <c r="AP840" i="7"/>
  <c r="AQ840" i="7"/>
  <c r="AR840" i="7"/>
  <c r="AS840" i="7"/>
  <c r="AT840" i="7"/>
  <c r="AU840" i="7"/>
  <c r="AV840" i="7"/>
  <c r="AI841" i="7"/>
  <c r="AJ841" i="7"/>
  <c r="AK841" i="7"/>
  <c r="AL841" i="7"/>
  <c r="AM841" i="7"/>
  <c r="AN841" i="7"/>
  <c r="AO841" i="7"/>
  <c r="AP841" i="7"/>
  <c r="AQ841" i="7"/>
  <c r="AR841" i="7"/>
  <c r="AS841" i="7"/>
  <c r="AT841" i="7"/>
  <c r="AU841" i="7"/>
  <c r="AV841" i="7"/>
  <c r="AI842" i="7"/>
  <c r="AJ842" i="7"/>
  <c r="AK842" i="7"/>
  <c r="AL842" i="7"/>
  <c r="AM842" i="7"/>
  <c r="AN842" i="7"/>
  <c r="AO842" i="7"/>
  <c r="AP842" i="7"/>
  <c r="AQ842" i="7"/>
  <c r="AR842" i="7"/>
  <c r="AS842" i="7"/>
  <c r="AT842" i="7"/>
  <c r="AU842" i="7"/>
  <c r="AV842" i="7"/>
  <c r="AI843" i="7"/>
  <c r="AJ843" i="7"/>
  <c r="AK843" i="7"/>
  <c r="AL843" i="7"/>
  <c r="AM843" i="7"/>
  <c r="AN843" i="7"/>
  <c r="AO843" i="7"/>
  <c r="AP843" i="7"/>
  <c r="AQ843" i="7"/>
  <c r="AR843" i="7"/>
  <c r="AS843" i="7"/>
  <c r="AT843" i="7"/>
  <c r="AU843" i="7"/>
  <c r="AV843" i="7"/>
  <c r="AI844" i="7"/>
  <c r="AJ844" i="7"/>
  <c r="AK844" i="7"/>
  <c r="AL844" i="7"/>
  <c r="AM844" i="7"/>
  <c r="AN844" i="7"/>
  <c r="AO844" i="7"/>
  <c r="AP844" i="7"/>
  <c r="AQ844" i="7"/>
  <c r="AR844" i="7"/>
  <c r="AS844" i="7"/>
  <c r="AT844" i="7"/>
  <c r="AU844" i="7"/>
  <c r="AV844" i="7"/>
  <c r="AI845" i="7"/>
  <c r="AJ845" i="7"/>
  <c r="AK845" i="7"/>
  <c r="AL845" i="7"/>
  <c r="AM845" i="7"/>
  <c r="AN845" i="7"/>
  <c r="AO845" i="7"/>
  <c r="AP845" i="7"/>
  <c r="AQ845" i="7"/>
  <c r="AR845" i="7"/>
  <c r="AS845" i="7"/>
  <c r="AT845" i="7"/>
  <c r="AU845" i="7"/>
  <c r="AV845" i="7"/>
  <c r="AI846" i="7"/>
  <c r="AJ846" i="7"/>
  <c r="AK846" i="7"/>
  <c r="AL846" i="7"/>
  <c r="AM846" i="7"/>
  <c r="AN846" i="7"/>
  <c r="AO846" i="7"/>
  <c r="AP846" i="7"/>
  <c r="AQ846" i="7"/>
  <c r="AR846" i="7"/>
  <c r="AS846" i="7"/>
  <c r="AT846" i="7"/>
  <c r="AU846" i="7"/>
  <c r="AV846" i="7"/>
  <c r="AI847" i="7"/>
  <c r="AJ847" i="7"/>
  <c r="AK847" i="7"/>
  <c r="AL847" i="7"/>
  <c r="AM847" i="7"/>
  <c r="AN847" i="7"/>
  <c r="AO847" i="7"/>
  <c r="AP847" i="7"/>
  <c r="AQ847" i="7"/>
  <c r="AR847" i="7"/>
  <c r="AS847" i="7"/>
  <c r="AT847" i="7"/>
  <c r="AU847" i="7"/>
  <c r="AV847" i="7"/>
  <c r="AI848" i="7"/>
  <c r="AJ848" i="7"/>
  <c r="AK848" i="7"/>
  <c r="AL848" i="7"/>
  <c r="AM848" i="7"/>
  <c r="AN848" i="7"/>
  <c r="AO848" i="7"/>
  <c r="AP848" i="7"/>
  <c r="AQ848" i="7"/>
  <c r="AR848" i="7"/>
  <c r="AS848" i="7"/>
  <c r="AT848" i="7"/>
  <c r="AU848" i="7"/>
  <c r="AV848" i="7"/>
  <c r="AI849" i="7"/>
  <c r="AJ849" i="7"/>
  <c r="AK849" i="7"/>
  <c r="AL849" i="7"/>
  <c r="AM849" i="7"/>
  <c r="AN849" i="7"/>
  <c r="AO849" i="7"/>
  <c r="AP849" i="7"/>
  <c r="AQ849" i="7"/>
  <c r="AR849" i="7"/>
  <c r="AS849" i="7"/>
  <c r="AT849" i="7"/>
  <c r="AU849" i="7"/>
  <c r="AV849" i="7"/>
  <c r="AI850" i="7"/>
  <c r="AJ850" i="7"/>
  <c r="AK850" i="7"/>
  <c r="AL850" i="7"/>
  <c r="AM850" i="7"/>
  <c r="AN850" i="7"/>
  <c r="AO850" i="7"/>
  <c r="AP850" i="7"/>
  <c r="AQ850" i="7"/>
  <c r="AR850" i="7"/>
  <c r="AS850" i="7"/>
  <c r="AT850" i="7"/>
  <c r="AU850" i="7"/>
  <c r="AV850" i="7"/>
  <c r="AI851" i="7"/>
  <c r="AJ851" i="7"/>
  <c r="AK851" i="7"/>
  <c r="AL851" i="7"/>
  <c r="AM851" i="7"/>
  <c r="AN851" i="7"/>
  <c r="AO851" i="7"/>
  <c r="AP851" i="7"/>
  <c r="AQ851" i="7"/>
  <c r="AR851" i="7"/>
  <c r="AS851" i="7"/>
  <c r="AT851" i="7"/>
  <c r="AU851" i="7"/>
  <c r="AV851" i="7"/>
  <c r="AI852" i="7"/>
  <c r="AJ852" i="7"/>
  <c r="AK852" i="7"/>
  <c r="AL852" i="7"/>
  <c r="AM852" i="7"/>
  <c r="AN852" i="7"/>
  <c r="AO852" i="7"/>
  <c r="AP852" i="7"/>
  <c r="AQ852" i="7"/>
  <c r="AR852" i="7"/>
  <c r="AS852" i="7"/>
  <c r="AT852" i="7"/>
  <c r="AU852" i="7"/>
  <c r="AV852" i="7"/>
  <c r="AI853" i="7"/>
  <c r="AJ853" i="7"/>
  <c r="AK853" i="7"/>
  <c r="AL853" i="7"/>
  <c r="AM853" i="7"/>
  <c r="AN853" i="7"/>
  <c r="AO853" i="7"/>
  <c r="AP853" i="7"/>
  <c r="AQ853" i="7"/>
  <c r="AR853" i="7"/>
  <c r="AS853" i="7"/>
  <c r="AT853" i="7"/>
  <c r="AU853" i="7"/>
  <c r="AV853" i="7"/>
  <c r="AI854" i="7"/>
  <c r="AJ854" i="7"/>
  <c r="AK854" i="7"/>
  <c r="AL854" i="7"/>
  <c r="AM854" i="7"/>
  <c r="AN854" i="7"/>
  <c r="AO854" i="7"/>
  <c r="AP854" i="7"/>
  <c r="AQ854" i="7"/>
  <c r="AR854" i="7"/>
  <c r="AS854" i="7"/>
  <c r="AT854" i="7"/>
  <c r="AU854" i="7"/>
  <c r="AV854" i="7"/>
  <c r="V854" i="7"/>
  <c r="BR908" i="7"/>
  <c r="AI864" i="7"/>
  <c r="AJ864" i="7"/>
  <c r="AK864" i="7"/>
  <c r="AL864" i="7"/>
  <c r="AM864" i="7"/>
  <c r="AN864" i="7"/>
  <c r="AO864" i="7"/>
  <c r="AP864" i="7"/>
  <c r="AQ864" i="7"/>
  <c r="AR864" i="7"/>
  <c r="AS864" i="7"/>
  <c r="AT864" i="7"/>
  <c r="AU864" i="7"/>
  <c r="AV864" i="7"/>
  <c r="AI865" i="7"/>
  <c r="AJ865" i="7"/>
  <c r="AK865" i="7"/>
  <c r="AL865" i="7"/>
  <c r="AM865" i="7"/>
  <c r="AN865" i="7"/>
  <c r="AO865" i="7"/>
  <c r="AP865" i="7"/>
  <c r="AQ865" i="7"/>
  <c r="AR865" i="7"/>
  <c r="AS865" i="7"/>
  <c r="AT865" i="7"/>
  <c r="AU865" i="7"/>
  <c r="AV865" i="7"/>
  <c r="AI866" i="7"/>
  <c r="AJ866" i="7"/>
  <c r="AK866" i="7"/>
  <c r="AL866" i="7"/>
  <c r="AM866" i="7"/>
  <c r="AN866" i="7"/>
  <c r="AO866" i="7"/>
  <c r="AP866" i="7"/>
  <c r="AQ866" i="7"/>
  <c r="AR866" i="7"/>
  <c r="AS866" i="7"/>
  <c r="AT866" i="7"/>
  <c r="AU866" i="7"/>
  <c r="AV866" i="7"/>
  <c r="AI867" i="7"/>
  <c r="AJ867" i="7"/>
  <c r="AK867" i="7"/>
  <c r="AL867" i="7"/>
  <c r="AM867" i="7"/>
  <c r="AN867" i="7"/>
  <c r="AO867" i="7"/>
  <c r="AP867" i="7"/>
  <c r="AQ867" i="7"/>
  <c r="AR867" i="7"/>
  <c r="AS867" i="7"/>
  <c r="AT867" i="7"/>
  <c r="AU867" i="7"/>
  <c r="AV867" i="7"/>
  <c r="AI868" i="7"/>
  <c r="AJ868" i="7"/>
  <c r="AK868" i="7"/>
  <c r="AL868" i="7"/>
  <c r="AM868" i="7"/>
  <c r="AN868" i="7"/>
  <c r="AO868" i="7"/>
  <c r="AP868" i="7"/>
  <c r="AQ868" i="7"/>
  <c r="AR868" i="7"/>
  <c r="AS868" i="7"/>
  <c r="AT868" i="7"/>
  <c r="AU868" i="7"/>
  <c r="AV868" i="7"/>
  <c r="AI869" i="7"/>
  <c r="AJ869" i="7"/>
  <c r="AK869" i="7"/>
  <c r="AL869" i="7"/>
  <c r="AM869" i="7"/>
  <c r="AN869" i="7"/>
  <c r="AO869" i="7"/>
  <c r="AP869" i="7"/>
  <c r="AQ869" i="7"/>
  <c r="AR869" i="7"/>
  <c r="AS869" i="7"/>
  <c r="AT869" i="7"/>
  <c r="AU869" i="7"/>
  <c r="AV869" i="7"/>
  <c r="AI870" i="7"/>
  <c r="AJ870" i="7"/>
  <c r="AK870" i="7"/>
  <c r="AL870" i="7"/>
  <c r="AM870" i="7"/>
  <c r="AN870" i="7"/>
  <c r="AO870" i="7"/>
  <c r="AP870" i="7"/>
  <c r="AQ870" i="7"/>
  <c r="AR870" i="7"/>
  <c r="AS870" i="7"/>
  <c r="AT870" i="7"/>
  <c r="AU870" i="7"/>
  <c r="AV870" i="7"/>
  <c r="AI871" i="7"/>
  <c r="AJ871" i="7"/>
  <c r="AK871" i="7"/>
  <c r="AL871" i="7"/>
  <c r="AM871" i="7"/>
  <c r="AN871" i="7"/>
  <c r="AO871" i="7"/>
  <c r="AP871" i="7"/>
  <c r="AQ871" i="7"/>
  <c r="AR871" i="7"/>
  <c r="AS871" i="7"/>
  <c r="AT871" i="7"/>
  <c r="AU871" i="7"/>
  <c r="AV871" i="7"/>
  <c r="AI872" i="7"/>
  <c r="AJ872" i="7"/>
  <c r="AK872" i="7"/>
  <c r="AL872" i="7"/>
  <c r="AM872" i="7"/>
  <c r="AN872" i="7"/>
  <c r="AO872" i="7"/>
  <c r="AP872" i="7"/>
  <c r="AQ872" i="7"/>
  <c r="AR872" i="7"/>
  <c r="AS872" i="7"/>
  <c r="AT872" i="7"/>
  <c r="AU872" i="7"/>
  <c r="AV872" i="7"/>
  <c r="AI873" i="7"/>
  <c r="AJ873" i="7"/>
  <c r="AK873" i="7"/>
  <c r="AL873" i="7"/>
  <c r="AM873" i="7"/>
  <c r="AN873" i="7"/>
  <c r="AO873" i="7"/>
  <c r="AP873" i="7"/>
  <c r="AQ873" i="7"/>
  <c r="AR873" i="7"/>
  <c r="AS873" i="7"/>
  <c r="AT873" i="7"/>
  <c r="AU873" i="7"/>
  <c r="AV873" i="7"/>
  <c r="AI874" i="7"/>
  <c r="AJ874" i="7"/>
  <c r="AK874" i="7"/>
  <c r="AL874" i="7"/>
  <c r="AM874" i="7"/>
  <c r="AN874" i="7"/>
  <c r="AO874" i="7"/>
  <c r="AP874" i="7"/>
  <c r="AQ874" i="7"/>
  <c r="AR874" i="7"/>
  <c r="AS874" i="7"/>
  <c r="AT874" i="7"/>
  <c r="AU874" i="7"/>
  <c r="AV874" i="7"/>
  <c r="AI875" i="7"/>
  <c r="AJ875" i="7"/>
  <c r="AK875" i="7"/>
  <c r="AL875" i="7"/>
  <c r="AM875" i="7"/>
  <c r="AN875" i="7"/>
  <c r="AO875" i="7"/>
  <c r="AP875" i="7"/>
  <c r="AQ875" i="7"/>
  <c r="AR875" i="7"/>
  <c r="AS875" i="7"/>
  <c r="AT875" i="7"/>
  <c r="AU875" i="7"/>
  <c r="AV875" i="7"/>
  <c r="AI876" i="7"/>
  <c r="AJ876" i="7"/>
  <c r="AK876" i="7"/>
  <c r="AL876" i="7"/>
  <c r="AM876" i="7"/>
  <c r="AN876" i="7"/>
  <c r="AO876" i="7"/>
  <c r="AP876" i="7"/>
  <c r="AQ876" i="7"/>
  <c r="AR876" i="7"/>
  <c r="AS876" i="7"/>
  <c r="AT876" i="7"/>
  <c r="AU876" i="7"/>
  <c r="AV876" i="7"/>
  <c r="AI877" i="7"/>
  <c r="AJ877" i="7"/>
  <c r="AK877" i="7"/>
  <c r="AL877" i="7"/>
  <c r="AM877" i="7"/>
  <c r="AN877" i="7"/>
  <c r="AO877" i="7"/>
  <c r="AP877" i="7"/>
  <c r="AQ877" i="7"/>
  <c r="AR877" i="7"/>
  <c r="AS877" i="7"/>
  <c r="AT877" i="7"/>
  <c r="AU877" i="7"/>
  <c r="AV877" i="7"/>
  <c r="AI878" i="7"/>
  <c r="AJ878" i="7"/>
  <c r="AK878" i="7"/>
  <c r="AL878" i="7"/>
  <c r="AM878" i="7"/>
  <c r="AN878" i="7"/>
  <c r="AO878" i="7"/>
  <c r="AP878" i="7"/>
  <c r="AQ878" i="7"/>
  <c r="AR878" i="7"/>
  <c r="AS878" i="7"/>
  <c r="AT878" i="7"/>
  <c r="AU878" i="7"/>
  <c r="AV878" i="7"/>
  <c r="AI879" i="7"/>
  <c r="AJ879" i="7"/>
  <c r="AK879" i="7"/>
  <c r="AL879" i="7"/>
  <c r="AM879" i="7"/>
  <c r="AN879" i="7"/>
  <c r="AO879" i="7"/>
  <c r="AP879" i="7"/>
  <c r="AQ879" i="7"/>
  <c r="AR879" i="7"/>
  <c r="AS879" i="7"/>
  <c r="AT879" i="7"/>
  <c r="AU879" i="7"/>
  <c r="AV879" i="7"/>
  <c r="AI880" i="7"/>
  <c r="AJ880" i="7"/>
  <c r="AK880" i="7"/>
  <c r="AL880" i="7"/>
  <c r="AM880" i="7"/>
  <c r="AN880" i="7"/>
  <c r="AO880" i="7"/>
  <c r="AP880" i="7"/>
  <c r="AQ880" i="7"/>
  <c r="AR880" i="7"/>
  <c r="AS880" i="7"/>
  <c r="AT880" i="7"/>
  <c r="AU880" i="7"/>
  <c r="AV880" i="7"/>
  <c r="AI881" i="7"/>
  <c r="AJ881" i="7"/>
  <c r="AK881" i="7"/>
  <c r="AL881" i="7"/>
  <c r="AM881" i="7"/>
  <c r="AN881" i="7"/>
  <c r="AO881" i="7"/>
  <c r="AP881" i="7"/>
  <c r="AQ881" i="7"/>
  <c r="AR881" i="7"/>
  <c r="AS881" i="7"/>
  <c r="AT881" i="7"/>
  <c r="AU881" i="7"/>
  <c r="AV881" i="7"/>
  <c r="AI882" i="7"/>
  <c r="AJ882" i="7"/>
  <c r="AK882" i="7"/>
  <c r="AL882" i="7"/>
  <c r="AM882" i="7"/>
  <c r="AN882" i="7"/>
  <c r="AO882" i="7"/>
  <c r="AP882" i="7"/>
  <c r="AQ882" i="7"/>
  <c r="AR882" i="7"/>
  <c r="AS882" i="7"/>
  <c r="AT882" i="7"/>
  <c r="AU882" i="7"/>
  <c r="AV882" i="7"/>
  <c r="AI883" i="7"/>
  <c r="AJ883" i="7"/>
  <c r="AK883" i="7"/>
  <c r="AL883" i="7"/>
  <c r="AM883" i="7"/>
  <c r="AN883" i="7"/>
  <c r="AO883" i="7"/>
  <c r="AP883" i="7"/>
  <c r="AQ883" i="7"/>
  <c r="AR883" i="7"/>
  <c r="AS883" i="7"/>
  <c r="AT883" i="7"/>
  <c r="AU883" i="7"/>
  <c r="AV883" i="7"/>
  <c r="AI884" i="7"/>
  <c r="AJ884" i="7"/>
  <c r="AK884" i="7"/>
  <c r="AL884" i="7"/>
  <c r="AM884" i="7"/>
  <c r="AN884" i="7"/>
  <c r="AO884" i="7"/>
  <c r="AP884" i="7"/>
  <c r="AQ884" i="7"/>
  <c r="AR884" i="7"/>
  <c r="AS884" i="7"/>
  <c r="AT884" i="7"/>
  <c r="AU884" i="7"/>
  <c r="AV884" i="7"/>
  <c r="AI885" i="7"/>
  <c r="AJ885" i="7"/>
  <c r="AK885" i="7"/>
  <c r="AL885" i="7"/>
  <c r="AM885" i="7"/>
  <c r="AN885" i="7"/>
  <c r="AO885" i="7"/>
  <c r="AP885" i="7"/>
  <c r="AQ885" i="7"/>
  <c r="AR885" i="7"/>
  <c r="AS885" i="7"/>
  <c r="AT885" i="7"/>
  <c r="AU885" i="7"/>
  <c r="AV885" i="7"/>
  <c r="AI886" i="7"/>
  <c r="AJ886" i="7"/>
  <c r="AK886" i="7"/>
  <c r="AL886" i="7"/>
  <c r="AM886" i="7"/>
  <c r="AN886" i="7"/>
  <c r="AO886" i="7"/>
  <c r="AP886" i="7"/>
  <c r="AQ886" i="7"/>
  <c r="AR886" i="7"/>
  <c r="AS886" i="7"/>
  <c r="AT886" i="7"/>
  <c r="AU886" i="7"/>
  <c r="AV886" i="7"/>
  <c r="AI887" i="7"/>
  <c r="AJ887" i="7"/>
  <c r="AK887" i="7"/>
  <c r="AL887" i="7"/>
  <c r="AM887" i="7"/>
  <c r="AN887" i="7"/>
  <c r="AO887" i="7"/>
  <c r="AP887" i="7"/>
  <c r="AQ887" i="7"/>
  <c r="AR887" i="7"/>
  <c r="AS887" i="7"/>
  <c r="AT887" i="7"/>
  <c r="AU887" i="7"/>
  <c r="AV887" i="7"/>
  <c r="AI888" i="7"/>
  <c r="AJ888" i="7"/>
  <c r="AK888" i="7"/>
  <c r="AL888" i="7"/>
  <c r="AM888" i="7"/>
  <c r="AN888" i="7"/>
  <c r="AO888" i="7"/>
  <c r="AP888" i="7"/>
  <c r="AQ888" i="7"/>
  <c r="AR888" i="7"/>
  <c r="AS888" i="7"/>
  <c r="AT888" i="7"/>
  <c r="AU888" i="7"/>
  <c r="AV888" i="7"/>
  <c r="AI889" i="7"/>
  <c r="AJ889" i="7"/>
  <c r="AK889" i="7"/>
  <c r="AL889" i="7"/>
  <c r="AM889" i="7"/>
  <c r="AN889" i="7"/>
  <c r="AO889" i="7"/>
  <c r="AP889" i="7"/>
  <c r="AQ889" i="7"/>
  <c r="AR889" i="7"/>
  <c r="AS889" i="7"/>
  <c r="AT889" i="7"/>
  <c r="AU889" i="7"/>
  <c r="AV889" i="7"/>
  <c r="AI890" i="7"/>
  <c r="AJ890" i="7"/>
  <c r="AK890" i="7"/>
  <c r="AL890" i="7"/>
  <c r="AM890" i="7"/>
  <c r="AN890" i="7"/>
  <c r="AO890" i="7"/>
  <c r="AP890" i="7"/>
  <c r="AQ890" i="7"/>
  <c r="AR890" i="7"/>
  <c r="AS890" i="7"/>
  <c r="AT890" i="7"/>
  <c r="AU890" i="7"/>
  <c r="AV890" i="7"/>
  <c r="AI891" i="7"/>
  <c r="AJ891" i="7"/>
  <c r="AK891" i="7"/>
  <c r="AL891" i="7"/>
  <c r="AM891" i="7"/>
  <c r="AN891" i="7"/>
  <c r="AO891" i="7"/>
  <c r="AP891" i="7"/>
  <c r="AQ891" i="7"/>
  <c r="AR891" i="7"/>
  <c r="AS891" i="7"/>
  <c r="AT891" i="7"/>
  <c r="AU891" i="7"/>
  <c r="AV891" i="7"/>
  <c r="AI892" i="7"/>
  <c r="AJ892" i="7"/>
  <c r="AK892" i="7"/>
  <c r="AL892" i="7"/>
  <c r="AM892" i="7"/>
  <c r="AN892" i="7"/>
  <c r="AO892" i="7"/>
  <c r="AP892" i="7"/>
  <c r="AQ892" i="7"/>
  <c r="AR892" i="7"/>
  <c r="AS892" i="7"/>
  <c r="AT892" i="7"/>
  <c r="AU892" i="7"/>
  <c r="AV892" i="7"/>
  <c r="AI893" i="7"/>
  <c r="AJ893" i="7"/>
  <c r="AK893" i="7"/>
  <c r="AL893" i="7"/>
  <c r="AM893" i="7"/>
  <c r="AN893" i="7"/>
  <c r="AO893" i="7"/>
  <c r="AP893" i="7"/>
  <c r="AQ893" i="7"/>
  <c r="AR893" i="7"/>
  <c r="AS893" i="7"/>
  <c r="AT893" i="7"/>
  <c r="AU893" i="7"/>
  <c r="AV893" i="7"/>
  <c r="AI894" i="7"/>
  <c r="AJ894" i="7"/>
  <c r="AK894" i="7"/>
  <c r="AL894" i="7"/>
  <c r="AM894" i="7"/>
  <c r="AN894" i="7"/>
  <c r="AO894" i="7"/>
  <c r="AP894" i="7"/>
  <c r="AQ894" i="7"/>
  <c r="AR894" i="7"/>
  <c r="AS894" i="7"/>
  <c r="AT894" i="7"/>
  <c r="AU894" i="7"/>
  <c r="AV894" i="7"/>
  <c r="AI895" i="7"/>
  <c r="AJ895" i="7"/>
  <c r="AK895" i="7"/>
  <c r="AL895" i="7"/>
  <c r="AM895" i="7"/>
  <c r="AN895" i="7"/>
  <c r="AO895" i="7"/>
  <c r="AP895" i="7"/>
  <c r="AQ895" i="7"/>
  <c r="AR895" i="7"/>
  <c r="AS895" i="7"/>
  <c r="AT895" i="7"/>
  <c r="AU895" i="7"/>
  <c r="AV895" i="7"/>
  <c r="AI896" i="7"/>
  <c r="AJ896" i="7"/>
  <c r="AK896" i="7"/>
  <c r="AL896" i="7"/>
  <c r="AM896" i="7"/>
  <c r="AN896" i="7"/>
  <c r="AO896" i="7"/>
  <c r="AP896" i="7"/>
  <c r="AQ896" i="7"/>
  <c r="AR896" i="7"/>
  <c r="AS896" i="7"/>
  <c r="AT896" i="7"/>
  <c r="AU896" i="7"/>
  <c r="AV896" i="7"/>
  <c r="AI897" i="7"/>
  <c r="AJ897" i="7"/>
  <c r="AK897" i="7"/>
  <c r="AL897" i="7"/>
  <c r="AM897" i="7"/>
  <c r="AN897" i="7"/>
  <c r="AO897" i="7"/>
  <c r="AP897" i="7"/>
  <c r="AQ897" i="7"/>
  <c r="AR897" i="7"/>
  <c r="AS897" i="7"/>
  <c r="AT897" i="7"/>
  <c r="AU897" i="7"/>
  <c r="AV897" i="7"/>
  <c r="AI898" i="7"/>
  <c r="AJ898" i="7"/>
  <c r="AK898" i="7"/>
  <c r="AL898" i="7"/>
  <c r="AM898" i="7"/>
  <c r="AN898" i="7"/>
  <c r="AO898" i="7"/>
  <c r="AP898" i="7"/>
  <c r="AQ898" i="7"/>
  <c r="AR898" i="7"/>
  <c r="AS898" i="7"/>
  <c r="AT898" i="7"/>
  <c r="AU898" i="7"/>
  <c r="AV898" i="7"/>
  <c r="AI899" i="7"/>
  <c r="AJ899" i="7"/>
  <c r="AK899" i="7"/>
  <c r="AL899" i="7"/>
  <c r="AM899" i="7"/>
  <c r="AN899" i="7"/>
  <c r="AO899" i="7"/>
  <c r="AP899" i="7"/>
  <c r="AQ899" i="7"/>
  <c r="AR899" i="7"/>
  <c r="AS899" i="7"/>
  <c r="AT899" i="7"/>
  <c r="AU899" i="7"/>
  <c r="AV899" i="7"/>
  <c r="AI900" i="7"/>
  <c r="AJ900" i="7"/>
  <c r="AK900" i="7"/>
  <c r="AL900" i="7"/>
  <c r="AM900" i="7"/>
  <c r="AN900" i="7"/>
  <c r="AO900" i="7"/>
  <c r="AP900" i="7"/>
  <c r="AQ900" i="7"/>
  <c r="AR900" i="7"/>
  <c r="AS900" i="7"/>
  <c r="AT900" i="7"/>
  <c r="AU900" i="7"/>
  <c r="AV900" i="7"/>
  <c r="AI901" i="7"/>
  <c r="AJ901" i="7"/>
  <c r="AK901" i="7"/>
  <c r="AL901" i="7"/>
  <c r="AM901" i="7"/>
  <c r="AN901" i="7"/>
  <c r="AO901" i="7"/>
  <c r="AP901" i="7"/>
  <c r="AQ901" i="7"/>
  <c r="AR901" i="7"/>
  <c r="AS901" i="7"/>
  <c r="AT901" i="7"/>
  <c r="AU901" i="7"/>
  <c r="AV901" i="7"/>
  <c r="AI902" i="7"/>
  <c r="AJ902" i="7"/>
  <c r="AK902" i="7"/>
  <c r="AL902" i="7"/>
  <c r="AM902" i="7"/>
  <c r="AN902" i="7"/>
  <c r="AO902" i="7"/>
  <c r="AP902" i="7"/>
  <c r="AQ902" i="7"/>
  <c r="AR902" i="7"/>
  <c r="AS902" i="7"/>
  <c r="AT902" i="7"/>
  <c r="AU902" i="7"/>
  <c r="AV902" i="7"/>
  <c r="AI903" i="7"/>
  <c r="AJ903" i="7"/>
  <c r="AK903" i="7"/>
  <c r="AL903" i="7"/>
  <c r="AM903" i="7"/>
  <c r="AN903" i="7"/>
  <c r="AO903" i="7"/>
  <c r="AP903" i="7"/>
  <c r="AQ903" i="7"/>
  <c r="AR903" i="7"/>
  <c r="AS903" i="7"/>
  <c r="AT903" i="7"/>
  <c r="AU903" i="7"/>
  <c r="AV903" i="7"/>
  <c r="AI904" i="7"/>
  <c r="AJ904" i="7"/>
  <c r="AK904" i="7"/>
  <c r="AL904" i="7"/>
  <c r="AM904" i="7"/>
  <c r="AN904" i="7"/>
  <c r="AO904" i="7"/>
  <c r="AP904" i="7"/>
  <c r="AQ904" i="7"/>
  <c r="AR904" i="7"/>
  <c r="AS904" i="7"/>
  <c r="AT904" i="7"/>
  <c r="AU904" i="7"/>
  <c r="AV904" i="7"/>
  <c r="AI905" i="7"/>
  <c r="AJ905" i="7"/>
  <c r="AK905" i="7"/>
  <c r="AL905" i="7"/>
  <c r="AM905" i="7"/>
  <c r="AN905" i="7"/>
  <c r="AO905" i="7"/>
  <c r="AP905" i="7"/>
  <c r="AQ905" i="7"/>
  <c r="AR905" i="7"/>
  <c r="AS905" i="7"/>
  <c r="AT905" i="7"/>
  <c r="AU905" i="7"/>
  <c r="AV905" i="7"/>
  <c r="AI906" i="7"/>
  <c r="AJ906" i="7"/>
  <c r="AK906" i="7"/>
  <c r="AL906" i="7"/>
  <c r="AM906" i="7"/>
  <c r="AN906" i="7"/>
  <c r="AO906" i="7"/>
  <c r="AP906" i="7"/>
  <c r="AQ906" i="7"/>
  <c r="AR906" i="7"/>
  <c r="AS906" i="7"/>
  <c r="AT906" i="7"/>
  <c r="AU906" i="7"/>
  <c r="AV906" i="7"/>
  <c r="AI907" i="7"/>
  <c r="AJ907" i="7"/>
  <c r="AK907" i="7"/>
  <c r="AL907" i="7"/>
  <c r="AM907" i="7"/>
  <c r="AN907" i="7"/>
  <c r="AO907" i="7"/>
  <c r="AP907" i="7"/>
  <c r="AQ907" i="7"/>
  <c r="AR907" i="7"/>
  <c r="AS907" i="7"/>
  <c r="AT907" i="7"/>
  <c r="AU907" i="7"/>
  <c r="AV907" i="7"/>
  <c r="AI908" i="7"/>
  <c r="AJ908" i="7"/>
  <c r="AK908" i="7"/>
  <c r="AL908" i="7"/>
  <c r="AM908" i="7"/>
  <c r="AN908" i="7"/>
  <c r="AO908" i="7"/>
  <c r="AP908" i="7"/>
  <c r="AQ908" i="7"/>
  <c r="AR908" i="7"/>
  <c r="AS908" i="7"/>
  <c r="AT908" i="7"/>
  <c r="AU908" i="7"/>
  <c r="AV908" i="7"/>
  <c r="AI909" i="7"/>
  <c r="AJ909" i="7"/>
  <c r="AK909" i="7"/>
  <c r="AL909" i="7"/>
  <c r="AM909" i="7"/>
  <c r="AN909" i="7"/>
  <c r="AO909" i="7"/>
  <c r="AP909" i="7"/>
  <c r="AQ909" i="7"/>
  <c r="AR909" i="7"/>
  <c r="AS909" i="7"/>
  <c r="AT909" i="7"/>
  <c r="AU909" i="7"/>
  <c r="AV909" i="7"/>
  <c r="AI910" i="7"/>
  <c r="AJ910" i="7"/>
  <c r="AK910" i="7"/>
  <c r="AL910" i="7"/>
  <c r="AM910" i="7"/>
  <c r="AN910" i="7"/>
  <c r="AO910" i="7"/>
  <c r="AP910" i="7"/>
  <c r="AQ910" i="7"/>
  <c r="AR910" i="7"/>
  <c r="AS910" i="7"/>
  <c r="AT910" i="7"/>
  <c r="AU910" i="7"/>
  <c r="AV910" i="7"/>
  <c r="AI911" i="7"/>
  <c r="AJ911" i="7"/>
  <c r="AK911" i="7"/>
  <c r="AL911" i="7"/>
  <c r="AM911" i="7"/>
  <c r="AN911" i="7"/>
  <c r="AO911" i="7"/>
  <c r="AP911" i="7"/>
  <c r="AQ911" i="7"/>
  <c r="AR911" i="7"/>
  <c r="AS911" i="7"/>
  <c r="AT911" i="7"/>
  <c r="AU911" i="7"/>
  <c r="AV911" i="7"/>
  <c r="V911" i="7"/>
  <c r="BQ908" i="7"/>
  <c r="Q6" i="7"/>
  <c r="Q7" i="7"/>
  <c r="Q63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704" i="7"/>
  <c r="V705" i="7"/>
  <c r="V706" i="7"/>
  <c r="V707" i="7"/>
  <c r="V708" i="7"/>
  <c r="V709" i="7"/>
  <c r="V710" i="7"/>
  <c r="V711" i="7"/>
  <c r="V712" i="7"/>
  <c r="V713" i="7"/>
  <c r="V714" i="7"/>
  <c r="V715" i="7"/>
  <c r="V716" i="7"/>
  <c r="V717" i="7"/>
  <c r="V718" i="7"/>
  <c r="V719" i="7"/>
  <c r="V720" i="7"/>
  <c r="V721" i="7"/>
  <c r="V722" i="7"/>
  <c r="V723" i="7"/>
  <c r="V724" i="7"/>
  <c r="V725" i="7"/>
  <c r="V726" i="7"/>
  <c r="V727" i="7"/>
  <c r="V728" i="7"/>
  <c r="V729" i="7"/>
  <c r="V730" i="7"/>
  <c r="V731" i="7"/>
  <c r="V732" i="7"/>
  <c r="V733" i="7"/>
  <c r="V734" i="7"/>
  <c r="V735" i="7"/>
  <c r="V736" i="7"/>
  <c r="V737" i="7"/>
  <c r="V738" i="7"/>
  <c r="V739" i="7"/>
  <c r="V761" i="7"/>
  <c r="V762" i="7"/>
  <c r="V763" i="7"/>
  <c r="V764" i="7"/>
  <c r="V765" i="7"/>
  <c r="V766" i="7"/>
  <c r="V767" i="7"/>
  <c r="V768" i="7"/>
  <c r="V769" i="7"/>
  <c r="V770" i="7"/>
  <c r="V771" i="7"/>
  <c r="V772" i="7"/>
  <c r="V773" i="7"/>
  <c r="V774" i="7"/>
  <c r="V775" i="7"/>
  <c r="V776" i="7"/>
  <c r="V777" i="7"/>
  <c r="V778" i="7"/>
  <c r="V779" i="7"/>
  <c r="V780" i="7"/>
  <c r="V781" i="7"/>
  <c r="V782" i="7"/>
  <c r="V783" i="7"/>
  <c r="V784" i="7"/>
  <c r="V785" i="7"/>
  <c r="V786" i="7"/>
  <c r="V787" i="7"/>
  <c r="V788" i="7"/>
  <c r="V789" i="7"/>
  <c r="V790" i="7"/>
  <c r="V791" i="7"/>
  <c r="V792" i="7"/>
  <c r="V793" i="7"/>
  <c r="V794" i="7"/>
  <c r="V795" i="7"/>
  <c r="V796" i="7"/>
  <c r="V818" i="7"/>
  <c r="V819" i="7"/>
  <c r="V820" i="7"/>
  <c r="V821" i="7"/>
  <c r="V822" i="7"/>
  <c r="V823" i="7"/>
  <c r="V824" i="7"/>
  <c r="V825" i="7"/>
  <c r="V826" i="7"/>
  <c r="V827" i="7"/>
  <c r="V828" i="7"/>
  <c r="V829" i="7"/>
  <c r="V830" i="7"/>
  <c r="V831" i="7"/>
  <c r="V832" i="7"/>
  <c r="V833" i="7"/>
  <c r="V834" i="7"/>
  <c r="V835" i="7"/>
  <c r="V836" i="7"/>
  <c r="V837" i="7"/>
  <c r="V838" i="7"/>
  <c r="V839" i="7"/>
  <c r="V840" i="7"/>
  <c r="V841" i="7"/>
  <c r="V842" i="7"/>
  <c r="V843" i="7"/>
  <c r="V844" i="7"/>
  <c r="V845" i="7"/>
  <c r="V846" i="7"/>
  <c r="V847" i="7"/>
  <c r="V848" i="7"/>
  <c r="V849" i="7"/>
  <c r="V850" i="7"/>
  <c r="V851" i="7"/>
  <c r="V852" i="7"/>
  <c r="V853" i="7"/>
  <c r="V875" i="7"/>
  <c r="V876" i="7"/>
  <c r="V877" i="7"/>
  <c r="V878" i="7"/>
  <c r="V879" i="7"/>
  <c r="V880" i="7"/>
  <c r="V881" i="7"/>
  <c r="V882" i="7"/>
  <c r="V883" i="7"/>
  <c r="V884" i="7"/>
  <c r="V885" i="7"/>
  <c r="V886" i="7"/>
  <c r="V887" i="7"/>
  <c r="V888" i="7"/>
  <c r="V889" i="7"/>
  <c r="V890" i="7"/>
  <c r="V891" i="7"/>
  <c r="V892" i="7"/>
  <c r="V893" i="7"/>
  <c r="V894" i="7"/>
  <c r="V895" i="7"/>
  <c r="V896" i="7"/>
  <c r="V897" i="7"/>
  <c r="V898" i="7"/>
  <c r="V899" i="7"/>
  <c r="V900" i="7"/>
  <c r="V901" i="7"/>
  <c r="V902" i="7"/>
  <c r="V903" i="7"/>
  <c r="V904" i="7"/>
  <c r="V905" i="7"/>
  <c r="V906" i="7"/>
  <c r="V907" i="7"/>
  <c r="V908" i="7"/>
  <c r="V909" i="7"/>
  <c r="V910" i="7"/>
  <c r="Q64" i="7"/>
  <c r="Q120" i="7"/>
  <c r="Q121" i="7"/>
  <c r="Q177" i="7"/>
  <c r="Q178" i="7"/>
  <c r="Q234" i="7"/>
  <c r="Q235" i="7"/>
  <c r="Q291" i="7"/>
  <c r="Q292" i="7"/>
  <c r="Q348" i="7"/>
  <c r="Q349" i="7"/>
  <c r="Q405" i="7"/>
  <c r="Q406" i="7"/>
  <c r="Q462" i="7"/>
  <c r="Q463" i="7"/>
  <c r="Q519" i="7"/>
  <c r="Q520" i="7"/>
  <c r="Q576" i="7"/>
  <c r="Q577" i="7"/>
  <c r="Q633" i="7"/>
  <c r="Q634" i="7"/>
  <c r="Q690" i="7"/>
  <c r="Q691" i="7"/>
  <c r="Q747" i="7"/>
  <c r="Q748" i="7"/>
  <c r="Q804" i="7"/>
  <c r="Q805" i="7"/>
  <c r="Q861" i="7"/>
  <c r="Q862" i="7"/>
  <c r="BT908" i="7"/>
  <c r="BR907" i="7"/>
  <c r="BQ907" i="7"/>
  <c r="BT907" i="7"/>
  <c r="BR906" i="7"/>
  <c r="BQ906" i="7"/>
  <c r="BT906" i="7"/>
  <c r="BR905" i="7"/>
  <c r="BQ905" i="7"/>
  <c r="BT905" i="7"/>
  <c r="BR904" i="7"/>
  <c r="BQ904" i="7"/>
  <c r="BT904" i="7"/>
  <c r="BR903" i="7"/>
  <c r="BQ903" i="7"/>
  <c r="BT903" i="7"/>
  <c r="BR902" i="7"/>
  <c r="BQ902" i="7"/>
  <c r="BT902" i="7"/>
  <c r="BR901" i="7"/>
  <c r="BQ901" i="7"/>
  <c r="BT901" i="7"/>
  <c r="BR900" i="7"/>
  <c r="BQ900" i="7"/>
  <c r="BT900" i="7"/>
  <c r="BR899" i="7"/>
  <c r="BQ899" i="7"/>
  <c r="BT899" i="7"/>
  <c r="BR898" i="7"/>
  <c r="BQ898" i="7"/>
  <c r="BT898" i="7"/>
  <c r="BR897" i="7"/>
  <c r="BQ897" i="7"/>
  <c r="BT897" i="7"/>
  <c r="BR896" i="7"/>
  <c r="BQ896" i="7"/>
  <c r="BT896" i="7"/>
  <c r="BR895" i="7"/>
  <c r="BQ895" i="7"/>
  <c r="BT895" i="7"/>
  <c r="BR894" i="7"/>
  <c r="BQ894" i="7"/>
  <c r="BT894" i="7"/>
  <c r="BR893" i="7"/>
  <c r="BQ893" i="7"/>
  <c r="BT893" i="7"/>
  <c r="BR892" i="7"/>
  <c r="BQ892" i="7"/>
  <c r="BT892" i="7"/>
  <c r="BR891" i="7"/>
  <c r="BQ891" i="7"/>
  <c r="BT891" i="7"/>
  <c r="BR890" i="7"/>
  <c r="BQ890" i="7"/>
  <c r="BT890" i="7"/>
  <c r="BR889" i="7"/>
  <c r="BQ889" i="7"/>
  <c r="BT889" i="7"/>
  <c r="BR888" i="7"/>
  <c r="BQ888" i="7"/>
  <c r="BT888" i="7"/>
  <c r="BR887" i="7"/>
  <c r="BR886" i="7"/>
  <c r="BQ886" i="7"/>
  <c r="BT886" i="7"/>
  <c r="BR885" i="7"/>
  <c r="BR880" i="7"/>
  <c r="BR878" i="7"/>
  <c r="BQ878" i="7"/>
  <c r="BT878" i="7"/>
  <c r="BR877" i="7"/>
  <c r="BQ877" i="7"/>
  <c r="BT877" i="7"/>
  <c r="BR876" i="7"/>
  <c r="BQ876" i="7"/>
  <c r="BT876" i="7"/>
  <c r="BQ875" i="7"/>
  <c r="BT875" i="7"/>
  <c r="BR874" i="7"/>
  <c r="BQ874" i="7"/>
  <c r="BT874" i="7"/>
  <c r="BQ873" i="7"/>
  <c r="BR873" i="7"/>
  <c r="BT873" i="7"/>
  <c r="BR872" i="7"/>
  <c r="BQ872" i="7"/>
  <c r="BT872" i="7"/>
  <c r="BR851" i="7"/>
  <c r="BQ851" i="7"/>
  <c r="BT851" i="7"/>
  <c r="BR850" i="7"/>
  <c r="BQ850" i="7"/>
  <c r="BT850" i="7"/>
  <c r="BR849" i="7"/>
  <c r="BQ849" i="7"/>
  <c r="BT849" i="7"/>
  <c r="BR848" i="7"/>
  <c r="BQ848" i="7"/>
  <c r="BT848" i="7"/>
  <c r="BR847" i="7"/>
  <c r="BQ847" i="7"/>
  <c r="BT847" i="7"/>
  <c r="BR846" i="7"/>
  <c r="BQ846" i="7"/>
  <c r="BT846" i="7"/>
  <c r="BR845" i="7"/>
  <c r="BQ845" i="7"/>
  <c r="BT845" i="7"/>
  <c r="BR844" i="7"/>
  <c r="BQ844" i="7"/>
  <c r="BT844" i="7"/>
  <c r="BR843" i="7"/>
  <c r="BQ843" i="7"/>
  <c r="BT843" i="7"/>
  <c r="BR842" i="7"/>
  <c r="BQ842" i="7"/>
  <c r="BT842" i="7"/>
  <c r="BR841" i="7"/>
  <c r="BQ841" i="7"/>
  <c r="BT841" i="7"/>
  <c r="BR840" i="7"/>
  <c r="BQ840" i="7"/>
  <c r="BT840" i="7"/>
  <c r="BR839" i="7"/>
  <c r="BQ839" i="7"/>
  <c r="BT839" i="7"/>
  <c r="BR838" i="7"/>
  <c r="BQ838" i="7"/>
  <c r="BT838" i="7"/>
  <c r="BR837" i="7"/>
  <c r="BQ837" i="7"/>
  <c r="BT837" i="7"/>
  <c r="BR836" i="7"/>
  <c r="BQ836" i="7"/>
  <c r="BT836" i="7"/>
  <c r="BR835" i="7"/>
  <c r="BQ835" i="7"/>
  <c r="BT835" i="7"/>
  <c r="BR834" i="7"/>
  <c r="BQ834" i="7"/>
  <c r="BT834" i="7"/>
  <c r="BR833" i="7"/>
  <c r="BQ833" i="7"/>
  <c r="BT833" i="7"/>
  <c r="BR832" i="7"/>
  <c r="BQ832" i="7"/>
  <c r="BT832" i="7"/>
  <c r="BR831" i="7"/>
  <c r="BQ831" i="7"/>
  <c r="BT831" i="7"/>
  <c r="BR830" i="7"/>
  <c r="BR829" i="7"/>
  <c r="BQ829" i="7"/>
  <c r="BT829" i="7"/>
  <c r="BR828" i="7"/>
  <c r="BR823" i="7"/>
  <c r="BR821" i="7"/>
  <c r="BQ821" i="7"/>
  <c r="BT821" i="7"/>
  <c r="BR820" i="7"/>
  <c r="BQ820" i="7"/>
  <c r="BT820" i="7"/>
  <c r="BR819" i="7"/>
  <c r="BQ819" i="7"/>
  <c r="BT819" i="7"/>
  <c r="BQ818" i="7"/>
  <c r="BT818" i="7"/>
  <c r="BR817" i="7"/>
  <c r="BQ817" i="7"/>
  <c r="BT817" i="7"/>
  <c r="BQ816" i="7"/>
  <c r="BR816" i="7"/>
  <c r="BT816" i="7"/>
  <c r="BR815" i="7"/>
  <c r="BQ815" i="7"/>
  <c r="BT815" i="7"/>
  <c r="BR794" i="7"/>
  <c r="BQ794" i="7"/>
  <c r="BT794" i="7"/>
  <c r="BR793" i="7"/>
  <c r="BQ793" i="7"/>
  <c r="BT793" i="7"/>
  <c r="BR792" i="7"/>
  <c r="BQ792" i="7"/>
  <c r="BT792" i="7"/>
  <c r="BR791" i="7"/>
  <c r="BQ791" i="7"/>
  <c r="BT791" i="7"/>
  <c r="BR790" i="7"/>
  <c r="BQ790" i="7"/>
  <c r="BT790" i="7"/>
  <c r="BR789" i="7"/>
  <c r="BQ789" i="7"/>
  <c r="BT789" i="7"/>
  <c r="BR788" i="7"/>
  <c r="BQ788" i="7"/>
  <c r="BT788" i="7"/>
  <c r="BR787" i="7"/>
  <c r="BQ787" i="7"/>
  <c r="BT787" i="7"/>
  <c r="BR786" i="7"/>
  <c r="BQ786" i="7"/>
  <c r="BT786" i="7"/>
  <c r="BR785" i="7"/>
  <c r="BQ785" i="7"/>
  <c r="BT785" i="7"/>
  <c r="BR784" i="7"/>
  <c r="BQ784" i="7"/>
  <c r="BT784" i="7"/>
  <c r="BR783" i="7"/>
  <c r="BQ783" i="7"/>
  <c r="BT783" i="7"/>
  <c r="BR782" i="7"/>
  <c r="BQ782" i="7"/>
  <c r="BT782" i="7"/>
  <c r="BR781" i="7"/>
  <c r="BQ781" i="7"/>
  <c r="BT781" i="7"/>
  <c r="BR780" i="7"/>
  <c r="BQ780" i="7"/>
  <c r="BT780" i="7"/>
  <c r="BR779" i="7"/>
  <c r="BQ779" i="7"/>
  <c r="BT779" i="7"/>
  <c r="BR778" i="7"/>
  <c r="BQ778" i="7"/>
  <c r="BT778" i="7"/>
  <c r="BR777" i="7"/>
  <c r="BQ777" i="7"/>
  <c r="BT777" i="7"/>
  <c r="BR776" i="7"/>
  <c r="BQ776" i="7"/>
  <c r="BT776" i="7"/>
  <c r="BR775" i="7"/>
  <c r="BQ775" i="7"/>
  <c r="BT775" i="7"/>
  <c r="BR774" i="7"/>
  <c r="BQ774" i="7"/>
  <c r="BT774" i="7"/>
  <c r="BR773" i="7"/>
  <c r="BR772" i="7"/>
  <c r="BQ772" i="7"/>
  <c r="BT772" i="7"/>
  <c r="BR771" i="7"/>
  <c r="BR766" i="7"/>
  <c r="BR764" i="7"/>
  <c r="BQ764" i="7"/>
  <c r="BT764" i="7"/>
  <c r="BR763" i="7"/>
  <c r="BQ763" i="7"/>
  <c r="BT763" i="7"/>
  <c r="BR762" i="7"/>
  <c r="BQ762" i="7"/>
  <c r="BT762" i="7"/>
  <c r="BQ761" i="7"/>
  <c r="BT761" i="7"/>
  <c r="BR760" i="7"/>
  <c r="BQ760" i="7"/>
  <c r="BT760" i="7"/>
  <c r="BQ759" i="7"/>
  <c r="BR759" i="7"/>
  <c r="BT759" i="7"/>
  <c r="BR758" i="7"/>
  <c r="BQ758" i="7"/>
  <c r="BT758" i="7"/>
  <c r="BR737" i="7"/>
  <c r="BQ737" i="7"/>
  <c r="BT737" i="7"/>
  <c r="BR736" i="7"/>
  <c r="BQ736" i="7"/>
  <c r="BT736" i="7"/>
  <c r="BR735" i="7"/>
  <c r="BQ735" i="7"/>
  <c r="BT735" i="7"/>
  <c r="BR734" i="7"/>
  <c r="BQ734" i="7"/>
  <c r="BT734" i="7"/>
  <c r="BR733" i="7"/>
  <c r="BQ733" i="7"/>
  <c r="BT733" i="7"/>
  <c r="BR732" i="7"/>
  <c r="BQ732" i="7"/>
  <c r="BT732" i="7"/>
  <c r="BR731" i="7"/>
  <c r="BQ731" i="7"/>
  <c r="BT731" i="7"/>
  <c r="BR730" i="7"/>
  <c r="BQ730" i="7"/>
  <c r="BT730" i="7"/>
  <c r="BR729" i="7"/>
  <c r="BQ729" i="7"/>
  <c r="BT729" i="7"/>
  <c r="BR728" i="7"/>
  <c r="BQ728" i="7"/>
  <c r="BT728" i="7"/>
  <c r="BR727" i="7"/>
  <c r="BQ727" i="7"/>
  <c r="BT727" i="7"/>
  <c r="BR726" i="7"/>
  <c r="BQ726" i="7"/>
  <c r="BT726" i="7"/>
  <c r="BR725" i="7"/>
  <c r="BQ725" i="7"/>
  <c r="BT725" i="7"/>
  <c r="BR724" i="7"/>
  <c r="BQ724" i="7"/>
  <c r="BT724" i="7"/>
  <c r="BR723" i="7"/>
  <c r="BQ723" i="7"/>
  <c r="BT723" i="7"/>
  <c r="BR722" i="7"/>
  <c r="BQ722" i="7"/>
  <c r="BT722" i="7"/>
  <c r="BR721" i="7"/>
  <c r="BQ721" i="7"/>
  <c r="BT721" i="7"/>
  <c r="BR720" i="7"/>
  <c r="BQ720" i="7"/>
  <c r="BT720" i="7"/>
  <c r="BR719" i="7"/>
  <c r="BQ719" i="7"/>
  <c r="BT719" i="7"/>
  <c r="BR718" i="7"/>
  <c r="BQ718" i="7"/>
  <c r="BT718" i="7"/>
  <c r="BR717" i="7"/>
  <c r="BQ717" i="7"/>
  <c r="BT717" i="7"/>
  <c r="BR716" i="7"/>
  <c r="BR715" i="7"/>
  <c r="BQ715" i="7"/>
  <c r="BT715" i="7"/>
  <c r="BR714" i="7"/>
  <c r="BR709" i="7"/>
  <c r="BR707" i="7"/>
  <c r="BQ707" i="7"/>
  <c r="BT707" i="7"/>
  <c r="BR706" i="7"/>
  <c r="BQ706" i="7"/>
  <c r="BT706" i="7"/>
  <c r="BR705" i="7"/>
  <c r="BQ705" i="7"/>
  <c r="BT705" i="7"/>
  <c r="BQ704" i="7"/>
  <c r="BT704" i="7"/>
  <c r="BR703" i="7"/>
  <c r="BQ703" i="7"/>
  <c r="BT703" i="7"/>
  <c r="BQ702" i="7"/>
  <c r="BR702" i="7"/>
  <c r="BT702" i="7"/>
  <c r="BR701" i="7"/>
  <c r="BQ701" i="7"/>
  <c r="BT701" i="7"/>
  <c r="BR680" i="7"/>
  <c r="BQ680" i="7"/>
  <c r="BT680" i="7"/>
  <c r="BR679" i="7"/>
  <c r="BQ679" i="7"/>
  <c r="BT679" i="7"/>
  <c r="BR678" i="7"/>
  <c r="BQ678" i="7"/>
  <c r="BT678" i="7"/>
  <c r="BR677" i="7"/>
  <c r="BQ677" i="7"/>
  <c r="BT677" i="7"/>
  <c r="BR676" i="7"/>
  <c r="BQ676" i="7"/>
  <c r="BT676" i="7"/>
  <c r="BR675" i="7"/>
  <c r="BQ675" i="7"/>
  <c r="BT675" i="7"/>
  <c r="BR674" i="7"/>
  <c r="BQ674" i="7"/>
  <c r="BT674" i="7"/>
  <c r="BR673" i="7"/>
  <c r="BQ673" i="7"/>
  <c r="BT673" i="7"/>
  <c r="BR672" i="7"/>
  <c r="BQ672" i="7"/>
  <c r="BT672" i="7"/>
  <c r="BR671" i="7"/>
  <c r="BQ671" i="7"/>
  <c r="BT671" i="7"/>
  <c r="BR670" i="7"/>
  <c r="BQ670" i="7"/>
  <c r="BT670" i="7"/>
  <c r="BR669" i="7"/>
  <c r="BQ669" i="7"/>
  <c r="BT669" i="7"/>
  <c r="BR668" i="7"/>
  <c r="BQ668" i="7"/>
  <c r="BT668" i="7"/>
  <c r="BR667" i="7"/>
  <c r="BQ667" i="7"/>
  <c r="BT667" i="7"/>
  <c r="BR666" i="7"/>
  <c r="BQ666" i="7"/>
  <c r="BT666" i="7"/>
  <c r="BR665" i="7"/>
  <c r="BQ665" i="7"/>
  <c r="BT665" i="7"/>
  <c r="BR664" i="7"/>
  <c r="BQ664" i="7"/>
  <c r="BT664" i="7"/>
  <c r="BR663" i="7"/>
  <c r="BQ663" i="7"/>
  <c r="BT663" i="7"/>
  <c r="BR662" i="7"/>
  <c r="BQ662" i="7"/>
  <c r="BT662" i="7"/>
  <c r="BR661" i="7"/>
  <c r="BQ661" i="7"/>
  <c r="BT661" i="7"/>
  <c r="BR660" i="7"/>
  <c r="BQ660" i="7"/>
  <c r="BT660" i="7"/>
  <c r="BR659" i="7"/>
  <c r="BR658" i="7"/>
  <c r="BQ658" i="7"/>
  <c r="BT658" i="7"/>
  <c r="BR657" i="7"/>
  <c r="BR652" i="7"/>
  <c r="BR650" i="7"/>
  <c r="BQ650" i="7"/>
  <c r="BT650" i="7"/>
  <c r="BR649" i="7"/>
  <c r="BQ649" i="7"/>
  <c r="BT649" i="7"/>
  <c r="BR648" i="7"/>
  <c r="BQ648" i="7"/>
  <c r="BT648" i="7"/>
  <c r="BQ647" i="7"/>
  <c r="BT647" i="7"/>
  <c r="BR646" i="7"/>
  <c r="BQ646" i="7"/>
  <c r="BT646" i="7"/>
  <c r="BQ645" i="7"/>
  <c r="BR645" i="7"/>
  <c r="BT645" i="7"/>
  <c r="BR644" i="7"/>
  <c r="BQ644" i="7"/>
  <c r="BT644" i="7"/>
  <c r="BR623" i="7"/>
  <c r="BQ623" i="7"/>
  <c r="BT623" i="7"/>
  <c r="BR622" i="7"/>
  <c r="BQ622" i="7"/>
  <c r="BT622" i="7"/>
  <c r="BR621" i="7"/>
  <c r="BQ621" i="7"/>
  <c r="BT621" i="7"/>
  <c r="BR620" i="7"/>
  <c r="BQ620" i="7"/>
  <c r="BT620" i="7"/>
  <c r="BR619" i="7"/>
  <c r="BQ619" i="7"/>
  <c r="BT619" i="7"/>
  <c r="BR618" i="7"/>
  <c r="BQ618" i="7"/>
  <c r="BT618" i="7"/>
  <c r="BR617" i="7"/>
  <c r="BQ617" i="7"/>
  <c r="BT617" i="7"/>
  <c r="BR616" i="7"/>
  <c r="BQ616" i="7"/>
  <c r="BT616" i="7"/>
  <c r="BR615" i="7"/>
  <c r="BQ615" i="7"/>
  <c r="BT615" i="7"/>
  <c r="BR614" i="7"/>
  <c r="BQ614" i="7"/>
  <c r="BT614" i="7"/>
  <c r="BR613" i="7"/>
  <c r="BQ613" i="7"/>
  <c r="BT613" i="7"/>
  <c r="BR612" i="7"/>
  <c r="BQ612" i="7"/>
  <c r="BT612" i="7"/>
  <c r="BR611" i="7"/>
  <c r="BQ611" i="7"/>
  <c r="BT611" i="7"/>
  <c r="BR610" i="7"/>
  <c r="BQ610" i="7"/>
  <c r="BT610" i="7"/>
  <c r="BR609" i="7"/>
  <c r="BQ609" i="7"/>
  <c r="BT609" i="7"/>
  <c r="BR608" i="7"/>
  <c r="BQ608" i="7"/>
  <c r="BT608" i="7"/>
  <c r="BR607" i="7"/>
  <c r="BQ607" i="7"/>
  <c r="BT607" i="7"/>
  <c r="BR606" i="7"/>
  <c r="BQ606" i="7"/>
  <c r="BT606" i="7"/>
  <c r="BR605" i="7"/>
  <c r="BQ605" i="7"/>
  <c r="BT605" i="7"/>
  <c r="BR604" i="7"/>
  <c r="BQ604" i="7"/>
  <c r="BT604" i="7"/>
  <c r="BR603" i="7"/>
  <c r="BQ603" i="7"/>
  <c r="BT603" i="7"/>
  <c r="BR602" i="7"/>
  <c r="BR601" i="7"/>
  <c r="BQ601" i="7"/>
  <c r="BT601" i="7"/>
  <c r="BR600" i="7"/>
  <c r="BR595" i="7"/>
  <c r="BR593" i="7"/>
  <c r="BQ593" i="7"/>
  <c r="BT593" i="7"/>
  <c r="BR592" i="7"/>
  <c r="BQ592" i="7"/>
  <c r="BT592" i="7"/>
  <c r="BR591" i="7"/>
  <c r="BQ591" i="7"/>
  <c r="BT591" i="7"/>
  <c r="BQ590" i="7"/>
  <c r="BT590" i="7"/>
  <c r="BR589" i="7"/>
  <c r="BQ589" i="7"/>
  <c r="BT589" i="7"/>
  <c r="BQ588" i="7"/>
  <c r="BR588" i="7"/>
  <c r="BT588" i="7"/>
  <c r="BR587" i="7"/>
  <c r="BQ587" i="7"/>
  <c r="BT587" i="7"/>
  <c r="BR566" i="7"/>
  <c r="BQ566" i="7"/>
  <c r="BT566" i="7"/>
  <c r="BR565" i="7"/>
  <c r="BQ565" i="7"/>
  <c r="BT565" i="7"/>
  <c r="BR564" i="7"/>
  <c r="BQ564" i="7"/>
  <c r="BT564" i="7"/>
  <c r="BR563" i="7"/>
  <c r="BQ563" i="7"/>
  <c r="BT563" i="7"/>
  <c r="BR562" i="7"/>
  <c r="BQ562" i="7"/>
  <c r="BT562" i="7"/>
  <c r="BR561" i="7"/>
  <c r="BQ561" i="7"/>
  <c r="BT561" i="7"/>
  <c r="BR560" i="7"/>
  <c r="BQ560" i="7"/>
  <c r="BT560" i="7"/>
  <c r="BR559" i="7"/>
  <c r="BQ559" i="7"/>
  <c r="BT559" i="7"/>
  <c r="BR558" i="7"/>
  <c r="BQ558" i="7"/>
  <c r="BT558" i="7"/>
  <c r="BR557" i="7"/>
  <c r="BQ557" i="7"/>
  <c r="BT557" i="7"/>
  <c r="BR556" i="7"/>
  <c r="BQ556" i="7"/>
  <c r="BT556" i="7"/>
  <c r="BR555" i="7"/>
  <c r="BQ555" i="7"/>
  <c r="BT555" i="7"/>
  <c r="BR554" i="7"/>
  <c r="BQ554" i="7"/>
  <c r="BT554" i="7"/>
  <c r="BR553" i="7"/>
  <c r="BQ553" i="7"/>
  <c r="BT553" i="7"/>
  <c r="BR552" i="7"/>
  <c r="BQ552" i="7"/>
  <c r="BT552" i="7"/>
  <c r="BR551" i="7"/>
  <c r="BQ551" i="7"/>
  <c r="BT551" i="7"/>
  <c r="BR550" i="7"/>
  <c r="BQ550" i="7"/>
  <c r="BT550" i="7"/>
  <c r="BR549" i="7"/>
  <c r="BQ549" i="7"/>
  <c r="BT549" i="7"/>
  <c r="BR548" i="7"/>
  <c r="BQ548" i="7"/>
  <c r="BT548" i="7"/>
  <c r="BR547" i="7"/>
  <c r="BQ547" i="7"/>
  <c r="BT547" i="7"/>
  <c r="BR546" i="7"/>
  <c r="BQ546" i="7"/>
  <c r="BT546" i="7"/>
  <c r="BR545" i="7"/>
  <c r="BR544" i="7"/>
  <c r="BQ544" i="7"/>
  <c r="BT544" i="7"/>
  <c r="BR543" i="7"/>
  <c r="BR538" i="7"/>
  <c r="BR536" i="7"/>
  <c r="BQ536" i="7"/>
  <c r="BT536" i="7"/>
  <c r="BR535" i="7"/>
  <c r="BQ535" i="7"/>
  <c r="BT535" i="7"/>
  <c r="BR534" i="7"/>
  <c r="BQ534" i="7"/>
  <c r="BT534" i="7"/>
  <c r="BQ533" i="7"/>
  <c r="BT533" i="7"/>
  <c r="BR532" i="7"/>
  <c r="BQ532" i="7"/>
  <c r="BT532" i="7"/>
  <c r="BQ531" i="7"/>
  <c r="BR531" i="7"/>
  <c r="BT531" i="7"/>
  <c r="BR530" i="7"/>
  <c r="BQ530" i="7"/>
  <c r="BT530" i="7"/>
  <c r="BR509" i="7"/>
  <c r="BQ509" i="7"/>
  <c r="BT509" i="7"/>
  <c r="BR508" i="7"/>
  <c r="BQ508" i="7"/>
  <c r="BT508" i="7"/>
  <c r="BR507" i="7"/>
  <c r="BQ507" i="7"/>
  <c r="BT507" i="7"/>
  <c r="BR506" i="7"/>
  <c r="BQ506" i="7"/>
  <c r="BT506" i="7"/>
  <c r="BR505" i="7"/>
  <c r="BQ505" i="7"/>
  <c r="BT505" i="7"/>
  <c r="BR504" i="7"/>
  <c r="BQ504" i="7"/>
  <c r="BT504" i="7"/>
  <c r="BR503" i="7"/>
  <c r="BQ503" i="7"/>
  <c r="BT503" i="7"/>
  <c r="BR502" i="7"/>
  <c r="BQ502" i="7"/>
  <c r="BT502" i="7"/>
  <c r="BR501" i="7"/>
  <c r="BQ501" i="7"/>
  <c r="BT501" i="7"/>
  <c r="BR500" i="7"/>
  <c r="BQ500" i="7"/>
  <c r="BT500" i="7"/>
  <c r="BR499" i="7"/>
  <c r="BQ499" i="7"/>
  <c r="BT499" i="7"/>
  <c r="BR498" i="7"/>
  <c r="BQ498" i="7"/>
  <c r="BT498" i="7"/>
  <c r="BR497" i="7"/>
  <c r="BQ497" i="7"/>
  <c r="BT497" i="7"/>
  <c r="BR496" i="7"/>
  <c r="BQ496" i="7"/>
  <c r="BT496" i="7"/>
  <c r="BR495" i="7"/>
  <c r="BQ495" i="7"/>
  <c r="BT495" i="7"/>
  <c r="BR494" i="7"/>
  <c r="BQ494" i="7"/>
  <c r="BT494" i="7"/>
  <c r="BR493" i="7"/>
  <c r="BQ493" i="7"/>
  <c r="BT493" i="7"/>
  <c r="BR492" i="7"/>
  <c r="BQ492" i="7"/>
  <c r="BT492" i="7"/>
  <c r="BR491" i="7"/>
  <c r="BQ491" i="7"/>
  <c r="BT491" i="7"/>
  <c r="BR490" i="7"/>
  <c r="BQ490" i="7"/>
  <c r="BT490" i="7"/>
  <c r="BR489" i="7"/>
  <c r="BQ489" i="7"/>
  <c r="BT489" i="7"/>
  <c r="BR488" i="7"/>
  <c r="BR487" i="7"/>
  <c r="BQ487" i="7"/>
  <c r="BT487" i="7"/>
  <c r="BR486" i="7"/>
  <c r="BR481" i="7"/>
  <c r="BR479" i="7"/>
  <c r="BQ479" i="7"/>
  <c r="BT479" i="7"/>
  <c r="BR478" i="7"/>
  <c r="BQ478" i="7"/>
  <c r="BT478" i="7"/>
  <c r="BR477" i="7"/>
  <c r="BQ477" i="7"/>
  <c r="BT477" i="7"/>
  <c r="BQ476" i="7"/>
  <c r="BT476" i="7"/>
  <c r="BR475" i="7"/>
  <c r="BQ475" i="7"/>
  <c r="BT475" i="7"/>
  <c r="BQ474" i="7"/>
  <c r="BR474" i="7"/>
  <c r="BT474" i="7"/>
  <c r="BR473" i="7"/>
  <c r="BQ473" i="7"/>
  <c r="BT473" i="7"/>
  <c r="BR452" i="7"/>
  <c r="BQ452" i="7"/>
  <c r="BT452" i="7"/>
  <c r="BR451" i="7"/>
  <c r="BQ451" i="7"/>
  <c r="BT451" i="7"/>
  <c r="BR450" i="7"/>
  <c r="BQ450" i="7"/>
  <c r="BT450" i="7"/>
  <c r="BR449" i="7"/>
  <c r="BQ449" i="7"/>
  <c r="BT449" i="7"/>
  <c r="BR448" i="7"/>
  <c r="BQ448" i="7"/>
  <c r="BT448" i="7"/>
  <c r="BR447" i="7"/>
  <c r="BQ447" i="7"/>
  <c r="BT447" i="7"/>
  <c r="BR446" i="7"/>
  <c r="BQ446" i="7"/>
  <c r="BT446" i="7"/>
  <c r="BR445" i="7"/>
  <c r="BQ445" i="7"/>
  <c r="BT445" i="7"/>
  <c r="BR444" i="7"/>
  <c r="BQ444" i="7"/>
  <c r="BT444" i="7"/>
  <c r="BR443" i="7"/>
  <c r="BQ443" i="7"/>
  <c r="BT443" i="7"/>
  <c r="BR442" i="7"/>
  <c r="BQ442" i="7"/>
  <c r="BT442" i="7"/>
  <c r="BR441" i="7"/>
  <c r="BQ441" i="7"/>
  <c r="BT441" i="7"/>
  <c r="BR440" i="7"/>
  <c r="BQ440" i="7"/>
  <c r="BT440" i="7"/>
  <c r="BR439" i="7"/>
  <c r="BQ439" i="7"/>
  <c r="BT439" i="7"/>
  <c r="BR438" i="7"/>
  <c r="BQ438" i="7"/>
  <c r="BT438" i="7"/>
  <c r="BR437" i="7"/>
  <c r="BQ437" i="7"/>
  <c r="BT437" i="7"/>
  <c r="BR436" i="7"/>
  <c r="BQ436" i="7"/>
  <c r="BT436" i="7"/>
  <c r="BR435" i="7"/>
  <c r="BQ435" i="7"/>
  <c r="BT435" i="7"/>
  <c r="BR434" i="7"/>
  <c r="BQ434" i="7"/>
  <c r="BT434" i="7"/>
  <c r="BR433" i="7"/>
  <c r="BQ433" i="7"/>
  <c r="BT433" i="7"/>
  <c r="BR432" i="7"/>
  <c r="BQ432" i="7"/>
  <c r="BT432" i="7"/>
  <c r="BR431" i="7"/>
  <c r="BR430" i="7"/>
  <c r="BQ430" i="7"/>
  <c r="BT430" i="7"/>
  <c r="BR429" i="7"/>
  <c r="BR424" i="7"/>
  <c r="BR422" i="7"/>
  <c r="BQ422" i="7"/>
  <c r="BT422" i="7"/>
  <c r="BR421" i="7"/>
  <c r="BQ421" i="7"/>
  <c r="BT421" i="7"/>
  <c r="BR420" i="7"/>
  <c r="BQ420" i="7"/>
  <c r="BT420" i="7"/>
  <c r="BQ419" i="7"/>
  <c r="BT419" i="7"/>
  <c r="BR418" i="7"/>
  <c r="BQ418" i="7"/>
  <c r="BT418" i="7"/>
  <c r="BQ417" i="7"/>
  <c r="BR417" i="7"/>
  <c r="BT417" i="7"/>
  <c r="BR416" i="7"/>
  <c r="BQ416" i="7"/>
  <c r="BT416" i="7"/>
  <c r="BR395" i="7"/>
  <c r="BQ395" i="7"/>
  <c r="BT395" i="7"/>
  <c r="BR394" i="7"/>
  <c r="BQ394" i="7"/>
  <c r="BT394" i="7"/>
  <c r="BR393" i="7"/>
  <c r="BQ393" i="7"/>
  <c r="BT393" i="7"/>
  <c r="BR392" i="7"/>
  <c r="BQ392" i="7"/>
  <c r="BT392" i="7"/>
  <c r="BR391" i="7"/>
  <c r="BQ391" i="7"/>
  <c r="BT391" i="7"/>
  <c r="BR390" i="7"/>
  <c r="BQ390" i="7"/>
  <c r="BT390" i="7"/>
  <c r="BR389" i="7"/>
  <c r="BQ389" i="7"/>
  <c r="BT389" i="7"/>
  <c r="BR388" i="7"/>
  <c r="BQ388" i="7"/>
  <c r="BT388" i="7"/>
  <c r="BR387" i="7"/>
  <c r="BQ387" i="7"/>
  <c r="BT387" i="7"/>
  <c r="BR386" i="7"/>
  <c r="BQ386" i="7"/>
  <c r="BT386" i="7"/>
  <c r="BR385" i="7"/>
  <c r="BQ385" i="7"/>
  <c r="BT385" i="7"/>
  <c r="BR384" i="7"/>
  <c r="BQ384" i="7"/>
  <c r="BT384" i="7"/>
  <c r="BR383" i="7"/>
  <c r="BQ383" i="7"/>
  <c r="BT383" i="7"/>
  <c r="BR382" i="7"/>
  <c r="BQ382" i="7"/>
  <c r="BT382" i="7"/>
  <c r="BR381" i="7"/>
  <c r="BQ381" i="7"/>
  <c r="BT381" i="7"/>
  <c r="BR380" i="7"/>
  <c r="BQ380" i="7"/>
  <c r="BT380" i="7"/>
  <c r="BR379" i="7"/>
  <c r="BQ379" i="7"/>
  <c r="BT379" i="7"/>
  <c r="BR378" i="7"/>
  <c r="BQ378" i="7"/>
  <c r="BT378" i="7"/>
  <c r="BR377" i="7"/>
  <c r="BQ377" i="7"/>
  <c r="BT377" i="7"/>
  <c r="BR376" i="7"/>
  <c r="BQ376" i="7"/>
  <c r="BT376" i="7"/>
  <c r="BR375" i="7"/>
  <c r="BQ375" i="7"/>
  <c r="BT375" i="7"/>
  <c r="BR374" i="7"/>
  <c r="BR373" i="7"/>
  <c r="BQ373" i="7"/>
  <c r="BT373" i="7"/>
  <c r="BR372" i="7"/>
  <c r="BR367" i="7"/>
  <c r="BR365" i="7"/>
  <c r="BQ365" i="7"/>
  <c r="BT365" i="7"/>
  <c r="BR364" i="7"/>
  <c r="BQ364" i="7"/>
  <c r="BT364" i="7"/>
  <c r="BR363" i="7"/>
  <c r="BQ363" i="7"/>
  <c r="BT363" i="7"/>
  <c r="BQ362" i="7"/>
  <c r="BT362" i="7"/>
  <c r="BR361" i="7"/>
  <c r="BQ361" i="7"/>
  <c r="BT361" i="7"/>
  <c r="BQ360" i="7"/>
  <c r="BR360" i="7"/>
  <c r="BT360" i="7"/>
  <c r="BR359" i="7"/>
  <c r="BQ359" i="7"/>
  <c r="BT359" i="7"/>
  <c r="BR338" i="7"/>
  <c r="BQ338" i="7"/>
  <c r="BT338" i="7"/>
  <c r="BR337" i="7"/>
  <c r="BQ337" i="7"/>
  <c r="BT337" i="7"/>
  <c r="BR336" i="7"/>
  <c r="BQ336" i="7"/>
  <c r="BT336" i="7"/>
  <c r="BR335" i="7"/>
  <c r="BQ335" i="7"/>
  <c r="BT335" i="7"/>
  <c r="BR334" i="7"/>
  <c r="BQ334" i="7"/>
  <c r="BT334" i="7"/>
  <c r="BR333" i="7"/>
  <c r="BQ333" i="7"/>
  <c r="BT333" i="7"/>
  <c r="BR332" i="7"/>
  <c r="BQ332" i="7"/>
  <c r="BT332" i="7"/>
  <c r="BR331" i="7"/>
  <c r="BQ331" i="7"/>
  <c r="BT331" i="7"/>
  <c r="BR330" i="7"/>
  <c r="BQ330" i="7"/>
  <c r="BT330" i="7"/>
  <c r="BR329" i="7"/>
  <c r="BQ329" i="7"/>
  <c r="BT329" i="7"/>
  <c r="BR328" i="7"/>
  <c r="BQ328" i="7"/>
  <c r="BT328" i="7"/>
  <c r="BR327" i="7"/>
  <c r="BQ327" i="7"/>
  <c r="BT327" i="7"/>
  <c r="BR326" i="7"/>
  <c r="BQ326" i="7"/>
  <c r="BT326" i="7"/>
  <c r="BR325" i="7"/>
  <c r="BQ325" i="7"/>
  <c r="BT325" i="7"/>
  <c r="BR324" i="7"/>
  <c r="BQ324" i="7"/>
  <c r="BT324" i="7"/>
  <c r="BR323" i="7"/>
  <c r="BQ323" i="7"/>
  <c r="BT323" i="7"/>
  <c r="BR322" i="7"/>
  <c r="BQ322" i="7"/>
  <c r="BT322" i="7"/>
  <c r="BR321" i="7"/>
  <c r="BQ321" i="7"/>
  <c r="BT321" i="7"/>
  <c r="BR320" i="7"/>
  <c r="BQ320" i="7"/>
  <c r="BT320" i="7"/>
  <c r="BR319" i="7"/>
  <c r="BQ319" i="7"/>
  <c r="BT319" i="7"/>
  <c r="BR318" i="7"/>
  <c r="BQ318" i="7"/>
  <c r="BT318" i="7"/>
  <c r="BR317" i="7"/>
  <c r="BR316" i="7"/>
  <c r="BQ316" i="7"/>
  <c r="BT316" i="7"/>
  <c r="BR315" i="7"/>
  <c r="BR310" i="7"/>
  <c r="BR308" i="7"/>
  <c r="BQ308" i="7"/>
  <c r="BT308" i="7"/>
  <c r="BR307" i="7"/>
  <c r="BQ307" i="7"/>
  <c r="BT307" i="7"/>
  <c r="BR306" i="7"/>
  <c r="BQ306" i="7"/>
  <c r="BT306" i="7"/>
  <c r="BQ305" i="7"/>
  <c r="BT305" i="7"/>
  <c r="BR304" i="7"/>
  <c r="BQ304" i="7"/>
  <c r="BT304" i="7"/>
  <c r="BQ303" i="7"/>
  <c r="BR303" i="7"/>
  <c r="BT303" i="7"/>
  <c r="BR302" i="7"/>
  <c r="BQ302" i="7"/>
  <c r="BT302" i="7"/>
  <c r="BR281" i="7"/>
  <c r="BQ281" i="7"/>
  <c r="BT281" i="7"/>
  <c r="BR280" i="7"/>
  <c r="BQ280" i="7"/>
  <c r="BT280" i="7"/>
  <c r="BR279" i="7"/>
  <c r="BQ279" i="7"/>
  <c r="BT279" i="7"/>
  <c r="BR278" i="7"/>
  <c r="BQ278" i="7"/>
  <c r="BT278" i="7"/>
  <c r="BR277" i="7"/>
  <c r="BQ277" i="7"/>
  <c r="BT277" i="7"/>
  <c r="BR276" i="7"/>
  <c r="BQ276" i="7"/>
  <c r="BT276" i="7"/>
  <c r="BR275" i="7"/>
  <c r="BQ275" i="7"/>
  <c r="BT275" i="7"/>
  <c r="BR274" i="7"/>
  <c r="BQ274" i="7"/>
  <c r="BT274" i="7"/>
  <c r="BR273" i="7"/>
  <c r="BQ273" i="7"/>
  <c r="BT273" i="7"/>
  <c r="BR272" i="7"/>
  <c r="BQ272" i="7"/>
  <c r="BT272" i="7"/>
  <c r="BR271" i="7"/>
  <c r="BQ271" i="7"/>
  <c r="BT271" i="7"/>
  <c r="BR270" i="7"/>
  <c r="BQ270" i="7"/>
  <c r="BT270" i="7"/>
  <c r="BR269" i="7"/>
  <c r="BQ269" i="7"/>
  <c r="BT269" i="7"/>
  <c r="BR268" i="7"/>
  <c r="BQ268" i="7"/>
  <c r="BT268" i="7"/>
  <c r="BR267" i="7"/>
  <c r="BQ267" i="7"/>
  <c r="BT267" i="7"/>
  <c r="BR266" i="7"/>
  <c r="BQ266" i="7"/>
  <c r="BT266" i="7"/>
  <c r="BR265" i="7"/>
  <c r="BQ265" i="7"/>
  <c r="BT265" i="7"/>
  <c r="BR264" i="7"/>
  <c r="BQ264" i="7"/>
  <c r="BT264" i="7"/>
  <c r="BR263" i="7"/>
  <c r="BQ263" i="7"/>
  <c r="BT263" i="7"/>
  <c r="BR262" i="7"/>
  <c r="BQ262" i="7"/>
  <c r="BT262" i="7"/>
  <c r="BR261" i="7"/>
  <c r="BQ261" i="7"/>
  <c r="BT261" i="7"/>
  <c r="BR260" i="7"/>
  <c r="BR259" i="7"/>
  <c r="BQ259" i="7"/>
  <c r="BT259" i="7"/>
  <c r="BR258" i="7"/>
  <c r="BR253" i="7"/>
  <c r="BR251" i="7"/>
  <c r="BQ251" i="7"/>
  <c r="BT251" i="7"/>
  <c r="BR250" i="7"/>
  <c r="BQ250" i="7"/>
  <c r="BT250" i="7"/>
  <c r="BR249" i="7"/>
  <c r="BQ249" i="7"/>
  <c r="BT249" i="7"/>
  <c r="BQ248" i="7"/>
  <c r="BT248" i="7"/>
  <c r="BR247" i="7"/>
  <c r="BQ247" i="7"/>
  <c r="BT247" i="7"/>
  <c r="BQ246" i="7"/>
  <c r="BR246" i="7"/>
  <c r="BT246" i="7"/>
  <c r="BR245" i="7"/>
  <c r="BQ245" i="7"/>
  <c r="BT245" i="7"/>
  <c r="BR224" i="7"/>
  <c r="BQ224" i="7"/>
  <c r="BT224" i="7"/>
  <c r="BR223" i="7"/>
  <c r="BQ223" i="7"/>
  <c r="BT223" i="7"/>
  <c r="BR222" i="7"/>
  <c r="BQ222" i="7"/>
  <c r="BT222" i="7"/>
  <c r="BR221" i="7"/>
  <c r="BQ221" i="7"/>
  <c r="BT221" i="7"/>
  <c r="BR220" i="7"/>
  <c r="BQ220" i="7"/>
  <c r="BT220" i="7"/>
  <c r="BR219" i="7"/>
  <c r="BQ219" i="7"/>
  <c r="BT219" i="7"/>
  <c r="BR218" i="7"/>
  <c r="BQ218" i="7"/>
  <c r="BT218" i="7"/>
  <c r="BR217" i="7"/>
  <c r="BQ217" i="7"/>
  <c r="BT217" i="7"/>
  <c r="BR216" i="7"/>
  <c r="BQ216" i="7"/>
  <c r="BT216" i="7"/>
  <c r="BR215" i="7"/>
  <c r="BQ215" i="7"/>
  <c r="BT215" i="7"/>
  <c r="BR214" i="7"/>
  <c r="BQ214" i="7"/>
  <c r="BT214" i="7"/>
  <c r="BR213" i="7"/>
  <c r="BQ213" i="7"/>
  <c r="BT213" i="7"/>
  <c r="BR212" i="7"/>
  <c r="BQ212" i="7"/>
  <c r="BT212" i="7"/>
  <c r="BR211" i="7"/>
  <c r="BQ211" i="7"/>
  <c r="BT211" i="7"/>
  <c r="BR210" i="7"/>
  <c r="BQ210" i="7"/>
  <c r="BT210" i="7"/>
  <c r="BR209" i="7"/>
  <c r="BQ209" i="7"/>
  <c r="BT209" i="7"/>
  <c r="BR208" i="7"/>
  <c r="BQ208" i="7"/>
  <c r="BT208" i="7"/>
  <c r="BR207" i="7"/>
  <c r="BQ207" i="7"/>
  <c r="BT207" i="7"/>
  <c r="BR206" i="7"/>
  <c r="BQ206" i="7"/>
  <c r="BT206" i="7"/>
  <c r="BR205" i="7"/>
  <c r="BQ205" i="7"/>
  <c r="BT205" i="7"/>
  <c r="BR204" i="7"/>
  <c r="BQ204" i="7"/>
  <c r="BT204" i="7"/>
  <c r="BR203" i="7"/>
  <c r="BR202" i="7"/>
  <c r="BQ202" i="7"/>
  <c r="BT202" i="7"/>
  <c r="BR201" i="7"/>
  <c r="BR196" i="7"/>
  <c r="BR194" i="7"/>
  <c r="BQ194" i="7"/>
  <c r="BT194" i="7"/>
  <c r="BR193" i="7"/>
  <c r="BQ193" i="7"/>
  <c r="BT193" i="7"/>
  <c r="BR192" i="7"/>
  <c r="BQ192" i="7"/>
  <c r="BT192" i="7"/>
  <c r="BT191" i="7"/>
  <c r="BR190" i="7"/>
  <c r="BQ190" i="7"/>
  <c r="BT190" i="7"/>
  <c r="BQ189" i="7"/>
  <c r="BR189" i="7"/>
  <c r="BT189" i="7"/>
  <c r="BR188" i="7"/>
  <c r="BQ188" i="7"/>
  <c r="BT188" i="7"/>
  <c r="BR167" i="7"/>
  <c r="BQ167" i="7"/>
  <c r="BT167" i="7"/>
  <c r="BR166" i="7"/>
  <c r="BQ166" i="7"/>
  <c r="BT166" i="7"/>
  <c r="BR165" i="7"/>
  <c r="BQ165" i="7"/>
  <c r="BT165" i="7"/>
  <c r="BR164" i="7"/>
  <c r="BQ164" i="7"/>
  <c r="BT164" i="7"/>
  <c r="BR163" i="7"/>
  <c r="BQ163" i="7"/>
  <c r="BT163" i="7"/>
  <c r="BR162" i="7"/>
  <c r="BQ162" i="7"/>
  <c r="BT162" i="7"/>
  <c r="BR161" i="7"/>
  <c r="BQ161" i="7"/>
  <c r="BT161" i="7"/>
  <c r="BR160" i="7"/>
  <c r="BQ160" i="7"/>
  <c r="BT160" i="7"/>
  <c r="BR159" i="7"/>
  <c r="BQ159" i="7"/>
  <c r="BT159" i="7"/>
  <c r="BR158" i="7"/>
  <c r="BQ158" i="7"/>
  <c r="BT158" i="7"/>
  <c r="BR157" i="7"/>
  <c r="BQ157" i="7"/>
  <c r="BT157" i="7"/>
  <c r="BR156" i="7"/>
  <c r="BQ156" i="7"/>
  <c r="BT156" i="7"/>
  <c r="BR155" i="7"/>
  <c r="BQ155" i="7"/>
  <c r="BT155" i="7"/>
  <c r="BR154" i="7"/>
  <c r="BQ154" i="7"/>
  <c r="BT154" i="7"/>
  <c r="BR153" i="7"/>
  <c r="BQ153" i="7"/>
  <c r="BT153" i="7"/>
  <c r="BR152" i="7"/>
  <c r="BQ152" i="7"/>
  <c r="BT152" i="7"/>
  <c r="BR151" i="7"/>
  <c r="BQ151" i="7"/>
  <c r="BT151" i="7"/>
  <c r="BR150" i="7"/>
  <c r="BQ150" i="7"/>
  <c r="BT150" i="7"/>
  <c r="BR149" i="7"/>
  <c r="BQ149" i="7"/>
  <c r="BT149" i="7"/>
  <c r="BR148" i="7"/>
  <c r="BQ148" i="7"/>
  <c r="BT148" i="7"/>
  <c r="BR147" i="7"/>
  <c r="BQ147" i="7"/>
  <c r="BT147" i="7"/>
  <c r="BR146" i="7"/>
  <c r="BR145" i="7"/>
  <c r="BQ145" i="7"/>
  <c r="BT145" i="7"/>
  <c r="BR144" i="7"/>
  <c r="BR139" i="7"/>
  <c r="BR137" i="7"/>
  <c r="BQ137" i="7"/>
  <c r="BT137" i="7"/>
  <c r="BR136" i="7"/>
  <c r="BQ136" i="7"/>
  <c r="BT136" i="7"/>
  <c r="BR135" i="7"/>
  <c r="BQ135" i="7"/>
  <c r="BT135" i="7"/>
  <c r="BQ134" i="7"/>
  <c r="BT134" i="7"/>
  <c r="BR133" i="7"/>
  <c r="BQ133" i="7"/>
  <c r="BT133" i="7"/>
  <c r="BQ132" i="7"/>
  <c r="BR132" i="7"/>
  <c r="BT132" i="7"/>
  <c r="BR131" i="7"/>
  <c r="BQ131" i="7"/>
  <c r="BT131" i="7"/>
  <c r="BR110" i="7"/>
  <c r="BQ110" i="7"/>
  <c r="BT110" i="7"/>
  <c r="BR109" i="7"/>
  <c r="BQ109" i="7"/>
  <c r="BT109" i="7"/>
  <c r="BR108" i="7"/>
  <c r="BQ108" i="7"/>
  <c r="BT108" i="7"/>
  <c r="BR107" i="7"/>
  <c r="BQ107" i="7"/>
  <c r="BT107" i="7"/>
  <c r="BR106" i="7"/>
  <c r="BQ106" i="7"/>
  <c r="BT106" i="7"/>
  <c r="BR105" i="7"/>
  <c r="BQ105" i="7"/>
  <c r="BT105" i="7"/>
  <c r="BR104" i="7"/>
  <c r="BQ104" i="7"/>
  <c r="BT104" i="7"/>
  <c r="BR103" i="7"/>
  <c r="BQ103" i="7"/>
  <c r="BT103" i="7"/>
  <c r="BR102" i="7"/>
  <c r="BQ102" i="7"/>
  <c r="BT102" i="7"/>
  <c r="BR101" i="7"/>
  <c r="BQ101" i="7"/>
  <c r="BT101" i="7"/>
  <c r="BR100" i="7"/>
  <c r="BQ100" i="7"/>
  <c r="BT100" i="7"/>
  <c r="BR99" i="7"/>
  <c r="BQ99" i="7"/>
  <c r="BT99" i="7"/>
  <c r="BR98" i="7"/>
  <c r="BQ98" i="7"/>
  <c r="BT98" i="7"/>
  <c r="BR97" i="7"/>
  <c r="BQ97" i="7"/>
  <c r="BT97" i="7"/>
  <c r="BR96" i="7"/>
  <c r="BQ96" i="7"/>
  <c r="BT96" i="7"/>
  <c r="BR95" i="7"/>
  <c r="BQ95" i="7"/>
  <c r="BT95" i="7"/>
  <c r="BR94" i="7"/>
  <c r="BQ94" i="7"/>
  <c r="BT94" i="7"/>
  <c r="BR93" i="7"/>
  <c r="BQ93" i="7"/>
  <c r="BT93" i="7"/>
  <c r="BR92" i="7"/>
  <c r="BQ92" i="7"/>
  <c r="BT92" i="7"/>
  <c r="BR91" i="7"/>
  <c r="BQ91" i="7"/>
  <c r="BT91" i="7"/>
  <c r="BR90" i="7"/>
  <c r="BQ90" i="7"/>
  <c r="BT90" i="7"/>
  <c r="BR89" i="7"/>
  <c r="BR88" i="7"/>
  <c r="BQ88" i="7"/>
  <c r="BT88" i="7"/>
  <c r="BR87" i="7"/>
  <c r="BR82" i="7"/>
  <c r="BR80" i="7"/>
  <c r="BQ80" i="7"/>
  <c r="BT80" i="7"/>
  <c r="BR79" i="7"/>
  <c r="BQ79" i="7"/>
  <c r="BT79" i="7"/>
  <c r="BR78" i="7"/>
  <c r="BQ78" i="7"/>
  <c r="BT78" i="7"/>
  <c r="BQ77" i="7"/>
  <c r="BT77" i="7"/>
  <c r="BR76" i="7"/>
  <c r="BQ76" i="7"/>
  <c r="BT76" i="7"/>
  <c r="BQ75" i="7"/>
  <c r="BR75" i="7"/>
  <c r="BT75" i="7"/>
  <c r="BR74" i="7"/>
  <c r="BQ74" i="7"/>
  <c r="BT74" i="7"/>
  <c r="BQ53" i="7"/>
  <c r="BR53" i="7"/>
  <c r="BT53" i="7"/>
  <c r="BQ52" i="7"/>
  <c r="BR52" i="7"/>
  <c r="BT52" i="7"/>
  <c r="BQ51" i="7"/>
  <c r="BR51" i="7"/>
  <c r="BT51" i="7"/>
  <c r="BQ50" i="7"/>
  <c r="BR50" i="7"/>
  <c r="BT50" i="7"/>
  <c r="BQ49" i="7"/>
  <c r="BR49" i="7"/>
  <c r="BT49" i="7"/>
  <c r="BQ48" i="7"/>
  <c r="BR48" i="7"/>
  <c r="BT48" i="7"/>
  <c r="BQ47" i="7"/>
  <c r="BR47" i="7"/>
  <c r="BT47" i="7"/>
  <c r="BQ46" i="7"/>
  <c r="BR46" i="7"/>
  <c r="BT46" i="7"/>
  <c r="BQ45" i="7"/>
  <c r="BR45" i="7"/>
  <c r="BT45" i="7"/>
  <c r="BR44" i="7"/>
  <c r="BQ44" i="7"/>
  <c r="BT44" i="7"/>
  <c r="BR43" i="7"/>
  <c r="BQ43" i="7"/>
  <c r="BT43" i="7"/>
  <c r="BR42" i="7"/>
  <c r="BQ42" i="7"/>
  <c r="BT42" i="7"/>
  <c r="BR41" i="7"/>
  <c r="BQ41" i="7"/>
  <c r="BT41" i="7"/>
  <c r="BR40" i="7"/>
  <c r="BQ40" i="7"/>
  <c r="BT40" i="7"/>
  <c r="BR39" i="7"/>
  <c r="BQ39" i="7"/>
  <c r="BT39" i="7"/>
  <c r="BQ38" i="7"/>
  <c r="BR38" i="7"/>
  <c r="BT38" i="7"/>
  <c r="BR37" i="7"/>
  <c r="BQ37" i="7"/>
  <c r="BT37" i="7"/>
  <c r="BR36" i="7"/>
  <c r="BQ36" i="7"/>
  <c r="BT36" i="7"/>
  <c r="BR35" i="7"/>
  <c r="BQ35" i="7"/>
  <c r="BT35" i="7"/>
  <c r="BR34" i="7"/>
  <c r="BQ34" i="7"/>
  <c r="BT34" i="7"/>
  <c r="BR33" i="7"/>
  <c r="BQ33" i="7"/>
  <c r="BT33" i="7"/>
  <c r="BR32" i="7"/>
  <c r="BQ31" i="7"/>
  <c r="BR31" i="7"/>
  <c r="BT31" i="7"/>
  <c r="BR30" i="7"/>
  <c r="BR23" i="7"/>
  <c r="BQ23" i="7"/>
  <c r="BT23" i="7"/>
  <c r="BR22" i="7"/>
  <c r="BQ22" i="7"/>
  <c r="BT22" i="7"/>
  <c r="BR21" i="7"/>
  <c r="BQ21" i="7"/>
  <c r="BT21" i="7"/>
  <c r="BT20" i="7"/>
  <c r="BR19" i="7"/>
  <c r="BQ19" i="7"/>
  <c r="BT19" i="7"/>
  <c r="BQ18" i="7"/>
  <c r="BR18" i="7"/>
  <c r="BT18" i="7"/>
  <c r="BQ17" i="7"/>
  <c r="BR17" i="7"/>
  <c r="BT17" i="7"/>
  <c r="BU908" i="7"/>
  <c r="BU907" i="7"/>
  <c r="BU906" i="7"/>
  <c r="BU905" i="7"/>
  <c r="BU904" i="7"/>
  <c r="BU903" i="7"/>
  <c r="BU902" i="7"/>
  <c r="BU901" i="7"/>
  <c r="BU900" i="7"/>
  <c r="BU899" i="7"/>
  <c r="BU898" i="7"/>
  <c r="BU897" i="7"/>
  <c r="BU896" i="7"/>
  <c r="BU895" i="7"/>
  <c r="BU894" i="7"/>
  <c r="BU893" i="7"/>
  <c r="BU892" i="7"/>
  <c r="BU891" i="7"/>
  <c r="BU890" i="7"/>
  <c r="BU889" i="7"/>
  <c r="BU888" i="7"/>
  <c r="BQ887" i="7"/>
  <c r="BU887" i="7"/>
  <c r="BU886" i="7"/>
  <c r="BU878" i="7"/>
  <c r="BU877" i="7"/>
  <c r="BU876" i="7"/>
  <c r="BU875" i="7"/>
  <c r="BU874" i="7"/>
  <c r="BU873" i="7"/>
  <c r="BU872" i="7"/>
  <c r="BU851" i="7"/>
  <c r="BU850" i="7"/>
  <c r="BU849" i="7"/>
  <c r="BU848" i="7"/>
  <c r="BU847" i="7"/>
  <c r="BU846" i="7"/>
  <c r="BU845" i="7"/>
  <c r="BU844" i="7"/>
  <c r="BU843" i="7"/>
  <c r="BU842" i="7"/>
  <c r="BU841" i="7"/>
  <c r="BU840" i="7"/>
  <c r="BU839" i="7"/>
  <c r="BU838" i="7"/>
  <c r="BU837" i="7"/>
  <c r="BU836" i="7"/>
  <c r="BU835" i="7"/>
  <c r="BU834" i="7"/>
  <c r="BU833" i="7"/>
  <c r="BU832" i="7"/>
  <c r="BU831" i="7"/>
  <c r="BQ830" i="7"/>
  <c r="BU830" i="7"/>
  <c r="BU829" i="7"/>
  <c r="BU821" i="7"/>
  <c r="BU820" i="7"/>
  <c r="BU819" i="7"/>
  <c r="BU818" i="7"/>
  <c r="BU817" i="7"/>
  <c r="BU816" i="7"/>
  <c r="BU815" i="7"/>
  <c r="BU794" i="7"/>
  <c r="BU793" i="7"/>
  <c r="BU792" i="7"/>
  <c r="BU791" i="7"/>
  <c r="BU790" i="7"/>
  <c r="BU789" i="7"/>
  <c r="BU788" i="7"/>
  <c r="BU787" i="7"/>
  <c r="BU786" i="7"/>
  <c r="BU785" i="7"/>
  <c r="BU784" i="7"/>
  <c r="BU783" i="7"/>
  <c r="BU782" i="7"/>
  <c r="BU781" i="7"/>
  <c r="BU780" i="7"/>
  <c r="BU779" i="7"/>
  <c r="BU778" i="7"/>
  <c r="BU777" i="7"/>
  <c r="BU776" i="7"/>
  <c r="BU775" i="7"/>
  <c r="BU774" i="7"/>
  <c r="BQ773" i="7"/>
  <c r="BU773" i="7"/>
  <c r="BU772" i="7"/>
  <c r="BU764" i="7"/>
  <c r="BU763" i="7"/>
  <c r="BU762" i="7"/>
  <c r="BU761" i="7"/>
  <c r="BU760" i="7"/>
  <c r="BU759" i="7"/>
  <c r="BU758" i="7"/>
  <c r="BU737" i="7"/>
  <c r="BU736" i="7"/>
  <c r="BU735" i="7"/>
  <c r="BU734" i="7"/>
  <c r="BU733" i="7"/>
  <c r="BU732" i="7"/>
  <c r="BU731" i="7"/>
  <c r="BU730" i="7"/>
  <c r="BU729" i="7"/>
  <c r="BU728" i="7"/>
  <c r="BU727" i="7"/>
  <c r="BU726" i="7"/>
  <c r="BU725" i="7"/>
  <c r="BU724" i="7"/>
  <c r="BU723" i="7"/>
  <c r="BU722" i="7"/>
  <c r="BU721" i="7"/>
  <c r="BU720" i="7"/>
  <c r="BU719" i="7"/>
  <c r="BU718" i="7"/>
  <c r="BU717" i="7"/>
  <c r="BQ716" i="7"/>
  <c r="BU716" i="7"/>
  <c r="BU715" i="7"/>
  <c r="BU707" i="7"/>
  <c r="BU706" i="7"/>
  <c r="BU705" i="7"/>
  <c r="BU704" i="7"/>
  <c r="BU703" i="7"/>
  <c r="BU702" i="7"/>
  <c r="BU701" i="7"/>
  <c r="BU680" i="7"/>
  <c r="BU679" i="7"/>
  <c r="BU678" i="7"/>
  <c r="BU677" i="7"/>
  <c r="BU676" i="7"/>
  <c r="BU675" i="7"/>
  <c r="BU674" i="7"/>
  <c r="BU673" i="7"/>
  <c r="BU672" i="7"/>
  <c r="BU671" i="7"/>
  <c r="BU670" i="7"/>
  <c r="BU669" i="7"/>
  <c r="BU668" i="7"/>
  <c r="BU667" i="7"/>
  <c r="BU666" i="7"/>
  <c r="BU665" i="7"/>
  <c r="BU664" i="7"/>
  <c r="BU663" i="7"/>
  <c r="BU662" i="7"/>
  <c r="BU661" i="7"/>
  <c r="BU660" i="7"/>
  <c r="BQ659" i="7"/>
  <c r="BU659" i="7"/>
  <c r="BU658" i="7"/>
  <c r="BU650" i="7"/>
  <c r="BU649" i="7"/>
  <c r="BU648" i="7"/>
  <c r="BU647" i="7"/>
  <c r="BU646" i="7"/>
  <c r="BU645" i="7"/>
  <c r="BU644" i="7"/>
  <c r="BU623" i="7"/>
  <c r="BU622" i="7"/>
  <c r="BU621" i="7"/>
  <c r="BU620" i="7"/>
  <c r="BU619" i="7"/>
  <c r="BU618" i="7"/>
  <c r="BU617" i="7"/>
  <c r="BU616" i="7"/>
  <c r="BU615" i="7"/>
  <c r="BU614" i="7"/>
  <c r="BU613" i="7"/>
  <c r="BU612" i="7"/>
  <c r="BU611" i="7"/>
  <c r="BU610" i="7"/>
  <c r="BU609" i="7"/>
  <c r="BU608" i="7"/>
  <c r="BU607" i="7"/>
  <c r="BU606" i="7"/>
  <c r="BU605" i="7"/>
  <c r="BU604" i="7"/>
  <c r="BU603" i="7"/>
  <c r="BQ602" i="7"/>
  <c r="BU602" i="7"/>
  <c r="BU601" i="7"/>
  <c r="BU593" i="7"/>
  <c r="BU592" i="7"/>
  <c r="BU591" i="7"/>
  <c r="BU590" i="7"/>
  <c r="BU589" i="7"/>
  <c r="BU588" i="7"/>
  <c r="BU587" i="7"/>
  <c r="BU566" i="7"/>
  <c r="BU565" i="7"/>
  <c r="BU564" i="7"/>
  <c r="BU563" i="7"/>
  <c r="BU562" i="7"/>
  <c r="BU561" i="7"/>
  <c r="BU560" i="7"/>
  <c r="BU559" i="7"/>
  <c r="BU558" i="7"/>
  <c r="BU557" i="7"/>
  <c r="BU556" i="7"/>
  <c r="BU555" i="7"/>
  <c r="BU554" i="7"/>
  <c r="BU553" i="7"/>
  <c r="BU552" i="7"/>
  <c r="BU551" i="7"/>
  <c r="BU550" i="7"/>
  <c r="BU549" i="7"/>
  <c r="BU548" i="7"/>
  <c r="BU547" i="7"/>
  <c r="BU546" i="7"/>
  <c r="BQ545" i="7"/>
  <c r="BU545" i="7"/>
  <c r="BU544" i="7"/>
  <c r="BU536" i="7"/>
  <c r="BU535" i="7"/>
  <c r="BU534" i="7"/>
  <c r="BU533" i="7"/>
  <c r="BU532" i="7"/>
  <c r="BU531" i="7"/>
  <c r="BU530" i="7"/>
  <c r="BU509" i="7"/>
  <c r="BU508" i="7"/>
  <c r="BU507" i="7"/>
  <c r="BU506" i="7"/>
  <c r="BU505" i="7"/>
  <c r="BU504" i="7"/>
  <c r="BU503" i="7"/>
  <c r="BU502" i="7"/>
  <c r="BU501" i="7"/>
  <c r="BU500" i="7"/>
  <c r="BU499" i="7"/>
  <c r="BU498" i="7"/>
  <c r="BU497" i="7"/>
  <c r="BU496" i="7"/>
  <c r="BU495" i="7"/>
  <c r="BU494" i="7"/>
  <c r="BU493" i="7"/>
  <c r="BU492" i="7"/>
  <c r="BU491" i="7"/>
  <c r="BU490" i="7"/>
  <c r="BU489" i="7"/>
  <c r="BQ488" i="7"/>
  <c r="BU488" i="7"/>
  <c r="BU487" i="7"/>
  <c r="BU479" i="7"/>
  <c r="BU478" i="7"/>
  <c r="BU477" i="7"/>
  <c r="BU476" i="7"/>
  <c r="BU475" i="7"/>
  <c r="BU474" i="7"/>
  <c r="BU473" i="7"/>
  <c r="BU452" i="7"/>
  <c r="BU451" i="7"/>
  <c r="BU450" i="7"/>
  <c r="BU449" i="7"/>
  <c r="BU448" i="7"/>
  <c r="BU447" i="7"/>
  <c r="BU446" i="7"/>
  <c r="BU445" i="7"/>
  <c r="BU444" i="7"/>
  <c r="BU443" i="7"/>
  <c r="BU442" i="7"/>
  <c r="BU441" i="7"/>
  <c r="BU440" i="7"/>
  <c r="BU439" i="7"/>
  <c r="BU438" i="7"/>
  <c r="BU437" i="7"/>
  <c r="BU436" i="7"/>
  <c r="BU435" i="7"/>
  <c r="BU434" i="7"/>
  <c r="BU433" i="7"/>
  <c r="BU432" i="7"/>
  <c r="BQ431" i="7"/>
  <c r="BU431" i="7"/>
  <c r="BU430" i="7"/>
  <c r="BU422" i="7"/>
  <c r="BU421" i="7"/>
  <c r="BU420" i="7"/>
  <c r="BU419" i="7"/>
  <c r="BU418" i="7"/>
  <c r="BU417" i="7"/>
  <c r="BU416" i="7"/>
  <c r="BU395" i="7"/>
  <c r="BU394" i="7"/>
  <c r="BU393" i="7"/>
  <c r="BU392" i="7"/>
  <c r="BU391" i="7"/>
  <c r="BU390" i="7"/>
  <c r="BU389" i="7"/>
  <c r="BU388" i="7"/>
  <c r="BU387" i="7"/>
  <c r="BU386" i="7"/>
  <c r="BU385" i="7"/>
  <c r="BU384" i="7"/>
  <c r="BU383" i="7"/>
  <c r="BU382" i="7"/>
  <c r="BU381" i="7"/>
  <c r="BU380" i="7"/>
  <c r="BU379" i="7"/>
  <c r="BU378" i="7"/>
  <c r="BU377" i="7"/>
  <c r="BU376" i="7"/>
  <c r="BU375" i="7"/>
  <c r="BQ374" i="7"/>
  <c r="BU374" i="7"/>
  <c r="BU373" i="7"/>
  <c r="BU365" i="7"/>
  <c r="BU364" i="7"/>
  <c r="BU363" i="7"/>
  <c r="BU362" i="7"/>
  <c r="BU361" i="7"/>
  <c r="BU360" i="7"/>
  <c r="BU359" i="7"/>
  <c r="BU338" i="7"/>
  <c r="BU337" i="7"/>
  <c r="BU336" i="7"/>
  <c r="BU335" i="7"/>
  <c r="BU334" i="7"/>
  <c r="BU333" i="7"/>
  <c r="BU332" i="7"/>
  <c r="BU331" i="7"/>
  <c r="BU330" i="7"/>
  <c r="BU329" i="7"/>
  <c r="BU328" i="7"/>
  <c r="BU327" i="7"/>
  <c r="BU326" i="7"/>
  <c r="BU325" i="7"/>
  <c r="BU324" i="7"/>
  <c r="BU323" i="7"/>
  <c r="BU322" i="7"/>
  <c r="BU321" i="7"/>
  <c r="BU320" i="7"/>
  <c r="BU319" i="7"/>
  <c r="BU318" i="7"/>
  <c r="BQ317" i="7"/>
  <c r="BU317" i="7"/>
  <c r="BU316" i="7"/>
  <c r="BU308" i="7"/>
  <c r="BU307" i="7"/>
  <c r="BU306" i="7"/>
  <c r="BU305" i="7"/>
  <c r="BU304" i="7"/>
  <c r="BU303" i="7"/>
  <c r="BU302" i="7"/>
  <c r="BU281" i="7"/>
  <c r="BU280" i="7"/>
  <c r="BU279" i="7"/>
  <c r="BU278" i="7"/>
  <c r="BU277" i="7"/>
  <c r="BU276" i="7"/>
  <c r="BU275" i="7"/>
  <c r="BU274" i="7"/>
  <c r="BU273" i="7"/>
  <c r="BU272" i="7"/>
  <c r="BU271" i="7"/>
  <c r="BU270" i="7"/>
  <c r="BU269" i="7"/>
  <c r="BU268" i="7"/>
  <c r="BU267" i="7"/>
  <c r="BU266" i="7"/>
  <c r="BU265" i="7"/>
  <c r="BU264" i="7"/>
  <c r="BU263" i="7"/>
  <c r="BU262" i="7"/>
  <c r="BU261" i="7"/>
  <c r="BQ260" i="7"/>
  <c r="BU260" i="7"/>
  <c r="BU259" i="7"/>
  <c r="BU251" i="7"/>
  <c r="BU250" i="7"/>
  <c r="BU249" i="7"/>
  <c r="BU248" i="7"/>
  <c r="BU247" i="7"/>
  <c r="BU246" i="7"/>
  <c r="BU245" i="7"/>
  <c r="BU224" i="7"/>
  <c r="BU223" i="7"/>
  <c r="BU222" i="7"/>
  <c r="BU221" i="7"/>
  <c r="BU220" i="7"/>
  <c r="BU219" i="7"/>
  <c r="BU218" i="7"/>
  <c r="BU217" i="7"/>
  <c r="BU216" i="7"/>
  <c r="BU215" i="7"/>
  <c r="BU214" i="7"/>
  <c r="BU213" i="7"/>
  <c r="BU212" i="7"/>
  <c r="BU211" i="7"/>
  <c r="BU210" i="7"/>
  <c r="BU209" i="7"/>
  <c r="BU208" i="7"/>
  <c r="BU207" i="7"/>
  <c r="BU206" i="7"/>
  <c r="BU205" i="7"/>
  <c r="BU204" i="7"/>
  <c r="BQ203" i="7"/>
  <c r="BU203" i="7"/>
  <c r="BU202" i="7"/>
  <c r="BU194" i="7"/>
  <c r="BU193" i="7"/>
  <c r="BU192" i="7"/>
  <c r="BU190" i="7"/>
  <c r="BU189" i="7"/>
  <c r="BU188" i="7"/>
  <c r="BU167" i="7"/>
  <c r="BU166" i="7"/>
  <c r="BU165" i="7"/>
  <c r="BU164" i="7"/>
  <c r="BU163" i="7"/>
  <c r="BU162" i="7"/>
  <c r="BU161" i="7"/>
  <c r="BU160" i="7"/>
  <c r="BU159" i="7"/>
  <c r="BU158" i="7"/>
  <c r="BU157" i="7"/>
  <c r="BU156" i="7"/>
  <c r="BU155" i="7"/>
  <c r="BU154" i="7"/>
  <c r="BU153" i="7"/>
  <c r="BU152" i="7"/>
  <c r="BU151" i="7"/>
  <c r="BU150" i="7"/>
  <c r="BU149" i="7"/>
  <c r="BU148" i="7"/>
  <c r="BU147" i="7"/>
  <c r="BQ146" i="7"/>
  <c r="BU146" i="7"/>
  <c r="BU145" i="7"/>
  <c r="BU137" i="7"/>
  <c r="BU136" i="7"/>
  <c r="BU135" i="7"/>
  <c r="BU134" i="7"/>
  <c r="BU133" i="7"/>
  <c r="BU132" i="7"/>
  <c r="BU131" i="7"/>
  <c r="BU110" i="7"/>
  <c r="BU109" i="7"/>
  <c r="BU108" i="7"/>
  <c r="BU107" i="7"/>
  <c r="BU106" i="7"/>
  <c r="BU105" i="7"/>
  <c r="BU104" i="7"/>
  <c r="BU103" i="7"/>
  <c r="BU102" i="7"/>
  <c r="BU101" i="7"/>
  <c r="BU100" i="7"/>
  <c r="BU99" i="7"/>
  <c r="BU98" i="7"/>
  <c r="BU97" i="7"/>
  <c r="BU96" i="7"/>
  <c r="BU95" i="7"/>
  <c r="BU94" i="7"/>
  <c r="BU93" i="7"/>
  <c r="BU92" i="7"/>
  <c r="BU91" i="7"/>
  <c r="BU90" i="7"/>
  <c r="BQ89" i="7"/>
  <c r="BU89" i="7"/>
  <c r="BU88" i="7"/>
  <c r="BU80" i="7"/>
  <c r="BU79" i="7"/>
  <c r="BU78" i="7"/>
  <c r="BU77" i="7"/>
  <c r="BU76" i="7"/>
  <c r="BU75" i="7"/>
  <c r="BU74" i="7"/>
  <c r="BU53" i="7"/>
  <c r="BU52" i="7"/>
  <c r="BU51" i="7"/>
  <c r="BU50" i="7"/>
  <c r="BU49" i="7"/>
  <c r="BU48" i="7"/>
  <c r="BU47" i="7"/>
  <c r="BU46" i="7"/>
  <c r="BU45" i="7"/>
  <c r="BU44" i="7"/>
  <c r="BU43" i="7"/>
  <c r="BU42" i="7"/>
  <c r="BU41" i="7"/>
  <c r="BU40" i="7"/>
  <c r="BU39" i="7"/>
  <c r="BU38" i="7"/>
  <c r="BU37" i="7"/>
  <c r="BU36" i="7"/>
  <c r="BU35" i="7"/>
  <c r="BU34" i="7"/>
  <c r="BU33" i="7"/>
  <c r="BQ32" i="7"/>
  <c r="BU32" i="7"/>
  <c r="BU31" i="7"/>
  <c r="BU23" i="7"/>
  <c r="BU22" i="7"/>
  <c r="BU21" i="7"/>
  <c r="BU19" i="7"/>
  <c r="BU18" i="7"/>
  <c r="BU17" i="7"/>
  <c r="BS908" i="7"/>
  <c r="BS907" i="7"/>
  <c r="BS906" i="7"/>
  <c r="BS905" i="7"/>
  <c r="BS904" i="7"/>
  <c r="BS903" i="7"/>
  <c r="BS902" i="7"/>
  <c r="BS901" i="7"/>
  <c r="BS900" i="7"/>
  <c r="BS899" i="7"/>
  <c r="BS898" i="7"/>
  <c r="BS897" i="7"/>
  <c r="BS896" i="7"/>
  <c r="BS895" i="7"/>
  <c r="BS894" i="7"/>
  <c r="BS893" i="7"/>
  <c r="BS892" i="7"/>
  <c r="BS891" i="7"/>
  <c r="BS890" i="7"/>
  <c r="BS889" i="7"/>
  <c r="BS888" i="7"/>
  <c r="BS887" i="7"/>
  <c r="BS886" i="7"/>
  <c r="BQ885" i="7"/>
  <c r="BS885" i="7"/>
  <c r="BQ884" i="7"/>
  <c r="BR884" i="7"/>
  <c r="BS884" i="7"/>
  <c r="BQ883" i="7"/>
  <c r="BR883" i="7"/>
  <c r="BS883" i="7"/>
  <c r="BQ882" i="7"/>
  <c r="BR882" i="7"/>
  <c r="BS882" i="7"/>
  <c r="BQ881" i="7"/>
  <c r="BR881" i="7"/>
  <c r="BS881" i="7"/>
  <c r="BQ880" i="7"/>
  <c r="BS880" i="7"/>
  <c r="BQ879" i="7"/>
  <c r="BR879" i="7"/>
  <c r="BS879" i="7"/>
  <c r="BS878" i="7"/>
  <c r="BS877" i="7"/>
  <c r="BS876" i="7"/>
  <c r="BS875" i="7"/>
  <c r="BR875" i="7"/>
  <c r="BS874" i="7"/>
  <c r="BS873" i="7"/>
  <c r="BS872" i="7"/>
  <c r="BS851" i="7"/>
  <c r="BS850" i="7"/>
  <c r="BS849" i="7"/>
  <c r="BS848" i="7"/>
  <c r="BS847" i="7"/>
  <c r="BS846" i="7"/>
  <c r="BS845" i="7"/>
  <c r="BS844" i="7"/>
  <c r="BS843" i="7"/>
  <c r="BS842" i="7"/>
  <c r="BS841" i="7"/>
  <c r="BS840" i="7"/>
  <c r="BS839" i="7"/>
  <c r="BS838" i="7"/>
  <c r="BS837" i="7"/>
  <c r="BS836" i="7"/>
  <c r="BS835" i="7"/>
  <c r="BS834" i="7"/>
  <c r="BS833" i="7"/>
  <c r="BS832" i="7"/>
  <c r="BS831" i="7"/>
  <c r="BS830" i="7"/>
  <c r="BS829" i="7"/>
  <c r="BQ828" i="7"/>
  <c r="BS828" i="7"/>
  <c r="BQ827" i="7"/>
  <c r="BR827" i="7"/>
  <c r="BS827" i="7"/>
  <c r="BQ826" i="7"/>
  <c r="BR826" i="7"/>
  <c r="BS826" i="7"/>
  <c r="BQ825" i="7"/>
  <c r="BR825" i="7"/>
  <c r="BS825" i="7"/>
  <c r="BQ824" i="7"/>
  <c r="BR824" i="7"/>
  <c r="BS824" i="7"/>
  <c r="BQ823" i="7"/>
  <c r="BS823" i="7"/>
  <c r="BQ822" i="7"/>
  <c r="BR822" i="7"/>
  <c r="BS822" i="7"/>
  <c r="BS821" i="7"/>
  <c r="BS820" i="7"/>
  <c r="BS819" i="7"/>
  <c r="BS818" i="7"/>
  <c r="BR818" i="7"/>
  <c r="BS817" i="7"/>
  <c r="BS816" i="7"/>
  <c r="BS815" i="7"/>
  <c r="BS794" i="7"/>
  <c r="BS793" i="7"/>
  <c r="BS792" i="7"/>
  <c r="BS791" i="7"/>
  <c r="BS790" i="7"/>
  <c r="BS789" i="7"/>
  <c r="BS788" i="7"/>
  <c r="BS787" i="7"/>
  <c r="BS786" i="7"/>
  <c r="BS785" i="7"/>
  <c r="BS784" i="7"/>
  <c r="BS783" i="7"/>
  <c r="BS782" i="7"/>
  <c r="BS781" i="7"/>
  <c r="BS780" i="7"/>
  <c r="BS779" i="7"/>
  <c r="BS778" i="7"/>
  <c r="BS777" i="7"/>
  <c r="BS776" i="7"/>
  <c r="BS775" i="7"/>
  <c r="BS774" i="7"/>
  <c r="BS773" i="7"/>
  <c r="BS772" i="7"/>
  <c r="BQ771" i="7"/>
  <c r="BS771" i="7"/>
  <c r="BQ770" i="7"/>
  <c r="BR770" i="7"/>
  <c r="BS770" i="7"/>
  <c r="BQ769" i="7"/>
  <c r="BR769" i="7"/>
  <c r="BS769" i="7"/>
  <c r="BQ768" i="7"/>
  <c r="BR768" i="7"/>
  <c r="BS768" i="7"/>
  <c r="BQ767" i="7"/>
  <c r="BR767" i="7"/>
  <c r="BS767" i="7"/>
  <c r="BQ766" i="7"/>
  <c r="BS766" i="7"/>
  <c r="BQ765" i="7"/>
  <c r="BR765" i="7"/>
  <c r="BS765" i="7"/>
  <c r="BS764" i="7"/>
  <c r="BS763" i="7"/>
  <c r="BS762" i="7"/>
  <c r="BS761" i="7"/>
  <c r="BR761" i="7"/>
  <c r="BS760" i="7"/>
  <c r="BS759" i="7"/>
  <c r="BS758" i="7"/>
  <c r="BS737" i="7"/>
  <c r="BS736" i="7"/>
  <c r="BS735" i="7"/>
  <c r="BS734" i="7"/>
  <c r="BS733" i="7"/>
  <c r="BS732" i="7"/>
  <c r="BS731" i="7"/>
  <c r="BS730" i="7"/>
  <c r="BS729" i="7"/>
  <c r="BS728" i="7"/>
  <c r="BS727" i="7"/>
  <c r="BS726" i="7"/>
  <c r="BS725" i="7"/>
  <c r="BS724" i="7"/>
  <c r="BS723" i="7"/>
  <c r="BS722" i="7"/>
  <c r="BS721" i="7"/>
  <c r="BS720" i="7"/>
  <c r="BS719" i="7"/>
  <c r="BS718" i="7"/>
  <c r="BS717" i="7"/>
  <c r="BS716" i="7"/>
  <c r="BS715" i="7"/>
  <c r="BQ714" i="7"/>
  <c r="BS714" i="7"/>
  <c r="BQ713" i="7"/>
  <c r="BR713" i="7"/>
  <c r="BS713" i="7"/>
  <c r="BQ712" i="7"/>
  <c r="BR712" i="7"/>
  <c r="BS712" i="7"/>
  <c r="BQ711" i="7"/>
  <c r="BR711" i="7"/>
  <c r="BS711" i="7"/>
  <c r="BQ710" i="7"/>
  <c r="BR710" i="7"/>
  <c r="BS710" i="7"/>
  <c r="BQ709" i="7"/>
  <c r="BS709" i="7"/>
  <c r="BQ708" i="7"/>
  <c r="BR708" i="7"/>
  <c r="BS708" i="7"/>
  <c r="BS707" i="7"/>
  <c r="BS706" i="7"/>
  <c r="BS705" i="7"/>
  <c r="BS704" i="7"/>
  <c r="BR704" i="7"/>
  <c r="BS703" i="7"/>
  <c r="BS702" i="7"/>
  <c r="BS701" i="7"/>
  <c r="BS680" i="7"/>
  <c r="BS679" i="7"/>
  <c r="BS678" i="7"/>
  <c r="BS677" i="7"/>
  <c r="BS676" i="7"/>
  <c r="BS675" i="7"/>
  <c r="BS674" i="7"/>
  <c r="BS673" i="7"/>
  <c r="BS672" i="7"/>
  <c r="BS671" i="7"/>
  <c r="BS670" i="7"/>
  <c r="BS669" i="7"/>
  <c r="BS668" i="7"/>
  <c r="BS667" i="7"/>
  <c r="BS666" i="7"/>
  <c r="BS665" i="7"/>
  <c r="BS664" i="7"/>
  <c r="BS663" i="7"/>
  <c r="BS662" i="7"/>
  <c r="BS661" i="7"/>
  <c r="BS660" i="7"/>
  <c r="BS659" i="7"/>
  <c r="BS658" i="7"/>
  <c r="BQ657" i="7"/>
  <c r="BS657" i="7"/>
  <c r="BQ656" i="7"/>
  <c r="BR656" i="7"/>
  <c r="BS656" i="7"/>
  <c r="BQ655" i="7"/>
  <c r="BR655" i="7"/>
  <c r="BS655" i="7"/>
  <c r="BQ654" i="7"/>
  <c r="BR654" i="7"/>
  <c r="BS654" i="7"/>
  <c r="BQ653" i="7"/>
  <c r="BR653" i="7"/>
  <c r="BS653" i="7"/>
  <c r="BQ652" i="7"/>
  <c r="BS652" i="7"/>
  <c r="BQ651" i="7"/>
  <c r="BR651" i="7"/>
  <c r="BS651" i="7"/>
  <c r="BS650" i="7"/>
  <c r="BS649" i="7"/>
  <c r="BS648" i="7"/>
  <c r="BS647" i="7"/>
  <c r="BR647" i="7"/>
  <c r="BS646" i="7"/>
  <c r="BS645" i="7"/>
  <c r="BS644" i="7"/>
  <c r="BS623" i="7"/>
  <c r="BS622" i="7"/>
  <c r="BS621" i="7"/>
  <c r="BS620" i="7"/>
  <c r="BS619" i="7"/>
  <c r="BS618" i="7"/>
  <c r="BS617" i="7"/>
  <c r="BS616" i="7"/>
  <c r="BS615" i="7"/>
  <c r="BS614" i="7"/>
  <c r="BS613" i="7"/>
  <c r="BS612" i="7"/>
  <c r="BS611" i="7"/>
  <c r="BS610" i="7"/>
  <c r="BS609" i="7"/>
  <c r="BS608" i="7"/>
  <c r="BS607" i="7"/>
  <c r="BS606" i="7"/>
  <c r="BS605" i="7"/>
  <c r="BS604" i="7"/>
  <c r="BS603" i="7"/>
  <c r="BS602" i="7"/>
  <c r="BS601" i="7"/>
  <c r="BQ600" i="7"/>
  <c r="BS600" i="7"/>
  <c r="BQ599" i="7"/>
  <c r="BR599" i="7"/>
  <c r="BS599" i="7"/>
  <c r="BQ598" i="7"/>
  <c r="BR598" i="7"/>
  <c r="BS598" i="7"/>
  <c r="BQ597" i="7"/>
  <c r="BR597" i="7"/>
  <c r="BS597" i="7"/>
  <c r="BQ596" i="7"/>
  <c r="BR596" i="7"/>
  <c r="BS596" i="7"/>
  <c r="BQ595" i="7"/>
  <c r="BS595" i="7"/>
  <c r="BQ594" i="7"/>
  <c r="BR594" i="7"/>
  <c r="BS594" i="7"/>
  <c r="BS593" i="7"/>
  <c r="BS592" i="7"/>
  <c r="BS591" i="7"/>
  <c r="BS590" i="7"/>
  <c r="BR590" i="7"/>
  <c r="BS589" i="7"/>
  <c r="BS588" i="7"/>
  <c r="BS587" i="7"/>
  <c r="BS566" i="7"/>
  <c r="BS565" i="7"/>
  <c r="BS564" i="7"/>
  <c r="BS563" i="7"/>
  <c r="BS562" i="7"/>
  <c r="BS561" i="7"/>
  <c r="BS560" i="7"/>
  <c r="BS559" i="7"/>
  <c r="BS558" i="7"/>
  <c r="BS557" i="7"/>
  <c r="BS556" i="7"/>
  <c r="BS555" i="7"/>
  <c r="BS554" i="7"/>
  <c r="BS553" i="7"/>
  <c r="BS552" i="7"/>
  <c r="BS551" i="7"/>
  <c r="BS550" i="7"/>
  <c r="BS549" i="7"/>
  <c r="BS548" i="7"/>
  <c r="BS547" i="7"/>
  <c r="BS546" i="7"/>
  <c r="BS545" i="7"/>
  <c r="BS544" i="7"/>
  <c r="BQ543" i="7"/>
  <c r="BS543" i="7"/>
  <c r="BQ542" i="7"/>
  <c r="BR542" i="7"/>
  <c r="BS542" i="7"/>
  <c r="BQ541" i="7"/>
  <c r="BR541" i="7"/>
  <c r="BS541" i="7"/>
  <c r="BQ540" i="7"/>
  <c r="BR540" i="7"/>
  <c r="BS540" i="7"/>
  <c r="BQ539" i="7"/>
  <c r="BR539" i="7"/>
  <c r="BS539" i="7"/>
  <c r="BQ538" i="7"/>
  <c r="BS538" i="7"/>
  <c r="BQ537" i="7"/>
  <c r="BR537" i="7"/>
  <c r="BS537" i="7"/>
  <c r="BS536" i="7"/>
  <c r="BS535" i="7"/>
  <c r="BS534" i="7"/>
  <c r="BS533" i="7"/>
  <c r="BR533" i="7"/>
  <c r="BS532" i="7"/>
  <c r="BS531" i="7"/>
  <c r="BS530" i="7"/>
  <c r="BS509" i="7"/>
  <c r="BS508" i="7"/>
  <c r="BS507" i="7"/>
  <c r="BS506" i="7"/>
  <c r="BS505" i="7"/>
  <c r="BS504" i="7"/>
  <c r="BS503" i="7"/>
  <c r="BS502" i="7"/>
  <c r="BS501" i="7"/>
  <c r="BS500" i="7"/>
  <c r="BS499" i="7"/>
  <c r="BS498" i="7"/>
  <c r="BS497" i="7"/>
  <c r="BS496" i="7"/>
  <c r="BS495" i="7"/>
  <c r="BS494" i="7"/>
  <c r="BS493" i="7"/>
  <c r="BS492" i="7"/>
  <c r="BS491" i="7"/>
  <c r="BS490" i="7"/>
  <c r="BS489" i="7"/>
  <c r="BS488" i="7"/>
  <c r="BS487" i="7"/>
  <c r="BQ486" i="7"/>
  <c r="BS486" i="7"/>
  <c r="BQ485" i="7"/>
  <c r="BR485" i="7"/>
  <c r="BS485" i="7"/>
  <c r="BQ484" i="7"/>
  <c r="BR484" i="7"/>
  <c r="BS484" i="7"/>
  <c r="BQ483" i="7"/>
  <c r="BR483" i="7"/>
  <c r="BS483" i="7"/>
  <c r="BQ482" i="7"/>
  <c r="BR482" i="7"/>
  <c r="BS482" i="7"/>
  <c r="BQ481" i="7"/>
  <c r="BS481" i="7"/>
  <c r="BQ480" i="7"/>
  <c r="BR480" i="7"/>
  <c r="BS480" i="7"/>
  <c r="BS479" i="7"/>
  <c r="BS478" i="7"/>
  <c r="BS477" i="7"/>
  <c r="BS476" i="7"/>
  <c r="BR476" i="7"/>
  <c r="BS475" i="7"/>
  <c r="BS474" i="7"/>
  <c r="BS473" i="7"/>
  <c r="BS452" i="7"/>
  <c r="BS451" i="7"/>
  <c r="BS450" i="7"/>
  <c r="BS449" i="7"/>
  <c r="BS448" i="7"/>
  <c r="BS447" i="7"/>
  <c r="BS446" i="7"/>
  <c r="BS445" i="7"/>
  <c r="BS444" i="7"/>
  <c r="BS443" i="7"/>
  <c r="BS442" i="7"/>
  <c r="BS441" i="7"/>
  <c r="BS440" i="7"/>
  <c r="BS439" i="7"/>
  <c r="BS438" i="7"/>
  <c r="BS437" i="7"/>
  <c r="BS436" i="7"/>
  <c r="BS435" i="7"/>
  <c r="BS434" i="7"/>
  <c r="BS433" i="7"/>
  <c r="BS432" i="7"/>
  <c r="BS431" i="7"/>
  <c r="BS430" i="7"/>
  <c r="BQ429" i="7"/>
  <c r="BS429" i="7"/>
  <c r="BQ428" i="7"/>
  <c r="BR428" i="7"/>
  <c r="BS428" i="7"/>
  <c r="BQ427" i="7"/>
  <c r="BR427" i="7"/>
  <c r="BS427" i="7"/>
  <c r="BQ426" i="7"/>
  <c r="BR426" i="7"/>
  <c r="BS426" i="7"/>
  <c r="BQ425" i="7"/>
  <c r="BR425" i="7"/>
  <c r="BS425" i="7"/>
  <c r="BQ424" i="7"/>
  <c r="BS424" i="7"/>
  <c r="BQ423" i="7"/>
  <c r="BR423" i="7"/>
  <c r="BS423" i="7"/>
  <c r="BS422" i="7"/>
  <c r="BS421" i="7"/>
  <c r="BS420" i="7"/>
  <c r="BS419" i="7"/>
  <c r="BR419" i="7"/>
  <c r="BS418" i="7"/>
  <c r="BS417" i="7"/>
  <c r="BS416" i="7"/>
  <c r="BS395" i="7"/>
  <c r="BS394" i="7"/>
  <c r="BS393" i="7"/>
  <c r="BS392" i="7"/>
  <c r="BS391" i="7"/>
  <c r="BS390" i="7"/>
  <c r="BS389" i="7"/>
  <c r="BS388" i="7"/>
  <c r="BS387" i="7"/>
  <c r="BS386" i="7"/>
  <c r="BS385" i="7"/>
  <c r="BS384" i="7"/>
  <c r="BS383" i="7"/>
  <c r="BS382" i="7"/>
  <c r="BS381" i="7"/>
  <c r="BS380" i="7"/>
  <c r="BS379" i="7"/>
  <c r="BS378" i="7"/>
  <c r="BS377" i="7"/>
  <c r="BS376" i="7"/>
  <c r="BS375" i="7"/>
  <c r="BS374" i="7"/>
  <c r="BS373" i="7"/>
  <c r="BQ372" i="7"/>
  <c r="BS372" i="7"/>
  <c r="BQ371" i="7"/>
  <c r="BR371" i="7"/>
  <c r="BS371" i="7"/>
  <c r="BQ370" i="7"/>
  <c r="BR370" i="7"/>
  <c r="BS370" i="7"/>
  <c r="BQ369" i="7"/>
  <c r="BR369" i="7"/>
  <c r="BS369" i="7"/>
  <c r="BQ368" i="7"/>
  <c r="BR368" i="7"/>
  <c r="BS368" i="7"/>
  <c r="BQ367" i="7"/>
  <c r="BS367" i="7"/>
  <c r="BQ366" i="7"/>
  <c r="BR366" i="7"/>
  <c r="BS366" i="7"/>
  <c r="BS365" i="7"/>
  <c r="BS364" i="7"/>
  <c r="BS363" i="7"/>
  <c r="BS362" i="7"/>
  <c r="BR362" i="7"/>
  <c r="BS361" i="7"/>
  <c r="BS360" i="7"/>
  <c r="BS359" i="7"/>
  <c r="BS338" i="7"/>
  <c r="BS337" i="7"/>
  <c r="BS336" i="7"/>
  <c r="BS335" i="7"/>
  <c r="BS334" i="7"/>
  <c r="BS333" i="7"/>
  <c r="BS332" i="7"/>
  <c r="BS331" i="7"/>
  <c r="BS330" i="7"/>
  <c r="BS329" i="7"/>
  <c r="BS328" i="7"/>
  <c r="BS327" i="7"/>
  <c r="BS326" i="7"/>
  <c r="BS325" i="7"/>
  <c r="BS324" i="7"/>
  <c r="BS323" i="7"/>
  <c r="BS322" i="7"/>
  <c r="BS321" i="7"/>
  <c r="BS320" i="7"/>
  <c r="BS319" i="7"/>
  <c r="BS318" i="7"/>
  <c r="BS317" i="7"/>
  <c r="BS316" i="7"/>
  <c r="BQ315" i="7"/>
  <c r="BS315" i="7"/>
  <c r="BQ314" i="7"/>
  <c r="BR314" i="7"/>
  <c r="BS314" i="7"/>
  <c r="BQ313" i="7"/>
  <c r="BR313" i="7"/>
  <c r="BS313" i="7"/>
  <c r="BQ312" i="7"/>
  <c r="BR312" i="7"/>
  <c r="BS312" i="7"/>
  <c r="BQ311" i="7"/>
  <c r="BR311" i="7"/>
  <c r="BS311" i="7"/>
  <c r="BQ310" i="7"/>
  <c r="BS310" i="7"/>
  <c r="BQ309" i="7"/>
  <c r="BR309" i="7"/>
  <c r="BS309" i="7"/>
  <c r="BS308" i="7"/>
  <c r="BS307" i="7"/>
  <c r="BS306" i="7"/>
  <c r="BS305" i="7"/>
  <c r="BR305" i="7"/>
  <c r="BS304" i="7"/>
  <c r="BS303" i="7"/>
  <c r="BS302" i="7"/>
  <c r="BS281" i="7"/>
  <c r="BS280" i="7"/>
  <c r="BS279" i="7"/>
  <c r="BS278" i="7"/>
  <c r="BS277" i="7"/>
  <c r="BS276" i="7"/>
  <c r="BS275" i="7"/>
  <c r="BS274" i="7"/>
  <c r="BS273" i="7"/>
  <c r="BS272" i="7"/>
  <c r="BS271" i="7"/>
  <c r="BS270" i="7"/>
  <c r="BS269" i="7"/>
  <c r="BS268" i="7"/>
  <c r="BS267" i="7"/>
  <c r="BS266" i="7"/>
  <c r="BS265" i="7"/>
  <c r="BS264" i="7"/>
  <c r="BS263" i="7"/>
  <c r="BS262" i="7"/>
  <c r="BS261" i="7"/>
  <c r="BS260" i="7"/>
  <c r="BS259" i="7"/>
  <c r="BQ258" i="7"/>
  <c r="BS258" i="7"/>
  <c r="BQ257" i="7"/>
  <c r="BR257" i="7"/>
  <c r="BS257" i="7"/>
  <c r="BQ256" i="7"/>
  <c r="BR256" i="7"/>
  <c r="BS256" i="7"/>
  <c r="BQ255" i="7"/>
  <c r="BR255" i="7"/>
  <c r="BS255" i="7"/>
  <c r="BQ254" i="7"/>
  <c r="BR254" i="7"/>
  <c r="BS254" i="7"/>
  <c r="BQ253" i="7"/>
  <c r="BS253" i="7"/>
  <c r="BQ252" i="7"/>
  <c r="BR252" i="7"/>
  <c r="BS252" i="7"/>
  <c r="BS251" i="7"/>
  <c r="BS250" i="7"/>
  <c r="BS249" i="7"/>
  <c r="BS248" i="7"/>
  <c r="BR248" i="7"/>
  <c r="BS247" i="7"/>
  <c r="BS246" i="7"/>
  <c r="BS245" i="7"/>
  <c r="BS224" i="7"/>
  <c r="BS223" i="7"/>
  <c r="BS222" i="7"/>
  <c r="BS221" i="7"/>
  <c r="BS220" i="7"/>
  <c r="BS219" i="7"/>
  <c r="BS218" i="7"/>
  <c r="BS217" i="7"/>
  <c r="BS216" i="7"/>
  <c r="BS215" i="7"/>
  <c r="BS214" i="7"/>
  <c r="BS213" i="7"/>
  <c r="BS212" i="7"/>
  <c r="BS211" i="7"/>
  <c r="BS210" i="7"/>
  <c r="BS209" i="7"/>
  <c r="BS208" i="7"/>
  <c r="BS207" i="7"/>
  <c r="BS206" i="7"/>
  <c r="BS205" i="7"/>
  <c r="BS204" i="7"/>
  <c r="BS203" i="7"/>
  <c r="BS202" i="7"/>
  <c r="BQ201" i="7"/>
  <c r="BS201" i="7"/>
  <c r="BQ200" i="7"/>
  <c r="BR200" i="7"/>
  <c r="BS200" i="7"/>
  <c r="BQ199" i="7"/>
  <c r="BR199" i="7"/>
  <c r="BS199" i="7"/>
  <c r="BQ198" i="7"/>
  <c r="BR198" i="7"/>
  <c r="BS198" i="7"/>
  <c r="BQ197" i="7"/>
  <c r="BR197" i="7"/>
  <c r="BS197" i="7"/>
  <c r="BQ196" i="7"/>
  <c r="BS196" i="7"/>
  <c r="BQ195" i="7"/>
  <c r="BR195" i="7"/>
  <c r="BS195" i="7"/>
  <c r="BS194" i="7"/>
  <c r="BS193" i="7"/>
  <c r="BS192" i="7"/>
  <c r="BS191" i="7"/>
  <c r="BR191" i="7"/>
  <c r="BS190" i="7"/>
  <c r="BS189" i="7"/>
  <c r="BS188" i="7"/>
  <c r="BS167" i="7"/>
  <c r="BS166" i="7"/>
  <c r="BS165" i="7"/>
  <c r="BS164" i="7"/>
  <c r="BS163" i="7"/>
  <c r="BS162" i="7"/>
  <c r="BS161" i="7"/>
  <c r="BS160" i="7"/>
  <c r="BS159" i="7"/>
  <c r="BS158" i="7"/>
  <c r="BS157" i="7"/>
  <c r="BS156" i="7"/>
  <c r="BS155" i="7"/>
  <c r="BS154" i="7"/>
  <c r="BS153" i="7"/>
  <c r="BS152" i="7"/>
  <c r="BS151" i="7"/>
  <c r="BS150" i="7"/>
  <c r="BS149" i="7"/>
  <c r="BS148" i="7"/>
  <c r="BS147" i="7"/>
  <c r="BS146" i="7"/>
  <c r="BS145" i="7"/>
  <c r="BQ144" i="7"/>
  <c r="BS144" i="7"/>
  <c r="BQ143" i="7"/>
  <c r="BR143" i="7"/>
  <c r="BS143" i="7"/>
  <c r="BQ142" i="7"/>
  <c r="BR142" i="7"/>
  <c r="BS142" i="7"/>
  <c r="BQ141" i="7"/>
  <c r="BR141" i="7"/>
  <c r="BS141" i="7"/>
  <c r="BQ140" i="7"/>
  <c r="BR140" i="7"/>
  <c r="BS140" i="7"/>
  <c r="BQ139" i="7"/>
  <c r="BS139" i="7"/>
  <c r="BQ138" i="7"/>
  <c r="BR138" i="7"/>
  <c r="BS138" i="7"/>
  <c r="BS137" i="7"/>
  <c r="BS136" i="7"/>
  <c r="BS135" i="7"/>
  <c r="BS134" i="7"/>
  <c r="BR134" i="7"/>
  <c r="BS133" i="7"/>
  <c r="BS132" i="7"/>
  <c r="BS131" i="7"/>
  <c r="BS110" i="7"/>
  <c r="BS109" i="7"/>
  <c r="BS108" i="7"/>
  <c r="BS107" i="7"/>
  <c r="BS106" i="7"/>
  <c r="BS105" i="7"/>
  <c r="BS104" i="7"/>
  <c r="BS103" i="7"/>
  <c r="BS102" i="7"/>
  <c r="BS101" i="7"/>
  <c r="BS100" i="7"/>
  <c r="BS99" i="7"/>
  <c r="BS98" i="7"/>
  <c r="BS97" i="7"/>
  <c r="BS96" i="7"/>
  <c r="BS95" i="7"/>
  <c r="BS94" i="7"/>
  <c r="BS93" i="7"/>
  <c r="BS92" i="7"/>
  <c r="BS91" i="7"/>
  <c r="BS90" i="7"/>
  <c r="BS89" i="7"/>
  <c r="BS88" i="7"/>
  <c r="BQ87" i="7"/>
  <c r="BS87" i="7"/>
  <c r="BQ86" i="7"/>
  <c r="BR86" i="7"/>
  <c r="BS86" i="7"/>
  <c r="BQ85" i="7"/>
  <c r="BR85" i="7"/>
  <c r="BS85" i="7"/>
  <c r="BQ84" i="7"/>
  <c r="BR84" i="7"/>
  <c r="BS84" i="7"/>
  <c r="BQ83" i="7"/>
  <c r="BR83" i="7"/>
  <c r="BS83" i="7"/>
  <c r="BQ82" i="7"/>
  <c r="BS82" i="7"/>
  <c r="BQ81" i="7"/>
  <c r="BR81" i="7"/>
  <c r="BS81" i="7"/>
  <c r="BS80" i="7"/>
  <c r="BS79" i="7"/>
  <c r="BS78" i="7"/>
  <c r="BS77" i="7"/>
  <c r="BR77" i="7"/>
  <c r="BS76" i="7"/>
  <c r="BS75" i="7"/>
  <c r="BS74" i="7"/>
  <c r="BS53" i="7"/>
  <c r="BS52" i="7"/>
  <c r="BS51" i="7"/>
  <c r="BS50" i="7"/>
  <c r="BS49" i="7"/>
  <c r="BS48" i="7"/>
  <c r="BS47" i="7"/>
  <c r="BS46" i="7"/>
  <c r="BS45" i="7"/>
  <c r="BS44" i="7"/>
  <c r="BS43" i="7"/>
  <c r="BS42" i="7"/>
  <c r="BS41" i="7"/>
  <c r="BS40" i="7"/>
  <c r="BS39" i="7"/>
  <c r="BS38" i="7"/>
  <c r="BS37" i="7"/>
  <c r="BS36" i="7"/>
  <c r="BS35" i="7"/>
  <c r="BS34" i="7"/>
  <c r="BS33" i="7"/>
  <c r="BS32" i="7"/>
  <c r="BS31" i="7"/>
  <c r="BQ30" i="7"/>
  <c r="BS30" i="7"/>
  <c r="BQ29" i="7"/>
  <c r="BR29" i="7"/>
  <c r="BS29" i="7"/>
  <c r="BQ28" i="7"/>
  <c r="BR28" i="7"/>
  <c r="BS28" i="7"/>
  <c r="BQ27" i="7"/>
  <c r="BR27" i="7"/>
  <c r="BS27" i="7"/>
  <c r="BQ26" i="7"/>
  <c r="BR26" i="7"/>
  <c r="BS26" i="7"/>
  <c r="BQ25" i="7"/>
  <c r="BS25" i="7"/>
  <c r="BQ24" i="7"/>
  <c r="BR24" i="7"/>
  <c r="BS24" i="7"/>
  <c r="BS23" i="7"/>
  <c r="BS22" i="7"/>
  <c r="BS21" i="7"/>
  <c r="BS20" i="7"/>
  <c r="BR20" i="7"/>
  <c r="BS19" i="7"/>
  <c r="BS18" i="7"/>
  <c r="BS17" i="7"/>
  <c r="C9" i="3"/>
  <c r="B8" i="7"/>
  <c r="D8" i="7"/>
  <c r="F8" i="7"/>
  <c r="H8" i="7"/>
  <c r="J8" i="7"/>
  <c r="L8" i="7"/>
  <c r="N8" i="7"/>
  <c r="B65" i="7"/>
  <c r="D65" i="7"/>
  <c r="F65" i="7"/>
  <c r="H65" i="7"/>
  <c r="J65" i="7"/>
  <c r="L65" i="7"/>
  <c r="N65" i="7"/>
  <c r="B122" i="7"/>
  <c r="D122" i="7"/>
  <c r="F122" i="7"/>
  <c r="H122" i="7"/>
  <c r="J122" i="7"/>
  <c r="L122" i="7"/>
  <c r="N122" i="7"/>
  <c r="B179" i="7"/>
  <c r="D179" i="7"/>
  <c r="F179" i="7"/>
  <c r="H179" i="7"/>
  <c r="J179" i="7"/>
  <c r="L179" i="7"/>
  <c r="N179" i="7"/>
  <c r="B236" i="7"/>
  <c r="D236" i="7"/>
  <c r="F236" i="7"/>
  <c r="H236" i="7"/>
  <c r="J236" i="7"/>
  <c r="L236" i="7"/>
  <c r="N236" i="7"/>
  <c r="B293" i="7"/>
  <c r="D293" i="7"/>
  <c r="F293" i="7"/>
  <c r="H293" i="7"/>
  <c r="J293" i="7"/>
  <c r="L293" i="7"/>
  <c r="N293" i="7"/>
  <c r="B350" i="7"/>
  <c r="D350" i="7"/>
  <c r="F350" i="7"/>
  <c r="H350" i="7"/>
  <c r="J350" i="7"/>
  <c r="L350" i="7"/>
  <c r="N350" i="7"/>
  <c r="B407" i="7"/>
  <c r="D407" i="7"/>
  <c r="F407" i="7"/>
  <c r="H407" i="7"/>
  <c r="J407" i="7"/>
  <c r="L407" i="7"/>
  <c r="N407" i="7"/>
  <c r="B464" i="7"/>
  <c r="D464" i="7"/>
  <c r="F464" i="7"/>
  <c r="H464" i="7"/>
  <c r="J464" i="7"/>
  <c r="L464" i="7"/>
  <c r="N464" i="7"/>
  <c r="B521" i="7"/>
  <c r="D521" i="7"/>
  <c r="F521" i="7"/>
  <c r="H521" i="7"/>
  <c r="J521" i="7"/>
  <c r="L521" i="7"/>
  <c r="N521" i="7"/>
  <c r="B578" i="7"/>
  <c r="D578" i="7"/>
  <c r="F578" i="7"/>
  <c r="H578" i="7"/>
  <c r="J578" i="7"/>
  <c r="L578" i="7"/>
  <c r="N578" i="7"/>
  <c r="B635" i="7"/>
  <c r="D635" i="7"/>
  <c r="F635" i="7"/>
  <c r="H635" i="7"/>
  <c r="J635" i="7"/>
  <c r="L635" i="7"/>
  <c r="N635" i="7"/>
  <c r="B692" i="7"/>
  <c r="D692" i="7"/>
  <c r="F692" i="7"/>
  <c r="H692" i="7"/>
  <c r="J692" i="7"/>
  <c r="L692" i="7"/>
  <c r="N692" i="7"/>
  <c r="B749" i="7"/>
  <c r="D749" i="7"/>
  <c r="F749" i="7"/>
  <c r="H749" i="7"/>
  <c r="J749" i="7"/>
  <c r="L749" i="7"/>
  <c r="N749" i="7"/>
  <c r="B806" i="7"/>
  <c r="D806" i="7"/>
  <c r="F806" i="7"/>
  <c r="H806" i="7"/>
  <c r="J806" i="7"/>
  <c r="L806" i="7"/>
  <c r="N806" i="7"/>
  <c r="B863" i="7"/>
  <c r="B862" i="7"/>
  <c r="AI862" i="7"/>
  <c r="AI863" i="7"/>
  <c r="D863" i="7"/>
  <c r="D862" i="7"/>
  <c r="AK862" i="7"/>
  <c r="AK863" i="7"/>
  <c r="F863" i="7"/>
  <c r="F862" i="7"/>
  <c r="AM862" i="7"/>
  <c r="AM863" i="7"/>
  <c r="H863" i="7"/>
  <c r="H862" i="7"/>
  <c r="AO862" i="7"/>
  <c r="AO863" i="7"/>
  <c r="J863" i="7"/>
  <c r="J862" i="7"/>
  <c r="AQ862" i="7"/>
  <c r="AQ863" i="7"/>
  <c r="L863" i="7"/>
  <c r="L862" i="7"/>
  <c r="AS862" i="7"/>
  <c r="AS863" i="7"/>
  <c r="N863" i="7"/>
  <c r="N862" i="7"/>
  <c r="AU862" i="7"/>
  <c r="AU863" i="7"/>
  <c r="B805" i="7"/>
  <c r="AI805" i="7"/>
  <c r="AI806" i="7"/>
  <c r="D805" i="7"/>
  <c r="AK805" i="7"/>
  <c r="AK806" i="7"/>
  <c r="F805" i="7"/>
  <c r="AM805" i="7"/>
  <c r="AM806" i="7"/>
  <c r="H805" i="7"/>
  <c r="AO805" i="7"/>
  <c r="AO806" i="7"/>
  <c r="J805" i="7"/>
  <c r="AQ805" i="7"/>
  <c r="AQ806" i="7"/>
  <c r="L805" i="7"/>
  <c r="AS805" i="7"/>
  <c r="AS806" i="7"/>
  <c r="N805" i="7"/>
  <c r="AU805" i="7"/>
  <c r="AU806" i="7"/>
  <c r="B748" i="7"/>
  <c r="AI748" i="7"/>
  <c r="AI749" i="7"/>
  <c r="D748" i="7"/>
  <c r="AK748" i="7"/>
  <c r="AK749" i="7"/>
  <c r="F748" i="7"/>
  <c r="AM748" i="7"/>
  <c r="AM749" i="7"/>
  <c r="H748" i="7"/>
  <c r="AO748" i="7"/>
  <c r="AO749" i="7"/>
  <c r="J748" i="7"/>
  <c r="AQ748" i="7"/>
  <c r="AQ749" i="7"/>
  <c r="L748" i="7"/>
  <c r="AS748" i="7"/>
  <c r="AS749" i="7"/>
  <c r="N748" i="7"/>
  <c r="AU748" i="7"/>
  <c r="AU749" i="7"/>
  <c r="B691" i="7"/>
  <c r="AI691" i="7"/>
  <c r="AI692" i="7"/>
  <c r="D691" i="7"/>
  <c r="AK691" i="7"/>
  <c r="AK692" i="7"/>
  <c r="F691" i="7"/>
  <c r="AM691" i="7"/>
  <c r="AM692" i="7"/>
  <c r="H691" i="7"/>
  <c r="AO691" i="7"/>
  <c r="AO692" i="7"/>
  <c r="J691" i="7"/>
  <c r="AQ691" i="7"/>
  <c r="AQ692" i="7"/>
  <c r="L691" i="7"/>
  <c r="AS691" i="7"/>
  <c r="AS692" i="7"/>
  <c r="N691" i="7"/>
  <c r="AU691" i="7"/>
  <c r="AU692" i="7"/>
  <c r="B634" i="7"/>
  <c r="AI634" i="7"/>
  <c r="AI635" i="7"/>
  <c r="D634" i="7"/>
  <c r="AK634" i="7"/>
  <c r="AK635" i="7"/>
  <c r="F634" i="7"/>
  <c r="AM634" i="7"/>
  <c r="AM635" i="7"/>
  <c r="H634" i="7"/>
  <c r="AO634" i="7"/>
  <c r="AO635" i="7"/>
  <c r="J634" i="7"/>
  <c r="AQ634" i="7"/>
  <c r="AQ635" i="7"/>
  <c r="L634" i="7"/>
  <c r="AS634" i="7"/>
  <c r="AS635" i="7"/>
  <c r="N634" i="7"/>
  <c r="AU634" i="7"/>
  <c r="AU635" i="7"/>
  <c r="B577" i="7"/>
  <c r="AI577" i="7"/>
  <c r="AI578" i="7"/>
  <c r="D577" i="7"/>
  <c r="AK577" i="7"/>
  <c r="AK578" i="7"/>
  <c r="F577" i="7"/>
  <c r="AM577" i="7"/>
  <c r="AM578" i="7"/>
  <c r="H577" i="7"/>
  <c r="AO577" i="7"/>
  <c r="AO578" i="7"/>
  <c r="J577" i="7"/>
  <c r="AQ577" i="7"/>
  <c r="AQ578" i="7"/>
  <c r="L577" i="7"/>
  <c r="AS577" i="7"/>
  <c r="AS578" i="7"/>
  <c r="N577" i="7"/>
  <c r="AU577" i="7"/>
  <c r="AU578" i="7"/>
  <c r="B520" i="7"/>
  <c r="AI520" i="7"/>
  <c r="AI521" i="7"/>
  <c r="D520" i="7"/>
  <c r="AK520" i="7"/>
  <c r="AK521" i="7"/>
  <c r="F520" i="7"/>
  <c r="AM520" i="7"/>
  <c r="AM521" i="7"/>
  <c r="H520" i="7"/>
  <c r="AO520" i="7"/>
  <c r="AO521" i="7"/>
  <c r="J520" i="7"/>
  <c r="AQ520" i="7"/>
  <c r="AQ521" i="7"/>
  <c r="L520" i="7"/>
  <c r="AS520" i="7"/>
  <c r="AS521" i="7"/>
  <c r="N520" i="7"/>
  <c r="AU520" i="7"/>
  <c r="AU521" i="7"/>
  <c r="B463" i="7"/>
  <c r="AI463" i="7"/>
  <c r="AI464" i="7"/>
  <c r="D463" i="7"/>
  <c r="AK463" i="7"/>
  <c r="AK464" i="7"/>
  <c r="F463" i="7"/>
  <c r="AM463" i="7"/>
  <c r="AM464" i="7"/>
  <c r="H463" i="7"/>
  <c r="AO463" i="7"/>
  <c r="AO464" i="7"/>
  <c r="J463" i="7"/>
  <c r="AQ463" i="7"/>
  <c r="AQ464" i="7"/>
  <c r="L463" i="7"/>
  <c r="AS463" i="7"/>
  <c r="AS464" i="7"/>
  <c r="N463" i="7"/>
  <c r="AU463" i="7"/>
  <c r="AU464" i="7"/>
  <c r="B406" i="7"/>
  <c r="AI406" i="7"/>
  <c r="AI407" i="7"/>
  <c r="D406" i="7"/>
  <c r="AK406" i="7"/>
  <c r="AK407" i="7"/>
  <c r="F406" i="7"/>
  <c r="AM406" i="7"/>
  <c r="AM407" i="7"/>
  <c r="H406" i="7"/>
  <c r="AO406" i="7"/>
  <c r="AO407" i="7"/>
  <c r="J406" i="7"/>
  <c r="AQ406" i="7"/>
  <c r="AQ407" i="7"/>
  <c r="L406" i="7"/>
  <c r="AS406" i="7"/>
  <c r="AS407" i="7"/>
  <c r="N406" i="7"/>
  <c r="AU406" i="7"/>
  <c r="AU407" i="7"/>
  <c r="B349" i="7"/>
  <c r="AI349" i="7"/>
  <c r="AI350" i="7"/>
  <c r="D349" i="7"/>
  <c r="AK349" i="7"/>
  <c r="AK350" i="7"/>
  <c r="F349" i="7"/>
  <c r="AM349" i="7"/>
  <c r="AM350" i="7"/>
  <c r="H349" i="7"/>
  <c r="AO349" i="7"/>
  <c r="AO350" i="7"/>
  <c r="J349" i="7"/>
  <c r="AQ349" i="7"/>
  <c r="AQ350" i="7"/>
  <c r="L349" i="7"/>
  <c r="AS349" i="7"/>
  <c r="AS350" i="7"/>
  <c r="N349" i="7"/>
  <c r="AU349" i="7"/>
  <c r="AU350" i="7"/>
  <c r="B292" i="7"/>
  <c r="AI292" i="7"/>
  <c r="AI293" i="7"/>
  <c r="D292" i="7"/>
  <c r="AK292" i="7"/>
  <c r="AK293" i="7"/>
  <c r="F292" i="7"/>
  <c r="AM292" i="7"/>
  <c r="AM293" i="7"/>
  <c r="H292" i="7"/>
  <c r="AO292" i="7"/>
  <c r="AO293" i="7"/>
  <c r="J292" i="7"/>
  <c r="AQ292" i="7"/>
  <c r="AQ293" i="7"/>
  <c r="L292" i="7"/>
  <c r="AS292" i="7"/>
  <c r="AS293" i="7"/>
  <c r="N292" i="7"/>
  <c r="AU292" i="7"/>
  <c r="AU293" i="7"/>
  <c r="B235" i="7"/>
  <c r="AI235" i="7"/>
  <c r="AI236" i="7"/>
  <c r="D235" i="7"/>
  <c r="AK235" i="7"/>
  <c r="AK236" i="7"/>
  <c r="F235" i="7"/>
  <c r="AM235" i="7"/>
  <c r="AM236" i="7"/>
  <c r="H235" i="7"/>
  <c r="AO235" i="7"/>
  <c r="AO236" i="7"/>
  <c r="J235" i="7"/>
  <c r="AQ235" i="7"/>
  <c r="AQ236" i="7"/>
  <c r="L235" i="7"/>
  <c r="AS235" i="7"/>
  <c r="AS236" i="7"/>
  <c r="N235" i="7"/>
  <c r="AU235" i="7"/>
  <c r="AU236" i="7"/>
  <c r="B178" i="7"/>
  <c r="AI178" i="7"/>
  <c r="AI179" i="7"/>
  <c r="D178" i="7"/>
  <c r="AK178" i="7"/>
  <c r="AK179" i="7"/>
  <c r="F178" i="7"/>
  <c r="AM178" i="7"/>
  <c r="AM179" i="7"/>
  <c r="H178" i="7"/>
  <c r="AO178" i="7"/>
  <c r="AO179" i="7"/>
  <c r="J178" i="7"/>
  <c r="AQ178" i="7"/>
  <c r="AQ179" i="7"/>
  <c r="L178" i="7"/>
  <c r="AS178" i="7"/>
  <c r="AS179" i="7"/>
  <c r="N178" i="7"/>
  <c r="AU178" i="7"/>
  <c r="AU179" i="7"/>
  <c r="B121" i="7"/>
  <c r="AI121" i="7"/>
  <c r="AI122" i="7"/>
  <c r="D121" i="7"/>
  <c r="AK121" i="7"/>
  <c r="AK122" i="7"/>
  <c r="F121" i="7"/>
  <c r="AM121" i="7"/>
  <c r="AM122" i="7"/>
  <c r="H121" i="7"/>
  <c r="AO121" i="7"/>
  <c r="AO122" i="7"/>
  <c r="J121" i="7"/>
  <c r="AQ121" i="7"/>
  <c r="AQ122" i="7"/>
  <c r="L121" i="7"/>
  <c r="AS121" i="7"/>
  <c r="AS122" i="7"/>
  <c r="N121" i="7"/>
  <c r="AU121" i="7"/>
  <c r="AU122" i="7"/>
  <c r="B64" i="7"/>
  <c r="AI64" i="7"/>
  <c r="AI65" i="7"/>
  <c r="D64" i="7"/>
  <c r="AK64" i="7"/>
  <c r="AK65" i="7"/>
  <c r="F64" i="7"/>
  <c r="AM64" i="7"/>
  <c r="AM65" i="7"/>
  <c r="H64" i="7"/>
  <c r="AO64" i="7"/>
  <c r="AO65" i="7"/>
  <c r="J64" i="7"/>
  <c r="AQ64" i="7"/>
  <c r="AQ65" i="7"/>
  <c r="L64" i="7"/>
  <c r="AS64" i="7"/>
  <c r="AS65" i="7"/>
  <c r="N64" i="7"/>
  <c r="AU64" i="7"/>
  <c r="AU65" i="7"/>
  <c r="BK863" i="7"/>
  <c r="BJ863" i="7"/>
  <c r="BI863" i="7"/>
  <c r="BH863" i="7"/>
  <c r="BG863" i="7"/>
  <c r="BF863" i="7"/>
  <c r="BE863" i="7"/>
  <c r="BD863" i="7"/>
  <c r="BC863" i="7"/>
  <c r="BB863" i="7"/>
  <c r="BA863" i="7"/>
  <c r="AZ863" i="7"/>
  <c r="AY863" i="7"/>
  <c r="AX863" i="7"/>
  <c r="BK862" i="7"/>
  <c r="BJ862" i="7"/>
  <c r="BI862" i="7"/>
  <c r="BH862" i="7"/>
  <c r="BG862" i="7"/>
  <c r="BF862" i="7"/>
  <c r="BE862" i="7"/>
  <c r="BD862" i="7"/>
  <c r="BC862" i="7"/>
  <c r="BB862" i="7"/>
  <c r="BA862" i="7"/>
  <c r="AZ862" i="7"/>
  <c r="AY862" i="7"/>
  <c r="AX862" i="7"/>
  <c r="BK861" i="7"/>
  <c r="BJ861" i="7"/>
  <c r="BI861" i="7"/>
  <c r="BH861" i="7"/>
  <c r="BG861" i="7"/>
  <c r="BF861" i="7"/>
  <c r="BE861" i="7"/>
  <c r="BD861" i="7"/>
  <c r="BC861" i="7"/>
  <c r="BB861" i="7"/>
  <c r="BA861" i="7"/>
  <c r="AZ861" i="7"/>
  <c r="AY861" i="7"/>
  <c r="AX861" i="7"/>
  <c r="AM861" i="7"/>
  <c r="BK806" i="7"/>
  <c r="BJ806" i="7"/>
  <c r="BI806" i="7"/>
  <c r="BH806" i="7"/>
  <c r="BG806" i="7"/>
  <c r="BF806" i="7"/>
  <c r="BE806" i="7"/>
  <c r="BD806" i="7"/>
  <c r="BC806" i="7"/>
  <c r="BB806" i="7"/>
  <c r="BA806" i="7"/>
  <c r="AZ806" i="7"/>
  <c r="AY806" i="7"/>
  <c r="AX806" i="7"/>
  <c r="BK805" i="7"/>
  <c r="BJ805" i="7"/>
  <c r="BI805" i="7"/>
  <c r="BH805" i="7"/>
  <c r="BG805" i="7"/>
  <c r="BF805" i="7"/>
  <c r="BE805" i="7"/>
  <c r="BD805" i="7"/>
  <c r="BC805" i="7"/>
  <c r="BB805" i="7"/>
  <c r="BA805" i="7"/>
  <c r="AZ805" i="7"/>
  <c r="AY805" i="7"/>
  <c r="AX805" i="7"/>
  <c r="BK804" i="7"/>
  <c r="BJ804" i="7"/>
  <c r="BI804" i="7"/>
  <c r="BH804" i="7"/>
  <c r="BG804" i="7"/>
  <c r="BF804" i="7"/>
  <c r="BE804" i="7"/>
  <c r="BD804" i="7"/>
  <c r="BC804" i="7"/>
  <c r="BB804" i="7"/>
  <c r="BA804" i="7"/>
  <c r="AZ804" i="7"/>
  <c r="AY804" i="7"/>
  <c r="AX804" i="7"/>
  <c r="AM804" i="7"/>
  <c r="BK749" i="7"/>
  <c r="BJ749" i="7"/>
  <c r="BI749" i="7"/>
  <c r="BH749" i="7"/>
  <c r="BG749" i="7"/>
  <c r="BF749" i="7"/>
  <c r="BE749" i="7"/>
  <c r="BD749" i="7"/>
  <c r="BC749" i="7"/>
  <c r="BB749" i="7"/>
  <c r="BA749" i="7"/>
  <c r="AZ749" i="7"/>
  <c r="AY749" i="7"/>
  <c r="AX749" i="7"/>
  <c r="BK748" i="7"/>
  <c r="BJ748" i="7"/>
  <c r="BI748" i="7"/>
  <c r="BH748" i="7"/>
  <c r="BG748" i="7"/>
  <c r="BF748" i="7"/>
  <c r="BE748" i="7"/>
  <c r="BD748" i="7"/>
  <c r="BC748" i="7"/>
  <c r="BB748" i="7"/>
  <c r="BA748" i="7"/>
  <c r="AZ748" i="7"/>
  <c r="AY748" i="7"/>
  <c r="AX748" i="7"/>
  <c r="BK747" i="7"/>
  <c r="BJ747" i="7"/>
  <c r="BI747" i="7"/>
  <c r="BH747" i="7"/>
  <c r="BG747" i="7"/>
  <c r="BF747" i="7"/>
  <c r="BE747" i="7"/>
  <c r="BD747" i="7"/>
  <c r="BC747" i="7"/>
  <c r="BB747" i="7"/>
  <c r="BA747" i="7"/>
  <c r="AZ747" i="7"/>
  <c r="AY747" i="7"/>
  <c r="AX747" i="7"/>
  <c r="AM747" i="7"/>
  <c r="BK692" i="7"/>
  <c r="BJ692" i="7"/>
  <c r="BI692" i="7"/>
  <c r="BH692" i="7"/>
  <c r="BG692" i="7"/>
  <c r="BF692" i="7"/>
  <c r="BE692" i="7"/>
  <c r="BD692" i="7"/>
  <c r="BC692" i="7"/>
  <c r="BB692" i="7"/>
  <c r="BA692" i="7"/>
  <c r="AZ692" i="7"/>
  <c r="AY692" i="7"/>
  <c r="AX692" i="7"/>
  <c r="BK691" i="7"/>
  <c r="BJ691" i="7"/>
  <c r="BI691" i="7"/>
  <c r="BH691" i="7"/>
  <c r="BG691" i="7"/>
  <c r="BF691" i="7"/>
  <c r="BE691" i="7"/>
  <c r="BD691" i="7"/>
  <c r="BC691" i="7"/>
  <c r="BB691" i="7"/>
  <c r="BA691" i="7"/>
  <c r="AZ691" i="7"/>
  <c r="AY691" i="7"/>
  <c r="AX691" i="7"/>
  <c r="BK690" i="7"/>
  <c r="BJ690" i="7"/>
  <c r="BI690" i="7"/>
  <c r="BH690" i="7"/>
  <c r="BG690" i="7"/>
  <c r="BF690" i="7"/>
  <c r="BE690" i="7"/>
  <c r="BD690" i="7"/>
  <c r="BC690" i="7"/>
  <c r="BB690" i="7"/>
  <c r="BA690" i="7"/>
  <c r="AZ690" i="7"/>
  <c r="AY690" i="7"/>
  <c r="AX690" i="7"/>
  <c r="AM690" i="7"/>
  <c r="BK635" i="7"/>
  <c r="BJ635" i="7"/>
  <c r="BI635" i="7"/>
  <c r="BH635" i="7"/>
  <c r="BG635" i="7"/>
  <c r="BF635" i="7"/>
  <c r="BE635" i="7"/>
  <c r="BD635" i="7"/>
  <c r="BC635" i="7"/>
  <c r="BB635" i="7"/>
  <c r="BA635" i="7"/>
  <c r="AZ635" i="7"/>
  <c r="AY635" i="7"/>
  <c r="AX635" i="7"/>
  <c r="BK634" i="7"/>
  <c r="BJ634" i="7"/>
  <c r="BI634" i="7"/>
  <c r="BH634" i="7"/>
  <c r="BG634" i="7"/>
  <c r="BF634" i="7"/>
  <c r="BE634" i="7"/>
  <c r="BD634" i="7"/>
  <c r="BC634" i="7"/>
  <c r="BB634" i="7"/>
  <c r="BA634" i="7"/>
  <c r="AZ634" i="7"/>
  <c r="AY634" i="7"/>
  <c r="AX634" i="7"/>
  <c r="BK633" i="7"/>
  <c r="BJ633" i="7"/>
  <c r="BI633" i="7"/>
  <c r="BH633" i="7"/>
  <c r="BG633" i="7"/>
  <c r="BF633" i="7"/>
  <c r="BE633" i="7"/>
  <c r="BD633" i="7"/>
  <c r="BC633" i="7"/>
  <c r="BB633" i="7"/>
  <c r="BA633" i="7"/>
  <c r="AZ633" i="7"/>
  <c r="AY633" i="7"/>
  <c r="AX633" i="7"/>
  <c r="AM633" i="7"/>
  <c r="BK578" i="7"/>
  <c r="BJ578" i="7"/>
  <c r="BI578" i="7"/>
  <c r="BH578" i="7"/>
  <c r="BG578" i="7"/>
  <c r="BF578" i="7"/>
  <c r="BE578" i="7"/>
  <c r="BD578" i="7"/>
  <c r="BC578" i="7"/>
  <c r="BB578" i="7"/>
  <c r="BA578" i="7"/>
  <c r="AZ578" i="7"/>
  <c r="AY578" i="7"/>
  <c r="AX578" i="7"/>
  <c r="BK577" i="7"/>
  <c r="BJ577" i="7"/>
  <c r="BI577" i="7"/>
  <c r="BH577" i="7"/>
  <c r="BG577" i="7"/>
  <c r="BF577" i="7"/>
  <c r="BE577" i="7"/>
  <c r="BD577" i="7"/>
  <c r="BC577" i="7"/>
  <c r="BB577" i="7"/>
  <c r="BA577" i="7"/>
  <c r="AZ577" i="7"/>
  <c r="AY577" i="7"/>
  <c r="AX577" i="7"/>
  <c r="BK576" i="7"/>
  <c r="BJ576" i="7"/>
  <c r="BI576" i="7"/>
  <c r="BH576" i="7"/>
  <c r="BG576" i="7"/>
  <c r="BF576" i="7"/>
  <c r="BE576" i="7"/>
  <c r="BD576" i="7"/>
  <c r="BC576" i="7"/>
  <c r="BB576" i="7"/>
  <c r="BA576" i="7"/>
  <c r="AZ576" i="7"/>
  <c r="AY576" i="7"/>
  <c r="AX576" i="7"/>
  <c r="AM576" i="7"/>
  <c r="BK521" i="7"/>
  <c r="BJ521" i="7"/>
  <c r="BI521" i="7"/>
  <c r="BH521" i="7"/>
  <c r="BG521" i="7"/>
  <c r="BF521" i="7"/>
  <c r="BE521" i="7"/>
  <c r="BD521" i="7"/>
  <c r="BC521" i="7"/>
  <c r="BB521" i="7"/>
  <c r="BA521" i="7"/>
  <c r="AZ521" i="7"/>
  <c r="AY521" i="7"/>
  <c r="AX521" i="7"/>
  <c r="BK520" i="7"/>
  <c r="BJ520" i="7"/>
  <c r="BI520" i="7"/>
  <c r="BH520" i="7"/>
  <c r="BG520" i="7"/>
  <c r="BF520" i="7"/>
  <c r="BE520" i="7"/>
  <c r="BD520" i="7"/>
  <c r="BC520" i="7"/>
  <c r="BB520" i="7"/>
  <c r="BA520" i="7"/>
  <c r="AZ520" i="7"/>
  <c r="AY520" i="7"/>
  <c r="AX520" i="7"/>
  <c r="BK519" i="7"/>
  <c r="BJ519" i="7"/>
  <c r="BI519" i="7"/>
  <c r="BH519" i="7"/>
  <c r="BG519" i="7"/>
  <c r="BF519" i="7"/>
  <c r="BE519" i="7"/>
  <c r="BD519" i="7"/>
  <c r="BC519" i="7"/>
  <c r="BB519" i="7"/>
  <c r="BA519" i="7"/>
  <c r="AZ519" i="7"/>
  <c r="AY519" i="7"/>
  <c r="AX519" i="7"/>
  <c r="AM519" i="7"/>
  <c r="BK464" i="7"/>
  <c r="BJ464" i="7"/>
  <c r="BI464" i="7"/>
  <c r="BH464" i="7"/>
  <c r="BG464" i="7"/>
  <c r="BF464" i="7"/>
  <c r="BE464" i="7"/>
  <c r="BD464" i="7"/>
  <c r="BC464" i="7"/>
  <c r="BB464" i="7"/>
  <c r="BA464" i="7"/>
  <c r="AZ464" i="7"/>
  <c r="AY464" i="7"/>
  <c r="AX464" i="7"/>
  <c r="BK463" i="7"/>
  <c r="BJ463" i="7"/>
  <c r="BI463" i="7"/>
  <c r="BH463" i="7"/>
  <c r="BG463" i="7"/>
  <c r="BF463" i="7"/>
  <c r="BE463" i="7"/>
  <c r="BD463" i="7"/>
  <c r="BC463" i="7"/>
  <c r="BB463" i="7"/>
  <c r="BA463" i="7"/>
  <c r="AZ463" i="7"/>
  <c r="AY463" i="7"/>
  <c r="AX463" i="7"/>
  <c r="BK462" i="7"/>
  <c r="BJ462" i="7"/>
  <c r="BI462" i="7"/>
  <c r="BH462" i="7"/>
  <c r="BG462" i="7"/>
  <c r="BF462" i="7"/>
  <c r="BE462" i="7"/>
  <c r="BD462" i="7"/>
  <c r="BC462" i="7"/>
  <c r="BB462" i="7"/>
  <c r="BA462" i="7"/>
  <c r="AZ462" i="7"/>
  <c r="AY462" i="7"/>
  <c r="AX462" i="7"/>
  <c r="AM462" i="7"/>
  <c r="BK407" i="7"/>
  <c r="BJ407" i="7"/>
  <c r="BI407" i="7"/>
  <c r="BH407" i="7"/>
  <c r="BG407" i="7"/>
  <c r="BF407" i="7"/>
  <c r="BE407" i="7"/>
  <c r="BD407" i="7"/>
  <c r="BC407" i="7"/>
  <c r="BB407" i="7"/>
  <c r="BA407" i="7"/>
  <c r="AZ407" i="7"/>
  <c r="AY407" i="7"/>
  <c r="AX407" i="7"/>
  <c r="BK406" i="7"/>
  <c r="BJ406" i="7"/>
  <c r="BI406" i="7"/>
  <c r="BH406" i="7"/>
  <c r="BG406" i="7"/>
  <c r="BF406" i="7"/>
  <c r="BE406" i="7"/>
  <c r="BD406" i="7"/>
  <c r="BC406" i="7"/>
  <c r="BB406" i="7"/>
  <c r="BA406" i="7"/>
  <c r="AZ406" i="7"/>
  <c r="AY406" i="7"/>
  <c r="AX406" i="7"/>
  <c r="BK405" i="7"/>
  <c r="BJ405" i="7"/>
  <c r="BI405" i="7"/>
  <c r="BH405" i="7"/>
  <c r="BG405" i="7"/>
  <c r="BF405" i="7"/>
  <c r="BE405" i="7"/>
  <c r="BD405" i="7"/>
  <c r="BC405" i="7"/>
  <c r="BB405" i="7"/>
  <c r="BA405" i="7"/>
  <c r="AZ405" i="7"/>
  <c r="AY405" i="7"/>
  <c r="AX405" i="7"/>
  <c r="AM405" i="7"/>
  <c r="BK350" i="7"/>
  <c r="BJ350" i="7"/>
  <c r="BI350" i="7"/>
  <c r="BH350" i="7"/>
  <c r="BG350" i="7"/>
  <c r="BF350" i="7"/>
  <c r="BE350" i="7"/>
  <c r="BD350" i="7"/>
  <c r="BC350" i="7"/>
  <c r="BB350" i="7"/>
  <c r="BA350" i="7"/>
  <c r="AZ350" i="7"/>
  <c r="AY350" i="7"/>
  <c r="AX350" i="7"/>
  <c r="BK349" i="7"/>
  <c r="BJ349" i="7"/>
  <c r="BI349" i="7"/>
  <c r="BH349" i="7"/>
  <c r="BG349" i="7"/>
  <c r="BF349" i="7"/>
  <c r="BE349" i="7"/>
  <c r="BD349" i="7"/>
  <c r="BC349" i="7"/>
  <c r="BB349" i="7"/>
  <c r="BA349" i="7"/>
  <c r="AZ349" i="7"/>
  <c r="AY349" i="7"/>
  <c r="AX349" i="7"/>
  <c r="BK348" i="7"/>
  <c r="BJ348" i="7"/>
  <c r="BI348" i="7"/>
  <c r="BH348" i="7"/>
  <c r="BG348" i="7"/>
  <c r="BF348" i="7"/>
  <c r="BE348" i="7"/>
  <c r="BD348" i="7"/>
  <c r="BC348" i="7"/>
  <c r="BB348" i="7"/>
  <c r="BA348" i="7"/>
  <c r="AZ348" i="7"/>
  <c r="AY348" i="7"/>
  <c r="AX348" i="7"/>
  <c r="AM348" i="7"/>
  <c r="BK293" i="7"/>
  <c r="BJ293" i="7"/>
  <c r="BI293" i="7"/>
  <c r="BH293" i="7"/>
  <c r="BG293" i="7"/>
  <c r="BF293" i="7"/>
  <c r="BE293" i="7"/>
  <c r="BD293" i="7"/>
  <c r="BC293" i="7"/>
  <c r="BB293" i="7"/>
  <c r="BA293" i="7"/>
  <c r="AZ293" i="7"/>
  <c r="AY293" i="7"/>
  <c r="AX293" i="7"/>
  <c r="BK292" i="7"/>
  <c r="BJ292" i="7"/>
  <c r="BI292" i="7"/>
  <c r="BH292" i="7"/>
  <c r="BG292" i="7"/>
  <c r="BF292" i="7"/>
  <c r="BE292" i="7"/>
  <c r="BD292" i="7"/>
  <c r="BC292" i="7"/>
  <c r="BB292" i="7"/>
  <c r="BA292" i="7"/>
  <c r="AZ292" i="7"/>
  <c r="AY292" i="7"/>
  <c r="AX292" i="7"/>
  <c r="BK291" i="7"/>
  <c r="BJ291" i="7"/>
  <c r="BI291" i="7"/>
  <c r="BH291" i="7"/>
  <c r="BG291" i="7"/>
  <c r="BF291" i="7"/>
  <c r="BE291" i="7"/>
  <c r="BD291" i="7"/>
  <c r="BC291" i="7"/>
  <c r="BB291" i="7"/>
  <c r="BA291" i="7"/>
  <c r="AZ291" i="7"/>
  <c r="AY291" i="7"/>
  <c r="AX291" i="7"/>
  <c r="AM291" i="7"/>
  <c r="BK236" i="7"/>
  <c r="BJ236" i="7"/>
  <c r="BI236" i="7"/>
  <c r="BH236" i="7"/>
  <c r="BG236" i="7"/>
  <c r="BF236" i="7"/>
  <c r="BE236" i="7"/>
  <c r="BD236" i="7"/>
  <c r="BC236" i="7"/>
  <c r="BB236" i="7"/>
  <c r="BA236" i="7"/>
  <c r="AZ236" i="7"/>
  <c r="AY236" i="7"/>
  <c r="AX236" i="7"/>
  <c r="BK235" i="7"/>
  <c r="BJ235" i="7"/>
  <c r="BI235" i="7"/>
  <c r="BH235" i="7"/>
  <c r="BG235" i="7"/>
  <c r="BF235" i="7"/>
  <c r="BE235" i="7"/>
  <c r="BD235" i="7"/>
  <c r="BC235" i="7"/>
  <c r="BB235" i="7"/>
  <c r="BA235" i="7"/>
  <c r="AZ235" i="7"/>
  <c r="AY235" i="7"/>
  <c r="AX235" i="7"/>
  <c r="BK234" i="7"/>
  <c r="BJ234" i="7"/>
  <c r="BI234" i="7"/>
  <c r="BH234" i="7"/>
  <c r="BG234" i="7"/>
  <c r="BF234" i="7"/>
  <c r="BE234" i="7"/>
  <c r="BD234" i="7"/>
  <c r="BC234" i="7"/>
  <c r="BB234" i="7"/>
  <c r="BA234" i="7"/>
  <c r="AZ234" i="7"/>
  <c r="AY234" i="7"/>
  <c r="AX234" i="7"/>
  <c r="AM234" i="7"/>
  <c r="BK179" i="7"/>
  <c r="BJ179" i="7"/>
  <c r="BI179" i="7"/>
  <c r="BH179" i="7"/>
  <c r="BG179" i="7"/>
  <c r="BF179" i="7"/>
  <c r="BE179" i="7"/>
  <c r="BD179" i="7"/>
  <c r="BC179" i="7"/>
  <c r="BB179" i="7"/>
  <c r="BA179" i="7"/>
  <c r="AZ179" i="7"/>
  <c r="AY179" i="7"/>
  <c r="AX179" i="7"/>
  <c r="BK178" i="7"/>
  <c r="BJ178" i="7"/>
  <c r="BI178" i="7"/>
  <c r="BH178" i="7"/>
  <c r="BG178" i="7"/>
  <c r="BF178" i="7"/>
  <c r="BE178" i="7"/>
  <c r="BD178" i="7"/>
  <c r="BC178" i="7"/>
  <c r="BB178" i="7"/>
  <c r="BA178" i="7"/>
  <c r="AZ178" i="7"/>
  <c r="AY178" i="7"/>
  <c r="AX178" i="7"/>
  <c r="BK177" i="7"/>
  <c r="BJ177" i="7"/>
  <c r="BI177" i="7"/>
  <c r="BH177" i="7"/>
  <c r="BG177" i="7"/>
  <c r="BF177" i="7"/>
  <c r="BE177" i="7"/>
  <c r="BD177" i="7"/>
  <c r="BC177" i="7"/>
  <c r="BB177" i="7"/>
  <c r="BA177" i="7"/>
  <c r="AZ177" i="7"/>
  <c r="AY177" i="7"/>
  <c r="AX177" i="7"/>
  <c r="AM177" i="7"/>
  <c r="BK122" i="7"/>
  <c r="BJ122" i="7"/>
  <c r="BI122" i="7"/>
  <c r="BH122" i="7"/>
  <c r="BG122" i="7"/>
  <c r="BF122" i="7"/>
  <c r="BE122" i="7"/>
  <c r="BD122" i="7"/>
  <c r="BC122" i="7"/>
  <c r="BB122" i="7"/>
  <c r="BA122" i="7"/>
  <c r="AZ122" i="7"/>
  <c r="AY122" i="7"/>
  <c r="AX122" i="7"/>
  <c r="BK121" i="7"/>
  <c r="BJ121" i="7"/>
  <c r="BI121" i="7"/>
  <c r="BH121" i="7"/>
  <c r="BG121" i="7"/>
  <c r="BF121" i="7"/>
  <c r="BE121" i="7"/>
  <c r="BD121" i="7"/>
  <c r="BC121" i="7"/>
  <c r="BB121" i="7"/>
  <c r="BA121" i="7"/>
  <c r="AZ121" i="7"/>
  <c r="AY121" i="7"/>
  <c r="AX121" i="7"/>
  <c r="BK120" i="7"/>
  <c r="BJ120" i="7"/>
  <c r="BI120" i="7"/>
  <c r="BH120" i="7"/>
  <c r="BG120" i="7"/>
  <c r="BF120" i="7"/>
  <c r="BE120" i="7"/>
  <c r="BD120" i="7"/>
  <c r="BC120" i="7"/>
  <c r="BB120" i="7"/>
  <c r="BA120" i="7"/>
  <c r="AZ120" i="7"/>
  <c r="AY120" i="7"/>
  <c r="AX120" i="7"/>
  <c r="AM120" i="7"/>
  <c r="BK65" i="7"/>
  <c r="BJ65" i="7"/>
  <c r="BI65" i="7"/>
  <c r="BH65" i="7"/>
  <c r="BG65" i="7"/>
  <c r="BF65" i="7"/>
  <c r="BE65" i="7"/>
  <c r="BD65" i="7"/>
  <c r="BC65" i="7"/>
  <c r="BB65" i="7"/>
  <c r="BA65" i="7"/>
  <c r="AZ65" i="7"/>
  <c r="AY65" i="7"/>
  <c r="AX65" i="7"/>
  <c r="BK64" i="7"/>
  <c r="BJ64" i="7"/>
  <c r="BI64" i="7"/>
  <c r="BH64" i="7"/>
  <c r="BG64" i="7"/>
  <c r="BF64" i="7"/>
  <c r="BE64" i="7"/>
  <c r="BD64" i="7"/>
  <c r="BC64" i="7"/>
  <c r="BB64" i="7"/>
  <c r="BA64" i="7"/>
  <c r="AZ64" i="7"/>
  <c r="AY64" i="7"/>
  <c r="AX64" i="7"/>
  <c r="BK63" i="7"/>
  <c r="BJ63" i="7"/>
  <c r="BI63" i="7"/>
  <c r="BH63" i="7"/>
  <c r="BG63" i="7"/>
  <c r="BF63" i="7"/>
  <c r="BE63" i="7"/>
  <c r="BD63" i="7"/>
  <c r="BC63" i="7"/>
  <c r="BB63" i="7"/>
  <c r="BA63" i="7"/>
  <c r="AZ63" i="7"/>
  <c r="AY63" i="7"/>
  <c r="AX63" i="7"/>
  <c r="AM63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DD56" i="7"/>
  <c r="DN86" i="7"/>
  <c r="DO9" i="7"/>
  <c r="DN9" i="7"/>
  <c r="DK9" i="7"/>
  <c r="DO15" i="7"/>
  <c r="DN15" i="7"/>
  <c r="DK15" i="7"/>
  <c r="DO21" i="7"/>
  <c r="DN21" i="7"/>
  <c r="DK21" i="7"/>
  <c r="DO27" i="7"/>
  <c r="DN27" i="7"/>
  <c r="DK27" i="7"/>
  <c r="DO33" i="7"/>
  <c r="DN33" i="7"/>
  <c r="DK33" i="7"/>
  <c r="DO39" i="7"/>
  <c r="DN39" i="7"/>
  <c r="DK39" i="7"/>
  <c r="DO45" i="7"/>
  <c r="DN45" i="7"/>
  <c r="DK45" i="7"/>
  <c r="DO51" i="7"/>
  <c r="DN51" i="7"/>
  <c r="DK51" i="7"/>
  <c r="DO57" i="7"/>
  <c r="DN57" i="7"/>
  <c r="DK57" i="7"/>
  <c r="DN91" i="7"/>
  <c r="DO14" i="7"/>
  <c r="DN10" i="7"/>
  <c r="DN11" i="7"/>
  <c r="DN12" i="7"/>
  <c r="DN13" i="7"/>
  <c r="DN14" i="7"/>
  <c r="DK14" i="7"/>
  <c r="DO20" i="7"/>
  <c r="DN16" i="7"/>
  <c r="DN17" i="7"/>
  <c r="DN18" i="7"/>
  <c r="DN19" i="7"/>
  <c r="DN20" i="7"/>
  <c r="DK20" i="7"/>
  <c r="DO26" i="7"/>
  <c r="DN22" i="7"/>
  <c r="DN23" i="7"/>
  <c r="DN24" i="7"/>
  <c r="DN25" i="7"/>
  <c r="DN26" i="7"/>
  <c r="DK26" i="7"/>
  <c r="DO32" i="7"/>
  <c r="DN28" i="7"/>
  <c r="DN29" i="7"/>
  <c r="DN30" i="7"/>
  <c r="DN31" i="7"/>
  <c r="DN32" i="7"/>
  <c r="DK32" i="7"/>
  <c r="DO38" i="7"/>
  <c r="DN34" i="7"/>
  <c r="DN35" i="7"/>
  <c r="DN36" i="7"/>
  <c r="DN37" i="7"/>
  <c r="DN38" i="7"/>
  <c r="DK38" i="7"/>
  <c r="DO44" i="7"/>
  <c r="DN40" i="7"/>
  <c r="DN41" i="7"/>
  <c r="DN42" i="7"/>
  <c r="DN43" i="7"/>
  <c r="DN44" i="7"/>
  <c r="DK44" i="7"/>
  <c r="DO50" i="7"/>
  <c r="DN46" i="7"/>
  <c r="DN47" i="7"/>
  <c r="DN48" i="7"/>
  <c r="DN49" i="7"/>
  <c r="DN50" i="7"/>
  <c r="DK50" i="7"/>
  <c r="DO56" i="7"/>
  <c r="DN52" i="7"/>
  <c r="DN53" i="7"/>
  <c r="DN54" i="7"/>
  <c r="DN55" i="7"/>
  <c r="DN56" i="7"/>
  <c r="DK56" i="7"/>
  <c r="DO62" i="7"/>
  <c r="DN58" i="7"/>
  <c r="DN59" i="7"/>
  <c r="DN60" i="7"/>
  <c r="DN61" i="7"/>
  <c r="DN62" i="7"/>
  <c r="DK62" i="7"/>
  <c r="DO63" i="7"/>
  <c r="DN63" i="7"/>
  <c r="DK63" i="7"/>
  <c r="DO64" i="7"/>
  <c r="DN64" i="7"/>
  <c r="DK64" i="7"/>
  <c r="DO65" i="7"/>
  <c r="DN65" i="7"/>
  <c r="DK65" i="7"/>
  <c r="DO66" i="7"/>
  <c r="DN66" i="7"/>
  <c r="DK66" i="7"/>
  <c r="DN87" i="7"/>
  <c r="DO10" i="7"/>
  <c r="DK10" i="7"/>
  <c r="DN88" i="7"/>
  <c r="DO11" i="7"/>
  <c r="DK11" i="7"/>
  <c r="DN89" i="7"/>
  <c r="DO12" i="7"/>
  <c r="DK12" i="7"/>
  <c r="DN90" i="7"/>
  <c r="DO13" i="7"/>
  <c r="DK13" i="7"/>
  <c r="DO16" i="7"/>
  <c r="DK16" i="7"/>
  <c r="DO17" i="7"/>
  <c r="DK17" i="7"/>
  <c r="DO18" i="7"/>
  <c r="DK18" i="7"/>
  <c r="DO19" i="7"/>
  <c r="DK19" i="7"/>
  <c r="DO22" i="7"/>
  <c r="DK22" i="7"/>
  <c r="DO23" i="7"/>
  <c r="DK23" i="7"/>
  <c r="DO24" i="7"/>
  <c r="DK24" i="7"/>
  <c r="DO25" i="7"/>
  <c r="DK25" i="7"/>
  <c r="DO28" i="7"/>
  <c r="DK28" i="7"/>
  <c r="DO29" i="7"/>
  <c r="DK29" i="7"/>
  <c r="DO30" i="7"/>
  <c r="DK30" i="7"/>
  <c r="DO31" i="7"/>
  <c r="DK31" i="7"/>
  <c r="DO34" i="7"/>
  <c r="DK34" i="7"/>
  <c r="DO35" i="7"/>
  <c r="DK35" i="7"/>
  <c r="DO36" i="7"/>
  <c r="DK36" i="7"/>
  <c r="DO37" i="7"/>
  <c r="DK37" i="7"/>
  <c r="DO40" i="7"/>
  <c r="DK40" i="7"/>
  <c r="DO41" i="7"/>
  <c r="DK41" i="7"/>
  <c r="DO42" i="7"/>
  <c r="DK42" i="7"/>
  <c r="DO43" i="7"/>
  <c r="DK43" i="7"/>
  <c r="DO46" i="7"/>
  <c r="DK46" i="7"/>
  <c r="DO47" i="7"/>
  <c r="DK47" i="7"/>
  <c r="DO48" i="7"/>
  <c r="DK48" i="7"/>
  <c r="DO49" i="7"/>
  <c r="DK49" i="7"/>
  <c r="DO52" i="7"/>
  <c r="DK52" i="7"/>
  <c r="DO53" i="7"/>
  <c r="DK53" i="7"/>
  <c r="DO54" i="7"/>
  <c r="DK54" i="7"/>
  <c r="DO55" i="7"/>
  <c r="DK55" i="7"/>
  <c r="DO58" i="7"/>
  <c r="DK58" i="7"/>
  <c r="DO59" i="7"/>
  <c r="DK59" i="7"/>
  <c r="DO60" i="7"/>
  <c r="DK60" i="7"/>
  <c r="DO61" i="7"/>
  <c r="DK61" i="7"/>
  <c r="DN67" i="7"/>
  <c r="DO67" i="7"/>
  <c r="DK67" i="7"/>
  <c r="DN68" i="7"/>
  <c r="DO68" i="7"/>
  <c r="DK68" i="7"/>
  <c r="DN69" i="7"/>
  <c r="DO69" i="7"/>
  <c r="DK69" i="7"/>
  <c r="DN70" i="7"/>
  <c r="DK70" i="7"/>
  <c r="DN71" i="7"/>
  <c r="DK71" i="7"/>
  <c r="DN72" i="7"/>
  <c r="DK72" i="7"/>
  <c r="DE56" i="7"/>
  <c r="CS9" i="7"/>
  <c r="CU9" i="7"/>
  <c r="CW9" i="7"/>
  <c r="CY9" i="7"/>
  <c r="DA9" i="7"/>
  <c r="DC9" i="7"/>
  <c r="DE9" i="7"/>
  <c r="CS10" i="7"/>
  <c r="CU10" i="7"/>
  <c r="CW10" i="7"/>
  <c r="CY10" i="7"/>
  <c r="DA10" i="7"/>
  <c r="DC10" i="7"/>
  <c r="DE10" i="7"/>
  <c r="CS11" i="7"/>
  <c r="CU11" i="7"/>
  <c r="CW11" i="7"/>
  <c r="CY11" i="7"/>
  <c r="DA11" i="7"/>
  <c r="DC11" i="7"/>
  <c r="DE11" i="7"/>
  <c r="CS12" i="7"/>
  <c r="CU12" i="7"/>
  <c r="CW12" i="7"/>
  <c r="CY12" i="7"/>
  <c r="DA12" i="7"/>
  <c r="DC12" i="7"/>
  <c r="DE12" i="7"/>
  <c r="CS13" i="7"/>
  <c r="CU13" i="7"/>
  <c r="CW13" i="7"/>
  <c r="CY13" i="7"/>
  <c r="DA13" i="7"/>
  <c r="DC13" i="7"/>
  <c r="DE13" i="7"/>
  <c r="CS14" i="7"/>
  <c r="CU14" i="7"/>
  <c r="CW14" i="7"/>
  <c r="CY14" i="7"/>
  <c r="DA14" i="7"/>
  <c r="DC14" i="7"/>
  <c r="DE14" i="7"/>
  <c r="CS15" i="7"/>
  <c r="CU15" i="7"/>
  <c r="CW15" i="7"/>
  <c r="CY15" i="7"/>
  <c r="DA15" i="7"/>
  <c r="DC15" i="7"/>
  <c r="DE15" i="7"/>
  <c r="CS16" i="7"/>
  <c r="CU16" i="7"/>
  <c r="CW16" i="7"/>
  <c r="CY16" i="7"/>
  <c r="DA16" i="7"/>
  <c r="DC16" i="7"/>
  <c r="DE16" i="7"/>
  <c r="CS17" i="7"/>
  <c r="CU17" i="7"/>
  <c r="CW17" i="7"/>
  <c r="CY17" i="7"/>
  <c r="DA17" i="7"/>
  <c r="DC17" i="7"/>
  <c r="DE17" i="7"/>
  <c r="CS18" i="7"/>
  <c r="CU18" i="7"/>
  <c r="CW18" i="7"/>
  <c r="CY18" i="7"/>
  <c r="DA18" i="7"/>
  <c r="DC18" i="7"/>
  <c r="DE18" i="7"/>
  <c r="CS19" i="7"/>
  <c r="CU19" i="7"/>
  <c r="CW19" i="7"/>
  <c r="CY19" i="7"/>
  <c r="DA19" i="7"/>
  <c r="DC19" i="7"/>
  <c r="DE19" i="7"/>
  <c r="CS20" i="7"/>
  <c r="CU20" i="7"/>
  <c r="CW20" i="7"/>
  <c r="CY20" i="7"/>
  <c r="DA20" i="7"/>
  <c r="DC20" i="7"/>
  <c r="DE20" i="7"/>
  <c r="CS21" i="7"/>
  <c r="CU21" i="7"/>
  <c r="CW21" i="7"/>
  <c r="CY21" i="7"/>
  <c r="DA21" i="7"/>
  <c r="DC21" i="7"/>
  <c r="DE21" i="7"/>
  <c r="CS22" i="7"/>
  <c r="CU22" i="7"/>
  <c r="CW22" i="7"/>
  <c r="CY22" i="7"/>
  <c r="DA22" i="7"/>
  <c r="DC22" i="7"/>
  <c r="DE22" i="7"/>
  <c r="CS23" i="7"/>
  <c r="CU23" i="7"/>
  <c r="CW23" i="7"/>
  <c r="CY23" i="7"/>
  <c r="DA23" i="7"/>
  <c r="DC23" i="7"/>
  <c r="DE23" i="7"/>
  <c r="CS24" i="7"/>
  <c r="CU24" i="7"/>
  <c r="CW24" i="7"/>
  <c r="CY24" i="7"/>
  <c r="DA24" i="7"/>
  <c r="DC24" i="7"/>
  <c r="DE24" i="7"/>
  <c r="CS25" i="7"/>
  <c r="CU25" i="7"/>
  <c r="CW25" i="7"/>
  <c r="CY25" i="7"/>
  <c r="DA25" i="7"/>
  <c r="DC25" i="7"/>
  <c r="DE25" i="7"/>
  <c r="CS26" i="7"/>
  <c r="CU26" i="7"/>
  <c r="CW26" i="7"/>
  <c r="CY26" i="7"/>
  <c r="DA26" i="7"/>
  <c r="DC26" i="7"/>
  <c r="DE26" i="7"/>
  <c r="CS27" i="7"/>
  <c r="CU27" i="7"/>
  <c r="CW27" i="7"/>
  <c r="CY27" i="7"/>
  <c r="DA27" i="7"/>
  <c r="DC27" i="7"/>
  <c r="DE27" i="7"/>
  <c r="CS28" i="7"/>
  <c r="CU28" i="7"/>
  <c r="CW28" i="7"/>
  <c r="CY28" i="7"/>
  <c r="DA28" i="7"/>
  <c r="DC28" i="7"/>
  <c r="DE28" i="7"/>
  <c r="CS29" i="7"/>
  <c r="CU29" i="7"/>
  <c r="CW29" i="7"/>
  <c r="CY29" i="7"/>
  <c r="DA29" i="7"/>
  <c r="DC29" i="7"/>
  <c r="DE29" i="7"/>
  <c r="CS30" i="7"/>
  <c r="CU30" i="7"/>
  <c r="CW30" i="7"/>
  <c r="CY30" i="7"/>
  <c r="DA30" i="7"/>
  <c r="DC30" i="7"/>
  <c r="DE30" i="7"/>
  <c r="CS31" i="7"/>
  <c r="CU31" i="7"/>
  <c r="CW31" i="7"/>
  <c r="CY31" i="7"/>
  <c r="DA31" i="7"/>
  <c r="DC31" i="7"/>
  <c r="DE31" i="7"/>
  <c r="CS32" i="7"/>
  <c r="CU32" i="7"/>
  <c r="CW32" i="7"/>
  <c r="CY32" i="7"/>
  <c r="DA32" i="7"/>
  <c r="DC32" i="7"/>
  <c r="DE32" i="7"/>
  <c r="CS33" i="7"/>
  <c r="CU33" i="7"/>
  <c r="CW33" i="7"/>
  <c r="CY33" i="7"/>
  <c r="DA33" i="7"/>
  <c r="DC33" i="7"/>
  <c r="DE33" i="7"/>
  <c r="CS34" i="7"/>
  <c r="CU34" i="7"/>
  <c r="CW34" i="7"/>
  <c r="CY34" i="7"/>
  <c r="DA34" i="7"/>
  <c r="DC34" i="7"/>
  <c r="DE34" i="7"/>
  <c r="CS35" i="7"/>
  <c r="CU35" i="7"/>
  <c r="CW35" i="7"/>
  <c r="CY35" i="7"/>
  <c r="DA35" i="7"/>
  <c r="DC35" i="7"/>
  <c r="DE35" i="7"/>
  <c r="CS36" i="7"/>
  <c r="CU36" i="7"/>
  <c r="CW36" i="7"/>
  <c r="CY36" i="7"/>
  <c r="DA36" i="7"/>
  <c r="DC36" i="7"/>
  <c r="DE36" i="7"/>
  <c r="CS37" i="7"/>
  <c r="CU37" i="7"/>
  <c r="CW37" i="7"/>
  <c r="CY37" i="7"/>
  <c r="DA37" i="7"/>
  <c r="DC37" i="7"/>
  <c r="DE37" i="7"/>
  <c r="CS38" i="7"/>
  <c r="CU38" i="7"/>
  <c r="CW38" i="7"/>
  <c r="CY38" i="7"/>
  <c r="DA38" i="7"/>
  <c r="DC38" i="7"/>
  <c r="DE38" i="7"/>
  <c r="CS39" i="7"/>
  <c r="CU39" i="7"/>
  <c r="CW39" i="7"/>
  <c r="CY39" i="7"/>
  <c r="DA39" i="7"/>
  <c r="DC39" i="7"/>
  <c r="DE39" i="7"/>
  <c r="CS40" i="7"/>
  <c r="CU40" i="7"/>
  <c r="CW40" i="7"/>
  <c r="CY40" i="7"/>
  <c r="DA40" i="7"/>
  <c r="DC40" i="7"/>
  <c r="DE40" i="7"/>
  <c r="CS41" i="7"/>
  <c r="CU41" i="7"/>
  <c r="CW41" i="7"/>
  <c r="CY41" i="7"/>
  <c r="DA41" i="7"/>
  <c r="DC41" i="7"/>
  <c r="DE41" i="7"/>
  <c r="CS42" i="7"/>
  <c r="CU42" i="7"/>
  <c r="CW42" i="7"/>
  <c r="CY42" i="7"/>
  <c r="DA42" i="7"/>
  <c r="DC42" i="7"/>
  <c r="DE42" i="7"/>
  <c r="CS43" i="7"/>
  <c r="CU43" i="7"/>
  <c r="CW43" i="7"/>
  <c r="CY43" i="7"/>
  <c r="DA43" i="7"/>
  <c r="DC43" i="7"/>
  <c r="DE43" i="7"/>
  <c r="CS44" i="7"/>
  <c r="CU44" i="7"/>
  <c r="CW44" i="7"/>
  <c r="CY44" i="7"/>
  <c r="DA44" i="7"/>
  <c r="DC44" i="7"/>
  <c r="DE44" i="7"/>
  <c r="CS45" i="7"/>
  <c r="CU45" i="7"/>
  <c r="CW45" i="7"/>
  <c r="CY45" i="7"/>
  <c r="DA45" i="7"/>
  <c r="DC45" i="7"/>
  <c r="DE45" i="7"/>
  <c r="CS46" i="7"/>
  <c r="CU46" i="7"/>
  <c r="CW46" i="7"/>
  <c r="CY46" i="7"/>
  <c r="DA46" i="7"/>
  <c r="DC46" i="7"/>
  <c r="DE46" i="7"/>
  <c r="CS47" i="7"/>
  <c r="CU47" i="7"/>
  <c r="CW47" i="7"/>
  <c r="CY47" i="7"/>
  <c r="DA47" i="7"/>
  <c r="DC47" i="7"/>
  <c r="DE47" i="7"/>
  <c r="CS48" i="7"/>
  <c r="CU48" i="7"/>
  <c r="CW48" i="7"/>
  <c r="CY48" i="7"/>
  <c r="DA48" i="7"/>
  <c r="DC48" i="7"/>
  <c r="DE48" i="7"/>
  <c r="CS49" i="7"/>
  <c r="CU49" i="7"/>
  <c r="CW49" i="7"/>
  <c r="CY49" i="7"/>
  <c r="DA49" i="7"/>
  <c r="DC49" i="7"/>
  <c r="DE49" i="7"/>
  <c r="CS50" i="7"/>
  <c r="CU50" i="7"/>
  <c r="CW50" i="7"/>
  <c r="CY50" i="7"/>
  <c r="DA50" i="7"/>
  <c r="DC50" i="7"/>
  <c r="DE50" i="7"/>
  <c r="CS51" i="7"/>
  <c r="CU51" i="7"/>
  <c r="CW51" i="7"/>
  <c r="CY51" i="7"/>
  <c r="DA51" i="7"/>
  <c r="DC51" i="7"/>
  <c r="DE51" i="7"/>
  <c r="CS52" i="7"/>
  <c r="CU52" i="7"/>
  <c r="CW52" i="7"/>
  <c r="CY52" i="7"/>
  <c r="DA52" i="7"/>
  <c r="DC52" i="7"/>
  <c r="DE52" i="7"/>
  <c r="CS53" i="7"/>
  <c r="CU53" i="7"/>
  <c r="CW53" i="7"/>
  <c r="CY53" i="7"/>
  <c r="DA53" i="7"/>
  <c r="DC53" i="7"/>
  <c r="DE53" i="7"/>
  <c r="CS54" i="7"/>
  <c r="CU54" i="7"/>
  <c r="CW54" i="7"/>
  <c r="CY54" i="7"/>
  <c r="DA54" i="7"/>
  <c r="DC54" i="7"/>
  <c r="DE54" i="7"/>
  <c r="CS55" i="7"/>
  <c r="CU55" i="7"/>
  <c r="CW55" i="7"/>
  <c r="CY55" i="7"/>
  <c r="DA55" i="7"/>
  <c r="DC55" i="7"/>
  <c r="DE55" i="7"/>
  <c r="CS56" i="7"/>
  <c r="CU56" i="7"/>
  <c r="CW56" i="7"/>
  <c r="CY56" i="7"/>
  <c r="DA56" i="7"/>
  <c r="DC56" i="7"/>
  <c r="CR9" i="7"/>
  <c r="CT9" i="7"/>
  <c r="CV9" i="7"/>
  <c r="CX9" i="7"/>
  <c r="CZ9" i="7"/>
  <c r="DB9" i="7"/>
  <c r="DD9" i="7"/>
  <c r="CR10" i="7"/>
  <c r="CT10" i="7"/>
  <c r="CV10" i="7"/>
  <c r="CX10" i="7"/>
  <c r="CZ10" i="7"/>
  <c r="DB10" i="7"/>
  <c r="DD10" i="7"/>
  <c r="CR11" i="7"/>
  <c r="CT11" i="7"/>
  <c r="CV11" i="7"/>
  <c r="CX11" i="7"/>
  <c r="CZ11" i="7"/>
  <c r="DB11" i="7"/>
  <c r="DD11" i="7"/>
  <c r="CR12" i="7"/>
  <c r="CT12" i="7"/>
  <c r="CV12" i="7"/>
  <c r="CX12" i="7"/>
  <c r="CZ12" i="7"/>
  <c r="DB12" i="7"/>
  <c r="DD12" i="7"/>
  <c r="CR13" i="7"/>
  <c r="CT13" i="7"/>
  <c r="CV13" i="7"/>
  <c r="CX13" i="7"/>
  <c r="CZ13" i="7"/>
  <c r="DB13" i="7"/>
  <c r="DD13" i="7"/>
  <c r="CR14" i="7"/>
  <c r="CT14" i="7"/>
  <c r="CV14" i="7"/>
  <c r="CX14" i="7"/>
  <c r="CZ14" i="7"/>
  <c r="DB14" i="7"/>
  <c r="DD14" i="7"/>
  <c r="CR15" i="7"/>
  <c r="CT15" i="7"/>
  <c r="CV15" i="7"/>
  <c r="CX15" i="7"/>
  <c r="CZ15" i="7"/>
  <c r="DB15" i="7"/>
  <c r="DD15" i="7"/>
  <c r="CR16" i="7"/>
  <c r="CT16" i="7"/>
  <c r="CV16" i="7"/>
  <c r="CX16" i="7"/>
  <c r="CZ16" i="7"/>
  <c r="DB16" i="7"/>
  <c r="DD16" i="7"/>
  <c r="CR17" i="7"/>
  <c r="CT17" i="7"/>
  <c r="CV17" i="7"/>
  <c r="CX17" i="7"/>
  <c r="CZ17" i="7"/>
  <c r="DB17" i="7"/>
  <c r="DD17" i="7"/>
  <c r="CR18" i="7"/>
  <c r="CT18" i="7"/>
  <c r="CV18" i="7"/>
  <c r="CX18" i="7"/>
  <c r="CZ18" i="7"/>
  <c r="DB18" i="7"/>
  <c r="DD18" i="7"/>
  <c r="CR19" i="7"/>
  <c r="CT19" i="7"/>
  <c r="CV19" i="7"/>
  <c r="CX19" i="7"/>
  <c r="CZ19" i="7"/>
  <c r="DB19" i="7"/>
  <c r="DD19" i="7"/>
  <c r="CR20" i="7"/>
  <c r="CT20" i="7"/>
  <c r="CV20" i="7"/>
  <c r="CX20" i="7"/>
  <c r="CZ20" i="7"/>
  <c r="DB20" i="7"/>
  <c r="DD20" i="7"/>
  <c r="CR21" i="7"/>
  <c r="CT21" i="7"/>
  <c r="CV21" i="7"/>
  <c r="CX21" i="7"/>
  <c r="CZ21" i="7"/>
  <c r="DB21" i="7"/>
  <c r="DD21" i="7"/>
  <c r="CR22" i="7"/>
  <c r="CT22" i="7"/>
  <c r="CV22" i="7"/>
  <c r="CX22" i="7"/>
  <c r="CZ22" i="7"/>
  <c r="DB22" i="7"/>
  <c r="DD22" i="7"/>
  <c r="CR23" i="7"/>
  <c r="CT23" i="7"/>
  <c r="CV23" i="7"/>
  <c r="CX23" i="7"/>
  <c r="CZ23" i="7"/>
  <c r="DB23" i="7"/>
  <c r="DD23" i="7"/>
  <c r="CR24" i="7"/>
  <c r="CT24" i="7"/>
  <c r="CV24" i="7"/>
  <c r="CX24" i="7"/>
  <c r="CZ24" i="7"/>
  <c r="DB24" i="7"/>
  <c r="DD24" i="7"/>
  <c r="CR25" i="7"/>
  <c r="CT25" i="7"/>
  <c r="CV25" i="7"/>
  <c r="CX25" i="7"/>
  <c r="CZ25" i="7"/>
  <c r="DB25" i="7"/>
  <c r="DD25" i="7"/>
  <c r="CR26" i="7"/>
  <c r="CT26" i="7"/>
  <c r="CV26" i="7"/>
  <c r="CX26" i="7"/>
  <c r="CZ26" i="7"/>
  <c r="DB26" i="7"/>
  <c r="DD26" i="7"/>
  <c r="CR27" i="7"/>
  <c r="CT27" i="7"/>
  <c r="CV27" i="7"/>
  <c r="CX27" i="7"/>
  <c r="CZ27" i="7"/>
  <c r="DB27" i="7"/>
  <c r="DD27" i="7"/>
  <c r="CR28" i="7"/>
  <c r="CT28" i="7"/>
  <c r="CV28" i="7"/>
  <c r="CX28" i="7"/>
  <c r="CZ28" i="7"/>
  <c r="DB28" i="7"/>
  <c r="DD28" i="7"/>
  <c r="CR29" i="7"/>
  <c r="CT29" i="7"/>
  <c r="CV29" i="7"/>
  <c r="CX29" i="7"/>
  <c r="CZ29" i="7"/>
  <c r="DB29" i="7"/>
  <c r="DD29" i="7"/>
  <c r="CR30" i="7"/>
  <c r="CT30" i="7"/>
  <c r="CV30" i="7"/>
  <c r="CX30" i="7"/>
  <c r="CZ30" i="7"/>
  <c r="DB30" i="7"/>
  <c r="DD30" i="7"/>
  <c r="CR31" i="7"/>
  <c r="CT31" i="7"/>
  <c r="CV31" i="7"/>
  <c r="CX31" i="7"/>
  <c r="CZ31" i="7"/>
  <c r="DB31" i="7"/>
  <c r="DD31" i="7"/>
  <c r="CR32" i="7"/>
  <c r="CT32" i="7"/>
  <c r="CV32" i="7"/>
  <c r="CX32" i="7"/>
  <c r="CZ32" i="7"/>
  <c r="DB32" i="7"/>
  <c r="DD32" i="7"/>
  <c r="CR33" i="7"/>
  <c r="CT33" i="7"/>
  <c r="CV33" i="7"/>
  <c r="CX33" i="7"/>
  <c r="CZ33" i="7"/>
  <c r="DB33" i="7"/>
  <c r="DD33" i="7"/>
  <c r="CR34" i="7"/>
  <c r="CT34" i="7"/>
  <c r="CV34" i="7"/>
  <c r="CX34" i="7"/>
  <c r="CZ34" i="7"/>
  <c r="DB34" i="7"/>
  <c r="DD34" i="7"/>
  <c r="CR35" i="7"/>
  <c r="CT35" i="7"/>
  <c r="CV35" i="7"/>
  <c r="CX35" i="7"/>
  <c r="CZ35" i="7"/>
  <c r="DB35" i="7"/>
  <c r="DD35" i="7"/>
  <c r="CR36" i="7"/>
  <c r="CT36" i="7"/>
  <c r="CV36" i="7"/>
  <c r="CX36" i="7"/>
  <c r="CZ36" i="7"/>
  <c r="DB36" i="7"/>
  <c r="DD36" i="7"/>
  <c r="CR37" i="7"/>
  <c r="CT37" i="7"/>
  <c r="CV37" i="7"/>
  <c r="CX37" i="7"/>
  <c r="CZ37" i="7"/>
  <c r="DB37" i="7"/>
  <c r="DD37" i="7"/>
  <c r="CR38" i="7"/>
  <c r="CT38" i="7"/>
  <c r="CV38" i="7"/>
  <c r="CX38" i="7"/>
  <c r="CZ38" i="7"/>
  <c r="DB38" i="7"/>
  <c r="DD38" i="7"/>
  <c r="CR39" i="7"/>
  <c r="CT39" i="7"/>
  <c r="CV39" i="7"/>
  <c r="CX39" i="7"/>
  <c r="CZ39" i="7"/>
  <c r="DB39" i="7"/>
  <c r="DD39" i="7"/>
  <c r="CR40" i="7"/>
  <c r="CT40" i="7"/>
  <c r="CV40" i="7"/>
  <c r="CX40" i="7"/>
  <c r="CZ40" i="7"/>
  <c r="DB40" i="7"/>
  <c r="DD40" i="7"/>
  <c r="CR41" i="7"/>
  <c r="CT41" i="7"/>
  <c r="CV41" i="7"/>
  <c r="CX41" i="7"/>
  <c r="CZ41" i="7"/>
  <c r="DB41" i="7"/>
  <c r="DD41" i="7"/>
  <c r="CR42" i="7"/>
  <c r="CT42" i="7"/>
  <c r="CV42" i="7"/>
  <c r="CX42" i="7"/>
  <c r="CZ42" i="7"/>
  <c r="DB42" i="7"/>
  <c r="DD42" i="7"/>
  <c r="CR43" i="7"/>
  <c r="CT43" i="7"/>
  <c r="CV43" i="7"/>
  <c r="CX43" i="7"/>
  <c r="CZ43" i="7"/>
  <c r="DB43" i="7"/>
  <c r="DD43" i="7"/>
  <c r="CR44" i="7"/>
  <c r="CT44" i="7"/>
  <c r="CV44" i="7"/>
  <c r="CX44" i="7"/>
  <c r="CZ44" i="7"/>
  <c r="DB44" i="7"/>
  <c r="DD44" i="7"/>
  <c r="CR45" i="7"/>
  <c r="CT45" i="7"/>
  <c r="CV45" i="7"/>
  <c r="CX45" i="7"/>
  <c r="CZ45" i="7"/>
  <c r="DB45" i="7"/>
  <c r="DD45" i="7"/>
  <c r="CR46" i="7"/>
  <c r="CT46" i="7"/>
  <c r="CV46" i="7"/>
  <c r="CX46" i="7"/>
  <c r="CZ46" i="7"/>
  <c r="DB46" i="7"/>
  <c r="DD46" i="7"/>
  <c r="CR47" i="7"/>
  <c r="CT47" i="7"/>
  <c r="CV47" i="7"/>
  <c r="CX47" i="7"/>
  <c r="CZ47" i="7"/>
  <c r="DB47" i="7"/>
  <c r="DD47" i="7"/>
  <c r="CR48" i="7"/>
  <c r="CT48" i="7"/>
  <c r="CV48" i="7"/>
  <c r="CX48" i="7"/>
  <c r="CZ48" i="7"/>
  <c r="DB48" i="7"/>
  <c r="DD48" i="7"/>
  <c r="CR49" i="7"/>
  <c r="CT49" i="7"/>
  <c r="CV49" i="7"/>
  <c r="CX49" i="7"/>
  <c r="CZ49" i="7"/>
  <c r="DB49" i="7"/>
  <c r="DD49" i="7"/>
  <c r="CR50" i="7"/>
  <c r="CT50" i="7"/>
  <c r="CV50" i="7"/>
  <c r="CX50" i="7"/>
  <c r="CZ50" i="7"/>
  <c r="DB50" i="7"/>
  <c r="DD50" i="7"/>
  <c r="CR51" i="7"/>
  <c r="CT51" i="7"/>
  <c r="CV51" i="7"/>
  <c r="CX51" i="7"/>
  <c r="CZ51" i="7"/>
  <c r="DB51" i="7"/>
  <c r="DD51" i="7"/>
  <c r="CR52" i="7"/>
  <c r="CT52" i="7"/>
  <c r="CV52" i="7"/>
  <c r="CX52" i="7"/>
  <c r="CZ52" i="7"/>
  <c r="DB52" i="7"/>
  <c r="DD52" i="7"/>
  <c r="CR53" i="7"/>
  <c r="CT53" i="7"/>
  <c r="CV53" i="7"/>
  <c r="CX53" i="7"/>
  <c r="CZ53" i="7"/>
  <c r="DB53" i="7"/>
  <c r="DD53" i="7"/>
  <c r="CR54" i="7"/>
  <c r="CT54" i="7"/>
  <c r="CV54" i="7"/>
  <c r="CX54" i="7"/>
  <c r="CZ54" i="7"/>
  <c r="DB54" i="7"/>
  <c r="DD54" i="7"/>
  <c r="CR55" i="7"/>
  <c r="CT55" i="7"/>
  <c r="CV55" i="7"/>
  <c r="CX55" i="7"/>
  <c r="CZ55" i="7"/>
  <c r="DB55" i="7"/>
  <c r="DD55" i="7"/>
  <c r="CR56" i="7"/>
  <c r="CT56" i="7"/>
  <c r="CV56" i="7"/>
  <c r="CX56" i="7"/>
  <c r="CZ56" i="7"/>
  <c r="DB56" i="7"/>
  <c r="CR6" i="7"/>
  <c r="B6" i="7"/>
  <c r="N7" i="7"/>
  <c r="L7" i="7"/>
  <c r="J7" i="7"/>
  <c r="H7" i="7"/>
  <c r="D7" i="7"/>
  <c r="F7" i="7"/>
  <c r="B7" i="7"/>
  <c r="Q2" i="9"/>
  <c r="Q3" i="9"/>
  <c r="Q4" i="9"/>
  <c r="Q5" i="9"/>
  <c r="Q6" i="9"/>
  <c r="Q7" i="9"/>
  <c r="Q8" i="9"/>
  <c r="Q9" i="9"/>
  <c r="Q10" i="9"/>
  <c r="Q11" i="9"/>
  <c r="Q12" i="9"/>
  <c r="Q13" i="9"/>
  <c r="A61" i="7"/>
  <c r="A118" i="7"/>
  <c r="A175" i="7"/>
  <c r="A232" i="7"/>
  <c r="A289" i="7"/>
  <c r="A346" i="7"/>
  <c r="A403" i="7"/>
  <c r="A460" i="7"/>
  <c r="A517" i="7"/>
  <c r="A574" i="7"/>
  <c r="A631" i="7"/>
  <c r="A688" i="7"/>
  <c r="A745" i="7"/>
  <c r="A802" i="7"/>
  <c r="A859" i="7"/>
  <c r="W862" i="7"/>
  <c r="W805" i="7"/>
  <c r="W748" i="7"/>
  <c r="W691" i="7"/>
  <c r="W634" i="7"/>
  <c r="W577" i="7"/>
  <c r="W520" i="7"/>
  <c r="W463" i="7"/>
  <c r="W406" i="7"/>
  <c r="W349" i="7"/>
  <c r="W292" i="7"/>
  <c r="W235" i="7"/>
  <c r="W178" i="7"/>
  <c r="W121" i="7"/>
  <c r="W64" i="7"/>
  <c r="W7" i="7"/>
  <c r="C5" i="7"/>
  <c r="W875" i="7"/>
  <c r="X875" i="7"/>
  <c r="W876" i="7"/>
  <c r="X876" i="7"/>
  <c r="W877" i="7"/>
  <c r="X877" i="7"/>
  <c r="W878" i="7"/>
  <c r="X878" i="7"/>
  <c r="W879" i="7"/>
  <c r="X879" i="7"/>
  <c r="W880" i="7"/>
  <c r="X880" i="7"/>
  <c r="W881" i="7"/>
  <c r="X881" i="7"/>
  <c r="W882" i="7"/>
  <c r="X882" i="7"/>
  <c r="W883" i="7"/>
  <c r="X883" i="7"/>
  <c r="W884" i="7"/>
  <c r="X884" i="7"/>
  <c r="W885" i="7"/>
  <c r="X885" i="7"/>
  <c r="W886" i="7"/>
  <c r="X886" i="7"/>
  <c r="W887" i="7"/>
  <c r="X887" i="7"/>
  <c r="W888" i="7"/>
  <c r="X888" i="7"/>
  <c r="W889" i="7"/>
  <c r="X889" i="7"/>
  <c r="W890" i="7"/>
  <c r="X890" i="7"/>
  <c r="W891" i="7"/>
  <c r="X891" i="7"/>
  <c r="W892" i="7"/>
  <c r="X892" i="7"/>
  <c r="W893" i="7"/>
  <c r="X893" i="7"/>
  <c r="W894" i="7"/>
  <c r="X894" i="7"/>
  <c r="W895" i="7"/>
  <c r="X895" i="7"/>
  <c r="W896" i="7"/>
  <c r="X896" i="7"/>
  <c r="W897" i="7"/>
  <c r="X897" i="7"/>
  <c r="W898" i="7"/>
  <c r="X898" i="7"/>
  <c r="W899" i="7"/>
  <c r="X899" i="7"/>
  <c r="W900" i="7"/>
  <c r="X900" i="7"/>
  <c r="W901" i="7"/>
  <c r="X901" i="7"/>
  <c r="W902" i="7"/>
  <c r="X902" i="7"/>
  <c r="W903" i="7"/>
  <c r="X903" i="7"/>
  <c r="W904" i="7"/>
  <c r="X904" i="7"/>
  <c r="W905" i="7"/>
  <c r="X905" i="7"/>
  <c r="W906" i="7"/>
  <c r="X906" i="7"/>
  <c r="W907" i="7"/>
  <c r="X907" i="7"/>
  <c r="W908" i="7"/>
  <c r="X908" i="7"/>
  <c r="W909" i="7"/>
  <c r="X909" i="7"/>
  <c r="W910" i="7"/>
  <c r="X910" i="7"/>
  <c r="W911" i="7"/>
  <c r="X911" i="7"/>
  <c r="Z912" i="7"/>
  <c r="Y912" i="7"/>
  <c r="AA912" i="7"/>
  <c r="W818" i="7"/>
  <c r="X818" i="7"/>
  <c r="W819" i="7"/>
  <c r="X819" i="7"/>
  <c r="W820" i="7"/>
  <c r="X820" i="7"/>
  <c r="W821" i="7"/>
  <c r="X821" i="7"/>
  <c r="W822" i="7"/>
  <c r="X822" i="7"/>
  <c r="W823" i="7"/>
  <c r="X823" i="7"/>
  <c r="W824" i="7"/>
  <c r="X824" i="7"/>
  <c r="W825" i="7"/>
  <c r="X825" i="7"/>
  <c r="W826" i="7"/>
  <c r="X826" i="7"/>
  <c r="W827" i="7"/>
  <c r="X827" i="7"/>
  <c r="W828" i="7"/>
  <c r="X828" i="7"/>
  <c r="W829" i="7"/>
  <c r="X829" i="7"/>
  <c r="W830" i="7"/>
  <c r="X830" i="7"/>
  <c r="W831" i="7"/>
  <c r="X831" i="7"/>
  <c r="W832" i="7"/>
  <c r="X832" i="7"/>
  <c r="W833" i="7"/>
  <c r="X833" i="7"/>
  <c r="W834" i="7"/>
  <c r="X834" i="7"/>
  <c r="W835" i="7"/>
  <c r="X835" i="7"/>
  <c r="W836" i="7"/>
  <c r="X836" i="7"/>
  <c r="W837" i="7"/>
  <c r="X837" i="7"/>
  <c r="W838" i="7"/>
  <c r="X838" i="7"/>
  <c r="W839" i="7"/>
  <c r="X839" i="7"/>
  <c r="W840" i="7"/>
  <c r="X840" i="7"/>
  <c r="W841" i="7"/>
  <c r="X841" i="7"/>
  <c r="W842" i="7"/>
  <c r="X842" i="7"/>
  <c r="W843" i="7"/>
  <c r="X843" i="7"/>
  <c r="W844" i="7"/>
  <c r="X844" i="7"/>
  <c r="W845" i="7"/>
  <c r="X845" i="7"/>
  <c r="W846" i="7"/>
  <c r="X846" i="7"/>
  <c r="W847" i="7"/>
  <c r="X847" i="7"/>
  <c r="W848" i="7"/>
  <c r="X848" i="7"/>
  <c r="W849" i="7"/>
  <c r="X849" i="7"/>
  <c r="W850" i="7"/>
  <c r="X850" i="7"/>
  <c r="W851" i="7"/>
  <c r="X851" i="7"/>
  <c r="W852" i="7"/>
  <c r="X852" i="7"/>
  <c r="W853" i="7"/>
  <c r="X853" i="7"/>
  <c r="W854" i="7"/>
  <c r="X854" i="7"/>
  <c r="Z855" i="7"/>
  <c r="Y855" i="7"/>
  <c r="AA855" i="7"/>
  <c r="W761" i="7"/>
  <c r="X761" i="7"/>
  <c r="W762" i="7"/>
  <c r="X762" i="7"/>
  <c r="W763" i="7"/>
  <c r="X763" i="7"/>
  <c r="W764" i="7"/>
  <c r="X764" i="7"/>
  <c r="W765" i="7"/>
  <c r="X765" i="7"/>
  <c r="W766" i="7"/>
  <c r="X766" i="7"/>
  <c r="W767" i="7"/>
  <c r="X767" i="7"/>
  <c r="W768" i="7"/>
  <c r="X768" i="7"/>
  <c r="W769" i="7"/>
  <c r="X769" i="7"/>
  <c r="W770" i="7"/>
  <c r="X770" i="7"/>
  <c r="W771" i="7"/>
  <c r="X771" i="7"/>
  <c r="W772" i="7"/>
  <c r="X772" i="7"/>
  <c r="W773" i="7"/>
  <c r="X773" i="7"/>
  <c r="W774" i="7"/>
  <c r="X774" i="7"/>
  <c r="W775" i="7"/>
  <c r="X775" i="7"/>
  <c r="W776" i="7"/>
  <c r="X776" i="7"/>
  <c r="W777" i="7"/>
  <c r="X777" i="7"/>
  <c r="W778" i="7"/>
  <c r="X778" i="7"/>
  <c r="W779" i="7"/>
  <c r="X779" i="7"/>
  <c r="W780" i="7"/>
  <c r="X780" i="7"/>
  <c r="W781" i="7"/>
  <c r="X781" i="7"/>
  <c r="W782" i="7"/>
  <c r="X782" i="7"/>
  <c r="W783" i="7"/>
  <c r="X783" i="7"/>
  <c r="W784" i="7"/>
  <c r="X784" i="7"/>
  <c r="W785" i="7"/>
  <c r="X785" i="7"/>
  <c r="W786" i="7"/>
  <c r="X786" i="7"/>
  <c r="W787" i="7"/>
  <c r="X787" i="7"/>
  <c r="W788" i="7"/>
  <c r="X788" i="7"/>
  <c r="W789" i="7"/>
  <c r="X789" i="7"/>
  <c r="W790" i="7"/>
  <c r="X790" i="7"/>
  <c r="W791" i="7"/>
  <c r="X791" i="7"/>
  <c r="W792" i="7"/>
  <c r="X792" i="7"/>
  <c r="W793" i="7"/>
  <c r="X793" i="7"/>
  <c r="W794" i="7"/>
  <c r="X794" i="7"/>
  <c r="W795" i="7"/>
  <c r="X795" i="7"/>
  <c r="W796" i="7"/>
  <c r="X796" i="7"/>
  <c r="W797" i="7"/>
  <c r="X797" i="7"/>
  <c r="Z798" i="7"/>
  <c r="Y798" i="7"/>
  <c r="AA798" i="7"/>
  <c r="W704" i="7"/>
  <c r="X704" i="7"/>
  <c r="W705" i="7"/>
  <c r="X705" i="7"/>
  <c r="W706" i="7"/>
  <c r="X706" i="7"/>
  <c r="W707" i="7"/>
  <c r="X707" i="7"/>
  <c r="W708" i="7"/>
  <c r="X708" i="7"/>
  <c r="W709" i="7"/>
  <c r="X709" i="7"/>
  <c r="W710" i="7"/>
  <c r="X710" i="7"/>
  <c r="W711" i="7"/>
  <c r="X711" i="7"/>
  <c r="W712" i="7"/>
  <c r="X712" i="7"/>
  <c r="W713" i="7"/>
  <c r="X713" i="7"/>
  <c r="W714" i="7"/>
  <c r="X714" i="7"/>
  <c r="W715" i="7"/>
  <c r="X715" i="7"/>
  <c r="W716" i="7"/>
  <c r="X716" i="7"/>
  <c r="W717" i="7"/>
  <c r="X717" i="7"/>
  <c r="W718" i="7"/>
  <c r="X718" i="7"/>
  <c r="W719" i="7"/>
  <c r="X719" i="7"/>
  <c r="W720" i="7"/>
  <c r="X720" i="7"/>
  <c r="W721" i="7"/>
  <c r="X721" i="7"/>
  <c r="W722" i="7"/>
  <c r="X722" i="7"/>
  <c r="W723" i="7"/>
  <c r="X723" i="7"/>
  <c r="W724" i="7"/>
  <c r="X724" i="7"/>
  <c r="W725" i="7"/>
  <c r="X725" i="7"/>
  <c r="W726" i="7"/>
  <c r="X726" i="7"/>
  <c r="W727" i="7"/>
  <c r="X727" i="7"/>
  <c r="W728" i="7"/>
  <c r="X728" i="7"/>
  <c r="W729" i="7"/>
  <c r="X729" i="7"/>
  <c r="W730" i="7"/>
  <c r="X730" i="7"/>
  <c r="W731" i="7"/>
  <c r="X731" i="7"/>
  <c r="W732" i="7"/>
  <c r="X732" i="7"/>
  <c r="W733" i="7"/>
  <c r="X733" i="7"/>
  <c r="W734" i="7"/>
  <c r="X734" i="7"/>
  <c r="W735" i="7"/>
  <c r="X735" i="7"/>
  <c r="W736" i="7"/>
  <c r="X736" i="7"/>
  <c r="W737" i="7"/>
  <c r="X737" i="7"/>
  <c r="W738" i="7"/>
  <c r="X738" i="7"/>
  <c r="W739" i="7"/>
  <c r="X739" i="7"/>
  <c r="W740" i="7"/>
  <c r="X740" i="7"/>
  <c r="Z741" i="7"/>
  <c r="Y741" i="7"/>
  <c r="AA741" i="7"/>
  <c r="W647" i="7"/>
  <c r="X647" i="7"/>
  <c r="W648" i="7"/>
  <c r="X648" i="7"/>
  <c r="W649" i="7"/>
  <c r="X649" i="7"/>
  <c r="W650" i="7"/>
  <c r="X650" i="7"/>
  <c r="W651" i="7"/>
  <c r="X651" i="7"/>
  <c r="W652" i="7"/>
  <c r="X652" i="7"/>
  <c r="W653" i="7"/>
  <c r="X653" i="7"/>
  <c r="W654" i="7"/>
  <c r="X654" i="7"/>
  <c r="W655" i="7"/>
  <c r="X655" i="7"/>
  <c r="W656" i="7"/>
  <c r="X656" i="7"/>
  <c r="W657" i="7"/>
  <c r="X657" i="7"/>
  <c r="W658" i="7"/>
  <c r="X658" i="7"/>
  <c r="W659" i="7"/>
  <c r="X659" i="7"/>
  <c r="W660" i="7"/>
  <c r="X660" i="7"/>
  <c r="W661" i="7"/>
  <c r="X661" i="7"/>
  <c r="W662" i="7"/>
  <c r="X662" i="7"/>
  <c r="W663" i="7"/>
  <c r="X663" i="7"/>
  <c r="W664" i="7"/>
  <c r="X664" i="7"/>
  <c r="W665" i="7"/>
  <c r="X665" i="7"/>
  <c r="W666" i="7"/>
  <c r="X666" i="7"/>
  <c r="W667" i="7"/>
  <c r="X667" i="7"/>
  <c r="W668" i="7"/>
  <c r="X668" i="7"/>
  <c r="W669" i="7"/>
  <c r="X669" i="7"/>
  <c r="W670" i="7"/>
  <c r="X670" i="7"/>
  <c r="W671" i="7"/>
  <c r="X671" i="7"/>
  <c r="W672" i="7"/>
  <c r="X672" i="7"/>
  <c r="W673" i="7"/>
  <c r="X673" i="7"/>
  <c r="W674" i="7"/>
  <c r="X674" i="7"/>
  <c r="W675" i="7"/>
  <c r="X675" i="7"/>
  <c r="W676" i="7"/>
  <c r="X676" i="7"/>
  <c r="W677" i="7"/>
  <c r="X677" i="7"/>
  <c r="W678" i="7"/>
  <c r="X678" i="7"/>
  <c r="W679" i="7"/>
  <c r="X679" i="7"/>
  <c r="W680" i="7"/>
  <c r="X680" i="7"/>
  <c r="W681" i="7"/>
  <c r="X681" i="7"/>
  <c r="W682" i="7"/>
  <c r="X682" i="7"/>
  <c r="W683" i="7"/>
  <c r="X683" i="7"/>
  <c r="Z684" i="7"/>
  <c r="Y684" i="7"/>
  <c r="AA684" i="7"/>
  <c r="W590" i="7"/>
  <c r="X590" i="7"/>
  <c r="W591" i="7"/>
  <c r="X591" i="7"/>
  <c r="W592" i="7"/>
  <c r="X592" i="7"/>
  <c r="W593" i="7"/>
  <c r="X593" i="7"/>
  <c r="W594" i="7"/>
  <c r="X594" i="7"/>
  <c r="W595" i="7"/>
  <c r="X595" i="7"/>
  <c r="W596" i="7"/>
  <c r="X596" i="7"/>
  <c r="W597" i="7"/>
  <c r="X597" i="7"/>
  <c r="W598" i="7"/>
  <c r="X598" i="7"/>
  <c r="W599" i="7"/>
  <c r="X599" i="7"/>
  <c r="W600" i="7"/>
  <c r="X600" i="7"/>
  <c r="W601" i="7"/>
  <c r="X601" i="7"/>
  <c r="W602" i="7"/>
  <c r="X602" i="7"/>
  <c r="W603" i="7"/>
  <c r="X603" i="7"/>
  <c r="W604" i="7"/>
  <c r="X604" i="7"/>
  <c r="W605" i="7"/>
  <c r="X605" i="7"/>
  <c r="W606" i="7"/>
  <c r="X606" i="7"/>
  <c r="W607" i="7"/>
  <c r="X607" i="7"/>
  <c r="W608" i="7"/>
  <c r="X608" i="7"/>
  <c r="W609" i="7"/>
  <c r="X609" i="7"/>
  <c r="W610" i="7"/>
  <c r="X610" i="7"/>
  <c r="W611" i="7"/>
  <c r="X611" i="7"/>
  <c r="W612" i="7"/>
  <c r="X612" i="7"/>
  <c r="W613" i="7"/>
  <c r="X613" i="7"/>
  <c r="W614" i="7"/>
  <c r="X614" i="7"/>
  <c r="W615" i="7"/>
  <c r="X615" i="7"/>
  <c r="W616" i="7"/>
  <c r="X616" i="7"/>
  <c r="W617" i="7"/>
  <c r="X617" i="7"/>
  <c r="W618" i="7"/>
  <c r="X618" i="7"/>
  <c r="W619" i="7"/>
  <c r="X619" i="7"/>
  <c r="W620" i="7"/>
  <c r="X620" i="7"/>
  <c r="W621" i="7"/>
  <c r="X621" i="7"/>
  <c r="W622" i="7"/>
  <c r="X622" i="7"/>
  <c r="W623" i="7"/>
  <c r="X623" i="7"/>
  <c r="W624" i="7"/>
  <c r="X624" i="7"/>
  <c r="W625" i="7"/>
  <c r="X625" i="7"/>
  <c r="W626" i="7"/>
  <c r="X626" i="7"/>
  <c r="Z627" i="7"/>
  <c r="Y627" i="7"/>
  <c r="AA627" i="7"/>
  <c r="W533" i="7"/>
  <c r="X533" i="7"/>
  <c r="W534" i="7"/>
  <c r="X534" i="7"/>
  <c r="W535" i="7"/>
  <c r="X535" i="7"/>
  <c r="W536" i="7"/>
  <c r="X536" i="7"/>
  <c r="W537" i="7"/>
  <c r="X537" i="7"/>
  <c r="W538" i="7"/>
  <c r="X538" i="7"/>
  <c r="W539" i="7"/>
  <c r="X539" i="7"/>
  <c r="W540" i="7"/>
  <c r="X540" i="7"/>
  <c r="W541" i="7"/>
  <c r="X541" i="7"/>
  <c r="W542" i="7"/>
  <c r="X542" i="7"/>
  <c r="W543" i="7"/>
  <c r="X543" i="7"/>
  <c r="W544" i="7"/>
  <c r="X544" i="7"/>
  <c r="W545" i="7"/>
  <c r="X545" i="7"/>
  <c r="W546" i="7"/>
  <c r="X546" i="7"/>
  <c r="W547" i="7"/>
  <c r="X547" i="7"/>
  <c r="W548" i="7"/>
  <c r="X548" i="7"/>
  <c r="W549" i="7"/>
  <c r="X549" i="7"/>
  <c r="W550" i="7"/>
  <c r="X550" i="7"/>
  <c r="W551" i="7"/>
  <c r="X551" i="7"/>
  <c r="W552" i="7"/>
  <c r="X552" i="7"/>
  <c r="W553" i="7"/>
  <c r="X553" i="7"/>
  <c r="W554" i="7"/>
  <c r="X554" i="7"/>
  <c r="W555" i="7"/>
  <c r="X555" i="7"/>
  <c r="W556" i="7"/>
  <c r="X556" i="7"/>
  <c r="W557" i="7"/>
  <c r="X557" i="7"/>
  <c r="W558" i="7"/>
  <c r="X558" i="7"/>
  <c r="W559" i="7"/>
  <c r="X559" i="7"/>
  <c r="W560" i="7"/>
  <c r="X560" i="7"/>
  <c r="W561" i="7"/>
  <c r="X561" i="7"/>
  <c r="W562" i="7"/>
  <c r="X562" i="7"/>
  <c r="W563" i="7"/>
  <c r="X563" i="7"/>
  <c r="W564" i="7"/>
  <c r="X564" i="7"/>
  <c r="W565" i="7"/>
  <c r="X565" i="7"/>
  <c r="W566" i="7"/>
  <c r="X566" i="7"/>
  <c r="W567" i="7"/>
  <c r="X567" i="7"/>
  <c r="W568" i="7"/>
  <c r="X568" i="7"/>
  <c r="W569" i="7"/>
  <c r="X569" i="7"/>
  <c r="Z570" i="7"/>
  <c r="Y570" i="7"/>
  <c r="AA570" i="7"/>
  <c r="W476" i="7"/>
  <c r="X476" i="7"/>
  <c r="W477" i="7"/>
  <c r="X477" i="7"/>
  <c r="W478" i="7"/>
  <c r="X478" i="7"/>
  <c r="W479" i="7"/>
  <c r="X479" i="7"/>
  <c r="W480" i="7"/>
  <c r="X480" i="7"/>
  <c r="W481" i="7"/>
  <c r="X481" i="7"/>
  <c r="W482" i="7"/>
  <c r="X482" i="7"/>
  <c r="W483" i="7"/>
  <c r="X483" i="7"/>
  <c r="W484" i="7"/>
  <c r="X484" i="7"/>
  <c r="W485" i="7"/>
  <c r="X485" i="7"/>
  <c r="W486" i="7"/>
  <c r="X486" i="7"/>
  <c r="W487" i="7"/>
  <c r="X487" i="7"/>
  <c r="W488" i="7"/>
  <c r="X488" i="7"/>
  <c r="W489" i="7"/>
  <c r="X489" i="7"/>
  <c r="W490" i="7"/>
  <c r="X490" i="7"/>
  <c r="W491" i="7"/>
  <c r="X491" i="7"/>
  <c r="W492" i="7"/>
  <c r="X492" i="7"/>
  <c r="W493" i="7"/>
  <c r="X493" i="7"/>
  <c r="W494" i="7"/>
  <c r="X494" i="7"/>
  <c r="W495" i="7"/>
  <c r="X495" i="7"/>
  <c r="W496" i="7"/>
  <c r="X496" i="7"/>
  <c r="W497" i="7"/>
  <c r="X497" i="7"/>
  <c r="W498" i="7"/>
  <c r="X498" i="7"/>
  <c r="W499" i="7"/>
  <c r="X499" i="7"/>
  <c r="W500" i="7"/>
  <c r="X500" i="7"/>
  <c r="W501" i="7"/>
  <c r="X501" i="7"/>
  <c r="W502" i="7"/>
  <c r="X502" i="7"/>
  <c r="W503" i="7"/>
  <c r="X503" i="7"/>
  <c r="W504" i="7"/>
  <c r="X504" i="7"/>
  <c r="W505" i="7"/>
  <c r="X505" i="7"/>
  <c r="W506" i="7"/>
  <c r="X506" i="7"/>
  <c r="W507" i="7"/>
  <c r="X507" i="7"/>
  <c r="W508" i="7"/>
  <c r="X508" i="7"/>
  <c r="W509" i="7"/>
  <c r="X509" i="7"/>
  <c r="W510" i="7"/>
  <c r="X510" i="7"/>
  <c r="W511" i="7"/>
  <c r="X511" i="7"/>
  <c r="W512" i="7"/>
  <c r="X512" i="7"/>
  <c r="Z513" i="7"/>
  <c r="Y513" i="7"/>
  <c r="AA513" i="7"/>
  <c r="U419" i="7"/>
  <c r="W419" i="7"/>
  <c r="X419" i="7"/>
  <c r="U420" i="7"/>
  <c r="W420" i="7"/>
  <c r="X420" i="7"/>
  <c r="U421" i="7"/>
  <c r="W421" i="7"/>
  <c r="X421" i="7"/>
  <c r="U422" i="7"/>
  <c r="W422" i="7"/>
  <c r="X422" i="7"/>
  <c r="U423" i="7"/>
  <c r="W423" i="7"/>
  <c r="X423" i="7"/>
  <c r="U424" i="7"/>
  <c r="W424" i="7"/>
  <c r="X424" i="7"/>
  <c r="U425" i="7"/>
  <c r="W425" i="7"/>
  <c r="X425" i="7"/>
  <c r="U426" i="7"/>
  <c r="W426" i="7"/>
  <c r="X426" i="7"/>
  <c r="U427" i="7"/>
  <c r="W427" i="7"/>
  <c r="X427" i="7"/>
  <c r="U428" i="7"/>
  <c r="W428" i="7"/>
  <c r="X428" i="7"/>
  <c r="U429" i="7"/>
  <c r="W429" i="7"/>
  <c r="X429" i="7"/>
  <c r="U430" i="7"/>
  <c r="W430" i="7"/>
  <c r="X430" i="7"/>
  <c r="U431" i="7"/>
  <c r="W431" i="7"/>
  <c r="X431" i="7"/>
  <c r="U432" i="7"/>
  <c r="W432" i="7"/>
  <c r="X432" i="7"/>
  <c r="U433" i="7"/>
  <c r="W433" i="7"/>
  <c r="X433" i="7"/>
  <c r="U434" i="7"/>
  <c r="W434" i="7"/>
  <c r="X434" i="7"/>
  <c r="U435" i="7"/>
  <c r="W435" i="7"/>
  <c r="X435" i="7"/>
  <c r="U436" i="7"/>
  <c r="W436" i="7"/>
  <c r="X436" i="7"/>
  <c r="U437" i="7"/>
  <c r="W437" i="7"/>
  <c r="X437" i="7"/>
  <c r="U438" i="7"/>
  <c r="W438" i="7"/>
  <c r="X438" i="7"/>
  <c r="U439" i="7"/>
  <c r="W439" i="7"/>
  <c r="X439" i="7"/>
  <c r="U440" i="7"/>
  <c r="W440" i="7"/>
  <c r="X440" i="7"/>
  <c r="U441" i="7"/>
  <c r="W441" i="7"/>
  <c r="X441" i="7"/>
  <c r="U442" i="7"/>
  <c r="W442" i="7"/>
  <c r="X442" i="7"/>
  <c r="U443" i="7"/>
  <c r="W443" i="7"/>
  <c r="X443" i="7"/>
  <c r="U444" i="7"/>
  <c r="W444" i="7"/>
  <c r="X444" i="7"/>
  <c r="U445" i="7"/>
  <c r="W445" i="7"/>
  <c r="X445" i="7"/>
  <c r="U446" i="7"/>
  <c r="W446" i="7"/>
  <c r="X446" i="7"/>
  <c r="U447" i="7"/>
  <c r="W447" i="7"/>
  <c r="X447" i="7"/>
  <c r="U448" i="7"/>
  <c r="W448" i="7"/>
  <c r="X448" i="7"/>
  <c r="U449" i="7"/>
  <c r="W449" i="7"/>
  <c r="X449" i="7"/>
  <c r="U450" i="7"/>
  <c r="W450" i="7"/>
  <c r="X450" i="7"/>
  <c r="U451" i="7"/>
  <c r="W451" i="7"/>
  <c r="X451" i="7"/>
  <c r="U452" i="7"/>
  <c r="W452" i="7"/>
  <c r="X452" i="7"/>
  <c r="U453" i="7"/>
  <c r="W453" i="7"/>
  <c r="X453" i="7"/>
  <c r="U454" i="7"/>
  <c r="W454" i="7"/>
  <c r="X454" i="7"/>
  <c r="U455" i="7"/>
  <c r="W455" i="7"/>
  <c r="X455" i="7"/>
  <c r="Z456" i="7"/>
  <c r="Y456" i="7"/>
  <c r="AA456" i="7"/>
  <c r="U362" i="7"/>
  <c r="W362" i="7"/>
  <c r="X362" i="7"/>
  <c r="U363" i="7"/>
  <c r="W363" i="7"/>
  <c r="X363" i="7"/>
  <c r="U364" i="7"/>
  <c r="W364" i="7"/>
  <c r="X364" i="7"/>
  <c r="U365" i="7"/>
  <c r="W365" i="7"/>
  <c r="X365" i="7"/>
  <c r="U366" i="7"/>
  <c r="W366" i="7"/>
  <c r="X366" i="7"/>
  <c r="U367" i="7"/>
  <c r="W367" i="7"/>
  <c r="X367" i="7"/>
  <c r="U368" i="7"/>
  <c r="W368" i="7"/>
  <c r="X368" i="7"/>
  <c r="U369" i="7"/>
  <c r="W369" i="7"/>
  <c r="X369" i="7"/>
  <c r="U370" i="7"/>
  <c r="W370" i="7"/>
  <c r="X370" i="7"/>
  <c r="U371" i="7"/>
  <c r="W371" i="7"/>
  <c r="X371" i="7"/>
  <c r="U372" i="7"/>
  <c r="W372" i="7"/>
  <c r="X372" i="7"/>
  <c r="U373" i="7"/>
  <c r="W373" i="7"/>
  <c r="X373" i="7"/>
  <c r="U374" i="7"/>
  <c r="W374" i="7"/>
  <c r="X374" i="7"/>
  <c r="U375" i="7"/>
  <c r="W375" i="7"/>
  <c r="X375" i="7"/>
  <c r="U376" i="7"/>
  <c r="W376" i="7"/>
  <c r="X376" i="7"/>
  <c r="U377" i="7"/>
  <c r="W377" i="7"/>
  <c r="X377" i="7"/>
  <c r="U378" i="7"/>
  <c r="W378" i="7"/>
  <c r="X378" i="7"/>
  <c r="U379" i="7"/>
  <c r="W379" i="7"/>
  <c r="X379" i="7"/>
  <c r="U380" i="7"/>
  <c r="W380" i="7"/>
  <c r="X380" i="7"/>
  <c r="U381" i="7"/>
  <c r="W381" i="7"/>
  <c r="X381" i="7"/>
  <c r="U382" i="7"/>
  <c r="W382" i="7"/>
  <c r="X382" i="7"/>
  <c r="U383" i="7"/>
  <c r="W383" i="7"/>
  <c r="X383" i="7"/>
  <c r="U384" i="7"/>
  <c r="W384" i="7"/>
  <c r="X384" i="7"/>
  <c r="U385" i="7"/>
  <c r="W385" i="7"/>
  <c r="X385" i="7"/>
  <c r="U386" i="7"/>
  <c r="W386" i="7"/>
  <c r="X386" i="7"/>
  <c r="U387" i="7"/>
  <c r="W387" i="7"/>
  <c r="X387" i="7"/>
  <c r="U388" i="7"/>
  <c r="W388" i="7"/>
  <c r="X388" i="7"/>
  <c r="U389" i="7"/>
  <c r="W389" i="7"/>
  <c r="X389" i="7"/>
  <c r="U390" i="7"/>
  <c r="W390" i="7"/>
  <c r="X390" i="7"/>
  <c r="U391" i="7"/>
  <c r="W391" i="7"/>
  <c r="X391" i="7"/>
  <c r="U392" i="7"/>
  <c r="W392" i="7"/>
  <c r="X392" i="7"/>
  <c r="U393" i="7"/>
  <c r="W393" i="7"/>
  <c r="X393" i="7"/>
  <c r="U394" i="7"/>
  <c r="W394" i="7"/>
  <c r="X394" i="7"/>
  <c r="U395" i="7"/>
  <c r="W395" i="7"/>
  <c r="X395" i="7"/>
  <c r="U396" i="7"/>
  <c r="W396" i="7"/>
  <c r="X396" i="7"/>
  <c r="U397" i="7"/>
  <c r="W397" i="7"/>
  <c r="X397" i="7"/>
  <c r="U398" i="7"/>
  <c r="W398" i="7"/>
  <c r="X398" i="7"/>
  <c r="Z399" i="7"/>
  <c r="Y399" i="7"/>
  <c r="AA399" i="7"/>
  <c r="U305" i="7"/>
  <c r="W305" i="7"/>
  <c r="X305" i="7"/>
  <c r="U306" i="7"/>
  <c r="W306" i="7"/>
  <c r="X306" i="7"/>
  <c r="U307" i="7"/>
  <c r="W307" i="7"/>
  <c r="X307" i="7"/>
  <c r="U308" i="7"/>
  <c r="W308" i="7"/>
  <c r="X308" i="7"/>
  <c r="U309" i="7"/>
  <c r="W309" i="7"/>
  <c r="X309" i="7"/>
  <c r="U310" i="7"/>
  <c r="W310" i="7"/>
  <c r="X310" i="7"/>
  <c r="U311" i="7"/>
  <c r="W311" i="7"/>
  <c r="X311" i="7"/>
  <c r="U312" i="7"/>
  <c r="W312" i="7"/>
  <c r="X312" i="7"/>
  <c r="U313" i="7"/>
  <c r="W313" i="7"/>
  <c r="X313" i="7"/>
  <c r="U314" i="7"/>
  <c r="W314" i="7"/>
  <c r="X314" i="7"/>
  <c r="U315" i="7"/>
  <c r="W315" i="7"/>
  <c r="X315" i="7"/>
  <c r="U316" i="7"/>
  <c r="W316" i="7"/>
  <c r="X316" i="7"/>
  <c r="U317" i="7"/>
  <c r="W317" i="7"/>
  <c r="X317" i="7"/>
  <c r="U318" i="7"/>
  <c r="W318" i="7"/>
  <c r="X318" i="7"/>
  <c r="U319" i="7"/>
  <c r="W319" i="7"/>
  <c r="X319" i="7"/>
  <c r="U320" i="7"/>
  <c r="W320" i="7"/>
  <c r="X320" i="7"/>
  <c r="U321" i="7"/>
  <c r="W321" i="7"/>
  <c r="X321" i="7"/>
  <c r="U322" i="7"/>
  <c r="W322" i="7"/>
  <c r="X322" i="7"/>
  <c r="U323" i="7"/>
  <c r="W323" i="7"/>
  <c r="X323" i="7"/>
  <c r="U324" i="7"/>
  <c r="W324" i="7"/>
  <c r="X324" i="7"/>
  <c r="U325" i="7"/>
  <c r="W325" i="7"/>
  <c r="X325" i="7"/>
  <c r="U326" i="7"/>
  <c r="W326" i="7"/>
  <c r="X326" i="7"/>
  <c r="U327" i="7"/>
  <c r="W327" i="7"/>
  <c r="X327" i="7"/>
  <c r="U328" i="7"/>
  <c r="W328" i="7"/>
  <c r="X328" i="7"/>
  <c r="U329" i="7"/>
  <c r="W329" i="7"/>
  <c r="X329" i="7"/>
  <c r="U330" i="7"/>
  <c r="W330" i="7"/>
  <c r="X330" i="7"/>
  <c r="U331" i="7"/>
  <c r="W331" i="7"/>
  <c r="X331" i="7"/>
  <c r="U332" i="7"/>
  <c r="W332" i="7"/>
  <c r="X332" i="7"/>
  <c r="U333" i="7"/>
  <c r="W333" i="7"/>
  <c r="X333" i="7"/>
  <c r="U334" i="7"/>
  <c r="W334" i="7"/>
  <c r="X334" i="7"/>
  <c r="U335" i="7"/>
  <c r="W335" i="7"/>
  <c r="X335" i="7"/>
  <c r="U336" i="7"/>
  <c r="W336" i="7"/>
  <c r="X336" i="7"/>
  <c r="U337" i="7"/>
  <c r="W337" i="7"/>
  <c r="X337" i="7"/>
  <c r="U338" i="7"/>
  <c r="W338" i="7"/>
  <c r="X338" i="7"/>
  <c r="U339" i="7"/>
  <c r="W339" i="7"/>
  <c r="X339" i="7"/>
  <c r="U340" i="7"/>
  <c r="W340" i="7"/>
  <c r="X340" i="7"/>
  <c r="U341" i="7"/>
  <c r="W341" i="7"/>
  <c r="X341" i="7"/>
  <c r="Z342" i="7"/>
  <c r="Y342" i="7"/>
  <c r="AA342" i="7"/>
  <c r="U248" i="7"/>
  <c r="W248" i="7"/>
  <c r="X248" i="7"/>
  <c r="U249" i="7"/>
  <c r="W249" i="7"/>
  <c r="X249" i="7"/>
  <c r="U250" i="7"/>
  <c r="W250" i="7"/>
  <c r="X250" i="7"/>
  <c r="U251" i="7"/>
  <c r="W251" i="7"/>
  <c r="X251" i="7"/>
  <c r="U252" i="7"/>
  <c r="W252" i="7"/>
  <c r="X252" i="7"/>
  <c r="U253" i="7"/>
  <c r="W253" i="7"/>
  <c r="X253" i="7"/>
  <c r="U254" i="7"/>
  <c r="W254" i="7"/>
  <c r="X254" i="7"/>
  <c r="U255" i="7"/>
  <c r="W255" i="7"/>
  <c r="X255" i="7"/>
  <c r="U256" i="7"/>
  <c r="W256" i="7"/>
  <c r="X256" i="7"/>
  <c r="U257" i="7"/>
  <c r="W257" i="7"/>
  <c r="X257" i="7"/>
  <c r="U258" i="7"/>
  <c r="W258" i="7"/>
  <c r="X258" i="7"/>
  <c r="U259" i="7"/>
  <c r="W259" i="7"/>
  <c r="X259" i="7"/>
  <c r="U260" i="7"/>
  <c r="W260" i="7"/>
  <c r="X260" i="7"/>
  <c r="U261" i="7"/>
  <c r="W261" i="7"/>
  <c r="X261" i="7"/>
  <c r="U262" i="7"/>
  <c r="W262" i="7"/>
  <c r="X262" i="7"/>
  <c r="U263" i="7"/>
  <c r="W263" i="7"/>
  <c r="X263" i="7"/>
  <c r="U264" i="7"/>
  <c r="W264" i="7"/>
  <c r="X264" i="7"/>
  <c r="U265" i="7"/>
  <c r="W265" i="7"/>
  <c r="X265" i="7"/>
  <c r="U266" i="7"/>
  <c r="W266" i="7"/>
  <c r="X266" i="7"/>
  <c r="U267" i="7"/>
  <c r="W267" i="7"/>
  <c r="X267" i="7"/>
  <c r="U268" i="7"/>
  <c r="W268" i="7"/>
  <c r="X268" i="7"/>
  <c r="U269" i="7"/>
  <c r="W269" i="7"/>
  <c r="X269" i="7"/>
  <c r="U270" i="7"/>
  <c r="W270" i="7"/>
  <c r="X270" i="7"/>
  <c r="U271" i="7"/>
  <c r="W271" i="7"/>
  <c r="X271" i="7"/>
  <c r="U272" i="7"/>
  <c r="W272" i="7"/>
  <c r="X272" i="7"/>
  <c r="U273" i="7"/>
  <c r="W273" i="7"/>
  <c r="X273" i="7"/>
  <c r="U274" i="7"/>
  <c r="W274" i="7"/>
  <c r="X274" i="7"/>
  <c r="U275" i="7"/>
  <c r="W275" i="7"/>
  <c r="X275" i="7"/>
  <c r="U276" i="7"/>
  <c r="W276" i="7"/>
  <c r="X276" i="7"/>
  <c r="U277" i="7"/>
  <c r="W277" i="7"/>
  <c r="X277" i="7"/>
  <c r="U278" i="7"/>
  <c r="W278" i="7"/>
  <c r="X278" i="7"/>
  <c r="U279" i="7"/>
  <c r="W279" i="7"/>
  <c r="X279" i="7"/>
  <c r="U280" i="7"/>
  <c r="W280" i="7"/>
  <c r="X280" i="7"/>
  <c r="U281" i="7"/>
  <c r="W281" i="7"/>
  <c r="X281" i="7"/>
  <c r="U282" i="7"/>
  <c r="W282" i="7"/>
  <c r="X282" i="7"/>
  <c r="U283" i="7"/>
  <c r="W283" i="7"/>
  <c r="X283" i="7"/>
  <c r="U284" i="7"/>
  <c r="W284" i="7"/>
  <c r="X284" i="7"/>
  <c r="Z285" i="7"/>
  <c r="Y285" i="7"/>
  <c r="AA285" i="7"/>
  <c r="U191" i="7"/>
  <c r="W191" i="7"/>
  <c r="X191" i="7"/>
  <c r="U192" i="7"/>
  <c r="W192" i="7"/>
  <c r="X192" i="7"/>
  <c r="U193" i="7"/>
  <c r="W193" i="7"/>
  <c r="X193" i="7"/>
  <c r="U194" i="7"/>
  <c r="W194" i="7"/>
  <c r="X194" i="7"/>
  <c r="U195" i="7"/>
  <c r="W195" i="7"/>
  <c r="X195" i="7"/>
  <c r="U196" i="7"/>
  <c r="W196" i="7"/>
  <c r="X196" i="7"/>
  <c r="U197" i="7"/>
  <c r="W197" i="7"/>
  <c r="X197" i="7"/>
  <c r="U198" i="7"/>
  <c r="W198" i="7"/>
  <c r="X198" i="7"/>
  <c r="U199" i="7"/>
  <c r="W199" i="7"/>
  <c r="X199" i="7"/>
  <c r="U200" i="7"/>
  <c r="W200" i="7"/>
  <c r="X200" i="7"/>
  <c r="U201" i="7"/>
  <c r="W201" i="7"/>
  <c r="X201" i="7"/>
  <c r="U202" i="7"/>
  <c r="W202" i="7"/>
  <c r="X202" i="7"/>
  <c r="U203" i="7"/>
  <c r="W203" i="7"/>
  <c r="X203" i="7"/>
  <c r="U204" i="7"/>
  <c r="W204" i="7"/>
  <c r="X204" i="7"/>
  <c r="U205" i="7"/>
  <c r="W205" i="7"/>
  <c r="X205" i="7"/>
  <c r="U206" i="7"/>
  <c r="W206" i="7"/>
  <c r="X206" i="7"/>
  <c r="U207" i="7"/>
  <c r="W207" i="7"/>
  <c r="X207" i="7"/>
  <c r="U208" i="7"/>
  <c r="W208" i="7"/>
  <c r="X208" i="7"/>
  <c r="U209" i="7"/>
  <c r="W209" i="7"/>
  <c r="X209" i="7"/>
  <c r="U210" i="7"/>
  <c r="W210" i="7"/>
  <c r="X210" i="7"/>
  <c r="U211" i="7"/>
  <c r="W211" i="7"/>
  <c r="X211" i="7"/>
  <c r="U212" i="7"/>
  <c r="W212" i="7"/>
  <c r="X212" i="7"/>
  <c r="U213" i="7"/>
  <c r="W213" i="7"/>
  <c r="X213" i="7"/>
  <c r="U214" i="7"/>
  <c r="W214" i="7"/>
  <c r="X214" i="7"/>
  <c r="U215" i="7"/>
  <c r="W215" i="7"/>
  <c r="X215" i="7"/>
  <c r="U216" i="7"/>
  <c r="W216" i="7"/>
  <c r="X216" i="7"/>
  <c r="U217" i="7"/>
  <c r="W217" i="7"/>
  <c r="X217" i="7"/>
  <c r="U218" i="7"/>
  <c r="W218" i="7"/>
  <c r="X218" i="7"/>
  <c r="U219" i="7"/>
  <c r="W219" i="7"/>
  <c r="X219" i="7"/>
  <c r="U220" i="7"/>
  <c r="W220" i="7"/>
  <c r="X220" i="7"/>
  <c r="U221" i="7"/>
  <c r="W221" i="7"/>
  <c r="X221" i="7"/>
  <c r="U222" i="7"/>
  <c r="W222" i="7"/>
  <c r="X222" i="7"/>
  <c r="U223" i="7"/>
  <c r="W223" i="7"/>
  <c r="X223" i="7"/>
  <c r="U224" i="7"/>
  <c r="W224" i="7"/>
  <c r="X224" i="7"/>
  <c r="U225" i="7"/>
  <c r="W225" i="7"/>
  <c r="X225" i="7"/>
  <c r="U226" i="7"/>
  <c r="W226" i="7"/>
  <c r="X226" i="7"/>
  <c r="U227" i="7"/>
  <c r="W227" i="7"/>
  <c r="X227" i="7"/>
  <c r="Z228" i="7"/>
  <c r="Y228" i="7"/>
  <c r="AA228" i="7"/>
  <c r="U134" i="7"/>
  <c r="W134" i="7"/>
  <c r="X134" i="7"/>
  <c r="U135" i="7"/>
  <c r="W135" i="7"/>
  <c r="X135" i="7"/>
  <c r="U136" i="7"/>
  <c r="W136" i="7"/>
  <c r="X136" i="7"/>
  <c r="U137" i="7"/>
  <c r="W137" i="7"/>
  <c r="X137" i="7"/>
  <c r="U138" i="7"/>
  <c r="W138" i="7"/>
  <c r="X138" i="7"/>
  <c r="U139" i="7"/>
  <c r="W139" i="7"/>
  <c r="X139" i="7"/>
  <c r="U140" i="7"/>
  <c r="W140" i="7"/>
  <c r="X140" i="7"/>
  <c r="U141" i="7"/>
  <c r="W141" i="7"/>
  <c r="X141" i="7"/>
  <c r="U142" i="7"/>
  <c r="W142" i="7"/>
  <c r="X142" i="7"/>
  <c r="U143" i="7"/>
  <c r="W143" i="7"/>
  <c r="X143" i="7"/>
  <c r="U144" i="7"/>
  <c r="W144" i="7"/>
  <c r="X144" i="7"/>
  <c r="U145" i="7"/>
  <c r="W145" i="7"/>
  <c r="X145" i="7"/>
  <c r="U146" i="7"/>
  <c r="W146" i="7"/>
  <c r="X146" i="7"/>
  <c r="U147" i="7"/>
  <c r="W147" i="7"/>
  <c r="X147" i="7"/>
  <c r="U148" i="7"/>
  <c r="W148" i="7"/>
  <c r="X148" i="7"/>
  <c r="U149" i="7"/>
  <c r="W149" i="7"/>
  <c r="X149" i="7"/>
  <c r="U150" i="7"/>
  <c r="W150" i="7"/>
  <c r="X150" i="7"/>
  <c r="U151" i="7"/>
  <c r="W151" i="7"/>
  <c r="X151" i="7"/>
  <c r="U152" i="7"/>
  <c r="W152" i="7"/>
  <c r="X152" i="7"/>
  <c r="U153" i="7"/>
  <c r="W153" i="7"/>
  <c r="X153" i="7"/>
  <c r="U154" i="7"/>
  <c r="W154" i="7"/>
  <c r="X154" i="7"/>
  <c r="U155" i="7"/>
  <c r="W155" i="7"/>
  <c r="X155" i="7"/>
  <c r="U156" i="7"/>
  <c r="W156" i="7"/>
  <c r="X156" i="7"/>
  <c r="U157" i="7"/>
  <c r="W157" i="7"/>
  <c r="X157" i="7"/>
  <c r="U158" i="7"/>
  <c r="W158" i="7"/>
  <c r="X158" i="7"/>
  <c r="U159" i="7"/>
  <c r="W159" i="7"/>
  <c r="X159" i="7"/>
  <c r="U160" i="7"/>
  <c r="W160" i="7"/>
  <c r="X160" i="7"/>
  <c r="U161" i="7"/>
  <c r="W161" i="7"/>
  <c r="X161" i="7"/>
  <c r="U162" i="7"/>
  <c r="W162" i="7"/>
  <c r="X162" i="7"/>
  <c r="U163" i="7"/>
  <c r="W163" i="7"/>
  <c r="X163" i="7"/>
  <c r="U164" i="7"/>
  <c r="W164" i="7"/>
  <c r="X164" i="7"/>
  <c r="U165" i="7"/>
  <c r="W165" i="7"/>
  <c r="X165" i="7"/>
  <c r="U166" i="7"/>
  <c r="W166" i="7"/>
  <c r="X166" i="7"/>
  <c r="U167" i="7"/>
  <c r="W167" i="7"/>
  <c r="X167" i="7"/>
  <c r="U168" i="7"/>
  <c r="W168" i="7"/>
  <c r="X168" i="7"/>
  <c r="U169" i="7"/>
  <c r="W169" i="7"/>
  <c r="X169" i="7"/>
  <c r="U170" i="7"/>
  <c r="W170" i="7"/>
  <c r="X170" i="7"/>
  <c r="Z171" i="7"/>
  <c r="Y171" i="7"/>
  <c r="AA171" i="7"/>
  <c r="U77" i="7"/>
  <c r="W77" i="7"/>
  <c r="X77" i="7"/>
  <c r="U78" i="7"/>
  <c r="W78" i="7"/>
  <c r="X78" i="7"/>
  <c r="U79" i="7"/>
  <c r="W79" i="7"/>
  <c r="X79" i="7"/>
  <c r="U80" i="7"/>
  <c r="W80" i="7"/>
  <c r="X80" i="7"/>
  <c r="U81" i="7"/>
  <c r="W81" i="7"/>
  <c r="X81" i="7"/>
  <c r="U82" i="7"/>
  <c r="W82" i="7"/>
  <c r="X82" i="7"/>
  <c r="U83" i="7"/>
  <c r="W83" i="7"/>
  <c r="X83" i="7"/>
  <c r="U84" i="7"/>
  <c r="W84" i="7"/>
  <c r="X84" i="7"/>
  <c r="U85" i="7"/>
  <c r="W85" i="7"/>
  <c r="X85" i="7"/>
  <c r="U86" i="7"/>
  <c r="W86" i="7"/>
  <c r="X86" i="7"/>
  <c r="U87" i="7"/>
  <c r="W87" i="7"/>
  <c r="X87" i="7"/>
  <c r="U88" i="7"/>
  <c r="W88" i="7"/>
  <c r="X88" i="7"/>
  <c r="U89" i="7"/>
  <c r="W89" i="7"/>
  <c r="X89" i="7"/>
  <c r="U90" i="7"/>
  <c r="W90" i="7"/>
  <c r="X90" i="7"/>
  <c r="U91" i="7"/>
  <c r="W91" i="7"/>
  <c r="X91" i="7"/>
  <c r="U92" i="7"/>
  <c r="W92" i="7"/>
  <c r="X92" i="7"/>
  <c r="U93" i="7"/>
  <c r="W93" i="7"/>
  <c r="X93" i="7"/>
  <c r="U94" i="7"/>
  <c r="W94" i="7"/>
  <c r="X94" i="7"/>
  <c r="U95" i="7"/>
  <c r="W95" i="7"/>
  <c r="X95" i="7"/>
  <c r="U96" i="7"/>
  <c r="W96" i="7"/>
  <c r="X96" i="7"/>
  <c r="U97" i="7"/>
  <c r="W97" i="7"/>
  <c r="X97" i="7"/>
  <c r="U98" i="7"/>
  <c r="W98" i="7"/>
  <c r="X98" i="7"/>
  <c r="U99" i="7"/>
  <c r="W99" i="7"/>
  <c r="X99" i="7"/>
  <c r="U100" i="7"/>
  <c r="W100" i="7"/>
  <c r="X100" i="7"/>
  <c r="U101" i="7"/>
  <c r="W101" i="7"/>
  <c r="X101" i="7"/>
  <c r="U102" i="7"/>
  <c r="W102" i="7"/>
  <c r="X102" i="7"/>
  <c r="U103" i="7"/>
  <c r="W103" i="7"/>
  <c r="X103" i="7"/>
  <c r="U104" i="7"/>
  <c r="W104" i="7"/>
  <c r="X104" i="7"/>
  <c r="U105" i="7"/>
  <c r="W105" i="7"/>
  <c r="X105" i="7"/>
  <c r="U106" i="7"/>
  <c r="W106" i="7"/>
  <c r="X106" i="7"/>
  <c r="U107" i="7"/>
  <c r="W107" i="7"/>
  <c r="X107" i="7"/>
  <c r="U108" i="7"/>
  <c r="W108" i="7"/>
  <c r="X108" i="7"/>
  <c r="U109" i="7"/>
  <c r="W109" i="7"/>
  <c r="X109" i="7"/>
  <c r="U110" i="7"/>
  <c r="W110" i="7"/>
  <c r="X110" i="7"/>
  <c r="U111" i="7"/>
  <c r="W111" i="7"/>
  <c r="X111" i="7"/>
  <c r="U112" i="7"/>
  <c r="W112" i="7"/>
  <c r="X112" i="7"/>
  <c r="U113" i="7"/>
  <c r="W113" i="7"/>
  <c r="X113" i="7"/>
  <c r="Z114" i="7"/>
  <c r="Y114" i="7"/>
  <c r="AA114" i="7"/>
  <c r="U20" i="7"/>
  <c r="W20" i="7"/>
  <c r="X20" i="7"/>
  <c r="U21" i="7"/>
  <c r="W21" i="7"/>
  <c r="X21" i="7"/>
  <c r="U22" i="7"/>
  <c r="W22" i="7"/>
  <c r="X22" i="7"/>
  <c r="U23" i="7"/>
  <c r="W23" i="7"/>
  <c r="X23" i="7"/>
  <c r="U24" i="7"/>
  <c r="W24" i="7"/>
  <c r="X24" i="7"/>
  <c r="U25" i="7"/>
  <c r="W25" i="7"/>
  <c r="X25" i="7"/>
  <c r="U26" i="7"/>
  <c r="W26" i="7"/>
  <c r="X26" i="7"/>
  <c r="U27" i="7"/>
  <c r="W27" i="7"/>
  <c r="X27" i="7"/>
  <c r="U28" i="7"/>
  <c r="W28" i="7"/>
  <c r="X28" i="7"/>
  <c r="U29" i="7"/>
  <c r="W29" i="7"/>
  <c r="X29" i="7"/>
  <c r="U30" i="7"/>
  <c r="W30" i="7"/>
  <c r="X30" i="7"/>
  <c r="U31" i="7"/>
  <c r="W31" i="7"/>
  <c r="X31" i="7"/>
  <c r="U32" i="7"/>
  <c r="W32" i="7"/>
  <c r="X32" i="7"/>
  <c r="U33" i="7"/>
  <c r="W33" i="7"/>
  <c r="X33" i="7"/>
  <c r="U34" i="7"/>
  <c r="W34" i="7"/>
  <c r="X34" i="7"/>
  <c r="U35" i="7"/>
  <c r="W35" i="7"/>
  <c r="X35" i="7"/>
  <c r="U36" i="7"/>
  <c r="W36" i="7"/>
  <c r="X36" i="7"/>
  <c r="U37" i="7"/>
  <c r="W37" i="7"/>
  <c r="X37" i="7"/>
  <c r="U38" i="7"/>
  <c r="W38" i="7"/>
  <c r="X38" i="7"/>
  <c r="U39" i="7"/>
  <c r="W39" i="7"/>
  <c r="X39" i="7"/>
  <c r="U40" i="7"/>
  <c r="W40" i="7"/>
  <c r="X40" i="7"/>
  <c r="U41" i="7"/>
  <c r="W41" i="7"/>
  <c r="X41" i="7"/>
  <c r="U42" i="7"/>
  <c r="W42" i="7"/>
  <c r="X42" i="7"/>
  <c r="U43" i="7"/>
  <c r="W43" i="7"/>
  <c r="X43" i="7"/>
  <c r="U44" i="7"/>
  <c r="W44" i="7"/>
  <c r="X44" i="7"/>
  <c r="U45" i="7"/>
  <c r="W45" i="7"/>
  <c r="X45" i="7"/>
  <c r="U46" i="7"/>
  <c r="W46" i="7"/>
  <c r="X46" i="7"/>
  <c r="U47" i="7"/>
  <c r="W47" i="7"/>
  <c r="X47" i="7"/>
  <c r="U48" i="7"/>
  <c r="W48" i="7"/>
  <c r="X48" i="7"/>
  <c r="U49" i="7"/>
  <c r="W49" i="7"/>
  <c r="X49" i="7"/>
  <c r="U50" i="7"/>
  <c r="W50" i="7"/>
  <c r="X50" i="7"/>
  <c r="U51" i="7"/>
  <c r="W51" i="7"/>
  <c r="X51" i="7"/>
  <c r="U52" i="7"/>
  <c r="W52" i="7"/>
  <c r="X52" i="7"/>
  <c r="U53" i="7"/>
  <c r="W53" i="7"/>
  <c r="X53" i="7"/>
  <c r="U54" i="7"/>
  <c r="W54" i="7"/>
  <c r="X54" i="7"/>
  <c r="U55" i="7"/>
  <c r="W55" i="7"/>
  <c r="X55" i="7"/>
  <c r="U56" i="7"/>
  <c r="W56" i="7"/>
  <c r="X56" i="7"/>
  <c r="Z57" i="7"/>
  <c r="Y57" i="7"/>
  <c r="AA57" i="7"/>
  <c r="D5" i="3"/>
  <c r="D6" i="3"/>
  <c r="D7" i="3"/>
  <c r="D4" i="3"/>
  <c r="I40" i="3"/>
  <c r="AA4" i="12"/>
  <c r="H40" i="3"/>
  <c r="V4" i="12"/>
  <c r="G40" i="3"/>
  <c r="Q4" i="12"/>
  <c r="F40" i="3"/>
  <c r="L4" i="12"/>
  <c r="E40" i="3"/>
  <c r="G4" i="12"/>
  <c r="D40" i="3"/>
  <c r="B4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A5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V5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Q5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L5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G5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B5" i="12"/>
  <c r="AA66" i="3"/>
  <c r="AA67" i="3"/>
  <c r="AB67" i="3"/>
  <c r="AA68" i="3"/>
  <c r="AA69" i="3"/>
  <c r="AA70" i="3"/>
  <c r="AA71" i="3"/>
  <c r="AB66" i="3"/>
  <c r="AB68" i="3"/>
  <c r="AB69" i="3"/>
  <c r="AB70" i="3"/>
  <c r="AB71" i="3"/>
  <c r="AA72" i="3"/>
  <c r="AB72" i="3"/>
  <c r="AA73" i="3"/>
  <c r="AB73" i="3"/>
  <c r="AA74" i="3"/>
  <c r="AB74" i="3"/>
  <c r="AA75" i="3"/>
  <c r="AB75" i="3"/>
  <c r="AA76" i="3"/>
  <c r="AB76" i="3"/>
  <c r="AA77" i="3"/>
  <c r="AB77" i="3"/>
  <c r="AA78" i="3"/>
  <c r="AB78" i="3"/>
  <c r="AA79" i="3"/>
  <c r="AB79" i="3"/>
  <c r="AA80" i="3"/>
  <c r="AB80" i="3"/>
  <c r="AA81" i="3"/>
  <c r="AB81" i="3"/>
  <c r="AA82" i="3"/>
  <c r="AB82" i="3"/>
  <c r="AA83" i="3"/>
  <c r="AB83" i="3"/>
  <c r="AA84" i="3"/>
  <c r="AB84" i="3"/>
  <c r="AA85" i="3"/>
  <c r="AB85" i="3"/>
  <c r="AA86" i="3"/>
  <c r="AB86" i="3"/>
  <c r="AA87" i="3"/>
  <c r="AB87" i="3"/>
  <c r="AA88" i="3"/>
  <c r="AB88" i="3"/>
  <c r="AA89" i="3"/>
  <c r="AB89" i="3"/>
  <c r="AA90" i="3"/>
  <c r="AB90" i="3"/>
  <c r="AA91" i="3"/>
  <c r="AB91" i="3"/>
  <c r="AA92" i="3"/>
  <c r="AB92" i="3"/>
  <c r="AA93" i="3"/>
  <c r="AB93" i="3"/>
  <c r="AA94" i="3"/>
  <c r="AB94" i="3"/>
  <c r="AA95" i="3"/>
  <c r="AB95" i="3"/>
  <c r="AA96" i="3"/>
  <c r="AB96" i="3"/>
  <c r="AA97" i="3"/>
  <c r="AB97" i="3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7" i="12"/>
  <c r="Y66" i="3"/>
  <c r="Y67" i="3"/>
  <c r="Z67" i="3"/>
  <c r="Y68" i="3"/>
  <c r="Y69" i="3"/>
  <c r="Y70" i="3"/>
  <c r="Y71" i="3"/>
  <c r="Z66" i="3"/>
  <c r="Z68" i="3"/>
  <c r="Z69" i="3"/>
  <c r="Z70" i="3"/>
  <c r="Z71" i="3"/>
  <c r="Y72" i="3"/>
  <c r="Z72" i="3"/>
  <c r="Y73" i="3"/>
  <c r="Z73" i="3"/>
  <c r="Y74" i="3"/>
  <c r="Z74" i="3"/>
  <c r="Y75" i="3"/>
  <c r="Z75" i="3"/>
  <c r="Y76" i="3"/>
  <c r="Z76" i="3"/>
  <c r="Y77" i="3"/>
  <c r="Z77" i="3"/>
  <c r="Y78" i="3"/>
  <c r="Z78" i="3"/>
  <c r="Y79" i="3"/>
  <c r="Z79" i="3"/>
  <c r="Y80" i="3"/>
  <c r="Z80" i="3"/>
  <c r="Y81" i="3"/>
  <c r="Z81" i="3"/>
  <c r="Y82" i="3"/>
  <c r="Z82" i="3"/>
  <c r="Y83" i="3"/>
  <c r="Z83" i="3"/>
  <c r="Y84" i="3"/>
  <c r="Z84" i="3"/>
  <c r="Y85" i="3"/>
  <c r="Z85" i="3"/>
  <c r="Y86" i="3"/>
  <c r="Z86" i="3"/>
  <c r="Y87" i="3"/>
  <c r="Z87" i="3"/>
  <c r="Y88" i="3"/>
  <c r="Z88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7" i="12"/>
  <c r="W66" i="3"/>
  <c r="W67" i="3"/>
  <c r="X67" i="3"/>
  <c r="W68" i="3"/>
  <c r="W69" i="3"/>
  <c r="W70" i="3"/>
  <c r="W71" i="3"/>
  <c r="X66" i="3"/>
  <c r="X68" i="3"/>
  <c r="X69" i="3"/>
  <c r="X70" i="3"/>
  <c r="X71" i="3"/>
  <c r="W72" i="3"/>
  <c r="X72" i="3"/>
  <c r="W73" i="3"/>
  <c r="X73" i="3"/>
  <c r="W74" i="3"/>
  <c r="X74" i="3"/>
  <c r="W75" i="3"/>
  <c r="X75" i="3"/>
  <c r="W76" i="3"/>
  <c r="X76" i="3"/>
  <c r="W77" i="3"/>
  <c r="X77" i="3"/>
  <c r="W78" i="3"/>
  <c r="X78" i="3"/>
  <c r="W79" i="3"/>
  <c r="X79" i="3"/>
  <c r="W80" i="3"/>
  <c r="X80" i="3"/>
  <c r="W81" i="3"/>
  <c r="X81" i="3"/>
  <c r="W82" i="3"/>
  <c r="X82" i="3"/>
  <c r="W83" i="3"/>
  <c r="X83" i="3"/>
  <c r="W84" i="3"/>
  <c r="X84" i="3"/>
  <c r="W85" i="3"/>
  <c r="X85" i="3"/>
  <c r="W86" i="3"/>
  <c r="X86" i="3"/>
  <c r="W87" i="3"/>
  <c r="X87" i="3"/>
  <c r="W88" i="3"/>
  <c r="X88" i="3"/>
  <c r="W89" i="3"/>
  <c r="X89" i="3"/>
  <c r="W90" i="3"/>
  <c r="X90" i="3"/>
  <c r="W91" i="3"/>
  <c r="X91" i="3"/>
  <c r="W92" i="3"/>
  <c r="X92" i="3"/>
  <c r="W93" i="3"/>
  <c r="X93" i="3"/>
  <c r="W94" i="3"/>
  <c r="X94" i="3"/>
  <c r="W95" i="3"/>
  <c r="X95" i="3"/>
  <c r="W96" i="3"/>
  <c r="X96" i="3"/>
  <c r="W97" i="3"/>
  <c r="X97" i="3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7" i="12"/>
  <c r="U66" i="3"/>
  <c r="U67" i="3"/>
  <c r="U68" i="3"/>
  <c r="U69" i="3"/>
  <c r="V66" i="3"/>
  <c r="V67" i="3"/>
  <c r="V68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7" i="12"/>
  <c r="S66" i="3"/>
  <c r="S67" i="3"/>
  <c r="S68" i="3"/>
  <c r="S69" i="3"/>
  <c r="T66" i="3"/>
  <c r="T67" i="3"/>
  <c r="T68" i="3"/>
  <c r="T69" i="3"/>
  <c r="S70" i="3"/>
  <c r="T70" i="3"/>
  <c r="S71" i="3"/>
  <c r="T71" i="3"/>
  <c r="S72" i="3"/>
  <c r="T72" i="3"/>
  <c r="S73" i="3"/>
  <c r="T73" i="3"/>
  <c r="S74" i="3"/>
  <c r="T74" i="3"/>
  <c r="S75" i="3"/>
  <c r="T75" i="3"/>
  <c r="S76" i="3"/>
  <c r="T76" i="3"/>
  <c r="S77" i="3"/>
  <c r="T77" i="3"/>
  <c r="S78" i="3"/>
  <c r="T78" i="3"/>
  <c r="S79" i="3"/>
  <c r="T79" i="3"/>
  <c r="S80" i="3"/>
  <c r="T80" i="3"/>
  <c r="S81" i="3"/>
  <c r="T81" i="3"/>
  <c r="S82" i="3"/>
  <c r="T82" i="3"/>
  <c r="S83" i="3"/>
  <c r="T83" i="3"/>
  <c r="S84" i="3"/>
  <c r="T84" i="3"/>
  <c r="S85" i="3"/>
  <c r="T85" i="3"/>
  <c r="S86" i="3"/>
  <c r="T86" i="3"/>
  <c r="S87" i="3"/>
  <c r="T87" i="3"/>
  <c r="S88" i="3"/>
  <c r="T88" i="3"/>
  <c r="S89" i="3"/>
  <c r="T89" i="3"/>
  <c r="S90" i="3"/>
  <c r="T90" i="3"/>
  <c r="S91" i="3"/>
  <c r="T91" i="3"/>
  <c r="S92" i="3"/>
  <c r="T92" i="3"/>
  <c r="S93" i="3"/>
  <c r="T93" i="3"/>
  <c r="S94" i="3"/>
  <c r="T94" i="3"/>
  <c r="S95" i="3"/>
  <c r="T95" i="3"/>
  <c r="S96" i="3"/>
  <c r="T96" i="3"/>
  <c r="S97" i="3"/>
  <c r="T97" i="3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7" i="12"/>
  <c r="Q66" i="3"/>
  <c r="Q67" i="3"/>
  <c r="R67" i="3"/>
  <c r="Q68" i="3"/>
  <c r="Q69" i="3"/>
  <c r="Q70" i="3"/>
  <c r="Q71" i="3"/>
  <c r="R66" i="3"/>
  <c r="R68" i="3"/>
  <c r="R69" i="3"/>
  <c r="R70" i="3"/>
  <c r="R71" i="3"/>
  <c r="Q72" i="3"/>
  <c r="R72" i="3"/>
  <c r="Q73" i="3"/>
  <c r="R73" i="3"/>
  <c r="Q74" i="3"/>
  <c r="R74" i="3"/>
  <c r="Q75" i="3"/>
  <c r="R75" i="3"/>
  <c r="Q76" i="3"/>
  <c r="R76" i="3"/>
  <c r="Q77" i="3"/>
  <c r="R77" i="3"/>
  <c r="Q78" i="3"/>
  <c r="R78" i="3"/>
  <c r="Q79" i="3"/>
  <c r="R79" i="3"/>
  <c r="Q80" i="3"/>
  <c r="R80" i="3"/>
  <c r="Q81" i="3"/>
  <c r="R81" i="3"/>
  <c r="Q82" i="3"/>
  <c r="R82" i="3"/>
  <c r="Q83" i="3"/>
  <c r="R83" i="3"/>
  <c r="Q84" i="3"/>
  <c r="R84" i="3"/>
  <c r="Q85" i="3"/>
  <c r="R85" i="3"/>
  <c r="Q86" i="3"/>
  <c r="R86" i="3"/>
  <c r="Q87" i="3"/>
  <c r="R87" i="3"/>
  <c r="Q88" i="3"/>
  <c r="R88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7" i="12"/>
  <c r="AC67" i="3"/>
  <c r="AA8" i="12"/>
  <c r="AC80" i="3"/>
  <c r="AA9" i="12"/>
  <c r="AC84" i="3"/>
  <c r="AA10" i="12"/>
  <c r="AC90" i="3"/>
  <c r="AA11" i="12"/>
  <c r="AC74" i="3"/>
  <c r="AA12" i="12"/>
  <c r="AC75" i="3"/>
  <c r="AA13" i="12"/>
  <c r="AC69" i="3"/>
  <c r="AA14" i="12"/>
  <c r="AC71" i="3"/>
  <c r="AA15" i="12"/>
  <c r="AC77" i="3"/>
  <c r="AA16" i="12"/>
  <c r="AC79" i="3"/>
  <c r="AA17" i="12"/>
  <c r="AC87" i="3"/>
  <c r="AA18" i="12"/>
  <c r="AC93" i="3"/>
  <c r="AA19" i="12"/>
  <c r="AC95" i="3"/>
  <c r="AA20" i="12"/>
  <c r="AC86" i="3"/>
  <c r="AA21" i="12"/>
  <c r="AC72" i="3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C66" i="3"/>
  <c r="AA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7" i="12"/>
  <c r="AC68" i="3"/>
  <c r="AC70" i="3"/>
  <c r="AC73" i="3"/>
  <c r="AC76" i="3"/>
  <c r="AC78" i="3"/>
  <c r="AC81" i="3"/>
  <c r="AC82" i="3"/>
  <c r="AC83" i="3"/>
  <c r="AC85" i="3"/>
  <c r="AC88" i="3"/>
  <c r="AC89" i="3"/>
  <c r="AC91" i="3"/>
  <c r="AC92" i="3"/>
  <c r="AC94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L8" i="12"/>
  <c r="O98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66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L67" i="3"/>
  <c r="C65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AD17" i="3"/>
  <c r="AD18" i="3"/>
  <c r="AD19" i="3"/>
  <c r="AD20" i="3"/>
  <c r="L72" i="3"/>
  <c r="M72" i="3"/>
  <c r="N72" i="3"/>
  <c r="L73" i="3"/>
  <c r="M73" i="3"/>
  <c r="N73" i="3"/>
  <c r="L74" i="3"/>
  <c r="M74" i="3"/>
  <c r="N74" i="3"/>
  <c r="L75" i="3"/>
  <c r="M75" i="3"/>
  <c r="N75" i="3"/>
  <c r="L76" i="3"/>
  <c r="M76" i="3"/>
  <c r="N76" i="3"/>
  <c r="L77" i="3"/>
  <c r="M77" i="3"/>
  <c r="N77" i="3"/>
  <c r="L78" i="3"/>
  <c r="M78" i="3"/>
  <c r="N78" i="3"/>
  <c r="L79" i="3"/>
  <c r="M79" i="3"/>
  <c r="N79" i="3"/>
  <c r="L80" i="3"/>
  <c r="M80" i="3"/>
  <c r="N80" i="3"/>
  <c r="L81" i="3"/>
  <c r="M81" i="3"/>
  <c r="N81" i="3"/>
  <c r="L82" i="3"/>
  <c r="M82" i="3"/>
  <c r="N82" i="3"/>
  <c r="L83" i="3"/>
  <c r="M83" i="3"/>
  <c r="N83" i="3"/>
  <c r="L84" i="3"/>
  <c r="M84" i="3"/>
  <c r="N84" i="3"/>
  <c r="L85" i="3"/>
  <c r="M85" i="3"/>
  <c r="N85" i="3"/>
  <c r="L86" i="3"/>
  <c r="M86" i="3"/>
  <c r="N86" i="3"/>
  <c r="L87" i="3"/>
  <c r="M87" i="3"/>
  <c r="N87" i="3"/>
  <c r="L88" i="3"/>
  <c r="M88" i="3"/>
  <c r="N88" i="3"/>
  <c r="L89" i="3"/>
  <c r="M89" i="3"/>
  <c r="N89" i="3"/>
  <c r="L90" i="3"/>
  <c r="M90" i="3"/>
  <c r="N90" i="3"/>
  <c r="L91" i="3"/>
  <c r="M91" i="3"/>
  <c r="N91" i="3"/>
  <c r="L92" i="3"/>
  <c r="M92" i="3"/>
  <c r="N92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D65" i="3"/>
  <c r="M99" i="3"/>
  <c r="N99" i="3"/>
  <c r="M100" i="3"/>
  <c r="N100" i="3"/>
  <c r="M101" i="3"/>
  <c r="N101" i="3"/>
  <c r="M102" i="3"/>
  <c r="N102" i="3"/>
  <c r="M103" i="3"/>
  <c r="N103" i="3"/>
  <c r="M104" i="3"/>
  <c r="N104" i="3"/>
  <c r="M105" i="3"/>
  <c r="N105" i="3"/>
  <c r="M106" i="3"/>
  <c r="N106" i="3"/>
  <c r="M107" i="3"/>
  <c r="N107" i="3"/>
  <c r="M108" i="3"/>
  <c r="N108" i="3"/>
  <c r="M109" i="3"/>
  <c r="N109" i="3"/>
  <c r="M110" i="3"/>
  <c r="N110" i="3"/>
  <c r="M111" i="3"/>
  <c r="N111" i="3"/>
  <c r="M112" i="3"/>
  <c r="N112" i="3"/>
  <c r="M113" i="3"/>
  <c r="N113" i="3"/>
  <c r="M114" i="3"/>
  <c r="N114" i="3"/>
  <c r="M115" i="3"/>
  <c r="N115" i="3"/>
  <c r="M116" i="3"/>
  <c r="N116" i="3"/>
  <c r="M117" i="3"/>
  <c r="N117" i="3"/>
  <c r="M118" i="3"/>
  <c r="N118" i="3"/>
  <c r="M119" i="3"/>
  <c r="N119" i="3"/>
  <c r="M120" i="3"/>
  <c r="N120" i="3"/>
  <c r="M121" i="3"/>
  <c r="N121" i="3"/>
  <c r="M122" i="3"/>
  <c r="N122" i="3"/>
  <c r="M123" i="3"/>
  <c r="N123" i="3"/>
  <c r="M124" i="3"/>
  <c r="N124" i="3"/>
  <c r="M125" i="3"/>
  <c r="N125" i="3"/>
  <c r="M126" i="3"/>
  <c r="N126" i="3"/>
  <c r="M127" i="3"/>
  <c r="N127" i="3"/>
  <c r="M128" i="3"/>
  <c r="N128" i="3"/>
  <c r="M129" i="3"/>
  <c r="N129" i="3"/>
  <c r="E65" i="3"/>
  <c r="M131" i="3"/>
  <c r="N131" i="3"/>
  <c r="M132" i="3"/>
  <c r="N132" i="3"/>
  <c r="M133" i="3"/>
  <c r="N133" i="3"/>
  <c r="M134" i="3"/>
  <c r="N134" i="3"/>
  <c r="M135" i="3"/>
  <c r="N135" i="3"/>
  <c r="M136" i="3"/>
  <c r="N136" i="3"/>
  <c r="M137" i="3"/>
  <c r="N137" i="3"/>
  <c r="M138" i="3"/>
  <c r="N138" i="3"/>
  <c r="M139" i="3"/>
  <c r="N139" i="3"/>
  <c r="M140" i="3"/>
  <c r="N140" i="3"/>
  <c r="M141" i="3"/>
  <c r="N141" i="3"/>
  <c r="M142" i="3"/>
  <c r="N142" i="3"/>
  <c r="M143" i="3"/>
  <c r="N143" i="3"/>
  <c r="M144" i="3"/>
  <c r="N144" i="3"/>
  <c r="M145" i="3"/>
  <c r="N145" i="3"/>
  <c r="M146" i="3"/>
  <c r="N146" i="3"/>
  <c r="M147" i="3"/>
  <c r="N147" i="3"/>
  <c r="M148" i="3"/>
  <c r="N148" i="3"/>
  <c r="M149" i="3"/>
  <c r="N149" i="3"/>
  <c r="M150" i="3"/>
  <c r="N150" i="3"/>
  <c r="M151" i="3"/>
  <c r="N151" i="3"/>
  <c r="M152" i="3"/>
  <c r="N152" i="3"/>
  <c r="M153" i="3"/>
  <c r="N153" i="3"/>
  <c r="M154" i="3"/>
  <c r="N154" i="3"/>
  <c r="M155" i="3"/>
  <c r="N155" i="3"/>
  <c r="M156" i="3"/>
  <c r="N156" i="3"/>
  <c r="M157" i="3"/>
  <c r="N157" i="3"/>
  <c r="M158" i="3"/>
  <c r="N158" i="3"/>
  <c r="M159" i="3"/>
  <c r="N159" i="3"/>
  <c r="M160" i="3"/>
  <c r="N160" i="3"/>
  <c r="M161" i="3"/>
  <c r="N161" i="3"/>
  <c r="L66" i="3"/>
  <c r="F65" i="3"/>
  <c r="M162" i="3"/>
  <c r="N162" i="3"/>
  <c r="M163" i="3"/>
  <c r="N163" i="3"/>
  <c r="M164" i="3"/>
  <c r="N164" i="3"/>
  <c r="M165" i="3"/>
  <c r="N165" i="3"/>
  <c r="M166" i="3"/>
  <c r="N166" i="3"/>
  <c r="M167" i="3"/>
  <c r="N167" i="3"/>
  <c r="M168" i="3"/>
  <c r="N168" i="3"/>
  <c r="M169" i="3"/>
  <c r="N169" i="3"/>
  <c r="M170" i="3"/>
  <c r="N170" i="3"/>
  <c r="M171" i="3"/>
  <c r="N171" i="3"/>
  <c r="M172" i="3"/>
  <c r="N172" i="3"/>
  <c r="M173" i="3"/>
  <c r="N173" i="3"/>
  <c r="M174" i="3"/>
  <c r="N174" i="3"/>
  <c r="M175" i="3"/>
  <c r="N175" i="3"/>
  <c r="M176" i="3"/>
  <c r="N176" i="3"/>
  <c r="M177" i="3"/>
  <c r="N177" i="3"/>
  <c r="M178" i="3"/>
  <c r="N178" i="3"/>
  <c r="M179" i="3"/>
  <c r="N179" i="3"/>
  <c r="M180" i="3"/>
  <c r="N180" i="3"/>
  <c r="M181" i="3"/>
  <c r="N181" i="3"/>
  <c r="M182" i="3"/>
  <c r="N182" i="3"/>
  <c r="M183" i="3"/>
  <c r="N183" i="3"/>
  <c r="M184" i="3"/>
  <c r="N184" i="3"/>
  <c r="M185" i="3"/>
  <c r="N185" i="3"/>
  <c r="M186" i="3"/>
  <c r="N186" i="3"/>
  <c r="M187" i="3"/>
  <c r="N187" i="3"/>
  <c r="M188" i="3"/>
  <c r="N188" i="3"/>
  <c r="M189" i="3"/>
  <c r="N189" i="3"/>
  <c r="M190" i="3"/>
  <c r="N190" i="3"/>
  <c r="M191" i="3"/>
  <c r="N191" i="3"/>
  <c r="M192" i="3"/>
  <c r="N192" i="3"/>
  <c r="M193" i="3"/>
  <c r="N193" i="3"/>
  <c r="G65" i="3"/>
  <c r="M194" i="3"/>
  <c r="N194" i="3"/>
  <c r="M195" i="3"/>
  <c r="N195" i="3"/>
  <c r="M196" i="3"/>
  <c r="N196" i="3"/>
  <c r="M197" i="3"/>
  <c r="N197" i="3"/>
  <c r="M198" i="3"/>
  <c r="N198" i="3"/>
  <c r="M199" i="3"/>
  <c r="N199" i="3"/>
  <c r="M200" i="3"/>
  <c r="N200" i="3"/>
  <c r="M201" i="3"/>
  <c r="N201" i="3"/>
  <c r="M202" i="3"/>
  <c r="N202" i="3"/>
  <c r="M203" i="3"/>
  <c r="N203" i="3"/>
  <c r="M204" i="3"/>
  <c r="N204" i="3"/>
  <c r="M205" i="3"/>
  <c r="N205" i="3"/>
  <c r="M206" i="3"/>
  <c r="N206" i="3"/>
  <c r="M207" i="3"/>
  <c r="N207" i="3"/>
  <c r="M208" i="3"/>
  <c r="N208" i="3"/>
  <c r="M209" i="3"/>
  <c r="N209" i="3"/>
  <c r="M210" i="3"/>
  <c r="N210" i="3"/>
  <c r="M211" i="3"/>
  <c r="N211" i="3"/>
  <c r="M212" i="3"/>
  <c r="N212" i="3"/>
  <c r="M213" i="3"/>
  <c r="N213" i="3"/>
  <c r="M214" i="3"/>
  <c r="N214" i="3"/>
  <c r="M215" i="3"/>
  <c r="N215" i="3"/>
  <c r="M216" i="3"/>
  <c r="N216" i="3"/>
  <c r="M217" i="3"/>
  <c r="N217" i="3"/>
  <c r="M218" i="3"/>
  <c r="N218" i="3"/>
  <c r="M219" i="3"/>
  <c r="N219" i="3"/>
  <c r="M220" i="3"/>
  <c r="N220" i="3"/>
  <c r="M221" i="3"/>
  <c r="N221" i="3"/>
  <c r="M222" i="3"/>
  <c r="N222" i="3"/>
  <c r="M223" i="3"/>
  <c r="N223" i="3"/>
  <c r="M224" i="3"/>
  <c r="N224" i="3"/>
  <c r="M225" i="3"/>
  <c r="N225" i="3"/>
  <c r="H65" i="3"/>
  <c r="M226" i="3"/>
  <c r="N226" i="3"/>
  <c r="M227" i="3"/>
  <c r="N227" i="3"/>
  <c r="M228" i="3"/>
  <c r="N228" i="3"/>
  <c r="M229" i="3"/>
  <c r="N229" i="3"/>
  <c r="M230" i="3"/>
  <c r="N230" i="3"/>
  <c r="M231" i="3"/>
  <c r="N231" i="3"/>
  <c r="M232" i="3"/>
  <c r="N232" i="3"/>
  <c r="M233" i="3"/>
  <c r="N233" i="3"/>
  <c r="M234" i="3"/>
  <c r="N234" i="3"/>
  <c r="M235" i="3"/>
  <c r="N235" i="3"/>
  <c r="M236" i="3"/>
  <c r="N236" i="3"/>
  <c r="M237" i="3"/>
  <c r="N237" i="3"/>
  <c r="M238" i="3"/>
  <c r="N238" i="3"/>
  <c r="M239" i="3"/>
  <c r="N239" i="3"/>
  <c r="M240" i="3"/>
  <c r="N240" i="3"/>
  <c r="M241" i="3"/>
  <c r="N241" i="3"/>
  <c r="M242" i="3"/>
  <c r="N242" i="3"/>
  <c r="M243" i="3"/>
  <c r="N243" i="3"/>
  <c r="M244" i="3"/>
  <c r="N244" i="3"/>
  <c r="M245" i="3"/>
  <c r="N245" i="3"/>
  <c r="M246" i="3"/>
  <c r="N246" i="3"/>
  <c r="M247" i="3"/>
  <c r="N247" i="3"/>
  <c r="M248" i="3"/>
  <c r="N248" i="3"/>
  <c r="M249" i="3"/>
  <c r="N249" i="3"/>
  <c r="M250" i="3"/>
  <c r="N250" i="3"/>
  <c r="M251" i="3"/>
  <c r="N251" i="3"/>
  <c r="M252" i="3"/>
  <c r="N252" i="3"/>
  <c r="M253" i="3"/>
  <c r="N253" i="3"/>
  <c r="M254" i="3"/>
  <c r="N254" i="3"/>
  <c r="M255" i="3"/>
  <c r="N255" i="3"/>
  <c r="M256" i="3"/>
  <c r="N256" i="3"/>
  <c r="M257" i="3"/>
  <c r="N257" i="3"/>
  <c r="M66" i="3"/>
  <c r="N66" i="3"/>
  <c r="Y862" i="7"/>
  <c r="Y805" i="7"/>
  <c r="Y748" i="7"/>
  <c r="Y691" i="7"/>
  <c r="Y634" i="7"/>
  <c r="Y577" i="7"/>
  <c r="Y520" i="7"/>
  <c r="Y463" i="7"/>
  <c r="Y406" i="7"/>
  <c r="Y349" i="7"/>
  <c r="Y292" i="7"/>
  <c r="Y235" i="7"/>
  <c r="Y178" i="7"/>
  <c r="Y121" i="7"/>
  <c r="Y64" i="7"/>
  <c r="L7" i="12"/>
  <c r="L35" i="12"/>
  <c r="L33" i="12"/>
  <c r="L31" i="12"/>
  <c r="L29" i="12"/>
  <c r="L27" i="12"/>
  <c r="L25" i="12"/>
  <c r="L23" i="12"/>
  <c r="L21" i="12"/>
  <c r="L19" i="12"/>
  <c r="L17" i="12"/>
  <c r="L15" i="12"/>
  <c r="L13" i="12"/>
  <c r="L11" i="12"/>
  <c r="L9" i="12"/>
  <c r="L36" i="12"/>
  <c r="L34" i="12"/>
  <c r="L32" i="12"/>
  <c r="L30" i="12"/>
  <c r="L28" i="12"/>
  <c r="L26" i="12"/>
  <c r="L24" i="12"/>
  <c r="L22" i="12"/>
  <c r="L20" i="12"/>
  <c r="L18" i="12"/>
  <c r="L16" i="12"/>
  <c r="L14" i="12"/>
  <c r="L12" i="12"/>
  <c r="L10" i="12"/>
  <c r="L99" i="3"/>
  <c r="CA36" i="7"/>
  <c r="CB36" i="7"/>
  <c r="L100" i="3"/>
  <c r="CA37" i="7"/>
  <c r="CB37" i="7"/>
  <c r="L102" i="3"/>
  <c r="CA39" i="7"/>
  <c r="CB39" i="7"/>
  <c r="L105" i="3"/>
  <c r="CA42" i="7"/>
  <c r="CB42" i="7"/>
  <c r="L107" i="3"/>
  <c r="CA44" i="7"/>
  <c r="L108" i="3"/>
  <c r="CA45" i="7"/>
  <c r="CB45" i="7"/>
  <c r="L110" i="3"/>
  <c r="CA47" i="7"/>
  <c r="CB47" i="7"/>
  <c r="L111" i="3"/>
  <c r="CA48" i="7"/>
  <c r="L113" i="3"/>
  <c r="CA50" i="7"/>
  <c r="CB50" i="7"/>
  <c r="L114" i="3"/>
  <c r="CA51" i="7"/>
  <c r="CB51" i="7"/>
  <c r="L115" i="3"/>
  <c r="CA52" i="7"/>
  <c r="CB52" i="7"/>
  <c r="L117" i="3"/>
  <c r="CA54" i="7"/>
  <c r="CB54" i="7"/>
  <c r="L120" i="3"/>
  <c r="CA57" i="7"/>
  <c r="CB57" i="7"/>
  <c r="L121" i="3"/>
  <c r="CA58" i="7"/>
  <c r="CB58" i="7"/>
  <c r="L123" i="3"/>
  <c r="CA60" i="7"/>
  <c r="CB60" i="7"/>
  <c r="L124" i="3"/>
  <c r="CA61" i="7"/>
  <c r="CB61" i="7"/>
  <c r="L126" i="3"/>
  <c r="CA63" i="7"/>
  <c r="CB63" i="7"/>
  <c r="L128" i="3"/>
  <c r="CA65" i="7"/>
  <c r="CB65" i="7"/>
  <c r="L129" i="3"/>
  <c r="CA66" i="7"/>
  <c r="CB66" i="7"/>
  <c r="L131" i="3"/>
  <c r="CA68" i="7"/>
  <c r="CB68" i="7"/>
  <c r="L132" i="3"/>
  <c r="CA69" i="7"/>
  <c r="CB69" i="7"/>
  <c r="L134" i="3"/>
  <c r="CA71" i="7"/>
  <c r="CB71" i="7"/>
  <c r="L137" i="3"/>
  <c r="CA74" i="7"/>
  <c r="CB74" i="7"/>
  <c r="L140" i="3"/>
  <c r="CA77" i="7"/>
  <c r="CB77" i="7"/>
  <c r="L142" i="3"/>
  <c r="CA79" i="7"/>
  <c r="CB79" i="7"/>
  <c r="L145" i="3"/>
  <c r="CA82" i="7"/>
  <c r="CB82" i="7"/>
  <c r="L146" i="3"/>
  <c r="CA83" i="7"/>
  <c r="CB83" i="7"/>
  <c r="L147" i="3"/>
  <c r="CA84" i="7"/>
  <c r="CB84" i="7"/>
  <c r="L149" i="3"/>
  <c r="CA86" i="7"/>
  <c r="CB86" i="7"/>
  <c r="L152" i="3"/>
  <c r="CA89" i="7"/>
  <c r="CB89" i="7"/>
  <c r="L153" i="3"/>
  <c r="CA90" i="7"/>
  <c r="CB90" i="7"/>
  <c r="L155" i="3"/>
  <c r="CA92" i="7"/>
  <c r="CB92" i="7"/>
  <c r="L156" i="3"/>
  <c r="CA93" i="7"/>
  <c r="CB93" i="7"/>
  <c r="L158" i="3"/>
  <c r="CA95" i="7"/>
  <c r="CB95" i="7"/>
  <c r="L160" i="3"/>
  <c r="CA97" i="7"/>
  <c r="CB97" i="7"/>
  <c r="L161" i="3"/>
  <c r="CA98" i="7"/>
  <c r="CB98" i="7"/>
  <c r="L162" i="3"/>
  <c r="CA99" i="7"/>
  <c r="CB99" i="7"/>
  <c r="L163" i="3"/>
  <c r="CA100" i="7"/>
  <c r="CB100" i="7"/>
  <c r="L164" i="3"/>
  <c r="CA101" i="7"/>
  <c r="CB101" i="7"/>
  <c r="L166" i="3"/>
  <c r="CA103" i="7"/>
  <c r="CB103" i="7"/>
  <c r="L169" i="3"/>
  <c r="CA106" i="7"/>
  <c r="CB106" i="7"/>
  <c r="L171" i="3"/>
  <c r="CA108" i="7"/>
  <c r="L172" i="3"/>
  <c r="CA109" i="7"/>
  <c r="CB109" i="7"/>
  <c r="L174" i="3"/>
  <c r="CA111" i="7"/>
  <c r="CB111" i="7"/>
  <c r="L177" i="3"/>
  <c r="CA114" i="7"/>
  <c r="CB114" i="7"/>
  <c r="L178" i="3"/>
  <c r="CA115" i="7"/>
  <c r="CB115" i="7"/>
  <c r="L179" i="3"/>
  <c r="CA116" i="7"/>
  <c r="CB116" i="7"/>
  <c r="L181" i="3"/>
  <c r="CA118" i="7"/>
  <c r="CB118" i="7"/>
  <c r="L184" i="3"/>
  <c r="CA121" i="7"/>
  <c r="CB121" i="7"/>
  <c r="L185" i="3"/>
  <c r="CA122" i="7"/>
  <c r="CB122" i="7"/>
  <c r="L187" i="3"/>
  <c r="CA124" i="7"/>
  <c r="CB124" i="7"/>
  <c r="L188" i="3"/>
  <c r="CA125" i="7"/>
  <c r="CB125" i="7"/>
  <c r="L190" i="3"/>
  <c r="CA127" i="7"/>
  <c r="CB127" i="7"/>
  <c r="L192" i="3"/>
  <c r="CA129" i="7"/>
  <c r="CB129" i="7"/>
  <c r="L193" i="3"/>
  <c r="CA130" i="7"/>
  <c r="CB130" i="7"/>
  <c r="L194" i="3"/>
  <c r="CA131" i="7"/>
  <c r="CB131" i="7"/>
  <c r="L195" i="3"/>
  <c r="CA132" i="7"/>
  <c r="CB132" i="7"/>
  <c r="L196" i="3"/>
  <c r="CA133" i="7"/>
  <c r="CB133" i="7"/>
  <c r="L198" i="3"/>
  <c r="CA135" i="7"/>
  <c r="CB135" i="7"/>
  <c r="L201" i="3"/>
  <c r="CA138" i="7"/>
  <c r="CB138" i="7"/>
  <c r="L204" i="3"/>
  <c r="CA141" i="7"/>
  <c r="CB141" i="7"/>
  <c r="L206" i="3"/>
  <c r="CA143" i="7"/>
  <c r="CB143" i="7"/>
  <c r="L207" i="3"/>
  <c r="CA144" i="7"/>
  <c r="L209" i="3"/>
  <c r="CA146" i="7"/>
  <c r="CB146" i="7"/>
  <c r="L210" i="3"/>
  <c r="CA147" i="7"/>
  <c r="CB147" i="7"/>
  <c r="L211" i="3"/>
  <c r="CA148" i="7"/>
  <c r="CB148" i="7"/>
  <c r="L213" i="3"/>
  <c r="CA150" i="7"/>
  <c r="CB150" i="7"/>
  <c r="L216" i="3"/>
  <c r="CA153" i="7"/>
  <c r="CB153" i="7"/>
  <c r="L217" i="3"/>
  <c r="CA154" i="7"/>
  <c r="CB154" i="7"/>
  <c r="L219" i="3"/>
  <c r="CA156" i="7"/>
  <c r="CB156" i="7"/>
  <c r="L220" i="3"/>
  <c r="CA157" i="7"/>
  <c r="CB157" i="7"/>
  <c r="L222" i="3"/>
  <c r="CA159" i="7"/>
  <c r="CB159" i="7"/>
  <c r="L224" i="3"/>
  <c r="CA161" i="7"/>
  <c r="CB161" i="7"/>
  <c r="L225" i="3"/>
  <c r="CA162" i="7"/>
  <c r="CB162" i="7"/>
  <c r="L226" i="3"/>
  <c r="CA163" i="7"/>
  <c r="CB163" i="7"/>
  <c r="L227" i="3"/>
  <c r="CA164" i="7"/>
  <c r="CB164" i="7"/>
  <c r="L228" i="3"/>
  <c r="CA165" i="7"/>
  <c r="CB165" i="7"/>
  <c r="L230" i="3"/>
  <c r="CA167" i="7"/>
  <c r="CB167" i="7"/>
  <c r="L233" i="3"/>
  <c r="CA170" i="7"/>
  <c r="CB170" i="7"/>
  <c r="L235" i="3"/>
  <c r="CA172" i="7"/>
  <c r="L236" i="3"/>
  <c r="CA173" i="7"/>
  <c r="CB173" i="7"/>
  <c r="L238" i="3"/>
  <c r="CA175" i="7"/>
  <c r="CB175" i="7"/>
  <c r="L239" i="3"/>
  <c r="CA176" i="7"/>
  <c r="L241" i="3"/>
  <c r="CA178" i="7"/>
  <c r="CB178" i="7"/>
  <c r="L242" i="3"/>
  <c r="CA179" i="7"/>
  <c r="CB179" i="7"/>
  <c r="L243" i="3"/>
  <c r="CA180" i="7"/>
  <c r="CB180" i="7"/>
  <c r="L245" i="3"/>
  <c r="CA182" i="7"/>
  <c r="CB182" i="7"/>
  <c r="L248" i="3"/>
  <c r="CA185" i="7"/>
  <c r="CB185" i="7"/>
  <c r="L249" i="3"/>
  <c r="CA186" i="7"/>
  <c r="CB186" i="7"/>
  <c r="L251" i="3"/>
  <c r="CA188" i="7"/>
  <c r="CB188" i="7"/>
  <c r="L252" i="3"/>
  <c r="CA189" i="7"/>
  <c r="CB189" i="7"/>
  <c r="L254" i="3"/>
  <c r="CA191" i="7"/>
  <c r="CB191" i="7"/>
  <c r="L256" i="3"/>
  <c r="CA193" i="7"/>
  <c r="CB193" i="7"/>
  <c r="L257" i="3"/>
  <c r="CA194" i="7"/>
  <c r="CB194" i="7"/>
  <c r="CA195" i="7"/>
  <c r="CB195" i="7"/>
  <c r="CA196" i="7"/>
  <c r="CB196" i="7"/>
  <c r="CA197" i="7"/>
  <c r="CB197" i="7"/>
  <c r="CA198" i="7"/>
  <c r="CB198" i="7"/>
  <c r="CA199" i="7"/>
  <c r="CB199" i="7"/>
  <c r="CA200" i="7"/>
  <c r="CB200" i="7"/>
  <c r="CA201" i="7"/>
  <c r="CB201" i="7"/>
  <c r="CA202" i="7"/>
  <c r="CB202" i="7"/>
  <c r="CA203" i="7"/>
  <c r="CB203" i="7"/>
  <c r="CA204" i="7"/>
  <c r="CB204" i="7"/>
  <c r="CA205" i="7"/>
  <c r="CB205" i="7"/>
  <c r="CA206" i="7"/>
  <c r="CB206" i="7"/>
  <c r="CA207" i="7"/>
  <c r="CB207" i="7"/>
  <c r="CA208" i="7"/>
  <c r="CB208" i="7"/>
  <c r="CA209" i="7"/>
  <c r="CB209" i="7"/>
  <c r="CA210" i="7"/>
  <c r="CB210" i="7"/>
  <c r="CA211" i="7"/>
  <c r="CB211" i="7"/>
  <c r="CA212" i="7"/>
  <c r="CB212" i="7"/>
  <c r="CA213" i="7"/>
  <c r="CB213" i="7"/>
  <c r="CA214" i="7"/>
  <c r="CB214" i="7"/>
  <c r="CA215" i="7"/>
  <c r="CB215" i="7"/>
  <c r="CA216" i="7"/>
  <c r="CB216" i="7"/>
  <c r="CA217" i="7"/>
  <c r="CB217" i="7"/>
  <c r="CA218" i="7"/>
  <c r="CB218" i="7"/>
  <c r="CA219" i="7"/>
  <c r="CB219" i="7"/>
  <c r="CA220" i="7"/>
  <c r="CB220" i="7"/>
  <c r="CA221" i="7"/>
  <c r="CB221" i="7"/>
  <c r="CA222" i="7"/>
  <c r="CB222" i="7"/>
  <c r="CA223" i="7"/>
  <c r="CB223" i="7"/>
  <c r="CA224" i="7"/>
  <c r="CB224" i="7"/>
  <c r="CA225" i="7"/>
  <c r="CB225" i="7"/>
  <c r="CA226" i="7"/>
  <c r="CB226" i="7"/>
  <c r="CA227" i="7"/>
  <c r="CB227" i="7"/>
  <c r="CA228" i="7"/>
  <c r="CB228" i="7"/>
  <c r="CA229" i="7"/>
  <c r="CB229" i="7"/>
  <c r="CA230" i="7"/>
  <c r="CB230" i="7"/>
  <c r="CA231" i="7"/>
  <c r="CB231" i="7"/>
  <c r="CA232" i="7"/>
  <c r="CB232" i="7"/>
  <c r="CA233" i="7"/>
  <c r="CB233" i="7"/>
  <c r="CA234" i="7"/>
  <c r="CB234" i="7"/>
  <c r="CA235" i="7"/>
  <c r="CB235" i="7"/>
  <c r="CA236" i="7"/>
  <c r="CB236" i="7"/>
  <c r="CA237" i="7"/>
  <c r="CB237" i="7"/>
  <c r="CA238" i="7"/>
  <c r="CB238" i="7"/>
  <c r="CA239" i="7"/>
  <c r="CB239" i="7"/>
  <c r="CA240" i="7"/>
  <c r="CB240" i="7"/>
  <c r="CA241" i="7"/>
  <c r="CB241" i="7"/>
  <c r="CA242" i="7"/>
  <c r="CB242" i="7"/>
  <c r="CA243" i="7"/>
  <c r="CB243" i="7"/>
  <c r="CA244" i="7"/>
  <c r="CB244" i="7"/>
  <c r="CA245" i="7"/>
  <c r="CB245" i="7"/>
  <c r="CA246" i="7"/>
  <c r="CB246" i="7"/>
  <c r="CA247" i="7"/>
  <c r="CB247" i="7"/>
  <c r="CA248" i="7"/>
  <c r="CB248" i="7"/>
  <c r="CA249" i="7"/>
  <c r="CB249" i="7"/>
  <c r="CA250" i="7"/>
  <c r="CB250" i="7"/>
  <c r="CA251" i="7"/>
  <c r="CB251" i="7"/>
  <c r="CA252" i="7"/>
  <c r="CB252" i="7"/>
  <c r="CA253" i="7"/>
  <c r="CB253" i="7"/>
  <c r="CA254" i="7"/>
  <c r="CB254" i="7"/>
  <c r="CA255" i="7"/>
  <c r="CB255" i="7"/>
  <c r="CA256" i="7"/>
  <c r="CB256" i="7"/>
  <c r="CA257" i="7"/>
  <c r="CB257" i="7"/>
  <c r="CA258" i="7"/>
  <c r="CB258" i="7"/>
  <c r="CA259" i="7"/>
  <c r="CB259" i="7"/>
  <c r="CA260" i="7"/>
  <c r="CB260" i="7"/>
  <c r="CA261" i="7"/>
  <c r="CB261" i="7"/>
  <c r="CA262" i="7"/>
  <c r="CB262" i="7"/>
  <c r="CA263" i="7"/>
  <c r="CB263" i="7"/>
  <c r="CA264" i="7"/>
  <c r="CB264" i="7"/>
  <c r="CA265" i="7"/>
  <c r="CB265" i="7"/>
  <c r="CA266" i="7"/>
  <c r="CB266" i="7"/>
  <c r="CA267" i="7"/>
  <c r="CB267" i="7"/>
  <c r="CA268" i="7"/>
  <c r="CB268" i="7"/>
  <c r="CA269" i="7"/>
  <c r="CB269" i="7"/>
  <c r="CA270" i="7"/>
  <c r="CB270" i="7"/>
  <c r="CA271" i="7"/>
  <c r="CB271" i="7"/>
  <c r="CA272" i="7"/>
  <c r="CB272" i="7"/>
  <c r="CA273" i="7"/>
  <c r="CB273" i="7"/>
  <c r="CA274" i="7"/>
  <c r="CB274" i="7"/>
  <c r="CA275" i="7"/>
  <c r="CB275" i="7"/>
  <c r="CA276" i="7"/>
  <c r="CB276" i="7"/>
  <c r="CA277" i="7"/>
  <c r="CB277" i="7"/>
  <c r="CA278" i="7"/>
  <c r="CB278" i="7"/>
  <c r="CA279" i="7"/>
  <c r="CB279" i="7"/>
  <c r="CA280" i="7"/>
  <c r="CB280" i="7"/>
  <c r="CA281" i="7"/>
  <c r="CB281" i="7"/>
  <c r="CA282" i="7"/>
  <c r="CB282" i="7"/>
  <c r="CA283" i="7"/>
  <c r="CB283" i="7"/>
  <c r="CA284" i="7"/>
  <c r="CB284" i="7"/>
  <c r="CA285" i="7"/>
  <c r="CB285" i="7"/>
  <c r="CA286" i="7"/>
  <c r="CB286" i="7"/>
  <c r="CA287" i="7"/>
  <c r="CB287" i="7"/>
  <c r="CA288" i="7"/>
  <c r="CB288" i="7"/>
  <c r="CA289" i="7"/>
  <c r="CB289" i="7"/>
  <c r="CA290" i="7"/>
  <c r="CB290" i="7"/>
  <c r="CA291" i="7"/>
  <c r="CB291" i="7"/>
  <c r="CA292" i="7"/>
  <c r="CB292" i="7"/>
  <c r="CA293" i="7"/>
  <c r="CB293" i="7"/>
  <c r="CA294" i="7"/>
  <c r="CB294" i="7"/>
  <c r="CA295" i="7"/>
  <c r="CB295" i="7"/>
  <c r="CA296" i="7"/>
  <c r="CB296" i="7"/>
  <c r="CA297" i="7"/>
  <c r="CB297" i="7"/>
  <c r="CA298" i="7"/>
  <c r="CB298" i="7"/>
  <c r="CA299" i="7"/>
  <c r="CB299" i="7"/>
  <c r="CA300" i="7"/>
  <c r="CB300" i="7"/>
  <c r="CA301" i="7"/>
  <c r="CB301" i="7"/>
  <c r="CA302" i="7"/>
  <c r="CB302" i="7"/>
  <c r="CA303" i="7"/>
  <c r="CB303" i="7"/>
  <c r="CA304" i="7"/>
  <c r="CB304" i="7"/>
  <c r="CA305" i="7"/>
  <c r="CB305" i="7"/>
  <c r="L229" i="3"/>
  <c r="CA166" i="7"/>
  <c r="L231" i="3"/>
  <c r="CA168" i="7"/>
  <c r="L232" i="3"/>
  <c r="CA169" i="7"/>
  <c r="L234" i="3"/>
  <c r="CA171" i="7"/>
  <c r="L237" i="3"/>
  <c r="CA174" i="7"/>
  <c r="L240" i="3"/>
  <c r="CA177" i="7"/>
  <c r="L244" i="3"/>
  <c r="CA181" i="7"/>
  <c r="L246" i="3"/>
  <c r="CA183" i="7"/>
  <c r="L247" i="3"/>
  <c r="CA184" i="7"/>
  <c r="L250" i="3"/>
  <c r="CA187" i="7"/>
  <c r="L253" i="3"/>
  <c r="CA190" i="7"/>
  <c r="L255" i="3"/>
  <c r="CA192" i="7"/>
  <c r="L197" i="3"/>
  <c r="CA134" i="7"/>
  <c r="L199" i="3"/>
  <c r="CA136" i="7"/>
  <c r="L200" i="3"/>
  <c r="CA137" i="7"/>
  <c r="L202" i="3"/>
  <c r="CA139" i="7"/>
  <c r="L203" i="3"/>
  <c r="CA140" i="7"/>
  <c r="L205" i="3"/>
  <c r="CA142" i="7"/>
  <c r="L208" i="3"/>
  <c r="CA145" i="7"/>
  <c r="L212" i="3"/>
  <c r="CA149" i="7"/>
  <c r="L214" i="3"/>
  <c r="CA151" i="7"/>
  <c r="L215" i="3"/>
  <c r="CA152" i="7"/>
  <c r="L218" i="3"/>
  <c r="CA155" i="7"/>
  <c r="L221" i="3"/>
  <c r="CA158" i="7"/>
  <c r="L223" i="3"/>
  <c r="CA160" i="7"/>
  <c r="L165" i="3"/>
  <c r="CA102" i="7"/>
  <c r="L167" i="3"/>
  <c r="CA104" i="7"/>
  <c r="L168" i="3"/>
  <c r="CA105" i="7"/>
  <c r="L170" i="3"/>
  <c r="CA107" i="7"/>
  <c r="L173" i="3"/>
  <c r="CA110" i="7"/>
  <c r="L175" i="3"/>
  <c r="CA112" i="7"/>
  <c r="L176" i="3"/>
  <c r="CA113" i="7"/>
  <c r="L180" i="3"/>
  <c r="CA117" i="7"/>
  <c r="L182" i="3"/>
  <c r="CA119" i="7"/>
  <c r="L183" i="3"/>
  <c r="CA120" i="7"/>
  <c r="L186" i="3"/>
  <c r="CA123" i="7"/>
  <c r="L189" i="3"/>
  <c r="CA126" i="7"/>
  <c r="L191" i="3"/>
  <c r="CA128" i="7"/>
  <c r="L133" i="3"/>
  <c r="CA70" i="7"/>
  <c r="L135" i="3"/>
  <c r="CA72" i="7"/>
  <c r="L136" i="3"/>
  <c r="CA73" i="7"/>
  <c r="L138" i="3"/>
  <c r="CA75" i="7"/>
  <c r="L139" i="3"/>
  <c r="CA76" i="7"/>
  <c r="L141" i="3"/>
  <c r="CA78" i="7"/>
  <c r="L143" i="3"/>
  <c r="CA80" i="7"/>
  <c r="L144" i="3"/>
  <c r="CA81" i="7"/>
  <c r="L148" i="3"/>
  <c r="CA85" i="7"/>
  <c r="L150" i="3"/>
  <c r="CA87" i="7"/>
  <c r="L151" i="3"/>
  <c r="CA88" i="7"/>
  <c r="L154" i="3"/>
  <c r="CA91" i="7"/>
  <c r="L157" i="3"/>
  <c r="CA94" i="7"/>
  <c r="L159" i="3"/>
  <c r="CA96" i="7"/>
  <c r="L130" i="3"/>
  <c r="CA67" i="7"/>
  <c r="L101" i="3"/>
  <c r="CA38" i="7"/>
  <c r="L103" i="3"/>
  <c r="CA40" i="7"/>
  <c r="L104" i="3"/>
  <c r="CA41" i="7"/>
  <c r="L106" i="3"/>
  <c r="CA43" i="7"/>
  <c r="L109" i="3"/>
  <c r="CA46" i="7"/>
  <c r="L112" i="3"/>
  <c r="CA49" i="7"/>
  <c r="L116" i="3"/>
  <c r="CA53" i="7"/>
  <c r="L118" i="3"/>
  <c r="CA55" i="7"/>
  <c r="L119" i="3"/>
  <c r="CA56" i="7"/>
  <c r="L122" i="3"/>
  <c r="CA59" i="7"/>
  <c r="L125" i="3"/>
  <c r="CA62" i="7"/>
  <c r="L127" i="3"/>
  <c r="CA64" i="7"/>
  <c r="L98" i="3"/>
  <c r="CA35" i="7"/>
  <c r="L10" i="3"/>
  <c r="C41" i="3"/>
  <c r="C42" i="3"/>
  <c r="C43" i="3"/>
  <c r="C44" i="3"/>
  <c r="C45" i="3"/>
  <c r="C46" i="3"/>
  <c r="C47" i="3"/>
  <c r="C54" i="3"/>
  <c r="B55" i="3"/>
  <c r="B56" i="3"/>
  <c r="C55" i="3"/>
  <c r="CB861" i="7"/>
  <c r="CA861" i="7"/>
  <c r="CB804" i="7"/>
  <c r="CA804" i="7"/>
  <c r="CB747" i="7"/>
  <c r="CA747" i="7"/>
  <c r="CB690" i="7"/>
  <c r="CA690" i="7"/>
  <c r="CB633" i="7"/>
  <c r="CA633" i="7"/>
  <c r="CB576" i="7"/>
  <c r="CA576" i="7"/>
  <c r="CB519" i="7"/>
  <c r="CA519" i="7"/>
  <c r="CB462" i="7"/>
  <c r="CA462" i="7"/>
  <c r="CB405" i="7"/>
  <c r="CA405" i="7"/>
  <c r="CB348" i="7"/>
  <c r="CA348" i="7"/>
  <c r="AM6" i="7"/>
  <c r="CR915" i="7"/>
  <c r="DD911" i="7"/>
  <c r="DB911" i="7"/>
  <c r="CZ911" i="7"/>
  <c r="CX911" i="7"/>
  <c r="CV911" i="7"/>
  <c r="CT911" i="7"/>
  <c r="CR911" i="7"/>
  <c r="DD910" i="7"/>
  <c r="DB910" i="7"/>
  <c r="CZ910" i="7"/>
  <c r="CX910" i="7"/>
  <c r="CV910" i="7"/>
  <c r="CT910" i="7"/>
  <c r="CR910" i="7"/>
  <c r="DD909" i="7"/>
  <c r="DB909" i="7"/>
  <c r="CZ909" i="7"/>
  <c r="CX909" i="7"/>
  <c r="CV909" i="7"/>
  <c r="CT909" i="7"/>
  <c r="CR909" i="7"/>
  <c r="DD908" i="7"/>
  <c r="DB908" i="7"/>
  <c r="CZ908" i="7"/>
  <c r="CX908" i="7"/>
  <c r="CV908" i="7"/>
  <c r="CT908" i="7"/>
  <c r="CR908" i="7"/>
  <c r="DD907" i="7"/>
  <c r="DB907" i="7"/>
  <c r="CZ907" i="7"/>
  <c r="CX907" i="7"/>
  <c r="CV907" i="7"/>
  <c r="CT907" i="7"/>
  <c r="CR907" i="7"/>
  <c r="DD906" i="7"/>
  <c r="DB906" i="7"/>
  <c r="CZ906" i="7"/>
  <c r="CX906" i="7"/>
  <c r="CV906" i="7"/>
  <c r="CT906" i="7"/>
  <c r="CR906" i="7"/>
  <c r="DD905" i="7"/>
  <c r="DB905" i="7"/>
  <c r="CZ905" i="7"/>
  <c r="CX905" i="7"/>
  <c r="CV905" i="7"/>
  <c r="CT905" i="7"/>
  <c r="CR905" i="7"/>
  <c r="DD904" i="7"/>
  <c r="DB904" i="7"/>
  <c r="CZ904" i="7"/>
  <c r="CX904" i="7"/>
  <c r="CV904" i="7"/>
  <c r="CT904" i="7"/>
  <c r="CR904" i="7"/>
  <c r="DD903" i="7"/>
  <c r="DB903" i="7"/>
  <c r="CZ903" i="7"/>
  <c r="CX903" i="7"/>
  <c r="CV903" i="7"/>
  <c r="CT903" i="7"/>
  <c r="CR903" i="7"/>
  <c r="DD902" i="7"/>
  <c r="DB902" i="7"/>
  <c r="CZ902" i="7"/>
  <c r="CX902" i="7"/>
  <c r="CV902" i="7"/>
  <c r="CT902" i="7"/>
  <c r="CR902" i="7"/>
  <c r="DD901" i="7"/>
  <c r="DB901" i="7"/>
  <c r="CZ901" i="7"/>
  <c r="CX901" i="7"/>
  <c r="CV901" i="7"/>
  <c r="CT901" i="7"/>
  <c r="CR901" i="7"/>
  <c r="DD900" i="7"/>
  <c r="DB900" i="7"/>
  <c r="CZ900" i="7"/>
  <c r="CX900" i="7"/>
  <c r="CV900" i="7"/>
  <c r="CT900" i="7"/>
  <c r="CR900" i="7"/>
  <c r="DD899" i="7"/>
  <c r="DB899" i="7"/>
  <c r="CZ899" i="7"/>
  <c r="CX899" i="7"/>
  <c r="CV899" i="7"/>
  <c r="CT899" i="7"/>
  <c r="CR899" i="7"/>
  <c r="DD898" i="7"/>
  <c r="DB898" i="7"/>
  <c r="CZ898" i="7"/>
  <c r="CX898" i="7"/>
  <c r="CV898" i="7"/>
  <c r="CT898" i="7"/>
  <c r="CR898" i="7"/>
  <c r="DD897" i="7"/>
  <c r="DB897" i="7"/>
  <c r="CZ897" i="7"/>
  <c r="CX897" i="7"/>
  <c r="CV897" i="7"/>
  <c r="CT897" i="7"/>
  <c r="CR897" i="7"/>
  <c r="DD896" i="7"/>
  <c r="DB896" i="7"/>
  <c r="CZ896" i="7"/>
  <c r="CX896" i="7"/>
  <c r="CV896" i="7"/>
  <c r="CT896" i="7"/>
  <c r="CR896" i="7"/>
  <c r="DD895" i="7"/>
  <c r="DB895" i="7"/>
  <c r="CZ895" i="7"/>
  <c r="CX895" i="7"/>
  <c r="CV895" i="7"/>
  <c r="CT895" i="7"/>
  <c r="CR895" i="7"/>
  <c r="DD894" i="7"/>
  <c r="DB894" i="7"/>
  <c r="CZ894" i="7"/>
  <c r="CX894" i="7"/>
  <c r="CV894" i="7"/>
  <c r="CT894" i="7"/>
  <c r="CR894" i="7"/>
  <c r="DD893" i="7"/>
  <c r="DB893" i="7"/>
  <c r="CZ893" i="7"/>
  <c r="CX893" i="7"/>
  <c r="CV893" i="7"/>
  <c r="CT893" i="7"/>
  <c r="CR893" i="7"/>
  <c r="DD892" i="7"/>
  <c r="DB892" i="7"/>
  <c r="CZ892" i="7"/>
  <c r="CX892" i="7"/>
  <c r="CV892" i="7"/>
  <c r="CT892" i="7"/>
  <c r="CR892" i="7"/>
  <c r="DD891" i="7"/>
  <c r="DB891" i="7"/>
  <c r="CZ891" i="7"/>
  <c r="CX891" i="7"/>
  <c r="CV891" i="7"/>
  <c r="CT891" i="7"/>
  <c r="CR891" i="7"/>
  <c r="DD890" i="7"/>
  <c r="DB890" i="7"/>
  <c r="CZ890" i="7"/>
  <c r="CX890" i="7"/>
  <c r="CV890" i="7"/>
  <c r="CT890" i="7"/>
  <c r="CR890" i="7"/>
  <c r="DD889" i="7"/>
  <c r="DB889" i="7"/>
  <c r="CZ889" i="7"/>
  <c r="CX889" i="7"/>
  <c r="CV889" i="7"/>
  <c r="CT889" i="7"/>
  <c r="CR889" i="7"/>
  <c r="DD888" i="7"/>
  <c r="DB888" i="7"/>
  <c r="CZ888" i="7"/>
  <c r="CX888" i="7"/>
  <c r="CV888" i="7"/>
  <c r="CT888" i="7"/>
  <c r="CR888" i="7"/>
  <c r="DD887" i="7"/>
  <c r="DB887" i="7"/>
  <c r="CZ887" i="7"/>
  <c r="CX887" i="7"/>
  <c r="CV887" i="7"/>
  <c r="CT887" i="7"/>
  <c r="CR887" i="7"/>
  <c r="DD886" i="7"/>
  <c r="DB886" i="7"/>
  <c r="CZ886" i="7"/>
  <c r="CX886" i="7"/>
  <c r="CV886" i="7"/>
  <c r="CT886" i="7"/>
  <c r="CR886" i="7"/>
  <c r="DD885" i="7"/>
  <c r="DB885" i="7"/>
  <c r="CZ885" i="7"/>
  <c r="CX885" i="7"/>
  <c r="CV885" i="7"/>
  <c r="CT885" i="7"/>
  <c r="CR885" i="7"/>
  <c r="DD884" i="7"/>
  <c r="DB884" i="7"/>
  <c r="CZ884" i="7"/>
  <c r="CX884" i="7"/>
  <c r="CV884" i="7"/>
  <c r="CT884" i="7"/>
  <c r="CR884" i="7"/>
  <c r="DD883" i="7"/>
  <c r="DB883" i="7"/>
  <c r="CZ883" i="7"/>
  <c r="CX883" i="7"/>
  <c r="CV883" i="7"/>
  <c r="CT883" i="7"/>
  <c r="CR883" i="7"/>
  <c r="DD882" i="7"/>
  <c r="DB882" i="7"/>
  <c r="CZ882" i="7"/>
  <c r="CX882" i="7"/>
  <c r="CV882" i="7"/>
  <c r="CT882" i="7"/>
  <c r="CR882" i="7"/>
  <c r="DD881" i="7"/>
  <c r="DB881" i="7"/>
  <c r="CZ881" i="7"/>
  <c r="CX881" i="7"/>
  <c r="CV881" i="7"/>
  <c r="CT881" i="7"/>
  <c r="CR881" i="7"/>
  <c r="DD880" i="7"/>
  <c r="DB880" i="7"/>
  <c r="CZ880" i="7"/>
  <c r="CX880" i="7"/>
  <c r="CV880" i="7"/>
  <c r="CT880" i="7"/>
  <c r="CR880" i="7"/>
  <c r="DD879" i="7"/>
  <c r="DB879" i="7"/>
  <c r="CZ879" i="7"/>
  <c r="CX879" i="7"/>
  <c r="CV879" i="7"/>
  <c r="CT879" i="7"/>
  <c r="CR879" i="7"/>
  <c r="DD878" i="7"/>
  <c r="DB878" i="7"/>
  <c r="CZ878" i="7"/>
  <c r="CX878" i="7"/>
  <c r="CV878" i="7"/>
  <c r="CT878" i="7"/>
  <c r="CR878" i="7"/>
  <c r="DD877" i="7"/>
  <c r="DB877" i="7"/>
  <c r="CZ877" i="7"/>
  <c r="CX877" i="7"/>
  <c r="CV877" i="7"/>
  <c r="CT877" i="7"/>
  <c r="CR877" i="7"/>
  <c r="DD876" i="7"/>
  <c r="DB876" i="7"/>
  <c r="CZ876" i="7"/>
  <c r="CX876" i="7"/>
  <c r="CV876" i="7"/>
  <c r="CT876" i="7"/>
  <c r="CR876" i="7"/>
  <c r="DD875" i="7"/>
  <c r="DB875" i="7"/>
  <c r="CZ875" i="7"/>
  <c r="CX875" i="7"/>
  <c r="CV875" i="7"/>
  <c r="CT875" i="7"/>
  <c r="CR875" i="7"/>
  <c r="DD874" i="7"/>
  <c r="DB874" i="7"/>
  <c r="CZ874" i="7"/>
  <c r="CX874" i="7"/>
  <c r="CV874" i="7"/>
  <c r="CT874" i="7"/>
  <c r="CR874" i="7"/>
  <c r="DD873" i="7"/>
  <c r="DB873" i="7"/>
  <c r="CZ873" i="7"/>
  <c r="CX873" i="7"/>
  <c r="CV873" i="7"/>
  <c r="CT873" i="7"/>
  <c r="CR873" i="7"/>
  <c r="DD872" i="7"/>
  <c r="DB872" i="7"/>
  <c r="CZ872" i="7"/>
  <c r="CX872" i="7"/>
  <c r="CV872" i="7"/>
  <c r="CT872" i="7"/>
  <c r="CR872" i="7"/>
  <c r="DD871" i="7"/>
  <c r="DB871" i="7"/>
  <c r="CZ871" i="7"/>
  <c r="CX871" i="7"/>
  <c r="CV871" i="7"/>
  <c r="CT871" i="7"/>
  <c r="CR871" i="7"/>
  <c r="DD870" i="7"/>
  <c r="DB870" i="7"/>
  <c r="CZ870" i="7"/>
  <c r="CX870" i="7"/>
  <c r="CV870" i="7"/>
  <c r="CT870" i="7"/>
  <c r="CR870" i="7"/>
  <c r="DD869" i="7"/>
  <c r="DB869" i="7"/>
  <c r="CZ869" i="7"/>
  <c r="CX869" i="7"/>
  <c r="CV869" i="7"/>
  <c r="CT869" i="7"/>
  <c r="CR869" i="7"/>
  <c r="DD868" i="7"/>
  <c r="DB868" i="7"/>
  <c r="CZ868" i="7"/>
  <c r="CX868" i="7"/>
  <c r="CV868" i="7"/>
  <c r="CT868" i="7"/>
  <c r="CR868" i="7"/>
  <c r="DD867" i="7"/>
  <c r="DB867" i="7"/>
  <c r="CZ867" i="7"/>
  <c r="CX867" i="7"/>
  <c r="CV867" i="7"/>
  <c r="CT867" i="7"/>
  <c r="CR867" i="7"/>
  <c r="DD866" i="7"/>
  <c r="DB866" i="7"/>
  <c r="CZ866" i="7"/>
  <c r="CX866" i="7"/>
  <c r="CV866" i="7"/>
  <c r="CT866" i="7"/>
  <c r="CR866" i="7"/>
  <c r="DD865" i="7"/>
  <c r="DB865" i="7"/>
  <c r="CZ865" i="7"/>
  <c r="CX865" i="7"/>
  <c r="CV865" i="7"/>
  <c r="CT865" i="7"/>
  <c r="CR865" i="7"/>
  <c r="DD864" i="7"/>
  <c r="DB864" i="7"/>
  <c r="CZ864" i="7"/>
  <c r="CX864" i="7"/>
  <c r="CV864" i="7"/>
  <c r="CT864" i="7"/>
  <c r="CR864" i="7"/>
  <c r="DD854" i="7"/>
  <c r="DB854" i="7"/>
  <c r="CZ854" i="7"/>
  <c r="CX854" i="7"/>
  <c r="CV854" i="7"/>
  <c r="CT854" i="7"/>
  <c r="CR854" i="7"/>
  <c r="DD853" i="7"/>
  <c r="DB853" i="7"/>
  <c r="CZ853" i="7"/>
  <c r="CX853" i="7"/>
  <c r="CV853" i="7"/>
  <c r="CT853" i="7"/>
  <c r="CR853" i="7"/>
  <c r="DD852" i="7"/>
  <c r="DB852" i="7"/>
  <c r="CZ852" i="7"/>
  <c r="CX852" i="7"/>
  <c r="CV852" i="7"/>
  <c r="CT852" i="7"/>
  <c r="CR852" i="7"/>
  <c r="DD851" i="7"/>
  <c r="DB851" i="7"/>
  <c r="CZ851" i="7"/>
  <c r="CX851" i="7"/>
  <c r="CV851" i="7"/>
  <c r="CT851" i="7"/>
  <c r="CR851" i="7"/>
  <c r="DD850" i="7"/>
  <c r="DB850" i="7"/>
  <c r="CZ850" i="7"/>
  <c r="CX850" i="7"/>
  <c r="CV850" i="7"/>
  <c r="CT850" i="7"/>
  <c r="CR850" i="7"/>
  <c r="DD849" i="7"/>
  <c r="DB849" i="7"/>
  <c r="CZ849" i="7"/>
  <c r="CX849" i="7"/>
  <c r="CV849" i="7"/>
  <c r="CT849" i="7"/>
  <c r="CR849" i="7"/>
  <c r="DD848" i="7"/>
  <c r="DB848" i="7"/>
  <c r="CZ848" i="7"/>
  <c r="CX848" i="7"/>
  <c r="CV848" i="7"/>
  <c r="CT848" i="7"/>
  <c r="CR848" i="7"/>
  <c r="DD847" i="7"/>
  <c r="DB847" i="7"/>
  <c r="CZ847" i="7"/>
  <c r="CX847" i="7"/>
  <c r="CV847" i="7"/>
  <c r="CT847" i="7"/>
  <c r="CR847" i="7"/>
  <c r="DD846" i="7"/>
  <c r="DB846" i="7"/>
  <c r="CZ846" i="7"/>
  <c r="CX846" i="7"/>
  <c r="CV846" i="7"/>
  <c r="CT846" i="7"/>
  <c r="CR846" i="7"/>
  <c r="DD845" i="7"/>
  <c r="DB845" i="7"/>
  <c r="CZ845" i="7"/>
  <c r="CX845" i="7"/>
  <c r="CV845" i="7"/>
  <c r="CT845" i="7"/>
  <c r="CR845" i="7"/>
  <c r="DD844" i="7"/>
  <c r="DB844" i="7"/>
  <c r="CZ844" i="7"/>
  <c r="CX844" i="7"/>
  <c r="CV844" i="7"/>
  <c r="CT844" i="7"/>
  <c r="CR844" i="7"/>
  <c r="DD843" i="7"/>
  <c r="DB843" i="7"/>
  <c r="CZ843" i="7"/>
  <c r="CX843" i="7"/>
  <c r="CV843" i="7"/>
  <c r="CT843" i="7"/>
  <c r="CR843" i="7"/>
  <c r="DD842" i="7"/>
  <c r="DB842" i="7"/>
  <c r="CZ842" i="7"/>
  <c r="CX842" i="7"/>
  <c r="CV842" i="7"/>
  <c r="CT842" i="7"/>
  <c r="CR842" i="7"/>
  <c r="DD841" i="7"/>
  <c r="DB841" i="7"/>
  <c r="CZ841" i="7"/>
  <c r="CX841" i="7"/>
  <c r="CV841" i="7"/>
  <c r="CT841" i="7"/>
  <c r="CR841" i="7"/>
  <c r="DD840" i="7"/>
  <c r="DB840" i="7"/>
  <c r="CZ840" i="7"/>
  <c r="CX840" i="7"/>
  <c r="CV840" i="7"/>
  <c r="CT840" i="7"/>
  <c r="CR840" i="7"/>
  <c r="DD839" i="7"/>
  <c r="DB839" i="7"/>
  <c r="CZ839" i="7"/>
  <c r="CX839" i="7"/>
  <c r="CV839" i="7"/>
  <c r="CT839" i="7"/>
  <c r="CR839" i="7"/>
  <c r="DD838" i="7"/>
  <c r="DB838" i="7"/>
  <c r="CZ838" i="7"/>
  <c r="CX838" i="7"/>
  <c r="CV838" i="7"/>
  <c r="CT838" i="7"/>
  <c r="CR838" i="7"/>
  <c r="DD837" i="7"/>
  <c r="DB837" i="7"/>
  <c r="CZ837" i="7"/>
  <c r="CX837" i="7"/>
  <c r="CV837" i="7"/>
  <c r="CT837" i="7"/>
  <c r="CR837" i="7"/>
  <c r="DD836" i="7"/>
  <c r="DB836" i="7"/>
  <c r="CZ836" i="7"/>
  <c r="CX836" i="7"/>
  <c r="CV836" i="7"/>
  <c r="CT836" i="7"/>
  <c r="CR836" i="7"/>
  <c r="DD835" i="7"/>
  <c r="DB835" i="7"/>
  <c r="CZ835" i="7"/>
  <c r="CX835" i="7"/>
  <c r="CV835" i="7"/>
  <c r="CT835" i="7"/>
  <c r="CR835" i="7"/>
  <c r="DD834" i="7"/>
  <c r="DB834" i="7"/>
  <c r="CZ834" i="7"/>
  <c r="CX834" i="7"/>
  <c r="CV834" i="7"/>
  <c r="CT834" i="7"/>
  <c r="CR834" i="7"/>
  <c r="DD833" i="7"/>
  <c r="DB833" i="7"/>
  <c r="CZ833" i="7"/>
  <c r="CX833" i="7"/>
  <c r="CV833" i="7"/>
  <c r="CT833" i="7"/>
  <c r="CR833" i="7"/>
  <c r="DD832" i="7"/>
  <c r="DB832" i="7"/>
  <c r="CZ832" i="7"/>
  <c r="CX832" i="7"/>
  <c r="CV832" i="7"/>
  <c r="CT832" i="7"/>
  <c r="CR832" i="7"/>
  <c r="DD831" i="7"/>
  <c r="DB831" i="7"/>
  <c r="CZ831" i="7"/>
  <c r="CX831" i="7"/>
  <c r="CV831" i="7"/>
  <c r="CT831" i="7"/>
  <c r="CR831" i="7"/>
  <c r="DD830" i="7"/>
  <c r="DB830" i="7"/>
  <c r="CZ830" i="7"/>
  <c r="CX830" i="7"/>
  <c r="CV830" i="7"/>
  <c r="CT830" i="7"/>
  <c r="CR830" i="7"/>
  <c r="DD829" i="7"/>
  <c r="DB829" i="7"/>
  <c r="CZ829" i="7"/>
  <c r="CX829" i="7"/>
  <c r="CV829" i="7"/>
  <c r="CT829" i="7"/>
  <c r="CR829" i="7"/>
  <c r="DD828" i="7"/>
  <c r="DB828" i="7"/>
  <c r="CZ828" i="7"/>
  <c r="CX828" i="7"/>
  <c r="CV828" i="7"/>
  <c r="CT828" i="7"/>
  <c r="CR828" i="7"/>
  <c r="DD827" i="7"/>
  <c r="DB827" i="7"/>
  <c r="CZ827" i="7"/>
  <c r="CX827" i="7"/>
  <c r="CV827" i="7"/>
  <c r="CT827" i="7"/>
  <c r="CR827" i="7"/>
  <c r="DD826" i="7"/>
  <c r="DB826" i="7"/>
  <c r="CZ826" i="7"/>
  <c r="CX826" i="7"/>
  <c r="CV826" i="7"/>
  <c r="CT826" i="7"/>
  <c r="CR826" i="7"/>
  <c r="DD825" i="7"/>
  <c r="DB825" i="7"/>
  <c r="CZ825" i="7"/>
  <c r="CX825" i="7"/>
  <c r="CV825" i="7"/>
  <c r="CT825" i="7"/>
  <c r="CR825" i="7"/>
  <c r="DD824" i="7"/>
  <c r="DB824" i="7"/>
  <c r="CZ824" i="7"/>
  <c r="CX824" i="7"/>
  <c r="CV824" i="7"/>
  <c r="CT824" i="7"/>
  <c r="CR824" i="7"/>
  <c r="DD823" i="7"/>
  <c r="DB823" i="7"/>
  <c r="CZ823" i="7"/>
  <c r="CX823" i="7"/>
  <c r="CV823" i="7"/>
  <c r="CT823" i="7"/>
  <c r="CR823" i="7"/>
  <c r="DD822" i="7"/>
  <c r="DB822" i="7"/>
  <c r="CZ822" i="7"/>
  <c r="CX822" i="7"/>
  <c r="CV822" i="7"/>
  <c r="CT822" i="7"/>
  <c r="CR822" i="7"/>
  <c r="DD821" i="7"/>
  <c r="DB821" i="7"/>
  <c r="CZ821" i="7"/>
  <c r="CX821" i="7"/>
  <c r="CV821" i="7"/>
  <c r="CT821" i="7"/>
  <c r="CR821" i="7"/>
  <c r="DD820" i="7"/>
  <c r="DB820" i="7"/>
  <c r="CZ820" i="7"/>
  <c r="CX820" i="7"/>
  <c r="CV820" i="7"/>
  <c r="CT820" i="7"/>
  <c r="CR820" i="7"/>
  <c r="DD819" i="7"/>
  <c r="DB819" i="7"/>
  <c r="CZ819" i="7"/>
  <c r="CX819" i="7"/>
  <c r="CV819" i="7"/>
  <c r="CT819" i="7"/>
  <c r="CR819" i="7"/>
  <c r="DD818" i="7"/>
  <c r="DB818" i="7"/>
  <c r="CZ818" i="7"/>
  <c r="CX818" i="7"/>
  <c r="CV818" i="7"/>
  <c r="CT818" i="7"/>
  <c r="CR818" i="7"/>
  <c r="DD817" i="7"/>
  <c r="DB817" i="7"/>
  <c r="CZ817" i="7"/>
  <c r="CX817" i="7"/>
  <c r="CV817" i="7"/>
  <c r="CT817" i="7"/>
  <c r="CR817" i="7"/>
  <c r="DD816" i="7"/>
  <c r="DB816" i="7"/>
  <c r="CZ816" i="7"/>
  <c r="CX816" i="7"/>
  <c r="CV816" i="7"/>
  <c r="CT816" i="7"/>
  <c r="CR816" i="7"/>
  <c r="DD815" i="7"/>
  <c r="DB815" i="7"/>
  <c r="CZ815" i="7"/>
  <c r="CX815" i="7"/>
  <c r="CV815" i="7"/>
  <c r="CT815" i="7"/>
  <c r="CR815" i="7"/>
  <c r="DD814" i="7"/>
  <c r="DB814" i="7"/>
  <c r="CZ814" i="7"/>
  <c r="CX814" i="7"/>
  <c r="CV814" i="7"/>
  <c r="CT814" i="7"/>
  <c r="CR814" i="7"/>
  <c r="DD813" i="7"/>
  <c r="DB813" i="7"/>
  <c r="CZ813" i="7"/>
  <c r="CX813" i="7"/>
  <c r="CV813" i="7"/>
  <c r="CT813" i="7"/>
  <c r="CR813" i="7"/>
  <c r="DD812" i="7"/>
  <c r="DB812" i="7"/>
  <c r="CZ812" i="7"/>
  <c r="CX812" i="7"/>
  <c r="CV812" i="7"/>
  <c r="CT812" i="7"/>
  <c r="CR812" i="7"/>
  <c r="DD811" i="7"/>
  <c r="DB811" i="7"/>
  <c r="CZ811" i="7"/>
  <c r="CX811" i="7"/>
  <c r="CV811" i="7"/>
  <c r="CT811" i="7"/>
  <c r="CR811" i="7"/>
  <c r="DD810" i="7"/>
  <c r="DB810" i="7"/>
  <c r="CZ810" i="7"/>
  <c r="CX810" i="7"/>
  <c r="CV810" i="7"/>
  <c r="CT810" i="7"/>
  <c r="CR810" i="7"/>
  <c r="DD809" i="7"/>
  <c r="DB809" i="7"/>
  <c r="CZ809" i="7"/>
  <c r="CX809" i="7"/>
  <c r="CV809" i="7"/>
  <c r="CT809" i="7"/>
  <c r="CR809" i="7"/>
  <c r="DD808" i="7"/>
  <c r="DB808" i="7"/>
  <c r="CZ808" i="7"/>
  <c r="CX808" i="7"/>
  <c r="CV808" i="7"/>
  <c r="CT808" i="7"/>
  <c r="CR808" i="7"/>
  <c r="DD807" i="7"/>
  <c r="DB807" i="7"/>
  <c r="CZ807" i="7"/>
  <c r="CX807" i="7"/>
  <c r="CV807" i="7"/>
  <c r="CT807" i="7"/>
  <c r="CR807" i="7"/>
  <c r="DD797" i="7"/>
  <c r="DB797" i="7"/>
  <c r="CZ797" i="7"/>
  <c r="CX797" i="7"/>
  <c r="CV797" i="7"/>
  <c r="CT797" i="7"/>
  <c r="CR797" i="7"/>
  <c r="DD796" i="7"/>
  <c r="DB796" i="7"/>
  <c r="CZ796" i="7"/>
  <c r="CX796" i="7"/>
  <c r="CV796" i="7"/>
  <c r="CT796" i="7"/>
  <c r="CR796" i="7"/>
  <c r="DD795" i="7"/>
  <c r="DB795" i="7"/>
  <c r="CZ795" i="7"/>
  <c r="CX795" i="7"/>
  <c r="CV795" i="7"/>
  <c r="CT795" i="7"/>
  <c r="CR795" i="7"/>
  <c r="DD794" i="7"/>
  <c r="DB794" i="7"/>
  <c r="CZ794" i="7"/>
  <c r="CX794" i="7"/>
  <c r="CV794" i="7"/>
  <c r="CT794" i="7"/>
  <c r="CR794" i="7"/>
  <c r="DD793" i="7"/>
  <c r="DB793" i="7"/>
  <c r="CZ793" i="7"/>
  <c r="CX793" i="7"/>
  <c r="CV793" i="7"/>
  <c r="CT793" i="7"/>
  <c r="CR793" i="7"/>
  <c r="DD792" i="7"/>
  <c r="DB792" i="7"/>
  <c r="CZ792" i="7"/>
  <c r="CX792" i="7"/>
  <c r="CV792" i="7"/>
  <c r="CT792" i="7"/>
  <c r="CR792" i="7"/>
  <c r="DD791" i="7"/>
  <c r="DB791" i="7"/>
  <c r="CZ791" i="7"/>
  <c r="CX791" i="7"/>
  <c r="CV791" i="7"/>
  <c r="CT791" i="7"/>
  <c r="CR791" i="7"/>
  <c r="DD790" i="7"/>
  <c r="DB790" i="7"/>
  <c r="CZ790" i="7"/>
  <c r="CX790" i="7"/>
  <c r="CV790" i="7"/>
  <c r="CT790" i="7"/>
  <c r="CR790" i="7"/>
  <c r="DD789" i="7"/>
  <c r="DB789" i="7"/>
  <c r="CZ789" i="7"/>
  <c r="CX789" i="7"/>
  <c r="CV789" i="7"/>
  <c r="CT789" i="7"/>
  <c r="CR789" i="7"/>
  <c r="DD788" i="7"/>
  <c r="DB788" i="7"/>
  <c r="CZ788" i="7"/>
  <c r="CX788" i="7"/>
  <c r="CV788" i="7"/>
  <c r="CT788" i="7"/>
  <c r="CR788" i="7"/>
  <c r="DD787" i="7"/>
  <c r="DB787" i="7"/>
  <c r="CZ787" i="7"/>
  <c r="CX787" i="7"/>
  <c r="CV787" i="7"/>
  <c r="CT787" i="7"/>
  <c r="CR787" i="7"/>
  <c r="DD786" i="7"/>
  <c r="DB786" i="7"/>
  <c r="CZ786" i="7"/>
  <c r="CX786" i="7"/>
  <c r="CV786" i="7"/>
  <c r="CT786" i="7"/>
  <c r="CR786" i="7"/>
  <c r="DD785" i="7"/>
  <c r="DB785" i="7"/>
  <c r="CZ785" i="7"/>
  <c r="CX785" i="7"/>
  <c r="CV785" i="7"/>
  <c r="CT785" i="7"/>
  <c r="CR785" i="7"/>
  <c r="DD784" i="7"/>
  <c r="DB784" i="7"/>
  <c r="CZ784" i="7"/>
  <c r="CX784" i="7"/>
  <c r="CV784" i="7"/>
  <c r="CT784" i="7"/>
  <c r="CR784" i="7"/>
  <c r="DD783" i="7"/>
  <c r="DB783" i="7"/>
  <c r="CZ783" i="7"/>
  <c r="CX783" i="7"/>
  <c r="CV783" i="7"/>
  <c r="CT783" i="7"/>
  <c r="CR783" i="7"/>
  <c r="DD782" i="7"/>
  <c r="DB782" i="7"/>
  <c r="CZ782" i="7"/>
  <c r="CX782" i="7"/>
  <c r="CV782" i="7"/>
  <c r="CT782" i="7"/>
  <c r="CR782" i="7"/>
  <c r="DD781" i="7"/>
  <c r="DB781" i="7"/>
  <c r="CZ781" i="7"/>
  <c r="CX781" i="7"/>
  <c r="CV781" i="7"/>
  <c r="CT781" i="7"/>
  <c r="CR781" i="7"/>
  <c r="DD780" i="7"/>
  <c r="DB780" i="7"/>
  <c r="CZ780" i="7"/>
  <c r="CX780" i="7"/>
  <c r="CV780" i="7"/>
  <c r="CT780" i="7"/>
  <c r="CR780" i="7"/>
  <c r="DD779" i="7"/>
  <c r="DB779" i="7"/>
  <c r="CZ779" i="7"/>
  <c r="CX779" i="7"/>
  <c r="CV779" i="7"/>
  <c r="CT779" i="7"/>
  <c r="CR779" i="7"/>
  <c r="DD778" i="7"/>
  <c r="DB778" i="7"/>
  <c r="CZ778" i="7"/>
  <c r="CX778" i="7"/>
  <c r="CV778" i="7"/>
  <c r="CT778" i="7"/>
  <c r="CR778" i="7"/>
  <c r="DD777" i="7"/>
  <c r="DB777" i="7"/>
  <c r="CZ777" i="7"/>
  <c r="CX777" i="7"/>
  <c r="CV777" i="7"/>
  <c r="CT777" i="7"/>
  <c r="CR777" i="7"/>
  <c r="DD776" i="7"/>
  <c r="DB776" i="7"/>
  <c r="CZ776" i="7"/>
  <c r="CX776" i="7"/>
  <c r="CV776" i="7"/>
  <c r="CT776" i="7"/>
  <c r="CR776" i="7"/>
  <c r="DD775" i="7"/>
  <c r="DB775" i="7"/>
  <c r="CZ775" i="7"/>
  <c r="CX775" i="7"/>
  <c r="CV775" i="7"/>
  <c r="CT775" i="7"/>
  <c r="CR775" i="7"/>
  <c r="DD774" i="7"/>
  <c r="DB774" i="7"/>
  <c r="CZ774" i="7"/>
  <c r="CX774" i="7"/>
  <c r="CV774" i="7"/>
  <c r="CT774" i="7"/>
  <c r="CR774" i="7"/>
  <c r="DD773" i="7"/>
  <c r="DB773" i="7"/>
  <c r="CZ773" i="7"/>
  <c r="CX773" i="7"/>
  <c r="CV773" i="7"/>
  <c r="CT773" i="7"/>
  <c r="CR773" i="7"/>
  <c r="DD772" i="7"/>
  <c r="DB772" i="7"/>
  <c r="CZ772" i="7"/>
  <c r="CX772" i="7"/>
  <c r="CV772" i="7"/>
  <c r="CT772" i="7"/>
  <c r="CR772" i="7"/>
  <c r="DD771" i="7"/>
  <c r="DB771" i="7"/>
  <c r="CZ771" i="7"/>
  <c r="CX771" i="7"/>
  <c r="CV771" i="7"/>
  <c r="CT771" i="7"/>
  <c r="CR771" i="7"/>
  <c r="DD770" i="7"/>
  <c r="DB770" i="7"/>
  <c r="CZ770" i="7"/>
  <c r="CX770" i="7"/>
  <c r="CV770" i="7"/>
  <c r="CT770" i="7"/>
  <c r="CR770" i="7"/>
  <c r="DD769" i="7"/>
  <c r="DB769" i="7"/>
  <c r="CZ769" i="7"/>
  <c r="CX769" i="7"/>
  <c r="CV769" i="7"/>
  <c r="CT769" i="7"/>
  <c r="CR769" i="7"/>
  <c r="DD768" i="7"/>
  <c r="DB768" i="7"/>
  <c r="CZ768" i="7"/>
  <c r="CX768" i="7"/>
  <c r="CV768" i="7"/>
  <c r="CT768" i="7"/>
  <c r="CR768" i="7"/>
  <c r="DD767" i="7"/>
  <c r="DB767" i="7"/>
  <c r="CZ767" i="7"/>
  <c r="CX767" i="7"/>
  <c r="CV767" i="7"/>
  <c r="CT767" i="7"/>
  <c r="CR767" i="7"/>
  <c r="DD766" i="7"/>
  <c r="DB766" i="7"/>
  <c r="CZ766" i="7"/>
  <c r="CX766" i="7"/>
  <c r="CV766" i="7"/>
  <c r="CT766" i="7"/>
  <c r="CR766" i="7"/>
  <c r="DD765" i="7"/>
  <c r="DB765" i="7"/>
  <c r="CZ765" i="7"/>
  <c r="CX765" i="7"/>
  <c r="CV765" i="7"/>
  <c r="CT765" i="7"/>
  <c r="CR765" i="7"/>
  <c r="DD764" i="7"/>
  <c r="DB764" i="7"/>
  <c r="CZ764" i="7"/>
  <c r="CX764" i="7"/>
  <c r="CV764" i="7"/>
  <c r="CT764" i="7"/>
  <c r="CR764" i="7"/>
  <c r="DD763" i="7"/>
  <c r="DB763" i="7"/>
  <c r="CZ763" i="7"/>
  <c r="CX763" i="7"/>
  <c r="CV763" i="7"/>
  <c r="CT763" i="7"/>
  <c r="CR763" i="7"/>
  <c r="DD762" i="7"/>
  <c r="DB762" i="7"/>
  <c r="CZ762" i="7"/>
  <c r="CX762" i="7"/>
  <c r="CV762" i="7"/>
  <c r="CT762" i="7"/>
  <c r="CR762" i="7"/>
  <c r="DD761" i="7"/>
  <c r="DB761" i="7"/>
  <c r="CZ761" i="7"/>
  <c r="CX761" i="7"/>
  <c r="CV761" i="7"/>
  <c r="CT761" i="7"/>
  <c r="CR761" i="7"/>
  <c r="DD760" i="7"/>
  <c r="DB760" i="7"/>
  <c r="CZ760" i="7"/>
  <c r="CX760" i="7"/>
  <c r="CV760" i="7"/>
  <c r="CT760" i="7"/>
  <c r="CR760" i="7"/>
  <c r="DD759" i="7"/>
  <c r="DB759" i="7"/>
  <c r="CZ759" i="7"/>
  <c r="CX759" i="7"/>
  <c r="CV759" i="7"/>
  <c r="CT759" i="7"/>
  <c r="CR759" i="7"/>
  <c r="DD758" i="7"/>
  <c r="DB758" i="7"/>
  <c r="CZ758" i="7"/>
  <c r="CX758" i="7"/>
  <c r="CV758" i="7"/>
  <c r="CT758" i="7"/>
  <c r="CR758" i="7"/>
  <c r="DD757" i="7"/>
  <c r="DB757" i="7"/>
  <c r="CZ757" i="7"/>
  <c r="CX757" i="7"/>
  <c r="CV757" i="7"/>
  <c r="CT757" i="7"/>
  <c r="CR757" i="7"/>
  <c r="DD756" i="7"/>
  <c r="DB756" i="7"/>
  <c r="CZ756" i="7"/>
  <c r="CX756" i="7"/>
  <c r="CV756" i="7"/>
  <c r="CT756" i="7"/>
  <c r="CR756" i="7"/>
  <c r="DD755" i="7"/>
  <c r="DB755" i="7"/>
  <c r="CZ755" i="7"/>
  <c r="CX755" i="7"/>
  <c r="CV755" i="7"/>
  <c r="CT755" i="7"/>
  <c r="CR755" i="7"/>
  <c r="DD754" i="7"/>
  <c r="DB754" i="7"/>
  <c r="CZ754" i="7"/>
  <c r="CX754" i="7"/>
  <c r="CV754" i="7"/>
  <c r="CT754" i="7"/>
  <c r="CR754" i="7"/>
  <c r="DD753" i="7"/>
  <c r="DB753" i="7"/>
  <c r="CZ753" i="7"/>
  <c r="CX753" i="7"/>
  <c r="CV753" i="7"/>
  <c r="CT753" i="7"/>
  <c r="CR753" i="7"/>
  <c r="DD752" i="7"/>
  <c r="DB752" i="7"/>
  <c r="CZ752" i="7"/>
  <c r="CX752" i="7"/>
  <c r="CV752" i="7"/>
  <c r="CT752" i="7"/>
  <c r="CR752" i="7"/>
  <c r="DD751" i="7"/>
  <c r="DB751" i="7"/>
  <c r="CZ751" i="7"/>
  <c r="CX751" i="7"/>
  <c r="CV751" i="7"/>
  <c r="CT751" i="7"/>
  <c r="CR751" i="7"/>
  <c r="DD750" i="7"/>
  <c r="DB750" i="7"/>
  <c r="CZ750" i="7"/>
  <c r="CX750" i="7"/>
  <c r="CV750" i="7"/>
  <c r="CT750" i="7"/>
  <c r="CR750" i="7"/>
  <c r="DD740" i="7"/>
  <c r="DB740" i="7"/>
  <c r="CZ740" i="7"/>
  <c r="CX740" i="7"/>
  <c r="CV740" i="7"/>
  <c r="CT740" i="7"/>
  <c r="CR740" i="7"/>
  <c r="DD739" i="7"/>
  <c r="DB739" i="7"/>
  <c r="CZ739" i="7"/>
  <c r="CX739" i="7"/>
  <c r="CV739" i="7"/>
  <c r="CT739" i="7"/>
  <c r="CR739" i="7"/>
  <c r="DD738" i="7"/>
  <c r="DB738" i="7"/>
  <c r="CZ738" i="7"/>
  <c r="CX738" i="7"/>
  <c r="CV738" i="7"/>
  <c r="CT738" i="7"/>
  <c r="CR738" i="7"/>
  <c r="DD737" i="7"/>
  <c r="DB737" i="7"/>
  <c r="CZ737" i="7"/>
  <c r="CX737" i="7"/>
  <c r="CV737" i="7"/>
  <c r="CT737" i="7"/>
  <c r="CR737" i="7"/>
  <c r="DD736" i="7"/>
  <c r="DB736" i="7"/>
  <c r="CZ736" i="7"/>
  <c r="CX736" i="7"/>
  <c r="CV736" i="7"/>
  <c r="CT736" i="7"/>
  <c r="CR736" i="7"/>
  <c r="DD735" i="7"/>
  <c r="DB735" i="7"/>
  <c r="CZ735" i="7"/>
  <c r="CX735" i="7"/>
  <c r="CV735" i="7"/>
  <c r="CT735" i="7"/>
  <c r="CR735" i="7"/>
  <c r="DD734" i="7"/>
  <c r="DB734" i="7"/>
  <c r="CZ734" i="7"/>
  <c r="CX734" i="7"/>
  <c r="CV734" i="7"/>
  <c r="CT734" i="7"/>
  <c r="CR734" i="7"/>
  <c r="DD733" i="7"/>
  <c r="DB733" i="7"/>
  <c r="CZ733" i="7"/>
  <c r="CX733" i="7"/>
  <c r="CV733" i="7"/>
  <c r="CT733" i="7"/>
  <c r="CR733" i="7"/>
  <c r="DD732" i="7"/>
  <c r="DB732" i="7"/>
  <c r="CZ732" i="7"/>
  <c r="CX732" i="7"/>
  <c r="CV732" i="7"/>
  <c r="CT732" i="7"/>
  <c r="CR732" i="7"/>
  <c r="DD731" i="7"/>
  <c r="DB731" i="7"/>
  <c r="CZ731" i="7"/>
  <c r="CX731" i="7"/>
  <c r="CV731" i="7"/>
  <c r="CT731" i="7"/>
  <c r="CR731" i="7"/>
  <c r="DD730" i="7"/>
  <c r="DB730" i="7"/>
  <c r="CZ730" i="7"/>
  <c r="CX730" i="7"/>
  <c r="CV730" i="7"/>
  <c r="CT730" i="7"/>
  <c r="CR730" i="7"/>
  <c r="DD729" i="7"/>
  <c r="DB729" i="7"/>
  <c r="CZ729" i="7"/>
  <c r="CX729" i="7"/>
  <c r="CV729" i="7"/>
  <c r="CT729" i="7"/>
  <c r="CR729" i="7"/>
  <c r="DD728" i="7"/>
  <c r="DB728" i="7"/>
  <c r="CZ728" i="7"/>
  <c r="CX728" i="7"/>
  <c r="CV728" i="7"/>
  <c r="CT728" i="7"/>
  <c r="CR728" i="7"/>
  <c r="DD727" i="7"/>
  <c r="DB727" i="7"/>
  <c r="CZ727" i="7"/>
  <c r="CX727" i="7"/>
  <c r="CV727" i="7"/>
  <c r="CT727" i="7"/>
  <c r="CR727" i="7"/>
  <c r="DD726" i="7"/>
  <c r="DB726" i="7"/>
  <c r="CZ726" i="7"/>
  <c r="CX726" i="7"/>
  <c r="CV726" i="7"/>
  <c r="CT726" i="7"/>
  <c r="CR726" i="7"/>
  <c r="DD725" i="7"/>
  <c r="DB725" i="7"/>
  <c r="CZ725" i="7"/>
  <c r="CX725" i="7"/>
  <c r="CV725" i="7"/>
  <c r="CT725" i="7"/>
  <c r="CR725" i="7"/>
  <c r="DD724" i="7"/>
  <c r="DB724" i="7"/>
  <c r="CZ724" i="7"/>
  <c r="CX724" i="7"/>
  <c r="CV724" i="7"/>
  <c r="CT724" i="7"/>
  <c r="CR724" i="7"/>
  <c r="DD723" i="7"/>
  <c r="DB723" i="7"/>
  <c r="CZ723" i="7"/>
  <c r="CX723" i="7"/>
  <c r="CV723" i="7"/>
  <c r="CT723" i="7"/>
  <c r="CR723" i="7"/>
  <c r="DD722" i="7"/>
  <c r="DB722" i="7"/>
  <c r="CZ722" i="7"/>
  <c r="CX722" i="7"/>
  <c r="CV722" i="7"/>
  <c r="CT722" i="7"/>
  <c r="CR722" i="7"/>
  <c r="DD721" i="7"/>
  <c r="DB721" i="7"/>
  <c r="CZ721" i="7"/>
  <c r="CX721" i="7"/>
  <c r="CV721" i="7"/>
  <c r="CT721" i="7"/>
  <c r="CR721" i="7"/>
  <c r="DD720" i="7"/>
  <c r="DB720" i="7"/>
  <c r="CZ720" i="7"/>
  <c r="CX720" i="7"/>
  <c r="CV720" i="7"/>
  <c r="CT720" i="7"/>
  <c r="CR720" i="7"/>
  <c r="DD719" i="7"/>
  <c r="DB719" i="7"/>
  <c r="CZ719" i="7"/>
  <c r="CX719" i="7"/>
  <c r="CV719" i="7"/>
  <c r="CT719" i="7"/>
  <c r="CR719" i="7"/>
  <c r="DD718" i="7"/>
  <c r="DB718" i="7"/>
  <c r="CZ718" i="7"/>
  <c r="CX718" i="7"/>
  <c r="CV718" i="7"/>
  <c r="CT718" i="7"/>
  <c r="CR718" i="7"/>
  <c r="DD717" i="7"/>
  <c r="DB717" i="7"/>
  <c r="CZ717" i="7"/>
  <c r="CX717" i="7"/>
  <c r="CV717" i="7"/>
  <c r="CT717" i="7"/>
  <c r="CR717" i="7"/>
  <c r="DD716" i="7"/>
  <c r="DB716" i="7"/>
  <c r="CZ716" i="7"/>
  <c r="CX716" i="7"/>
  <c r="CV716" i="7"/>
  <c r="CT716" i="7"/>
  <c r="CR716" i="7"/>
  <c r="DD715" i="7"/>
  <c r="DB715" i="7"/>
  <c r="CZ715" i="7"/>
  <c r="CX715" i="7"/>
  <c r="CV715" i="7"/>
  <c r="CT715" i="7"/>
  <c r="CR715" i="7"/>
  <c r="DD714" i="7"/>
  <c r="DB714" i="7"/>
  <c r="CZ714" i="7"/>
  <c r="CX714" i="7"/>
  <c r="CV714" i="7"/>
  <c r="CT714" i="7"/>
  <c r="CR714" i="7"/>
  <c r="DD713" i="7"/>
  <c r="DB713" i="7"/>
  <c r="CZ713" i="7"/>
  <c r="CX713" i="7"/>
  <c r="CV713" i="7"/>
  <c r="CT713" i="7"/>
  <c r="CR713" i="7"/>
  <c r="DD712" i="7"/>
  <c r="DB712" i="7"/>
  <c r="CZ712" i="7"/>
  <c r="CX712" i="7"/>
  <c r="CV712" i="7"/>
  <c r="CT712" i="7"/>
  <c r="CR712" i="7"/>
  <c r="DD711" i="7"/>
  <c r="DB711" i="7"/>
  <c r="CZ711" i="7"/>
  <c r="CX711" i="7"/>
  <c r="CV711" i="7"/>
  <c r="CT711" i="7"/>
  <c r="CR711" i="7"/>
  <c r="DD710" i="7"/>
  <c r="DB710" i="7"/>
  <c r="CZ710" i="7"/>
  <c r="CX710" i="7"/>
  <c r="CV710" i="7"/>
  <c r="CT710" i="7"/>
  <c r="CR710" i="7"/>
  <c r="DD709" i="7"/>
  <c r="DB709" i="7"/>
  <c r="CZ709" i="7"/>
  <c r="CX709" i="7"/>
  <c r="CV709" i="7"/>
  <c r="CT709" i="7"/>
  <c r="CR709" i="7"/>
  <c r="DD708" i="7"/>
  <c r="DB708" i="7"/>
  <c r="CZ708" i="7"/>
  <c r="CX708" i="7"/>
  <c r="CV708" i="7"/>
  <c r="CT708" i="7"/>
  <c r="CR708" i="7"/>
  <c r="DD707" i="7"/>
  <c r="DB707" i="7"/>
  <c r="CZ707" i="7"/>
  <c r="CX707" i="7"/>
  <c r="CV707" i="7"/>
  <c r="CT707" i="7"/>
  <c r="CR707" i="7"/>
  <c r="DD706" i="7"/>
  <c r="DB706" i="7"/>
  <c r="CZ706" i="7"/>
  <c r="CX706" i="7"/>
  <c r="CV706" i="7"/>
  <c r="CT706" i="7"/>
  <c r="CR706" i="7"/>
  <c r="DD705" i="7"/>
  <c r="DB705" i="7"/>
  <c r="CZ705" i="7"/>
  <c r="CX705" i="7"/>
  <c r="CV705" i="7"/>
  <c r="CT705" i="7"/>
  <c r="CR705" i="7"/>
  <c r="DD704" i="7"/>
  <c r="DB704" i="7"/>
  <c r="CZ704" i="7"/>
  <c r="CX704" i="7"/>
  <c r="CV704" i="7"/>
  <c r="CT704" i="7"/>
  <c r="CR704" i="7"/>
  <c r="DD703" i="7"/>
  <c r="DB703" i="7"/>
  <c r="CZ703" i="7"/>
  <c r="CX703" i="7"/>
  <c r="CV703" i="7"/>
  <c r="CT703" i="7"/>
  <c r="CR703" i="7"/>
  <c r="DD702" i="7"/>
  <c r="DB702" i="7"/>
  <c r="CZ702" i="7"/>
  <c r="CX702" i="7"/>
  <c r="CV702" i="7"/>
  <c r="CT702" i="7"/>
  <c r="CR702" i="7"/>
  <c r="DD701" i="7"/>
  <c r="DB701" i="7"/>
  <c r="CZ701" i="7"/>
  <c r="CX701" i="7"/>
  <c r="CV701" i="7"/>
  <c r="CT701" i="7"/>
  <c r="CR701" i="7"/>
  <c r="DD700" i="7"/>
  <c r="DB700" i="7"/>
  <c r="CZ700" i="7"/>
  <c r="CX700" i="7"/>
  <c r="CV700" i="7"/>
  <c r="CT700" i="7"/>
  <c r="CR700" i="7"/>
  <c r="DD699" i="7"/>
  <c r="DB699" i="7"/>
  <c r="CZ699" i="7"/>
  <c r="CX699" i="7"/>
  <c r="CV699" i="7"/>
  <c r="CT699" i="7"/>
  <c r="CR699" i="7"/>
  <c r="DD698" i="7"/>
  <c r="DB698" i="7"/>
  <c r="CZ698" i="7"/>
  <c r="CX698" i="7"/>
  <c r="CV698" i="7"/>
  <c r="CT698" i="7"/>
  <c r="CR698" i="7"/>
  <c r="DD697" i="7"/>
  <c r="DB697" i="7"/>
  <c r="CZ697" i="7"/>
  <c r="CX697" i="7"/>
  <c r="CV697" i="7"/>
  <c r="CT697" i="7"/>
  <c r="CR697" i="7"/>
  <c r="DD696" i="7"/>
  <c r="DB696" i="7"/>
  <c r="CZ696" i="7"/>
  <c r="CX696" i="7"/>
  <c r="CV696" i="7"/>
  <c r="CT696" i="7"/>
  <c r="CR696" i="7"/>
  <c r="DD695" i="7"/>
  <c r="DB695" i="7"/>
  <c r="CZ695" i="7"/>
  <c r="CX695" i="7"/>
  <c r="CV695" i="7"/>
  <c r="CT695" i="7"/>
  <c r="CR695" i="7"/>
  <c r="DD694" i="7"/>
  <c r="DB694" i="7"/>
  <c r="CZ694" i="7"/>
  <c r="CX694" i="7"/>
  <c r="CV694" i="7"/>
  <c r="CT694" i="7"/>
  <c r="CR694" i="7"/>
  <c r="DD693" i="7"/>
  <c r="DB693" i="7"/>
  <c r="CZ693" i="7"/>
  <c r="CX693" i="7"/>
  <c r="CV693" i="7"/>
  <c r="CT693" i="7"/>
  <c r="CR693" i="7"/>
  <c r="DD683" i="7"/>
  <c r="DB683" i="7"/>
  <c r="CZ683" i="7"/>
  <c r="CX683" i="7"/>
  <c r="CV683" i="7"/>
  <c r="CT683" i="7"/>
  <c r="CR683" i="7"/>
  <c r="DD682" i="7"/>
  <c r="DB682" i="7"/>
  <c r="CZ682" i="7"/>
  <c r="CX682" i="7"/>
  <c r="CV682" i="7"/>
  <c r="CT682" i="7"/>
  <c r="CR682" i="7"/>
  <c r="DD681" i="7"/>
  <c r="DB681" i="7"/>
  <c r="CZ681" i="7"/>
  <c r="CX681" i="7"/>
  <c r="CV681" i="7"/>
  <c r="CT681" i="7"/>
  <c r="CR681" i="7"/>
  <c r="DD680" i="7"/>
  <c r="DB680" i="7"/>
  <c r="CZ680" i="7"/>
  <c r="CX680" i="7"/>
  <c r="CV680" i="7"/>
  <c r="CT680" i="7"/>
  <c r="CR680" i="7"/>
  <c r="DD679" i="7"/>
  <c r="DB679" i="7"/>
  <c r="CZ679" i="7"/>
  <c r="CX679" i="7"/>
  <c r="CV679" i="7"/>
  <c r="CT679" i="7"/>
  <c r="CR679" i="7"/>
  <c r="DD678" i="7"/>
  <c r="DB678" i="7"/>
  <c r="CZ678" i="7"/>
  <c r="CX678" i="7"/>
  <c r="CV678" i="7"/>
  <c r="CT678" i="7"/>
  <c r="CR678" i="7"/>
  <c r="DD677" i="7"/>
  <c r="DB677" i="7"/>
  <c r="CZ677" i="7"/>
  <c r="CX677" i="7"/>
  <c r="CV677" i="7"/>
  <c r="CT677" i="7"/>
  <c r="CR677" i="7"/>
  <c r="DD676" i="7"/>
  <c r="DB676" i="7"/>
  <c r="CZ676" i="7"/>
  <c r="CX676" i="7"/>
  <c r="CV676" i="7"/>
  <c r="CT676" i="7"/>
  <c r="CR676" i="7"/>
  <c r="DD675" i="7"/>
  <c r="DB675" i="7"/>
  <c r="CZ675" i="7"/>
  <c r="CX675" i="7"/>
  <c r="CV675" i="7"/>
  <c r="CT675" i="7"/>
  <c r="CR675" i="7"/>
  <c r="DD674" i="7"/>
  <c r="DB674" i="7"/>
  <c r="CZ674" i="7"/>
  <c r="CX674" i="7"/>
  <c r="CV674" i="7"/>
  <c r="CT674" i="7"/>
  <c r="CR674" i="7"/>
  <c r="DD673" i="7"/>
  <c r="DB673" i="7"/>
  <c r="CZ673" i="7"/>
  <c r="CX673" i="7"/>
  <c r="CV673" i="7"/>
  <c r="CT673" i="7"/>
  <c r="CR673" i="7"/>
  <c r="DD672" i="7"/>
  <c r="DB672" i="7"/>
  <c r="CZ672" i="7"/>
  <c r="CX672" i="7"/>
  <c r="CV672" i="7"/>
  <c r="CT672" i="7"/>
  <c r="CR672" i="7"/>
  <c r="DD671" i="7"/>
  <c r="DB671" i="7"/>
  <c r="CZ671" i="7"/>
  <c r="CX671" i="7"/>
  <c r="CV671" i="7"/>
  <c r="CT671" i="7"/>
  <c r="CR671" i="7"/>
  <c r="DD670" i="7"/>
  <c r="DB670" i="7"/>
  <c r="CZ670" i="7"/>
  <c r="CX670" i="7"/>
  <c r="CV670" i="7"/>
  <c r="CT670" i="7"/>
  <c r="CR670" i="7"/>
  <c r="DD669" i="7"/>
  <c r="DB669" i="7"/>
  <c r="CZ669" i="7"/>
  <c r="CX669" i="7"/>
  <c r="CV669" i="7"/>
  <c r="CT669" i="7"/>
  <c r="CR669" i="7"/>
  <c r="DD668" i="7"/>
  <c r="DB668" i="7"/>
  <c r="CZ668" i="7"/>
  <c r="CX668" i="7"/>
  <c r="CV668" i="7"/>
  <c r="CT668" i="7"/>
  <c r="CR668" i="7"/>
  <c r="DD667" i="7"/>
  <c r="DB667" i="7"/>
  <c r="CZ667" i="7"/>
  <c r="CX667" i="7"/>
  <c r="CV667" i="7"/>
  <c r="CT667" i="7"/>
  <c r="CR667" i="7"/>
  <c r="DD666" i="7"/>
  <c r="DB666" i="7"/>
  <c r="CZ666" i="7"/>
  <c r="CX666" i="7"/>
  <c r="CV666" i="7"/>
  <c r="CT666" i="7"/>
  <c r="CR666" i="7"/>
  <c r="DD665" i="7"/>
  <c r="DB665" i="7"/>
  <c r="CZ665" i="7"/>
  <c r="CX665" i="7"/>
  <c r="CV665" i="7"/>
  <c r="CT665" i="7"/>
  <c r="CR665" i="7"/>
  <c r="DD664" i="7"/>
  <c r="DB664" i="7"/>
  <c r="CZ664" i="7"/>
  <c r="CX664" i="7"/>
  <c r="CV664" i="7"/>
  <c r="CT664" i="7"/>
  <c r="CR664" i="7"/>
  <c r="DD663" i="7"/>
  <c r="DB663" i="7"/>
  <c r="CZ663" i="7"/>
  <c r="CX663" i="7"/>
  <c r="CV663" i="7"/>
  <c r="CT663" i="7"/>
  <c r="CR663" i="7"/>
  <c r="DD662" i="7"/>
  <c r="DB662" i="7"/>
  <c r="CZ662" i="7"/>
  <c r="CX662" i="7"/>
  <c r="CV662" i="7"/>
  <c r="CT662" i="7"/>
  <c r="CR662" i="7"/>
  <c r="DD661" i="7"/>
  <c r="DB661" i="7"/>
  <c r="CZ661" i="7"/>
  <c r="CX661" i="7"/>
  <c r="CV661" i="7"/>
  <c r="CT661" i="7"/>
  <c r="CR661" i="7"/>
  <c r="DD660" i="7"/>
  <c r="DB660" i="7"/>
  <c r="CZ660" i="7"/>
  <c r="CX660" i="7"/>
  <c r="CV660" i="7"/>
  <c r="CT660" i="7"/>
  <c r="CR660" i="7"/>
  <c r="DD659" i="7"/>
  <c r="DB659" i="7"/>
  <c r="CZ659" i="7"/>
  <c r="CX659" i="7"/>
  <c r="CV659" i="7"/>
  <c r="CT659" i="7"/>
  <c r="CR659" i="7"/>
  <c r="DD658" i="7"/>
  <c r="DB658" i="7"/>
  <c r="CZ658" i="7"/>
  <c r="CX658" i="7"/>
  <c r="CV658" i="7"/>
  <c r="CT658" i="7"/>
  <c r="CR658" i="7"/>
  <c r="DD657" i="7"/>
  <c r="DB657" i="7"/>
  <c r="CZ657" i="7"/>
  <c r="CX657" i="7"/>
  <c r="CV657" i="7"/>
  <c r="CT657" i="7"/>
  <c r="CR657" i="7"/>
  <c r="DD656" i="7"/>
  <c r="DB656" i="7"/>
  <c r="CZ656" i="7"/>
  <c r="CX656" i="7"/>
  <c r="CV656" i="7"/>
  <c r="CT656" i="7"/>
  <c r="CR656" i="7"/>
  <c r="DD655" i="7"/>
  <c r="DB655" i="7"/>
  <c r="CZ655" i="7"/>
  <c r="CX655" i="7"/>
  <c r="CV655" i="7"/>
  <c r="CT655" i="7"/>
  <c r="CR655" i="7"/>
  <c r="DD654" i="7"/>
  <c r="DB654" i="7"/>
  <c r="CZ654" i="7"/>
  <c r="CX654" i="7"/>
  <c r="CV654" i="7"/>
  <c r="CT654" i="7"/>
  <c r="CR654" i="7"/>
  <c r="DD653" i="7"/>
  <c r="DB653" i="7"/>
  <c r="CZ653" i="7"/>
  <c r="CX653" i="7"/>
  <c r="CV653" i="7"/>
  <c r="CT653" i="7"/>
  <c r="CR653" i="7"/>
  <c r="DD652" i="7"/>
  <c r="DB652" i="7"/>
  <c r="CZ652" i="7"/>
  <c r="CX652" i="7"/>
  <c r="CV652" i="7"/>
  <c r="CT652" i="7"/>
  <c r="CR652" i="7"/>
  <c r="DD651" i="7"/>
  <c r="DB651" i="7"/>
  <c r="CZ651" i="7"/>
  <c r="CX651" i="7"/>
  <c r="CV651" i="7"/>
  <c r="CT651" i="7"/>
  <c r="CR651" i="7"/>
  <c r="DD650" i="7"/>
  <c r="DB650" i="7"/>
  <c r="CZ650" i="7"/>
  <c r="CX650" i="7"/>
  <c r="CV650" i="7"/>
  <c r="CT650" i="7"/>
  <c r="CR650" i="7"/>
  <c r="DD649" i="7"/>
  <c r="DB649" i="7"/>
  <c r="CZ649" i="7"/>
  <c r="CX649" i="7"/>
  <c r="CV649" i="7"/>
  <c r="CT649" i="7"/>
  <c r="CR649" i="7"/>
  <c r="DD648" i="7"/>
  <c r="DB648" i="7"/>
  <c r="CZ648" i="7"/>
  <c r="CX648" i="7"/>
  <c r="CV648" i="7"/>
  <c r="CT648" i="7"/>
  <c r="CR648" i="7"/>
  <c r="DD647" i="7"/>
  <c r="DB647" i="7"/>
  <c r="CZ647" i="7"/>
  <c r="CX647" i="7"/>
  <c r="CV647" i="7"/>
  <c r="CT647" i="7"/>
  <c r="CR647" i="7"/>
  <c r="DD646" i="7"/>
  <c r="DB646" i="7"/>
  <c r="CZ646" i="7"/>
  <c r="CX646" i="7"/>
  <c r="CV646" i="7"/>
  <c r="CT646" i="7"/>
  <c r="CR646" i="7"/>
  <c r="DD645" i="7"/>
  <c r="DB645" i="7"/>
  <c r="CZ645" i="7"/>
  <c r="CX645" i="7"/>
  <c r="CV645" i="7"/>
  <c r="CT645" i="7"/>
  <c r="CR645" i="7"/>
  <c r="DD644" i="7"/>
  <c r="DB644" i="7"/>
  <c r="CZ644" i="7"/>
  <c r="CX644" i="7"/>
  <c r="CV644" i="7"/>
  <c r="CT644" i="7"/>
  <c r="CR644" i="7"/>
  <c r="DD643" i="7"/>
  <c r="DB643" i="7"/>
  <c r="CZ643" i="7"/>
  <c r="CX643" i="7"/>
  <c r="CV643" i="7"/>
  <c r="CT643" i="7"/>
  <c r="CR643" i="7"/>
  <c r="DD642" i="7"/>
  <c r="DB642" i="7"/>
  <c r="CZ642" i="7"/>
  <c r="CX642" i="7"/>
  <c r="CV642" i="7"/>
  <c r="CT642" i="7"/>
  <c r="CR642" i="7"/>
  <c r="DD641" i="7"/>
  <c r="DB641" i="7"/>
  <c r="CZ641" i="7"/>
  <c r="CX641" i="7"/>
  <c r="CV641" i="7"/>
  <c r="CT641" i="7"/>
  <c r="CR641" i="7"/>
  <c r="DD640" i="7"/>
  <c r="DB640" i="7"/>
  <c r="CZ640" i="7"/>
  <c r="CX640" i="7"/>
  <c r="CV640" i="7"/>
  <c r="CT640" i="7"/>
  <c r="CR640" i="7"/>
  <c r="DD639" i="7"/>
  <c r="DB639" i="7"/>
  <c r="CZ639" i="7"/>
  <c r="CX639" i="7"/>
  <c r="CV639" i="7"/>
  <c r="CT639" i="7"/>
  <c r="CR639" i="7"/>
  <c r="DD638" i="7"/>
  <c r="DB638" i="7"/>
  <c r="CZ638" i="7"/>
  <c r="CX638" i="7"/>
  <c r="CV638" i="7"/>
  <c r="CT638" i="7"/>
  <c r="CR638" i="7"/>
  <c r="DD637" i="7"/>
  <c r="DB637" i="7"/>
  <c r="CZ637" i="7"/>
  <c r="CX637" i="7"/>
  <c r="CV637" i="7"/>
  <c r="CT637" i="7"/>
  <c r="CR637" i="7"/>
  <c r="DD636" i="7"/>
  <c r="DB636" i="7"/>
  <c r="CZ636" i="7"/>
  <c r="CX636" i="7"/>
  <c r="CV636" i="7"/>
  <c r="CT636" i="7"/>
  <c r="CR636" i="7"/>
  <c r="DD626" i="7"/>
  <c r="DB626" i="7"/>
  <c r="CZ626" i="7"/>
  <c r="CX626" i="7"/>
  <c r="CV626" i="7"/>
  <c r="CT626" i="7"/>
  <c r="CR626" i="7"/>
  <c r="DD625" i="7"/>
  <c r="DB625" i="7"/>
  <c r="CZ625" i="7"/>
  <c r="CX625" i="7"/>
  <c r="CV625" i="7"/>
  <c r="CT625" i="7"/>
  <c r="CR625" i="7"/>
  <c r="DD624" i="7"/>
  <c r="DB624" i="7"/>
  <c r="CZ624" i="7"/>
  <c r="CX624" i="7"/>
  <c r="CV624" i="7"/>
  <c r="CT624" i="7"/>
  <c r="CR624" i="7"/>
  <c r="DD623" i="7"/>
  <c r="DB623" i="7"/>
  <c r="CZ623" i="7"/>
  <c r="CX623" i="7"/>
  <c r="CV623" i="7"/>
  <c r="CT623" i="7"/>
  <c r="CR623" i="7"/>
  <c r="DD622" i="7"/>
  <c r="DB622" i="7"/>
  <c r="CZ622" i="7"/>
  <c r="CX622" i="7"/>
  <c r="CV622" i="7"/>
  <c r="CT622" i="7"/>
  <c r="CR622" i="7"/>
  <c r="DD621" i="7"/>
  <c r="DB621" i="7"/>
  <c r="CZ621" i="7"/>
  <c r="CX621" i="7"/>
  <c r="CV621" i="7"/>
  <c r="CT621" i="7"/>
  <c r="CR621" i="7"/>
  <c r="DD620" i="7"/>
  <c r="DB620" i="7"/>
  <c r="CZ620" i="7"/>
  <c r="CX620" i="7"/>
  <c r="CV620" i="7"/>
  <c r="CT620" i="7"/>
  <c r="CR620" i="7"/>
  <c r="DD619" i="7"/>
  <c r="DB619" i="7"/>
  <c r="CZ619" i="7"/>
  <c r="CX619" i="7"/>
  <c r="CV619" i="7"/>
  <c r="CT619" i="7"/>
  <c r="CR619" i="7"/>
  <c r="DD618" i="7"/>
  <c r="DB618" i="7"/>
  <c r="CZ618" i="7"/>
  <c r="CX618" i="7"/>
  <c r="CV618" i="7"/>
  <c r="CT618" i="7"/>
  <c r="CR618" i="7"/>
  <c r="DD617" i="7"/>
  <c r="DB617" i="7"/>
  <c r="CZ617" i="7"/>
  <c r="CX617" i="7"/>
  <c r="CV617" i="7"/>
  <c r="CT617" i="7"/>
  <c r="CR617" i="7"/>
  <c r="DD616" i="7"/>
  <c r="DB616" i="7"/>
  <c r="CZ616" i="7"/>
  <c r="CX616" i="7"/>
  <c r="CV616" i="7"/>
  <c r="CT616" i="7"/>
  <c r="CR616" i="7"/>
  <c r="DD615" i="7"/>
  <c r="DB615" i="7"/>
  <c r="CZ615" i="7"/>
  <c r="CX615" i="7"/>
  <c r="CV615" i="7"/>
  <c r="CT615" i="7"/>
  <c r="CR615" i="7"/>
  <c r="DD614" i="7"/>
  <c r="DB614" i="7"/>
  <c r="CZ614" i="7"/>
  <c r="CX614" i="7"/>
  <c r="CV614" i="7"/>
  <c r="CT614" i="7"/>
  <c r="CR614" i="7"/>
  <c r="DD613" i="7"/>
  <c r="DB613" i="7"/>
  <c r="CZ613" i="7"/>
  <c r="CX613" i="7"/>
  <c r="CV613" i="7"/>
  <c r="CT613" i="7"/>
  <c r="CR613" i="7"/>
  <c r="DD612" i="7"/>
  <c r="DB612" i="7"/>
  <c r="CZ612" i="7"/>
  <c r="CX612" i="7"/>
  <c r="CV612" i="7"/>
  <c r="CT612" i="7"/>
  <c r="CR612" i="7"/>
  <c r="DD611" i="7"/>
  <c r="DB611" i="7"/>
  <c r="CZ611" i="7"/>
  <c r="CX611" i="7"/>
  <c r="CV611" i="7"/>
  <c r="CT611" i="7"/>
  <c r="CR611" i="7"/>
  <c r="DD610" i="7"/>
  <c r="DB610" i="7"/>
  <c r="CZ610" i="7"/>
  <c r="CX610" i="7"/>
  <c r="CV610" i="7"/>
  <c r="CT610" i="7"/>
  <c r="CR610" i="7"/>
  <c r="DD609" i="7"/>
  <c r="DB609" i="7"/>
  <c r="CZ609" i="7"/>
  <c r="CX609" i="7"/>
  <c r="CV609" i="7"/>
  <c r="CT609" i="7"/>
  <c r="CR609" i="7"/>
  <c r="DD608" i="7"/>
  <c r="DB608" i="7"/>
  <c r="CZ608" i="7"/>
  <c r="CX608" i="7"/>
  <c r="CV608" i="7"/>
  <c r="CT608" i="7"/>
  <c r="CR608" i="7"/>
  <c r="DD607" i="7"/>
  <c r="DB607" i="7"/>
  <c r="CZ607" i="7"/>
  <c r="CX607" i="7"/>
  <c r="CV607" i="7"/>
  <c r="CT607" i="7"/>
  <c r="CR607" i="7"/>
  <c r="DD606" i="7"/>
  <c r="DB606" i="7"/>
  <c r="CZ606" i="7"/>
  <c r="CX606" i="7"/>
  <c r="CV606" i="7"/>
  <c r="CT606" i="7"/>
  <c r="CR606" i="7"/>
  <c r="DD605" i="7"/>
  <c r="DB605" i="7"/>
  <c r="CZ605" i="7"/>
  <c r="CX605" i="7"/>
  <c r="CV605" i="7"/>
  <c r="CT605" i="7"/>
  <c r="CR605" i="7"/>
  <c r="DD604" i="7"/>
  <c r="DB604" i="7"/>
  <c r="CZ604" i="7"/>
  <c r="CX604" i="7"/>
  <c r="CV604" i="7"/>
  <c r="CT604" i="7"/>
  <c r="CR604" i="7"/>
  <c r="DD603" i="7"/>
  <c r="DB603" i="7"/>
  <c r="CZ603" i="7"/>
  <c r="CX603" i="7"/>
  <c r="CV603" i="7"/>
  <c r="CT603" i="7"/>
  <c r="CR603" i="7"/>
  <c r="DD602" i="7"/>
  <c r="DB602" i="7"/>
  <c r="CZ602" i="7"/>
  <c r="CX602" i="7"/>
  <c r="CV602" i="7"/>
  <c r="CT602" i="7"/>
  <c r="CR602" i="7"/>
  <c r="DD601" i="7"/>
  <c r="DB601" i="7"/>
  <c r="CZ601" i="7"/>
  <c r="CX601" i="7"/>
  <c r="CV601" i="7"/>
  <c r="CT601" i="7"/>
  <c r="CR601" i="7"/>
  <c r="DD600" i="7"/>
  <c r="DB600" i="7"/>
  <c r="CZ600" i="7"/>
  <c r="CX600" i="7"/>
  <c r="CV600" i="7"/>
  <c r="CT600" i="7"/>
  <c r="CR600" i="7"/>
  <c r="DD599" i="7"/>
  <c r="DB599" i="7"/>
  <c r="CZ599" i="7"/>
  <c r="CX599" i="7"/>
  <c r="CV599" i="7"/>
  <c r="CT599" i="7"/>
  <c r="CR599" i="7"/>
  <c r="DD598" i="7"/>
  <c r="DB598" i="7"/>
  <c r="CZ598" i="7"/>
  <c r="CX598" i="7"/>
  <c r="CV598" i="7"/>
  <c r="CT598" i="7"/>
  <c r="CR598" i="7"/>
  <c r="DD597" i="7"/>
  <c r="DB597" i="7"/>
  <c r="CZ597" i="7"/>
  <c r="CX597" i="7"/>
  <c r="CV597" i="7"/>
  <c r="CT597" i="7"/>
  <c r="CR597" i="7"/>
  <c r="DD596" i="7"/>
  <c r="DB596" i="7"/>
  <c r="CZ596" i="7"/>
  <c r="CX596" i="7"/>
  <c r="CV596" i="7"/>
  <c r="CT596" i="7"/>
  <c r="CR596" i="7"/>
  <c r="DD595" i="7"/>
  <c r="DB595" i="7"/>
  <c r="CZ595" i="7"/>
  <c r="CX595" i="7"/>
  <c r="CV595" i="7"/>
  <c r="CT595" i="7"/>
  <c r="CR595" i="7"/>
  <c r="DD594" i="7"/>
  <c r="DB594" i="7"/>
  <c r="CZ594" i="7"/>
  <c r="CX594" i="7"/>
  <c r="CV594" i="7"/>
  <c r="CT594" i="7"/>
  <c r="CR594" i="7"/>
  <c r="DD593" i="7"/>
  <c r="DB593" i="7"/>
  <c r="CZ593" i="7"/>
  <c r="CX593" i="7"/>
  <c r="CV593" i="7"/>
  <c r="CT593" i="7"/>
  <c r="CR593" i="7"/>
  <c r="DD592" i="7"/>
  <c r="DB592" i="7"/>
  <c r="CZ592" i="7"/>
  <c r="CX592" i="7"/>
  <c r="CV592" i="7"/>
  <c r="CT592" i="7"/>
  <c r="CR592" i="7"/>
  <c r="DD591" i="7"/>
  <c r="DB591" i="7"/>
  <c r="CZ591" i="7"/>
  <c r="CX591" i="7"/>
  <c r="CV591" i="7"/>
  <c r="CT591" i="7"/>
  <c r="CR591" i="7"/>
  <c r="DD590" i="7"/>
  <c r="DB590" i="7"/>
  <c r="CZ590" i="7"/>
  <c r="CX590" i="7"/>
  <c r="CV590" i="7"/>
  <c r="CT590" i="7"/>
  <c r="CR590" i="7"/>
  <c r="DD589" i="7"/>
  <c r="DB589" i="7"/>
  <c r="CZ589" i="7"/>
  <c r="CX589" i="7"/>
  <c r="CV589" i="7"/>
  <c r="CT589" i="7"/>
  <c r="CR589" i="7"/>
  <c r="DD588" i="7"/>
  <c r="DB588" i="7"/>
  <c r="CZ588" i="7"/>
  <c r="CX588" i="7"/>
  <c r="CV588" i="7"/>
  <c r="CT588" i="7"/>
  <c r="CR588" i="7"/>
  <c r="DD587" i="7"/>
  <c r="DB587" i="7"/>
  <c r="CZ587" i="7"/>
  <c r="CX587" i="7"/>
  <c r="CV587" i="7"/>
  <c r="CT587" i="7"/>
  <c r="CR587" i="7"/>
  <c r="DD586" i="7"/>
  <c r="DB586" i="7"/>
  <c r="CZ586" i="7"/>
  <c r="CX586" i="7"/>
  <c r="CV586" i="7"/>
  <c r="CT586" i="7"/>
  <c r="CR586" i="7"/>
  <c r="DD585" i="7"/>
  <c r="DB585" i="7"/>
  <c r="CZ585" i="7"/>
  <c r="CX585" i="7"/>
  <c r="CV585" i="7"/>
  <c r="CT585" i="7"/>
  <c r="CR585" i="7"/>
  <c r="DD584" i="7"/>
  <c r="DB584" i="7"/>
  <c r="CZ584" i="7"/>
  <c r="CX584" i="7"/>
  <c r="CV584" i="7"/>
  <c r="CT584" i="7"/>
  <c r="CR584" i="7"/>
  <c r="DD583" i="7"/>
  <c r="DB583" i="7"/>
  <c r="CZ583" i="7"/>
  <c r="CX583" i="7"/>
  <c r="CV583" i="7"/>
  <c r="CT583" i="7"/>
  <c r="CR583" i="7"/>
  <c r="DD582" i="7"/>
  <c r="DB582" i="7"/>
  <c r="CZ582" i="7"/>
  <c r="CX582" i="7"/>
  <c r="CV582" i="7"/>
  <c r="CT582" i="7"/>
  <c r="CR582" i="7"/>
  <c r="DD581" i="7"/>
  <c r="DB581" i="7"/>
  <c r="CZ581" i="7"/>
  <c r="CX581" i="7"/>
  <c r="CV581" i="7"/>
  <c r="CT581" i="7"/>
  <c r="CR581" i="7"/>
  <c r="DD580" i="7"/>
  <c r="DB580" i="7"/>
  <c r="CZ580" i="7"/>
  <c r="CX580" i="7"/>
  <c r="CV580" i="7"/>
  <c r="CT580" i="7"/>
  <c r="CR580" i="7"/>
  <c r="DD579" i="7"/>
  <c r="DB579" i="7"/>
  <c r="CZ579" i="7"/>
  <c r="CX579" i="7"/>
  <c r="CV579" i="7"/>
  <c r="CT579" i="7"/>
  <c r="CR579" i="7"/>
  <c r="DD569" i="7"/>
  <c r="DB569" i="7"/>
  <c r="CZ569" i="7"/>
  <c r="CX569" i="7"/>
  <c r="CV569" i="7"/>
  <c r="CT569" i="7"/>
  <c r="CR569" i="7"/>
  <c r="DD568" i="7"/>
  <c r="DB568" i="7"/>
  <c r="CZ568" i="7"/>
  <c r="CX568" i="7"/>
  <c r="CV568" i="7"/>
  <c r="CT568" i="7"/>
  <c r="CR568" i="7"/>
  <c r="DD567" i="7"/>
  <c r="DB567" i="7"/>
  <c r="CZ567" i="7"/>
  <c r="CX567" i="7"/>
  <c r="CV567" i="7"/>
  <c r="CT567" i="7"/>
  <c r="CR567" i="7"/>
  <c r="DD566" i="7"/>
  <c r="DB566" i="7"/>
  <c r="CZ566" i="7"/>
  <c r="CX566" i="7"/>
  <c r="CV566" i="7"/>
  <c r="CT566" i="7"/>
  <c r="CR566" i="7"/>
  <c r="DD565" i="7"/>
  <c r="DB565" i="7"/>
  <c r="CZ565" i="7"/>
  <c r="CX565" i="7"/>
  <c r="CV565" i="7"/>
  <c r="CT565" i="7"/>
  <c r="CR565" i="7"/>
  <c r="DD564" i="7"/>
  <c r="DB564" i="7"/>
  <c r="CZ564" i="7"/>
  <c r="CX564" i="7"/>
  <c r="CV564" i="7"/>
  <c r="CT564" i="7"/>
  <c r="CR564" i="7"/>
  <c r="DD563" i="7"/>
  <c r="DB563" i="7"/>
  <c r="CZ563" i="7"/>
  <c r="CX563" i="7"/>
  <c r="CV563" i="7"/>
  <c r="CT563" i="7"/>
  <c r="CR563" i="7"/>
  <c r="DD562" i="7"/>
  <c r="DB562" i="7"/>
  <c r="CZ562" i="7"/>
  <c r="CX562" i="7"/>
  <c r="CV562" i="7"/>
  <c r="CT562" i="7"/>
  <c r="CR562" i="7"/>
  <c r="DD561" i="7"/>
  <c r="DB561" i="7"/>
  <c r="CZ561" i="7"/>
  <c r="CX561" i="7"/>
  <c r="CV561" i="7"/>
  <c r="CT561" i="7"/>
  <c r="CR561" i="7"/>
  <c r="DD560" i="7"/>
  <c r="DB560" i="7"/>
  <c r="CZ560" i="7"/>
  <c r="CX560" i="7"/>
  <c r="CV560" i="7"/>
  <c r="CT560" i="7"/>
  <c r="CR560" i="7"/>
  <c r="DD559" i="7"/>
  <c r="DB559" i="7"/>
  <c r="CZ559" i="7"/>
  <c r="CX559" i="7"/>
  <c r="CV559" i="7"/>
  <c r="CT559" i="7"/>
  <c r="CR559" i="7"/>
  <c r="DD558" i="7"/>
  <c r="DB558" i="7"/>
  <c r="CZ558" i="7"/>
  <c r="CX558" i="7"/>
  <c r="CV558" i="7"/>
  <c r="CT558" i="7"/>
  <c r="CR558" i="7"/>
  <c r="DD557" i="7"/>
  <c r="DB557" i="7"/>
  <c r="CZ557" i="7"/>
  <c r="CX557" i="7"/>
  <c r="CV557" i="7"/>
  <c r="CT557" i="7"/>
  <c r="CR557" i="7"/>
  <c r="DD556" i="7"/>
  <c r="DB556" i="7"/>
  <c r="CZ556" i="7"/>
  <c r="CX556" i="7"/>
  <c r="CV556" i="7"/>
  <c r="CT556" i="7"/>
  <c r="CR556" i="7"/>
  <c r="DD555" i="7"/>
  <c r="DB555" i="7"/>
  <c r="CZ555" i="7"/>
  <c r="CX555" i="7"/>
  <c r="CV555" i="7"/>
  <c r="CT555" i="7"/>
  <c r="CR555" i="7"/>
  <c r="DD554" i="7"/>
  <c r="DB554" i="7"/>
  <c r="CZ554" i="7"/>
  <c r="CX554" i="7"/>
  <c r="CV554" i="7"/>
  <c r="CT554" i="7"/>
  <c r="CR554" i="7"/>
  <c r="DD553" i="7"/>
  <c r="DB553" i="7"/>
  <c r="CZ553" i="7"/>
  <c r="CX553" i="7"/>
  <c r="CV553" i="7"/>
  <c r="CT553" i="7"/>
  <c r="CR553" i="7"/>
  <c r="DD552" i="7"/>
  <c r="DB552" i="7"/>
  <c r="CZ552" i="7"/>
  <c r="CX552" i="7"/>
  <c r="CV552" i="7"/>
  <c r="CT552" i="7"/>
  <c r="CR552" i="7"/>
  <c r="DD551" i="7"/>
  <c r="DB551" i="7"/>
  <c r="CZ551" i="7"/>
  <c r="CX551" i="7"/>
  <c r="CV551" i="7"/>
  <c r="CT551" i="7"/>
  <c r="CR551" i="7"/>
  <c r="DD550" i="7"/>
  <c r="DB550" i="7"/>
  <c r="CZ550" i="7"/>
  <c r="CX550" i="7"/>
  <c r="CV550" i="7"/>
  <c r="CT550" i="7"/>
  <c r="CR550" i="7"/>
  <c r="DD549" i="7"/>
  <c r="DB549" i="7"/>
  <c r="CZ549" i="7"/>
  <c r="CX549" i="7"/>
  <c r="CV549" i="7"/>
  <c r="CT549" i="7"/>
  <c r="CR549" i="7"/>
  <c r="DD548" i="7"/>
  <c r="DB548" i="7"/>
  <c r="CZ548" i="7"/>
  <c r="CX548" i="7"/>
  <c r="CV548" i="7"/>
  <c r="CT548" i="7"/>
  <c r="CR548" i="7"/>
  <c r="DD547" i="7"/>
  <c r="DB547" i="7"/>
  <c r="CZ547" i="7"/>
  <c r="CX547" i="7"/>
  <c r="CV547" i="7"/>
  <c r="CT547" i="7"/>
  <c r="CR547" i="7"/>
  <c r="DD546" i="7"/>
  <c r="DB546" i="7"/>
  <c r="CZ546" i="7"/>
  <c r="CX546" i="7"/>
  <c r="CV546" i="7"/>
  <c r="CT546" i="7"/>
  <c r="CR546" i="7"/>
  <c r="DD545" i="7"/>
  <c r="DB545" i="7"/>
  <c r="CZ545" i="7"/>
  <c r="CX545" i="7"/>
  <c r="CV545" i="7"/>
  <c r="CT545" i="7"/>
  <c r="CR545" i="7"/>
  <c r="DD544" i="7"/>
  <c r="DB544" i="7"/>
  <c r="CZ544" i="7"/>
  <c r="CX544" i="7"/>
  <c r="CV544" i="7"/>
  <c r="CT544" i="7"/>
  <c r="CR544" i="7"/>
  <c r="DD543" i="7"/>
  <c r="DB543" i="7"/>
  <c r="CZ543" i="7"/>
  <c r="CX543" i="7"/>
  <c r="CV543" i="7"/>
  <c r="CT543" i="7"/>
  <c r="CR543" i="7"/>
  <c r="DD542" i="7"/>
  <c r="DB542" i="7"/>
  <c r="CZ542" i="7"/>
  <c r="CX542" i="7"/>
  <c r="CV542" i="7"/>
  <c r="CT542" i="7"/>
  <c r="CR542" i="7"/>
  <c r="DD541" i="7"/>
  <c r="DB541" i="7"/>
  <c r="CZ541" i="7"/>
  <c r="CX541" i="7"/>
  <c r="CV541" i="7"/>
  <c r="CT541" i="7"/>
  <c r="CR541" i="7"/>
  <c r="DD540" i="7"/>
  <c r="DB540" i="7"/>
  <c r="CZ540" i="7"/>
  <c r="CX540" i="7"/>
  <c r="CV540" i="7"/>
  <c r="CT540" i="7"/>
  <c r="CR540" i="7"/>
  <c r="DD539" i="7"/>
  <c r="DB539" i="7"/>
  <c r="CZ539" i="7"/>
  <c r="CX539" i="7"/>
  <c r="CV539" i="7"/>
  <c r="CT539" i="7"/>
  <c r="CR539" i="7"/>
  <c r="DD538" i="7"/>
  <c r="DB538" i="7"/>
  <c r="CZ538" i="7"/>
  <c r="CX538" i="7"/>
  <c r="CV538" i="7"/>
  <c r="CT538" i="7"/>
  <c r="CR538" i="7"/>
  <c r="DD537" i="7"/>
  <c r="DB537" i="7"/>
  <c r="CZ537" i="7"/>
  <c r="CX537" i="7"/>
  <c r="CV537" i="7"/>
  <c r="CT537" i="7"/>
  <c r="CR537" i="7"/>
  <c r="DD536" i="7"/>
  <c r="DB536" i="7"/>
  <c r="CZ536" i="7"/>
  <c r="CX536" i="7"/>
  <c r="CV536" i="7"/>
  <c r="CT536" i="7"/>
  <c r="CR536" i="7"/>
  <c r="DD535" i="7"/>
  <c r="DB535" i="7"/>
  <c r="CZ535" i="7"/>
  <c r="CX535" i="7"/>
  <c r="CV535" i="7"/>
  <c r="CT535" i="7"/>
  <c r="CR535" i="7"/>
  <c r="DD534" i="7"/>
  <c r="DB534" i="7"/>
  <c r="CZ534" i="7"/>
  <c r="CX534" i="7"/>
  <c r="CV534" i="7"/>
  <c r="CT534" i="7"/>
  <c r="CR534" i="7"/>
  <c r="DD533" i="7"/>
  <c r="DB533" i="7"/>
  <c r="CZ533" i="7"/>
  <c r="CX533" i="7"/>
  <c r="CV533" i="7"/>
  <c r="CT533" i="7"/>
  <c r="CR533" i="7"/>
  <c r="DD532" i="7"/>
  <c r="DB532" i="7"/>
  <c r="CZ532" i="7"/>
  <c r="CX532" i="7"/>
  <c r="CV532" i="7"/>
  <c r="CT532" i="7"/>
  <c r="CR532" i="7"/>
  <c r="DD531" i="7"/>
  <c r="DB531" i="7"/>
  <c r="CZ531" i="7"/>
  <c r="CX531" i="7"/>
  <c r="CV531" i="7"/>
  <c r="CT531" i="7"/>
  <c r="CR531" i="7"/>
  <c r="DD530" i="7"/>
  <c r="DB530" i="7"/>
  <c r="CZ530" i="7"/>
  <c r="CX530" i="7"/>
  <c r="CV530" i="7"/>
  <c r="CT530" i="7"/>
  <c r="CR530" i="7"/>
  <c r="DD529" i="7"/>
  <c r="DB529" i="7"/>
  <c r="CZ529" i="7"/>
  <c r="CX529" i="7"/>
  <c r="CV529" i="7"/>
  <c r="CT529" i="7"/>
  <c r="CR529" i="7"/>
  <c r="DD528" i="7"/>
  <c r="DB528" i="7"/>
  <c r="CZ528" i="7"/>
  <c r="CX528" i="7"/>
  <c r="CV528" i="7"/>
  <c r="CT528" i="7"/>
  <c r="CR528" i="7"/>
  <c r="DD527" i="7"/>
  <c r="DB527" i="7"/>
  <c r="CZ527" i="7"/>
  <c r="CX527" i="7"/>
  <c r="CV527" i="7"/>
  <c r="CT527" i="7"/>
  <c r="CR527" i="7"/>
  <c r="DD526" i="7"/>
  <c r="DB526" i="7"/>
  <c r="CZ526" i="7"/>
  <c r="CX526" i="7"/>
  <c r="CV526" i="7"/>
  <c r="CT526" i="7"/>
  <c r="CR526" i="7"/>
  <c r="DD525" i="7"/>
  <c r="DB525" i="7"/>
  <c r="CZ525" i="7"/>
  <c r="CX525" i="7"/>
  <c r="CV525" i="7"/>
  <c r="CT525" i="7"/>
  <c r="CR525" i="7"/>
  <c r="DD524" i="7"/>
  <c r="DB524" i="7"/>
  <c r="CZ524" i="7"/>
  <c r="CX524" i="7"/>
  <c r="CV524" i="7"/>
  <c r="CT524" i="7"/>
  <c r="CR524" i="7"/>
  <c r="DD523" i="7"/>
  <c r="DB523" i="7"/>
  <c r="CZ523" i="7"/>
  <c r="CX523" i="7"/>
  <c r="CV523" i="7"/>
  <c r="CT523" i="7"/>
  <c r="CR523" i="7"/>
  <c r="DD522" i="7"/>
  <c r="DB522" i="7"/>
  <c r="CZ522" i="7"/>
  <c r="CX522" i="7"/>
  <c r="CV522" i="7"/>
  <c r="CT522" i="7"/>
  <c r="CR522" i="7"/>
  <c r="DD512" i="7"/>
  <c r="DB512" i="7"/>
  <c r="CZ512" i="7"/>
  <c r="CX512" i="7"/>
  <c r="CV512" i="7"/>
  <c r="CT512" i="7"/>
  <c r="CR512" i="7"/>
  <c r="DD511" i="7"/>
  <c r="DB511" i="7"/>
  <c r="CZ511" i="7"/>
  <c r="CX511" i="7"/>
  <c r="CV511" i="7"/>
  <c r="CT511" i="7"/>
  <c r="CR511" i="7"/>
  <c r="DD510" i="7"/>
  <c r="DB510" i="7"/>
  <c r="CZ510" i="7"/>
  <c r="CX510" i="7"/>
  <c r="CV510" i="7"/>
  <c r="CT510" i="7"/>
  <c r="CR510" i="7"/>
  <c r="DD509" i="7"/>
  <c r="DB509" i="7"/>
  <c r="CZ509" i="7"/>
  <c r="CX509" i="7"/>
  <c r="CV509" i="7"/>
  <c r="CT509" i="7"/>
  <c r="CR509" i="7"/>
  <c r="DD508" i="7"/>
  <c r="DB508" i="7"/>
  <c r="CZ508" i="7"/>
  <c r="CX508" i="7"/>
  <c r="CV508" i="7"/>
  <c r="CT508" i="7"/>
  <c r="CR508" i="7"/>
  <c r="DD507" i="7"/>
  <c r="DB507" i="7"/>
  <c r="CZ507" i="7"/>
  <c r="CX507" i="7"/>
  <c r="CV507" i="7"/>
  <c r="CT507" i="7"/>
  <c r="CR507" i="7"/>
  <c r="DD506" i="7"/>
  <c r="DB506" i="7"/>
  <c r="CZ506" i="7"/>
  <c r="CX506" i="7"/>
  <c r="CV506" i="7"/>
  <c r="CT506" i="7"/>
  <c r="CR506" i="7"/>
  <c r="DD505" i="7"/>
  <c r="DB505" i="7"/>
  <c r="CZ505" i="7"/>
  <c r="CX505" i="7"/>
  <c r="CV505" i="7"/>
  <c r="CT505" i="7"/>
  <c r="CR505" i="7"/>
  <c r="DD504" i="7"/>
  <c r="DB504" i="7"/>
  <c r="CZ504" i="7"/>
  <c r="CX504" i="7"/>
  <c r="CV504" i="7"/>
  <c r="CT504" i="7"/>
  <c r="CR504" i="7"/>
  <c r="DD503" i="7"/>
  <c r="DB503" i="7"/>
  <c r="CZ503" i="7"/>
  <c r="CX503" i="7"/>
  <c r="CV503" i="7"/>
  <c r="CT503" i="7"/>
  <c r="CR503" i="7"/>
  <c r="DD502" i="7"/>
  <c r="DB502" i="7"/>
  <c r="CZ502" i="7"/>
  <c r="CX502" i="7"/>
  <c r="CV502" i="7"/>
  <c r="CT502" i="7"/>
  <c r="CR502" i="7"/>
  <c r="DD501" i="7"/>
  <c r="DB501" i="7"/>
  <c r="CZ501" i="7"/>
  <c r="CX501" i="7"/>
  <c r="CV501" i="7"/>
  <c r="CT501" i="7"/>
  <c r="CR501" i="7"/>
  <c r="DD500" i="7"/>
  <c r="DB500" i="7"/>
  <c r="CZ500" i="7"/>
  <c r="CX500" i="7"/>
  <c r="CV500" i="7"/>
  <c r="CT500" i="7"/>
  <c r="CR500" i="7"/>
  <c r="DD499" i="7"/>
  <c r="DB499" i="7"/>
  <c r="CZ499" i="7"/>
  <c r="CX499" i="7"/>
  <c r="CV499" i="7"/>
  <c r="CT499" i="7"/>
  <c r="CR499" i="7"/>
  <c r="DD498" i="7"/>
  <c r="DB498" i="7"/>
  <c r="CZ498" i="7"/>
  <c r="CX498" i="7"/>
  <c r="CV498" i="7"/>
  <c r="CT498" i="7"/>
  <c r="CR498" i="7"/>
  <c r="DD497" i="7"/>
  <c r="DB497" i="7"/>
  <c r="CZ497" i="7"/>
  <c r="CX497" i="7"/>
  <c r="CV497" i="7"/>
  <c r="CT497" i="7"/>
  <c r="CR497" i="7"/>
  <c r="DD496" i="7"/>
  <c r="DB496" i="7"/>
  <c r="CZ496" i="7"/>
  <c r="CX496" i="7"/>
  <c r="CV496" i="7"/>
  <c r="CT496" i="7"/>
  <c r="CR496" i="7"/>
  <c r="DD495" i="7"/>
  <c r="DB495" i="7"/>
  <c r="CZ495" i="7"/>
  <c r="CX495" i="7"/>
  <c r="CV495" i="7"/>
  <c r="CT495" i="7"/>
  <c r="CR495" i="7"/>
  <c r="DD494" i="7"/>
  <c r="DB494" i="7"/>
  <c r="CZ494" i="7"/>
  <c r="CX494" i="7"/>
  <c r="CV494" i="7"/>
  <c r="CT494" i="7"/>
  <c r="CR494" i="7"/>
  <c r="DD493" i="7"/>
  <c r="DB493" i="7"/>
  <c r="CZ493" i="7"/>
  <c r="CX493" i="7"/>
  <c r="CV493" i="7"/>
  <c r="CT493" i="7"/>
  <c r="CR493" i="7"/>
  <c r="DD492" i="7"/>
  <c r="DB492" i="7"/>
  <c r="CZ492" i="7"/>
  <c r="CX492" i="7"/>
  <c r="CV492" i="7"/>
  <c r="CT492" i="7"/>
  <c r="CR492" i="7"/>
  <c r="DD491" i="7"/>
  <c r="DB491" i="7"/>
  <c r="CZ491" i="7"/>
  <c r="CX491" i="7"/>
  <c r="CV491" i="7"/>
  <c r="CT491" i="7"/>
  <c r="CR491" i="7"/>
  <c r="DD490" i="7"/>
  <c r="DB490" i="7"/>
  <c r="CZ490" i="7"/>
  <c r="CX490" i="7"/>
  <c r="CV490" i="7"/>
  <c r="CT490" i="7"/>
  <c r="CR490" i="7"/>
  <c r="DD489" i="7"/>
  <c r="DB489" i="7"/>
  <c r="CZ489" i="7"/>
  <c r="CX489" i="7"/>
  <c r="CV489" i="7"/>
  <c r="CT489" i="7"/>
  <c r="CR489" i="7"/>
  <c r="DD488" i="7"/>
  <c r="DB488" i="7"/>
  <c r="CZ488" i="7"/>
  <c r="CX488" i="7"/>
  <c r="CV488" i="7"/>
  <c r="CT488" i="7"/>
  <c r="CR488" i="7"/>
  <c r="DD487" i="7"/>
  <c r="DB487" i="7"/>
  <c r="CZ487" i="7"/>
  <c r="CX487" i="7"/>
  <c r="CV487" i="7"/>
  <c r="CT487" i="7"/>
  <c r="CR487" i="7"/>
  <c r="DD486" i="7"/>
  <c r="DB486" i="7"/>
  <c r="CZ486" i="7"/>
  <c r="CX486" i="7"/>
  <c r="CV486" i="7"/>
  <c r="CT486" i="7"/>
  <c r="CR486" i="7"/>
  <c r="DD485" i="7"/>
  <c r="DB485" i="7"/>
  <c r="CZ485" i="7"/>
  <c r="CX485" i="7"/>
  <c r="CV485" i="7"/>
  <c r="CT485" i="7"/>
  <c r="CR485" i="7"/>
  <c r="DD484" i="7"/>
  <c r="DB484" i="7"/>
  <c r="CZ484" i="7"/>
  <c r="CX484" i="7"/>
  <c r="CV484" i="7"/>
  <c r="CT484" i="7"/>
  <c r="CR484" i="7"/>
  <c r="DD483" i="7"/>
  <c r="DB483" i="7"/>
  <c r="CZ483" i="7"/>
  <c r="CX483" i="7"/>
  <c r="CV483" i="7"/>
  <c r="CT483" i="7"/>
  <c r="CR483" i="7"/>
  <c r="DD482" i="7"/>
  <c r="DB482" i="7"/>
  <c r="CZ482" i="7"/>
  <c r="CX482" i="7"/>
  <c r="CV482" i="7"/>
  <c r="CT482" i="7"/>
  <c r="CR482" i="7"/>
  <c r="DD481" i="7"/>
  <c r="DB481" i="7"/>
  <c r="CZ481" i="7"/>
  <c r="CX481" i="7"/>
  <c r="CV481" i="7"/>
  <c r="CT481" i="7"/>
  <c r="CR481" i="7"/>
  <c r="DD480" i="7"/>
  <c r="DB480" i="7"/>
  <c r="CZ480" i="7"/>
  <c r="CX480" i="7"/>
  <c r="CV480" i="7"/>
  <c r="CT480" i="7"/>
  <c r="CR480" i="7"/>
  <c r="DD479" i="7"/>
  <c r="DB479" i="7"/>
  <c r="CZ479" i="7"/>
  <c r="CX479" i="7"/>
  <c r="CV479" i="7"/>
  <c r="CT479" i="7"/>
  <c r="CR479" i="7"/>
  <c r="DD478" i="7"/>
  <c r="DB478" i="7"/>
  <c r="CZ478" i="7"/>
  <c r="CX478" i="7"/>
  <c r="CV478" i="7"/>
  <c r="CT478" i="7"/>
  <c r="CR478" i="7"/>
  <c r="DD477" i="7"/>
  <c r="DB477" i="7"/>
  <c r="CZ477" i="7"/>
  <c r="CX477" i="7"/>
  <c r="CV477" i="7"/>
  <c r="CT477" i="7"/>
  <c r="CR477" i="7"/>
  <c r="DD476" i="7"/>
  <c r="DB476" i="7"/>
  <c r="CZ476" i="7"/>
  <c r="CX476" i="7"/>
  <c r="CV476" i="7"/>
  <c r="CT476" i="7"/>
  <c r="CR476" i="7"/>
  <c r="DD475" i="7"/>
  <c r="DB475" i="7"/>
  <c r="CZ475" i="7"/>
  <c r="CX475" i="7"/>
  <c r="CV475" i="7"/>
  <c r="CT475" i="7"/>
  <c r="CR475" i="7"/>
  <c r="DD474" i="7"/>
  <c r="DB474" i="7"/>
  <c r="CZ474" i="7"/>
  <c r="CX474" i="7"/>
  <c r="CV474" i="7"/>
  <c r="CT474" i="7"/>
  <c r="CR474" i="7"/>
  <c r="DD473" i="7"/>
  <c r="DB473" i="7"/>
  <c r="CZ473" i="7"/>
  <c r="CX473" i="7"/>
  <c r="CV473" i="7"/>
  <c r="CT473" i="7"/>
  <c r="CR473" i="7"/>
  <c r="DD472" i="7"/>
  <c r="DB472" i="7"/>
  <c r="CZ472" i="7"/>
  <c r="CX472" i="7"/>
  <c r="CV472" i="7"/>
  <c r="CT472" i="7"/>
  <c r="CR472" i="7"/>
  <c r="DD471" i="7"/>
  <c r="DB471" i="7"/>
  <c r="CZ471" i="7"/>
  <c r="CX471" i="7"/>
  <c r="CV471" i="7"/>
  <c r="CT471" i="7"/>
  <c r="CR471" i="7"/>
  <c r="DD470" i="7"/>
  <c r="DB470" i="7"/>
  <c r="CZ470" i="7"/>
  <c r="CX470" i="7"/>
  <c r="CV470" i="7"/>
  <c r="CT470" i="7"/>
  <c r="CR470" i="7"/>
  <c r="DD469" i="7"/>
  <c r="DB469" i="7"/>
  <c r="CZ469" i="7"/>
  <c r="CX469" i="7"/>
  <c r="CV469" i="7"/>
  <c r="CT469" i="7"/>
  <c r="CR469" i="7"/>
  <c r="DD468" i="7"/>
  <c r="DB468" i="7"/>
  <c r="CZ468" i="7"/>
  <c r="CX468" i="7"/>
  <c r="CV468" i="7"/>
  <c r="CT468" i="7"/>
  <c r="CR468" i="7"/>
  <c r="DD467" i="7"/>
  <c r="DB467" i="7"/>
  <c r="CZ467" i="7"/>
  <c r="CX467" i="7"/>
  <c r="CV467" i="7"/>
  <c r="CT467" i="7"/>
  <c r="CR467" i="7"/>
  <c r="DD466" i="7"/>
  <c r="DB466" i="7"/>
  <c r="CZ466" i="7"/>
  <c r="CX466" i="7"/>
  <c r="CV466" i="7"/>
  <c r="CT466" i="7"/>
  <c r="CR466" i="7"/>
  <c r="DD465" i="7"/>
  <c r="DB465" i="7"/>
  <c r="CZ465" i="7"/>
  <c r="CX465" i="7"/>
  <c r="CV465" i="7"/>
  <c r="CT465" i="7"/>
  <c r="CR465" i="7"/>
  <c r="DD455" i="7"/>
  <c r="DB455" i="7"/>
  <c r="CZ455" i="7"/>
  <c r="CX455" i="7"/>
  <c r="CV455" i="7"/>
  <c r="CT455" i="7"/>
  <c r="CR455" i="7"/>
  <c r="DD454" i="7"/>
  <c r="DB454" i="7"/>
  <c r="CZ454" i="7"/>
  <c r="CX454" i="7"/>
  <c r="CV454" i="7"/>
  <c r="CT454" i="7"/>
  <c r="CR454" i="7"/>
  <c r="DD453" i="7"/>
  <c r="DB453" i="7"/>
  <c r="CZ453" i="7"/>
  <c r="CX453" i="7"/>
  <c r="CV453" i="7"/>
  <c r="CT453" i="7"/>
  <c r="CR453" i="7"/>
  <c r="DD452" i="7"/>
  <c r="DB452" i="7"/>
  <c r="CZ452" i="7"/>
  <c r="CX452" i="7"/>
  <c r="CV452" i="7"/>
  <c r="CT452" i="7"/>
  <c r="CR452" i="7"/>
  <c r="DD451" i="7"/>
  <c r="DB451" i="7"/>
  <c r="CZ451" i="7"/>
  <c r="CX451" i="7"/>
  <c r="CV451" i="7"/>
  <c r="CT451" i="7"/>
  <c r="CR451" i="7"/>
  <c r="DD450" i="7"/>
  <c r="DB450" i="7"/>
  <c r="CZ450" i="7"/>
  <c r="CX450" i="7"/>
  <c r="CV450" i="7"/>
  <c r="CT450" i="7"/>
  <c r="CR450" i="7"/>
  <c r="DD449" i="7"/>
  <c r="DB449" i="7"/>
  <c r="CZ449" i="7"/>
  <c r="CX449" i="7"/>
  <c r="CV449" i="7"/>
  <c r="CT449" i="7"/>
  <c r="CR449" i="7"/>
  <c r="DD448" i="7"/>
  <c r="DB448" i="7"/>
  <c r="CZ448" i="7"/>
  <c r="CX448" i="7"/>
  <c r="CV448" i="7"/>
  <c r="CT448" i="7"/>
  <c r="CR448" i="7"/>
  <c r="DD447" i="7"/>
  <c r="DB447" i="7"/>
  <c r="CZ447" i="7"/>
  <c r="CX447" i="7"/>
  <c r="CV447" i="7"/>
  <c r="CT447" i="7"/>
  <c r="CR447" i="7"/>
  <c r="DD446" i="7"/>
  <c r="DB446" i="7"/>
  <c r="CZ446" i="7"/>
  <c r="CX446" i="7"/>
  <c r="CV446" i="7"/>
  <c r="CT446" i="7"/>
  <c r="CR446" i="7"/>
  <c r="DD445" i="7"/>
  <c r="DB445" i="7"/>
  <c r="CZ445" i="7"/>
  <c r="CX445" i="7"/>
  <c r="CV445" i="7"/>
  <c r="CT445" i="7"/>
  <c r="CR445" i="7"/>
  <c r="DD444" i="7"/>
  <c r="DB444" i="7"/>
  <c r="CZ444" i="7"/>
  <c r="CX444" i="7"/>
  <c r="CV444" i="7"/>
  <c r="CT444" i="7"/>
  <c r="CR444" i="7"/>
  <c r="DD443" i="7"/>
  <c r="DB443" i="7"/>
  <c r="CZ443" i="7"/>
  <c r="CX443" i="7"/>
  <c r="CV443" i="7"/>
  <c r="CT443" i="7"/>
  <c r="CR443" i="7"/>
  <c r="DD442" i="7"/>
  <c r="DB442" i="7"/>
  <c r="CZ442" i="7"/>
  <c r="CX442" i="7"/>
  <c r="CV442" i="7"/>
  <c r="CT442" i="7"/>
  <c r="CR442" i="7"/>
  <c r="DD441" i="7"/>
  <c r="DB441" i="7"/>
  <c r="CZ441" i="7"/>
  <c r="CX441" i="7"/>
  <c r="CV441" i="7"/>
  <c r="CT441" i="7"/>
  <c r="CR441" i="7"/>
  <c r="DD440" i="7"/>
  <c r="DB440" i="7"/>
  <c r="CZ440" i="7"/>
  <c r="CX440" i="7"/>
  <c r="CV440" i="7"/>
  <c r="CT440" i="7"/>
  <c r="CR440" i="7"/>
  <c r="DD439" i="7"/>
  <c r="DB439" i="7"/>
  <c r="CZ439" i="7"/>
  <c r="CX439" i="7"/>
  <c r="CV439" i="7"/>
  <c r="CT439" i="7"/>
  <c r="CR439" i="7"/>
  <c r="DD438" i="7"/>
  <c r="DB438" i="7"/>
  <c r="CZ438" i="7"/>
  <c r="CX438" i="7"/>
  <c r="CV438" i="7"/>
  <c r="CT438" i="7"/>
  <c r="CR438" i="7"/>
  <c r="DD437" i="7"/>
  <c r="DB437" i="7"/>
  <c r="CZ437" i="7"/>
  <c r="CX437" i="7"/>
  <c r="CV437" i="7"/>
  <c r="CT437" i="7"/>
  <c r="CR437" i="7"/>
  <c r="DD436" i="7"/>
  <c r="DB436" i="7"/>
  <c r="CZ436" i="7"/>
  <c r="CX436" i="7"/>
  <c r="CV436" i="7"/>
  <c r="CT436" i="7"/>
  <c r="CR436" i="7"/>
  <c r="DD435" i="7"/>
  <c r="DB435" i="7"/>
  <c r="CZ435" i="7"/>
  <c r="CX435" i="7"/>
  <c r="CV435" i="7"/>
  <c r="CT435" i="7"/>
  <c r="CR435" i="7"/>
  <c r="DD434" i="7"/>
  <c r="DB434" i="7"/>
  <c r="CZ434" i="7"/>
  <c r="CX434" i="7"/>
  <c r="CV434" i="7"/>
  <c r="CT434" i="7"/>
  <c r="CR434" i="7"/>
  <c r="DD433" i="7"/>
  <c r="DB433" i="7"/>
  <c r="CZ433" i="7"/>
  <c r="CX433" i="7"/>
  <c r="CV433" i="7"/>
  <c r="CT433" i="7"/>
  <c r="CR433" i="7"/>
  <c r="DD432" i="7"/>
  <c r="DB432" i="7"/>
  <c r="CZ432" i="7"/>
  <c r="CX432" i="7"/>
  <c r="CV432" i="7"/>
  <c r="CT432" i="7"/>
  <c r="CR432" i="7"/>
  <c r="DD431" i="7"/>
  <c r="DB431" i="7"/>
  <c r="CZ431" i="7"/>
  <c r="CX431" i="7"/>
  <c r="CV431" i="7"/>
  <c r="CT431" i="7"/>
  <c r="CR431" i="7"/>
  <c r="DD430" i="7"/>
  <c r="DB430" i="7"/>
  <c r="CZ430" i="7"/>
  <c r="CX430" i="7"/>
  <c r="CV430" i="7"/>
  <c r="CT430" i="7"/>
  <c r="CR430" i="7"/>
  <c r="DD429" i="7"/>
  <c r="DB429" i="7"/>
  <c r="CZ429" i="7"/>
  <c r="CX429" i="7"/>
  <c r="CV429" i="7"/>
  <c r="CT429" i="7"/>
  <c r="CR429" i="7"/>
  <c r="DD428" i="7"/>
  <c r="DB428" i="7"/>
  <c r="CZ428" i="7"/>
  <c r="CX428" i="7"/>
  <c r="CV428" i="7"/>
  <c r="CT428" i="7"/>
  <c r="CR428" i="7"/>
  <c r="DD427" i="7"/>
  <c r="DB427" i="7"/>
  <c r="CZ427" i="7"/>
  <c r="CX427" i="7"/>
  <c r="CV427" i="7"/>
  <c r="CT427" i="7"/>
  <c r="CR427" i="7"/>
  <c r="DD426" i="7"/>
  <c r="DB426" i="7"/>
  <c r="CZ426" i="7"/>
  <c r="CX426" i="7"/>
  <c r="CV426" i="7"/>
  <c r="CT426" i="7"/>
  <c r="CR426" i="7"/>
  <c r="DD425" i="7"/>
  <c r="DB425" i="7"/>
  <c r="CZ425" i="7"/>
  <c r="CX425" i="7"/>
  <c r="CV425" i="7"/>
  <c r="CT425" i="7"/>
  <c r="CR425" i="7"/>
  <c r="DD424" i="7"/>
  <c r="DB424" i="7"/>
  <c r="CZ424" i="7"/>
  <c r="CX424" i="7"/>
  <c r="CV424" i="7"/>
  <c r="CT424" i="7"/>
  <c r="CR424" i="7"/>
  <c r="DD423" i="7"/>
  <c r="DB423" i="7"/>
  <c r="CZ423" i="7"/>
  <c r="CX423" i="7"/>
  <c r="CV423" i="7"/>
  <c r="CT423" i="7"/>
  <c r="CR423" i="7"/>
  <c r="DD422" i="7"/>
  <c r="DB422" i="7"/>
  <c r="CZ422" i="7"/>
  <c r="CX422" i="7"/>
  <c r="CV422" i="7"/>
  <c r="CT422" i="7"/>
  <c r="CR422" i="7"/>
  <c r="DD421" i="7"/>
  <c r="DB421" i="7"/>
  <c r="CZ421" i="7"/>
  <c r="CX421" i="7"/>
  <c r="CV421" i="7"/>
  <c r="CT421" i="7"/>
  <c r="CR421" i="7"/>
  <c r="DD420" i="7"/>
  <c r="DB420" i="7"/>
  <c r="CZ420" i="7"/>
  <c r="CX420" i="7"/>
  <c r="CV420" i="7"/>
  <c r="CT420" i="7"/>
  <c r="CR420" i="7"/>
  <c r="DD419" i="7"/>
  <c r="DB419" i="7"/>
  <c r="CZ419" i="7"/>
  <c r="CX419" i="7"/>
  <c r="CV419" i="7"/>
  <c r="CT419" i="7"/>
  <c r="CR419" i="7"/>
  <c r="DD418" i="7"/>
  <c r="DB418" i="7"/>
  <c r="CZ418" i="7"/>
  <c r="CX418" i="7"/>
  <c r="CV418" i="7"/>
  <c r="CT418" i="7"/>
  <c r="CR418" i="7"/>
  <c r="DD417" i="7"/>
  <c r="DB417" i="7"/>
  <c r="CZ417" i="7"/>
  <c r="CX417" i="7"/>
  <c r="CV417" i="7"/>
  <c r="CT417" i="7"/>
  <c r="CR417" i="7"/>
  <c r="DD416" i="7"/>
  <c r="DB416" i="7"/>
  <c r="CZ416" i="7"/>
  <c r="CX416" i="7"/>
  <c r="CV416" i="7"/>
  <c r="CT416" i="7"/>
  <c r="CR416" i="7"/>
  <c r="DD415" i="7"/>
  <c r="DB415" i="7"/>
  <c r="CZ415" i="7"/>
  <c r="CX415" i="7"/>
  <c r="CV415" i="7"/>
  <c r="CT415" i="7"/>
  <c r="CR415" i="7"/>
  <c r="DD414" i="7"/>
  <c r="DB414" i="7"/>
  <c r="CZ414" i="7"/>
  <c r="CX414" i="7"/>
  <c r="CV414" i="7"/>
  <c r="CT414" i="7"/>
  <c r="CR414" i="7"/>
  <c r="DD413" i="7"/>
  <c r="DB413" i="7"/>
  <c r="CZ413" i="7"/>
  <c r="CX413" i="7"/>
  <c r="CV413" i="7"/>
  <c r="CT413" i="7"/>
  <c r="CR413" i="7"/>
  <c r="DD412" i="7"/>
  <c r="DB412" i="7"/>
  <c r="CZ412" i="7"/>
  <c r="CX412" i="7"/>
  <c r="CV412" i="7"/>
  <c r="CT412" i="7"/>
  <c r="CR412" i="7"/>
  <c r="DD411" i="7"/>
  <c r="DB411" i="7"/>
  <c r="CZ411" i="7"/>
  <c r="CX411" i="7"/>
  <c r="CV411" i="7"/>
  <c r="CT411" i="7"/>
  <c r="CR411" i="7"/>
  <c r="DD410" i="7"/>
  <c r="DB410" i="7"/>
  <c r="CZ410" i="7"/>
  <c r="CX410" i="7"/>
  <c r="CV410" i="7"/>
  <c r="CT410" i="7"/>
  <c r="CR410" i="7"/>
  <c r="DD409" i="7"/>
  <c r="DB409" i="7"/>
  <c r="CZ409" i="7"/>
  <c r="CX409" i="7"/>
  <c r="CV409" i="7"/>
  <c r="CT409" i="7"/>
  <c r="CR409" i="7"/>
  <c r="DD408" i="7"/>
  <c r="DB408" i="7"/>
  <c r="CZ408" i="7"/>
  <c r="CX408" i="7"/>
  <c r="CV408" i="7"/>
  <c r="CT408" i="7"/>
  <c r="CR408" i="7"/>
  <c r="DD398" i="7"/>
  <c r="DB398" i="7"/>
  <c r="CZ398" i="7"/>
  <c r="CX398" i="7"/>
  <c r="CV398" i="7"/>
  <c r="CT398" i="7"/>
  <c r="CR398" i="7"/>
  <c r="DD397" i="7"/>
  <c r="DB397" i="7"/>
  <c r="CZ397" i="7"/>
  <c r="CX397" i="7"/>
  <c r="CV397" i="7"/>
  <c r="CT397" i="7"/>
  <c r="CR397" i="7"/>
  <c r="DD396" i="7"/>
  <c r="DB396" i="7"/>
  <c r="CZ396" i="7"/>
  <c r="CX396" i="7"/>
  <c r="CV396" i="7"/>
  <c r="CT396" i="7"/>
  <c r="CR396" i="7"/>
  <c r="DD395" i="7"/>
  <c r="DB395" i="7"/>
  <c r="CZ395" i="7"/>
  <c r="CX395" i="7"/>
  <c r="CV395" i="7"/>
  <c r="CT395" i="7"/>
  <c r="CR395" i="7"/>
  <c r="DD394" i="7"/>
  <c r="DB394" i="7"/>
  <c r="CZ394" i="7"/>
  <c r="CX394" i="7"/>
  <c r="CV394" i="7"/>
  <c r="CT394" i="7"/>
  <c r="CR394" i="7"/>
  <c r="DD393" i="7"/>
  <c r="DB393" i="7"/>
  <c r="CZ393" i="7"/>
  <c r="CX393" i="7"/>
  <c r="CV393" i="7"/>
  <c r="CT393" i="7"/>
  <c r="CR393" i="7"/>
  <c r="DD392" i="7"/>
  <c r="DB392" i="7"/>
  <c r="CZ392" i="7"/>
  <c r="CX392" i="7"/>
  <c r="CV392" i="7"/>
  <c r="CT392" i="7"/>
  <c r="CR392" i="7"/>
  <c r="DD391" i="7"/>
  <c r="DB391" i="7"/>
  <c r="CZ391" i="7"/>
  <c r="CX391" i="7"/>
  <c r="CV391" i="7"/>
  <c r="CT391" i="7"/>
  <c r="CR391" i="7"/>
  <c r="DD390" i="7"/>
  <c r="DB390" i="7"/>
  <c r="CZ390" i="7"/>
  <c r="CX390" i="7"/>
  <c r="CV390" i="7"/>
  <c r="CT390" i="7"/>
  <c r="CR390" i="7"/>
  <c r="DD389" i="7"/>
  <c r="DB389" i="7"/>
  <c r="CZ389" i="7"/>
  <c r="CX389" i="7"/>
  <c r="CV389" i="7"/>
  <c r="CT389" i="7"/>
  <c r="CR389" i="7"/>
  <c r="DD388" i="7"/>
  <c r="DB388" i="7"/>
  <c r="CZ388" i="7"/>
  <c r="CX388" i="7"/>
  <c r="CV388" i="7"/>
  <c r="CT388" i="7"/>
  <c r="CR388" i="7"/>
  <c r="DD387" i="7"/>
  <c r="DB387" i="7"/>
  <c r="CZ387" i="7"/>
  <c r="CX387" i="7"/>
  <c r="CV387" i="7"/>
  <c r="CT387" i="7"/>
  <c r="CR387" i="7"/>
  <c r="DD386" i="7"/>
  <c r="DB386" i="7"/>
  <c r="CZ386" i="7"/>
  <c r="CX386" i="7"/>
  <c r="CV386" i="7"/>
  <c r="CT386" i="7"/>
  <c r="CR386" i="7"/>
  <c r="DD385" i="7"/>
  <c r="DB385" i="7"/>
  <c r="CZ385" i="7"/>
  <c r="CX385" i="7"/>
  <c r="CV385" i="7"/>
  <c r="CT385" i="7"/>
  <c r="CR385" i="7"/>
  <c r="DD384" i="7"/>
  <c r="DB384" i="7"/>
  <c r="CZ384" i="7"/>
  <c r="CX384" i="7"/>
  <c r="CV384" i="7"/>
  <c r="CT384" i="7"/>
  <c r="CR384" i="7"/>
  <c r="DD383" i="7"/>
  <c r="DB383" i="7"/>
  <c r="CZ383" i="7"/>
  <c r="CX383" i="7"/>
  <c r="CV383" i="7"/>
  <c r="CT383" i="7"/>
  <c r="CR383" i="7"/>
  <c r="DD382" i="7"/>
  <c r="DB382" i="7"/>
  <c r="CZ382" i="7"/>
  <c r="CX382" i="7"/>
  <c r="CV382" i="7"/>
  <c r="CT382" i="7"/>
  <c r="CR382" i="7"/>
  <c r="DD381" i="7"/>
  <c r="DB381" i="7"/>
  <c r="CZ381" i="7"/>
  <c r="CX381" i="7"/>
  <c r="CV381" i="7"/>
  <c r="CT381" i="7"/>
  <c r="CR381" i="7"/>
  <c r="DD380" i="7"/>
  <c r="DB380" i="7"/>
  <c r="CZ380" i="7"/>
  <c r="CX380" i="7"/>
  <c r="CV380" i="7"/>
  <c r="CT380" i="7"/>
  <c r="CR380" i="7"/>
  <c r="DD379" i="7"/>
  <c r="DB379" i="7"/>
  <c r="CZ379" i="7"/>
  <c r="CX379" i="7"/>
  <c r="CV379" i="7"/>
  <c r="CT379" i="7"/>
  <c r="CR379" i="7"/>
  <c r="DD378" i="7"/>
  <c r="DB378" i="7"/>
  <c r="CZ378" i="7"/>
  <c r="CX378" i="7"/>
  <c r="CV378" i="7"/>
  <c r="CT378" i="7"/>
  <c r="CR378" i="7"/>
  <c r="DD377" i="7"/>
  <c r="DB377" i="7"/>
  <c r="CZ377" i="7"/>
  <c r="CX377" i="7"/>
  <c r="CV377" i="7"/>
  <c r="CT377" i="7"/>
  <c r="CR377" i="7"/>
  <c r="DD376" i="7"/>
  <c r="DB376" i="7"/>
  <c r="CZ376" i="7"/>
  <c r="CX376" i="7"/>
  <c r="CV376" i="7"/>
  <c r="CT376" i="7"/>
  <c r="CR376" i="7"/>
  <c r="DD375" i="7"/>
  <c r="DB375" i="7"/>
  <c r="CZ375" i="7"/>
  <c r="CX375" i="7"/>
  <c r="CV375" i="7"/>
  <c r="CT375" i="7"/>
  <c r="CR375" i="7"/>
  <c r="DD374" i="7"/>
  <c r="DB374" i="7"/>
  <c r="CZ374" i="7"/>
  <c r="CX374" i="7"/>
  <c r="CV374" i="7"/>
  <c r="CT374" i="7"/>
  <c r="CR374" i="7"/>
  <c r="DD373" i="7"/>
  <c r="DB373" i="7"/>
  <c r="CZ373" i="7"/>
  <c r="CX373" i="7"/>
  <c r="CV373" i="7"/>
  <c r="CT373" i="7"/>
  <c r="CR373" i="7"/>
  <c r="DD372" i="7"/>
  <c r="DB372" i="7"/>
  <c r="CZ372" i="7"/>
  <c r="CX372" i="7"/>
  <c r="CV372" i="7"/>
  <c r="CT372" i="7"/>
  <c r="CR372" i="7"/>
  <c r="DD371" i="7"/>
  <c r="DB371" i="7"/>
  <c r="CZ371" i="7"/>
  <c r="CX371" i="7"/>
  <c r="CV371" i="7"/>
  <c r="CT371" i="7"/>
  <c r="CR371" i="7"/>
  <c r="DD370" i="7"/>
  <c r="DB370" i="7"/>
  <c r="CZ370" i="7"/>
  <c r="CX370" i="7"/>
  <c r="CV370" i="7"/>
  <c r="CT370" i="7"/>
  <c r="CR370" i="7"/>
  <c r="DD369" i="7"/>
  <c r="DB369" i="7"/>
  <c r="CZ369" i="7"/>
  <c r="CX369" i="7"/>
  <c r="CV369" i="7"/>
  <c r="CT369" i="7"/>
  <c r="CR369" i="7"/>
  <c r="DD368" i="7"/>
  <c r="DB368" i="7"/>
  <c r="CZ368" i="7"/>
  <c r="CX368" i="7"/>
  <c r="CV368" i="7"/>
  <c r="CT368" i="7"/>
  <c r="CR368" i="7"/>
  <c r="DD367" i="7"/>
  <c r="DB367" i="7"/>
  <c r="CZ367" i="7"/>
  <c r="CX367" i="7"/>
  <c r="CV367" i="7"/>
  <c r="CT367" i="7"/>
  <c r="CR367" i="7"/>
  <c r="DD366" i="7"/>
  <c r="DB366" i="7"/>
  <c r="CZ366" i="7"/>
  <c r="CX366" i="7"/>
  <c r="CV366" i="7"/>
  <c r="CT366" i="7"/>
  <c r="CR366" i="7"/>
  <c r="DD365" i="7"/>
  <c r="DB365" i="7"/>
  <c r="CZ365" i="7"/>
  <c r="CX365" i="7"/>
  <c r="CV365" i="7"/>
  <c r="CT365" i="7"/>
  <c r="CR365" i="7"/>
  <c r="DD364" i="7"/>
  <c r="DB364" i="7"/>
  <c r="CZ364" i="7"/>
  <c r="CX364" i="7"/>
  <c r="CV364" i="7"/>
  <c r="CT364" i="7"/>
  <c r="CR364" i="7"/>
  <c r="DD363" i="7"/>
  <c r="DB363" i="7"/>
  <c r="CZ363" i="7"/>
  <c r="CX363" i="7"/>
  <c r="CV363" i="7"/>
  <c r="CT363" i="7"/>
  <c r="CR363" i="7"/>
  <c r="DD362" i="7"/>
  <c r="DB362" i="7"/>
  <c r="CZ362" i="7"/>
  <c r="CX362" i="7"/>
  <c r="CV362" i="7"/>
  <c r="CT362" i="7"/>
  <c r="CR362" i="7"/>
  <c r="DD361" i="7"/>
  <c r="DB361" i="7"/>
  <c r="CZ361" i="7"/>
  <c r="CX361" i="7"/>
  <c r="CV361" i="7"/>
  <c r="CT361" i="7"/>
  <c r="CR361" i="7"/>
  <c r="DD360" i="7"/>
  <c r="DB360" i="7"/>
  <c r="CZ360" i="7"/>
  <c r="CX360" i="7"/>
  <c r="CV360" i="7"/>
  <c r="CT360" i="7"/>
  <c r="CR360" i="7"/>
  <c r="DD359" i="7"/>
  <c r="DB359" i="7"/>
  <c r="CZ359" i="7"/>
  <c r="CX359" i="7"/>
  <c r="CV359" i="7"/>
  <c r="CT359" i="7"/>
  <c r="CR359" i="7"/>
  <c r="DD358" i="7"/>
  <c r="DB358" i="7"/>
  <c r="CZ358" i="7"/>
  <c r="CX358" i="7"/>
  <c r="CV358" i="7"/>
  <c r="CT358" i="7"/>
  <c r="CR358" i="7"/>
  <c r="DD357" i="7"/>
  <c r="DB357" i="7"/>
  <c r="CZ357" i="7"/>
  <c r="CX357" i="7"/>
  <c r="CV357" i="7"/>
  <c r="CT357" i="7"/>
  <c r="CR357" i="7"/>
  <c r="DD356" i="7"/>
  <c r="DB356" i="7"/>
  <c r="CZ356" i="7"/>
  <c r="CX356" i="7"/>
  <c r="CV356" i="7"/>
  <c r="CT356" i="7"/>
  <c r="CR356" i="7"/>
  <c r="DD355" i="7"/>
  <c r="DB355" i="7"/>
  <c r="CZ355" i="7"/>
  <c r="CX355" i="7"/>
  <c r="CV355" i="7"/>
  <c r="CT355" i="7"/>
  <c r="CR355" i="7"/>
  <c r="DD354" i="7"/>
  <c r="DB354" i="7"/>
  <c r="CZ354" i="7"/>
  <c r="CX354" i="7"/>
  <c r="CV354" i="7"/>
  <c r="CT354" i="7"/>
  <c r="CR354" i="7"/>
  <c r="DD353" i="7"/>
  <c r="DB353" i="7"/>
  <c r="CZ353" i="7"/>
  <c r="CX353" i="7"/>
  <c r="CV353" i="7"/>
  <c r="CT353" i="7"/>
  <c r="CR353" i="7"/>
  <c r="DD352" i="7"/>
  <c r="DB352" i="7"/>
  <c r="CZ352" i="7"/>
  <c r="CX352" i="7"/>
  <c r="CV352" i="7"/>
  <c r="CT352" i="7"/>
  <c r="CR352" i="7"/>
  <c r="DD351" i="7"/>
  <c r="DB351" i="7"/>
  <c r="CZ351" i="7"/>
  <c r="CX351" i="7"/>
  <c r="CV351" i="7"/>
  <c r="CT351" i="7"/>
  <c r="CR351" i="7"/>
  <c r="DD341" i="7"/>
  <c r="DB341" i="7"/>
  <c r="CZ341" i="7"/>
  <c r="CX341" i="7"/>
  <c r="CV341" i="7"/>
  <c r="CT341" i="7"/>
  <c r="CR341" i="7"/>
  <c r="DD340" i="7"/>
  <c r="DB340" i="7"/>
  <c r="CZ340" i="7"/>
  <c r="CX340" i="7"/>
  <c r="CV340" i="7"/>
  <c r="CT340" i="7"/>
  <c r="CR340" i="7"/>
  <c r="DD339" i="7"/>
  <c r="DB339" i="7"/>
  <c r="CZ339" i="7"/>
  <c r="CX339" i="7"/>
  <c r="CV339" i="7"/>
  <c r="CT339" i="7"/>
  <c r="CR339" i="7"/>
  <c r="DD338" i="7"/>
  <c r="DB338" i="7"/>
  <c r="CZ338" i="7"/>
  <c r="CX338" i="7"/>
  <c r="CV338" i="7"/>
  <c r="CT338" i="7"/>
  <c r="CR338" i="7"/>
  <c r="DD337" i="7"/>
  <c r="DB337" i="7"/>
  <c r="CZ337" i="7"/>
  <c r="CX337" i="7"/>
  <c r="CV337" i="7"/>
  <c r="CT337" i="7"/>
  <c r="CR337" i="7"/>
  <c r="DD336" i="7"/>
  <c r="DB336" i="7"/>
  <c r="CZ336" i="7"/>
  <c r="CX336" i="7"/>
  <c r="CV336" i="7"/>
  <c r="CT336" i="7"/>
  <c r="CR336" i="7"/>
  <c r="DD335" i="7"/>
  <c r="DB335" i="7"/>
  <c r="CZ335" i="7"/>
  <c r="CX335" i="7"/>
  <c r="CV335" i="7"/>
  <c r="CT335" i="7"/>
  <c r="CR335" i="7"/>
  <c r="DD334" i="7"/>
  <c r="DB334" i="7"/>
  <c r="CZ334" i="7"/>
  <c r="CX334" i="7"/>
  <c r="CV334" i="7"/>
  <c r="CT334" i="7"/>
  <c r="CR334" i="7"/>
  <c r="DD333" i="7"/>
  <c r="DB333" i="7"/>
  <c r="CZ333" i="7"/>
  <c r="CX333" i="7"/>
  <c r="CV333" i="7"/>
  <c r="CT333" i="7"/>
  <c r="CR333" i="7"/>
  <c r="DD332" i="7"/>
  <c r="DB332" i="7"/>
  <c r="CZ332" i="7"/>
  <c r="CX332" i="7"/>
  <c r="CV332" i="7"/>
  <c r="CT332" i="7"/>
  <c r="CR332" i="7"/>
  <c r="DD331" i="7"/>
  <c r="DB331" i="7"/>
  <c r="CZ331" i="7"/>
  <c r="CX331" i="7"/>
  <c r="CV331" i="7"/>
  <c r="CT331" i="7"/>
  <c r="CR331" i="7"/>
  <c r="DD330" i="7"/>
  <c r="DB330" i="7"/>
  <c r="CZ330" i="7"/>
  <c r="CX330" i="7"/>
  <c r="CV330" i="7"/>
  <c r="CT330" i="7"/>
  <c r="CR330" i="7"/>
  <c r="DD329" i="7"/>
  <c r="DB329" i="7"/>
  <c r="CZ329" i="7"/>
  <c r="CX329" i="7"/>
  <c r="CV329" i="7"/>
  <c r="CT329" i="7"/>
  <c r="CR329" i="7"/>
  <c r="DD328" i="7"/>
  <c r="DB328" i="7"/>
  <c r="CZ328" i="7"/>
  <c r="CX328" i="7"/>
  <c r="CV328" i="7"/>
  <c r="CT328" i="7"/>
  <c r="CR328" i="7"/>
  <c r="DD327" i="7"/>
  <c r="DB327" i="7"/>
  <c r="CZ327" i="7"/>
  <c r="CX327" i="7"/>
  <c r="CV327" i="7"/>
  <c r="CT327" i="7"/>
  <c r="CR327" i="7"/>
  <c r="DD326" i="7"/>
  <c r="DB326" i="7"/>
  <c r="CZ326" i="7"/>
  <c r="CX326" i="7"/>
  <c r="CV326" i="7"/>
  <c r="CT326" i="7"/>
  <c r="CR326" i="7"/>
  <c r="DD325" i="7"/>
  <c r="DB325" i="7"/>
  <c r="CZ325" i="7"/>
  <c r="CX325" i="7"/>
  <c r="CV325" i="7"/>
  <c r="CT325" i="7"/>
  <c r="CR325" i="7"/>
  <c r="DD324" i="7"/>
  <c r="DB324" i="7"/>
  <c r="CZ324" i="7"/>
  <c r="CX324" i="7"/>
  <c r="CV324" i="7"/>
  <c r="CT324" i="7"/>
  <c r="CR324" i="7"/>
  <c r="DD323" i="7"/>
  <c r="DB323" i="7"/>
  <c r="CZ323" i="7"/>
  <c r="CX323" i="7"/>
  <c r="CV323" i="7"/>
  <c r="CT323" i="7"/>
  <c r="CR323" i="7"/>
  <c r="DD322" i="7"/>
  <c r="DB322" i="7"/>
  <c r="CZ322" i="7"/>
  <c r="CX322" i="7"/>
  <c r="CV322" i="7"/>
  <c r="CT322" i="7"/>
  <c r="CR322" i="7"/>
  <c r="DD321" i="7"/>
  <c r="DB321" i="7"/>
  <c r="CZ321" i="7"/>
  <c r="CX321" i="7"/>
  <c r="CV321" i="7"/>
  <c r="CT321" i="7"/>
  <c r="CR321" i="7"/>
  <c r="DD320" i="7"/>
  <c r="DB320" i="7"/>
  <c r="CZ320" i="7"/>
  <c r="CX320" i="7"/>
  <c r="CV320" i="7"/>
  <c r="CT320" i="7"/>
  <c r="CR320" i="7"/>
  <c r="DD319" i="7"/>
  <c r="DB319" i="7"/>
  <c r="CZ319" i="7"/>
  <c r="CX319" i="7"/>
  <c r="CV319" i="7"/>
  <c r="CT319" i="7"/>
  <c r="CR319" i="7"/>
  <c r="DD318" i="7"/>
  <c r="DB318" i="7"/>
  <c r="CZ318" i="7"/>
  <c r="CX318" i="7"/>
  <c r="CV318" i="7"/>
  <c r="CT318" i="7"/>
  <c r="CR318" i="7"/>
  <c r="DD317" i="7"/>
  <c r="DB317" i="7"/>
  <c r="CZ317" i="7"/>
  <c r="CX317" i="7"/>
  <c r="CV317" i="7"/>
  <c r="CT317" i="7"/>
  <c r="CR317" i="7"/>
  <c r="DD316" i="7"/>
  <c r="DB316" i="7"/>
  <c r="CZ316" i="7"/>
  <c r="CX316" i="7"/>
  <c r="CV316" i="7"/>
  <c r="CT316" i="7"/>
  <c r="CR316" i="7"/>
  <c r="DD315" i="7"/>
  <c r="DB315" i="7"/>
  <c r="CZ315" i="7"/>
  <c r="CX315" i="7"/>
  <c r="CV315" i="7"/>
  <c r="CT315" i="7"/>
  <c r="CR315" i="7"/>
  <c r="DD314" i="7"/>
  <c r="DB314" i="7"/>
  <c r="CZ314" i="7"/>
  <c r="CX314" i="7"/>
  <c r="CV314" i="7"/>
  <c r="CT314" i="7"/>
  <c r="CR314" i="7"/>
  <c r="DD313" i="7"/>
  <c r="DB313" i="7"/>
  <c r="CZ313" i="7"/>
  <c r="CX313" i="7"/>
  <c r="CV313" i="7"/>
  <c r="CT313" i="7"/>
  <c r="CR313" i="7"/>
  <c r="DD312" i="7"/>
  <c r="DB312" i="7"/>
  <c r="CZ312" i="7"/>
  <c r="CX312" i="7"/>
  <c r="CV312" i="7"/>
  <c r="CT312" i="7"/>
  <c r="CR312" i="7"/>
  <c r="DD311" i="7"/>
  <c r="DB311" i="7"/>
  <c r="CZ311" i="7"/>
  <c r="CX311" i="7"/>
  <c r="CV311" i="7"/>
  <c r="CT311" i="7"/>
  <c r="CR311" i="7"/>
  <c r="DD310" i="7"/>
  <c r="DB310" i="7"/>
  <c r="CZ310" i="7"/>
  <c r="CX310" i="7"/>
  <c r="CV310" i="7"/>
  <c r="CT310" i="7"/>
  <c r="CR310" i="7"/>
  <c r="DD309" i="7"/>
  <c r="DB309" i="7"/>
  <c r="CZ309" i="7"/>
  <c r="CX309" i="7"/>
  <c r="CV309" i="7"/>
  <c r="CT309" i="7"/>
  <c r="CR309" i="7"/>
  <c r="DD308" i="7"/>
  <c r="DB308" i="7"/>
  <c r="CZ308" i="7"/>
  <c r="CX308" i="7"/>
  <c r="CV308" i="7"/>
  <c r="CT308" i="7"/>
  <c r="CR308" i="7"/>
  <c r="DD307" i="7"/>
  <c r="DB307" i="7"/>
  <c r="CZ307" i="7"/>
  <c r="CX307" i="7"/>
  <c r="CV307" i="7"/>
  <c r="CT307" i="7"/>
  <c r="CR307" i="7"/>
  <c r="DD306" i="7"/>
  <c r="DB306" i="7"/>
  <c r="CZ306" i="7"/>
  <c r="CX306" i="7"/>
  <c r="CV306" i="7"/>
  <c r="CT306" i="7"/>
  <c r="CR306" i="7"/>
  <c r="DD305" i="7"/>
  <c r="DB305" i="7"/>
  <c r="CZ305" i="7"/>
  <c r="CX305" i="7"/>
  <c r="CV305" i="7"/>
  <c r="CT305" i="7"/>
  <c r="CR305" i="7"/>
  <c r="DD304" i="7"/>
  <c r="DB304" i="7"/>
  <c r="CZ304" i="7"/>
  <c r="CX304" i="7"/>
  <c r="CV304" i="7"/>
  <c r="CT304" i="7"/>
  <c r="CR304" i="7"/>
  <c r="DD303" i="7"/>
  <c r="DB303" i="7"/>
  <c r="CZ303" i="7"/>
  <c r="CX303" i="7"/>
  <c r="CV303" i="7"/>
  <c r="CT303" i="7"/>
  <c r="CR303" i="7"/>
  <c r="DD302" i="7"/>
  <c r="DB302" i="7"/>
  <c r="CZ302" i="7"/>
  <c r="CX302" i="7"/>
  <c r="CV302" i="7"/>
  <c r="CT302" i="7"/>
  <c r="CR302" i="7"/>
  <c r="DD301" i="7"/>
  <c r="DB301" i="7"/>
  <c r="CZ301" i="7"/>
  <c r="CX301" i="7"/>
  <c r="CV301" i="7"/>
  <c r="CT301" i="7"/>
  <c r="CR301" i="7"/>
  <c r="DD300" i="7"/>
  <c r="DB300" i="7"/>
  <c r="CZ300" i="7"/>
  <c r="CX300" i="7"/>
  <c r="CV300" i="7"/>
  <c r="CT300" i="7"/>
  <c r="CR300" i="7"/>
  <c r="DD299" i="7"/>
  <c r="DB299" i="7"/>
  <c r="CZ299" i="7"/>
  <c r="CX299" i="7"/>
  <c r="CV299" i="7"/>
  <c r="CT299" i="7"/>
  <c r="CR299" i="7"/>
  <c r="DD298" i="7"/>
  <c r="DB298" i="7"/>
  <c r="CZ298" i="7"/>
  <c r="CX298" i="7"/>
  <c r="CV298" i="7"/>
  <c r="CT298" i="7"/>
  <c r="CR298" i="7"/>
  <c r="DD297" i="7"/>
  <c r="DB297" i="7"/>
  <c r="CZ297" i="7"/>
  <c r="CX297" i="7"/>
  <c r="CV297" i="7"/>
  <c r="CT297" i="7"/>
  <c r="CR297" i="7"/>
  <c r="DD296" i="7"/>
  <c r="DB296" i="7"/>
  <c r="CZ296" i="7"/>
  <c r="CX296" i="7"/>
  <c r="CV296" i="7"/>
  <c r="CT296" i="7"/>
  <c r="CR296" i="7"/>
  <c r="DD295" i="7"/>
  <c r="DB295" i="7"/>
  <c r="CZ295" i="7"/>
  <c r="CX295" i="7"/>
  <c r="CV295" i="7"/>
  <c r="CT295" i="7"/>
  <c r="CR295" i="7"/>
  <c r="DD294" i="7"/>
  <c r="DB294" i="7"/>
  <c r="CZ294" i="7"/>
  <c r="CX294" i="7"/>
  <c r="CV294" i="7"/>
  <c r="CT294" i="7"/>
  <c r="CR294" i="7"/>
  <c r="DD284" i="7"/>
  <c r="DB284" i="7"/>
  <c r="CZ284" i="7"/>
  <c r="CX284" i="7"/>
  <c r="CV284" i="7"/>
  <c r="CT284" i="7"/>
  <c r="CR284" i="7"/>
  <c r="DD283" i="7"/>
  <c r="DB283" i="7"/>
  <c r="CZ283" i="7"/>
  <c r="CX283" i="7"/>
  <c r="CV283" i="7"/>
  <c r="CT283" i="7"/>
  <c r="CR283" i="7"/>
  <c r="DD282" i="7"/>
  <c r="DB282" i="7"/>
  <c r="CZ282" i="7"/>
  <c r="CX282" i="7"/>
  <c r="CV282" i="7"/>
  <c r="CT282" i="7"/>
  <c r="CR282" i="7"/>
  <c r="DD281" i="7"/>
  <c r="DB281" i="7"/>
  <c r="CZ281" i="7"/>
  <c r="CX281" i="7"/>
  <c r="CV281" i="7"/>
  <c r="CT281" i="7"/>
  <c r="CR281" i="7"/>
  <c r="DD280" i="7"/>
  <c r="DB280" i="7"/>
  <c r="CZ280" i="7"/>
  <c r="CX280" i="7"/>
  <c r="CV280" i="7"/>
  <c r="CT280" i="7"/>
  <c r="CR280" i="7"/>
  <c r="DD279" i="7"/>
  <c r="DB279" i="7"/>
  <c r="CZ279" i="7"/>
  <c r="CX279" i="7"/>
  <c r="CV279" i="7"/>
  <c r="CT279" i="7"/>
  <c r="CR279" i="7"/>
  <c r="DD278" i="7"/>
  <c r="DB278" i="7"/>
  <c r="CZ278" i="7"/>
  <c r="CX278" i="7"/>
  <c r="CV278" i="7"/>
  <c r="CT278" i="7"/>
  <c r="CR278" i="7"/>
  <c r="DD277" i="7"/>
  <c r="DB277" i="7"/>
  <c r="CZ277" i="7"/>
  <c r="CX277" i="7"/>
  <c r="CV277" i="7"/>
  <c r="CT277" i="7"/>
  <c r="CR277" i="7"/>
  <c r="DD276" i="7"/>
  <c r="DB276" i="7"/>
  <c r="CZ276" i="7"/>
  <c r="CX276" i="7"/>
  <c r="CV276" i="7"/>
  <c r="CT276" i="7"/>
  <c r="CR276" i="7"/>
  <c r="DD275" i="7"/>
  <c r="DB275" i="7"/>
  <c r="CZ275" i="7"/>
  <c r="CX275" i="7"/>
  <c r="CV275" i="7"/>
  <c r="CT275" i="7"/>
  <c r="CR275" i="7"/>
  <c r="DD274" i="7"/>
  <c r="DB274" i="7"/>
  <c r="CZ274" i="7"/>
  <c r="CX274" i="7"/>
  <c r="CV274" i="7"/>
  <c r="CT274" i="7"/>
  <c r="CR274" i="7"/>
  <c r="DD273" i="7"/>
  <c r="DB273" i="7"/>
  <c r="CZ273" i="7"/>
  <c r="CX273" i="7"/>
  <c r="CV273" i="7"/>
  <c r="CT273" i="7"/>
  <c r="CR273" i="7"/>
  <c r="DD272" i="7"/>
  <c r="DB272" i="7"/>
  <c r="CZ272" i="7"/>
  <c r="CX272" i="7"/>
  <c r="CV272" i="7"/>
  <c r="CT272" i="7"/>
  <c r="CR272" i="7"/>
  <c r="DD271" i="7"/>
  <c r="DB271" i="7"/>
  <c r="CZ271" i="7"/>
  <c r="CX271" i="7"/>
  <c r="CV271" i="7"/>
  <c r="CT271" i="7"/>
  <c r="CR271" i="7"/>
  <c r="DD270" i="7"/>
  <c r="DB270" i="7"/>
  <c r="CZ270" i="7"/>
  <c r="CX270" i="7"/>
  <c r="CV270" i="7"/>
  <c r="CT270" i="7"/>
  <c r="CR270" i="7"/>
  <c r="DD269" i="7"/>
  <c r="DB269" i="7"/>
  <c r="CZ269" i="7"/>
  <c r="CX269" i="7"/>
  <c r="CV269" i="7"/>
  <c r="CT269" i="7"/>
  <c r="CR269" i="7"/>
  <c r="DD268" i="7"/>
  <c r="DB268" i="7"/>
  <c r="CZ268" i="7"/>
  <c r="CX268" i="7"/>
  <c r="CV268" i="7"/>
  <c r="CT268" i="7"/>
  <c r="CR268" i="7"/>
  <c r="DD267" i="7"/>
  <c r="DB267" i="7"/>
  <c r="CZ267" i="7"/>
  <c r="CX267" i="7"/>
  <c r="CV267" i="7"/>
  <c r="CT267" i="7"/>
  <c r="CR267" i="7"/>
  <c r="DD266" i="7"/>
  <c r="DB266" i="7"/>
  <c r="CZ266" i="7"/>
  <c r="CX266" i="7"/>
  <c r="CV266" i="7"/>
  <c r="CT266" i="7"/>
  <c r="CR266" i="7"/>
  <c r="DD265" i="7"/>
  <c r="DB265" i="7"/>
  <c r="CZ265" i="7"/>
  <c r="CX265" i="7"/>
  <c r="CV265" i="7"/>
  <c r="CT265" i="7"/>
  <c r="CR265" i="7"/>
  <c r="DD264" i="7"/>
  <c r="DB264" i="7"/>
  <c r="CZ264" i="7"/>
  <c r="CX264" i="7"/>
  <c r="CV264" i="7"/>
  <c r="CT264" i="7"/>
  <c r="CR264" i="7"/>
  <c r="DD263" i="7"/>
  <c r="DB263" i="7"/>
  <c r="CZ263" i="7"/>
  <c r="CX263" i="7"/>
  <c r="CV263" i="7"/>
  <c r="CT263" i="7"/>
  <c r="CR263" i="7"/>
  <c r="DD262" i="7"/>
  <c r="DB262" i="7"/>
  <c r="CZ262" i="7"/>
  <c r="CX262" i="7"/>
  <c r="CV262" i="7"/>
  <c r="CT262" i="7"/>
  <c r="CR262" i="7"/>
  <c r="DD261" i="7"/>
  <c r="DB261" i="7"/>
  <c r="CZ261" i="7"/>
  <c r="CX261" i="7"/>
  <c r="CV261" i="7"/>
  <c r="CT261" i="7"/>
  <c r="CR261" i="7"/>
  <c r="DD260" i="7"/>
  <c r="DB260" i="7"/>
  <c r="CZ260" i="7"/>
  <c r="CX260" i="7"/>
  <c r="CV260" i="7"/>
  <c r="CT260" i="7"/>
  <c r="CR260" i="7"/>
  <c r="DD259" i="7"/>
  <c r="DB259" i="7"/>
  <c r="CZ259" i="7"/>
  <c r="CX259" i="7"/>
  <c r="CV259" i="7"/>
  <c r="CT259" i="7"/>
  <c r="CR259" i="7"/>
  <c r="DD258" i="7"/>
  <c r="DB258" i="7"/>
  <c r="CZ258" i="7"/>
  <c r="CX258" i="7"/>
  <c r="CV258" i="7"/>
  <c r="CT258" i="7"/>
  <c r="CR258" i="7"/>
  <c r="DD257" i="7"/>
  <c r="DB257" i="7"/>
  <c r="CZ257" i="7"/>
  <c r="CX257" i="7"/>
  <c r="CV257" i="7"/>
  <c r="CT257" i="7"/>
  <c r="CR257" i="7"/>
  <c r="DD256" i="7"/>
  <c r="DB256" i="7"/>
  <c r="CZ256" i="7"/>
  <c r="CX256" i="7"/>
  <c r="CV256" i="7"/>
  <c r="CT256" i="7"/>
  <c r="CR256" i="7"/>
  <c r="DD255" i="7"/>
  <c r="DB255" i="7"/>
  <c r="CZ255" i="7"/>
  <c r="CX255" i="7"/>
  <c r="CV255" i="7"/>
  <c r="CT255" i="7"/>
  <c r="CR255" i="7"/>
  <c r="DD254" i="7"/>
  <c r="DB254" i="7"/>
  <c r="CZ254" i="7"/>
  <c r="CX254" i="7"/>
  <c r="CV254" i="7"/>
  <c r="CT254" i="7"/>
  <c r="CR254" i="7"/>
  <c r="DD253" i="7"/>
  <c r="DB253" i="7"/>
  <c r="CZ253" i="7"/>
  <c r="CX253" i="7"/>
  <c r="CV253" i="7"/>
  <c r="CT253" i="7"/>
  <c r="CR253" i="7"/>
  <c r="DD252" i="7"/>
  <c r="DB252" i="7"/>
  <c r="CZ252" i="7"/>
  <c r="CX252" i="7"/>
  <c r="CV252" i="7"/>
  <c r="CT252" i="7"/>
  <c r="CR252" i="7"/>
  <c r="DD251" i="7"/>
  <c r="DB251" i="7"/>
  <c r="CZ251" i="7"/>
  <c r="CX251" i="7"/>
  <c r="CV251" i="7"/>
  <c r="CT251" i="7"/>
  <c r="CR251" i="7"/>
  <c r="DD250" i="7"/>
  <c r="DB250" i="7"/>
  <c r="CZ250" i="7"/>
  <c r="CX250" i="7"/>
  <c r="CV250" i="7"/>
  <c r="CT250" i="7"/>
  <c r="CR250" i="7"/>
  <c r="DD249" i="7"/>
  <c r="DB249" i="7"/>
  <c r="CZ249" i="7"/>
  <c r="CX249" i="7"/>
  <c r="CV249" i="7"/>
  <c r="CT249" i="7"/>
  <c r="CR249" i="7"/>
  <c r="DD248" i="7"/>
  <c r="DB248" i="7"/>
  <c r="CZ248" i="7"/>
  <c r="CX248" i="7"/>
  <c r="CV248" i="7"/>
  <c r="CT248" i="7"/>
  <c r="CR248" i="7"/>
  <c r="DD247" i="7"/>
  <c r="DB247" i="7"/>
  <c r="CZ247" i="7"/>
  <c r="CX247" i="7"/>
  <c r="CV247" i="7"/>
  <c r="CT247" i="7"/>
  <c r="CR247" i="7"/>
  <c r="DD246" i="7"/>
  <c r="DB246" i="7"/>
  <c r="CZ246" i="7"/>
  <c r="CX246" i="7"/>
  <c r="CV246" i="7"/>
  <c r="CT246" i="7"/>
  <c r="CR246" i="7"/>
  <c r="DD245" i="7"/>
  <c r="DB245" i="7"/>
  <c r="CZ245" i="7"/>
  <c r="CX245" i="7"/>
  <c r="CV245" i="7"/>
  <c r="CT245" i="7"/>
  <c r="CR245" i="7"/>
  <c r="DD244" i="7"/>
  <c r="DB244" i="7"/>
  <c r="CZ244" i="7"/>
  <c r="CX244" i="7"/>
  <c r="CV244" i="7"/>
  <c r="CT244" i="7"/>
  <c r="CR244" i="7"/>
  <c r="DD243" i="7"/>
  <c r="DB243" i="7"/>
  <c r="CZ243" i="7"/>
  <c r="CX243" i="7"/>
  <c r="CV243" i="7"/>
  <c r="CT243" i="7"/>
  <c r="CR243" i="7"/>
  <c r="DD242" i="7"/>
  <c r="DB242" i="7"/>
  <c r="CZ242" i="7"/>
  <c r="CX242" i="7"/>
  <c r="CV242" i="7"/>
  <c r="CT242" i="7"/>
  <c r="CR242" i="7"/>
  <c r="DD241" i="7"/>
  <c r="DB241" i="7"/>
  <c r="CZ241" i="7"/>
  <c r="CX241" i="7"/>
  <c r="CV241" i="7"/>
  <c r="CT241" i="7"/>
  <c r="CR241" i="7"/>
  <c r="DD240" i="7"/>
  <c r="DB240" i="7"/>
  <c r="CZ240" i="7"/>
  <c r="CX240" i="7"/>
  <c r="CV240" i="7"/>
  <c r="CT240" i="7"/>
  <c r="CR240" i="7"/>
  <c r="DD239" i="7"/>
  <c r="DB239" i="7"/>
  <c r="CZ239" i="7"/>
  <c r="CX239" i="7"/>
  <c r="CV239" i="7"/>
  <c r="CT239" i="7"/>
  <c r="CR239" i="7"/>
  <c r="DD238" i="7"/>
  <c r="DB238" i="7"/>
  <c r="CZ238" i="7"/>
  <c r="CX238" i="7"/>
  <c r="CV238" i="7"/>
  <c r="CT238" i="7"/>
  <c r="CR238" i="7"/>
  <c r="DD237" i="7"/>
  <c r="DB237" i="7"/>
  <c r="CZ237" i="7"/>
  <c r="CX237" i="7"/>
  <c r="CV237" i="7"/>
  <c r="CT237" i="7"/>
  <c r="CR237" i="7"/>
  <c r="DD227" i="7"/>
  <c r="DB227" i="7"/>
  <c r="CZ227" i="7"/>
  <c r="CX227" i="7"/>
  <c r="CV227" i="7"/>
  <c r="CT227" i="7"/>
  <c r="CR227" i="7"/>
  <c r="DD226" i="7"/>
  <c r="DB226" i="7"/>
  <c r="CZ226" i="7"/>
  <c r="CX226" i="7"/>
  <c r="CV226" i="7"/>
  <c r="CT226" i="7"/>
  <c r="CR226" i="7"/>
  <c r="DD225" i="7"/>
  <c r="DB225" i="7"/>
  <c r="CZ225" i="7"/>
  <c r="CX225" i="7"/>
  <c r="CV225" i="7"/>
  <c r="CT225" i="7"/>
  <c r="CR225" i="7"/>
  <c r="DD224" i="7"/>
  <c r="DB224" i="7"/>
  <c r="CZ224" i="7"/>
  <c r="CX224" i="7"/>
  <c r="CV224" i="7"/>
  <c r="CT224" i="7"/>
  <c r="CR224" i="7"/>
  <c r="DD223" i="7"/>
  <c r="DB223" i="7"/>
  <c r="CZ223" i="7"/>
  <c r="CX223" i="7"/>
  <c r="CV223" i="7"/>
  <c r="CT223" i="7"/>
  <c r="CR223" i="7"/>
  <c r="DD222" i="7"/>
  <c r="DB222" i="7"/>
  <c r="CZ222" i="7"/>
  <c r="CX222" i="7"/>
  <c r="CV222" i="7"/>
  <c r="CT222" i="7"/>
  <c r="CR222" i="7"/>
  <c r="DD221" i="7"/>
  <c r="DB221" i="7"/>
  <c r="CZ221" i="7"/>
  <c r="CX221" i="7"/>
  <c r="CV221" i="7"/>
  <c r="CT221" i="7"/>
  <c r="CR221" i="7"/>
  <c r="DD220" i="7"/>
  <c r="DB220" i="7"/>
  <c r="CZ220" i="7"/>
  <c r="CX220" i="7"/>
  <c r="CV220" i="7"/>
  <c r="CT220" i="7"/>
  <c r="CR220" i="7"/>
  <c r="DD219" i="7"/>
  <c r="DB219" i="7"/>
  <c r="CZ219" i="7"/>
  <c r="CX219" i="7"/>
  <c r="CV219" i="7"/>
  <c r="CT219" i="7"/>
  <c r="CR219" i="7"/>
  <c r="DD218" i="7"/>
  <c r="DB218" i="7"/>
  <c r="CZ218" i="7"/>
  <c r="CX218" i="7"/>
  <c r="CV218" i="7"/>
  <c r="CT218" i="7"/>
  <c r="CR218" i="7"/>
  <c r="DD217" i="7"/>
  <c r="DB217" i="7"/>
  <c r="CZ217" i="7"/>
  <c r="CX217" i="7"/>
  <c r="CV217" i="7"/>
  <c r="CT217" i="7"/>
  <c r="CR217" i="7"/>
  <c r="DD216" i="7"/>
  <c r="DB216" i="7"/>
  <c r="CZ216" i="7"/>
  <c r="CX216" i="7"/>
  <c r="CV216" i="7"/>
  <c r="CT216" i="7"/>
  <c r="CR216" i="7"/>
  <c r="DD215" i="7"/>
  <c r="DB215" i="7"/>
  <c r="CZ215" i="7"/>
  <c r="CX215" i="7"/>
  <c r="CV215" i="7"/>
  <c r="CT215" i="7"/>
  <c r="CR215" i="7"/>
  <c r="DD214" i="7"/>
  <c r="DB214" i="7"/>
  <c r="CZ214" i="7"/>
  <c r="CX214" i="7"/>
  <c r="CV214" i="7"/>
  <c r="CT214" i="7"/>
  <c r="CR214" i="7"/>
  <c r="DD213" i="7"/>
  <c r="DB213" i="7"/>
  <c r="CZ213" i="7"/>
  <c r="CX213" i="7"/>
  <c r="CV213" i="7"/>
  <c r="CT213" i="7"/>
  <c r="CR213" i="7"/>
  <c r="DD212" i="7"/>
  <c r="DB212" i="7"/>
  <c r="CZ212" i="7"/>
  <c r="CX212" i="7"/>
  <c r="CV212" i="7"/>
  <c r="CT212" i="7"/>
  <c r="CR212" i="7"/>
  <c r="DD211" i="7"/>
  <c r="DB211" i="7"/>
  <c r="CZ211" i="7"/>
  <c r="CX211" i="7"/>
  <c r="CV211" i="7"/>
  <c r="CT211" i="7"/>
  <c r="CR211" i="7"/>
  <c r="DD210" i="7"/>
  <c r="DB210" i="7"/>
  <c r="CZ210" i="7"/>
  <c r="CX210" i="7"/>
  <c r="CV210" i="7"/>
  <c r="CT210" i="7"/>
  <c r="CR210" i="7"/>
  <c r="DD209" i="7"/>
  <c r="DB209" i="7"/>
  <c r="CZ209" i="7"/>
  <c r="CX209" i="7"/>
  <c r="CV209" i="7"/>
  <c r="CT209" i="7"/>
  <c r="CR209" i="7"/>
  <c r="DD208" i="7"/>
  <c r="DB208" i="7"/>
  <c r="CZ208" i="7"/>
  <c r="CX208" i="7"/>
  <c r="CV208" i="7"/>
  <c r="CT208" i="7"/>
  <c r="CR208" i="7"/>
  <c r="DD207" i="7"/>
  <c r="DB207" i="7"/>
  <c r="CZ207" i="7"/>
  <c r="CX207" i="7"/>
  <c r="CV207" i="7"/>
  <c r="CT207" i="7"/>
  <c r="CR207" i="7"/>
  <c r="DD206" i="7"/>
  <c r="DB206" i="7"/>
  <c r="CZ206" i="7"/>
  <c r="CX206" i="7"/>
  <c r="CV206" i="7"/>
  <c r="CT206" i="7"/>
  <c r="CR206" i="7"/>
  <c r="DD205" i="7"/>
  <c r="DB205" i="7"/>
  <c r="CZ205" i="7"/>
  <c r="CX205" i="7"/>
  <c r="CV205" i="7"/>
  <c r="CT205" i="7"/>
  <c r="CR205" i="7"/>
  <c r="DD204" i="7"/>
  <c r="DB204" i="7"/>
  <c r="CZ204" i="7"/>
  <c r="CX204" i="7"/>
  <c r="CV204" i="7"/>
  <c r="CT204" i="7"/>
  <c r="CR204" i="7"/>
  <c r="DD203" i="7"/>
  <c r="DB203" i="7"/>
  <c r="CZ203" i="7"/>
  <c r="CX203" i="7"/>
  <c r="CV203" i="7"/>
  <c r="CT203" i="7"/>
  <c r="CR203" i="7"/>
  <c r="DD202" i="7"/>
  <c r="DB202" i="7"/>
  <c r="CZ202" i="7"/>
  <c r="CX202" i="7"/>
  <c r="CV202" i="7"/>
  <c r="CT202" i="7"/>
  <c r="CR202" i="7"/>
  <c r="DD201" i="7"/>
  <c r="DB201" i="7"/>
  <c r="CZ201" i="7"/>
  <c r="CX201" i="7"/>
  <c r="CV201" i="7"/>
  <c r="CT201" i="7"/>
  <c r="CR201" i="7"/>
  <c r="DD200" i="7"/>
  <c r="DB200" i="7"/>
  <c r="CZ200" i="7"/>
  <c r="CX200" i="7"/>
  <c r="CV200" i="7"/>
  <c r="CT200" i="7"/>
  <c r="CR200" i="7"/>
  <c r="DD199" i="7"/>
  <c r="DB199" i="7"/>
  <c r="CZ199" i="7"/>
  <c r="CX199" i="7"/>
  <c r="CV199" i="7"/>
  <c r="CT199" i="7"/>
  <c r="CR199" i="7"/>
  <c r="DD198" i="7"/>
  <c r="DB198" i="7"/>
  <c r="CZ198" i="7"/>
  <c r="CX198" i="7"/>
  <c r="CV198" i="7"/>
  <c r="CT198" i="7"/>
  <c r="CR198" i="7"/>
  <c r="DD197" i="7"/>
  <c r="DB197" i="7"/>
  <c r="CZ197" i="7"/>
  <c r="CX197" i="7"/>
  <c r="CV197" i="7"/>
  <c r="CT197" i="7"/>
  <c r="CR197" i="7"/>
  <c r="DD196" i="7"/>
  <c r="DB196" i="7"/>
  <c r="CZ196" i="7"/>
  <c r="CX196" i="7"/>
  <c r="CV196" i="7"/>
  <c r="CT196" i="7"/>
  <c r="CR196" i="7"/>
  <c r="DD195" i="7"/>
  <c r="DB195" i="7"/>
  <c r="CZ195" i="7"/>
  <c r="CX195" i="7"/>
  <c r="CV195" i="7"/>
  <c r="CT195" i="7"/>
  <c r="CR195" i="7"/>
  <c r="DD194" i="7"/>
  <c r="DB194" i="7"/>
  <c r="CZ194" i="7"/>
  <c r="CX194" i="7"/>
  <c r="CV194" i="7"/>
  <c r="CT194" i="7"/>
  <c r="CR194" i="7"/>
  <c r="DD193" i="7"/>
  <c r="DB193" i="7"/>
  <c r="CZ193" i="7"/>
  <c r="CX193" i="7"/>
  <c r="CV193" i="7"/>
  <c r="CT193" i="7"/>
  <c r="CR193" i="7"/>
  <c r="DD192" i="7"/>
  <c r="DB192" i="7"/>
  <c r="CZ192" i="7"/>
  <c r="CX192" i="7"/>
  <c r="CV192" i="7"/>
  <c r="CT192" i="7"/>
  <c r="CR192" i="7"/>
  <c r="DD191" i="7"/>
  <c r="DB191" i="7"/>
  <c r="CZ191" i="7"/>
  <c r="CX191" i="7"/>
  <c r="CV191" i="7"/>
  <c r="CT191" i="7"/>
  <c r="CR191" i="7"/>
  <c r="DD190" i="7"/>
  <c r="DB190" i="7"/>
  <c r="CZ190" i="7"/>
  <c r="CX190" i="7"/>
  <c r="CV190" i="7"/>
  <c r="CT190" i="7"/>
  <c r="CR190" i="7"/>
  <c r="DD189" i="7"/>
  <c r="DB189" i="7"/>
  <c r="CZ189" i="7"/>
  <c r="CX189" i="7"/>
  <c r="CV189" i="7"/>
  <c r="CT189" i="7"/>
  <c r="CR189" i="7"/>
  <c r="DD188" i="7"/>
  <c r="DB188" i="7"/>
  <c r="CZ188" i="7"/>
  <c r="CX188" i="7"/>
  <c r="CV188" i="7"/>
  <c r="CT188" i="7"/>
  <c r="CR188" i="7"/>
  <c r="DD187" i="7"/>
  <c r="DB187" i="7"/>
  <c r="CZ187" i="7"/>
  <c r="CX187" i="7"/>
  <c r="CV187" i="7"/>
  <c r="CT187" i="7"/>
  <c r="CR187" i="7"/>
  <c r="DD186" i="7"/>
  <c r="DB186" i="7"/>
  <c r="CZ186" i="7"/>
  <c r="CX186" i="7"/>
  <c r="CV186" i="7"/>
  <c r="CT186" i="7"/>
  <c r="CR186" i="7"/>
  <c r="DD185" i="7"/>
  <c r="DB185" i="7"/>
  <c r="CZ185" i="7"/>
  <c r="CX185" i="7"/>
  <c r="CV185" i="7"/>
  <c r="CT185" i="7"/>
  <c r="CR185" i="7"/>
  <c r="DD184" i="7"/>
  <c r="DB184" i="7"/>
  <c r="CZ184" i="7"/>
  <c r="CX184" i="7"/>
  <c r="CV184" i="7"/>
  <c r="CT184" i="7"/>
  <c r="CR184" i="7"/>
  <c r="DD183" i="7"/>
  <c r="DB183" i="7"/>
  <c r="CZ183" i="7"/>
  <c r="CX183" i="7"/>
  <c r="CV183" i="7"/>
  <c r="CT183" i="7"/>
  <c r="CR183" i="7"/>
  <c r="DD182" i="7"/>
  <c r="DB182" i="7"/>
  <c r="CZ182" i="7"/>
  <c r="CX182" i="7"/>
  <c r="CV182" i="7"/>
  <c r="CT182" i="7"/>
  <c r="CR182" i="7"/>
  <c r="DD181" i="7"/>
  <c r="DB181" i="7"/>
  <c r="CZ181" i="7"/>
  <c r="CX181" i="7"/>
  <c r="CV181" i="7"/>
  <c r="CT181" i="7"/>
  <c r="CR181" i="7"/>
  <c r="DD180" i="7"/>
  <c r="DB180" i="7"/>
  <c r="CZ180" i="7"/>
  <c r="CX180" i="7"/>
  <c r="CV180" i="7"/>
  <c r="CT180" i="7"/>
  <c r="CR180" i="7"/>
  <c r="DD170" i="7"/>
  <c r="DB170" i="7"/>
  <c r="CZ170" i="7"/>
  <c r="CX170" i="7"/>
  <c r="CV170" i="7"/>
  <c r="CT170" i="7"/>
  <c r="CR170" i="7"/>
  <c r="DD169" i="7"/>
  <c r="DB169" i="7"/>
  <c r="CZ169" i="7"/>
  <c r="CX169" i="7"/>
  <c r="CV169" i="7"/>
  <c r="CT169" i="7"/>
  <c r="CR169" i="7"/>
  <c r="DD168" i="7"/>
  <c r="DB168" i="7"/>
  <c r="CZ168" i="7"/>
  <c r="CX168" i="7"/>
  <c r="CV168" i="7"/>
  <c r="CT168" i="7"/>
  <c r="CR168" i="7"/>
  <c r="DD167" i="7"/>
  <c r="DB167" i="7"/>
  <c r="CZ167" i="7"/>
  <c r="CX167" i="7"/>
  <c r="CV167" i="7"/>
  <c r="CT167" i="7"/>
  <c r="CR167" i="7"/>
  <c r="DD166" i="7"/>
  <c r="DB166" i="7"/>
  <c r="CZ166" i="7"/>
  <c r="CX166" i="7"/>
  <c r="CV166" i="7"/>
  <c r="CT166" i="7"/>
  <c r="CR166" i="7"/>
  <c r="DD165" i="7"/>
  <c r="DB165" i="7"/>
  <c r="CZ165" i="7"/>
  <c r="CX165" i="7"/>
  <c r="CV165" i="7"/>
  <c r="CT165" i="7"/>
  <c r="CR165" i="7"/>
  <c r="DD164" i="7"/>
  <c r="DB164" i="7"/>
  <c r="CZ164" i="7"/>
  <c r="CX164" i="7"/>
  <c r="CV164" i="7"/>
  <c r="CT164" i="7"/>
  <c r="CR164" i="7"/>
  <c r="DD163" i="7"/>
  <c r="DB163" i="7"/>
  <c r="CZ163" i="7"/>
  <c r="CX163" i="7"/>
  <c r="CV163" i="7"/>
  <c r="CT163" i="7"/>
  <c r="CR163" i="7"/>
  <c r="DD162" i="7"/>
  <c r="DB162" i="7"/>
  <c r="CZ162" i="7"/>
  <c r="CX162" i="7"/>
  <c r="CV162" i="7"/>
  <c r="CT162" i="7"/>
  <c r="CR162" i="7"/>
  <c r="DD161" i="7"/>
  <c r="DB161" i="7"/>
  <c r="CZ161" i="7"/>
  <c r="CX161" i="7"/>
  <c r="CV161" i="7"/>
  <c r="CT161" i="7"/>
  <c r="CR161" i="7"/>
  <c r="DD160" i="7"/>
  <c r="DB160" i="7"/>
  <c r="CZ160" i="7"/>
  <c r="CX160" i="7"/>
  <c r="CV160" i="7"/>
  <c r="CT160" i="7"/>
  <c r="CR160" i="7"/>
  <c r="DD159" i="7"/>
  <c r="DB159" i="7"/>
  <c r="CZ159" i="7"/>
  <c r="CX159" i="7"/>
  <c r="CV159" i="7"/>
  <c r="CT159" i="7"/>
  <c r="CR159" i="7"/>
  <c r="DD158" i="7"/>
  <c r="DB158" i="7"/>
  <c r="CZ158" i="7"/>
  <c r="CX158" i="7"/>
  <c r="CV158" i="7"/>
  <c r="CT158" i="7"/>
  <c r="CR158" i="7"/>
  <c r="DD157" i="7"/>
  <c r="DB157" i="7"/>
  <c r="CZ157" i="7"/>
  <c r="CX157" i="7"/>
  <c r="CV157" i="7"/>
  <c r="CT157" i="7"/>
  <c r="CR157" i="7"/>
  <c r="DD156" i="7"/>
  <c r="DB156" i="7"/>
  <c r="CZ156" i="7"/>
  <c r="CX156" i="7"/>
  <c r="CV156" i="7"/>
  <c r="CT156" i="7"/>
  <c r="CR156" i="7"/>
  <c r="DD155" i="7"/>
  <c r="DB155" i="7"/>
  <c r="CZ155" i="7"/>
  <c r="CX155" i="7"/>
  <c r="CV155" i="7"/>
  <c r="CT155" i="7"/>
  <c r="CR155" i="7"/>
  <c r="DD154" i="7"/>
  <c r="DB154" i="7"/>
  <c r="CZ154" i="7"/>
  <c r="CX154" i="7"/>
  <c r="CV154" i="7"/>
  <c r="CT154" i="7"/>
  <c r="CR154" i="7"/>
  <c r="DD153" i="7"/>
  <c r="DB153" i="7"/>
  <c r="CZ153" i="7"/>
  <c r="CX153" i="7"/>
  <c r="CV153" i="7"/>
  <c r="CT153" i="7"/>
  <c r="CR153" i="7"/>
  <c r="DD152" i="7"/>
  <c r="DB152" i="7"/>
  <c r="CZ152" i="7"/>
  <c r="CX152" i="7"/>
  <c r="CV152" i="7"/>
  <c r="CT152" i="7"/>
  <c r="CR152" i="7"/>
  <c r="DD151" i="7"/>
  <c r="DB151" i="7"/>
  <c r="CZ151" i="7"/>
  <c r="CX151" i="7"/>
  <c r="CV151" i="7"/>
  <c r="CT151" i="7"/>
  <c r="CR151" i="7"/>
  <c r="DD150" i="7"/>
  <c r="DB150" i="7"/>
  <c r="CZ150" i="7"/>
  <c r="CX150" i="7"/>
  <c r="CV150" i="7"/>
  <c r="CT150" i="7"/>
  <c r="CR150" i="7"/>
  <c r="DD149" i="7"/>
  <c r="DB149" i="7"/>
  <c r="CZ149" i="7"/>
  <c r="CX149" i="7"/>
  <c r="CV149" i="7"/>
  <c r="CT149" i="7"/>
  <c r="CR149" i="7"/>
  <c r="DD148" i="7"/>
  <c r="DB148" i="7"/>
  <c r="CZ148" i="7"/>
  <c r="CX148" i="7"/>
  <c r="CV148" i="7"/>
  <c r="CT148" i="7"/>
  <c r="CR148" i="7"/>
  <c r="DD147" i="7"/>
  <c r="DB147" i="7"/>
  <c r="CZ147" i="7"/>
  <c r="CX147" i="7"/>
  <c r="CV147" i="7"/>
  <c r="CT147" i="7"/>
  <c r="CR147" i="7"/>
  <c r="DD146" i="7"/>
  <c r="DB146" i="7"/>
  <c r="CZ146" i="7"/>
  <c r="CX146" i="7"/>
  <c r="CV146" i="7"/>
  <c r="CT146" i="7"/>
  <c r="CR146" i="7"/>
  <c r="DD145" i="7"/>
  <c r="DB145" i="7"/>
  <c r="CZ145" i="7"/>
  <c r="CX145" i="7"/>
  <c r="CV145" i="7"/>
  <c r="CT145" i="7"/>
  <c r="CR145" i="7"/>
  <c r="DD144" i="7"/>
  <c r="DB144" i="7"/>
  <c r="CZ144" i="7"/>
  <c r="CX144" i="7"/>
  <c r="CV144" i="7"/>
  <c r="CT144" i="7"/>
  <c r="CR144" i="7"/>
  <c r="DD143" i="7"/>
  <c r="DB143" i="7"/>
  <c r="CZ143" i="7"/>
  <c r="CX143" i="7"/>
  <c r="CV143" i="7"/>
  <c r="CT143" i="7"/>
  <c r="CR143" i="7"/>
  <c r="DD142" i="7"/>
  <c r="DB142" i="7"/>
  <c r="CZ142" i="7"/>
  <c r="CX142" i="7"/>
  <c r="CV142" i="7"/>
  <c r="CT142" i="7"/>
  <c r="CR142" i="7"/>
  <c r="DD141" i="7"/>
  <c r="DB141" i="7"/>
  <c r="CZ141" i="7"/>
  <c r="CX141" i="7"/>
  <c r="CV141" i="7"/>
  <c r="CT141" i="7"/>
  <c r="CR141" i="7"/>
  <c r="DD140" i="7"/>
  <c r="DB140" i="7"/>
  <c r="CZ140" i="7"/>
  <c r="CX140" i="7"/>
  <c r="CV140" i="7"/>
  <c r="CT140" i="7"/>
  <c r="CR140" i="7"/>
  <c r="DD139" i="7"/>
  <c r="DB139" i="7"/>
  <c r="CZ139" i="7"/>
  <c r="CX139" i="7"/>
  <c r="CV139" i="7"/>
  <c r="CT139" i="7"/>
  <c r="CR139" i="7"/>
  <c r="DD138" i="7"/>
  <c r="DB138" i="7"/>
  <c r="CZ138" i="7"/>
  <c r="CX138" i="7"/>
  <c r="CV138" i="7"/>
  <c r="CT138" i="7"/>
  <c r="CR138" i="7"/>
  <c r="DD137" i="7"/>
  <c r="DB137" i="7"/>
  <c r="CZ137" i="7"/>
  <c r="CX137" i="7"/>
  <c r="CV137" i="7"/>
  <c r="CT137" i="7"/>
  <c r="CR137" i="7"/>
  <c r="DD136" i="7"/>
  <c r="DB136" i="7"/>
  <c r="CZ136" i="7"/>
  <c r="CX136" i="7"/>
  <c r="CV136" i="7"/>
  <c r="CT136" i="7"/>
  <c r="CR136" i="7"/>
  <c r="DD135" i="7"/>
  <c r="DB135" i="7"/>
  <c r="CZ135" i="7"/>
  <c r="CX135" i="7"/>
  <c r="CV135" i="7"/>
  <c r="CT135" i="7"/>
  <c r="CR135" i="7"/>
  <c r="DD134" i="7"/>
  <c r="DB134" i="7"/>
  <c r="CZ134" i="7"/>
  <c r="CX134" i="7"/>
  <c r="CV134" i="7"/>
  <c r="CT134" i="7"/>
  <c r="CR134" i="7"/>
  <c r="DD133" i="7"/>
  <c r="DB133" i="7"/>
  <c r="CZ133" i="7"/>
  <c r="CX133" i="7"/>
  <c r="CV133" i="7"/>
  <c r="CT133" i="7"/>
  <c r="CR133" i="7"/>
  <c r="DD132" i="7"/>
  <c r="DB132" i="7"/>
  <c r="CZ132" i="7"/>
  <c r="CX132" i="7"/>
  <c r="CV132" i="7"/>
  <c r="CT132" i="7"/>
  <c r="CR132" i="7"/>
  <c r="DD131" i="7"/>
  <c r="DB131" i="7"/>
  <c r="CZ131" i="7"/>
  <c r="CX131" i="7"/>
  <c r="CV131" i="7"/>
  <c r="CT131" i="7"/>
  <c r="CR131" i="7"/>
  <c r="DD130" i="7"/>
  <c r="DB130" i="7"/>
  <c r="CZ130" i="7"/>
  <c r="CX130" i="7"/>
  <c r="CV130" i="7"/>
  <c r="CT130" i="7"/>
  <c r="CR130" i="7"/>
  <c r="DD129" i="7"/>
  <c r="DB129" i="7"/>
  <c r="CZ129" i="7"/>
  <c r="CX129" i="7"/>
  <c r="CV129" i="7"/>
  <c r="CT129" i="7"/>
  <c r="CR129" i="7"/>
  <c r="DD128" i="7"/>
  <c r="DB128" i="7"/>
  <c r="CZ128" i="7"/>
  <c r="CX128" i="7"/>
  <c r="CV128" i="7"/>
  <c r="CT128" i="7"/>
  <c r="CR128" i="7"/>
  <c r="DD127" i="7"/>
  <c r="DB127" i="7"/>
  <c r="CZ127" i="7"/>
  <c r="CX127" i="7"/>
  <c r="CV127" i="7"/>
  <c r="CT127" i="7"/>
  <c r="CR127" i="7"/>
  <c r="DD126" i="7"/>
  <c r="DB126" i="7"/>
  <c r="CZ126" i="7"/>
  <c r="CX126" i="7"/>
  <c r="CV126" i="7"/>
  <c r="CT126" i="7"/>
  <c r="CR126" i="7"/>
  <c r="DD125" i="7"/>
  <c r="DB125" i="7"/>
  <c r="CZ125" i="7"/>
  <c r="CX125" i="7"/>
  <c r="CV125" i="7"/>
  <c r="CT125" i="7"/>
  <c r="CR125" i="7"/>
  <c r="DD124" i="7"/>
  <c r="DB124" i="7"/>
  <c r="CZ124" i="7"/>
  <c r="CX124" i="7"/>
  <c r="CV124" i="7"/>
  <c r="CT124" i="7"/>
  <c r="CR124" i="7"/>
  <c r="DD123" i="7"/>
  <c r="DB123" i="7"/>
  <c r="CZ123" i="7"/>
  <c r="CX123" i="7"/>
  <c r="CV123" i="7"/>
  <c r="CT123" i="7"/>
  <c r="CR123" i="7"/>
  <c r="DD113" i="7"/>
  <c r="DB113" i="7"/>
  <c r="CZ113" i="7"/>
  <c r="CX113" i="7"/>
  <c r="CV113" i="7"/>
  <c r="CT113" i="7"/>
  <c r="CR113" i="7"/>
  <c r="DD112" i="7"/>
  <c r="DB112" i="7"/>
  <c r="CZ112" i="7"/>
  <c r="CX112" i="7"/>
  <c r="CV112" i="7"/>
  <c r="CT112" i="7"/>
  <c r="CR112" i="7"/>
  <c r="DD111" i="7"/>
  <c r="DB111" i="7"/>
  <c r="CZ111" i="7"/>
  <c r="CX111" i="7"/>
  <c r="CV111" i="7"/>
  <c r="CT111" i="7"/>
  <c r="CR111" i="7"/>
  <c r="DD110" i="7"/>
  <c r="DB110" i="7"/>
  <c r="CZ110" i="7"/>
  <c r="CX110" i="7"/>
  <c r="CV110" i="7"/>
  <c r="CT110" i="7"/>
  <c r="CR110" i="7"/>
  <c r="DD109" i="7"/>
  <c r="DB109" i="7"/>
  <c r="CZ109" i="7"/>
  <c r="CX109" i="7"/>
  <c r="CV109" i="7"/>
  <c r="CT109" i="7"/>
  <c r="CR109" i="7"/>
  <c r="DD108" i="7"/>
  <c r="DB108" i="7"/>
  <c r="CZ108" i="7"/>
  <c r="CX108" i="7"/>
  <c r="CV108" i="7"/>
  <c r="CT108" i="7"/>
  <c r="CR108" i="7"/>
  <c r="DD107" i="7"/>
  <c r="DB107" i="7"/>
  <c r="CZ107" i="7"/>
  <c r="CX107" i="7"/>
  <c r="CV107" i="7"/>
  <c r="CT107" i="7"/>
  <c r="CR107" i="7"/>
  <c r="DD106" i="7"/>
  <c r="DB106" i="7"/>
  <c r="CZ106" i="7"/>
  <c r="CX106" i="7"/>
  <c r="CV106" i="7"/>
  <c r="CT106" i="7"/>
  <c r="CR106" i="7"/>
  <c r="DD105" i="7"/>
  <c r="DB105" i="7"/>
  <c r="CZ105" i="7"/>
  <c r="CX105" i="7"/>
  <c r="CV105" i="7"/>
  <c r="CT105" i="7"/>
  <c r="CR105" i="7"/>
  <c r="DD104" i="7"/>
  <c r="DB104" i="7"/>
  <c r="CZ104" i="7"/>
  <c r="CX104" i="7"/>
  <c r="CV104" i="7"/>
  <c r="CT104" i="7"/>
  <c r="CR104" i="7"/>
  <c r="DD103" i="7"/>
  <c r="DB103" i="7"/>
  <c r="CZ103" i="7"/>
  <c r="CX103" i="7"/>
  <c r="CV103" i="7"/>
  <c r="CT103" i="7"/>
  <c r="CR103" i="7"/>
  <c r="DD102" i="7"/>
  <c r="DB102" i="7"/>
  <c r="CZ102" i="7"/>
  <c r="CX102" i="7"/>
  <c r="CV102" i="7"/>
  <c r="CT102" i="7"/>
  <c r="CR102" i="7"/>
  <c r="DD101" i="7"/>
  <c r="DB101" i="7"/>
  <c r="CZ101" i="7"/>
  <c r="CX101" i="7"/>
  <c r="CV101" i="7"/>
  <c r="CT101" i="7"/>
  <c r="CR101" i="7"/>
  <c r="DD100" i="7"/>
  <c r="DB100" i="7"/>
  <c r="CZ100" i="7"/>
  <c r="CX100" i="7"/>
  <c r="CV100" i="7"/>
  <c r="CT100" i="7"/>
  <c r="CR100" i="7"/>
  <c r="DD99" i="7"/>
  <c r="DB99" i="7"/>
  <c r="CZ99" i="7"/>
  <c r="CX99" i="7"/>
  <c r="CV99" i="7"/>
  <c r="CT99" i="7"/>
  <c r="CR99" i="7"/>
  <c r="DD98" i="7"/>
  <c r="DB98" i="7"/>
  <c r="CZ98" i="7"/>
  <c r="CX98" i="7"/>
  <c r="CV98" i="7"/>
  <c r="CT98" i="7"/>
  <c r="CR98" i="7"/>
  <c r="DD97" i="7"/>
  <c r="DB97" i="7"/>
  <c r="CZ97" i="7"/>
  <c r="CX97" i="7"/>
  <c r="CV97" i="7"/>
  <c r="CT97" i="7"/>
  <c r="CR97" i="7"/>
  <c r="DD96" i="7"/>
  <c r="DB96" i="7"/>
  <c r="CZ96" i="7"/>
  <c r="CX96" i="7"/>
  <c r="CV96" i="7"/>
  <c r="CT96" i="7"/>
  <c r="CR96" i="7"/>
  <c r="DD95" i="7"/>
  <c r="DB95" i="7"/>
  <c r="CZ95" i="7"/>
  <c r="CX95" i="7"/>
  <c r="CV95" i="7"/>
  <c r="CT95" i="7"/>
  <c r="CR95" i="7"/>
  <c r="DD94" i="7"/>
  <c r="DB94" i="7"/>
  <c r="CZ94" i="7"/>
  <c r="CX94" i="7"/>
  <c r="CV94" i="7"/>
  <c r="CT94" i="7"/>
  <c r="CR94" i="7"/>
  <c r="DD93" i="7"/>
  <c r="DB93" i="7"/>
  <c r="CZ93" i="7"/>
  <c r="CX93" i="7"/>
  <c r="CV93" i="7"/>
  <c r="CT93" i="7"/>
  <c r="CR93" i="7"/>
  <c r="DD92" i="7"/>
  <c r="DB92" i="7"/>
  <c r="CZ92" i="7"/>
  <c r="CX92" i="7"/>
  <c r="CV92" i="7"/>
  <c r="CT92" i="7"/>
  <c r="CR92" i="7"/>
  <c r="DD91" i="7"/>
  <c r="DB91" i="7"/>
  <c r="CZ91" i="7"/>
  <c r="CX91" i="7"/>
  <c r="CV91" i="7"/>
  <c r="CT91" i="7"/>
  <c r="CR91" i="7"/>
  <c r="DD90" i="7"/>
  <c r="DB90" i="7"/>
  <c r="CZ90" i="7"/>
  <c r="CX90" i="7"/>
  <c r="CV90" i="7"/>
  <c r="CT90" i="7"/>
  <c r="CR90" i="7"/>
  <c r="DD89" i="7"/>
  <c r="DB89" i="7"/>
  <c r="CZ89" i="7"/>
  <c r="CX89" i="7"/>
  <c r="CV89" i="7"/>
  <c r="CT89" i="7"/>
  <c r="CR89" i="7"/>
  <c r="DD88" i="7"/>
  <c r="DB88" i="7"/>
  <c r="CZ88" i="7"/>
  <c r="CX88" i="7"/>
  <c r="CV88" i="7"/>
  <c r="CT88" i="7"/>
  <c r="CR88" i="7"/>
  <c r="DD87" i="7"/>
  <c r="DB87" i="7"/>
  <c r="CZ87" i="7"/>
  <c r="CX87" i="7"/>
  <c r="CV87" i="7"/>
  <c r="CT87" i="7"/>
  <c r="CR87" i="7"/>
  <c r="DD86" i="7"/>
  <c r="DB86" i="7"/>
  <c r="CZ86" i="7"/>
  <c r="CX86" i="7"/>
  <c r="CV86" i="7"/>
  <c r="CT86" i="7"/>
  <c r="CR86" i="7"/>
  <c r="DD85" i="7"/>
  <c r="DB85" i="7"/>
  <c r="CZ85" i="7"/>
  <c r="CX85" i="7"/>
  <c r="CV85" i="7"/>
  <c r="CT85" i="7"/>
  <c r="CR85" i="7"/>
  <c r="DD84" i="7"/>
  <c r="DB84" i="7"/>
  <c r="CZ84" i="7"/>
  <c r="CX84" i="7"/>
  <c r="CV84" i="7"/>
  <c r="CT84" i="7"/>
  <c r="CR84" i="7"/>
  <c r="DD83" i="7"/>
  <c r="DB83" i="7"/>
  <c r="CZ83" i="7"/>
  <c r="CX83" i="7"/>
  <c r="CV83" i="7"/>
  <c r="CT83" i="7"/>
  <c r="CR83" i="7"/>
  <c r="DD82" i="7"/>
  <c r="DB82" i="7"/>
  <c r="CZ82" i="7"/>
  <c r="CX82" i="7"/>
  <c r="CV82" i="7"/>
  <c r="CT82" i="7"/>
  <c r="CR82" i="7"/>
  <c r="DD81" i="7"/>
  <c r="DB81" i="7"/>
  <c r="CZ81" i="7"/>
  <c r="CX81" i="7"/>
  <c r="CV81" i="7"/>
  <c r="CT81" i="7"/>
  <c r="CR81" i="7"/>
  <c r="DD80" i="7"/>
  <c r="DB80" i="7"/>
  <c r="CZ80" i="7"/>
  <c r="CX80" i="7"/>
  <c r="CV80" i="7"/>
  <c r="CT80" i="7"/>
  <c r="CR80" i="7"/>
  <c r="DD79" i="7"/>
  <c r="DB79" i="7"/>
  <c r="CZ79" i="7"/>
  <c r="CX79" i="7"/>
  <c r="CV79" i="7"/>
  <c r="CT79" i="7"/>
  <c r="CR79" i="7"/>
  <c r="DD78" i="7"/>
  <c r="DB78" i="7"/>
  <c r="CZ78" i="7"/>
  <c r="CX78" i="7"/>
  <c r="CV78" i="7"/>
  <c r="CT78" i="7"/>
  <c r="CR78" i="7"/>
  <c r="DD77" i="7"/>
  <c r="DB77" i="7"/>
  <c r="CZ77" i="7"/>
  <c r="CX77" i="7"/>
  <c r="CV77" i="7"/>
  <c r="CT77" i="7"/>
  <c r="CR77" i="7"/>
  <c r="DD76" i="7"/>
  <c r="DB76" i="7"/>
  <c r="CZ76" i="7"/>
  <c r="CX76" i="7"/>
  <c r="CV76" i="7"/>
  <c r="CT76" i="7"/>
  <c r="CR76" i="7"/>
  <c r="DD75" i="7"/>
  <c r="DB75" i="7"/>
  <c r="CZ75" i="7"/>
  <c r="CX75" i="7"/>
  <c r="CV75" i="7"/>
  <c r="CT75" i="7"/>
  <c r="CR75" i="7"/>
  <c r="DD74" i="7"/>
  <c r="DB74" i="7"/>
  <c r="CZ74" i="7"/>
  <c r="CX74" i="7"/>
  <c r="CV74" i="7"/>
  <c r="CT74" i="7"/>
  <c r="CR74" i="7"/>
  <c r="DD73" i="7"/>
  <c r="DB73" i="7"/>
  <c r="CZ73" i="7"/>
  <c r="CX73" i="7"/>
  <c r="CV73" i="7"/>
  <c r="CT73" i="7"/>
  <c r="CR73" i="7"/>
  <c r="DD72" i="7"/>
  <c r="DB72" i="7"/>
  <c r="CZ72" i="7"/>
  <c r="CX72" i="7"/>
  <c r="CV72" i="7"/>
  <c r="CT72" i="7"/>
  <c r="CR72" i="7"/>
  <c r="DD71" i="7"/>
  <c r="DB71" i="7"/>
  <c r="CZ71" i="7"/>
  <c r="CX71" i="7"/>
  <c r="CV71" i="7"/>
  <c r="CT71" i="7"/>
  <c r="CR71" i="7"/>
  <c r="DD70" i="7"/>
  <c r="DB70" i="7"/>
  <c r="CZ70" i="7"/>
  <c r="CX70" i="7"/>
  <c r="CV70" i="7"/>
  <c r="CT70" i="7"/>
  <c r="CR70" i="7"/>
  <c r="DD69" i="7"/>
  <c r="DB69" i="7"/>
  <c r="CZ69" i="7"/>
  <c r="CX69" i="7"/>
  <c r="CV69" i="7"/>
  <c r="CT69" i="7"/>
  <c r="CR69" i="7"/>
  <c r="DD68" i="7"/>
  <c r="DB68" i="7"/>
  <c r="CZ68" i="7"/>
  <c r="CX68" i="7"/>
  <c r="CV68" i="7"/>
  <c r="CT68" i="7"/>
  <c r="CR68" i="7"/>
  <c r="DD67" i="7"/>
  <c r="DB67" i="7"/>
  <c r="CZ67" i="7"/>
  <c r="CX67" i="7"/>
  <c r="CV67" i="7"/>
  <c r="CT67" i="7"/>
  <c r="CR67" i="7"/>
  <c r="DD66" i="7"/>
  <c r="DB66" i="7"/>
  <c r="CZ66" i="7"/>
  <c r="CX66" i="7"/>
  <c r="CV66" i="7"/>
  <c r="CT66" i="7"/>
  <c r="CR66" i="7"/>
  <c r="Y7" i="7"/>
  <c r="CD9" i="7"/>
  <c r="DO87" i="7"/>
  <c r="DO88" i="7"/>
  <c r="DO89" i="7"/>
  <c r="DO90" i="7"/>
  <c r="DO91" i="7"/>
  <c r="DO86" i="7"/>
  <c r="DP65" i="7"/>
  <c r="DP9" i="7"/>
  <c r="DP71" i="7"/>
  <c r="DP63" i="7"/>
  <c r="DP61" i="7"/>
  <c r="DP59" i="7"/>
  <c r="DP57" i="7"/>
  <c r="DP55" i="7"/>
  <c r="DP53" i="7"/>
  <c r="DP51" i="7"/>
  <c r="DP49" i="7"/>
  <c r="DP47" i="7"/>
  <c r="DP45" i="7"/>
  <c r="DP43" i="7"/>
  <c r="DP41" i="7"/>
  <c r="DP39" i="7"/>
  <c r="DP37" i="7"/>
  <c r="DP35" i="7"/>
  <c r="DP33" i="7"/>
  <c r="DP31" i="7"/>
  <c r="DP29" i="7"/>
  <c r="DP27" i="7"/>
  <c r="DP25" i="7"/>
  <c r="DP23" i="7"/>
  <c r="DP21" i="7"/>
  <c r="DP19" i="7"/>
  <c r="DP17" i="7"/>
  <c r="DP15" i="7"/>
  <c r="DP72" i="7"/>
  <c r="DP70" i="7"/>
  <c r="DP64" i="7"/>
  <c r="DP62" i="7"/>
  <c r="DP60" i="7"/>
  <c r="DP58" i="7"/>
  <c r="DP56" i="7"/>
  <c r="DP54" i="7"/>
  <c r="DP52" i="7"/>
  <c r="DP50" i="7"/>
  <c r="DP48" i="7"/>
  <c r="DP46" i="7"/>
  <c r="DP44" i="7"/>
  <c r="DP42" i="7"/>
  <c r="DP40" i="7"/>
  <c r="DP38" i="7"/>
  <c r="DP36" i="7"/>
  <c r="DP34" i="7"/>
  <c r="DP32" i="7"/>
  <c r="DP30" i="7"/>
  <c r="DP28" i="7"/>
  <c r="DP26" i="7"/>
  <c r="DP24" i="7"/>
  <c r="DP22" i="7"/>
  <c r="DP20" i="7"/>
  <c r="DP18" i="7"/>
  <c r="DP16" i="7"/>
  <c r="DP10" i="7"/>
  <c r="BB3" i="3"/>
  <c r="BB4" i="3"/>
  <c r="BB5" i="3"/>
  <c r="BB6" i="3"/>
  <c r="BB7" i="3"/>
  <c r="BB2" i="3"/>
  <c r="AT31" i="3"/>
  <c r="DP66" i="7"/>
  <c r="DP11" i="7"/>
  <c r="B42" i="3"/>
  <c r="B43" i="3"/>
  <c r="B44" i="3"/>
  <c r="B45" i="3"/>
  <c r="B46" i="3"/>
  <c r="B47" i="3"/>
  <c r="B48" i="3"/>
  <c r="B49" i="3"/>
  <c r="B50" i="3"/>
  <c r="B51" i="3"/>
  <c r="B52" i="3"/>
  <c r="B53" i="3"/>
  <c r="DP12" i="7"/>
  <c r="DP67" i="7"/>
  <c r="DP13" i="7"/>
  <c r="DP68" i="7"/>
  <c r="DP69" i="7"/>
  <c r="CW316" i="7"/>
  <c r="DP14" i="7"/>
  <c r="CB911" i="7"/>
  <c r="CA911" i="7"/>
  <c r="CB910" i="7"/>
  <c r="CA910" i="7"/>
  <c r="CB909" i="7"/>
  <c r="CA909" i="7"/>
  <c r="CB908" i="7"/>
  <c r="CA908" i="7"/>
  <c r="CB907" i="7"/>
  <c r="CA907" i="7"/>
  <c r="CB906" i="7"/>
  <c r="CA906" i="7"/>
  <c r="CB905" i="7"/>
  <c r="CA905" i="7"/>
  <c r="CB904" i="7"/>
  <c r="CA904" i="7"/>
  <c r="CB903" i="7"/>
  <c r="CA903" i="7"/>
  <c r="CB902" i="7"/>
  <c r="CA902" i="7"/>
  <c r="CB900" i="7"/>
  <c r="CA900" i="7"/>
  <c r="CB899" i="7"/>
  <c r="CA899" i="7"/>
  <c r="CB898" i="7"/>
  <c r="CA898" i="7"/>
  <c r="CB897" i="7"/>
  <c r="CA897" i="7"/>
  <c r="CB896" i="7"/>
  <c r="CA896" i="7"/>
  <c r="CB895" i="7"/>
  <c r="CA895" i="7"/>
  <c r="CB893" i="7"/>
  <c r="CA893" i="7"/>
  <c r="CB892" i="7"/>
  <c r="CA892" i="7"/>
  <c r="CB891" i="7"/>
  <c r="CA891" i="7"/>
  <c r="CB890" i="7"/>
  <c r="CA890" i="7"/>
  <c r="CB889" i="7"/>
  <c r="CA889" i="7"/>
  <c r="CB888" i="7"/>
  <c r="CA888" i="7"/>
  <c r="CB886" i="7"/>
  <c r="CA886" i="7"/>
  <c r="CB885" i="7"/>
  <c r="CA885" i="7"/>
  <c r="CB884" i="7"/>
  <c r="CA884" i="7"/>
  <c r="CB883" i="7"/>
  <c r="CA883" i="7"/>
  <c r="CB882" i="7"/>
  <c r="CA882" i="7"/>
  <c r="CB881" i="7"/>
  <c r="CA881" i="7"/>
  <c r="CD880" i="7"/>
  <c r="CB880" i="7"/>
  <c r="CA880" i="7"/>
  <c r="CD872" i="7"/>
  <c r="CD879" i="7"/>
  <c r="CB879" i="7"/>
  <c r="CA879" i="7"/>
  <c r="CD871" i="7"/>
  <c r="CD878" i="7"/>
  <c r="CB878" i="7"/>
  <c r="CA878" i="7"/>
  <c r="CD870" i="7"/>
  <c r="CD877" i="7"/>
  <c r="CB877" i="7"/>
  <c r="CA877" i="7"/>
  <c r="CD876" i="7"/>
  <c r="CB876" i="7"/>
  <c r="CA876" i="7"/>
  <c r="CD875" i="7"/>
  <c r="CB875" i="7"/>
  <c r="CA875" i="7"/>
  <c r="CD874" i="7"/>
  <c r="CB874" i="7"/>
  <c r="CA874" i="7"/>
  <c r="CB873" i="7"/>
  <c r="CA873" i="7"/>
  <c r="CB872" i="7"/>
  <c r="CA872" i="7"/>
  <c r="CB871" i="7"/>
  <c r="CA871" i="7"/>
  <c r="CB870" i="7"/>
  <c r="CA870" i="7"/>
  <c r="CB869" i="7"/>
  <c r="CA869" i="7"/>
  <c r="CD868" i="7"/>
  <c r="CB868" i="7"/>
  <c r="CA868" i="7"/>
  <c r="CB867" i="7"/>
  <c r="CA867" i="7"/>
  <c r="CB866" i="7"/>
  <c r="CA866" i="7"/>
  <c r="CB865" i="7"/>
  <c r="CA865" i="7"/>
  <c r="CD864" i="7"/>
  <c r="CB864" i="7"/>
  <c r="CA864" i="7"/>
  <c r="CB863" i="7"/>
  <c r="CA863" i="7"/>
  <c r="CB862" i="7"/>
  <c r="CA862" i="7"/>
  <c r="CB860" i="7"/>
  <c r="CA860" i="7"/>
  <c r="CB859" i="7"/>
  <c r="CA859" i="7"/>
  <c r="CB854" i="7"/>
  <c r="CA854" i="7"/>
  <c r="CB853" i="7"/>
  <c r="CA853" i="7"/>
  <c r="CB852" i="7"/>
  <c r="CA852" i="7"/>
  <c r="CB851" i="7"/>
  <c r="CA851" i="7"/>
  <c r="CB850" i="7"/>
  <c r="CA850" i="7"/>
  <c r="CB849" i="7"/>
  <c r="CA849" i="7"/>
  <c r="CB848" i="7"/>
  <c r="CA848" i="7"/>
  <c r="CB847" i="7"/>
  <c r="CA847" i="7"/>
  <c r="CB846" i="7"/>
  <c r="CA846" i="7"/>
  <c r="CB845" i="7"/>
  <c r="CA845" i="7"/>
  <c r="CB843" i="7"/>
  <c r="CA843" i="7"/>
  <c r="CB842" i="7"/>
  <c r="CA842" i="7"/>
  <c r="CB841" i="7"/>
  <c r="CA841" i="7"/>
  <c r="CB840" i="7"/>
  <c r="CA840" i="7"/>
  <c r="CB839" i="7"/>
  <c r="CA839" i="7"/>
  <c r="CB838" i="7"/>
  <c r="CA838" i="7"/>
  <c r="CB836" i="7"/>
  <c r="CA836" i="7"/>
  <c r="CB835" i="7"/>
  <c r="CA835" i="7"/>
  <c r="CB834" i="7"/>
  <c r="CA834" i="7"/>
  <c r="CB833" i="7"/>
  <c r="CA833" i="7"/>
  <c r="CB832" i="7"/>
  <c r="CA832" i="7"/>
  <c r="CB831" i="7"/>
  <c r="CA831" i="7"/>
  <c r="CB829" i="7"/>
  <c r="CA829" i="7"/>
  <c r="CB828" i="7"/>
  <c r="CA828" i="7"/>
  <c r="CB827" i="7"/>
  <c r="CA827" i="7"/>
  <c r="CB826" i="7"/>
  <c r="CA826" i="7"/>
  <c r="CB825" i="7"/>
  <c r="CA825" i="7"/>
  <c r="CB824" i="7"/>
  <c r="CA824" i="7"/>
  <c r="CD823" i="7"/>
  <c r="CB823" i="7"/>
  <c r="CA823" i="7"/>
  <c r="CD822" i="7"/>
  <c r="CB822" i="7"/>
  <c r="CA822" i="7"/>
  <c r="CD821" i="7"/>
  <c r="CB821" i="7"/>
  <c r="CA821" i="7"/>
  <c r="CD820" i="7"/>
  <c r="CB820" i="7"/>
  <c r="CA820" i="7"/>
  <c r="CD819" i="7"/>
  <c r="CB819" i="7"/>
  <c r="CA819" i="7"/>
  <c r="CD818" i="7"/>
  <c r="CB818" i="7"/>
  <c r="CA818" i="7"/>
  <c r="CD817" i="7"/>
  <c r="CB817" i="7"/>
  <c r="CA817" i="7"/>
  <c r="CB816" i="7"/>
  <c r="CA816" i="7"/>
  <c r="CB815" i="7"/>
  <c r="CA815" i="7"/>
  <c r="CB814" i="7"/>
  <c r="CA814" i="7"/>
  <c r="CB813" i="7"/>
  <c r="CA813" i="7"/>
  <c r="CB812" i="7"/>
  <c r="CA812" i="7"/>
  <c r="CB811" i="7"/>
  <c r="CA811" i="7"/>
  <c r="CB810" i="7"/>
  <c r="CA810" i="7"/>
  <c r="CB809" i="7"/>
  <c r="CA809" i="7"/>
  <c r="CB808" i="7"/>
  <c r="CA808" i="7"/>
  <c r="CD807" i="7"/>
  <c r="CB807" i="7"/>
  <c r="CA807" i="7"/>
  <c r="CB806" i="7"/>
  <c r="CA806" i="7"/>
  <c r="CB805" i="7"/>
  <c r="CA805" i="7"/>
  <c r="CB803" i="7"/>
  <c r="CA803" i="7"/>
  <c r="CB802" i="7"/>
  <c r="CA802" i="7"/>
  <c r="CB797" i="7"/>
  <c r="CA797" i="7"/>
  <c r="CB796" i="7"/>
  <c r="CA796" i="7"/>
  <c r="CB795" i="7"/>
  <c r="CA795" i="7"/>
  <c r="CB794" i="7"/>
  <c r="CA794" i="7"/>
  <c r="CB793" i="7"/>
  <c r="CA793" i="7"/>
  <c r="CB792" i="7"/>
  <c r="CA792" i="7"/>
  <c r="CB791" i="7"/>
  <c r="CA791" i="7"/>
  <c r="CB790" i="7"/>
  <c r="CA790" i="7"/>
  <c r="CB789" i="7"/>
  <c r="CA789" i="7"/>
  <c r="CB788" i="7"/>
  <c r="CA788" i="7"/>
  <c r="CB786" i="7"/>
  <c r="CA786" i="7"/>
  <c r="CB785" i="7"/>
  <c r="CA785" i="7"/>
  <c r="CB784" i="7"/>
  <c r="CA784" i="7"/>
  <c r="CB783" i="7"/>
  <c r="CA783" i="7"/>
  <c r="CB782" i="7"/>
  <c r="CA782" i="7"/>
  <c r="CB781" i="7"/>
  <c r="CA781" i="7"/>
  <c r="CB779" i="7"/>
  <c r="CA779" i="7"/>
  <c r="CB778" i="7"/>
  <c r="CA778" i="7"/>
  <c r="CB777" i="7"/>
  <c r="CA777" i="7"/>
  <c r="CB776" i="7"/>
  <c r="CA776" i="7"/>
  <c r="CB775" i="7"/>
  <c r="CA775" i="7"/>
  <c r="CB774" i="7"/>
  <c r="CA774" i="7"/>
  <c r="CB772" i="7"/>
  <c r="CA772" i="7"/>
  <c r="CB771" i="7"/>
  <c r="CA771" i="7"/>
  <c r="CB770" i="7"/>
  <c r="CA770" i="7"/>
  <c r="CB769" i="7"/>
  <c r="CA769" i="7"/>
  <c r="CB768" i="7"/>
  <c r="CA768" i="7"/>
  <c r="CB767" i="7"/>
  <c r="CA767" i="7"/>
  <c r="CD759" i="7"/>
  <c r="CD766" i="7"/>
  <c r="CB766" i="7"/>
  <c r="CA766" i="7"/>
  <c r="CD765" i="7"/>
  <c r="CB765" i="7"/>
  <c r="CA765" i="7"/>
  <c r="CD757" i="7"/>
  <c r="CD764" i="7"/>
  <c r="CB764" i="7"/>
  <c r="CA764" i="7"/>
  <c r="CD756" i="7"/>
  <c r="CD763" i="7"/>
  <c r="CB763" i="7"/>
  <c r="CA763" i="7"/>
  <c r="CD755" i="7"/>
  <c r="CD762" i="7"/>
  <c r="CB762" i="7"/>
  <c r="CA762" i="7"/>
  <c r="CD761" i="7"/>
  <c r="CB761" i="7"/>
  <c r="CA761" i="7"/>
  <c r="CD760" i="7"/>
  <c r="CB760" i="7"/>
  <c r="CA760" i="7"/>
  <c r="CB759" i="7"/>
  <c r="CA759" i="7"/>
  <c r="CB758" i="7"/>
  <c r="CA758" i="7"/>
  <c r="CB757" i="7"/>
  <c r="CA757" i="7"/>
  <c r="CB756" i="7"/>
  <c r="CA756" i="7"/>
  <c r="CB755" i="7"/>
  <c r="CA755" i="7"/>
  <c r="CB754" i="7"/>
  <c r="CA754" i="7"/>
  <c r="CB753" i="7"/>
  <c r="CA753" i="7"/>
  <c r="CB752" i="7"/>
  <c r="CA752" i="7"/>
  <c r="CB751" i="7"/>
  <c r="CA751" i="7"/>
  <c r="CD750" i="7"/>
  <c r="CB750" i="7"/>
  <c r="CA750" i="7"/>
  <c r="CB749" i="7"/>
  <c r="CA749" i="7"/>
  <c r="CB748" i="7"/>
  <c r="CA748" i="7"/>
  <c r="CB746" i="7"/>
  <c r="CA746" i="7"/>
  <c r="CB745" i="7"/>
  <c r="CA745" i="7"/>
  <c r="CB740" i="7"/>
  <c r="CA740" i="7"/>
  <c r="U740" i="7"/>
  <c r="CB739" i="7"/>
  <c r="CA739" i="7"/>
  <c r="CB738" i="7"/>
  <c r="CA738" i="7"/>
  <c r="U738" i="7"/>
  <c r="CB737" i="7"/>
  <c r="CA737" i="7"/>
  <c r="CB736" i="7"/>
  <c r="CA736" i="7"/>
  <c r="CB735" i="7"/>
  <c r="CA735" i="7"/>
  <c r="CB734" i="7"/>
  <c r="CA734" i="7"/>
  <c r="CB733" i="7"/>
  <c r="CA733" i="7"/>
  <c r="CB732" i="7"/>
  <c r="CA732" i="7"/>
  <c r="CB731" i="7"/>
  <c r="CA731" i="7"/>
  <c r="CB729" i="7"/>
  <c r="CA729" i="7"/>
  <c r="CB728" i="7"/>
  <c r="CA728" i="7"/>
  <c r="CB727" i="7"/>
  <c r="CA727" i="7"/>
  <c r="CB726" i="7"/>
  <c r="CA726" i="7"/>
  <c r="CB725" i="7"/>
  <c r="CA725" i="7"/>
  <c r="CB724" i="7"/>
  <c r="CA724" i="7"/>
  <c r="CB722" i="7"/>
  <c r="CA722" i="7"/>
  <c r="CB721" i="7"/>
  <c r="CA721" i="7"/>
  <c r="CB720" i="7"/>
  <c r="CA720" i="7"/>
  <c r="CB719" i="7"/>
  <c r="CA719" i="7"/>
  <c r="CB718" i="7"/>
  <c r="CA718" i="7"/>
  <c r="CB717" i="7"/>
  <c r="CA717" i="7"/>
  <c r="CB715" i="7"/>
  <c r="CA715" i="7"/>
  <c r="CB714" i="7"/>
  <c r="CA714" i="7"/>
  <c r="CB713" i="7"/>
  <c r="CA713" i="7"/>
  <c r="CB712" i="7"/>
  <c r="CA712" i="7"/>
  <c r="CB711" i="7"/>
  <c r="CA711" i="7"/>
  <c r="CB710" i="7"/>
  <c r="CA710" i="7"/>
  <c r="CD709" i="7"/>
  <c r="CB709" i="7"/>
  <c r="CA709" i="7"/>
  <c r="CD708" i="7"/>
  <c r="CB708" i="7"/>
  <c r="CA708" i="7"/>
  <c r="CD707" i="7"/>
  <c r="CB707" i="7"/>
  <c r="CA707" i="7"/>
  <c r="CD706" i="7"/>
  <c r="CB706" i="7"/>
  <c r="CA706" i="7"/>
  <c r="CD705" i="7"/>
  <c r="CB705" i="7"/>
  <c r="CA705" i="7"/>
  <c r="CD704" i="7"/>
  <c r="CB704" i="7"/>
  <c r="CA704" i="7"/>
  <c r="CD703" i="7"/>
  <c r="CB703" i="7"/>
  <c r="CA703" i="7"/>
  <c r="CB702" i="7"/>
  <c r="CA702" i="7"/>
  <c r="CB701" i="7"/>
  <c r="CA701" i="7"/>
  <c r="CB700" i="7"/>
  <c r="CA700" i="7"/>
  <c r="CB699" i="7"/>
  <c r="CA699" i="7"/>
  <c r="CB698" i="7"/>
  <c r="CA698" i="7"/>
  <c r="CB697" i="7"/>
  <c r="CA697" i="7"/>
  <c r="CB696" i="7"/>
  <c r="CA696" i="7"/>
  <c r="CB695" i="7"/>
  <c r="CA695" i="7"/>
  <c r="CB694" i="7"/>
  <c r="CA694" i="7"/>
  <c r="CD693" i="7"/>
  <c r="CB693" i="7"/>
  <c r="CA693" i="7"/>
  <c r="CB692" i="7"/>
  <c r="CA692" i="7"/>
  <c r="CB691" i="7"/>
  <c r="CA691" i="7"/>
  <c r="CB689" i="7"/>
  <c r="CA689" i="7"/>
  <c r="CB688" i="7"/>
  <c r="CA688" i="7"/>
  <c r="CB683" i="7"/>
  <c r="CA683" i="7"/>
  <c r="CB682" i="7"/>
  <c r="CA682" i="7"/>
  <c r="CB681" i="7"/>
  <c r="CA681" i="7"/>
  <c r="U681" i="7"/>
  <c r="CB680" i="7"/>
  <c r="CA680" i="7"/>
  <c r="CB679" i="7"/>
  <c r="CA679" i="7"/>
  <c r="CB678" i="7"/>
  <c r="CA678" i="7"/>
  <c r="CB677" i="7"/>
  <c r="CA677" i="7"/>
  <c r="CB676" i="7"/>
  <c r="CA676" i="7"/>
  <c r="CB675" i="7"/>
  <c r="CA675" i="7"/>
  <c r="CB674" i="7"/>
  <c r="CA674" i="7"/>
  <c r="CB672" i="7"/>
  <c r="CA672" i="7"/>
  <c r="CB671" i="7"/>
  <c r="CA671" i="7"/>
  <c r="CB670" i="7"/>
  <c r="CA670" i="7"/>
  <c r="CB669" i="7"/>
  <c r="CA669" i="7"/>
  <c r="CB668" i="7"/>
  <c r="CA668" i="7"/>
  <c r="CB667" i="7"/>
  <c r="CA667" i="7"/>
  <c r="CB665" i="7"/>
  <c r="CA665" i="7"/>
  <c r="CB664" i="7"/>
  <c r="CA664" i="7"/>
  <c r="CB663" i="7"/>
  <c r="CA663" i="7"/>
  <c r="CB662" i="7"/>
  <c r="CA662" i="7"/>
  <c r="CB661" i="7"/>
  <c r="CA661" i="7"/>
  <c r="CB660" i="7"/>
  <c r="CA660" i="7"/>
  <c r="CB658" i="7"/>
  <c r="CA658" i="7"/>
  <c r="CB657" i="7"/>
  <c r="CA657" i="7"/>
  <c r="CB656" i="7"/>
  <c r="CA656" i="7"/>
  <c r="CB655" i="7"/>
  <c r="CA655" i="7"/>
  <c r="CB654" i="7"/>
  <c r="CA654" i="7"/>
  <c r="CB653" i="7"/>
  <c r="CA653" i="7"/>
  <c r="CD645" i="7"/>
  <c r="CD652" i="7"/>
  <c r="CB652" i="7"/>
  <c r="CA652" i="7"/>
  <c r="CD644" i="7"/>
  <c r="CD651" i="7"/>
  <c r="CB651" i="7"/>
  <c r="CA651" i="7"/>
  <c r="CD650" i="7"/>
  <c r="CB650" i="7"/>
  <c r="CA650" i="7"/>
  <c r="CD649" i="7"/>
  <c r="CB649" i="7"/>
  <c r="CA649" i="7"/>
  <c r="CD641" i="7"/>
  <c r="CD648" i="7"/>
  <c r="CB648" i="7"/>
  <c r="CA648" i="7"/>
  <c r="CD647" i="7"/>
  <c r="CB647" i="7"/>
  <c r="CA647" i="7"/>
  <c r="CD646" i="7"/>
  <c r="CB646" i="7"/>
  <c r="CA646" i="7"/>
  <c r="CB645" i="7"/>
  <c r="CA645" i="7"/>
  <c r="CB644" i="7"/>
  <c r="CA644" i="7"/>
  <c r="CB643" i="7"/>
  <c r="CA643" i="7"/>
  <c r="CB642" i="7"/>
  <c r="CA642" i="7"/>
  <c r="CB641" i="7"/>
  <c r="CA641" i="7"/>
  <c r="CB640" i="7"/>
  <c r="CA640" i="7"/>
  <c r="CB639" i="7"/>
  <c r="CA639" i="7"/>
  <c r="CB638" i="7"/>
  <c r="CA638" i="7"/>
  <c r="CB637" i="7"/>
  <c r="CA637" i="7"/>
  <c r="CD636" i="7"/>
  <c r="CB636" i="7"/>
  <c r="CA636" i="7"/>
  <c r="CB635" i="7"/>
  <c r="CA635" i="7"/>
  <c r="CB634" i="7"/>
  <c r="CA634" i="7"/>
  <c r="CB632" i="7"/>
  <c r="CA632" i="7"/>
  <c r="CB631" i="7"/>
  <c r="CA631" i="7"/>
  <c r="CB626" i="7"/>
  <c r="CA626" i="7"/>
  <c r="CB625" i="7"/>
  <c r="CA625" i="7"/>
  <c r="U625" i="7"/>
  <c r="CB624" i="7"/>
  <c r="CA624" i="7"/>
  <c r="CB623" i="7"/>
  <c r="CA623" i="7"/>
  <c r="U623" i="7"/>
  <c r="CB622" i="7"/>
  <c r="CA622" i="7"/>
  <c r="CB621" i="7"/>
  <c r="CA621" i="7"/>
  <c r="CB620" i="7"/>
  <c r="CA620" i="7"/>
  <c r="CB619" i="7"/>
  <c r="CA619" i="7"/>
  <c r="CB618" i="7"/>
  <c r="CA618" i="7"/>
  <c r="CB617" i="7"/>
  <c r="CA617" i="7"/>
  <c r="CB615" i="7"/>
  <c r="CA615" i="7"/>
  <c r="CB614" i="7"/>
  <c r="CA614" i="7"/>
  <c r="CB613" i="7"/>
  <c r="CA613" i="7"/>
  <c r="CB612" i="7"/>
  <c r="CA612" i="7"/>
  <c r="CB611" i="7"/>
  <c r="CA611" i="7"/>
  <c r="CB610" i="7"/>
  <c r="CA610" i="7"/>
  <c r="CB608" i="7"/>
  <c r="CA608" i="7"/>
  <c r="CB607" i="7"/>
  <c r="CA607" i="7"/>
  <c r="CB606" i="7"/>
  <c r="CA606" i="7"/>
  <c r="CB605" i="7"/>
  <c r="CA605" i="7"/>
  <c r="CB604" i="7"/>
  <c r="CA604" i="7"/>
  <c r="CB603" i="7"/>
  <c r="CA603" i="7"/>
  <c r="CB601" i="7"/>
  <c r="CA601" i="7"/>
  <c r="CB600" i="7"/>
  <c r="CA600" i="7"/>
  <c r="CB599" i="7"/>
  <c r="CA599" i="7"/>
  <c r="CB598" i="7"/>
  <c r="CA598" i="7"/>
  <c r="CB597" i="7"/>
  <c r="CA597" i="7"/>
  <c r="CB596" i="7"/>
  <c r="CA596" i="7"/>
  <c r="CD595" i="7"/>
  <c r="CB595" i="7"/>
  <c r="CA595" i="7"/>
  <c r="CD594" i="7"/>
  <c r="CB594" i="7"/>
  <c r="CA594" i="7"/>
  <c r="CD593" i="7"/>
  <c r="CB593" i="7"/>
  <c r="CA593" i="7"/>
  <c r="CD592" i="7"/>
  <c r="CB592" i="7"/>
  <c r="CA592" i="7"/>
  <c r="CD591" i="7"/>
  <c r="CB591" i="7"/>
  <c r="CA591" i="7"/>
  <c r="CD590" i="7"/>
  <c r="CB590" i="7"/>
  <c r="CA590" i="7"/>
  <c r="CD589" i="7"/>
  <c r="CB589" i="7"/>
  <c r="CA589" i="7"/>
  <c r="CB588" i="7"/>
  <c r="CA588" i="7"/>
  <c r="CB587" i="7"/>
  <c r="CA587" i="7"/>
  <c r="CD586" i="7"/>
  <c r="CB586" i="7"/>
  <c r="CA586" i="7"/>
  <c r="CB585" i="7"/>
  <c r="CA585" i="7"/>
  <c r="CB584" i="7"/>
  <c r="CA584" i="7"/>
  <c r="CB583" i="7"/>
  <c r="CA583" i="7"/>
  <c r="CB582" i="7"/>
  <c r="CA582" i="7"/>
  <c r="CB581" i="7"/>
  <c r="CA581" i="7"/>
  <c r="CB580" i="7"/>
  <c r="CA580" i="7"/>
  <c r="CD579" i="7"/>
  <c r="CB579" i="7"/>
  <c r="CA579" i="7"/>
  <c r="CB578" i="7"/>
  <c r="CA578" i="7"/>
  <c r="CB577" i="7"/>
  <c r="CA577" i="7"/>
  <c r="CB575" i="7"/>
  <c r="CA575" i="7"/>
  <c r="CB574" i="7"/>
  <c r="CA574" i="7"/>
  <c r="CB569" i="7"/>
  <c r="CA569" i="7"/>
  <c r="CB568" i="7"/>
  <c r="CA568" i="7"/>
  <c r="U568" i="7"/>
  <c r="CB567" i="7"/>
  <c r="CA567" i="7"/>
  <c r="CB566" i="7"/>
  <c r="CA566" i="7"/>
  <c r="U566" i="7"/>
  <c r="CB565" i="7"/>
  <c r="CA565" i="7"/>
  <c r="CB564" i="7"/>
  <c r="CA564" i="7"/>
  <c r="CB563" i="7"/>
  <c r="CA563" i="7"/>
  <c r="CB562" i="7"/>
  <c r="CA562" i="7"/>
  <c r="CB561" i="7"/>
  <c r="CA561" i="7"/>
  <c r="CB560" i="7"/>
  <c r="CA560" i="7"/>
  <c r="CB558" i="7"/>
  <c r="CA558" i="7"/>
  <c r="CB557" i="7"/>
  <c r="CA557" i="7"/>
  <c r="CB556" i="7"/>
  <c r="CA556" i="7"/>
  <c r="CB555" i="7"/>
  <c r="CA555" i="7"/>
  <c r="CB554" i="7"/>
  <c r="CA554" i="7"/>
  <c r="CB553" i="7"/>
  <c r="CA553" i="7"/>
  <c r="CB551" i="7"/>
  <c r="CA551" i="7"/>
  <c r="CB550" i="7"/>
  <c r="CA550" i="7"/>
  <c r="CB549" i="7"/>
  <c r="CA549" i="7"/>
  <c r="CB548" i="7"/>
  <c r="CA548" i="7"/>
  <c r="CB547" i="7"/>
  <c r="CA547" i="7"/>
  <c r="CB546" i="7"/>
  <c r="CA546" i="7"/>
  <c r="CB544" i="7"/>
  <c r="CA544" i="7"/>
  <c r="CB543" i="7"/>
  <c r="CA543" i="7"/>
  <c r="CB542" i="7"/>
  <c r="CA542" i="7"/>
  <c r="CB541" i="7"/>
  <c r="CA541" i="7"/>
  <c r="CB540" i="7"/>
  <c r="CA540" i="7"/>
  <c r="CB539" i="7"/>
  <c r="CA539" i="7"/>
  <c r="CD531" i="7"/>
  <c r="CD538" i="7"/>
  <c r="CB538" i="7"/>
  <c r="CA538" i="7"/>
  <c r="CD537" i="7"/>
  <c r="CB537" i="7"/>
  <c r="CA537" i="7"/>
  <c r="CD529" i="7"/>
  <c r="CD536" i="7"/>
  <c r="CB536" i="7"/>
  <c r="CA536" i="7"/>
  <c r="CD535" i="7"/>
  <c r="CB535" i="7"/>
  <c r="CA535" i="7"/>
  <c r="CD534" i="7"/>
  <c r="CB534" i="7"/>
  <c r="CA534" i="7"/>
  <c r="CD533" i="7"/>
  <c r="CB533" i="7"/>
  <c r="CA533" i="7"/>
  <c r="CD532" i="7"/>
  <c r="CB532" i="7"/>
  <c r="CA532" i="7"/>
  <c r="CB531" i="7"/>
  <c r="CA531" i="7"/>
  <c r="CB530" i="7"/>
  <c r="CA530" i="7"/>
  <c r="CB529" i="7"/>
  <c r="CA529" i="7"/>
  <c r="CB528" i="7"/>
  <c r="CA528" i="7"/>
  <c r="CB527" i="7"/>
  <c r="CA527" i="7"/>
  <c r="CB526" i="7"/>
  <c r="CA526" i="7"/>
  <c r="CB525" i="7"/>
  <c r="CA525" i="7"/>
  <c r="CB524" i="7"/>
  <c r="CA524" i="7"/>
  <c r="CB523" i="7"/>
  <c r="CA523" i="7"/>
  <c r="CD522" i="7"/>
  <c r="CB522" i="7"/>
  <c r="CA522" i="7"/>
  <c r="CB521" i="7"/>
  <c r="CA521" i="7"/>
  <c r="CB520" i="7"/>
  <c r="CA520" i="7"/>
  <c r="CB518" i="7"/>
  <c r="CA518" i="7"/>
  <c r="CB517" i="7"/>
  <c r="CA517" i="7"/>
  <c r="CB512" i="7"/>
  <c r="CA512" i="7"/>
  <c r="CB511" i="7"/>
  <c r="CA511" i="7"/>
  <c r="U511" i="7"/>
  <c r="CB510" i="7"/>
  <c r="CA510" i="7"/>
  <c r="CB509" i="7"/>
  <c r="CA509" i="7"/>
  <c r="CB508" i="7"/>
  <c r="CA508" i="7"/>
  <c r="CB507" i="7"/>
  <c r="CA507" i="7"/>
  <c r="CB506" i="7"/>
  <c r="CA506" i="7"/>
  <c r="CB505" i="7"/>
  <c r="CA505" i="7"/>
  <c r="CB504" i="7"/>
  <c r="CA504" i="7"/>
  <c r="CB503" i="7"/>
  <c r="CA503" i="7"/>
  <c r="CB501" i="7"/>
  <c r="CA501" i="7"/>
  <c r="CB500" i="7"/>
  <c r="CA500" i="7"/>
  <c r="CB499" i="7"/>
  <c r="CA499" i="7"/>
  <c r="CB498" i="7"/>
  <c r="CA498" i="7"/>
  <c r="CB497" i="7"/>
  <c r="CA497" i="7"/>
  <c r="CB496" i="7"/>
  <c r="CA496" i="7"/>
  <c r="CB494" i="7"/>
  <c r="CA494" i="7"/>
  <c r="CB493" i="7"/>
  <c r="CA493" i="7"/>
  <c r="CB492" i="7"/>
  <c r="CA492" i="7"/>
  <c r="CB491" i="7"/>
  <c r="CA491" i="7"/>
  <c r="CB490" i="7"/>
  <c r="CA490" i="7"/>
  <c r="CB489" i="7"/>
  <c r="CA489" i="7"/>
  <c r="CB487" i="7"/>
  <c r="CA487" i="7"/>
  <c r="CB486" i="7"/>
  <c r="CA486" i="7"/>
  <c r="CB485" i="7"/>
  <c r="CA485" i="7"/>
  <c r="CB484" i="7"/>
  <c r="CA484" i="7"/>
  <c r="CB483" i="7"/>
  <c r="CA483" i="7"/>
  <c r="CB482" i="7"/>
  <c r="CA482" i="7"/>
  <c r="CD474" i="7"/>
  <c r="CD481" i="7"/>
  <c r="CB481" i="7"/>
  <c r="CA481" i="7"/>
  <c r="CD480" i="7"/>
  <c r="CB480" i="7"/>
  <c r="CA480" i="7"/>
  <c r="CD479" i="7"/>
  <c r="CB479" i="7"/>
  <c r="CA479" i="7"/>
  <c r="CD478" i="7"/>
  <c r="CB478" i="7"/>
  <c r="CA478" i="7"/>
  <c r="CD470" i="7"/>
  <c r="CD477" i="7"/>
  <c r="CB477" i="7"/>
  <c r="CA477" i="7"/>
  <c r="CD476" i="7"/>
  <c r="CB476" i="7"/>
  <c r="CA476" i="7"/>
  <c r="CD475" i="7"/>
  <c r="CB475" i="7"/>
  <c r="CA475" i="7"/>
  <c r="CB474" i="7"/>
  <c r="CA474" i="7"/>
  <c r="CB473" i="7"/>
  <c r="CA473" i="7"/>
  <c r="CB472" i="7"/>
  <c r="CA472" i="7"/>
  <c r="CB471" i="7"/>
  <c r="CA471" i="7"/>
  <c r="CB470" i="7"/>
  <c r="CA470" i="7"/>
  <c r="CB469" i="7"/>
  <c r="CA469" i="7"/>
  <c r="CB468" i="7"/>
  <c r="CA468" i="7"/>
  <c r="CB467" i="7"/>
  <c r="CA467" i="7"/>
  <c r="CB466" i="7"/>
  <c r="CA466" i="7"/>
  <c r="CD465" i="7"/>
  <c r="CB465" i="7"/>
  <c r="CA465" i="7"/>
  <c r="CB464" i="7"/>
  <c r="CA464" i="7"/>
  <c r="CB463" i="7"/>
  <c r="CA463" i="7"/>
  <c r="CB461" i="7"/>
  <c r="CA461" i="7"/>
  <c r="CB460" i="7"/>
  <c r="CA460" i="7"/>
  <c r="DE674" i="7"/>
  <c r="DC656" i="7"/>
  <c r="CS636" i="7"/>
  <c r="DA697" i="7"/>
  <c r="CU670" i="7"/>
  <c r="DC651" i="7"/>
  <c r="DC597" i="7"/>
  <c r="DA579" i="7"/>
  <c r="DA552" i="7"/>
  <c r="CW534" i="7"/>
  <c r="CU507" i="7"/>
  <c r="CU639" i="7"/>
  <c r="DA675" i="7"/>
  <c r="DC638" i="7"/>
  <c r="CW587" i="7"/>
  <c r="DC539" i="7"/>
  <c r="CY494" i="7"/>
  <c r="DA446" i="7"/>
  <c r="CW623" i="7"/>
  <c r="DC598" i="7"/>
  <c r="CY550" i="7"/>
  <c r="DA504" i="7"/>
  <c r="DC477" i="7"/>
  <c r="DA451" i="7"/>
  <c r="CS432" i="7"/>
  <c r="CS398" i="7"/>
  <c r="CS381" i="7"/>
  <c r="DE362" i="7"/>
  <c r="DA335" i="7"/>
  <c r="DE909" i="7"/>
  <c r="CU66" i="7"/>
  <c r="DA75" i="7"/>
  <c r="DC84" i="7"/>
  <c r="DC93" i="7"/>
  <c r="DE102" i="7"/>
  <c r="CU112" i="7"/>
  <c r="CW130" i="7"/>
  <c r="CY139" i="7"/>
  <c r="CU153" i="7"/>
  <c r="CS68" i="7"/>
  <c r="CY86" i="7"/>
  <c r="DC104" i="7"/>
  <c r="DA416" i="7"/>
  <c r="DE383" i="7"/>
  <c r="DC365" i="7"/>
  <c r="CY338" i="7"/>
  <c r="CW320" i="7"/>
  <c r="CS302" i="7"/>
  <c r="DE274" i="7"/>
  <c r="DA256" i="7"/>
  <c r="CU474" i="7"/>
  <c r="DE446" i="7"/>
  <c r="DC428" i="7"/>
  <c r="CW622" i="7"/>
  <c r="CU613" i="7"/>
  <c r="DC596" i="7"/>
  <c r="CW569" i="7"/>
  <c r="DC550" i="7"/>
  <c r="CY532" i="7"/>
  <c r="DE504" i="7"/>
  <c r="DA486" i="7"/>
  <c r="CY468" i="7"/>
  <c r="CS441" i="7"/>
  <c r="DA422" i="7"/>
  <c r="DC389" i="7"/>
  <c r="DA371" i="7"/>
  <c r="CY353" i="7"/>
  <c r="CW326" i="7"/>
  <c r="CS308" i="7"/>
  <c r="DE280" i="7"/>
  <c r="DA262" i="7"/>
  <c r="CU244" i="7"/>
  <c r="CS217" i="7"/>
  <c r="DC198" i="7"/>
  <c r="CY180" i="7"/>
  <c r="DA395" i="7"/>
  <c r="CU377" i="7"/>
  <c r="DC358" i="7"/>
  <c r="CY331" i="7"/>
  <c r="CS313" i="7"/>
  <c r="DC294" i="7"/>
  <c r="CW267" i="7"/>
  <c r="DE248" i="7"/>
  <c r="DA221" i="7"/>
  <c r="CU203" i="7"/>
  <c r="DE184" i="7"/>
  <c r="DC160" i="7"/>
  <c r="CY142" i="7"/>
  <c r="CU124" i="7"/>
  <c r="CS97" i="7"/>
  <c r="DA78" i="7"/>
  <c r="DC163" i="7"/>
  <c r="CY145" i="7"/>
  <c r="DE222" i="7"/>
  <c r="DC204" i="7"/>
  <c r="CY186" i="7"/>
  <c r="CW409" i="7"/>
  <c r="CU383" i="7"/>
  <c r="DC364" i="7"/>
  <c r="CY337" i="7"/>
  <c r="CS319" i="7"/>
  <c r="DC300" i="7"/>
  <c r="CW273" i="7"/>
  <c r="CS255" i="7"/>
  <c r="CY227" i="7"/>
  <c r="CU209" i="7"/>
  <c r="DE190" i="7"/>
  <c r="DC166" i="7"/>
  <c r="CY148" i="7"/>
  <c r="CU130" i="7"/>
  <c r="CU78" i="7"/>
  <c r="CW96" i="7"/>
  <c r="DC123" i="7"/>
  <c r="DC70" i="7"/>
  <c r="CU80" i="7"/>
  <c r="CU89" i="7"/>
  <c r="CW98" i="7"/>
  <c r="CY107" i="7"/>
  <c r="DC125" i="7"/>
  <c r="DE134" i="7"/>
  <c r="CS144" i="7"/>
  <c r="CW162" i="7"/>
  <c r="CU77" i="7"/>
  <c r="DA95" i="7"/>
  <c r="DC113" i="7"/>
  <c r="DE392" i="7"/>
  <c r="DC374" i="7"/>
  <c r="DA356" i="7"/>
  <c r="CY329" i="7"/>
  <c r="CU311" i="7"/>
  <c r="DE283" i="7"/>
  <c r="DC265" i="7"/>
  <c r="CW483" i="7"/>
  <c r="CS465" i="7"/>
  <c r="DE437" i="7"/>
  <c r="DA419" i="7"/>
  <c r="DC617" i="7"/>
  <c r="DE605" i="7"/>
  <c r="CY587" i="7"/>
  <c r="CS560" i="7"/>
  <c r="DA541" i="7"/>
  <c r="CU523" i="7"/>
  <c r="DC495" i="7"/>
  <c r="CY477" i="7"/>
  <c r="CU450" i="7"/>
  <c r="DC431" i="7"/>
  <c r="DC408" i="7"/>
  <c r="DC380" i="7"/>
  <c r="DA362" i="7"/>
  <c r="CW335" i="7"/>
  <c r="CU317" i="7"/>
  <c r="DE298" i="7"/>
  <c r="DC271" i="7"/>
  <c r="CY253" i="7"/>
  <c r="CS226" i="7"/>
  <c r="DE207" i="7"/>
  <c r="DA189" i="7"/>
  <c r="DE410" i="7"/>
  <c r="CY386" i="7"/>
  <c r="DE367" i="7"/>
  <c r="DA340" i="7"/>
  <c r="CU322" i="7"/>
  <c r="DE303" i="7"/>
  <c r="CY276" i="7"/>
  <c r="CU258" i="7"/>
  <c r="DC239" i="7"/>
  <c r="CW212" i="7"/>
  <c r="CS194" i="7"/>
  <c r="DA168" i="7"/>
  <c r="DA151" i="7"/>
  <c r="CW133" i="7"/>
  <c r="CU106" i="7"/>
  <c r="DE87" i="7"/>
  <c r="CY69" i="7"/>
  <c r="DA154" i="7"/>
  <c r="CS241" i="7"/>
  <c r="DE213" i="7"/>
  <c r="DA195" i="7"/>
  <c r="DE413" i="7"/>
  <c r="CY392" i="7"/>
  <c r="CS374" i="7"/>
  <c r="DA355" i="7"/>
  <c r="CU328" i="7"/>
  <c r="DE309" i="7"/>
  <c r="DA282" i="7"/>
  <c r="CU264" i="7"/>
  <c r="DC245" i="7"/>
  <c r="CY218" i="7"/>
  <c r="CS200" i="7"/>
  <c r="DC181" i="7"/>
  <c r="DA157" i="7"/>
  <c r="CW139" i="7"/>
  <c r="DC68" i="7"/>
  <c r="CU87" i="7"/>
  <c r="CY105" i="7"/>
  <c r="DE132" i="7"/>
  <c r="CS142" i="7"/>
  <c r="CU73" i="7"/>
  <c r="DE109" i="7"/>
  <c r="CU505" i="7"/>
  <c r="DC532" i="7"/>
  <c r="CS551" i="7"/>
  <c r="DA569" i="7"/>
  <c r="CS597" i="7"/>
  <c r="CW613" i="7"/>
  <c r="CY622" i="7"/>
  <c r="CS429" i="7"/>
  <c r="CU447" i="7"/>
  <c r="CY474" i="7"/>
  <c r="DC492" i="7"/>
  <c r="DE510" i="7"/>
  <c r="CS538" i="7"/>
  <c r="CU556" i="7"/>
  <c r="CW583" i="7"/>
  <c r="CY601" i="7"/>
  <c r="CS637" i="7"/>
  <c r="CY655" i="7"/>
  <c r="DE673" i="7"/>
  <c r="CW701" i="7"/>
  <c r="DC639" i="7"/>
  <c r="DC498" i="7"/>
  <c r="DE525" i="7"/>
  <c r="CS544" i="7"/>
  <c r="CU562" i="7"/>
  <c r="CU589" i="7"/>
  <c r="CY607" i="7"/>
  <c r="CS643" i="7"/>
  <c r="DA661" i="7"/>
  <c r="DE679" i="7"/>
  <c r="CS646" i="7"/>
  <c r="CS664" i="7"/>
  <c r="CW682" i="7"/>
  <c r="DC707" i="7"/>
  <c r="CS717" i="7"/>
  <c r="CY729" i="7"/>
  <c r="DE756" i="7"/>
  <c r="CU775" i="7"/>
  <c r="DE786" i="7"/>
  <c r="CS796" i="7"/>
  <c r="CW723" i="7"/>
  <c r="DE651" i="7"/>
  <c r="CS670" i="7"/>
  <c r="CU697" i="7"/>
  <c r="DE710" i="7"/>
  <c r="CS720" i="7"/>
  <c r="CY735" i="7"/>
  <c r="DE762" i="7"/>
  <c r="DA780" i="7"/>
  <c r="DE789" i="7"/>
  <c r="CS808" i="7"/>
  <c r="CW729" i="7"/>
  <c r="CY756" i="7"/>
  <c r="DC774" i="7"/>
  <c r="CS829" i="7"/>
  <c r="CW838" i="7"/>
  <c r="DA750" i="7"/>
  <c r="DC768" i="7"/>
  <c r="CS823" i="7"/>
  <c r="CW835" i="7"/>
  <c r="DA844" i="7"/>
  <c r="DC853" i="7"/>
  <c r="DE871" i="7"/>
  <c r="CU825" i="7"/>
  <c r="DC850" i="7"/>
  <c r="DE868" i="7"/>
  <c r="CS819" i="7"/>
  <c r="CS881" i="7"/>
  <c r="CU890" i="7"/>
  <c r="CW899" i="7"/>
  <c r="CS884" i="7"/>
  <c r="CU893" i="7"/>
  <c r="CY901" i="7"/>
  <c r="DA910" i="7"/>
  <c r="DC904" i="7"/>
  <c r="CW158" i="7"/>
  <c r="DA91" i="7"/>
  <c r="CS496" i="7"/>
  <c r="CY523" i="7"/>
  <c r="DE541" i="7"/>
  <c r="CW560" i="7"/>
  <c r="DC587" i="7"/>
  <c r="CU606" i="7"/>
  <c r="DE617" i="7"/>
  <c r="DE419" i="7"/>
  <c r="CS438" i="7"/>
  <c r="CW465" i="7"/>
  <c r="DA483" i="7"/>
  <c r="DE501" i="7"/>
  <c r="CS529" i="7"/>
  <c r="CU547" i="7"/>
  <c r="CW565" i="7"/>
  <c r="CW592" i="7"/>
  <c r="DA610" i="7"/>
  <c r="CU646" i="7"/>
  <c r="DC664" i="7"/>
  <c r="CS683" i="7"/>
  <c r="DA489" i="7"/>
  <c r="DC507" i="7"/>
  <c r="DE534" i="7"/>
  <c r="CU553" i="7"/>
  <c r="CU580" i="7"/>
  <c r="CW598" i="7"/>
  <c r="DE624" i="7"/>
  <c r="CW652" i="7"/>
  <c r="DC670" i="7"/>
  <c r="CU698" i="7"/>
  <c r="DA636" i="7"/>
  <c r="CS655" i="7"/>
  <c r="CU673" i="7"/>
  <c r="CW700" i="7"/>
  <c r="CY712" i="7"/>
  <c r="DA721" i="7"/>
  <c r="DA738" i="7"/>
  <c r="CS766" i="7"/>
  <c r="CU782" i="7"/>
  <c r="CY791" i="7"/>
  <c r="DA809" i="7"/>
  <c r="CY732" i="7"/>
  <c r="DE660" i="7"/>
  <c r="CU679" i="7"/>
  <c r="CU706" i="7"/>
  <c r="CY715" i="7"/>
  <c r="CW726" i="7"/>
  <c r="DC753" i="7"/>
  <c r="CS772" i="7"/>
  <c r="CW785" i="7"/>
  <c r="CY794" i="7"/>
  <c r="DA812" i="7"/>
  <c r="CY738" i="7"/>
  <c r="DA765" i="7"/>
  <c r="CS820" i="7"/>
  <c r="DC833" i="7"/>
  <c r="DE842" i="7"/>
  <c r="DA759" i="7"/>
  <c r="DE777" i="7"/>
  <c r="CS814" i="7"/>
  <c r="DA830" i="7"/>
  <c r="DE839" i="7"/>
  <c r="CU849" i="7"/>
  <c r="CW867" i="7"/>
  <c r="DE815" i="7"/>
  <c r="CU846" i="7"/>
  <c r="CW864" i="7"/>
  <c r="CY873" i="7"/>
  <c r="CU828" i="7"/>
  <c r="CY876" i="7"/>
  <c r="DA885" i="7"/>
  <c r="DC894" i="7"/>
  <c r="CY879" i="7"/>
  <c r="DA888" i="7"/>
  <c r="DC897" i="7"/>
  <c r="CS906" i="7"/>
  <c r="CU900" i="7"/>
  <c r="CW909" i="7"/>
  <c r="CS75" i="7"/>
  <c r="CU84" i="7"/>
  <c r="CU93" i="7"/>
  <c r="CW102" i="7"/>
  <c r="DA111" i="7"/>
  <c r="DC129" i="7"/>
  <c r="DE138" i="7"/>
  <c r="CS152" i="7"/>
  <c r="DE66" i="7"/>
  <c r="CW85" i="7"/>
  <c r="DA103" i="7"/>
  <c r="CY106" i="7"/>
  <c r="CS72" i="7"/>
  <c r="CY141" i="7"/>
  <c r="CU123" i="7"/>
  <c r="DC95" i="7"/>
  <c r="DA77" i="7"/>
  <c r="DC130" i="7"/>
  <c r="CS149" i="7"/>
  <c r="CU166" i="7"/>
  <c r="CW190" i="7"/>
  <c r="DC209" i="7"/>
  <c r="CS227" i="7"/>
  <c r="CY254" i="7"/>
  <c r="DC272" i="7"/>
  <c r="CU300" i="7"/>
  <c r="CY318" i="7"/>
  <c r="DE336" i="7"/>
  <c r="CW365" i="7"/>
  <c r="DA382" i="7"/>
  <c r="DA409" i="7"/>
  <c r="CS187" i="7"/>
  <c r="CW205" i="7"/>
  <c r="CW222" i="7"/>
  <c r="DE144" i="7"/>
  <c r="CU163" i="7"/>
  <c r="CS78" i="7"/>
  <c r="CY96" i="7"/>
  <c r="DA123" i="7"/>
  <c r="DE141" i="7"/>
  <c r="CU160" i="7"/>
  <c r="CW184" i="7"/>
  <c r="DA202" i="7"/>
  <c r="DE219" i="7"/>
  <c r="CU247" i="7"/>
  <c r="DA265" i="7"/>
  <c r="CU294" i="7"/>
  <c r="CW311" i="7"/>
  <c r="DE330" i="7"/>
  <c r="CS357" i="7"/>
  <c r="DA376" i="7"/>
  <c r="DE393" i="7"/>
  <c r="DE170" i="7"/>
  <c r="CU198" i="7"/>
  <c r="CW216" i="7"/>
  <c r="CY242" i="7"/>
  <c r="CS262" i="7"/>
  <c r="CW280" i="7"/>
  <c r="CY307" i="7"/>
  <c r="DA324" i="7"/>
  <c r="DC351" i="7"/>
  <c r="DE368" i="7"/>
  <c r="DE386" i="7"/>
  <c r="DC419" i="7"/>
  <c r="DE436" i="7"/>
  <c r="CW455" i="7"/>
  <c r="DA482" i="7"/>
  <c r="CS502" i="7"/>
  <c r="CW528" i="7"/>
  <c r="DC546" i="7"/>
  <c r="CU565" i="7"/>
  <c r="DA591" i="7"/>
  <c r="DE609" i="7"/>
  <c r="CU619" i="7"/>
  <c r="DA423" i="7"/>
  <c r="DC441" i="7"/>
  <c r="DE468" i="7"/>
  <c r="CY250" i="7"/>
  <c r="DA268" i="7"/>
  <c r="DC295" i="7"/>
  <c r="CS314" i="7"/>
  <c r="CS330" i="7"/>
  <c r="CU357" i="7"/>
  <c r="CW375" i="7"/>
  <c r="CY393" i="7"/>
  <c r="CW426" i="7"/>
  <c r="DC444" i="7"/>
  <c r="CS472" i="7"/>
  <c r="DE490" i="7"/>
  <c r="CY534" i="7"/>
  <c r="CW580" i="7"/>
  <c r="CS613" i="7"/>
  <c r="DC430" i="7"/>
  <c r="CU476" i="7"/>
  <c r="CW510" i="7"/>
  <c r="DA555" i="7"/>
  <c r="DA598" i="7"/>
  <c r="DE654" i="7"/>
  <c r="CS703" i="7"/>
  <c r="CY645" i="7"/>
  <c r="DE78" i="7"/>
  <c r="DC145" i="7"/>
  <c r="CY126" i="7"/>
  <c r="CU99" i="7"/>
  <c r="CS81" i="7"/>
  <c r="CY127" i="7"/>
  <c r="DA145" i="7"/>
  <c r="CS165" i="7"/>
  <c r="CU189" i="7"/>
  <c r="CW206" i="7"/>
  <c r="DC224" i="7"/>
  <c r="CW253" i="7"/>
  <c r="DA271" i="7"/>
  <c r="CS299" i="7"/>
  <c r="CW317" i="7"/>
  <c r="DC335" i="7"/>
  <c r="DE361" i="7"/>
  <c r="CY381" i="7"/>
  <c r="DC398" i="7"/>
  <c r="DA183" i="7"/>
  <c r="DE201" i="7"/>
  <c r="CS220" i="7"/>
  <c r="CY248" i="7"/>
  <c r="CS162" i="7"/>
  <c r="DE76" i="7"/>
  <c r="CW95" i="7"/>
  <c r="CY113" i="7"/>
  <c r="DC140" i="7"/>
  <c r="CS159" i="7"/>
  <c r="CU183" i="7"/>
  <c r="CY201" i="7"/>
  <c r="CS221" i="7"/>
  <c r="CW248" i="7"/>
  <c r="DC266" i="7"/>
  <c r="CS284" i="7"/>
  <c r="CY312" i="7"/>
  <c r="DA329" i="7"/>
  <c r="CU358" i="7"/>
  <c r="CY375" i="7"/>
  <c r="CS395" i="7"/>
  <c r="DA414" i="7"/>
  <c r="CS197" i="7"/>
  <c r="CW215" i="7"/>
  <c r="DA243" i="7"/>
  <c r="DE260" i="7"/>
  <c r="CU279" i="7"/>
  <c r="CW306" i="7"/>
  <c r="DC325" i="7"/>
  <c r="DE352" i="7"/>
  <c r="CU372" i="7"/>
  <c r="CW390" i="7"/>
  <c r="CW424" i="7"/>
  <c r="DC442" i="7"/>
  <c r="CU470" i="7"/>
  <c r="CW488" i="7"/>
  <c r="DC506" i="7"/>
  <c r="CU534" i="7"/>
  <c r="CY552" i="7"/>
  <c r="CS580" i="7"/>
  <c r="DA599" i="7"/>
  <c r="CU615" i="7"/>
  <c r="DC623" i="7"/>
  <c r="DA431" i="7"/>
  <c r="DC449" i="7"/>
  <c r="CS477" i="7"/>
  <c r="DA260" i="7"/>
  <c r="DE278" i="7"/>
  <c r="CU70" i="7"/>
  <c r="DA79" i="7"/>
  <c r="DA88" i="7"/>
  <c r="DC97" i="7"/>
  <c r="DE106" i="7"/>
  <c r="CU125" i="7"/>
  <c r="CU134" i="7"/>
  <c r="CY143" i="7"/>
  <c r="CU161" i="7"/>
  <c r="CS76" i="7"/>
  <c r="CY94" i="7"/>
  <c r="DA112" i="7"/>
  <c r="CY90" i="7"/>
  <c r="CU157" i="7"/>
  <c r="CU132" i="7"/>
  <c r="DE104" i="7"/>
  <c r="DA86" i="7"/>
  <c r="CU68" i="7"/>
  <c r="DE139" i="7"/>
  <c r="CS157" i="7"/>
  <c r="CU181" i="7"/>
  <c r="DA200" i="7"/>
  <c r="DC217" i="7"/>
  <c r="CU245" i="7"/>
  <c r="DA263" i="7"/>
  <c r="CU283" i="7"/>
  <c r="CW309" i="7"/>
  <c r="DA327" i="7"/>
  <c r="CS355" i="7"/>
  <c r="CY373" i="7"/>
  <c r="DE391" i="7"/>
  <c r="CU414" i="7"/>
  <c r="CU196" i="7"/>
  <c r="CY214" i="7"/>
  <c r="CY240" i="7"/>
  <c r="CS154" i="7"/>
  <c r="DE68" i="7"/>
  <c r="CW87" i="7"/>
  <c r="DA105" i="7"/>
  <c r="DC132" i="7"/>
  <c r="CS151" i="7"/>
  <c r="DE168" i="7"/>
  <c r="CY193" i="7"/>
  <c r="DA210" i="7"/>
  <c r="DE237" i="7"/>
  <c r="CY256" i="7"/>
  <c r="DE275" i="7"/>
  <c r="CW303" i="7"/>
  <c r="DA321" i="7"/>
  <c r="CS340" i="7"/>
  <c r="CU366" i="7"/>
  <c r="DC384" i="7"/>
  <c r="CS410" i="7"/>
  <c r="CS189" i="7"/>
  <c r="CW207" i="7"/>
  <c r="CY225" i="7"/>
  <c r="DE251" i="7"/>
  <c r="CU271" i="7"/>
  <c r="CW298" i="7"/>
  <c r="DA316" i="7"/>
  <c r="DA333" i="7"/>
  <c r="DC359" i="7"/>
  <c r="DE377" i="7"/>
  <c r="CS396" i="7"/>
  <c r="DC427" i="7"/>
  <c r="CU446" i="7"/>
  <c r="DA473" i="7"/>
  <c r="DC491" i="7"/>
  <c r="CU510" i="7"/>
  <c r="DA537" i="7"/>
  <c r="CS556" i="7"/>
  <c r="CY583" i="7"/>
  <c r="DC600" i="7"/>
  <c r="DA614" i="7"/>
  <c r="CW624" i="7"/>
  <c r="DC432" i="7"/>
  <c r="DE450" i="7"/>
  <c r="CU478" i="7"/>
  <c r="CY259" i="7"/>
  <c r="DC277" i="7"/>
  <c r="DC303" i="7"/>
  <c r="CS322" i="7"/>
  <c r="CS339" i="7"/>
  <c r="CW366" i="7"/>
  <c r="CY384" i="7"/>
  <c r="CW418" i="7"/>
  <c r="CY435" i="7"/>
  <c r="DE453" i="7"/>
  <c r="CU481" i="7"/>
  <c r="CS507" i="7"/>
  <c r="DC552" i="7"/>
  <c r="CY596" i="7"/>
  <c r="CU622" i="7"/>
  <c r="DE448" i="7"/>
  <c r="CU492" i="7"/>
  <c r="CY537" i="7"/>
  <c r="DC582" i="7"/>
  <c r="CY636" i="7"/>
  <c r="CW673" i="7"/>
  <c r="CY641" i="7"/>
  <c r="CW97" i="7"/>
  <c r="CS164" i="7"/>
  <c r="DC135" i="7"/>
  <c r="CW108" i="7"/>
  <c r="CS90" i="7"/>
  <c r="CY70" i="7"/>
  <c r="CY136" i="7"/>
  <c r="DE155" i="7"/>
  <c r="CS180" i="7"/>
  <c r="CW198" i="7"/>
  <c r="DA216" i="7"/>
  <c r="CS244" i="7"/>
  <c r="CY262" i="7"/>
  <c r="DA279" i="7"/>
  <c r="CU308" i="7"/>
  <c r="CY326" i="7"/>
  <c r="DE353" i="7"/>
  <c r="CW372" i="7"/>
  <c r="DC390" i="7"/>
  <c r="CS413" i="7"/>
  <c r="DC192" i="7"/>
  <c r="CS211" i="7"/>
  <c r="CW239" i="7"/>
  <c r="DE152" i="7"/>
  <c r="DC67" i="7"/>
  <c r="CU86" i="7"/>
  <c r="CY104" i="7"/>
  <c r="DA131" i="7"/>
  <c r="DE149" i="7"/>
  <c r="CS167" i="7"/>
  <c r="CW192" i="7"/>
  <c r="DC211" i="7"/>
  <c r="CU239" i="7"/>
  <c r="DA257" i="7"/>
  <c r="DC274" i="7"/>
  <c r="CU302" i="7"/>
  <c r="CY320" i="7"/>
  <c r="DE338" i="7"/>
  <c r="CW367" i="7"/>
  <c r="DE385" i="7"/>
  <c r="DA410" i="7"/>
  <c r="DE187" i="7"/>
  <c r="CU206" i="7"/>
  <c r="CW224" i="7"/>
  <c r="DE252" i="7"/>
  <c r="CS270" i="7"/>
  <c r="CU297" i="7"/>
  <c r="CY315" i="7"/>
  <c r="DC334" i="7"/>
  <c r="CU363" i="7"/>
  <c r="CY382" i="7"/>
  <c r="CY433" i="7"/>
  <c r="DE451" i="7"/>
  <c r="CU479" i="7"/>
  <c r="CY497" i="7"/>
  <c r="DE524" i="7"/>
  <c r="CW543" i="7"/>
  <c r="DC561" i="7"/>
  <c r="CY590" i="7"/>
  <c r="DC608" i="7"/>
  <c r="DC619" i="7"/>
  <c r="CY422" i="7"/>
  <c r="DA440" i="7"/>
  <c r="DC467" i="7"/>
  <c r="DA251" i="7"/>
  <c r="DC269" i="7"/>
  <c r="DE296" i="7"/>
  <c r="DC665" i="7"/>
  <c r="DA647" i="7"/>
  <c r="CW679" i="7"/>
  <c r="CS661" i="7"/>
  <c r="CY642" i="7"/>
  <c r="DE606" i="7"/>
  <c r="DC588" i="7"/>
  <c r="DA561" i="7"/>
  <c r="CY543" i="7"/>
  <c r="CW525" i="7"/>
  <c r="DE495" i="7"/>
  <c r="DC700" i="7"/>
  <c r="CU657" i="7"/>
  <c r="CU603" i="7"/>
  <c r="DE557" i="7"/>
  <c r="DA512" i="7"/>
  <c r="DE473" i="7"/>
  <c r="CY428" i="7"/>
  <c r="CU614" i="7"/>
  <c r="CS569" i="7"/>
  <c r="CU532" i="7"/>
  <c r="DE486" i="7"/>
  <c r="DC468" i="7"/>
  <c r="CW441" i="7"/>
  <c r="DC421" i="7"/>
  <c r="CS390" i="7"/>
  <c r="DE371" i="7"/>
  <c r="DC353" i="7"/>
  <c r="DA326" i="7"/>
  <c r="CU307" i="7"/>
  <c r="DC565" i="7"/>
  <c r="DE622" i="7"/>
  <c r="DC420" i="7"/>
  <c r="DE429" i="7"/>
  <c r="CS439" i="7"/>
  <c r="CS448" i="7"/>
  <c r="CU466" i="7"/>
  <c r="CW475" i="7"/>
  <c r="DC248" i="7"/>
  <c r="DC257" i="7"/>
  <c r="DE266" i="7"/>
  <c r="CS276" i="7"/>
  <c r="CS294" i="7"/>
  <c r="CU303" i="7"/>
  <c r="CW312" i="7"/>
  <c r="CS326" i="7"/>
  <c r="CS335" i="7"/>
  <c r="DA339" i="7"/>
  <c r="DC357" i="7"/>
  <c r="DE366" i="7"/>
  <c r="DE375" i="7"/>
  <c r="DE384" i="7"/>
  <c r="CS394" i="7"/>
  <c r="DC417" i="7"/>
  <c r="DE426" i="7"/>
  <c r="CW903" i="7"/>
  <c r="CU909" i="7"/>
  <c r="CS900" i="7"/>
  <c r="DC891" i="7"/>
  <c r="DA882" i="7"/>
  <c r="DE897" i="7"/>
  <c r="DC888" i="7"/>
  <c r="DA879" i="7"/>
  <c r="CU816" i="7"/>
  <c r="CY867" i="7"/>
  <c r="CW849" i="7"/>
  <c r="CU822" i="7"/>
  <c r="CY870" i="7"/>
  <c r="CW852" i="7"/>
  <c r="CU843" i="7"/>
  <c r="CU829" i="7"/>
  <c r="CS775" i="7"/>
  <c r="DC756" i="7"/>
  <c r="CW547" i="7"/>
  <c r="DE551" i="7"/>
  <c r="DA556" i="7"/>
  <c r="CU561" i="7"/>
  <c r="CY579" i="7"/>
  <c r="CS584" i="7"/>
  <c r="DA588" i="7"/>
  <c r="CW593" i="7"/>
  <c r="DE597" i="7"/>
  <c r="CY602" i="7"/>
  <c r="CS607" i="7"/>
  <c r="CW611" i="7"/>
  <c r="DC613" i="7"/>
  <c r="CS616" i="7"/>
  <c r="CW618" i="7"/>
  <c r="DA620" i="7"/>
  <c r="CU416" i="7"/>
  <c r="CW425" i="7"/>
  <c r="CY434" i="7"/>
  <c r="CY443" i="7"/>
  <c r="DA452" i="7"/>
  <c r="DA470" i="7"/>
  <c r="DE479" i="7"/>
  <c r="CU253" i="7"/>
  <c r="CW262" i="7"/>
  <c r="CY271" i="7"/>
  <c r="DA280" i="7"/>
  <c r="DA298" i="7"/>
  <c r="DC307" i="7"/>
  <c r="DE316" i="7"/>
  <c r="CY321" i="7"/>
  <c r="CY330" i="7"/>
  <c r="CU353" i="7"/>
  <c r="CW362" i="7"/>
  <c r="CW371" i="7"/>
  <c r="CY380" i="7"/>
  <c r="CY389" i="7"/>
  <c r="DA398" i="7"/>
  <c r="CW422" i="7"/>
  <c r="DE907" i="7"/>
  <c r="DA904" i="7"/>
  <c r="CW896" i="7"/>
  <c r="CU887" i="7"/>
  <c r="CS878" i="7"/>
  <c r="CW893" i="7"/>
  <c r="CU884" i="7"/>
  <c r="CY825" i="7"/>
  <c r="CS872" i="7"/>
  <c r="DE853" i="7"/>
  <c r="DC844" i="7"/>
  <c r="CS875" i="7"/>
  <c r="DE865" i="7"/>
  <c r="DC847" i="7"/>
  <c r="CY838" i="7"/>
  <c r="DE833" i="7"/>
  <c r="CW820" i="7"/>
  <c r="DE765" i="7"/>
  <c r="DC738" i="7"/>
  <c r="CY841" i="7"/>
  <c r="CW832" i="7"/>
  <c r="CU817" i="7"/>
  <c r="DC762" i="7"/>
  <c r="DA735" i="7"/>
  <c r="CU811" i="7"/>
  <c r="CS793" i="7"/>
  <c r="DE783" i="7"/>
  <c r="CU769" i="7"/>
  <c r="DE750" i="7"/>
  <c r="CY723" i="7"/>
  <c r="CS714" i="7"/>
  <c r="CY703" i="7"/>
  <c r="CW676" i="7"/>
  <c r="CU658" i="7"/>
  <c r="DA729" i="7"/>
  <c r="CU808" i="7"/>
  <c r="CS790" i="7"/>
  <c r="DC780" i="7"/>
  <c r="CU763" i="7"/>
  <c r="DC735" i="7"/>
  <c r="CU720" i="7"/>
  <c r="CS711" i="7"/>
  <c r="CY697" i="7"/>
  <c r="CU906" i="7"/>
  <c r="DE902" i="7"/>
  <c r="DA894" i="7"/>
  <c r="CY885" i="7"/>
  <c r="DE899" i="7"/>
  <c r="DA891" i="7"/>
  <c r="CY882" i="7"/>
  <c r="DE821" i="7"/>
  <c r="CW870" i="7"/>
  <c r="CU852" i="7"/>
  <c r="CS843" i="7"/>
  <c r="DE827" i="7"/>
  <c r="CW873" i="7"/>
  <c r="CU864" i="7"/>
  <c r="CS846" i="7"/>
  <c r="DC836" i="7"/>
  <c r="CS826" i="7"/>
  <c r="DA771" i="7"/>
  <c r="CW753" i="7"/>
  <c r="DC839" i="7"/>
  <c r="CY830" i="7"/>
  <c r="DA777" i="7"/>
  <c r="CW759" i="7"/>
  <c r="CU732" i="7"/>
  <c r="CY809" i="7"/>
  <c r="CW791" i="7"/>
  <c r="CS782" i="7"/>
  <c r="DC765" i="7"/>
  <c r="CW738" i="7"/>
  <c r="CY721" i="7"/>
  <c r="CW712" i="7"/>
  <c r="CS700" i="7"/>
  <c r="DE672" i="7"/>
  <c r="DC654" i="7"/>
  <c r="CU726" i="7"/>
  <c r="CY797" i="7"/>
  <c r="CW788" i="7"/>
  <c r="CS778" i="7"/>
  <c r="DC759" i="7"/>
  <c r="CW732" i="7"/>
  <c r="CY718" i="7"/>
  <c r="CW709" i="7"/>
  <c r="CS694" i="7"/>
  <c r="DE666" i="7"/>
  <c r="DC648" i="7"/>
  <c r="DC682" i="7"/>
  <c r="CY664" i="7"/>
  <c r="DE645" i="7"/>
  <c r="CW610" i="7"/>
  <c r="CS592" i="7"/>
  <c r="CS565" i="7"/>
  <c r="DE546" i="7"/>
  <c r="DC528" i="7"/>
  <c r="DA501" i="7"/>
  <c r="DA642" i="7"/>
  <c r="CU704" i="7"/>
  <c r="DC676" i="7"/>
  <c r="CW658" i="7"/>
  <c r="DE639" i="7"/>
  <c r="CW604" i="7"/>
  <c r="CU586" i="7"/>
  <c r="CS559" i="7"/>
  <c r="DE540" i="7"/>
  <c r="DC522" i="7"/>
  <c r="DA495" i="7"/>
  <c r="CW477" i="7"/>
  <c r="CS450" i="7"/>
  <c r="DE431" i="7"/>
  <c r="DE623" i="7"/>
  <c r="DC614" i="7"/>
  <c r="DE599" i="7"/>
  <c r="CY581" i="7"/>
  <c r="DE553" i="7"/>
  <c r="DA535" i="7"/>
  <c r="CU508" i="7"/>
  <c r="DC489" i="7"/>
  <c r="DA480" i="7"/>
  <c r="CY471" i="7"/>
  <c r="CW453" i="7"/>
  <c r="CU444" i="7"/>
  <c r="DE434" i="7"/>
  <c r="CS908" i="7"/>
  <c r="DC899" i="7"/>
  <c r="DA890" i="7"/>
  <c r="CY881" i="7"/>
  <c r="DC896" i="7"/>
  <c r="DA887" i="7"/>
  <c r="CY878" i="7"/>
  <c r="CY875" i="7"/>
  <c r="CW866" i="7"/>
  <c r="CU848" i="7"/>
  <c r="DE819" i="7"/>
  <c r="CW869" i="7"/>
  <c r="CU851" i="7"/>
  <c r="DE841" i="7"/>
  <c r="DC832" i="7"/>
  <c r="CS818" i="7"/>
  <c r="DA763" i="7"/>
  <c r="CY736" i="7"/>
  <c r="DC835" i="7"/>
  <c r="DE823" i="7"/>
  <c r="DA769" i="7"/>
  <c r="CW751" i="7"/>
  <c r="CU724" i="7"/>
  <c r="CY796" i="7"/>
  <c r="CW787" i="7"/>
  <c r="CS776" i="7"/>
  <c r="DC757" i="7"/>
  <c r="CW730" i="7"/>
  <c r="CY717" i="7"/>
  <c r="CW708" i="7"/>
  <c r="CU683" i="7"/>
  <c r="DE664" i="7"/>
  <c r="DC646" i="7"/>
  <c r="DA811" i="7"/>
  <c r="CY793" i="7"/>
  <c r="CW784" i="7"/>
  <c r="CS770" i="7"/>
  <c r="DC751" i="7"/>
  <c r="CW724" i="7"/>
  <c r="CY714" i="7"/>
  <c r="CW704" i="7"/>
  <c r="CU677" i="7"/>
  <c r="DA909" i="7"/>
  <c r="CY900" i="7"/>
  <c r="CW906" i="7"/>
  <c r="CS898" i="7"/>
  <c r="DE888" i="7"/>
  <c r="DC879" i="7"/>
  <c r="CS895" i="7"/>
  <c r="DE885" i="7"/>
  <c r="DC876" i="7"/>
  <c r="DE828" i="7"/>
  <c r="DC873" i="7"/>
  <c r="DA864" i="7"/>
  <c r="CY846" i="7"/>
  <c r="CY816" i="7"/>
  <c r="DA867" i="7"/>
  <c r="CY849" i="7"/>
  <c r="CU840" i="7"/>
  <c r="DE830" i="7"/>
  <c r="DA814" i="7"/>
  <c r="CY778" i="7"/>
  <c r="CU760" i="7"/>
  <c r="CS733" i="7"/>
  <c r="CS834" i="7"/>
  <c r="DA820" i="7"/>
  <c r="CU766" i="7"/>
  <c r="CS739" i="7"/>
  <c r="DE812" i="7"/>
  <c r="DC794" i="7"/>
  <c r="DA785" i="7"/>
  <c r="DA772" i="7"/>
  <c r="CW754" i="7"/>
  <c r="DE726" i="7"/>
  <c r="DC715" i="7"/>
  <c r="CY706" i="7"/>
  <c r="DC679" i="7"/>
  <c r="CY661" i="7"/>
  <c r="CY643" i="7"/>
  <c r="DE809" i="7"/>
  <c r="DC791" i="7"/>
  <c r="DA782" i="7"/>
  <c r="DA766" i="7"/>
  <c r="CU739" i="7"/>
  <c r="DE721" i="7"/>
  <c r="DC712" i="7"/>
  <c r="DE700" i="7"/>
  <c r="DC673" i="7"/>
  <c r="DA655" i="7"/>
  <c r="CU637" i="7"/>
  <c r="DC698" i="7"/>
  <c r="CW671" i="7"/>
  <c r="DE652" i="7"/>
  <c r="CY625" i="7"/>
  <c r="DE598" i="7"/>
  <c r="DC580" i="7"/>
  <c r="DC553" i="7"/>
  <c r="CY535" i="7"/>
  <c r="CW508" i="7"/>
  <c r="CU490" i="7"/>
  <c r="DA683" i="7"/>
  <c r="CW665" i="7"/>
  <c r="DE646" i="7"/>
  <c r="DC612" i="7"/>
  <c r="DE592" i="7"/>
  <c r="DE565" i="7"/>
  <c r="DC547" i="7"/>
  <c r="DA529" i="7"/>
  <c r="CY502" i="7"/>
  <c r="CU484" i="7"/>
  <c r="DC465" i="7"/>
  <c r="DC438" i="7"/>
  <c r="CY420" i="7"/>
  <c r="CU618" i="7"/>
  <c r="DC606" i="7"/>
  <c r="CW588" i="7"/>
  <c r="DE560" i="7"/>
  <c r="CY542" i="7"/>
  <c r="CS524" i="7"/>
  <c r="DA496" i="7"/>
  <c r="CS484" i="7"/>
  <c r="DE474" i="7"/>
  <c r="DE465" i="7"/>
  <c r="DA447" i="7"/>
  <c r="CW438" i="7"/>
  <c r="CU429" i="7"/>
  <c r="DE836" i="7"/>
  <c r="CW826" i="7"/>
  <c r="DE771" i="7"/>
  <c r="DA753" i="7"/>
  <c r="CY726" i="7"/>
  <c r="DA797" i="7"/>
  <c r="CY788" i="7"/>
  <c r="CW778" i="7"/>
  <c r="CS760" i="7"/>
  <c r="DA732" i="7"/>
  <c r="DA718" i="7"/>
  <c r="CY709" i="7"/>
  <c r="CW694" i="7"/>
  <c r="CU667" i="7"/>
  <c r="CS649" i="7"/>
  <c r="DC812" i="7"/>
  <c r="DA794" i="7"/>
  <c r="CY785" i="7"/>
  <c r="CW772" i="7"/>
  <c r="CS754" i="7"/>
  <c r="DA726" i="7"/>
  <c r="DA715" i="7"/>
  <c r="CW706" i="7"/>
  <c r="CY679" i="7"/>
  <c r="DC910" i="7"/>
  <c r="DA901" i="7"/>
  <c r="CY907" i="7"/>
  <c r="CU899" i="7"/>
  <c r="CS890" i="7"/>
  <c r="DE880" i="7"/>
  <c r="CU896" i="7"/>
  <c r="CS887" i="7"/>
  <c r="DE877" i="7"/>
  <c r="DE874" i="7"/>
  <c r="DC865" i="7"/>
  <c r="DA847" i="7"/>
  <c r="DC818" i="7"/>
  <c r="DC868" i="7"/>
  <c r="DA850" i="7"/>
  <c r="CW841" i="7"/>
  <c r="CU832" i="7"/>
  <c r="DE816" i="7"/>
  <c r="CY762" i="7"/>
  <c r="CW735" i="7"/>
  <c r="CU835" i="7"/>
  <c r="DC822" i="7"/>
  <c r="CY768" i="7"/>
  <c r="CW750" i="7"/>
  <c r="CS723" i="7"/>
  <c r="DE795" i="7"/>
  <c r="DC786" i="7"/>
  <c r="DE774" i="7"/>
  <c r="DA756" i="7"/>
  <c r="CU729" i="7"/>
  <c r="DE716" i="7"/>
  <c r="DA707" i="7"/>
  <c r="CS682" i="7"/>
  <c r="DC663" i="7"/>
  <c r="DC645" i="7"/>
  <c r="CS811" i="7"/>
  <c r="DE792" i="7"/>
  <c r="DC783" i="7"/>
  <c r="DE768" i="7"/>
  <c r="CY750" i="7"/>
  <c r="CU723" i="7"/>
  <c r="DE713" i="7"/>
  <c r="CU703" i="7"/>
  <c r="CS676" i="7"/>
  <c r="DE657" i="7"/>
  <c r="CY639" i="7"/>
  <c r="CS701" i="7"/>
  <c r="DA673" i="7"/>
  <c r="CU655" i="7"/>
  <c r="DC636" i="7"/>
  <c r="CU601" i="7"/>
  <c r="CS583" i="7"/>
  <c r="DE555" i="7"/>
  <c r="DC537" i="7"/>
  <c r="DA510" i="7"/>
  <c r="CY492" i="7"/>
  <c r="CS695" i="7"/>
  <c r="DA667" i="7"/>
  <c r="CU649" i="7"/>
  <c r="CU595" i="7"/>
  <c r="CU568" i="7"/>
  <c r="CS550" i="7"/>
  <c r="DC531" i="7"/>
  <c r="DC504" i="7"/>
  <c r="CY486" i="7"/>
  <c r="CS468" i="7"/>
  <c r="DE440" i="7"/>
  <c r="DC422" i="7"/>
  <c r="CW619" i="7"/>
  <c r="CS609" i="7"/>
  <c r="DC590" i="7"/>
  <c r="CU563" i="7"/>
  <c r="DC544" i="7"/>
  <c r="CW526" i="7"/>
  <c r="DE498" i="7"/>
  <c r="CU485" i="7"/>
  <c r="CS476" i="7"/>
  <c r="CS467" i="7"/>
  <c r="DC448" i="7"/>
  <c r="CY439" i="7"/>
  <c r="CW430" i="7"/>
  <c r="CY903" i="7"/>
  <c r="CU895" i="7"/>
  <c r="CS886" i="7"/>
  <c r="DE876" i="7"/>
  <c r="CU892" i="7"/>
  <c r="CS883" i="7"/>
  <c r="CU823" i="7"/>
  <c r="DE870" i="7"/>
  <c r="DC852" i="7"/>
  <c r="DA843" i="7"/>
  <c r="CY831" i="7"/>
  <c r="DE873" i="7"/>
  <c r="DC864" i="7"/>
  <c r="DA846" i="7"/>
  <c r="CW837" i="7"/>
  <c r="CU827" i="7"/>
  <c r="DC772" i="7"/>
  <c r="CY754" i="7"/>
  <c r="CW840" i="7"/>
  <c r="CS831" i="7"/>
  <c r="DE814" i="7"/>
  <c r="DE778" i="7"/>
  <c r="CY760" i="7"/>
  <c r="CW733" i="7"/>
  <c r="CS810" i="7"/>
  <c r="DE791" i="7"/>
  <c r="DC782" i="7"/>
  <c r="DE766" i="7"/>
  <c r="CY739" i="7"/>
  <c r="CS722" i="7"/>
  <c r="DE712" i="7"/>
  <c r="CU701" i="7"/>
  <c r="CS674" i="7"/>
  <c r="DE655" i="7"/>
  <c r="CW727" i="7"/>
  <c r="CS807" i="7"/>
  <c r="DE788" i="7"/>
  <c r="CS779" i="7"/>
  <c r="DE760" i="7"/>
  <c r="CY733" i="7"/>
  <c r="CS719" i="7"/>
  <c r="DE709" i="7"/>
  <c r="CU695" i="7"/>
  <c r="CS905" i="7"/>
  <c r="DE910" i="7"/>
  <c r="DC901" i="7"/>
  <c r="CY893" i="7"/>
  <c r="CW884" i="7"/>
  <c r="DA899" i="7"/>
  <c r="CY890" i="7"/>
  <c r="CW881" i="7"/>
  <c r="DA819" i="7"/>
  <c r="CU869" i="7"/>
  <c r="CS851" i="7"/>
  <c r="DC825" i="7"/>
  <c r="CU872" i="7"/>
  <c r="CS854" i="7"/>
  <c r="DE844" i="7"/>
  <c r="DA835" i="7"/>
  <c r="DA823" i="7"/>
  <c r="CW769" i="7"/>
  <c r="CS751" i="7"/>
  <c r="DA838" i="7"/>
  <c r="CW829" i="7"/>
  <c r="CW775" i="7"/>
  <c r="CS757" i="7"/>
  <c r="DE729" i="7"/>
  <c r="CW808" i="7"/>
  <c r="CU790" i="7"/>
  <c r="DE780" i="7"/>
  <c r="CY763" i="7"/>
  <c r="CS736" i="7"/>
  <c r="CW720" i="7"/>
  <c r="CU711" i="7"/>
  <c r="DC697" i="7"/>
  <c r="DA670" i="7"/>
  <c r="CY652" i="7"/>
  <c r="DE723" i="7"/>
  <c r="CW796" i="7"/>
  <c r="CU787" i="7"/>
  <c r="DC775" i="7"/>
  <c r="CY757" i="7"/>
  <c r="CS730" i="7"/>
  <c r="CW717" i="7"/>
  <c r="CS708" i="7"/>
  <c r="DE682" i="7"/>
  <c r="DA664" i="7"/>
  <c r="CY646" i="7"/>
  <c r="CY680" i="7"/>
  <c r="CU662" i="7"/>
  <c r="DA643" i="7"/>
  <c r="CS608" i="7"/>
  <c r="DC589" i="7"/>
  <c r="DC562" i="7"/>
  <c r="DA544" i="7"/>
  <c r="CY526" i="7"/>
  <c r="CW499" i="7"/>
  <c r="CW640" i="7"/>
  <c r="DE701" i="7"/>
  <c r="CY674" i="7"/>
  <c r="CS656" i="7"/>
  <c r="DA637" i="7"/>
  <c r="CS602" i="7"/>
  <c r="DE583" i="7"/>
  <c r="DC556" i="7"/>
  <c r="DA538" i="7"/>
  <c r="CY511" i="7"/>
  <c r="CW493" i="7"/>
  <c r="CS475" i="7"/>
  <c r="DC447" i="7"/>
  <c r="DA429" i="7"/>
  <c r="DC622" i="7"/>
  <c r="DA613" i="7"/>
  <c r="DA597" i="7"/>
  <c r="CU579" i="7"/>
  <c r="DA551" i="7"/>
  <c r="CW533" i="7"/>
  <c r="DE505" i="7"/>
  <c r="DA488" i="7"/>
  <c r="CY479" i="7"/>
  <c r="CY470" i="7"/>
  <c r="CU452" i="7"/>
  <c r="CS443" i="7"/>
  <c r="DC433" i="7"/>
  <c r="CW670" i="7"/>
  <c r="CU661" i="7"/>
  <c r="CU652" i="7"/>
  <c r="DA640" i="7"/>
  <c r="CU702" i="7"/>
  <c r="DE683" i="7"/>
  <c r="DC674" i="7"/>
  <c r="DA665" i="7"/>
  <c r="CW656" i="7"/>
  <c r="CU647" i="7"/>
  <c r="DE637" i="7"/>
  <c r="CW602" i="7"/>
  <c r="CU593" i="7"/>
  <c r="CU584" i="7"/>
  <c r="CU566" i="7"/>
  <c r="CS557" i="7"/>
  <c r="CS548" i="7"/>
  <c r="DE538" i="7"/>
  <c r="DE529" i="7"/>
  <c r="DC511" i="7"/>
  <c r="DC502" i="7"/>
  <c r="CS489" i="7"/>
  <c r="DE693" i="7"/>
  <c r="CY666" i="7"/>
  <c r="CS648" i="7"/>
  <c r="CS594" i="7"/>
  <c r="CS567" i="7"/>
  <c r="DE548" i="7"/>
  <c r="DC530" i="7"/>
  <c r="DA503" i="7"/>
  <c r="CW485" i="7"/>
  <c r="DC455" i="7"/>
  <c r="DA437" i="7"/>
  <c r="CW419" i="7"/>
  <c r="DC618" i="7"/>
  <c r="DE607" i="7"/>
  <c r="DA589" i="7"/>
  <c r="DC559" i="7"/>
  <c r="CW541" i="7"/>
  <c r="DA511" i="7"/>
  <c r="CU493" i="7"/>
  <c r="CW482" i="7"/>
  <c r="CW473" i="7"/>
  <c r="CS455" i="7"/>
  <c r="DE445" i="7"/>
  <c r="DA436" i="7"/>
  <c r="CY427" i="7"/>
  <c r="CU417" i="7"/>
  <c r="DA394" i="7"/>
  <c r="CY385" i="7"/>
  <c r="CY376" i="7"/>
  <c r="CY367" i="7"/>
  <c r="CW358" i="7"/>
  <c r="CU340" i="7"/>
  <c r="CS331" i="7"/>
  <c r="DE320" i="7"/>
  <c r="DA310" i="7"/>
  <c r="DA302" i="7"/>
  <c r="CW283" i="7"/>
  <c r="CW274" i="7"/>
  <c r="CU265" i="7"/>
  <c r="CS256" i="7"/>
  <c r="DC482" i="7"/>
  <c r="CY472" i="7"/>
  <c r="CW454" i="7"/>
  <c r="CU445" i="7"/>
  <c r="CU436" i="7"/>
  <c r="CS427" i="7"/>
  <c r="DE417" i="7"/>
  <c r="CY621" i="7"/>
  <c r="CY617" i="7"/>
  <c r="CU612" i="7"/>
  <c r="CU604" i="7"/>
  <c r="CS595" i="7"/>
  <c r="DC585" i="7"/>
  <c r="CY567" i="7"/>
  <c r="CW558" i="7"/>
  <c r="DE547" i="7"/>
  <c r="DC538" i="7"/>
  <c r="CY529" i="7"/>
  <c r="CW511" i="7"/>
  <c r="DE500" i="7"/>
  <c r="DE492" i="7"/>
  <c r="DC483" i="7"/>
  <c r="DA474" i="7"/>
  <c r="DA465" i="7"/>
  <c r="CW447" i="7"/>
  <c r="CU438" i="7"/>
  <c r="DE428" i="7"/>
  <c r="DA418" i="7"/>
  <c r="DE394" i="7"/>
  <c r="DC385" i="7"/>
  <c r="DC376" i="7"/>
  <c r="DC367" i="7"/>
  <c r="DA358" i="7"/>
  <c r="CW339" i="7"/>
  <c r="CU330" i="7"/>
  <c r="CU321" i="7"/>
  <c r="CS312" i="7"/>
  <c r="DC301" i="7"/>
  <c r="DA283" i="7"/>
  <c r="DA274" i="7"/>
  <c r="DA266" i="7"/>
  <c r="CY257" i="7"/>
  <c r="CU248" i="7"/>
  <c r="CS239" i="7"/>
  <c r="DE220" i="7"/>
  <c r="DC210" i="7"/>
  <c r="DA201" i="7"/>
  <c r="CY192" i="7"/>
  <c r="CW183" i="7"/>
  <c r="DE412" i="7"/>
  <c r="CY398" i="7"/>
  <c r="CY390" i="7"/>
  <c r="CU381" i="7"/>
  <c r="CS372" i="7"/>
  <c r="DC362" i="7"/>
  <c r="CY352" i="7"/>
  <c r="CW334" i="7"/>
  <c r="CS325" i="7"/>
  <c r="DE315" i="7"/>
  <c r="DC306" i="7"/>
  <c r="DA297" i="7"/>
  <c r="CW279" i="7"/>
  <c r="CU270" i="7"/>
  <c r="CU262" i="7"/>
  <c r="CS253" i="7"/>
  <c r="DC243" i="7"/>
  <c r="DA225" i="7"/>
  <c r="CY216" i="7"/>
  <c r="CU207" i="7"/>
  <c r="DE196" i="7"/>
  <c r="DC187" i="7"/>
  <c r="CS170" i="7"/>
  <c r="DA163" i="7"/>
  <c r="CY154" i="7"/>
  <c r="CU144" i="7"/>
  <c r="CU136" i="7"/>
  <c r="CU127" i="7"/>
  <c r="CS109" i="7"/>
  <c r="DE99" i="7"/>
  <c r="DC90" i="7"/>
  <c r="CY81" i="7"/>
  <c r="CW72" i="7"/>
  <c r="DA166" i="7"/>
  <c r="CY157" i="7"/>
  <c r="CW148" i="7"/>
  <c r="DE243" i="7"/>
  <c r="DA224" i="7"/>
  <c r="CY215" i="7"/>
  <c r="CY206" i="7"/>
  <c r="CW197" i="7"/>
  <c r="CU188" i="7"/>
  <c r="DC414" i="7"/>
  <c r="DC410" i="7"/>
  <c r="CW395" i="7"/>
  <c r="CU386" i="7"/>
  <c r="DE376" i="7"/>
  <c r="DA367" i="7"/>
  <c r="CY358" i="7"/>
  <c r="CW340" i="7"/>
  <c r="CU331" i="7"/>
  <c r="DE321" i="7"/>
  <c r="DC312" i="7"/>
  <c r="CY302" i="7"/>
  <c r="CW284" i="7"/>
  <c r="CU276" i="7"/>
  <c r="CS267" i="7"/>
  <c r="DE257" i="7"/>
  <c r="DA248" i="7"/>
  <c r="CY239" i="7"/>
  <c r="CW221" i="7"/>
  <c r="DE210" i="7"/>
  <c r="DC201" i="7"/>
  <c r="DC193" i="7"/>
  <c r="DA184" i="7"/>
  <c r="CY168" i="7"/>
  <c r="CW159" i="7"/>
  <c r="CU150" i="7"/>
  <c r="CS141" i="7"/>
  <c r="DE131" i="7"/>
  <c r="CS67" i="7"/>
  <c r="CW75" i="7"/>
  <c r="CY85" i="7"/>
  <c r="DA94" i="7"/>
  <c r="DC103" i="7"/>
  <c r="CS113" i="7"/>
  <c r="CU131" i="7"/>
  <c r="CW140" i="7"/>
  <c r="DE154" i="7"/>
  <c r="DC69" i="7"/>
  <c r="CU88" i="7"/>
  <c r="DC108" i="7"/>
  <c r="CW491" i="7"/>
  <c r="CY682" i="7"/>
  <c r="CU664" i="7"/>
  <c r="DA645" i="7"/>
  <c r="CS610" i="7"/>
  <c r="CY589" i="7"/>
  <c r="DC564" i="7"/>
  <c r="DA546" i="7"/>
  <c r="CY528" i="7"/>
  <c r="CW501" i="7"/>
  <c r="CS483" i="7"/>
  <c r="DE466" i="7"/>
  <c r="DE439" i="7"/>
  <c r="DA421" i="7"/>
  <c r="DA617" i="7"/>
  <c r="DA605" i="7"/>
  <c r="CU587" i="7"/>
  <c r="CS562" i="7"/>
  <c r="DA543" i="7"/>
  <c r="CY527" i="7"/>
  <c r="CS500" i="7"/>
  <c r="DC485" i="7"/>
  <c r="DA476" i="7"/>
  <c r="DA467" i="7"/>
  <c r="CW449" i="7"/>
  <c r="CS440" i="7"/>
  <c r="DE430" i="7"/>
  <c r="DE422" i="7"/>
  <c r="DE388" i="7"/>
  <c r="DE379" i="7"/>
  <c r="DC370" i="7"/>
  <c r="DC361" i="7"/>
  <c r="DA352" i="7"/>
  <c r="CY334" i="7"/>
  <c r="CY325" i="7"/>
  <c r="CY317" i="7"/>
  <c r="CW308" i="7"/>
  <c r="CU299" i="7"/>
  <c r="CU282" i="7"/>
  <c r="CU273" i="7"/>
  <c r="CS264" i="7"/>
  <c r="DE254" i="7"/>
  <c r="DA481" i="7"/>
  <c r="CY473" i="7"/>
  <c r="CY455" i="7"/>
  <c r="CW446" i="7"/>
  <c r="CW437" i="7"/>
  <c r="CU428" i="7"/>
  <c r="CS419" i="7"/>
  <c r="CS622" i="7"/>
  <c r="DE616" i="7"/>
  <c r="DE612" i="7"/>
  <c r="CW605" i="7"/>
  <c r="CU596" i="7"/>
  <c r="DE586" i="7"/>
  <c r="DA568" i="7"/>
  <c r="CY559" i="7"/>
  <c r="CW551" i="7"/>
  <c r="CU542" i="7"/>
  <c r="CS533" i="7"/>
  <c r="DC523" i="7"/>
  <c r="CY505" i="7"/>
  <c r="CW496" i="7"/>
  <c r="CU487" i="7"/>
  <c r="CS478" i="7"/>
  <c r="CS469" i="7"/>
  <c r="DC450" i="7"/>
  <c r="DA441" i="7"/>
  <c r="CW432" i="7"/>
  <c r="CU423" i="7"/>
  <c r="CU415" i="7"/>
  <c r="CY391" i="7"/>
  <c r="CW381" i="7"/>
  <c r="CW373" i="7"/>
  <c r="CW364" i="7"/>
  <c r="CW356" i="7"/>
  <c r="CU338" i="7"/>
  <c r="CU329" i="7"/>
  <c r="CS320" i="7"/>
  <c r="DE310" i="7"/>
  <c r="DE302" i="7"/>
  <c r="DC284" i="7"/>
  <c r="DC275" i="7"/>
  <c r="CY265" i="7"/>
  <c r="CW256" i="7"/>
  <c r="CS247" i="7"/>
  <c r="CS238" i="7"/>
  <c r="DC219" i="7"/>
  <c r="DE211" i="7"/>
  <c r="DC202" i="7"/>
  <c r="DA193" i="7"/>
  <c r="CY184" i="7"/>
  <c r="CW412" i="7"/>
  <c r="CU408" i="7"/>
  <c r="CW389" i="7"/>
  <c r="CS380" i="7"/>
  <c r="DE370" i="7"/>
  <c r="DA361" i="7"/>
  <c r="DA353" i="7"/>
  <c r="CY335" i="7"/>
  <c r="CU326" i="7"/>
  <c r="CS317" i="7"/>
  <c r="DE307" i="7"/>
  <c r="DC298" i="7"/>
  <c r="CY280" i="7"/>
  <c r="CW271" i="7"/>
  <c r="CS261" i="7"/>
  <c r="DC251" i="7"/>
  <c r="DA242" i="7"/>
  <c r="CY224" i="7"/>
  <c r="CU215" i="7"/>
  <c r="CS206" i="7"/>
  <c r="CS198" i="7"/>
  <c r="DE188" i="7"/>
  <c r="DC170" i="7"/>
  <c r="DE165" i="7"/>
  <c r="DA155" i="7"/>
  <c r="DA147" i="7"/>
  <c r="CW137" i="7"/>
  <c r="CW128" i="7"/>
  <c r="CU110" i="7"/>
  <c r="CS101" i="7"/>
  <c r="DE91" i="7"/>
  <c r="DA82" i="7"/>
  <c r="CY73" i="7"/>
  <c r="DA158" i="7"/>
  <c r="CY149" i="7"/>
  <c r="CS245" i="7"/>
  <c r="DE226" i="7"/>
  <c r="DE218" i="7"/>
  <c r="DE209" i="7"/>
  <c r="DC200" i="7"/>
  <c r="DA191" i="7"/>
  <c r="CY182" i="7"/>
  <c r="CW411" i="7"/>
  <c r="CY396" i="7"/>
  <c r="CW387" i="7"/>
  <c r="CS378" i="7"/>
  <c r="DC368" i="7"/>
  <c r="DA359" i="7"/>
  <c r="CY341" i="7"/>
  <c r="CW332" i="7"/>
  <c r="CS323" i="7"/>
  <c r="DE313" i="7"/>
  <c r="DE305" i="7"/>
  <c r="DA295" i="7"/>
  <c r="CW277" i="7"/>
  <c r="CU268" i="7"/>
  <c r="CS259" i="7"/>
  <c r="DC249" i="7"/>
  <c r="DA240" i="7"/>
  <c r="CY222" i="7"/>
  <c r="CW214" i="7"/>
  <c r="CU205" i="7"/>
  <c r="DE194" i="7"/>
  <c r="DC185" i="7"/>
  <c r="CS169" i="7"/>
  <c r="DA161" i="7"/>
  <c r="DA153" i="7"/>
  <c r="CY144" i="7"/>
  <c r="CW135" i="7"/>
  <c r="CW126" i="7"/>
  <c r="CU74" i="7"/>
  <c r="CU82" i="7"/>
  <c r="CU91" i="7"/>
  <c r="CW100" i="7"/>
  <c r="CY109" i="7"/>
  <c r="DA127" i="7"/>
  <c r="DE136" i="7"/>
  <c r="CS148" i="7"/>
  <c r="CW166" i="7"/>
  <c r="CU81" i="7"/>
  <c r="DA99" i="7"/>
  <c r="CY124" i="7"/>
  <c r="CU108" i="7"/>
  <c r="CS99" i="7"/>
  <c r="DE89" i="7"/>
  <c r="DA80" i="7"/>
  <c r="CY71" i="7"/>
  <c r="DC165" i="7"/>
  <c r="DA156" i="7"/>
  <c r="CY147" i="7"/>
  <c r="CU141" i="7"/>
  <c r="DA136" i="7"/>
  <c r="CS132" i="7"/>
  <c r="CW127" i="7"/>
  <c r="DE113" i="7"/>
  <c r="CU109" i="7"/>
  <c r="DA104" i="7"/>
  <c r="CS100" i="7"/>
  <c r="CY95" i="7"/>
  <c r="DE90" i="7"/>
  <c r="CW86" i="7"/>
  <c r="DE81" i="7"/>
  <c r="CW77" i="7"/>
  <c r="DC72" i="7"/>
  <c r="DE67" i="7"/>
  <c r="DA911" i="7"/>
  <c r="CS907" i="7"/>
  <c r="CY902" i="7"/>
  <c r="CW908" i="7"/>
  <c r="DC903" i="7"/>
  <c r="CY895" i="7"/>
  <c r="DE890" i="7"/>
  <c r="CW886" i="7"/>
  <c r="DC881" i="7"/>
  <c r="CU877" i="7"/>
  <c r="CS897" i="7"/>
  <c r="CY892" i="7"/>
  <c r="DE887" i="7"/>
  <c r="CW883" i="7"/>
  <c r="DC878" i="7"/>
  <c r="DC823" i="7"/>
  <c r="CY814" i="7"/>
  <c r="CU871" i="7"/>
  <c r="DA866" i="7"/>
  <c r="CS853" i="7"/>
  <c r="CY848" i="7"/>
  <c r="DE843" i="7"/>
  <c r="CY820" i="7"/>
  <c r="CU874" i="7"/>
  <c r="DA869" i="7"/>
  <c r="CS865" i="7"/>
  <c r="CY851" i="7"/>
  <c r="DE846" i="7"/>
  <c r="CU842" i="7"/>
  <c r="DA837" i="7"/>
  <c r="CS833" i="7"/>
  <c r="DC827" i="7"/>
  <c r="DA818" i="7"/>
  <c r="CW773" i="7"/>
  <c r="CU764" i="7"/>
  <c r="CS755" i="7"/>
  <c r="CS737" i="7"/>
  <c r="DA840" i="7"/>
  <c r="CS836" i="7"/>
  <c r="CW831" i="7"/>
  <c r="DA824" i="7"/>
  <c r="CY815" i="7"/>
  <c r="CY779" i="7"/>
  <c r="CU770" i="7"/>
  <c r="CS761" i="7"/>
  <c r="DE751" i="7"/>
  <c r="DE733" i="7"/>
  <c r="DC724" i="7"/>
  <c r="CW810" i="7"/>
  <c r="DC796" i="7"/>
  <c r="CU792" i="7"/>
  <c r="DA787" i="7"/>
  <c r="CS783" i="7"/>
  <c r="DA776" i="7"/>
  <c r="CY767" i="7"/>
  <c r="CW758" i="7"/>
  <c r="CS740" i="7"/>
  <c r="DE730" i="7"/>
  <c r="CW722" i="7"/>
  <c r="DC717" i="7"/>
  <c r="CU713" i="7"/>
  <c r="DA708" i="7"/>
  <c r="DC701" i="7"/>
  <c r="DC683" i="7"/>
  <c r="DA674" i="7"/>
  <c r="CY665" i="7"/>
  <c r="CY656" i="7"/>
  <c r="CW647" i="7"/>
  <c r="DE727" i="7"/>
  <c r="DE811" i="7"/>
  <c r="CW807" i="7"/>
  <c r="DC793" i="7"/>
  <c r="CU789" i="7"/>
  <c r="DA784" i="7"/>
  <c r="DA779" i="7"/>
  <c r="DA770" i="7"/>
  <c r="CY761" i="7"/>
  <c r="CW752" i="7"/>
  <c r="CS734" i="7"/>
  <c r="DE724" i="7"/>
  <c r="CW719" i="7"/>
  <c r="DC714" i="7"/>
  <c r="CU710" i="7"/>
  <c r="DE704" i="7"/>
  <c r="DC695" i="7"/>
  <c r="DC677" i="7"/>
  <c r="DA668" i="7"/>
  <c r="DA659" i="7"/>
  <c r="CY650" i="7"/>
  <c r="CU641" i="7"/>
  <c r="DC702" i="7"/>
  <c r="DA693" i="7"/>
  <c r="CW675" i="7"/>
  <c r="CU666" i="7"/>
  <c r="DE656" i="7"/>
  <c r="DC647" i="7"/>
  <c r="CY638" i="7"/>
  <c r="DE602" i="7"/>
  <c r="DC593" i="7"/>
  <c r="DC584" i="7"/>
  <c r="DC566" i="7"/>
  <c r="DA557" i="7"/>
  <c r="DA548" i="7"/>
  <c r="CY539" i="7"/>
  <c r="CY530" i="7"/>
  <c r="CW512" i="7"/>
  <c r="CW503" i="7"/>
  <c r="CU494" i="7"/>
  <c r="CS485" i="7"/>
  <c r="CU626" i="7"/>
  <c r="CS706" i="7"/>
  <c r="DC696" i="7"/>
  <c r="CY678" i="7"/>
  <c r="CW669" i="7"/>
  <c r="CU660" i="7"/>
  <c r="DE650" i="7"/>
  <c r="DA641" i="7"/>
  <c r="CS606" i="7"/>
  <c r="DE596" i="7"/>
  <c r="DE587" i="7"/>
  <c r="DC569" i="7"/>
  <c r="DC560" i="7"/>
  <c r="DC551" i="7"/>
  <c r="DA542" i="7"/>
  <c r="CY533" i="7"/>
  <c r="CY524" i="7"/>
  <c r="CW506" i="7"/>
  <c r="CW497" i="7"/>
  <c r="CU488" i="7"/>
  <c r="CS479" i="7"/>
  <c r="DC469" i="7"/>
  <c r="DC451" i="7"/>
  <c r="DA442" i="7"/>
  <c r="DA433" i="7"/>
  <c r="CY424" i="7"/>
  <c r="CW415" i="7"/>
  <c r="CU620" i="7"/>
  <c r="DA615" i="7"/>
  <c r="DC610" i="7"/>
  <c r="DA601" i="7"/>
  <c r="CY592" i="7"/>
  <c r="CU583" i="7"/>
  <c r="DE564" i="7"/>
  <c r="DC555" i="7"/>
  <c r="CY546" i="7"/>
  <c r="CW537" i="7"/>
  <c r="CS528" i="7"/>
  <c r="DE509" i="7"/>
  <c r="DA500" i="7"/>
  <c r="CY491" i="7"/>
  <c r="DC100" i="7"/>
  <c r="CW82" i="7"/>
  <c r="CU149" i="7"/>
  <c r="CY137" i="7"/>
  <c r="CU128" i="7"/>
  <c r="CS110" i="7"/>
  <c r="DE100" i="7"/>
  <c r="DC91" i="7"/>
  <c r="DC82" i="7"/>
  <c r="DA73" i="7"/>
  <c r="DA125" i="7"/>
  <c r="DC134" i="7"/>
  <c r="DE143" i="7"/>
  <c r="CS153" i="7"/>
  <c r="CU162" i="7"/>
  <c r="CW169" i="7"/>
  <c r="CW186" i="7"/>
  <c r="CY195" i="7"/>
  <c r="DA204" i="7"/>
  <c r="DC213" i="7"/>
  <c r="CS223" i="7"/>
  <c r="CU241" i="7"/>
  <c r="CW250" i="7"/>
  <c r="DA259" i="7"/>
  <c r="DC268" i="7"/>
  <c r="DE277" i="7"/>
  <c r="CU296" i="7"/>
  <c r="CW305" i="7"/>
  <c r="CY314" i="7"/>
  <c r="DA323" i="7"/>
  <c r="DE332" i="7"/>
  <c r="CS351" i="7"/>
  <c r="CU360" i="7"/>
  <c r="CW369" i="7"/>
  <c r="DA378" i="7"/>
  <c r="DE387" i="7"/>
  <c r="CS397" i="7"/>
  <c r="DA411" i="7"/>
  <c r="DE181" i="7"/>
  <c r="CS191" i="7"/>
  <c r="CU200" i="7"/>
  <c r="CW209" i="7"/>
  <c r="CW218" i="7"/>
  <c r="DA227" i="7"/>
  <c r="DA245" i="7"/>
  <c r="CS150" i="7"/>
  <c r="CU159" i="7"/>
  <c r="CS74" i="7"/>
  <c r="CU83" i="7"/>
  <c r="CY92" i="7"/>
  <c r="DA101" i="7"/>
  <c r="DA110" i="7"/>
  <c r="DC128" i="7"/>
  <c r="DE137" i="7"/>
  <c r="CS147" i="7"/>
  <c r="CU156" i="7"/>
  <c r="CW165" i="7"/>
  <c r="CW180" i="7"/>
  <c r="CY189" i="7"/>
  <c r="DA198" i="7"/>
  <c r="DC207" i="7"/>
  <c r="DE216" i="7"/>
  <c r="CU226" i="7"/>
  <c r="CW244" i="7"/>
  <c r="DA253" i="7"/>
  <c r="DC262" i="7"/>
  <c r="DE271" i="7"/>
  <c r="CS281" i="7"/>
  <c r="CW299" i="7"/>
  <c r="CY308" i="7"/>
  <c r="DA317" i="7"/>
  <c r="DC326" i="7"/>
  <c r="CS336" i="7"/>
  <c r="CU354" i="7"/>
  <c r="CW363" i="7"/>
  <c r="DA372" i="7"/>
  <c r="DC381" i="7"/>
  <c r="CS391" i="7"/>
  <c r="CY408" i="7"/>
  <c r="CU413" i="7"/>
  <c r="CS185" i="7"/>
  <c r="CU194" i="7"/>
  <c r="CW203" i="7"/>
  <c r="CY212" i="7"/>
  <c r="CY221" i="7"/>
  <c r="DA239" i="7"/>
  <c r="CS249" i="7"/>
  <c r="CS258" i="7"/>
  <c r="CU267" i="7"/>
  <c r="CW276" i="7"/>
  <c r="CW294" i="7"/>
  <c r="CY303" i="7"/>
  <c r="DA312" i="7"/>
  <c r="DC321" i="7"/>
  <c r="DC330" i="7"/>
  <c r="DE339" i="7"/>
  <c r="CS358" i="7"/>
  <c r="CU367" i="7"/>
  <c r="CU376" i="7"/>
  <c r="CU385" i="7"/>
  <c r="CW394" i="7"/>
  <c r="CS418" i="7"/>
  <c r="CU427" i="7"/>
  <c r="CW436" i="7"/>
  <c r="DA445" i="7"/>
  <c r="DC454" i="7"/>
  <c r="CS473" i="7"/>
  <c r="CS482" i="7"/>
  <c r="CU491" i="7"/>
  <c r="CW500" i="7"/>
  <c r="DA509" i="7"/>
  <c r="DC527" i="7"/>
  <c r="CS537" i="7"/>
  <c r="CU546" i="7"/>
  <c r="CY555" i="7"/>
  <c r="DA564" i="7"/>
  <c r="DE582" i="7"/>
  <c r="CU592" i="7"/>
  <c r="CW601" i="7"/>
  <c r="CY610" i="7"/>
  <c r="CY615" i="7"/>
  <c r="CS620" i="7"/>
  <c r="CS415" i="7"/>
  <c r="CU424" i="7"/>
  <c r="CW433" i="7"/>
  <c r="CW442" i="7"/>
  <c r="CY451" i="7"/>
  <c r="CY469" i="7"/>
  <c r="DC478" i="7"/>
  <c r="CS252" i="7"/>
  <c r="CU261" i="7"/>
  <c r="CW270" i="7"/>
  <c r="CY279" i="7"/>
  <c r="CY297" i="7"/>
  <c r="DA306" i="7"/>
  <c r="DC315" i="7"/>
  <c r="DE324" i="7"/>
  <c r="DE333" i="7"/>
  <c r="CS352" i="7"/>
  <c r="CU361" i="7"/>
  <c r="CW370" i="7"/>
  <c r="CW379" i="7"/>
  <c r="CW388" i="7"/>
  <c r="CY397" i="7"/>
  <c r="CU421" i="7"/>
  <c r="CW109" i="7"/>
  <c r="CU100" i="7"/>
  <c r="CS91" i="7"/>
  <c r="DC81" i="7"/>
  <c r="DA72" i="7"/>
  <c r="DE166" i="7"/>
  <c r="DC157" i="7"/>
  <c r="DA148" i="7"/>
  <c r="DC141" i="7"/>
  <c r="CU137" i="7"/>
  <c r="CY132" i="7"/>
  <c r="DE127" i="7"/>
  <c r="CY123" i="7"/>
  <c r="DC109" i="7"/>
  <c r="CU105" i="7"/>
  <c r="DA100" i="7"/>
  <c r="CS96" i="7"/>
  <c r="CY91" i="7"/>
  <c r="DE86" i="7"/>
  <c r="CY82" i="7"/>
  <c r="DE77" i="7"/>
  <c r="CW73" i="7"/>
  <c r="CY68" i="7"/>
  <c r="DA907" i="7"/>
  <c r="CS903" i="7"/>
  <c r="DE908" i="7"/>
  <c r="CW904" i="7"/>
  <c r="CS896" i="7"/>
  <c r="CY891" i="7"/>
  <c r="DE886" i="7"/>
  <c r="CW882" i="7"/>
  <c r="DC877" i="7"/>
  <c r="DA897" i="7"/>
  <c r="CS893" i="7"/>
  <c r="CY888" i="7"/>
  <c r="DE883" i="7"/>
  <c r="CW879" i="7"/>
  <c r="DE824" i="7"/>
  <c r="DA815" i="7"/>
  <c r="DC871" i="7"/>
  <c r="CU867" i="7"/>
  <c r="DA853" i="7"/>
  <c r="CS849" i="7"/>
  <c r="CY844" i="7"/>
  <c r="DA821" i="7"/>
  <c r="DC874" i="7"/>
  <c r="CU870" i="7"/>
  <c r="DA865" i="7"/>
  <c r="CS852" i="7"/>
  <c r="CY847" i="7"/>
  <c r="DC842" i="7"/>
  <c r="CU838" i="7"/>
  <c r="DA833" i="7"/>
  <c r="DC828" i="7"/>
  <c r="DC819" i="7"/>
  <c r="CY774" i="7"/>
  <c r="CW765" i="7"/>
  <c r="CU756" i="7"/>
  <c r="CU738" i="7"/>
  <c r="CU841" i="7"/>
  <c r="DA836" i="7"/>
  <c r="CS832" i="7"/>
  <c r="DA825" i="7"/>
  <c r="DA816" i="7"/>
  <c r="CW771" i="7"/>
  <c r="CU762" i="7"/>
  <c r="CS753" i="7"/>
  <c r="CS735" i="7"/>
  <c r="DE725" i="7"/>
  <c r="DE810" i="7"/>
  <c r="CW797" i="7"/>
  <c r="DC792" i="7"/>
  <c r="CU788" i="7"/>
  <c r="DA783" i="7"/>
  <c r="DC777" i="7"/>
  <c r="DA768" i="7"/>
  <c r="CY759" i="7"/>
  <c r="CU750" i="7"/>
  <c r="CS732" i="7"/>
  <c r="DE722" i="7"/>
  <c r="CW718" i="7"/>
  <c r="DC713" i="7"/>
  <c r="CU709" i="7"/>
  <c r="DE702" i="7"/>
  <c r="DC693" i="7"/>
  <c r="DC675" i="7"/>
  <c r="DA666" i="7"/>
  <c r="DA657" i="7"/>
  <c r="CY648" i="7"/>
  <c r="CS729" i="7"/>
  <c r="CY812" i="7"/>
  <c r="DE807" i="7"/>
  <c r="CW794" i="7"/>
  <c r="DC789" i="7"/>
  <c r="CU785" i="7"/>
  <c r="CY780" i="7"/>
  <c r="DC771" i="7"/>
  <c r="DA762" i="7"/>
  <c r="CY753" i="7"/>
  <c r="CU735" i="7"/>
  <c r="CS726" i="7"/>
  <c r="DE719" i="7"/>
  <c r="CW715" i="7"/>
  <c r="DC710" i="7"/>
  <c r="DE705" i="7"/>
  <c r="DE696" i="7"/>
  <c r="DE678" i="7"/>
  <c r="DC669" i="7"/>
  <c r="DA660" i="7"/>
  <c r="DA651" i="7"/>
  <c r="CW642" i="7"/>
  <c r="DE703" i="7"/>
  <c r="DA694" i="7"/>
  <c r="CY676" i="7"/>
  <c r="CW667" i="7"/>
  <c r="CS658" i="7"/>
  <c r="DE648" i="7"/>
  <c r="DA639" i="7"/>
  <c r="CS604" i="7"/>
  <c r="DE594" i="7"/>
  <c r="DE585" i="7"/>
  <c r="DE567" i="7"/>
  <c r="DC558" i="7"/>
  <c r="DC549" i="7"/>
  <c r="DA540" i="7"/>
  <c r="DA531" i="7"/>
  <c r="CY522" i="7"/>
  <c r="CY504" i="7"/>
  <c r="CW495" i="7"/>
  <c r="CU486" i="7"/>
  <c r="CW636" i="7"/>
  <c r="DE697" i="7"/>
  <c r="DA679" i="7"/>
  <c r="CY670" i="7"/>
  <c r="CW661" i="7"/>
  <c r="CS652" i="7"/>
  <c r="DC642" i="7"/>
  <c r="DA624" i="7"/>
  <c r="CU607" i="7"/>
  <c r="CS598" i="7"/>
  <c r="DE588" i="7"/>
  <c r="DE579" i="7"/>
  <c r="DE561" i="7"/>
  <c r="DE552" i="7"/>
  <c r="DC543" i="7"/>
  <c r="DA534" i="7"/>
  <c r="DA525" i="7"/>
  <c r="CY507" i="7"/>
  <c r="CY498" i="7"/>
  <c r="CW489" i="7"/>
  <c r="CU480" i="7"/>
  <c r="CS471" i="7"/>
  <c r="DE452" i="7"/>
  <c r="DC443" i="7"/>
  <c r="DA434" i="7"/>
  <c r="DA425" i="7"/>
  <c r="CY416" i="7"/>
  <c r="DC620" i="7"/>
  <c r="CU616" i="7"/>
  <c r="CY611" i="7"/>
  <c r="DC602" i="7"/>
  <c r="DA593" i="7"/>
  <c r="CW584" i="7"/>
  <c r="CS566" i="7"/>
  <c r="DE556" i="7"/>
  <c r="DA547" i="7"/>
  <c r="CY538" i="7"/>
  <c r="CU529" i="7"/>
  <c r="CS511" i="7"/>
  <c r="DC501" i="7"/>
  <c r="DA492" i="7"/>
  <c r="CS103" i="7"/>
  <c r="DA84" i="7"/>
  <c r="CW66" i="7"/>
  <c r="CY151" i="7"/>
  <c r="DA138" i="7"/>
  <c r="CY129" i="7"/>
  <c r="CW111" i="7"/>
  <c r="CS102" i="7"/>
  <c r="DE92" i="7"/>
  <c r="DE83" i="7"/>
  <c r="DC74" i="7"/>
  <c r="DA133" i="7"/>
  <c r="DC142" i="7"/>
  <c r="DE151" i="7"/>
  <c r="CS161" i="7"/>
  <c r="DC168" i="7"/>
  <c r="CU185" i="7"/>
  <c r="CW194" i="7"/>
  <c r="CY203" i="7"/>
  <c r="DA212" i="7"/>
  <c r="DE221" i="7"/>
  <c r="CS240" i="7"/>
  <c r="CU249" i="7"/>
  <c r="CY258" i="7"/>
  <c r="DA267" i="7"/>
  <c r="DC276" i="7"/>
  <c r="CS295" i="7"/>
  <c r="CU304" i="7"/>
  <c r="CW313" i="7"/>
  <c r="CY322" i="7"/>
  <c r="DC331" i="7"/>
  <c r="DE340" i="7"/>
  <c r="CS359" i="7"/>
  <c r="CU368" i="7"/>
  <c r="CY377" i="7"/>
  <c r="DC386" i="7"/>
  <c r="DE395" i="7"/>
  <c r="CS411" i="7"/>
  <c r="DC180" i="7"/>
  <c r="DE189" i="7"/>
  <c r="CS199" i="7"/>
  <c r="CU208" i="7"/>
  <c r="CW217" i="7"/>
  <c r="CW226" i="7"/>
  <c r="CY244" i="7"/>
  <c r="DE148" i="7"/>
  <c r="CS158" i="7"/>
  <c r="DA167" i="7"/>
  <c r="DE72" i="7"/>
  <c r="CS82" i="7"/>
  <c r="CW91" i="7"/>
  <c r="CY100" i="7"/>
  <c r="DA109" i="7"/>
  <c r="DC127" i="7"/>
  <c r="DC136" i="7"/>
  <c r="DE145" i="7"/>
  <c r="CS155" i="7"/>
  <c r="CU164" i="7"/>
  <c r="CW170" i="7"/>
  <c r="CW188" i="7"/>
  <c r="CY197" i="7"/>
  <c r="DA206" i="7"/>
  <c r="DE215" i="7"/>
  <c r="CS225" i="7"/>
  <c r="CU243" i="7"/>
  <c r="CY252" i="7"/>
  <c r="DA261" i="7"/>
  <c r="DC270" i="7"/>
  <c r="CS280" i="7"/>
  <c r="CU298" i="7"/>
  <c r="CW307" i="7"/>
  <c r="CY316" i="7"/>
  <c r="DA325" i="7"/>
  <c r="DE334" i="7"/>
  <c r="CS353" i="7"/>
  <c r="CU362" i="7"/>
  <c r="CY371" i="7"/>
  <c r="DA380" i="7"/>
  <c r="DE389" i="7"/>
  <c r="DE398" i="7"/>
  <c r="DA412" i="7"/>
  <c r="DE183" i="7"/>
  <c r="CS193" i="7"/>
  <c r="CU202" i="7"/>
  <c r="CW211" i="7"/>
  <c r="CW220" i="7"/>
  <c r="CY238" i="7"/>
  <c r="DA247" i="7"/>
  <c r="DE256" i="7"/>
  <c r="CS266" i="7"/>
  <c r="CU275" i="7"/>
  <c r="CU284" i="7"/>
  <c r="CW302" i="7"/>
  <c r="CY311" i="7"/>
  <c r="DA320" i="7"/>
  <c r="DC329" i="7"/>
  <c r="DC338" i="7"/>
  <c r="DE356" i="7"/>
  <c r="CS366" i="7"/>
  <c r="CS375" i="7"/>
  <c r="CU384" i="7"/>
  <c r="CU393" i="7"/>
  <c r="DE416" i="7"/>
  <c r="CS426" i="7"/>
  <c r="CU435" i="7"/>
  <c r="CY444" i="7"/>
  <c r="DA453" i="7"/>
  <c r="DE471" i="7"/>
  <c r="DE480" i="7"/>
  <c r="CS490" i="7"/>
  <c r="CU499" i="7"/>
  <c r="CY508" i="7"/>
  <c r="DA526" i="7"/>
  <c r="DE535" i="7"/>
  <c r="CS545" i="7"/>
  <c r="CU554" i="7"/>
  <c r="CY563" i="7"/>
  <c r="DC581" i="7"/>
  <c r="CS591" i="7"/>
  <c r="CU600" i="7"/>
  <c r="CW609" i="7"/>
  <c r="DE614" i="7"/>
  <c r="CY619" i="7"/>
  <c r="CS624" i="7"/>
  <c r="CS423" i="7"/>
  <c r="CU432" i="7"/>
  <c r="CU441" i="7"/>
  <c r="CW450" i="7"/>
  <c r="CW468" i="7"/>
  <c r="DA477" i="7"/>
  <c r="CS251" i="7"/>
  <c r="CS260" i="7"/>
  <c r="CU269" i="7"/>
  <c r="CW278" i="7"/>
  <c r="CW296" i="7"/>
  <c r="CY305" i="7"/>
  <c r="DA314" i="7"/>
  <c r="DC323" i="7"/>
  <c r="DC332" i="7"/>
  <c r="DE341" i="7"/>
  <c r="CS360" i="7"/>
  <c r="CU369" i="7"/>
  <c r="CU378" i="7"/>
  <c r="CU387" i="7"/>
  <c r="CW396" i="7"/>
  <c r="CS420" i="7"/>
  <c r="DA71" i="7"/>
  <c r="CU910" i="7"/>
  <c r="CS901" i="7"/>
  <c r="DE906" i="7"/>
  <c r="DA898" i="7"/>
  <c r="CY889" i="7"/>
  <c r="CW880" i="7"/>
  <c r="DA895" i="7"/>
  <c r="CY886" i="7"/>
  <c r="CW877" i="7"/>
  <c r="CW874" i="7"/>
  <c r="CU865" i="7"/>
  <c r="CS847" i="7"/>
  <c r="DA817" i="7"/>
  <c r="CU868" i="7"/>
  <c r="CS850" i="7"/>
  <c r="DC840" i="7"/>
  <c r="DA831" i="7"/>
  <c r="DC815" i="7"/>
  <c r="DC779" i="7"/>
  <c r="CW761" i="7"/>
  <c r="CU734" i="7"/>
  <c r="DA834" i="7"/>
  <c r="DC821" i="7"/>
  <c r="CW767" i="7"/>
  <c r="CU740" i="7"/>
  <c r="CY813" i="7"/>
  <c r="CW795" i="7"/>
  <c r="CU786" i="7"/>
  <c r="DC773" i="7"/>
  <c r="CY755" i="7"/>
  <c r="CS728" i="7"/>
  <c r="CW716" i="7"/>
  <c r="CS707" i="7"/>
  <c r="DE680" i="7"/>
  <c r="DA662" i="7"/>
  <c r="DA644" i="7"/>
  <c r="CY810" i="7"/>
  <c r="CW792" i="7"/>
  <c r="CU783" i="7"/>
  <c r="DC767" i="7"/>
  <c r="CW740" i="7"/>
  <c r="CY722" i="7"/>
  <c r="CW713" i="7"/>
  <c r="CS702" i="7"/>
  <c r="CY908" i="7"/>
  <c r="CU905" i="7"/>
  <c r="DE896" i="7"/>
  <c r="DC887" i="7"/>
  <c r="DA878" i="7"/>
  <c r="DE893" i="7"/>
  <c r="DC884" i="7"/>
  <c r="DC875" i="7"/>
  <c r="CY826" i="7"/>
  <c r="DA872" i="7"/>
  <c r="CY854" i="7"/>
  <c r="CW845" i="7"/>
  <c r="CU814" i="7"/>
  <c r="CY866" i="7"/>
  <c r="CW848" i="7"/>
  <c r="CS839" i="7"/>
  <c r="DC829" i="7"/>
  <c r="CU776" i="7"/>
  <c r="DE757" i="7"/>
  <c r="CS842" i="7"/>
  <c r="DE832" i="7"/>
  <c r="CW818" i="7"/>
  <c r="DE763" i="7"/>
  <c r="DC736" i="7"/>
  <c r="DC811" i="7"/>
  <c r="DA793" i="7"/>
  <c r="CY784" i="7"/>
  <c r="CW770" i="7"/>
  <c r="CS752" i="7"/>
  <c r="DA724" i="7"/>
  <c r="DA714" i="7"/>
  <c r="DA704" i="7"/>
  <c r="CY677" i="7"/>
  <c r="CU659" i="7"/>
  <c r="DC730" i="7"/>
  <c r="DC808" i="7"/>
  <c r="DA790" i="7"/>
  <c r="CW781" i="7"/>
  <c r="CW764" i="7"/>
  <c r="DE736" i="7"/>
  <c r="DC720" i="7"/>
  <c r="DA711" i="7"/>
  <c r="DA698" i="7"/>
  <c r="CY671" i="7"/>
  <c r="CW653" i="7"/>
  <c r="DE625" i="7"/>
  <c r="CY696" i="7"/>
  <c r="CS669" i="7"/>
  <c r="DA650" i="7"/>
  <c r="DA596" i="7"/>
  <c r="CY569" i="7"/>
  <c r="CY551" i="7"/>
  <c r="CU533" i="7"/>
  <c r="CS506" i="7"/>
  <c r="DE487" i="7"/>
  <c r="CW681" i="7"/>
  <c r="CS663" i="7"/>
  <c r="CY644" i="7"/>
  <c r="DE608" i="7"/>
  <c r="DA590" i="7"/>
  <c r="DA563" i="7"/>
  <c r="CY545" i="7"/>
  <c r="CW527" i="7"/>
  <c r="CU500" i="7"/>
  <c r="DE481" i="7"/>
  <c r="DA454" i="7"/>
  <c r="CY436" i="7"/>
  <c r="CU418" i="7"/>
  <c r="CS617" i="7"/>
  <c r="CY604" i="7"/>
  <c r="CS586" i="7"/>
  <c r="DA558" i="7"/>
  <c r="CU540" i="7"/>
  <c r="DC512" i="7"/>
  <c r="CW494" i="7"/>
  <c r="DE482" i="7"/>
  <c r="DC473" i="7"/>
  <c r="DA455" i="7"/>
  <c r="CY446" i="7"/>
  <c r="CU437" i="7"/>
  <c r="CS428" i="7"/>
  <c r="CW910" i="7"/>
  <c r="CU901" i="7"/>
  <c r="DE892" i="7"/>
  <c r="DC883" i="7"/>
  <c r="CS899" i="7"/>
  <c r="DE889" i="7"/>
  <c r="DC880" i="7"/>
  <c r="CY818" i="7"/>
  <c r="DA868" i="7"/>
  <c r="CY850" i="7"/>
  <c r="CY824" i="7"/>
  <c r="DA871" i="7"/>
  <c r="CY853" i="7"/>
  <c r="CW844" i="7"/>
  <c r="CS835" i="7"/>
  <c r="DA822" i="7"/>
  <c r="CU768" i="7"/>
  <c r="CS750" i="7"/>
  <c r="CS838" i="7"/>
  <c r="DA828" i="7"/>
  <c r="CU774" i="7"/>
  <c r="DE755" i="7"/>
  <c r="DC728" i="7"/>
  <c r="DC807" i="7"/>
  <c r="DA789" i="7"/>
  <c r="CW780" i="7"/>
  <c r="CW762" i="7"/>
  <c r="DE734" i="7"/>
  <c r="DC719" i="7"/>
  <c r="DA710" i="7"/>
  <c r="DA696" i="7"/>
  <c r="CY669" i="7"/>
  <c r="CW651" i="7"/>
  <c r="DE813" i="7"/>
  <c r="DC795" i="7"/>
  <c r="DA786" i="7"/>
  <c r="DA774" i="7"/>
  <c r="CW756" i="7"/>
  <c r="DE728" i="7"/>
  <c r="DC716" i="7"/>
  <c r="CY707" i="7"/>
  <c r="DC681" i="7"/>
  <c r="DE911" i="7"/>
  <c r="DC902" i="7"/>
  <c r="DA908" i="7"/>
  <c r="CU891" i="7"/>
  <c r="CS882" i="7"/>
  <c r="CW897" i="7"/>
  <c r="CU888" i="7"/>
  <c r="CS879" i="7"/>
  <c r="CS815" i="7"/>
  <c r="DE866" i="7"/>
  <c r="DC848" i="7"/>
  <c r="CS821" i="7"/>
  <c r="DE869" i="7"/>
  <c r="DC851" i="7"/>
  <c r="CY842" i="7"/>
  <c r="CW833" i="7"/>
  <c r="CU819" i="7"/>
  <c r="DC764" i="7"/>
  <c r="DA737" i="7"/>
  <c r="CW836" i="7"/>
  <c r="CS825" i="7"/>
  <c r="DC770" i="7"/>
  <c r="CY752" i="7"/>
  <c r="CW725" i="7"/>
  <c r="CS797" i="7"/>
  <c r="DE787" i="7"/>
  <c r="CU777" i="7"/>
  <c r="DE758" i="7"/>
  <c r="CY731" i="7"/>
  <c r="CS718" i="7"/>
  <c r="DE708" i="7"/>
  <c r="CW693" i="7"/>
  <c r="CS666" i="7"/>
  <c r="DE647" i="7"/>
  <c r="CU812" i="7"/>
  <c r="CS794" i="7"/>
  <c r="DE784" i="7"/>
  <c r="CU771" i="7"/>
  <c r="DE752" i="7"/>
  <c r="CY725" i="7"/>
  <c r="CS715" i="7"/>
  <c r="CY705" i="7"/>
  <c r="CW678" i="7"/>
  <c r="CS660" i="7"/>
  <c r="DC641" i="7"/>
  <c r="CW703" i="7"/>
  <c r="DE675" i="7"/>
  <c r="CY657" i="7"/>
  <c r="CS639" i="7"/>
  <c r="CY603" i="7"/>
  <c r="CW585" i="7"/>
  <c r="CU558" i="7"/>
  <c r="CS540" i="7"/>
  <c r="DE512" i="7"/>
  <c r="DC494" i="7"/>
  <c r="DC626" i="7"/>
  <c r="CW697" i="7"/>
  <c r="DE669" i="7"/>
  <c r="CY651" i="7"/>
  <c r="CY597" i="7"/>
  <c r="CW579" i="7"/>
  <c r="CW552" i="7"/>
  <c r="CS534" i="7"/>
  <c r="DE506" i="7"/>
  <c r="DC488" i="7"/>
  <c r="CW470" i="7"/>
  <c r="CU443" i="7"/>
  <c r="CS425" i="7"/>
  <c r="CY620" i="7"/>
  <c r="CU611" i="7"/>
  <c r="CS593" i="7"/>
  <c r="CY565" i="7"/>
  <c r="CS547" i="7"/>
  <c r="DA528" i="7"/>
  <c r="CU501" i="7"/>
  <c r="CW486" i="7"/>
  <c r="CU477" i="7"/>
  <c r="CU468" i="7"/>
  <c r="DE449" i="7"/>
  <c r="DC440" i="7"/>
  <c r="CY431" i="7"/>
  <c r="CS909" i="7"/>
  <c r="CY904" i="7"/>
  <c r="CY663" i="7"/>
  <c r="CY654" i="7"/>
  <c r="DE642" i="7"/>
  <c r="DC624" i="7"/>
  <c r="CY704" i="7"/>
  <c r="CW695" i="7"/>
  <c r="CS677" i="7"/>
  <c r="DE667" i="7"/>
  <c r="DA658" i="7"/>
  <c r="CY649" i="7"/>
  <c r="CU640" i="7"/>
  <c r="DA604" i="7"/>
  <c r="CY595" i="7"/>
  <c r="CY586" i="7"/>
  <c r="CY568" i="7"/>
  <c r="CW559" i="7"/>
  <c r="CW550" i="7"/>
  <c r="CU541" i="7"/>
  <c r="CS532" i="7"/>
  <c r="CS523" i="7"/>
  <c r="CS505" i="7"/>
  <c r="DA493" i="7"/>
  <c r="DA625" i="7"/>
  <c r="CY698" i="7"/>
  <c r="CS671" i="7"/>
  <c r="DA652" i="7"/>
  <c r="CU625" i="7"/>
  <c r="DE600" i="7"/>
  <c r="CY580" i="7"/>
  <c r="CY553" i="7"/>
  <c r="CU535" i="7"/>
  <c r="CS508" i="7"/>
  <c r="DE489" i="7"/>
  <c r="CU469" i="7"/>
  <c r="CS442" i="7"/>
  <c r="DE423" i="7"/>
  <c r="CS621" i="7"/>
  <c r="DC611" i="7"/>
  <c r="CU594" i="7"/>
  <c r="CW564" i="7"/>
  <c r="DE545" i="7"/>
  <c r="CU525" i="7"/>
  <c r="DC497" i="7"/>
  <c r="DA484" i="7"/>
  <c r="CY475" i="7"/>
  <c r="CY466" i="7"/>
  <c r="CU448" i="7"/>
  <c r="DE438" i="7"/>
  <c r="DC429" i="7"/>
  <c r="CY419" i="7"/>
  <c r="DC395" i="7"/>
  <c r="DC387" i="7"/>
  <c r="DC378" i="7"/>
  <c r="DA369" i="7"/>
  <c r="DA360" i="7"/>
  <c r="CY351" i="7"/>
  <c r="CW333" i="7"/>
  <c r="CU323" i="7"/>
  <c r="DE312" i="7"/>
  <c r="DE304" i="7"/>
  <c r="DA294" i="7"/>
  <c r="DA276" i="7"/>
  <c r="CY267" i="7"/>
  <c r="CW258" i="7"/>
  <c r="CW249" i="7"/>
  <c r="DC474" i="7"/>
  <c r="CY465" i="7"/>
  <c r="CY447" i="7"/>
  <c r="CY438" i="7"/>
  <c r="CW429" i="7"/>
  <c r="CU420" i="7"/>
  <c r="DA622" i="7"/>
  <c r="DA618" i="7"/>
  <c r="CY613" i="7"/>
  <c r="CY606" i="7"/>
  <c r="CW597" i="7"/>
  <c r="CS588" i="7"/>
  <c r="DE569" i="7"/>
  <c r="DA560" i="7"/>
  <c r="CU550" i="7"/>
  <c r="CS541" i="7"/>
  <c r="DE531" i="7"/>
  <c r="DA522" i="7"/>
  <c r="CU503" i="7"/>
  <c r="CU495" i="7"/>
  <c r="CS486" i="7"/>
  <c r="DE476" i="7"/>
  <c r="DE467" i="7"/>
  <c r="DA449" i="7"/>
  <c r="CY440" i="7"/>
  <c r="CU431" i="7"/>
  <c r="CS422" i="7"/>
  <c r="CU397" i="7"/>
  <c r="CS388" i="7"/>
  <c r="CS379" i="7"/>
  <c r="DE369" i="7"/>
  <c r="DE360" i="7"/>
  <c r="DA341" i="7"/>
  <c r="CY332" i="7"/>
  <c r="CY323" i="7"/>
  <c r="CW314" i="7"/>
  <c r="CS304" i="7"/>
  <c r="DE294" i="7"/>
  <c r="DE276" i="7"/>
  <c r="DE268" i="7"/>
  <c r="DA258" i="7"/>
  <c r="DC250" i="7"/>
  <c r="CW241" i="7"/>
  <c r="CS222" i="7"/>
  <c r="CS213" i="7"/>
  <c r="DE203" i="7"/>
  <c r="DC194" i="7"/>
  <c r="DA185" i="7"/>
  <c r="CY413" i="7"/>
  <c r="CY409" i="7"/>
  <c r="DC392" i="7"/>
  <c r="CY383" i="7"/>
  <c r="CU373" i="7"/>
  <c r="CS365" i="7"/>
  <c r="DE355" i="7"/>
  <c r="DA336" i="7"/>
  <c r="CW327" i="7"/>
  <c r="CU318" i="7"/>
  <c r="CU310" i="7"/>
  <c r="DE299" i="7"/>
  <c r="DC281" i="7"/>
  <c r="CY272" i="7"/>
  <c r="CY264" i="7"/>
  <c r="CW255" i="7"/>
  <c r="CS246" i="7"/>
  <c r="DC227" i="7"/>
  <c r="DC218" i="7"/>
  <c r="CW208" i="7"/>
  <c r="CU199" i="7"/>
  <c r="CS190" i="7"/>
  <c r="DE180" i="7"/>
  <c r="DC164" i="7"/>
  <c r="DC156" i="7"/>
  <c r="CY146" i="7"/>
  <c r="CY138" i="7"/>
  <c r="CW129" i="7"/>
  <c r="CU111" i="7"/>
  <c r="CU102" i="7"/>
  <c r="CS93" i="7"/>
  <c r="DC83" i="7"/>
  <c r="DA74" i="7"/>
  <c r="DC159" i="7"/>
  <c r="DA150" i="7"/>
  <c r="CU246" i="7"/>
  <c r="CU237" i="7"/>
  <c r="DE217" i="7"/>
  <c r="DC208" i="7"/>
  <c r="DA199" i="7"/>
  <c r="CY190" i="7"/>
  <c r="CW181" i="7"/>
  <c r="DE411" i="7"/>
  <c r="DC397" i="7"/>
  <c r="CY388" i="7"/>
  <c r="CU379" i="7"/>
  <c r="CS370" i="7"/>
  <c r="DC360" i="7"/>
  <c r="DA351" i="7"/>
  <c r="CY333" i="7"/>
  <c r="CU324" i="7"/>
  <c r="CS315" i="7"/>
  <c r="DC304" i="7"/>
  <c r="DC296" i="7"/>
  <c r="CY278" i="7"/>
  <c r="CW269" i="7"/>
  <c r="CU260" i="7"/>
  <c r="DE250" i="7"/>
  <c r="DC241" i="7"/>
  <c r="DA223" i="7"/>
  <c r="CU213" i="7"/>
  <c r="CS204" i="7"/>
  <c r="CS196" i="7"/>
  <c r="DE186" i="7"/>
  <c r="DA169" i="7"/>
  <c r="DC162" i="7"/>
  <c r="CY152" i="7"/>
  <c r="CW143" i="7"/>
  <c r="CW134" i="7"/>
  <c r="CS125" i="7"/>
  <c r="CS73" i="7"/>
  <c r="CW83" i="7"/>
  <c r="CW92" i="7"/>
  <c r="CY101" i="7"/>
  <c r="DC110" i="7"/>
  <c r="DE128" i="7"/>
  <c r="CS138" i="7"/>
  <c r="CW150" i="7"/>
  <c r="DA83" i="7"/>
  <c r="CU104" i="7"/>
  <c r="CU498" i="7"/>
  <c r="DE636" i="7"/>
  <c r="CU696" i="7"/>
  <c r="DC668" i="7"/>
  <c r="CW650" i="7"/>
  <c r="CW596" i="7"/>
  <c r="CU569" i="7"/>
  <c r="CU551" i="7"/>
  <c r="DE532" i="7"/>
  <c r="DC505" i="7"/>
  <c r="DA487" i="7"/>
  <c r="DA471" i="7"/>
  <c r="CW444" i="7"/>
  <c r="CU426" i="7"/>
  <c r="DE619" i="7"/>
  <c r="CU610" i="7"/>
  <c r="DE591" i="7"/>
  <c r="DA566" i="7"/>
  <c r="CU548" i="7"/>
  <c r="DC529" i="7"/>
  <c r="CW502" i="7"/>
  <c r="CS488" i="7"/>
  <c r="DE478" i="7"/>
  <c r="DE469" i="7"/>
  <c r="CY450" i="7"/>
  <c r="CY442" i="7"/>
  <c r="CU433" i="7"/>
  <c r="CU425" i="7"/>
  <c r="CS416" i="7"/>
  <c r="CU391" i="7"/>
  <c r="CU382" i="7"/>
  <c r="CS373" i="7"/>
  <c r="CS364" i="7"/>
  <c r="DE354" i="7"/>
  <c r="DC336" i="7"/>
  <c r="DE328" i="7"/>
  <c r="DC319" i="7"/>
  <c r="DC311" i="7"/>
  <c r="CY301" i="7"/>
  <c r="CY284" i="7"/>
  <c r="CY275" i="7"/>
  <c r="CW266" i="7"/>
  <c r="CU257" i="7"/>
  <c r="DE483" i="7"/>
  <c r="DE475" i="7"/>
  <c r="DA466" i="7"/>
  <c r="DA448" i="7"/>
  <c r="DA439" i="7"/>
  <c r="CY430" i="7"/>
  <c r="CW421" i="7"/>
  <c r="CU623" i="7"/>
  <c r="CS618" i="7"/>
  <c r="CS614" i="7"/>
  <c r="DA607" i="7"/>
  <c r="CY598" i="7"/>
  <c r="CW589" i="7"/>
  <c r="CU581" i="7"/>
  <c r="DE562" i="7"/>
  <c r="DA553" i="7"/>
  <c r="CY544" i="7"/>
  <c r="CW535" i="7"/>
  <c r="CS526" i="7"/>
  <c r="DE507" i="7"/>
  <c r="DA498" i="7"/>
  <c r="CY489" i="7"/>
  <c r="CW480" i="7"/>
  <c r="CU471" i="7"/>
  <c r="CS453" i="7"/>
  <c r="DE443" i="7"/>
  <c r="DC434" i="7"/>
  <c r="CY425" i="7"/>
  <c r="CY417" i="7"/>
  <c r="DC393" i="7"/>
  <c r="DA384" i="7"/>
  <c r="DA375" i="7"/>
  <c r="DA366" i="7"/>
  <c r="CY357" i="7"/>
  <c r="CY340" i="7"/>
  <c r="CW331" i="7"/>
  <c r="CW322" i="7"/>
  <c r="CU313" i="7"/>
  <c r="CU305" i="7"/>
  <c r="CS296" i="7"/>
  <c r="CS278" i="7"/>
  <c r="DC267" i="7"/>
  <c r="DC259" i="7"/>
  <c r="DA249" i="7"/>
  <c r="CU240" i="7"/>
  <c r="CU223" i="7"/>
  <c r="CU214" i="7"/>
  <c r="CS205" i="7"/>
  <c r="DE195" i="7"/>
  <c r="DC186" i="7"/>
  <c r="CS414" i="7"/>
  <c r="DE408" i="7"/>
  <c r="DA391" i="7"/>
  <c r="CW382" i="7"/>
  <c r="CW374" i="7"/>
  <c r="DE363" i="7"/>
  <c r="DC354" i="7"/>
  <c r="DC337" i="7"/>
  <c r="CY328" i="7"/>
  <c r="CW319" i="7"/>
  <c r="CS309" i="7"/>
  <c r="CS301" i="7"/>
  <c r="DE282" i="7"/>
  <c r="DA273" i="7"/>
  <c r="CW263" i="7"/>
  <c r="CU254" i="7"/>
  <c r="DE244" i="7"/>
  <c r="DC226" i="7"/>
  <c r="DA217" i="7"/>
  <c r="CY209" i="7"/>
  <c r="CW200" i="7"/>
  <c r="CU191" i="7"/>
  <c r="CS182" i="7"/>
  <c r="DC167" i="7"/>
  <c r="DE157" i="7"/>
  <c r="DC148" i="7"/>
  <c r="DA139" i="7"/>
  <c r="CY130" i="7"/>
  <c r="CW112" i="7"/>
  <c r="CW103" i="7"/>
  <c r="CU94" i="7"/>
  <c r="DE84" i="7"/>
  <c r="DC75" i="7"/>
  <c r="DA66" i="7"/>
  <c r="DE160" i="7"/>
  <c r="DC151" i="7"/>
  <c r="CW247" i="7"/>
  <c r="CU238" i="7"/>
  <c r="CU221" i="7"/>
  <c r="CU212" i="7"/>
  <c r="CS203" i="7"/>
  <c r="DE193" i="7"/>
  <c r="DC184" i="7"/>
  <c r="CY412" i="7"/>
  <c r="CW408" i="7"/>
  <c r="DA389" i="7"/>
  <c r="CW380" i="7"/>
  <c r="CU371" i="7"/>
  <c r="CS363" i="7"/>
  <c r="DC352" i="7"/>
  <c r="DA334" i="7"/>
  <c r="CW325" i="7"/>
  <c r="CU316" i="7"/>
  <c r="CS307" i="7"/>
  <c r="DE297" i="7"/>
  <c r="DC280" i="7"/>
  <c r="CY270" i="7"/>
  <c r="CW261" i="7"/>
  <c r="CU252" i="7"/>
  <c r="DE242" i="7"/>
  <c r="DE225" i="7"/>
  <c r="DA215" i="7"/>
  <c r="CY207" i="7"/>
  <c r="CU197" i="7"/>
  <c r="CS188" i="7"/>
  <c r="CU170" i="7"/>
  <c r="DE163" i="7"/>
  <c r="DC154" i="7"/>
  <c r="DC146" i="7"/>
  <c r="DA137" i="7"/>
  <c r="CY128" i="7"/>
  <c r="DE71" i="7"/>
  <c r="DE79" i="7"/>
  <c r="DE88" i="7"/>
  <c r="CS98" i="7"/>
  <c r="CU107" i="7"/>
  <c r="CY125" i="7"/>
  <c r="DA134" i="7"/>
  <c r="DC143" i="7"/>
  <c r="DC161" i="7"/>
  <c r="DA76" i="7"/>
  <c r="CS95" i="7"/>
  <c r="DE110" i="7"/>
  <c r="CY110" i="7"/>
  <c r="CW101" i="7"/>
  <c r="CU92" i="7"/>
  <c r="DE82" i="7"/>
  <c r="DC73" i="7"/>
  <c r="DE158" i="7"/>
  <c r="DC149" i="7"/>
  <c r="CW142" i="7"/>
  <c r="DC137" i="7"/>
  <c r="CU133" i="7"/>
  <c r="DA128" i="7"/>
  <c r="CS124" i="7"/>
  <c r="CW110" i="7"/>
  <c r="DC105" i="7"/>
  <c r="CU101" i="7"/>
  <c r="DA96" i="7"/>
  <c r="CS92" i="7"/>
  <c r="CY87" i="7"/>
  <c r="CS83" i="7"/>
  <c r="CY78" i="7"/>
  <c r="DE73" i="7"/>
  <c r="CS69" i="7"/>
  <c r="CU908" i="7"/>
  <c r="DA903" i="7"/>
  <c r="CY909" i="7"/>
  <c r="DE904" i="7"/>
  <c r="CW900" i="7"/>
  <c r="DA896" i="7"/>
  <c r="CS892" i="7"/>
  <c r="CY887" i="7"/>
  <c r="DE882" i="7"/>
  <c r="CW878" i="7"/>
  <c r="CU898" i="7"/>
  <c r="DA893" i="7"/>
  <c r="CS889" i="7"/>
  <c r="CY884" i="7"/>
  <c r="DE879" i="7"/>
  <c r="DE825" i="7"/>
  <c r="DC816" i="7"/>
  <c r="CW872" i="7"/>
  <c r="DC867" i="7"/>
  <c r="CU854" i="7"/>
  <c r="DA849" i="7"/>
  <c r="CS845" i="7"/>
  <c r="DE822" i="7"/>
  <c r="CW875" i="7"/>
  <c r="DC870" i="7"/>
  <c r="CU866" i="7"/>
  <c r="DA852" i="7"/>
  <c r="CS848" i="7"/>
  <c r="CY843" i="7"/>
  <c r="DC838" i="7"/>
  <c r="CU834" i="7"/>
  <c r="CY829" i="7"/>
  <c r="DE820" i="7"/>
  <c r="DA775" i="7"/>
  <c r="CY766" i="7"/>
  <c r="CW757" i="7"/>
  <c r="CW739" i="7"/>
  <c r="DC841" i="7"/>
  <c r="CU837" i="7"/>
  <c r="DA832" i="7"/>
  <c r="DE826" i="7"/>
  <c r="DC817" i="7"/>
  <c r="CY772" i="7"/>
  <c r="CW763" i="7"/>
  <c r="CU754" i="7"/>
  <c r="CU736" i="7"/>
  <c r="CS727" i="7"/>
  <c r="CY811" i="7"/>
  <c r="DE797" i="7"/>
  <c r="CW793" i="7"/>
  <c r="DC788" i="7"/>
  <c r="CU784" i="7"/>
  <c r="DC778" i="7"/>
  <c r="DC769" i="7"/>
  <c r="DA760" i="7"/>
  <c r="CY751" i="7"/>
  <c r="CU733" i="7"/>
  <c r="CS724" i="7"/>
  <c r="DE718" i="7"/>
  <c r="CW714" i="7"/>
  <c r="DC709" i="7"/>
  <c r="CS704" i="7"/>
  <c r="DE694" i="7"/>
  <c r="DE676" i="7"/>
  <c r="DC667" i="7"/>
  <c r="DC658" i="7"/>
  <c r="DA649" i="7"/>
  <c r="CU730" i="7"/>
  <c r="CS813" i="7"/>
  <c r="CY808" i="7"/>
  <c r="DE794" i="7"/>
  <c r="CW790" i="7"/>
  <c r="DC785" i="7"/>
  <c r="CS781" i="7"/>
  <c r="DE772" i="7"/>
  <c r="DC763" i="7"/>
  <c r="DA754" i="7"/>
  <c r="CW736" i="7"/>
  <c r="CU727" i="7"/>
  <c r="CY720" i="7"/>
  <c r="DE715" i="7"/>
  <c r="CW711" i="7"/>
  <c r="DA706" i="7"/>
  <c r="CS698" i="7"/>
  <c r="CS680" i="7"/>
  <c r="DE670" i="7"/>
  <c r="DC661" i="7"/>
  <c r="DC652" i="7"/>
  <c r="DC643" i="7"/>
  <c r="CW625" i="7"/>
  <c r="CS705" i="7"/>
  <c r="DE695" i="7"/>
  <c r="DA677" i="7"/>
  <c r="CY668" i="7"/>
  <c r="CW659" i="7"/>
  <c r="CS650" i="7"/>
  <c r="DC640" i="7"/>
  <c r="CU605" i="7"/>
  <c r="CS596" i="7"/>
  <c r="CS587" i="7"/>
  <c r="DE568" i="7"/>
  <c r="DE559" i="7"/>
  <c r="DE550" i="7"/>
  <c r="DC541" i="7"/>
  <c r="DA532" i="7"/>
  <c r="DA523" i="7"/>
  <c r="DA505" i="7"/>
  <c r="CY496" i="7"/>
  <c r="CW487" i="7"/>
  <c r="CY637" i="7"/>
  <c r="CS699" i="7"/>
  <c r="DC680" i="7"/>
  <c r="DA671" i="7"/>
  <c r="CY662" i="7"/>
  <c r="CU653" i="7"/>
  <c r="DE643" i="7"/>
  <c r="DC625" i="7"/>
  <c r="CW608" i="7"/>
  <c r="CU599" i="7"/>
  <c r="CS590" i="7"/>
  <c r="CS581" i="7"/>
  <c r="CS563" i="7"/>
  <c r="CS554" i="7"/>
  <c r="DE544" i="7"/>
  <c r="DC535" i="7"/>
  <c r="DC526" i="7"/>
  <c r="DA508" i="7"/>
  <c r="DA499" i="7"/>
  <c r="CY490" i="7"/>
  <c r="CW481" i="7"/>
  <c r="CU472" i="7"/>
  <c r="CS454" i="7"/>
  <c r="DE444" i="7"/>
  <c r="DE435" i="7"/>
  <c r="DC426" i="7"/>
  <c r="DA417" i="7"/>
  <c r="CW621" i="7"/>
  <c r="DC616" i="7"/>
  <c r="CS612" i="7"/>
  <c r="DE603" i="7"/>
  <c r="DC594" i="7"/>
  <c r="CY585" i="7"/>
  <c r="CU567" i="7"/>
  <c r="CS558" i="7"/>
  <c r="DC548" i="7"/>
  <c r="DA539" i="7"/>
  <c r="CW530" i="7"/>
  <c r="CU512" i="7"/>
  <c r="DE502" i="7"/>
  <c r="DC493" i="7"/>
  <c r="CW105" i="7"/>
  <c r="CS87" i="7"/>
  <c r="DA68" i="7"/>
  <c r="DC153" i="7"/>
  <c r="DC139" i="7"/>
  <c r="DA130" i="7"/>
  <c r="CY112" i="7"/>
  <c r="CU103" i="7"/>
  <c r="CS94" i="7"/>
  <c r="CS85" i="7"/>
  <c r="DE75" i="7"/>
  <c r="CY66" i="7"/>
  <c r="DA132" i="7"/>
  <c r="DA141" i="7"/>
  <c r="DC150" i="7"/>
  <c r="DE159" i="7"/>
  <c r="CU168" i="7"/>
  <c r="CS184" i="7"/>
  <c r="CU193" i="7"/>
  <c r="CW202" i="7"/>
  <c r="CY211" i="7"/>
  <c r="DC220" i="7"/>
  <c r="DE238" i="7"/>
  <c r="CS248" i="7"/>
  <c r="CW257" i="7"/>
  <c r="CY266" i="7"/>
  <c r="DA275" i="7"/>
  <c r="DE284" i="7"/>
  <c r="CS303" i="7"/>
  <c r="CU312" i="7"/>
  <c r="CW321" i="7"/>
  <c r="DA330" i="7"/>
  <c r="DC339" i="7"/>
  <c r="DE357" i="7"/>
  <c r="CS367" i="7"/>
  <c r="CW376" i="7"/>
  <c r="DA385" i="7"/>
  <c r="DC394" i="7"/>
  <c r="CY410" i="7"/>
  <c r="DA170" i="7"/>
  <c r="DC188" i="7"/>
  <c r="DE197" i="7"/>
  <c r="CS207" i="7"/>
  <c r="CS216" i="7"/>
  <c r="CU225" i="7"/>
  <c r="CW243" i="7"/>
  <c r="DC147" i="7"/>
  <c r="DE156" i="7"/>
  <c r="CS166" i="7"/>
  <c r="DC71" i="7"/>
  <c r="DE80" i="7"/>
  <c r="CU90" i="7"/>
  <c r="CW99" i="7"/>
  <c r="CY108" i="7"/>
  <c r="DA126" i="7"/>
  <c r="DA135" i="7"/>
  <c r="DC144" i="7"/>
  <c r="DE153" i="7"/>
  <c r="CS163" i="7"/>
  <c r="DC169" i="7"/>
  <c r="CU187" i="7"/>
  <c r="CW196" i="7"/>
  <c r="CY205" i="7"/>
  <c r="DA214" i="7"/>
  <c r="DE223" i="7"/>
  <c r="CS242" i="7"/>
  <c r="CU251" i="7"/>
  <c r="CY260" i="7"/>
  <c r="DA269" i="7"/>
  <c r="DC278" i="7"/>
  <c r="CS297" i="7"/>
  <c r="CU306" i="7"/>
  <c r="CW315" i="7"/>
  <c r="CY324" i="7"/>
  <c r="DC333" i="7"/>
  <c r="DE351" i="7"/>
  <c r="CS361" i="7"/>
  <c r="CU370" i="7"/>
  <c r="CY379" i="7"/>
  <c r="DC388" i="7"/>
  <c r="DE397" i="7"/>
  <c r="CS412" i="7"/>
  <c r="DC182" i="7"/>
  <c r="DE191" i="7"/>
  <c r="CS201" i="7"/>
  <c r="CU210" i="7"/>
  <c r="CU219" i="7"/>
  <c r="CY237" i="7"/>
  <c r="CY246" i="7"/>
  <c r="DC255" i="7"/>
  <c r="DE264" i="7"/>
  <c r="CS274" i="7"/>
  <c r="CS283" i="7"/>
  <c r="CU301" i="7"/>
  <c r="CW310" i="7"/>
  <c r="CY319" i="7"/>
  <c r="DA328" i="7"/>
  <c r="DA337" i="7"/>
  <c r="DC355" i="7"/>
  <c r="DE364" i="7"/>
  <c r="DE373" i="7"/>
  <c r="CS383" i="7"/>
  <c r="CS392" i="7"/>
  <c r="DC415" i="7"/>
  <c r="DE424" i="7"/>
  <c r="CS434" i="7"/>
  <c r="CW443" i="7"/>
  <c r="CY452" i="7"/>
  <c r="DC470" i="7"/>
  <c r="DC479" i="7"/>
  <c r="DE488" i="7"/>
  <c r="CS498" i="7"/>
  <c r="CW507" i="7"/>
  <c r="CY525" i="7"/>
  <c r="DC534" i="7"/>
  <c r="DE543" i="7"/>
  <c r="CS553" i="7"/>
  <c r="CW562" i="7"/>
  <c r="DA580" i="7"/>
  <c r="DE589" i="7"/>
  <c r="CS599" i="7"/>
  <c r="CU608" i="7"/>
  <c r="CW614" i="7"/>
  <c r="DE618" i="7"/>
  <c r="CY623" i="7"/>
  <c r="DE421" i="7"/>
  <c r="CS431" i="7"/>
  <c r="CU440" i="7"/>
  <c r="CU449" i="7"/>
  <c r="CU467" i="7"/>
  <c r="CY476" i="7"/>
  <c r="DE249" i="7"/>
  <c r="DE258" i="7"/>
  <c r="CS268" i="7"/>
  <c r="CU277" i="7"/>
  <c r="CU295" i="7"/>
  <c r="CW304" i="7"/>
  <c r="CY313" i="7"/>
  <c r="DA322" i="7"/>
  <c r="DA331" i="7"/>
  <c r="DC340" i="7"/>
  <c r="DE358" i="7"/>
  <c r="CS368" i="7"/>
  <c r="CS377" i="7"/>
  <c r="CS386" i="7"/>
  <c r="CU395" i="7"/>
  <c r="DE418" i="7"/>
  <c r="CY111" i="7"/>
  <c r="CY102" i="7"/>
  <c r="CW93" i="7"/>
  <c r="CS84" i="7"/>
  <c r="DE74" i="7"/>
  <c r="CS160" i="7"/>
  <c r="DE150" i="7"/>
  <c r="DE142" i="7"/>
  <c r="CW138" i="7"/>
  <c r="DC133" i="7"/>
  <c r="CU129" i="7"/>
  <c r="DA124" i="7"/>
  <c r="CS111" i="7"/>
  <c r="CW106" i="7"/>
  <c r="DC101" i="7"/>
  <c r="CU97" i="7"/>
  <c r="DA92" i="7"/>
  <c r="CS88" i="7"/>
  <c r="CY83" i="7"/>
  <c r="CS79" i="7"/>
  <c r="CY74" i="7"/>
  <c r="DA69" i="7"/>
  <c r="DC908" i="7"/>
  <c r="CU904" i="7"/>
  <c r="CS910" i="7"/>
  <c r="CY905" i="7"/>
  <c r="DE900" i="7"/>
  <c r="CU897" i="7"/>
  <c r="DA892" i="7"/>
  <c r="CS888" i="7"/>
  <c r="CY883" i="7"/>
  <c r="DE878" i="7"/>
  <c r="DC898" i="7"/>
  <c r="CU894" i="7"/>
  <c r="DA889" i="7"/>
  <c r="CS885" i="7"/>
  <c r="CY880" i="7"/>
  <c r="CS876" i="7"/>
  <c r="CS827" i="7"/>
  <c r="DE817" i="7"/>
  <c r="DE872" i="7"/>
  <c r="CW868" i="7"/>
  <c r="DC854" i="7"/>
  <c r="CU850" i="7"/>
  <c r="DA845" i="7"/>
  <c r="CS824" i="7"/>
  <c r="DC814" i="7"/>
  <c r="CW871" i="7"/>
  <c r="DC866" i="7"/>
  <c r="CU853" i="7"/>
  <c r="DA848" i="7"/>
  <c r="CS844" i="7"/>
  <c r="CW839" i="7"/>
  <c r="DC834" i="7"/>
  <c r="CS830" i="7"/>
  <c r="CS822" i="7"/>
  <c r="DC776" i="7"/>
  <c r="DA767" i="7"/>
  <c r="CY758" i="7"/>
  <c r="CY740" i="7"/>
  <c r="CW842" i="7"/>
  <c r="DC837" i="7"/>
  <c r="CU833" i="7"/>
  <c r="CS828" i="7"/>
  <c r="DE818" i="7"/>
  <c r="DA773" i="7"/>
  <c r="CY764" i="7"/>
  <c r="CW755" i="7"/>
  <c r="CW737" i="7"/>
  <c r="CU728" i="7"/>
  <c r="CS812" i="7"/>
  <c r="CY807" i="7"/>
  <c r="DE793" i="7"/>
  <c r="CW789" i="7"/>
  <c r="DC784" i="7"/>
  <c r="DE779" i="7"/>
  <c r="DE770" i="7"/>
  <c r="DC761" i="7"/>
  <c r="DA752" i="7"/>
  <c r="CW734" i="7"/>
  <c r="CU725" i="7"/>
  <c r="CY719" i="7"/>
  <c r="DE714" i="7"/>
  <c r="CW710" i="7"/>
  <c r="CU705" i="7"/>
  <c r="CS696" i="7"/>
  <c r="CS678" i="7"/>
  <c r="DE668" i="7"/>
  <c r="DC659" i="7"/>
  <c r="DC650" i="7"/>
  <c r="CW731" i="7"/>
  <c r="DA813" i="7"/>
  <c r="CS809" i="7"/>
  <c r="CY795" i="7"/>
  <c r="DE790" i="7"/>
  <c r="CW786" i="7"/>
  <c r="DA781" i="7"/>
  <c r="CS774" i="7"/>
  <c r="DE764" i="7"/>
  <c r="DC755" i="7"/>
  <c r="CY737" i="7"/>
  <c r="CW728" i="7"/>
  <c r="CS721" i="7"/>
  <c r="CY716" i="7"/>
  <c r="DE711" i="7"/>
  <c r="CU707" i="7"/>
  <c r="CU699" i="7"/>
  <c r="CU681" i="7"/>
  <c r="CS672" i="7"/>
  <c r="DE662" i="7"/>
  <c r="DE653" i="7"/>
  <c r="DE644" i="7"/>
  <c r="CY626" i="7"/>
  <c r="CU708" i="7"/>
  <c r="CS697" i="7"/>
  <c r="DC678" i="7"/>
  <c r="DA669" i="7"/>
  <c r="CY660" i="7"/>
  <c r="CU651" i="7"/>
  <c r="DE641" i="7"/>
  <c r="CW606" i="7"/>
  <c r="CU597" i="7"/>
  <c r="CU588" i="7"/>
  <c r="CS579" i="7"/>
  <c r="CS561" i="7"/>
  <c r="CS552" i="7"/>
  <c r="DE542" i="7"/>
  <c r="DC533" i="7"/>
  <c r="DC524" i="7"/>
  <c r="DA506" i="7"/>
  <c r="DA497" i="7"/>
  <c r="CY488" i="7"/>
  <c r="DA638" i="7"/>
  <c r="CU700" i="7"/>
  <c r="DE681" i="7"/>
  <c r="DC672" i="7"/>
  <c r="DA663" i="7"/>
  <c r="CW654" i="7"/>
  <c r="CS645" i="7"/>
  <c r="DE626" i="7"/>
  <c r="CY609" i="7"/>
  <c r="CW600" i="7"/>
  <c r="CU591" i="7"/>
  <c r="CU582" i="7"/>
  <c r="CU564" i="7"/>
  <c r="CU555" i="7"/>
  <c r="CS546" i="7"/>
  <c r="DE536" i="7"/>
  <c r="DE527" i="7"/>
  <c r="DC509" i="7"/>
  <c r="DC500" i="7"/>
  <c r="DA491" i="7"/>
  <c r="CY482" i="7"/>
  <c r="CU473" i="7"/>
  <c r="CU455" i="7"/>
  <c r="CS446" i="7"/>
  <c r="CS437" i="7"/>
  <c r="DE427" i="7"/>
  <c r="DC418" i="7"/>
  <c r="DE621" i="7"/>
  <c r="CW617" i="7"/>
  <c r="DA612" i="7"/>
  <c r="CS605" i="7"/>
  <c r="DE595" i="7"/>
  <c r="DA586" i="7"/>
  <c r="CW568" i="7"/>
  <c r="CU559" i="7"/>
  <c r="DE549" i="7"/>
  <c r="DC540" i="7"/>
  <c r="CY531" i="7"/>
  <c r="CW522" i="7"/>
  <c r="CS504" i="7"/>
  <c r="DE494" i="7"/>
  <c r="DA107" i="7"/>
  <c r="CW89" i="7"/>
  <c r="DE70" i="7"/>
  <c r="CS156" i="7"/>
  <c r="DE140" i="7"/>
  <c r="DC131" i="7"/>
  <c r="DA113" i="7"/>
  <c r="CW104" i="7"/>
  <c r="CU95" i="7"/>
  <c r="CS86" i="7"/>
  <c r="CS77" i="7"/>
  <c r="DA67" i="7"/>
  <c r="CW131" i="7"/>
  <c r="CY140" i="7"/>
  <c r="DA149" i="7"/>
  <c r="DC158" i="7"/>
  <c r="CY167" i="7"/>
  <c r="DE182" i="7"/>
  <c r="CS192" i="7"/>
  <c r="CU201" i="7"/>
  <c r="CW210" i="7"/>
  <c r="DA219" i="7"/>
  <c r="DA237" i="7"/>
  <c r="DE246" i="7"/>
  <c r="CU256" i="7"/>
  <c r="CW265" i="7"/>
  <c r="CY274" i="7"/>
  <c r="DC283" i="7"/>
  <c r="DE301" i="7"/>
  <c r="CS311" i="7"/>
  <c r="CU320" i="7"/>
  <c r="CW329" i="7"/>
  <c r="DA338" i="7"/>
  <c r="DC356" i="7"/>
  <c r="DE365" i="7"/>
  <c r="CU375" i="7"/>
  <c r="CW384" i="7"/>
  <c r="DA393" i="7"/>
  <c r="DE409" i="7"/>
  <c r="CY414" i="7"/>
  <c r="DA187" i="7"/>
  <c r="DC196" i="7"/>
  <c r="DE205" i="7"/>
  <c r="CS215" i="7"/>
  <c r="CS224" i="7"/>
  <c r="CU242" i="7"/>
  <c r="DA146" i="7"/>
  <c r="DC155" i="7"/>
  <c r="DE164" i="7"/>
  <c r="DA70" i="7"/>
  <c r="DC79" i="7"/>
  <c r="CS89" i="7"/>
  <c r="CU98" i="7"/>
  <c r="CW107" i="7"/>
  <c r="CW125" i="7"/>
  <c r="CY134" i="7"/>
  <c r="DA143" i="7"/>
  <c r="DC152" i="7"/>
  <c r="DE161" i="7"/>
  <c r="CU169" i="7"/>
  <c r="CS186" i="7"/>
  <c r="CU195" i="7"/>
  <c r="CW204" i="7"/>
  <c r="CY213" i="7"/>
  <c r="DC222" i="7"/>
  <c r="DE240" i="7"/>
  <c r="CS250" i="7"/>
  <c r="CW259" i="7"/>
  <c r="CY268" i="7"/>
  <c r="DA277" i="7"/>
  <c r="DE295" i="7"/>
  <c r="CS305" i="7"/>
  <c r="CU314" i="7"/>
  <c r="CW323" i="7"/>
  <c r="DA332" i="7"/>
  <c r="DC341" i="7"/>
  <c r="DE359" i="7"/>
  <c r="CS369" i="7"/>
  <c r="CW378" i="7"/>
  <c r="DA387" i="7"/>
  <c r="DC396" i="7"/>
  <c r="CY411" i="7"/>
  <c r="DA181" i="7"/>
  <c r="DC190" i="7"/>
  <c r="DE199" i="7"/>
  <c r="CS209" i="7"/>
  <c r="CS218" i="7"/>
  <c r="CU227" i="7"/>
  <c r="CW245" i="7"/>
  <c r="DA254" i="7"/>
  <c r="DC263" i="7"/>
  <c r="DE272" i="7"/>
  <c r="DE281" i="7"/>
  <c r="CS300" i="7"/>
  <c r="CU309" i="7"/>
  <c r="CW318" i="7"/>
  <c r="CY327" i="7"/>
  <c r="CY336" i="7"/>
  <c r="DA354" i="7"/>
  <c r="DC363" i="7"/>
  <c r="DC372" i="7"/>
  <c r="DE381" i="7"/>
  <c r="DE390" i="7"/>
  <c r="DC423" i="7"/>
  <c r="DE432" i="7"/>
  <c r="CU442" i="7"/>
  <c r="CW451" i="7"/>
  <c r="DA469" i="7"/>
  <c r="DA478" i="7"/>
  <c r="DC487" i="7"/>
  <c r="DE496" i="7"/>
  <c r="CU506" i="7"/>
  <c r="CW524" i="7"/>
  <c r="DA533" i="7"/>
  <c r="DC542" i="7"/>
  <c r="CW905" i="7"/>
  <c r="DC900" i="7"/>
  <c r="CU911" i="7"/>
  <c r="DA906" i="7"/>
  <c r="CS902" i="7"/>
  <c r="CW898" i="7"/>
  <c r="DC893" i="7"/>
  <c r="CU889" i="7"/>
  <c r="DA884" i="7"/>
  <c r="CS880" i="7"/>
  <c r="CW895" i="7"/>
  <c r="DC890" i="7"/>
  <c r="CU886" i="7"/>
  <c r="DA881" i="7"/>
  <c r="CS877" i="7"/>
  <c r="CU820" i="7"/>
  <c r="CS874" i="7"/>
  <c r="CY869" i="7"/>
  <c r="DE864" i="7"/>
  <c r="CW851" i="7"/>
  <c r="DC846" i="7"/>
  <c r="DA875" i="7"/>
  <c r="CU826" i="7"/>
  <c r="CS817" i="7"/>
  <c r="CY872" i="7"/>
  <c r="DE867" i="7"/>
  <c r="CW854" i="7"/>
  <c r="DC849" i="7"/>
  <c r="CU845" i="7"/>
  <c r="CY840" i="7"/>
  <c r="DE835" i="7"/>
  <c r="CU831" i="7"/>
  <c r="CU824" i="7"/>
  <c r="CU815" i="7"/>
  <c r="CU779" i="7"/>
  <c r="DE769" i="7"/>
  <c r="DC760" i="7"/>
  <c r="DA751" i="7"/>
  <c r="DA733" i="7"/>
  <c r="DE838" i="7"/>
  <c r="CW834" i="7"/>
  <c r="DA829" i="7"/>
  <c r="CU821" i="7"/>
  <c r="DE775" i="7"/>
  <c r="DC766" i="7"/>
  <c r="DA757" i="7"/>
  <c r="DA739" i="7"/>
  <c r="CY730" i="7"/>
  <c r="CU813" i="7"/>
  <c r="DA808" i="7"/>
  <c r="CS795" i="7"/>
  <c r="CY790" i="7"/>
  <c r="DE785" i="7"/>
  <c r="CU781" i="7"/>
  <c r="CU773" i="7"/>
  <c r="CS764" i="7"/>
  <c r="DE754" i="7"/>
  <c r="DA736" i="7"/>
  <c r="CY727" i="7"/>
  <c r="DA720" i="7"/>
  <c r="CS716" i="7"/>
  <c r="CY711" i="7"/>
  <c r="DC706" i="7"/>
  <c r="CW698" i="7"/>
  <c r="CW680" i="7"/>
  <c r="CU671" i="7"/>
  <c r="CS662" i="7"/>
  <c r="CS653" i="7"/>
  <c r="CS644" i="7"/>
  <c r="CY724" i="7"/>
  <c r="CU810" i="7"/>
  <c r="DA796" i="7"/>
  <c r="CS792" i="7"/>
  <c r="CY787" i="7"/>
  <c r="DE782" i="7"/>
  <c r="CW776" i="7"/>
  <c r="CU767" i="7"/>
  <c r="CS758" i="7"/>
  <c r="DC739" i="7"/>
  <c r="DA730" i="7"/>
  <c r="CU722" i="7"/>
  <c r="DA717" i="7"/>
  <c r="CS713" i="7"/>
  <c r="CY708" i="7"/>
  <c r="CY701" i="7"/>
  <c r="CY683" i="7"/>
  <c r="CW674" i="7"/>
  <c r="CU665" i="7"/>
  <c r="CU656" i="7"/>
  <c r="CS647" i="7"/>
  <c r="DC637" i="7"/>
  <c r="CW699" i="7"/>
  <c r="CS681" i="7"/>
  <c r="DE671" i="7"/>
  <c r="DC662" i="7"/>
  <c r="CY653" i="7"/>
  <c r="CU644" i="7"/>
  <c r="CS626" i="7"/>
  <c r="DA608" i="7"/>
  <c r="CY599" i="7"/>
  <c r="CW590" i="7"/>
  <c r="CW581" i="7"/>
  <c r="CW563" i="7"/>
  <c r="CW554" i="7"/>
  <c r="CU545" i="7"/>
  <c r="CS536" i="7"/>
  <c r="CS527" i="7"/>
  <c r="DE508" i="7"/>
  <c r="DE499" i="7"/>
  <c r="DC490" i="7"/>
  <c r="DE640" i="7"/>
  <c r="CY702" i="7"/>
  <c r="CU693" i="7"/>
  <c r="CS675" i="7"/>
  <c r="DE665" i="7"/>
  <c r="DA656" i="7"/>
  <c r="CY647" i="7"/>
  <c r="CU638" i="7"/>
  <c r="DA602" i="7"/>
  <c r="CY593" i="7"/>
  <c r="CY584" i="7"/>
  <c r="CY566" i="7"/>
  <c r="CW557" i="7"/>
  <c r="CW548" i="7"/>
  <c r="CU539" i="7"/>
  <c r="CU530" i="7"/>
  <c r="CS512" i="7"/>
  <c r="CS503" i="7"/>
  <c r="DE493" i="7"/>
  <c r="DC484" i="7"/>
  <c r="DA475" i="7"/>
  <c r="CW466" i="7"/>
  <c r="CW448" i="7"/>
  <c r="CW439" i="7"/>
  <c r="CU430" i="7"/>
  <c r="CS421" i="7"/>
  <c r="CS623" i="7"/>
  <c r="CY618" i="7"/>
  <c r="DE613" i="7"/>
  <c r="CW607" i="7"/>
  <c r="CU598" i="7"/>
  <c r="CS589" i="7"/>
  <c r="DC579" i="7"/>
  <c r="CY561" i="7"/>
  <c r="CU552" i="7"/>
  <c r="CS543" i="7"/>
  <c r="DE533" i="7"/>
  <c r="DA524" i="7"/>
  <c r="CY506" i="7"/>
  <c r="CU497" i="7"/>
  <c r="CS112" i="7"/>
  <c r="DE93" i="7"/>
  <c r="CY75" i="7"/>
  <c r="DA160" i="7"/>
  <c r="CU143" i="7"/>
  <c r="DE133" i="7"/>
  <c r="DE124" i="7"/>
  <c r="DA106" i="7"/>
  <c r="CY97" i="7"/>
  <c r="CW88" i="7"/>
  <c r="CW79" i="7"/>
  <c r="DE69" i="7"/>
  <c r="CS129" i="7"/>
  <c r="CU138" i="7"/>
  <c r="CW147" i="7"/>
  <c r="CY156" i="7"/>
  <c r="DA165" i="7"/>
  <c r="DA180" i="7"/>
  <c r="DC189" i="7"/>
  <c r="DE198" i="7"/>
  <c r="CS208" i="7"/>
  <c r="CU217" i="7"/>
  <c r="CY226" i="7"/>
  <c r="DA244" i="7"/>
  <c r="DE253" i="7"/>
  <c r="CS263" i="7"/>
  <c r="CU272" i="7"/>
  <c r="CY281" i="7"/>
  <c r="DA299" i="7"/>
  <c r="DC308" i="7"/>
  <c r="DE317" i="7"/>
  <c r="CS327" i="7"/>
  <c r="CW336" i="7"/>
  <c r="CY354" i="7"/>
  <c r="DA363" i="7"/>
  <c r="DE372" i="7"/>
  <c r="CS382" i="7"/>
  <c r="CW391" i="7"/>
  <c r="DA408" i="7"/>
  <c r="CW413" i="7"/>
  <c r="CW185" i="7"/>
  <c r="CY194" i="7"/>
  <c r="DA203" i="7"/>
  <c r="DC212" i="7"/>
  <c r="DC221" i="7"/>
  <c r="DE239" i="7"/>
  <c r="CW144" i="7"/>
  <c r="CY153" i="7"/>
  <c r="DA162" i="7"/>
  <c r="CW68" i="7"/>
  <c r="CY77" i="7"/>
  <c r="DC86" i="7"/>
  <c r="DE95" i="7"/>
  <c r="CS105" i="7"/>
  <c r="CS123" i="7"/>
  <c r="CW132" i="7"/>
  <c r="CW141" i="7"/>
  <c r="CY150" i="7"/>
  <c r="DA159" i="7"/>
  <c r="CS168" i="7"/>
  <c r="DC183" i="7"/>
  <c r="DE192" i="7"/>
  <c r="CS202" i="7"/>
  <c r="CU211" i="7"/>
  <c r="CY220" i="7"/>
  <c r="DA238" i="7"/>
  <c r="DC247" i="7"/>
  <c r="CS257" i="7"/>
  <c r="CU266" i="7"/>
  <c r="CW275" i="7"/>
  <c r="DA284" i="7"/>
  <c r="DC302" i="7"/>
  <c r="DE311" i="7"/>
  <c r="CS321" i="7"/>
  <c r="CW330" i="7"/>
  <c r="CY339" i="7"/>
  <c r="DA357" i="7"/>
  <c r="DC366" i="7"/>
  <c r="CS376" i="7"/>
  <c r="CW385" i="7"/>
  <c r="CY394" i="7"/>
  <c r="CW410" i="7"/>
  <c r="DE414" i="7"/>
  <c r="CY188" i="7"/>
  <c r="DA197" i="7"/>
  <c r="DC206" i="7"/>
  <c r="DC215" i="7"/>
  <c r="DE224" i="7"/>
  <c r="CS243" i="7"/>
  <c r="CW252" i="7"/>
  <c r="CY261" i="7"/>
  <c r="DA270" i="7"/>
  <c r="DC279" i="7"/>
  <c r="DC297" i="7"/>
  <c r="DE306" i="7"/>
  <c r="CS316" i="7"/>
  <c r="CU325" i="7"/>
  <c r="CU334" i="7"/>
  <c r="CW352" i="7"/>
  <c r="CY361" i="7"/>
  <c r="CY370" i="7"/>
  <c r="DA379" i="7"/>
  <c r="DA388" i="7"/>
  <c r="DA397" i="7"/>
  <c r="CY421" i="7"/>
  <c r="DA430" i="7"/>
  <c r="DC439" i="7"/>
  <c r="CS449" i="7"/>
  <c r="CW467" i="7"/>
  <c r="CW476" i="7"/>
  <c r="CY485" i="7"/>
  <c r="DA494" i="7"/>
  <c r="DC503" i="7"/>
  <c r="CS522" i="7"/>
  <c r="CU531" i="7"/>
  <c r="CY540" i="7"/>
  <c r="DA549" i="7"/>
  <c r="DE558" i="7"/>
  <c r="CS568" i="7"/>
  <c r="CW586" i="7"/>
  <c r="DA595" i="7"/>
  <c r="DC604" i="7"/>
  <c r="CY612" i="7"/>
  <c r="CU617" i="7"/>
  <c r="DC621" i="7"/>
  <c r="CY418" i="7"/>
  <c r="DA427" i="7"/>
  <c r="DC436" i="7"/>
  <c r="DC445" i="7"/>
  <c r="DE454" i="7"/>
  <c r="DE472" i="7"/>
  <c r="CU482" i="7"/>
  <c r="CY255" i="7"/>
  <c r="DA264" i="7"/>
  <c r="DC273" i="7"/>
  <c r="DC282" i="7"/>
  <c r="DE300" i="7"/>
  <c r="CS310" i="7"/>
  <c r="CU319" i="7"/>
  <c r="CW328" i="7"/>
  <c r="CW337" i="7"/>
  <c r="CY355" i="7"/>
  <c r="DA364" i="7"/>
  <c r="DA373" i="7"/>
  <c r="DC382" i="7"/>
  <c r="DC391" i="7"/>
  <c r="CY415" i="7"/>
  <c r="DA424" i="7"/>
  <c r="DA905" i="7"/>
  <c r="CY911" i="7"/>
  <c r="CW902" i="7"/>
  <c r="CS894" i="7"/>
  <c r="DE884" i="7"/>
  <c r="CS891" i="7"/>
  <c r="DE881" i="7"/>
  <c r="DC820" i="7"/>
  <c r="DC869" i="7"/>
  <c r="DA851" i="7"/>
  <c r="DE875" i="7"/>
  <c r="DC826" i="7"/>
  <c r="DC872" i="7"/>
  <c r="DA854" i="7"/>
  <c r="CY845" i="7"/>
  <c r="CU836" i="7"/>
  <c r="DC824" i="7"/>
  <c r="CY770" i="7"/>
  <c r="CU752" i="7"/>
  <c r="CU839" i="7"/>
  <c r="DE829" i="7"/>
  <c r="CY776" i="7"/>
  <c r="CU758" i="7"/>
  <c r="CS731" i="7"/>
  <c r="DE808" i="7"/>
  <c r="DC790" i="7"/>
  <c r="CY781" i="7"/>
  <c r="DA764" i="7"/>
  <c r="CU737" i="7"/>
  <c r="DE720" i="7"/>
  <c r="DC711" i="7"/>
  <c r="DE698" i="7"/>
  <c r="DC671" i="7"/>
  <c r="DA653" i="7"/>
  <c r="CS725" i="7"/>
  <c r="DE796" i="7"/>
  <c r="DC787" i="7"/>
  <c r="DE776" i="7"/>
  <c r="DA758" i="7"/>
  <c r="CU731" i="7"/>
  <c r="DE717" i="7"/>
  <c r="DC708" i="7"/>
  <c r="CS693" i="7"/>
  <c r="DE903" i="7"/>
  <c r="DC909" i="7"/>
  <c r="DA900" i="7"/>
  <c r="CW892" i="7"/>
  <c r="CU883" i="7"/>
  <c r="CY898" i="7"/>
  <c r="CW889" i="7"/>
  <c r="CU880" i="7"/>
  <c r="CW817" i="7"/>
  <c r="CS868" i="7"/>
  <c r="DE849" i="7"/>
  <c r="CY823" i="7"/>
  <c r="CS871" i="7"/>
  <c r="DE852" i="7"/>
  <c r="DC843" i="7"/>
  <c r="CY834" i="7"/>
  <c r="CY821" i="7"/>
  <c r="CS767" i="7"/>
  <c r="DE739" i="7"/>
  <c r="CY837" i="7"/>
  <c r="CY827" i="7"/>
  <c r="CS773" i="7"/>
  <c r="DC754" i="7"/>
  <c r="DA727" i="7"/>
  <c r="CU807" i="7"/>
  <c r="CS789" i="7"/>
  <c r="CW779" i="7"/>
  <c r="CU761" i="7"/>
  <c r="DC733" i="7"/>
  <c r="CU719" i="7"/>
  <c r="CS710" i="7"/>
  <c r="CY695" i="7"/>
  <c r="CW668" i="7"/>
  <c r="CU650" i="7"/>
  <c r="CW813" i="7"/>
  <c r="CU795" i="7"/>
  <c r="CS786" i="7"/>
  <c r="CY773" i="7"/>
  <c r="CU755" i="7"/>
  <c r="DC727" i="7"/>
  <c r="CU716" i="7"/>
  <c r="DE706" i="7"/>
  <c r="DA680" i="7"/>
  <c r="CW662" i="7"/>
  <c r="CW644" i="7"/>
  <c r="DA705" i="7"/>
  <c r="CU678" i="7"/>
  <c r="DE659" i="7"/>
  <c r="CW641" i="7"/>
  <c r="DC605" i="7"/>
  <c r="DA587" i="7"/>
  <c r="CY560" i="7"/>
  <c r="CW542" i="7"/>
  <c r="CU524" i="7"/>
  <c r="CS497" i="7"/>
  <c r="CS638" i="7"/>
  <c r="DA699" i="7"/>
  <c r="CU672" i="7"/>
  <c r="DC653" i="7"/>
  <c r="CW626" i="7"/>
  <c r="DC599" i="7"/>
  <c r="DA581" i="7"/>
  <c r="DA554" i="7"/>
  <c r="CW536" i="7"/>
  <c r="CU509" i="7"/>
  <c r="CS491" i="7"/>
  <c r="DA472" i="7"/>
  <c r="CY445" i="7"/>
  <c r="CW427" i="7"/>
  <c r="DA621" i="7"/>
  <c r="CW612" i="7"/>
  <c r="CW595" i="7"/>
  <c r="DC567" i="7"/>
  <c r="CW549" i="7"/>
  <c r="DE530" i="7"/>
  <c r="CY503" i="7"/>
  <c r="CY487" i="7"/>
  <c r="CW478" i="7"/>
  <c r="CW469" i="7"/>
  <c r="CS451" i="7"/>
  <c r="DE441" i="7"/>
  <c r="DA432" i="7"/>
  <c r="DC905" i="7"/>
  <c r="CY897" i="7"/>
  <c r="CW888" i="7"/>
  <c r="CU879" i="7"/>
  <c r="CY894" i="7"/>
  <c r="CW885" i="7"/>
  <c r="CU876" i="7"/>
  <c r="DA827" i="7"/>
  <c r="CU873" i="7"/>
  <c r="CS864" i="7"/>
  <c r="DE845" i="7"/>
  <c r="CW815" i="7"/>
  <c r="CS867" i="7"/>
  <c r="DE848" i="7"/>
  <c r="DA839" i="7"/>
  <c r="CW830" i="7"/>
  <c r="CW777" i="7"/>
  <c r="CS759" i="7"/>
  <c r="DA842" i="7"/>
  <c r="CY833" i="7"/>
  <c r="CY819" i="7"/>
  <c r="CS765" i="7"/>
  <c r="DE737" i="7"/>
  <c r="CW812" i="7"/>
  <c r="CU794" i="7"/>
  <c r="CS785" i="7"/>
  <c r="CY771" i="7"/>
  <c r="CU753" i="7"/>
  <c r="DC725" i="7"/>
  <c r="CU715" i="7"/>
  <c r="DC705" i="7"/>
  <c r="DA678" i="7"/>
  <c r="CW660" i="7"/>
  <c r="DE731" i="7"/>
  <c r="CW809" i="7"/>
  <c r="CU791" i="7"/>
  <c r="DE781" i="7"/>
  <c r="CY765" i="7"/>
  <c r="CS738" i="7"/>
  <c r="CW721" i="7"/>
  <c r="CU712" i="7"/>
  <c r="DC699" i="7"/>
  <c r="CW907" i="7"/>
  <c r="CS904" i="7"/>
  <c r="DC895" i="7"/>
  <c r="DA886" i="7"/>
  <c r="CY877" i="7"/>
  <c r="DC892" i="7"/>
  <c r="DA883" i="7"/>
  <c r="CW824" i="7"/>
  <c r="CY871" i="7"/>
  <c r="CW853" i="7"/>
  <c r="CU844" i="7"/>
  <c r="CY874" i="7"/>
  <c r="CW865" i="7"/>
  <c r="CU847" i="7"/>
  <c r="DE837" i="7"/>
  <c r="CW828" i="7"/>
  <c r="DE773" i="7"/>
  <c r="DA755" i="7"/>
  <c r="DE840" i="7"/>
  <c r="DC831" i="7"/>
  <c r="CS816" i="7"/>
  <c r="CS780" i="7"/>
  <c r="DA761" i="7"/>
  <c r="CY734" i="7"/>
  <c r="DA810" i="7"/>
  <c r="CY792" i="7"/>
  <c r="CW783" i="7"/>
  <c r="CS768" i="7"/>
  <c r="DA740" i="7"/>
  <c r="DA722" i="7"/>
  <c r="CY713" i="7"/>
  <c r="CW702" i="7"/>
  <c r="CU675" i="7"/>
  <c r="CS657" i="7"/>
  <c r="CY728" i="7"/>
  <c r="DA807" i="7"/>
  <c r="CY789" i="7"/>
  <c r="CU780" i="7"/>
  <c r="CS762" i="7"/>
  <c r="DA734" i="7"/>
  <c r="DA719" i="7"/>
  <c r="CY710" i="7"/>
  <c r="CW696" i="7"/>
  <c r="CU669" i="7"/>
  <c r="CS651" i="7"/>
  <c r="CU694" i="7"/>
  <c r="DC666" i="7"/>
  <c r="CW648" i="7"/>
  <c r="CW594" i="7"/>
  <c r="CW567" i="7"/>
  <c r="CU549" i="7"/>
  <c r="CS531" i="7"/>
  <c r="DE503" i="7"/>
  <c r="DA485" i="7"/>
  <c r="CS679" i="7"/>
  <c r="DC660" i="7"/>
  <c r="CU642" i="7"/>
  <c r="DA606" i="7"/>
  <c r="CY588" i="7"/>
  <c r="CW561" i="7"/>
  <c r="CU543" i="7"/>
  <c r="CS525" i="7"/>
  <c r="DE497" i="7"/>
  <c r="DA479" i="7"/>
  <c r="CW452" i="7"/>
  <c r="CU434" i="7"/>
  <c r="DE415" i="7"/>
  <c r="DE615" i="7"/>
  <c r="CU602" i="7"/>
  <c r="DC583" i="7"/>
  <c r="CW556" i="7"/>
  <c r="DE537" i="7"/>
  <c r="CY510" i="7"/>
  <c r="CS492" i="7"/>
  <c r="DC481" i="7"/>
  <c r="DC472" i="7"/>
  <c r="CY454" i="7"/>
  <c r="CW445" i="7"/>
  <c r="CS436" i="7"/>
  <c r="DC425" i="7"/>
  <c r="CW911" i="7"/>
  <c r="DC906" i="7"/>
  <c r="CU902" i="7"/>
  <c r="CS668" i="7"/>
  <c r="DE658" i="7"/>
  <c r="DE649" i="7"/>
  <c r="CW638" i="7"/>
  <c r="DE699" i="7"/>
  <c r="DA681" i="7"/>
  <c r="CY672" i="7"/>
  <c r="CW663" i="7"/>
  <c r="CS654" i="7"/>
  <c r="DC644" i="7"/>
  <c r="DA626" i="7"/>
  <c r="CU609" i="7"/>
  <c r="CS600" i="7"/>
  <c r="DE590" i="7"/>
  <c r="DE581" i="7"/>
  <c r="DE563" i="7"/>
  <c r="DE554" i="7"/>
  <c r="DC545" i="7"/>
  <c r="DA536" i="7"/>
  <c r="DA527" i="7"/>
  <c r="CY509" i="7"/>
  <c r="CY500" i="7"/>
  <c r="CY484" i="7"/>
  <c r="CW705" i="7"/>
  <c r="DE677" i="7"/>
  <c r="CY659" i="7"/>
  <c r="CW643" i="7"/>
  <c r="DC607" i="7"/>
  <c r="DC591" i="7"/>
  <c r="CY562" i="7"/>
  <c r="CW544" i="7"/>
  <c r="CU526" i="7"/>
  <c r="CS499" i="7"/>
  <c r="DC480" i="7"/>
  <c r="CU451" i="7"/>
  <c r="CS433" i="7"/>
  <c r="CY624" i="7"/>
  <c r="CY616" i="7"/>
  <c r="CW603" i="7"/>
  <c r="DE584" i="7"/>
  <c r="CS555" i="7"/>
  <c r="DC536" i="7"/>
  <c r="CW509" i="7"/>
  <c r="CU489" i="7"/>
  <c r="CS480" i="7"/>
  <c r="DE470" i="7"/>
  <c r="DC452" i="7"/>
  <c r="DA443" i="7"/>
  <c r="CW434" i="7"/>
  <c r="CS424" i="7"/>
  <c r="CW392" i="7"/>
  <c r="CW383" i="7"/>
  <c r="CU374" i="7"/>
  <c r="CU365" i="7"/>
  <c r="CS356" i="7"/>
  <c r="DE337" i="7"/>
  <c r="DC327" i="7"/>
  <c r="DA318" i="7"/>
  <c r="CY309" i="7"/>
  <c r="CW300" i="7"/>
  <c r="CU281" i="7"/>
  <c r="CS272" i="7"/>
  <c r="DE262" i="7"/>
  <c r="DC253" i="7"/>
  <c r="CW479" i="7"/>
  <c r="CS470" i="7"/>
  <c r="CS452" i="7"/>
  <c r="DE442" i="7"/>
  <c r="DE433" i="7"/>
  <c r="DC424" i="7"/>
  <c r="DA415" i="7"/>
  <c r="CW620" i="7"/>
  <c r="CW616" i="7"/>
  <c r="CS611" i="7"/>
  <c r="DE601" i="7"/>
  <c r="DC592" i="7"/>
  <c r="CW582" i="7"/>
  <c r="CS564" i="7"/>
  <c r="DC554" i="7"/>
  <c r="DA545" i="7"/>
  <c r="CY536" i="7"/>
  <c r="CU527" i="7"/>
  <c r="CS509" i="7"/>
  <c r="DC499" i="7"/>
  <c r="DA490" i="7"/>
  <c r="CY481" i="7"/>
  <c r="CW472" i="7"/>
  <c r="CU454" i="7"/>
  <c r="CS445" i="7"/>
  <c r="DC435" i="7"/>
  <c r="DA426" i="7"/>
  <c r="CW416" i="7"/>
  <c r="DA392" i="7"/>
  <c r="DA383" i="7"/>
  <c r="CY374" i="7"/>
  <c r="CY365" i="7"/>
  <c r="CU355" i="7"/>
  <c r="CS337" i="7"/>
  <c r="CS328" i="7"/>
  <c r="DE318" i="7"/>
  <c r="DA308" i="7"/>
  <c r="CY299" i="7"/>
  <c r="CW281" i="7"/>
  <c r="CW272" i="7"/>
  <c r="CU263" i="7"/>
  <c r="CU255" i="7"/>
  <c r="DE245" i="7"/>
  <c r="DE227" i="7"/>
  <c r="CY217" i="7"/>
  <c r="CY208" i="7"/>
  <c r="CW199" i="7"/>
  <c r="CU190" i="7"/>
  <c r="CS181" i="7"/>
  <c r="DC411" i="7"/>
  <c r="CU396" i="7"/>
  <c r="CU388" i="7"/>
  <c r="DC377" i="7"/>
  <c r="DC369" i="7"/>
  <c r="CY360" i="7"/>
  <c r="CU341" i="7"/>
  <c r="CS332" i="7"/>
  <c r="DC322" i="7"/>
  <c r="DA313" i="7"/>
  <c r="CY304" i="7"/>
  <c r="CW295" i="7"/>
  <c r="CS277" i="7"/>
  <c r="DE267" i="7"/>
  <c r="DE259" i="7"/>
  <c r="DA250" i="7"/>
  <c r="CY241" i="7"/>
  <c r="CW223" i="7"/>
  <c r="CS214" i="7"/>
  <c r="DC203" i="7"/>
  <c r="DA194" i="7"/>
  <c r="CY185" i="7"/>
  <c r="CW168" i="7"/>
  <c r="CW161" i="7"/>
  <c r="CU152" i="7"/>
  <c r="CS143" i="7"/>
  <c r="CS134" i="7"/>
  <c r="DC124" i="7"/>
  <c r="DC106" i="7"/>
  <c r="DA97" i="7"/>
  <c r="CY88" i="7"/>
  <c r="CU79" i="7"/>
  <c r="CS70" i="7"/>
  <c r="CW164" i="7"/>
  <c r="CU155" i="7"/>
  <c r="CS146" i="7"/>
  <c r="DA241" i="7"/>
  <c r="CY223" i="7"/>
  <c r="CW213" i="7"/>
  <c r="CU204" i="7"/>
  <c r="CS195" i="7"/>
  <c r="DE185" i="7"/>
  <c r="DA413" i="7"/>
  <c r="CS409" i="7"/>
  <c r="CS393" i="7"/>
  <c r="DC383" i="7"/>
  <c r="DA374" i="7"/>
  <c r="CU364" i="7"/>
  <c r="CU356" i="7"/>
  <c r="CS338" i="7"/>
  <c r="DC328" i="7"/>
  <c r="DA319" i="7"/>
  <c r="CY310" i="7"/>
  <c r="CW301" i="7"/>
  <c r="CS282" i="7"/>
  <c r="DE273" i="7"/>
  <c r="DC264" i="7"/>
  <c r="DA255" i="7"/>
  <c r="CW246" i="7"/>
  <c r="CS237" i="7"/>
  <c r="CS219" i="7"/>
  <c r="DA208" i="7"/>
  <c r="CY199" i="7"/>
  <c r="CY191" i="7"/>
  <c r="CW182" i="7"/>
  <c r="CU167" i="7"/>
  <c r="CU158" i="7"/>
  <c r="DE147" i="7"/>
  <c r="DC138" i="7"/>
  <c r="DA129" i="7"/>
  <c r="CW69" i="7"/>
  <c r="DC78" i="7"/>
  <c r="DC87" i="7"/>
  <c r="DE96" i="7"/>
  <c r="CS106" i="7"/>
  <c r="CW124" i="7"/>
  <c r="CY133" i="7"/>
  <c r="DA142" i="7"/>
  <c r="CY159" i="7"/>
  <c r="CW74" i="7"/>
  <c r="DC92" i="7"/>
  <c r="CU113" i="7"/>
  <c r="DC486" i="7"/>
  <c r="CU680" i="7"/>
  <c r="DE661" i="7"/>
  <c r="CS641" i="7"/>
  <c r="CY605" i="7"/>
  <c r="CS585" i="7"/>
  <c r="CU560" i="7"/>
  <c r="CS542" i="7"/>
  <c r="DE523" i="7"/>
  <c r="DC496" i="7"/>
  <c r="CY478" i="7"/>
  <c r="CY453" i="7"/>
  <c r="CW435" i="7"/>
  <c r="CS417" i="7"/>
  <c r="CW615" i="7"/>
  <c r="CS601" i="7"/>
  <c r="DA582" i="7"/>
  <c r="CY557" i="7"/>
  <c r="CS539" i="7"/>
  <c r="DE522" i="7"/>
  <c r="CY495" i="7"/>
  <c r="CY483" i="7"/>
  <c r="CW474" i="7"/>
  <c r="CU465" i="7"/>
  <c r="CS447" i="7"/>
  <c r="DC437" i="7"/>
  <c r="DA428" i="7"/>
  <c r="DA420" i="7"/>
  <c r="DE396" i="7"/>
  <c r="DA386" i="7"/>
  <c r="DA377" i="7"/>
  <c r="CY368" i="7"/>
  <c r="CY359" i="7"/>
  <c r="CW341" i="7"/>
  <c r="CU332" i="7"/>
  <c r="CW324" i="7"/>
  <c r="CU315" i="7"/>
  <c r="CS306" i="7"/>
  <c r="CS298" i="7"/>
  <c r="DE279" i="7"/>
  <c r="DE270" i="7"/>
  <c r="DC261" i="7"/>
  <c r="DA252" i="7"/>
  <c r="CY480" i="7"/>
  <c r="CW471" i="7"/>
  <c r="CU453" i="7"/>
  <c r="CS444" i="7"/>
  <c r="CS435" i="7"/>
  <c r="DE425" i="7"/>
  <c r="DC416" i="7"/>
  <c r="DE620" i="7"/>
  <c r="DC615" i="7"/>
  <c r="DA611" i="7"/>
  <c r="CS603" i="7"/>
  <c r="DE593" i="7"/>
  <c r="DA584" i="7"/>
  <c r="CW566" i="7"/>
  <c r="CU557" i="7"/>
  <c r="CS549" i="7"/>
  <c r="DE539" i="7"/>
  <c r="DA530" i="7"/>
  <c r="CY512" i="7"/>
  <c r="CW504" i="7"/>
  <c r="CS494" i="7"/>
  <c r="DE484" i="7"/>
  <c r="DC475" i="7"/>
  <c r="DC466" i="7"/>
  <c r="CY448" i="7"/>
  <c r="CU439" i="7"/>
  <c r="CS430" i="7"/>
  <c r="DE420" i="7"/>
  <c r="CW398" i="7"/>
  <c r="CU389" i="7"/>
  <c r="CU380" i="7"/>
  <c r="CS371" i="7"/>
  <c r="CS362" i="7"/>
  <c r="CS354" i="7"/>
  <c r="DE335" i="7"/>
  <c r="DE326" i="7"/>
  <c r="DC317" i="7"/>
  <c r="DC309" i="7"/>
  <c r="DA300" i="7"/>
  <c r="CY282" i="7"/>
  <c r="CY273" i="7"/>
  <c r="CW264" i="7"/>
  <c r="CS254" i="7"/>
  <c r="DC244" i="7"/>
  <c r="DA226" i="7"/>
  <c r="DA218" i="7"/>
  <c r="DA209" i="7"/>
  <c r="CY200" i="7"/>
  <c r="CW191" i="7"/>
  <c r="CU182" i="7"/>
  <c r="CU411" i="7"/>
  <c r="CW397" i="7"/>
  <c r="CS387" i="7"/>
  <c r="DE378" i="7"/>
  <c r="DA368" i="7"/>
  <c r="CW359" i="7"/>
  <c r="CW351" i="7"/>
  <c r="CU333" i="7"/>
  <c r="DE323" i="7"/>
  <c r="DC314" i="7"/>
  <c r="DA305" i="7"/>
  <c r="CY296" i="7"/>
  <c r="CU278" i="7"/>
  <c r="CS269" i="7"/>
  <c r="DC258" i="7"/>
  <c r="CY249" i="7"/>
  <c r="CW240" i="7"/>
  <c r="CU222" i="7"/>
  <c r="DE212" i="7"/>
  <c r="DE204" i="7"/>
  <c r="DC195" i="7"/>
  <c r="DA186" i="7"/>
  <c r="CY169" i="7"/>
  <c r="CY162" i="7"/>
  <c r="CW153" i="7"/>
  <c r="CW145" i="7"/>
  <c r="CS135" i="7"/>
  <c r="DE125" i="7"/>
  <c r="DE107" i="7"/>
  <c r="DC98" i="7"/>
  <c r="CY89" i="7"/>
  <c r="CW80" i="7"/>
  <c r="CU71" i="7"/>
  <c r="CY165" i="7"/>
  <c r="CW156" i="7"/>
  <c r="CU147" i="7"/>
  <c r="DC242" i="7"/>
  <c r="DC225" i="7"/>
  <c r="DC216" i="7"/>
  <c r="DA207" i="7"/>
  <c r="CY198" i="7"/>
  <c r="CW189" i="7"/>
  <c r="CU180" i="7"/>
  <c r="CU410" i="7"/>
  <c r="CU394" i="7"/>
  <c r="CS385" i="7"/>
  <c r="DC375" i="7"/>
  <c r="CY366" i="7"/>
  <c r="CW357" i="7"/>
  <c r="CU339" i="7"/>
  <c r="DE329" i="7"/>
  <c r="DC320" i="7"/>
  <c r="DA311" i="7"/>
  <c r="DA303" i="7"/>
  <c r="CY294" i="7"/>
  <c r="CS275" i="7"/>
  <c r="DE265" i="7"/>
  <c r="DC256" i="7"/>
  <c r="CY247" i="7"/>
  <c r="CW238" i="7"/>
  <c r="CU220" i="7"/>
  <c r="CS212" i="7"/>
  <c r="DE202" i="7"/>
  <c r="DA192" i="7"/>
  <c r="CY183" i="7"/>
  <c r="DE167" i="7"/>
  <c r="CY160" i="7"/>
  <c r="CW151" i="7"/>
  <c r="CU142" i="7"/>
  <c r="CS133" i="7"/>
  <c r="CY76" i="7"/>
  <c r="CY84" i="7"/>
  <c r="CY93" i="7"/>
  <c r="DA102" i="7"/>
  <c r="DE111" i="7"/>
  <c r="CS130" i="7"/>
  <c r="CU139" i="7"/>
  <c r="DA152" i="7"/>
  <c r="CY67" i="7"/>
  <c r="DE85" i="7"/>
  <c r="DE101" i="7"/>
  <c r="DE123" i="7"/>
  <c r="DE105" i="7"/>
  <c r="DC96" i="7"/>
  <c r="DA87" i="7"/>
  <c r="CW78" i="7"/>
  <c r="CU69" i="7"/>
  <c r="CY163" i="7"/>
  <c r="CW154" i="7"/>
  <c r="CU145" i="7"/>
  <c r="CS140" i="7"/>
  <c r="CY135" i="7"/>
  <c r="DE130" i="7"/>
  <c r="CU126" i="7"/>
  <c r="DC112" i="7"/>
  <c r="CS108" i="7"/>
  <c r="CY103" i="7"/>
  <c r="DE98" i="7"/>
  <c r="CW94" i="7"/>
  <c r="DC89" i="7"/>
  <c r="CU85" i="7"/>
  <c r="DC80" i="7"/>
  <c r="CU76" i="7"/>
  <c r="CW71" i="7"/>
  <c r="DC66" i="7"/>
  <c r="CY910" i="7"/>
  <c r="DE905" i="7"/>
  <c r="CW901" i="7"/>
  <c r="DC911" i="7"/>
  <c r="CU907" i="7"/>
  <c r="DA902" i="7"/>
  <c r="DE898" i="7"/>
  <c r="CW894" i="7"/>
  <c r="DC889" i="7"/>
  <c r="CU885" i="7"/>
  <c r="DA880" i="7"/>
  <c r="DE895" i="7"/>
  <c r="CW891" i="7"/>
  <c r="DC886" i="7"/>
  <c r="CU882" i="7"/>
  <c r="DA877" i="7"/>
  <c r="CW821" i="7"/>
  <c r="DA874" i="7"/>
  <c r="CS870" i="7"/>
  <c r="CY865" i="7"/>
  <c r="DE851" i="7"/>
  <c r="CW847" i="7"/>
  <c r="CW876" i="7"/>
  <c r="CW827" i="7"/>
  <c r="CU818" i="7"/>
  <c r="CS873" i="7"/>
  <c r="CY868" i="7"/>
  <c r="DE854" i="7"/>
  <c r="CW850" i="7"/>
  <c r="DC845" i="7"/>
  <c r="CS841" i="7"/>
  <c r="CY836" i="7"/>
  <c r="DE831" i="7"/>
  <c r="CW825" i="7"/>
  <c r="CW816" i="7"/>
  <c r="CY782" i="7"/>
  <c r="CS771" i="7"/>
  <c r="DE761" i="7"/>
  <c r="DC752" i="7"/>
  <c r="DC734" i="7"/>
  <c r="CY839" i="7"/>
  <c r="DE834" i="7"/>
  <c r="CU830" i="7"/>
  <c r="CW822" i="7"/>
  <c r="CS777" i="7"/>
  <c r="DE767" i="7"/>
  <c r="DC758" i="7"/>
  <c r="DC740" i="7"/>
  <c r="DA731" i="7"/>
  <c r="DC813" i="7"/>
  <c r="CU809" i="7"/>
  <c r="DA795" i="7"/>
  <c r="CS791" i="7"/>
  <c r="CY786" i="7"/>
  <c r="DC781" i="7"/>
  <c r="CW774" i="7"/>
  <c r="CU765" i="7"/>
  <c r="CS756" i="7"/>
  <c r="DC737" i="7"/>
  <c r="DA728" i="7"/>
  <c r="CU721" i="7"/>
  <c r="DA716" i="7"/>
  <c r="CS712" i="7"/>
  <c r="CW707" i="7"/>
  <c r="CY699" i="7"/>
  <c r="CY681" i="7"/>
  <c r="CW672" i="7"/>
  <c r="CU663" i="7"/>
  <c r="CU654" i="7"/>
  <c r="CU645" i="7"/>
  <c r="DA725" i="7"/>
  <c r="DC810" i="7"/>
  <c r="CU797" i="7"/>
  <c r="DA792" i="7"/>
  <c r="CS788" i="7"/>
  <c r="CY783" i="7"/>
  <c r="CY777" i="7"/>
  <c r="CW768" i="7"/>
  <c r="CU759" i="7"/>
  <c r="DE740" i="7"/>
  <c r="DC731" i="7"/>
  <c r="DC722" i="7"/>
  <c r="CU718" i="7"/>
  <c r="DA713" i="7"/>
  <c r="CS709" i="7"/>
  <c r="DA702" i="7"/>
  <c r="CY693" i="7"/>
  <c r="CY675" i="7"/>
  <c r="CW666" i="7"/>
  <c r="CW657" i="7"/>
  <c r="CU648" i="7"/>
  <c r="DE638" i="7"/>
  <c r="CY700" i="7"/>
  <c r="CU682" i="7"/>
  <c r="CS673" i="7"/>
  <c r="DE663" i="7"/>
  <c r="DA654" i="7"/>
  <c r="CW645" i="7"/>
  <c r="CU636" i="7"/>
  <c r="DC609" i="7"/>
  <c r="DA600" i="7"/>
  <c r="CY591" i="7"/>
  <c r="CY582" i="7"/>
  <c r="CY564" i="7"/>
  <c r="CW555" i="7"/>
  <c r="CW546" i="7"/>
  <c r="CU537" i="7"/>
  <c r="CU528" i="7"/>
  <c r="CS510" i="7"/>
  <c r="CS501" i="7"/>
  <c r="DE491" i="7"/>
  <c r="CS642" i="7"/>
  <c r="DA703" i="7"/>
  <c r="CY694" i="7"/>
  <c r="CU676" i="7"/>
  <c r="CS667" i="7"/>
  <c r="DC657" i="7"/>
  <c r="DA648" i="7"/>
  <c r="CW639" i="7"/>
  <c r="DC603" i="7"/>
  <c r="DA594" i="7"/>
  <c r="DA585" i="7"/>
  <c r="DA567" i="7"/>
  <c r="CY558" i="7"/>
  <c r="CY549" i="7"/>
  <c r="CW540" i="7"/>
  <c r="CW531" i="7"/>
  <c r="CU522" i="7"/>
  <c r="CU504" i="7"/>
  <c r="CS495" i="7"/>
  <c r="DE485" i="7"/>
  <c r="DC476" i="7"/>
  <c r="CY467" i="7"/>
  <c r="CY449" i="7"/>
  <c r="CW440" i="7"/>
  <c r="CW431" i="7"/>
  <c r="CU422" i="7"/>
  <c r="DA623" i="7"/>
  <c r="CS619" i="7"/>
  <c r="CY614" i="7"/>
  <c r="CY608" i="7"/>
  <c r="CW599" i="7"/>
  <c r="CU590" i="7"/>
  <c r="DE580" i="7"/>
  <c r="DA562" i="7"/>
  <c r="CW553" i="7"/>
  <c r="CU544" i="7"/>
  <c r="CS535" i="7"/>
  <c r="DC525" i="7"/>
  <c r="DA507" i="7"/>
  <c r="CW498" i="7"/>
  <c r="CW123" i="7"/>
  <c r="CU96" i="7"/>
  <c r="DC77" i="7"/>
  <c r="DE162" i="7"/>
  <c r="DA144" i="7"/>
  <c r="CU135" i="7"/>
  <c r="CS126" i="7"/>
  <c r="DC107" i="7"/>
  <c r="DA98" i="7"/>
  <c r="DA89" i="7"/>
  <c r="CY80" i="7"/>
  <c r="CS71" i="7"/>
  <c r="CS128" i="7"/>
  <c r="CS137" i="7"/>
  <c r="CU146" i="7"/>
  <c r="CW155" i="7"/>
  <c r="CY164" i="7"/>
  <c r="CY170" i="7"/>
  <c r="DA188" i="7"/>
  <c r="DC197" i="7"/>
  <c r="DE206" i="7"/>
  <c r="CU216" i="7"/>
  <c r="CW225" i="7"/>
  <c r="CY243" i="7"/>
  <c r="DC252" i="7"/>
  <c r="DE261" i="7"/>
  <c r="CS271" i="7"/>
  <c r="CU280" i="7"/>
  <c r="CY298" i="7"/>
  <c r="DA307" i="7"/>
  <c r="DC316" i="7"/>
  <c r="DE325" i="7"/>
  <c r="CU335" i="7"/>
  <c r="CW353" i="7"/>
  <c r="CY362" i="7"/>
  <c r="DC371" i="7"/>
  <c r="DE380" i="7"/>
  <c r="CU390" i="7"/>
  <c r="CS408" i="7"/>
  <c r="DC412" i="7"/>
  <c r="CU184" i="7"/>
  <c r="CW193" i="7"/>
  <c r="CY202" i="7"/>
  <c r="DA211" i="7"/>
  <c r="DA220" i="7"/>
  <c r="DC238" i="7"/>
  <c r="DE247" i="7"/>
  <c r="CW152" i="7"/>
  <c r="CY161" i="7"/>
  <c r="CU67" i="7"/>
  <c r="CW76" i="7"/>
  <c r="DA85" i="7"/>
  <c r="DC94" i="7"/>
  <c r="DE103" i="7"/>
  <c r="DE112" i="7"/>
  <c r="CS131" i="7"/>
  <c r="CU140" i="7"/>
  <c r="CW149" i="7"/>
  <c r="CY158" i="7"/>
  <c r="CW167" i="7"/>
  <c r="DA182" i="7"/>
  <c r="DC191" i="7"/>
  <c r="DE200" i="7"/>
  <c r="CS210" i="7"/>
  <c r="CW219" i="7"/>
  <c r="CW237" i="7"/>
  <c r="DA246" i="7"/>
  <c r="DE255" i="7"/>
  <c r="CS265" i="7"/>
  <c r="CU274" i="7"/>
  <c r="CY283" i="7"/>
  <c r="DA301" i="7"/>
  <c r="DC310" i="7"/>
  <c r="DE319" i="7"/>
  <c r="CS329" i="7"/>
  <c r="CW338" i="7"/>
  <c r="CY356" i="7"/>
  <c r="DA365" i="7"/>
  <c r="DE374" i="7"/>
  <c r="CS384" i="7"/>
  <c r="CW393" i="7"/>
  <c r="DC409" i="7"/>
  <c r="CW414" i="7"/>
  <c r="CW187" i="7"/>
  <c r="CY196" i="7"/>
  <c r="DA205" i="7"/>
  <c r="DC214" i="7"/>
  <c r="DC223" i="7"/>
  <c r="DE241" i="7"/>
  <c r="CW251" i="7"/>
  <c r="CW260" i="7"/>
  <c r="CY269" i="7"/>
  <c r="DA278" i="7"/>
  <c r="DA296" i="7"/>
  <c r="DC305" i="7"/>
  <c r="DE314" i="7"/>
  <c r="CS324" i="7"/>
  <c r="CS333" i="7"/>
  <c r="CU351" i="7"/>
  <c r="CW360" i="7"/>
  <c r="CY369" i="7"/>
  <c r="CY378" i="7"/>
  <c r="CY387" i="7"/>
  <c r="DA396" i="7"/>
  <c r="CW420" i="7"/>
  <c r="CY429" i="7"/>
  <c r="DA438" i="7"/>
  <c r="DE447" i="7"/>
  <c r="CS466" i="7"/>
  <c r="CU475" i="7"/>
  <c r="CW484" i="7"/>
  <c r="CY493" i="7"/>
  <c r="DA502" i="7"/>
  <c r="DE511" i="7"/>
  <c r="CS530" i="7"/>
  <c r="CW539" i="7"/>
  <c r="CY548" i="7"/>
  <c r="DC557" i="7"/>
  <c r="DE566" i="7"/>
  <c r="CU585" i="7"/>
  <c r="CY594" i="7"/>
  <c r="DA603" i="7"/>
  <c r="DE611" i="7"/>
  <c r="DA616" i="7"/>
  <c r="CU621" i="7"/>
  <c r="CW417" i="7"/>
  <c r="CY426" i="7"/>
  <c r="DA435" i="7"/>
  <c r="DA444" i="7"/>
  <c r="DC453" i="7"/>
  <c r="DC471" i="7"/>
  <c r="CS481" i="7"/>
  <c r="CW254" i="7"/>
  <c r="CY263" i="7"/>
  <c r="DA272" i="7"/>
  <c r="DA281" i="7"/>
  <c r="DC299" i="7"/>
  <c r="DE308" i="7"/>
  <c r="CS318" i="7"/>
  <c r="CU327" i="7"/>
  <c r="CU336" i="7"/>
  <c r="CW354" i="7"/>
  <c r="CY363" i="7"/>
  <c r="CY372" i="7"/>
  <c r="DA381" i="7"/>
  <c r="DA390" i="7"/>
  <c r="CY423" i="7"/>
  <c r="CS107" i="7"/>
  <c r="DE97" i="7"/>
  <c r="DC88" i="7"/>
  <c r="CY79" i="7"/>
  <c r="CW70" i="7"/>
  <c r="DA164" i="7"/>
  <c r="CY155" i="7"/>
  <c r="CW146" i="7"/>
  <c r="DA140" i="7"/>
  <c r="CS136" i="7"/>
  <c r="CY131" i="7"/>
  <c r="DC126" i="7"/>
  <c r="CW113" i="7"/>
  <c r="DA108" i="7"/>
  <c r="CS104" i="7"/>
  <c r="CY99" i="7"/>
  <c r="DE94" i="7"/>
  <c r="CW90" i="7"/>
  <c r="DC85" i="7"/>
  <c r="CW81" i="7"/>
  <c r="DC76" i="7"/>
  <c r="CU72" i="7"/>
  <c r="CW67" i="7"/>
  <c r="CS911" i="7"/>
  <c r="CY906" i="7"/>
  <c r="DE901" i="7"/>
  <c r="DC907" i="7"/>
  <c r="CU903" i="7"/>
  <c r="CY899" i="7"/>
  <c r="DE894" i="7"/>
  <c r="CW890" i="7"/>
  <c r="DC885" i="7"/>
  <c r="CU881" i="7"/>
  <c r="DA876" i="7"/>
  <c r="CY896" i="7"/>
  <c r="DE891" i="7"/>
  <c r="CW887" i="7"/>
  <c r="DC882" i="7"/>
  <c r="CU878" i="7"/>
  <c r="CY822" i="7"/>
  <c r="CU875" i="7"/>
  <c r="DA870" i="7"/>
  <c r="CS866" i="7"/>
  <c r="CY852" i="7"/>
  <c r="DE847" i="7"/>
  <c r="CW843" i="7"/>
  <c r="CY828" i="7"/>
  <c r="CW819" i="7"/>
  <c r="DA873" i="7"/>
  <c r="CS869" i="7"/>
  <c r="CY864" i="7"/>
  <c r="DE850" i="7"/>
  <c r="CW846" i="7"/>
  <c r="DA841" i="7"/>
  <c r="CS837" i="7"/>
  <c r="CY832" i="7"/>
  <c r="DA826" i="7"/>
  <c r="CY817" i="7"/>
  <c r="CU772" i="7"/>
  <c r="CS763" i="7"/>
  <c r="DE753" i="7"/>
  <c r="DE735" i="7"/>
  <c r="CS840" i="7"/>
  <c r="CY835" i="7"/>
  <c r="DC830" i="7"/>
  <c r="CW823" i="7"/>
  <c r="CW814" i="7"/>
  <c r="CU778" i="7"/>
  <c r="CS769" i="7"/>
  <c r="DE759" i="7"/>
  <c r="DC750" i="7"/>
  <c r="DC732" i="7"/>
  <c r="DA723" i="7"/>
  <c r="DC809" i="7"/>
  <c r="CU796" i="7"/>
  <c r="DA791" i="7"/>
  <c r="CS787" i="7"/>
  <c r="CW782" i="7"/>
  <c r="CY775" i="7"/>
  <c r="CW766" i="7"/>
  <c r="CU757" i="7"/>
  <c r="DE738" i="7"/>
  <c r="DC729" i="7"/>
  <c r="DC721" i="7"/>
  <c r="CU717" i="7"/>
  <c r="DA712" i="7"/>
  <c r="DE707" i="7"/>
  <c r="DA700" i="7"/>
  <c r="DA682" i="7"/>
  <c r="CY673" i="7"/>
  <c r="CW664" i="7"/>
  <c r="CW655" i="7"/>
  <c r="CW646" i="7"/>
  <c r="DC726" i="7"/>
  <c r="CW811" i="7"/>
  <c r="DC797" i="7"/>
  <c r="CU793" i="7"/>
  <c r="DA788" i="7"/>
  <c r="CS784" i="7"/>
  <c r="DA778" i="7"/>
  <c r="CY769" i="7"/>
  <c r="CW760" i="7"/>
  <c r="CU751" i="7"/>
  <c r="DE732" i="7"/>
  <c r="DC723" i="7"/>
  <c r="DC718" i="7"/>
  <c r="CU714" i="7"/>
  <c r="DA709" i="7"/>
  <c r="DC703" i="7"/>
  <c r="DC694" i="7"/>
  <c r="DA676" i="7"/>
  <c r="CY667" i="7"/>
  <c r="CY658" i="7"/>
  <c r="CW649" i="7"/>
  <c r="CS640" i="7"/>
  <c r="DA701" i="7"/>
  <c r="CW683" i="7"/>
  <c r="CU674" i="7"/>
  <c r="CS665" i="7"/>
  <c r="DC655" i="7"/>
  <c r="DA646" i="7"/>
  <c r="CW637" i="7"/>
  <c r="DE610" i="7"/>
  <c r="DC601" i="7"/>
  <c r="DA592" i="7"/>
  <c r="DA583" i="7"/>
  <c r="DA565" i="7"/>
  <c r="CY556" i="7"/>
  <c r="CY547" i="7"/>
  <c r="CW538" i="7"/>
  <c r="CW529" i="7"/>
  <c r="CU511" i="7"/>
  <c r="CU502" i="7"/>
  <c r="CS493" i="7"/>
  <c r="CU643" i="7"/>
  <c r="CS625" i="7"/>
  <c r="DC704" i="7"/>
  <c r="DA695" i="7"/>
  <c r="CW677" i="7"/>
  <c r="CU668" i="7"/>
  <c r="CS659" i="7"/>
  <c r="DC649" i="7"/>
  <c r="CY640" i="7"/>
  <c r="DE604" i="7"/>
  <c r="DC595" i="7"/>
  <c r="DC586" i="7"/>
  <c r="DC568" i="7"/>
  <c r="DA559" i="7"/>
  <c r="DA550" i="7"/>
  <c r="CY541" i="7"/>
  <c r="CW532" i="7"/>
  <c r="CW523" i="7"/>
  <c r="CW505" i="7"/>
  <c r="CU496" i="7"/>
  <c r="CS487" i="7"/>
  <c r="DE477" i="7"/>
  <c r="DA468" i="7"/>
  <c r="DA450" i="7"/>
  <c r="CY441" i="7"/>
  <c r="CY432" i="7"/>
  <c r="CW423" i="7"/>
  <c r="CU624" i="7"/>
  <c r="DA619" i="7"/>
  <c r="CS615" i="7"/>
  <c r="DA609" i="7"/>
  <c r="CY600" i="7"/>
  <c r="CW591" i="7"/>
  <c r="CS582" i="7"/>
  <c r="DC563" i="7"/>
  <c r="CY554" i="7"/>
  <c r="CW545" i="7"/>
  <c r="CU536" i="7"/>
  <c r="DE526" i="7"/>
  <c r="DC508" i="7"/>
  <c r="CY499" i="7"/>
  <c r="CW490" i="7"/>
  <c r="CY98" i="7"/>
  <c r="CS80" i="7"/>
  <c r="CU165" i="7"/>
  <c r="DE146" i="7"/>
  <c r="CW136" i="7"/>
  <c r="CS127" i="7"/>
  <c r="DE108" i="7"/>
  <c r="DC99" i="7"/>
  <c r="DA90" i="7"/>
  <c r="DA81" i="7"/>
  <c r="CY72" i="7"/>
  <c r="DE126" i="7"/>
  <c r="DE135" i="7"/>
  <c r="CS145" i="7"/>
  <c r="CU154" i="7"/>
  <c r="CW163" i="7"/>
  <c r="DE169" i="7"/>
  <c r="CY187" i="7"/>
  <c r="DA196" i="7"/>
  <c r="DC205" i="7"/>
  <c r="DE214" i="7"/>
  <c r="CU224" i="7"/>
  <c r="CW242" i="7"/>
  <c r="CY251" i="7"/>
  <c r="DC260" i="7"/>
  <c r="DE269" i="7"/>
  <c r="CS279" i="7"/>
  <c r="CW297" i="7"/>
  <c r="CY306" i="7"/>
  <c r="DA315" i="7"/>
  <c r="DC324" i="7"/>
  <c r="CS334" i="7"/>
  <c r="CU352" i="7"/>
  <c r="CW361" i="7"/>
  <c r="DA370" i="7"/>
  <c r="DC379" i="7"/>
  <c r="CS389" i="7"/>
  <c r="CU398" i="7"/>
  <c r="CU412" i="7"/>
  <c r="CS183" i="7"/>
  <c r="CU192" i="7"/>
  <c r="CW201" i="7"/>
  <c r="CY210" i="7"/>
  <c r="CY219" i="7"/>
  <c r="DC237" i="7"/>
  <c r="DC246" i="7"/>
  <c r="CU151" i="7"/>
  <c r="CW160" i="7"/>
  <c r="CS66" i="7"/>
  <c r="CU75" i="7"/>
  <c r="CW84" i="7"/>
  <c r="DA93" i="7"/>
  <c r="DC102" i="7"/>
  <c r="DC111" i="7"/>
  <c r="DE129" i="7"/>
  <c r="CS139" i="7"/>
  <c r="CU148" i="7"/>
  <c r="CW157" i="7"/>
  <c r="CY166" i="7"/>
  <c r="CY181" i="7"/>
  <c r="DA190" i="7"/>
  <c r="DC199" i="7"/>
  <c r="DE208" i="7"/>
  <c r="CU218" i="7"/>
  <c r="CW227" i="7"/>
  <c r="CY245" i="7"/>
  <c r="DC254" i="7"/>
  <c r="DE263" i="7"/>
  <c r="CS273" i="7"/>
  <c r="CW282" i="7"/>
  <c r="CY300" i="7"/>
  <c r="DA309" i="7"/>
  <c r="DC318" i="7"/>
  <c r="DE327" i="7"/>
  <c r="CU337" i="7"/>
  <c r="CW355" i="7"/>
  <c r="CY364" i="7"/>
  <c r="DC373" i="7"/>
  <c r="DE382" i="7"/>
  <c r="CU392" i="7"/>
  <c r="CU409" i="7"/>
  <c r="DC413" i="7"/>
  <c r="CU186" i="7"/>
  <c r="CW195" i="7"/>
  <c r="CY204" i="7"/>
  <c r="DA213" i="7"/>
  <c r="DA222" i="7"/>
  <c r="DC240" i="7"/>
  <c r="CU250" i="7"/>
  <c r="CU259" i="7"/>
  <c r="CW268" i="7"/>
  <c r="CY277" i="7"/>
  <c r="CY295" i="7"/>
  <c r="DA304" i="7"/>
  <c r="DC313" i="7"/>
  <c r="DE322" i="7"/>
  <c r="DE331" i="7"/>
  <c r="CS341" i="7"/>
  <c r="CU359" i="7"/>
  <c r="CW368" i="7"/>
  <c r="CW377" i="7"/>
  <c r="CW386" i="7"/>
  <c r="CY395" i="7"/>
  <c r="CU419" i="7"/>
  <c r="CW428" i="7"/>
  <c r="CY437" i="7"/>
  <c r="DC446" i="7"/>
  <c r="DE455" i="7"/>
  <c r="CS474" i="7"/>
  <c r="CU483" i="7"/>
  <c r="CW492" i="7"/>
  <c r="CY501" i="7"/>
  <c r="DC510" i="7"/>
  <c r="DE528" i="7"/>
  <c r="CU538" i="7"/>
  <c r="DA672" i="7"/>
  <c r="CD585" i="7"/>
  <c r="CD527" i="7"/>
  <c r="CD587" i="7"/>
  <c r="CD873" i="7"/>
  <c r="CD528" i="7"/>
  <c r="CD530" i="7"/>
  <c r="CD642" i="7"/>
  <c r="A803" i="7"/>
  <c r="CD526" i="7"/>
  <c r="CD815" i="7"/>
  <c r="CD583" i="7"/>
  <c r="CD811" i="7"/>
  <c r="U909" i="7"/>
  <c r="CD472" i="7"/>
  <c r="CD473" i="7"/>
  <c r="CD640" i="7"/>
  <c r="CD813" i="7"/>
  <c r="CD869" i="7"/>
  <c r="U509" i="7"/>
  <c r="B41" i="3"/>
  <c r="T511" i="7"/>
  <c r="S511" i="7"/>
  <c r="CD584" i="7"/>
  <c r="T681" i="7"/>
  <c r="S681" i="7"/>
  <c r="U683" i="7"/>
  <c r="U911" i="7"/>
  <c r="T623" i="7"/>
  <c r="S623" i="7"/>
  <c r="T625" i="7"/>
  <c r="S625" i="7"/>
  <c r="T738" i="7"/>
  <c r="S738" i="7"/>
  <c r="CD469" i="7"/>
  <c r="CD471" i="7"/>
  <c r="CD588" i="7"/>
  <c r="CD643" i="7"/>
  <c r="CD754" i="7"/>
  <c r="CD812" i="7"/>
  <c r="CD814" i="7"/>
  <c r="CD816" i="7"/>
  <c r="U908" i="7"/>
  <c r="T909" i="7"/>
  <c r="T911" i="7"/>
  <c r="U512" i="7"/>
  <c r="T566" i="7"/>
  <c r="S566" i="7"/>
  <c r="T568" i="7"/>
  <c r="S568" i="7"/>
  <c r="U626" i="7"/>
  <c r="T683" i="7"/>
  <c r="CD701" i="7"/>
  <c r="CD697" i="7"/>
  <c r="CD698" i="7"/>
  <c r="CD699" i="7"/>
  <c r="CD700" i="7"/>
  <c r="CD702" i="7"/>
  <c r="U737" i="7"/>
  <c r="U739" i="7"/>
  <c r="T740" i="7"/>
  <c r="S740" i="7"/>
  <c r="CD758" i="7"/>
  <c r="U795" i="7"/>
  <c r="U797" i="7"/>
  <c r="U794" i="7"/>
  <c r="U796" i="7"/>
  <c r="U851" i="7"/>
  <c r="U853" i="7"/>
  <c r="U852" i="7"/>
  <c r="CR405" i="7"/>
  <c r="B405" i="7"/>
  <c r="CR690" i="7"/>
  <c r="B690" i="7"/>
  <c r="CR519" i="7"/>
  <c r="B519" i="7"/>
  <c r="CR576" i="7"/>
  <c r="B576" i="7"/>
  <c r="CR747" i="7"/>
  <c r="B747" i="7"/>
  <c r="CR348" i="7"/>
  <c r="B348" i="7"/>
  <c r="CR177" i="7"/>
  <c r="B177" i="7"/>
  <c r="CR462" i="7"/>
  <c r="B462" i="7"/>
  <c r="CR234" i="7"/>
  <c r="B234" i="7"/>
  <c r="CR861" i="7"/>
  <c r="B861" i="7"/>
  <c r="CR120" i="7"/>
  <c r="B120" i="7"/>
  <c r="CR804" i="7"/>
  <c r="B804" i="7"/>
  <c r="CR291" i="7"/>
  <c r="B291" i="7"/>
  <c r="CR633" i="7"/>
  <c r="B633" i="7"/>
  <c r="CR63" i="7"/>
  <c r="B63" i="7"/>
  <c r="S911" i="7"/>
  <c r="T797" i="7"/>
  <c r="S797" i="7"/>
  <c r="T739" i="7"/>
  <c r="S739" i="7"/>
  <c r="T512" i="7"/>
  <c r="S512" i="7"/>
  <c r="T737" i="7"/>
  <c r="S737" i="7"/>
  <c r="T854" i="7"/>
  <c r="U854" i="7"/>
  <c r="T680" i="7"/>
  <c r="U680" i="7"/>
  <c r="T682" i="7"/>
  <c r="U682" i="7"/>
  <c r="T567" i="7"/>
  <c r="U567" i="7"/>
  <c r="T910" i="7"/>
  <c r="U910" i="7"/>
  <c r="T509" i="7"/>
  <c r="S509" i="7"/>
  <c r="T624" i="7"/>
  <c r="U624" i="7"/>
  <c r="T569" i="7"/>
  <c r="U569" i="7"/>
  <c r="T510" i="7"/>
  <c r="U510" i="7"/>
  <c r="S909" i="7"/>
  <c r="T908" i="7"/>
  <c r="T795" i="7"/>
  <c r="S683" i="7"/>
  <c r="T852" i="7"/>
  <c r="T853" i="7"/>
  <c r="T851" i="7"/>
  <c r="T796" i="7"/>
  <c r="T794" i="7"/>
  <c r="T626" i="7"/>
  <c r="S510" i="7"/>
  <c r="S682" i="7"/>
  <c r="S567" i="7"/>
  <c r="S854" i="7"/>
  <c r="S569" i="7"/>
  <c r="S624" i="7"/>
  <c r="S680" i="7"/>
  <c r="S910" i="7"/>
  <c r="S851" i="7"/>
  <c r="S908" i="7"/>
  <c r="S626" i="7"/>
  <c r="S795" i="7"/>
  <c r="S794" i="7"/>
  <c r="S852" i="7"/>
  <c r="S796" i="7"/>
  <c r="S853" i="7"/>
  <c r="Q1" i="9"/>
  <c r="K8" i="9"/>
  <c r="K9" i="9"/>
  <c r="K10" i="9"/>
  <c r="K11" i="9"/>
  <c r="K12" i="9"/>
  <c r="K13" i="9"/>
  <c r="K14" i="9"/>
  <c r="K15" i="9"/>
  <c r="K16" i="9"/>
  <c r="K7" i="9"/>
  <c r="CB455" i="7"/>
  <c r="CA455" i="7"/>
  <c r="CB454" i="7"/>
  <c r="CA454" i="7"/>
  <c r="CB453" i="7"/>
  <c r="CA453" i="7"/>
  <c r="CB452" i="7"/>
  <c r="CA452" i="7"/>
  <c r="CB451" i="7"/>
  <c r="CA451" i="7"/>
  <c r="CB450" i="7"/>
  <c r="CA450" i="7"/>
  <c r="CB449" i="7"/>
  <c r="CA449" i="7"/>
  <c r="CB448" i="7"/>
  <c r="CA448" i="7"/>
  <c r="CB447" i="7"/>
  <c r="CA447" i="7"/>
  <c r="CB446" i="7"/>
  <c r="CA446" i="7"/>
  <c r="CB444" i="7"/>
  <c r="CA444" i="7"/>
  <c r="CB443" i="7"/>
  <c r="CA443" i="7"/>
  <c r="CB442" i="7"/>
  <c r="CA442" i="7"/>
  <c r="CB441" i="7"/>
  <c r="CA441" i="7"/>
  <c r="CB440" i="7"/>
  <c r="CA440" i="7"/>
  <c r="CB439" i="7"/>
  <c r="CA439" i="7"/>
  <c r="CB437" i="7"/>
  <c r="CA437" i="7"/>
  <c r="CB436" i="7"/>
  <c r="CA436" i="7"/>
  <c r="CB435" i="7"/>
  <c r="CA435" i="7"/>
  <c r="CB434" i="7"/>
  <c r="CA434" i="7"/>
  <c r="CB433" i="7"/>
  <c r="CA433" i="7"/>
  <c r="CB432" i="7"/>
  <c r="CA432" i="7"/>
  <c r="CB430" i="7"/>
  <c r="CA430" i="7"/>
  <c r="CB429" i="7"/>
  <c r="CA429" i="7"/>
  <c r="CB428" i="7"/>
  <c r="CA428" i="7"/>
  <c r="CB427" i="7"/>
  <c r="CA427" i="7"/>
  <c r="CB426" i="7"/>
  <c r="CA426" i="7"/>
  <c r="CB425" i="7"/>
  <c r="CA425" i="7"/>
  <c r="CD424" i="7"/>
  <c r="CB424" i="7"/>
  <c r="CA424" i="7"/>
  <c r="CD423" i="7"/>
  <c r="CB423" i="7"/>
  <c r="CA423" i="7"/>
  <c r="CD422" i="7"/>
  <c r="CB422" i="7"/>
  <c r="CA422" i="7"/>
  <c r="CD421" i="7"/>
  <c r="CB421" i="7"/>
  <c r="CA421" i="7"/>
  <c r="CD420" i="7"/>
  <c r="CB420" i="7"/>
  <c r="CA420" i="7"/>
  <c r="CD419" i="7"/>
  <c r="CB419" i="7"/>
  <c r="CA419" i="7"/>
  <c r="CD418" i="7"/>
  <c r="CB418" i="7"/>
  <c r="CA418" i="7"/>
  <c r="CB417" i="7"/>
  <c r="CA417" i="7"/>
  <c r="CB416" i="7"/>
  <c r="CA416" i="7"/>
  <c r="CB415" i="7"/>
  <c r="CA415" i="7"/>
  <c r="CB414" i="7"/>
  <c r="CA414" i="7"/>
  <c r="CB413" i="7"/>
  <c r="CA413" i="7"/>
  <c r="CB412" i="7"/>
  <c r="CA412" i="7"/>
  <c r="CB411" i="7"/>
  <c r="CA411" i="7"/>
  <c r="CB410" i="7"/>
  <c r="CA410" i="7"/>
  <c r="CB409" i="7"/>
  <c r="CA409" i="7"/>
  <c r="CD408" i="7"/>
  <c r="CB408" i="7"/>
  <c r="CA408" i="7"/>
  <c r="CB407" i="7"/>
  <c r="CA407" i="7"/>
  <c r="CB406" i="7"/>
  <c r="CA406" i="7"/>
  <c r="CB404" i="7"/>
  <c r="CA404" i="7"/>
  <c r="CB403" i="7"/>
  <c r="CA403" i="7"/>
  <c r="CB398" i="7"/>
  <c r="CA398" i="7"/>
  <c r="CB397" i="7"/>
  <c r="CA397" i="7"/>
  <c r="CB396" i="7"/>
  <c r="CA396" i="7"/>
  <c r="CB395" i="7"/>
  <c r="CA395" i="7"/>
  <c r="CB394" i="7"/>
  <c r="CA394" i="7"/>
  <c r="CB393" i="7"/>
  <c r="CA393" i="7"/>
  <c r="CB392" i="7"/>
  <c r="CA392" i="7"/>
  <c r="CB391" i="7"/>
  <c r="CA391" i="7"/>
  <c r="CB390" i="7"/>
  <c r="CA390" i="7"/>
  <c r="CB389" i="7"/>
  <c r="CA389" i="7"/>
  <c r="CB387" i="7"/>
  <c r="CA387" i="7"/>
  <c r="CB386" i="7"/>
  <c r="CA386" i="7"/>
  <c r="CB385" i="7"/>
  <c r="CA385" i="7"/>
  <c r="CB384" i="7"/>
  <c r="CA384" i="7"/>
  <c r="CB383" i="7"/>
  <c r="CA383" i="7"/>
  <c r="CB382" i="7"/>
  <c r="CA382" i="7"/>
  <c r="CB380" i="7"/>
  <c r="CA380" i="7"/>
  <c r="CB379" i="7"/>
  <c r="CA379" i="7"/>
  <c r="CB378" i="7"/>
  <c r="CA378" i="7"/>
  <c r="CB377" i="7"/>
  <c r="CA377" i="7"/>
  <c r="CB376" i="7"/>
  <c r="CA376" i="7"/>
  <c r="CB375" i="7"/>
  <c r="CA375" i="7"/>
  <c r="CB373" i="7"/>
  <c r="CA373" i="7"/>
  <c r="CB372" i="7"/>
  <c r="CA372" i="7"/>
  <c r="CB371" i="7"/>
  <c r="CA371" i="7"/>
  <c r="CB370" i="7"/>
  <c r="CA370" i="7"/>
  <c r="CB369" i="7"/>
  <c r="CA369" i="7"/>
  <c r="CB368" i="7"/>
  <c r="CA368" i="7"/>
  <c r="CD367" i="7"/>
  <c r="CB367" i="7"/>
  <c r="CA367" i="7"/>
  <c r="CD366" i="7"/>
  <c r="CB366" i="7"/>
  <c r="CA366" i="7"/>
  <c r="CD365" i="7"/>
  <c r="CB365" i="7"/>
  <c r="CA365" i="7"/>
  <c r="CD364" i="7"/>
  <c r="CB364" i="7"/>
  <c r="CA364" i="7"/>
  <c r="CD363" i="7"/>
  <c r="CB363" i="7"/>
  <c r="CA363" i="7"/>
  <c r="CD362" i="7"/>
  <c r="CB362" i="7"/>
  <c r="CA362" i="7"/>
  <c r="CD361" i="7"/>
  <c r="CB361" i="7"/>
  <c r="CA361" i="7"/>
  <c r="CB360" i="7"/>
  <c r="CA360" i="7"/>
  <c r="CB359" i="7"/>
  <c r="CA359" i="7"/>
  <c r="CB358" i="7"/>
  <c r="CA358" i="7"/>
  <c r="CB357" i="7"/>
  <c r="CA357" i="7"/>
  <c r="CB356" i="7"/>
  <c r="CA356" i="7"/>
  <c r="CB355" i="7"/>
  <c r="CA355" i="7"/>
  <c r="CB354" i="7"/>
  <c r="CA354" i="7"/>
  <c r="CB353" i="7"/>
  <c r="CA353" i="7"/>
  <c r="CB352" i="7"/>
  <c r="CA352" i="7"/>
  <c r="CD351" i="7"/>
  <c r="CB351" i="7"/>
  <c r="CA351" i="7"/>
  <c r="CB350" i="7"/>
  <c r="CA350" i="7"/>
  <c r="CB349" i="7"/>
  <c r="CA349" i="7"/>
  <c r="CB347" i="7"/>
  <c r="CA347" i="7"/>
  <c r="CB346" i="7"/>
  <c r="CA346" i="7"/>
  <c r="CB341" i="7"/>
  <c r="CA341" i="7"/>
  <c r="CB340" i="7"/>
  <c r="CA340" i="7"/>
  <c r="CB339" i="7"/>
  <c r="CA339" i="7"/>
  <c r="CB338" i="7"/>
  <c r="CA338" i="7"/>
  <c r="CB337" i="7"/>
  <c r="CA337" i="7"/>
  <c r="CB336" i="7"/>
  <c r="CA336" i="7"/>
  <c r="CB335" i="7"/>
  <c r="CA335" i="7"/>
  <c r="CB334" i="7"/>
  <c r="CA334" i="7"/>
  <c r="CB333" i="7"/>
  <c r="CA333" i="7"/>
  <c r="CB332" i="7"/>
  <c r="CA332" i="7"/>
  <c r="CB330" i="7"/>
  <c r="CA330" i="7"/>
  <c r="CB329" i="7"/>
  <c r="CA329" i="7"/>
  <c r="CB328" i="7"/>
  <c r="CA328" i="7"/>
  <c r="CB327" i="7"/>
  <c r="CA327" i="7"/>
  <c r="CB326" i="7"/>
  <c r="CA326" i="7"/>
  <c r="CB325" i="7"/>
  <c r="CA325" i="7"/>
  <c r="CB323" i="7"/>
  <c r="CA323" i="7"/>
  <c r="CB322" i="7"/>
  <c r="CA322" i="7"/>
  <c r="CB321" i="7"/>
  <c r="CA321" i="7"/>
  <c r="CB320" i="7"/>
  <c r="CA320" i="7"/>
  <c r="CB319" i="7"/>
  <c r="CA319" i="7"/>
  <c r="CB318" i="7"/>
  <c r="CA318" i="7"/>
  <c r="CB316" i="7"/>
  <c r="CA316" i="7"/>
  <c r="CB315" i="7"/>
  <c r="CA315" i="7"/>
  <c r="CB314" i="7"/>
  <c r="CA314" i="7"/>
  <c r="CB313" i="7"/>
  <c r="CA313" i="7"/>
  <c r="CB312" i="7"/>
  <c r="CA312" i="7"/>
  <c r="CB311" i="7"/>
  <c r="CA311" i="7"/>
  <c r="CD310" i="7"/>
  <c r="CB310" i="7"/>
  <c r="CA310" i="7"/>
  <c r="CD309" i="7"/>
  <c r="CB309" i="7"/>
  <c r="CA309" i="7"/>
  <c r="CD308" i="7"/>
  <c r="CB308" i="7"/>
  <c r="CA308" i="7"/>
  <c r="CD307" i="7"/>
  <c r="CB307" i="7"/>
  <c r="CA307" i="7"/>
  <c r="CD306" i="7"/>
  <c r="CB306" i="7"/>
  <c r="CA306" i="7"/>
  <c r="CD305" i="7"/>
  <c r="CD304" i="7"/>
  <c r="CD294" i="7"/>
  <c r="CD253" i="7"/>
  <c r="CD252" i="7"/>
  <c r="CD251" i="7"/>
  <c r="CD250" i="7"/>
  <c r="CD249" i="7"/>
  <c r="CD248" i="7"/>
  <c r="CD247" i="7"/>
  <c r="CD237" i="7"/>
  <c r="CD196" i="7"/>
  <c r="CD195" i="7"/>
  <c r="CD194" i="7"/>
  <c r="CD193" i="7"/>
  <c r="CD192" i="7"/>
  <c r="CD191" i="7"/>
  <c r="CD190" i="7"/>
  <c r="CD180" i="7"/>
  <c r="CD139" i="7"/>
  <c r="CD138" i="7"/>
  <c r="CD137" i="7"/>
  <c r="CD136" i="7"/>
  <c r="CD135" i="7"/>
  <c r="CD134" i="7"/>
  <c r="CD133" i="7"/>
  <c r="CD123" i="7"/>
  <c r="CD82" i="7"/>
  <c r="CD81" i="7"/>
  <c r="CD80" i="7"/>
  <c r="CD79" i="7"/>
  <c r="CD78" i="7"/>
  <c r="CD77" i="7"/>
  <c r="CD76" i="7"/>
  <c r="CD66" i="7"/>
  <c r="CD414" i="7"/>
  <c r="CD300" i="7"/>
  <c r="CD186" i="7"/>
  <c r="CD302" i="7"/>
  <c r="CD75" i="7"/>
  <c r="CD189" i="7"/>
  <c r="CD241" i="7"/>
  <c r="CD412" i="7"/>
  <c r="CD416" i="7"/>
  <c r="CD244" i="7"/>
  <c r="CD356" i="7"/>
  <c r="CD413" i="7"/>
  <c r="CD415" i="7"/>
  <c r="CD417" i="7"/>
  <c r="CD245" i="7"/>
  <c r="CD301" i="7"/>
  <c r="CD71" i="7"/>
  <c r="CD130" i="7"/>
  <c r="CD358" i="7"/>
  <c r="CD359" i="7"/>
  <c r="CD360" i="7"/>
  <c r="CD72" i="7"/>
  <c r="CD132" i="7"/>
  <c r="CD184" i="7"/>
  <c r="CD243" i="7"/>
  <c r="CD246" i="7"/>
  <c r="CD298" i="7"/>
  <c r="CD303" i="7"/>
  <c r="CD355" i="7"/>
  <c r="CD357" i="7"/>
  <c r="CD187" i="7"/>
  <c r="CD242" i="7"/>
  <c r="CD299" i="7"/>
  <c r="CD128" i="7"/>
  <c r="CD188" i="7"/>
  <c r="CD185" i="7"/>
  <c r="CD74" i="7"/>
  <c r="CD129" i="7"/>
  <c r="CD70" i="7"/>
  <c r="CD73" i="7"/>
  <c r="CD127" i="7"/>
  <c r="CD131" i="7"/>
  <c r="B9" i="3"/>
  <c r="T477" i="7"/>
  <c r="T705" i="7"/>
  <c r="T534" i="7"/>
  <c r="T648" i="7"/>
  <c r="T762" i="7"/>
  <c r="T763" i="7"/>
  <c r="T706" i="7"/>
  <c r="T535" i="7"/>
  <c r="T649" i="7"/>
  <c r="T876" i="7"/>
  <c r="T591" i="7"/>
  <c r="T478" i="7"/>
  <c r="T819" i="7"/>
  <c r="T877" i="7"/>
  <c r="T479" i="7"/>
  <c r="T764" i="7"/>
  <c r="T650" i="7"/>
  <c r="T820" i="7"/>
  <c r="T592" i="7"/>
  <c r="T707" i="7"/>
  <c r="T536" i="7"/>
  <c r="T878" i="7"/>
  <c r="T537" i="7"/>
  <c r="T765" i="7"/>
  <c r="T593" i="7"/>
  <c r="T821" i="7"/>
  <c r="T480" i="7"/>
  <c r="T708" i="7"/>
  <c r="T651" i="7"/>
  <c r="T879" i="7"/>
  <c r="T766" i="7"/>
  <c r="T652" i="7"/>
  <c r="T709" i="7"/>
  <c r="T822" i="7"/>
  <c r="T481" i="7"/>
  <c r="T538" i="7"/>
  <c r="T594" i="7"/>
  <c r="T653" i="7"/>
  <c r="T767" i="7"/>
  <c r="T539" i="7"/>
  <c r="T482" i="7"/>
  <c r="T880" i="7"/>
  <c r="T710" i="7"/>
  <c r="T823" i="7"/>
  <c r="T595" i="7"/>
  <c r="T596" i="7"/>
  <c r="T881" i="7"/>
  <c r="T824" i="7"/>
  <c r="T541" i="7"/>
  <c r="T826" i="7"/>
  <c r="T883" i="7"/>
  <c r="T484" i="7"/>
  <c r="T598" i="7"/>
  <c r="T655" i="7"/>
  <c r="T542" i="7"/>
  <c r="T769" i="7"/>
  <c r="T884" i="7"/>
  <c r="T712" i="7"/>
  <c r="T656" i="7"/>
  <c r="T827" i="7"/>
  <c r="T599" i="7"/>
  <c r="T485" i="7"/>
  <c r="T486" i="7"/>
  <c r="T828" i="7"/>
  <c r="T885" i="7"/>
  <c r="T600" i="7"/>
  <c r="T543" i="7"/>
  <c r="T713" i="7"/>
  <c r="T770" i="7"/>
  <c r="T657" i="7"/>
  <c r="T658" i="7"/>
  <c r="T771" i="7"/>
  <c r="T544" i="7"/>
  <c r="T601" i="7"/>
  <c r="T886" i="7"/>
  <c r="T714" i="7"/>
  <c r="T487" i="7"/>
  <c r="T829" i="7"/>
  <c r="T488" i="7"/>
  <c r="T715" i="7"/>
  <c r="T772" i="7"/>
  <c r="T545" i="7"/>
  <c r="T887" i="7"/>
  <c r="T830" i="7"/>
  <c r="T602" i="7"/>
  <c r="T659" i="7"/>
  <c r="T888" i="7"/>
  <c r="T489" i="7"/>
  <c r="T603" i="7"/>
  <c r="T831" i="7"/>
  <c r="T773" i="7"/>
  <c r="T660" i="7"/>
  <c r="T546" i="7"/>
  <c r="T716" i="7"/>
  <c r="T774" i="7"/>
  <c r="T717" i="7"/>
  <c r="T251" i="7"/>
  <c r="T365" i="7"/>
  <c r="T80" i="7"/>
  <c r="T144" i="7"/>
  <c r="T258" i="7"/>
  <c r="T315" i="7"/>
  <c r="T429" i="7"/>
  <c r="T87" i="7"/>
  <c r="T137" i="7"/>
  <c r="T201" i="7"/>
  <c r="T372" i="7"/>
  <c r="T308" i="7"/>
  <c r="T422" i="7"/>
  <c r="T420" i="7"/>
  <c r="T427" i="7"/>
  <c r="T454" i="7"/>
  <c r="S454" i="7"/>
  <c r="T397" i="7"/>
  <c r="S397" i="7"/>
  <c r="T398" i="7"/>
  <c r="S398" i="7"/>
  <c r="T306" i="7"/>
  <c r="T226" i="7"/>
  <c r="S226" i="7"/>
  <c r="T192" i="7"/>
  <c r="T199" i="7"/>
  <c r="T363" i="7"/>
  <c r="T340" i="7"/>
  <c r="S340" i="7"/>
  <c r="T370" i="7"/>
  <c r="T249" i="7"/>
  <c r="T256" i="7"/>
  <c r="T193" i="7"/>
  <c r="T142" i="7"/>
  <c r="T78" i="7"/>
  <c r="T85" i="7"/>
  <c r="T428" i="7"/>
  <c r="T364" i="7"/>
  <c r="T313" i="7"/>
  <c r="T341" i="7"/>
  <c r="S341" i="7"/>
  <c r="T307" i="7"/>
  <c r="T257" i="7"/>
  <c r="T283" i="7"/>
  <c r="S283" i="7"/>
  <c r="T200" i="7"/>
  <c r="T143" i="7"/>
  <c r="T135" i="7"/>
  <c r="T112" i="7"/>
  <c r="S112" i="7"/>
  <c r="T79" i="7"/>
  <c r="T284" i="7"/>
  <c r="S284" i="7"/>
  <c r="T455" i="7"/>
  <c r="S455" i="7"/>
  <c r="T421" i="7"/>
  <c r="T371" i="7"/>
  <c r="T250" i="7"/>
  <c r="T227" i="7"/>
  <c r="S227" i="7"/>
  <c r="T194" i="7"/>
  <c r="T170" i="7"/>
  <c r="S170" i="7"/>
  <c r="T169" i="7"/>
  <c r="S169" i="7"/>
  <c r="T113" i="7"/>
  <c r="S113" i="7"/>
  <c r="T86" i="7"/>
  <c r="T314" i="7"/>
  <c r="T136" i="7"/>
  <c r="T53" i="7"/>
  <c r="T56" i="7"/>
  <c r="T55" i="7"/>
  <c r="T52" i="7"/>
  <c r="T54" i="7"/>
  <c r="U793" i="7"/>
  <c r="T793" i="7"/>
  <c r="U622" i="7"/>
  <c r="T622" i="7"/>
  <c r="U508" i="7"/>
  <c r="T508" i="7"/>
  <c r="U679" i="7"/>
  <c r="T679" i="7"/>
  <c r="U850" i="7"/>
  <c r="T850" i="7"/>
  <c r="U907" i="7"/>
  <c r="T907" i="7"/>
  <c r="U565" i="7"/>
  <c r="T565" i="7"/>
  <c r="U736" i="7"/>
  <c r="T736" i="7"/>
  <c r="U832" i="7"/>
  <c r="T832" i="7"/>
  <c r="U547" i="7"/>
  <c r="T547" i="7"/>
  <c r="U661" i="7"/>
  <c r="T661" i="7"/>
  <c r="U775" i="7"/>
  <c r="T775" i="7"/>
  <c r="U789" i="7"/>
  <c r="T789" i="7"/>
  <c r="U561" i="7"/>
  <c r="T561" i="7"/>
  <c r="U846" i="7"/>
  <c r="T846" i="7"/>
  <c r="U903" i="7"/>
  <c r="T903" i="7"/>
  <c r="U791" i="7"/>
  <c r="T791" i="7"/>
  <c r="U677" i="7"/>
  <c r="T677" i="7"/>
  <c r="T620" i="7"/>
  <c r="U620" i="7"/>
  <c r="U905" i="7"/>
  <c r="T905" i="7"/>
  <c r="U825" i="7"/>
  <c r="U826" i="7"/>
  <c r="S826" i="7"/>
  <c r="U828" i="7"/>
  <c r="S828" i="7"/>
  <c r="U827" i="7"/>
  <c r="S827" i="7"/>
  <c r="U831" i="7"/>
  <c r="S831" i="7"/>
  <c r="U829" i="7"/>
  <c r="S829" i="7"/>
  <c r="U830" i="7"/>
  <c r="S830" i="7"/>
  <c r="T825" i="7"/>
  <c r="T711" i="7"/>
  <c r="U711" i="7"/>
  <c r="U712" i="7"/>
  <c r="S712" i="7"/>
  <c r="U716" i="7"/>
  <c r="S716" i="7"/>
  <c r="U717" i="7"/>
  <c r="S717" i="7"/>
  <c r="U715" i="7"/>
  <c r="S715" i="7"/>
  <c r="U714" i="7"/>
  <c r="S714" i="7"/>
  <c r="U713" i="7"/>
  <c r="S713" i="7"/>
  <c r="U597" i="7"/>
  <c r="U600" i="7"/>
  <c r="S600" i="7"/>
  <c r="U601" i="7"/>
  <c r="S601" i="7"/>
  <c r="U603" i="7"/>
  <c r="S603" i="7"/>
  <c r="U602" i="7"/>
  <c r="S602" i="7"/>
  <c r="T597" i="7"/>
  <c r="U598" i="7"/>
  <c r="S598" i="7"/>
  <c r="U599" i="7"/>
  <c r="S599" i="7"/>
  <c r="U483" i="7"/>
  <c r="U484" i="7"/>
  <c r="S484" i="7"/>
  <c r="T483" i="7"/>
  <c r="U485" i="7"/>
  <c r="S485" i="7"/>
  <c r="U486" i="7"/>
  <c r="S486" i="7"/>
  <c r="U487" i="7"/>
  <c r="S487" i="7"/>
  <c r="U489" i="7"/>
  <c r="S489" i="7"/>
  <c r="U488" i="7"/>
  <c r="S488" i="7"/>
  <c r="U782" i="7"/>
  <c r="T782" i="7"/>
  <c r="T668" i="7"/>
  <c r="U668" i="7"/>
  <c r="U896" i="7"/>
  <c r="T896" i="7"/>
  <c r="U554" i="7"/>
  <c r="T554" i="7"/>
  <c r="T847" i="7"/>
  <c r="U847" i="7"/>
  <c r="U676" i="7"/>
  <c r="T676" i="7"/>
  <c r="T904" i="7"/>
  <c r="U904" i="7"/>
  <c r="U505" i="7"/>
  <c r="T505" i="7"/>
  <c r="T735" i="7"/>
  <c r="U735" i="7"/>
  <c r="U849" i="7"/>
  <c r="T849" i="7"/>
  <c r="T906" i="7"/>
  <c r="U906" i="7"/>
  <c r="U564" i="7"/>
  <c r="T564" i="7"/>
  <c r="U604" i="7"/>
  <c r="T604" i="7"/>
  <c r="U490" i="7"/>
  <c r="T490" i="7"/>
  <c r="U718" i="7"/>
  <c r="T718" i="7"/>
  <c r="U889" i="7"/>
  <c r="T889" i="7"/>
  <c r="U618" i="7"/>
  <c r="T618" i="7"/>
  <c r="T504" i="7"/>
  <c r="U504" i="7"/>
  <c r="U675" i="7"/>
  <c r="T675" i="7"/>
  <c r="U732" i="7"/>
  <c r="T732" i="7"/>
  <c r="T563" i="7"/>
  <c r="U563" i="7"/>
  <c r="U734" i="7"/>
  <c r="T734" i="7"/>
  <c r="T506" i="7"/>
  <c r="U506" i="7"/>
  <c r="U848" i="7"/>
  <c r="T848" i="7"/>
  <c r="U773" i="7"/>
  <c r="S773" i="7"/>
  <c r="U768" i="7"/>
  <c r="U769" i="7"/>
  <c r="S769" i="7"/>
  <c r="U774" i="7"/>
  <c r="S774" i="7"/>
  <c r="T768" i="7"/>
  <c r="U772" i="7"/>
  <c r="S772" i="7"/>
  <c r="U770" i="7"/>
  <c r="S770" i="7"/>
  <c r="U771" i="7"/>
  <c r="S771" i="7"/>
  <c r="U882" i="7"/>
  <c r="T882" i="7"/>
  <c r="U885" i="7"/>
  <c r="S885" i="7"/>
  <c r="U883" i="7"/>
  <c r="S883" i="7"/>
  <c r="U887" i="7"/>
  <c r="S887" i="7"/>
  <c r="U888" i="7"/>
  <c r="S888" i="7"/>
  <c r="U884" i="7"/>
  <c r="S884" i="7"/>
  <c r="U886" i="7"/>
  <c r="S886" i="7"/>
  <c r="U540" i="7"/>
  <c r="T540" i="7"/>
  <c r="U542" i="7"/>
  <c r="S542" i="7"/>
  <c r="U543" i="7"/>
  <c r="S543" i="7"/>
  <c r="U544" i="7"/>
  <c r="S544" i="7"/>
  <c r="U546" i="7"/>
  <c r="S546" i="7"/>
  <c r="U541" i="7"/>
  <c r="S541" i="7"/>
  <c r="U545" i="7"/>
  <c r="S545" i="7"/>
  <c r="U654" i="7"/>
  <c r="U655" i="7"/>
  <c r="S655" i="7"/>
  <c r="U656" i="7"/>
  <c r="S656" i="7"/>
  <c r="T654" i="7"/>
  <c r="U660" i="7"/>
  <c r="S660" i="7"/>
  <c r="U658" i="7"/>
  <c r="S658" i="7"/>
  <c r="U657" i="7"/>
  <c r="S657" i="7"/>
  <c r="U659" i="7"/>
  <c r="S659" i="7"/>
  <c r="T725" i="7"/>
  <c r="U725" i="7"/>
  <c r="T839" i="7"/>
  <c r="U839" i="7"/>
  <c r="U497" i="7"/>
  <c r="T497" i="7"/>
  <c r="U611" i="7"/>
  <c r="T611" i="7"/>
  <c r="U790" i="7"/>
  <c r="T790" i="7"/>
  <c r="U733" i="7"/>
  <c r="T733" i="7"/>
  <c r="U562" i="7"/>
  <c r="T562" i="7"/>
  <c r="U619" i="7"/>
  <c r="T619" i="7"/>
  <c r="U678" i="7"/>
  <c r="T678" i="7"/>
  <c r="U792" i="7"/>
  <c r="T792" i="7"/>
  <c r="U621" i="7"/>
  <c r="T621" i="7"/>
  <c r="T507" i="7"/>
  <c r="U507" i="7"/>
  <c r="T109" i="7"/>
  <c r="T394" i="7"/>
  <c r="T337" i="7"/>
  <c r="T166" i="7"/>
  <c r="T453" i="7"/>
  <c r="T282" i="7"/>
  <c r="T225" i="7"/>
  <c r="T224" i="7"/>
  <c r="T395" i="7"/>
  <c r="T281" i="7"/>
  <c r="T167" i="7"/>
  <c r="T252" i="7"/>
  <c r="T366" i="7"/>
  <c r="T81" i="7"/>
  <c r="T145" i="7"/>
  <c r="T195" i="7"/>
  <c r="T259" i="7"/>
  <c r="T316" i="7"/>
  <c r="T430" i="7"/>
  <c r="T88" i="7"/>
  <c r="T138" i="7"/>
  <c r="T202" i="7"/>
  <c r="T373" i="7"/>
  <c r="T309" i="7"/>
  <c r="T423" i="7"/>
  <c r="T280" i="7"/>
  <c r="T451" i="7"/>
  <c r="T223" i="7"/>
  <c r="T111" i="7"/>
  <c r="S111" i="7"/>
  <c r="T168" i="7"/>
  <c r="S168" i="7"/>
  <c r="T396" i="7"/>
  <c r="S396" i="7"/>
  <c r="T339" i="7"/>
  <c r="T452" i="7"/>
  <c r="S452" i="7"/>
  <c r="T110" i="7"/>
  <c r="S110" i="7"/>
  <c r="T338" i="7"/>
  <c r="S338" i="7"/>
  <c r="S258" i="7"/>
  <c r="S256" i="7"/>
  <c r="S259" i="7"/>
  <c r="S257" i="7"/>
  <c r="S372" i="7"/>
  <c r="S371" i="7"/>
  <c r="S144" i="7"/>
  <c r="S142" i="7"/>
  <c r="S143" i="7"/>
  <c r="T108" i="7"/>
  <c r="T222" i="7"/>
  <c r="T165" i="7"/>
  <c r="S315" i="7"/>
  <c r="S313" i="7"/>
  <c r="S314" i="7"/>
  <c r="S201" i="7"/>
  <c r="S199" i="7"/>
  <c r="S200" i="7"/>
  <c r="S87" i="7"/>
  <c r="S85" i="7"/>
  <c r="S86" i="7"/>
  <c r="S429" i="7"/>
  <c r="S427" i="7"/>
  <c r="S428" i="7"/>
  <c r="T393" i="7"/>
  <c r="T279" i="7"/>
  <c r="T450" i="7"/>
  <c r="T336" i="7"/>
  <c r="T27" i="7"/>
  <c r="T48" i="7"/>
  <c r="T148" i="7"/>
  <c r="T433" i="7"/>
  <c r="S433" i="7"/>
  <c r="T319" i="7"/>
  <c r="T34" i="7"/>
  <c r="T162" i="7"/>
  <c r="S162" i="7"/>
  <c r="T105" i="7"/>
  <c r="T219" i="7"/>
  <c r="S219" i="7"/>
  <c r="T312" i="7"/>
  <c r="T198" i="7"/>
  <c r="S198" i="7"/>
  <c r="T84" i="7"/>
  <c r="T426" i="7"/>
  <c r="T212" i="7"/>
  <c r="T440" i="7"/>
  <c r="S440" i="7"/>
  <c r="T155" i="7"/>
  <c r="T383" i="7"/>
  <c r="T106" i="7"/>
  <c r="T448" i="7"/>
  <c r="S448" i="7"/>
  <c r="T163" i="7"/>
  <c r="T391" i="7"/>
  <c r="S391" i="7"/>
  <c r="T449" i="7"/>
  <c r="T278" i="7"/>
  <c r="T392" i="7"/>
  <c r="T335" i="7"/>
  <c r="S335" i="7"/>
  <c r="T51" i="7"/>
  <c r="T91" i="7"/>
  <c r="S91" i="7"/>
  <c r="T262" i="7"/>
  <c r="T376" i="7"/>
  <c r="S376" i="7"/>
  <c r="T205" i="7"/>
  <c r="T276" i="7"/>
  <c r="S276" i="7"/>
  <c r="T390" i="7"/>
  <c r="T447" i="7"/>
  <c r="S447" i="7"/>
  <c r="T333" i="7"/>
  <c r="T255" i="7"/>
  <c r="S255" i="7"/>
  <c r="T369" i="7"/>
  <c r="T141" i="7"/>
  <c r="S141" i="7"/>
  <c r="T269" i="7"/>
  <c r="S269" i="7"/>
  <c r="T98" i="7"/>
  <c r="T326" i="7"/>
  <c r="S326" i="7"/>
  <c r="T41" i="7"/>
  <c r="T277" i="7"/>
  <c r="T334" i="7"/>
  <c r="S334" i="7"/>
  <c r="T220" i="7"/>
  <c r="T49" i="7"/>
  <c r="T107" i="7"/>
  <c r="T164" i="7"/>
  <c r="S164" i="7"/>
  <c r="T221" i="7"/>
  <c r="T50" i="7"/>
  <c r="S370" i="7"/>
  <c r="S430" i="7"/>
  <c r="S145" i="7"/>
  <c r="S373" i="7"/>
  <c r="S281" i="7"/>
  <c r="S224" i="7"/>
  <c r="S225" i="7"/>
  <c r="S282" i="7"/>
  <c r="S453" i="7"/>
  <c r="S109" i="7"/>
  <c r="S565" i="7"/>
  <c r="S850" i="7"/>
  <c r="S679" i="7"/>
  <c r="S451" i="7"/>
  <c r="S394" i="7"/>
  <c r="S223" i="7"/>
  <c r="S280" i="7"/>
  <c r="S337" i="7"/>
  <c r="S88" i="7"/>
  <c r="S202" i="7"/>
  <c r="S316" i="7"/>
  <c r="S222" i="7"/>
  <c r="S278" i="7"/>
  <c r="S312" i="7"/>
  <c r="S98" i="7"/>
  <c r="S736" i="7"/>
  <c r="S907" i="7"/>
  <c r="S508" i="7"/>
  <c r="S622" i="7"/>
  <c r="S793" i="7"/>
  <c r="S789" i="7"/>
  <c r="S507" i="7"/>
  <c r="S619" i="7"/>
  <c r="S839" i="7"/>
  <c r="S725" i="7"/>
  <c r="S540" i="7"/>
  <c r="S768" i="7"/>
  <c r="S506" i="7"/>
  <c r="S734" i="7"/>
  <c r="S563" i="7"/>
  <c r="S504" i="7"/>
  <c r="S564" i="7"/>
  <c r="S906" i="7"/>
  <c r="S735" i="7"/>
  <c r="S505" i="7"/>
  <c r="S904" i="7"/>
  <c r="S847" i="7"/>
  <c r="S554" i="7"/>
  <c r="S668" i="7"/>
  <c r="S903" i="7"/>
  <c r="S561" i="7"/>
  <c r="S547" i="7"/>
  <c r="S621" i="7"/>
  <c r="S654" i="7"/>
  <c r="S711" i="7"/>
  <c r="S825" i="7"/>
  <c r="S620" i="7"/>
  <c r="S677" i="7"/>
  <c r="S846" i="7"/>
  <c r="S775" i="7"/>
  <c r="S792" i="7"/>
  <c r="S678" i="7"/>
  <c r="S562" i="7"/>
  <c r="S733" i="7"/>
  <c r="S790" i="7"/>
  <c r="S611" i="7"/>
  <c r="S497" i="7"/>
  <c r="S882" i="7"/>
  <c r="S848" i="7"/>
  <c r="S732" i="7"/>
  <c r="S675" i="7"/>
  <c r="S618" i="7"/>
  <c r="S889" i="7"/>
  <c r="S718" i="7"/>
  <c r="S490" i="7"/>
  <c r="S604" i="7"/>
  <c r="S849" i="7"/>
  <c r="S676" i="7"/>
  <c r="S896" i="7"/>
  <c r="S782" i="7"/>
  <c r="S483" i="7"/>
  <c r="S597" i="7"/>
  <c r="S905" i="7"/>
  <c r="S791" i="7"/>
  <c r="S661" i="7"/>
  <c r="S832" i="7"/>
  <c r="S426" i="7"/>
  <c r="S319" i="7"/>
  <c r="S148" i="7"/>
  <c r="S165" i="7"/>
  <c r="S383" i="7"/>
  <c r="S108" i="7"/>
  <c r="S221" i="7"/>
  <c r="S107" i="7"/>
  <c r="S220" i="7"/>
  <c r="S277" i="7"/>
  <c r="S369" i="7"/>
  <c r="S333" i="7"/>
  <c r="S390" i="7"/>
  <c r="S205" i="7"/>
  <c r="S262" i="7"/>
  <c r="S105" i="7"/>
  <c r="T310" i="7"/>
  <c r="T203" i="7"/>
  <c r="S203" i="7"/>
  <c r="T89" i="7"/>
  <c r="S89" i="7"/>
  <c r="T317" i="7"/>
  <c r="S317" i="7"/>
  <c r="T196" i="7"/>
  <c r="T82" i="7"/>
  <c r="T253" i="7"/>
  <c r="T424" i="7"/>
  <c r="T374" i="7"/>
  <c r="S374" i="7"/>
  <c r="T139" i="7"/>
  <c r="T431" i="7"/>
  <c r="S431" i="7"/>
  <c r="T260" i="7"/>
  <c r="S260" i="7"/>
  <c r="T146" i="7"/>
  <c r="S146" i="7"/>
  <c r="T367" i="7"/>
  <c r="S339" i="7"/>
  <c r="S167" i="7"/>
  <c r="S395" i="7"/>
  <c r="S166" i="7"/>
  <c r="S212" i="7"/>
  <c r="S84" i="7"/>
  <c r="S392" i="7"/>
  <c r="S449" i="7"/>
  <c r="S163" i="7"/>
  <c r="S106" i="7"/>
  <c r="S155" i="7"/>
  <c r="S336" i="7"/>
  <c r="S450" i="7"/>
  <c r="S279" i="7"/>
  <c r="S393" i="7"/>
  <c r="T147" i="7"/>
  <c r="S147" i="7"/>
  <c r="T432" i="7"/>
  <c r="S432" i="7"/>
  <c r="T375" i="7"/>
  <c r="S375" i="7"/>
  <c r="T254" i="7"/>
  <c r="T197" i="7"/>
  <c r="T90" i="7"/>
  <c r="S90" i="7"/>
  <c r="T311" i="7"/>
  <c r="T368" i="7"/>
  <c r="T261" i="7"/>
  <c r="S261" i="7"/>
  <c r="T140" i="7"/>
  <c r="T425" i="7"/>
  <c r="T83" i="7"/>
  <c r="T318" i="7"/>
  <c r="S318" i="7"/>
  <c r="T204" i="7"/>
  <c r="S204" i="7"/>
  <c r="U818" i="7"/>
  <c r="U819" i="7"/>
  <c r="S819" i="7"/>
  <c r="U821" i="7"/>
  <c r="S821" i="7"/>
  <c r="U824" i="7"/>
  <c r="S824" i="7"/>
  <c r="U820" i="7"/>
  <c r="S820" i="7"/>
  <c r="U823" i="7"/>
  <c r="S823" i="7"/>
  <c r="T818" i="7"/>
  <c r="U822" i="7"/>
  <c r="S822" i="7"/>
  <c r="U533" i="7"/>
  <c r="T533" i="7"/>
  <c r="U537" i="7"/>
  <c r="S537" i="7"/>
  <c r="U535" i="7"/>
  <c r="S535" i="7"/>
  <c r="U538" i="7"/>
  <c r="S538" i="7"/>
  <c r="U536" i="7"/>
  <c r="S536" i="7"/>
  <c r="U534" i="7"/>
  <c r="S534" i="7"/>
  <c r="U539" i="7"/>
  <c r="S539" i="7"/>
  <c r="T761" i="7"/>
  <c r="U761" i="7"/>
  <c r="U764" i="7"/>
  <c r="S764" i="7"/>
  <c r="U766" i="7"/>
  <c r="S766" i="7"/>
  <c r="U767" i="7"/>
  <c r="S767" i="7"/>
  <c r="U762" i="7"/>
  <c r="S762" i="7"/>
  <c r="U763" i="7"/>
  <c r="S763" i="7"/>
  <c r="U765" i="7"/>
  <c r="S765" i="7"/>
  <c r="U704" i="7"/>
  <c r="U705" i="7"/>
  <c r="S705" i="7"/>
  <c r="U706" i="7"/>
  <c r="S706" i="7"/>
  <c r="U708" i="7"/>
  <c r="S708" i="7"/>
  <c r="T704" i="7"/>
  <c r="U707" i="7"/>
  <c r="S707" i="7"/>
  <c r="U709" i="7"/>
  <c r="S709" i="7"/>
  <c r="U710" i="7"/>
  <c r="S710" i="7"/>
  <c r="U647" i="7"/>
  <c r="U650" i="7"/>
  <c r="S650" i="7"/>
  <c r="U648" i="7"/>
  <c r="S648" i="7"/>
  <c r="U653" i="7"/>
  <c r="S653" i="7"/>
  <c r="T647" i="7"/>
  <c r="U651" i="7"/>
  <c r="S651" i="7"/>
  <c r="U649" i="7"/>
  <c r="S649" i="7"/>
  <c r="U652" i="7"/>
  <c r="S652" i="7"/>
  <c r="T590" i="7"/>
  <c r="U590" i="7"/>
  <c r="U595" i="7"/>
  <c r="S595" i="7"/>
  <c r="U593" i="7"/>
  <c r="S593" i="7"/>
  <c r="U591" i="7"/>
  <c r="S591" i="7"/>
  <c r="U596" i="7"/>
  <c r="S596" i="7"/>
  <c r="U594" i="7"/>
  <c r="S594" i="7"/>
  <c r="U592" i="7"/>
  <c r="S592" i="7"/>
  <c r="U476" i="7"/>
  <c r="U478" i="7"/>
  <c r="S478" i="7"/>
  <c r="U482" i="7"/>
  <c r="S482" i="7"/>
  <c r="T476" i="7"/>
  <c r="U480" i="7"/>
  <c r="S480" i="7"/>
  <c r="U477" i="7"/>
  <c r="S477" i="7"/>
  <c r="U481" i="7"/>
  <c r="S481" i="7"/>
  <c r="U479" i="7"/>
  <c r="S479" i="7"/>
  <c r="U875" i="7"/>
  <c r="T875" i="7"/>
  <c r="U877" i="7"/>
  <c r="S877" i="7"/>
  <c r="U879" i="7"/>
  <c r="S879" i="7"/>
  <c r="U881" i="7"/>
  <c r="S881" i="7"/>
  <c r="U876" i="7"/>
  <c r="S876" i="7"/>
  <c r="U878" i="7"/>
  <c r="S878" i="7"/>
  <c r="U880" i="7"/>
  <c r="S880" i="7"/>
  <c r="S253" i="7"/>
  <c r="S249" i="7"/>
  <c r="S254" i="7"/>
  <c r="S250" i="7"/>
  <c r="S137" i="7"/>
  <c r="S140" i="7"/>
  <c r="S138" i="7"/>
  <c r="S136" i="7"/>
  <c r="S196" i="7"/>
  <c r="S194" i="7"/>
  <c r="S192" i="7"/>
  <c r="S197" i="7"/>
  <c r="S195" i="7"/>
  <c r="S193" i="7"/>
  <c r="S82" i="7"/>
  <c r="S80" i="7"/>
  <c r="S78" i="7"/>
  <c r="S83" i="7"/>
  <c r="S81" i="7"/>
  <c r="S79" i="7"/>
  <c r="S424" i="7"/>
  <c r="S422" i="7"/>
  <c r="S423" i="7"/>
  <c r="S421" i="7"/>
  <c r="S310" i="7"/>
  <c r="S308" i="7"/>
  <c r="S306" i="7"/>
  <c r="S311" i="7"/>
  <c r="S309" i="7"/>
  <c r="S307" i="7"/>
  <c r="S367" i="7"/>
  <c r="S365" i="7"/>
  <c r="S363" i="7"/>
  <c r="S368" i="7"/>
  <c r="S366" i="7"/>
  <c r="S364" i="7"/>
  <c r="T20" i="7"/>
  <c r="S425" i="7"/>
  <c r="S420" i="7"/>
  <c r="S251" i="7"/>
  <c r="S139" i="7"/>
  <c r="S135" i="7"/>
  <c r="S252" i="7"/>
  <c r="T248" i="7"/>
  <c r="T134" i="7"/>
  <c r="T191" i="7"/>
  <c r="T77" i="7"/>
  <c r="T419" i="7"/>
  <c r="T305" i="7"/>
  <c r="T362" i="7"/>
  <c r="S134" i="7"/>
  <c r="S305" i="7"/>
  <c r="S761" i="7"/>
  <c r="S590" i="7"/>
  <c r="S818" i="7"/>
  <c r="S647" i="7"/>
  <c r="S875" i="7"/>
  <c r="S476" i="7"/>
  <c r="S704" i="7"/>
  <c r="S533" i="7"/>
  <c r="S362" i="7"/>
  <c r="S419" i="7"/>
  <c r="S191" i="7"/>
  <c r="S248" i="7"/>
  <c r="S77" i="7"/>
  <c r="T29" i="7"/>
  <c r="T30" i="7"/>
  <c r="T31" i="7"/>
  <c r="T32" i="7"/>
  <c r="T33" i="7"/>
  <c r="H54" i="3"/>
  <c r="L14" i="3"/>
  <c r="CD20" i="7"/>
  <c r="CD21" i="7"/>
  <c r="CD22" i="7"/>
  <c r="CD23" i="7"/>
  <c r="CD24" i="7"/>
  <c r="CD25" i="7"/>
  <c r="CD19" i="7"/>
  <c r="L32" i="3"/>
  <c r="L29" i="3"/>
  <c r="L30" i="3"/>
  <c r="L31" i="3"/>
  <c r="L28" i="3"/>
  <c r="L23" i="3"/>
  <c r="L22" i="3"/>
  <c r="L21" i="3"/>
  <c r="L20" i="3"/>
  <c r="L19" i="3"/>
  <c r="L18" i="3"/>
  <c r="U890" i="7"/>
  <c r="T890" i="7"/>
  <c r="U891" i="7"/>
  <c r="T891" i="7"/>
  <c r="U894" i="7"/>
  <c r="T894" i="7"/>
  <c r="U892" i="7"/>
  <c r="T892" i="7"/>
  <c r="U893" i="7"/>
  <c r="T893" i="7"/>
  <c r="U895" i="7"/>
  <c r="T895" i="7"/>
  <c r="CD15" i="7"/>
  <c r="CD16" i="7"/>
  <c r="CD18" i="7"/>
  <c r="CD13" i="7"/>
  <c r="CD14" i="7"/>
  <c r="CD17" i="7"/>
  <c r="S895" i="7"/>
  <c r="S893" i="7"/>
  <c r="S894" i="7"/>
  <c r="S891" i="7"/>
  <c r="U901" i="7"/>
  <c r="T901" i="7"/>
  <c r="U898" i="7"/>
  <c r="T898" i="7"/>
  <c r="U897" i="7"/>
  <c r="T897" i="7"/>
  <c r="U902" i="7"/>
  <c r="T902" i="7"/>
  <c r="U900" i="7"/>
  <c r="T900" i="7"/>
  <c r="U899" i="7"/>
  <c r="T899" i="7"/>
  <c r="S892" i="7"/>
  <c r="S890" i="7"/>
  <c r="U496" i="7"/>
  <c r="T496" i="7"/>
  <c r="U610" i="7"/>
  <c r="T610" i="7"/>
  <c r="U724" i="7"/>
  <c r="T724" i="7"/>
  <c r="U838" i="7"/>
  <c r="T838" i="7"/>
  <c r="U722" i="7"/>
  <c r="T722" i="7"/>
  <c r="U551" i="7"/>
  <c r="T551" i="7"/>
  <c r="U779" i="7"/>
  <c r="T779" i="7"/>
  <c r="U493" i="7"/>
  <c r="T493" i="7"/>
  <c r="U550" i="7"/>
  <c r="T550" i="7"/>
  <c r="U721" i="7"/>
  <c r="T721" i="7"/>
  <c r="U835" i="7"/>
  <c r="T835" i="7"/>
  <c r="U609" i="7"/>
  <c r="T609" i="7"/>
  <c r="U666" i="7"/>
  <c r="T666" i="7"/>
  <c r="U780" i="7"/>
  <c r="T780" i="7"/>
  <c r="U492" i="7"/>
  <c r="T492" i="7"/>
  <c r="U606" i="7"/>
  <c r="T606" i="7"/>
  <c r="U720" i="7"/>
  <c r="T720" i="7"/>
  <c r="U834" i="7"/>
  <c r="T834" i="7"/>
  <c r="U548" i="7"/>
  <c r="T548" i="7"/>
  <c r="U662" i="7"/>
  <c r="T662" i="7"/>
  <c r="U776" i="7"/>
  <c r="T776" i="7"/>
  <c r="U553" i="7"/>
  <c r="T553" i="7"/>
  <c r="U667" i="7"/>
  <c r="T667" i="7"/>
  <c r="U781" i="7"/>
  <c r="T781" i="7"/>
  <c r="U665" i="7"/>
  <c r="T665" i="7"/>
  <c r="U494" i="7"/>
  <c r="T494" i="7"/>
  <c r="U608" i="7"/>
  <c r="T608" i="7"/>
  <c r="U836" i="7"/>
  <c r="T836" i="7"/>
  <c r="U607" i="7"/>
  <c r="T607" i="7"/>
  <c r="U664" i="7"/>
  <c r="T664" i="7"/>
  <c r="U778" i="7"/>
  <c r="T778" i="7"/>
  <c r="U495" i="7"/>
  <c r="T495" i="7"/>
  <c r="U552" i="7"/>
  <c r="T552" i="7"/>
  <c r="U723" i="7"/>
  <c r="T723" i="7"/>
  <c r="U837" i="7"/>
  <c r="T837" i="7"/>
  <c r="U549" i="7"/>
  <c r="T549" i="7"/>
  <c r="U663" i="7"/>
  <c r="T663" i="7"/>
  <c r="U777" i="7"/>
  <c r="T777" i="7"/>
  <c r="U491" i="7"/>
  <c r="T491" i="7"/>
  <c r="U605" i="7"/>
  <c r="T605" i="7"/>
  <c r="U719" i="7"/>
  <c r="T719" i="7"/>
  <c r="U833" i="7"/>
  <c r="T833" i="7"/>
  <c r="T385" i="7"/>
  <c r="T384" i="7"/>
  <c r="T389" i="7"/>
  <c r="T387" i="7"/>
  <c r="T386" i="7"/>
  <c r="T381" i="7"/>
  <c r="T378" i="7"/>
  <c r="T377" i="7"/>
  <c r="T382" i="7"/>
  <c r="T380" i="7"/>
  <c r="T379" i="7"/>
  <c r="T438" i="7"/>
  <c r="T435" i="7"/>
  <c r="T434" i="7"/>
  <c r="T439" i="7"/>
  <c r="T437" i="7"/>
  <c r="T436" i="7"/>
  <c r="T388" i="7"/>
  <c r="T268" i="7"/>
  <c r="T266" i="7"/>
  <c r="T265" i="7"/>
  <c r="S265" i="7"/>
  <c r="T267" i="7"/>
  <c r="T264" i="7"/>
  <c r="T263" i="7"/>
  <c r="T274" i="7"/>
  <c r="T271" i="7"/>
  <c r="T270" i="7"/>
  <c r="T275" i="7"/>
  <c r="T273" i="7"/>
  <c r="T272" i="7"/>
  <c r="T325" i="7"/>
  <c r="T323" i="7"/>
  <c r="T322" i="7"/>
  <c r="T324" i="7"/>
  <c r="T321" i="7"/>
  <c r="T320" i="7"/>
  <c r="T154" i="7"/>
  <c r="T152" i="7"/>
  <c r="S152" i="7"/>
  <c r="T151" i="7"/>
  <c r="T153" i="7"/>
  <c r="T150" i="7"/>
  <c r="T149" i="7"/>
  <c r="T211" i="7"/>
  <c r="T209" i="7"/>
  <c r="T208" i="7"/>
  <c r="T210" i="7"/>
  <c r="T207" i="7"/>
  <c r="T206" i="7"/>
  <c r="T96" i="7"/>
  <c r="T93" i="7"/>
  <c r="T92" i="7"/>
  <c r="T97" i="7"/>
  <c r="T95" i="7"/>
  <c r="T94" i="7"/>
  <c r="S378" i="7"/>
  <c r="S381" i="7"/>
  <c r="S719" i="7"/>
  <c r="S605" i="7"/>
  <c r="S491" i="7"/>
  <c r="S777" i="7"/>
  <c r="S663" i="7"/>
  <c r="S549" i="7"/>
  <c r="S837" i="7"/>
  <c r="S723" i="7"/>
  <c r="S552" i="7"/>
  <c r="S495" i="7"/>
  <c r="S778" i="7"/>
  <c r="S664" i="7"/>
  <c r="S607" i="7"/>
  <c r="S836" i="7"/>
  <c r="S608" i="7"/>
  <c r="S494" i="7"/>
  <c r="S665" i="7"/>
  <c r="S781" i="7"/>
  <c r="S667" i="7"/>
  <c r="S553" i="7"/>
  <c r="S776" i="7"/>
  <c r="S662" i="7"/>
  <c r="S548" i="7"/>
  <c r="S720" i="7"/>
  <c r="S606" i="7"/>
  <c r="S492" i="7"/>
  <c r="S780" i="7"/>
  <c r="S666" i="7"/>
  <c r="S609" i="7"/>
  <c r="S835" i="7"/>
  <c r="S721" i="7"/>
  <c r="S550" i="7"/>
  <c r="S493" i="7"/>
  <c r="S779" i="7"/>
  <c r="S551" i="7"/>
  <c r="S722" i="7"/>
  <c r="S838" i="7"/>
  <c r="S724" i="7"/>
  <c r="S610" i="7"/>
  <c r="S496" i="7"/>
  <c r="S899" i="7"/>
  <c r="S151" i="7"/>
  <c r="S900" i="7"/>
  <c r="S902" i="7"/>
  <c r="S897" i="7"/>
  <c r="S898" i="7"/>
  <c r="S901" i="7"/>
  <c r="S264" i="7"/>
  <c r="S268" i="7"/>
  <c r="S833" i="7"/>
  <c r="S834" i="7"/>
  <c r="U500" i="7"/>
  <c r="T500" i="7"/>
  <c r="U614" i="7"/>
  <c r="T614" i="7"/>
  <c r="U728" i="7"/>
  <c r="T728" i="7"/>
  <c r="U842" i="7"/>
  <c r="T842" i="7"/>
  <c r="U615" i="7"/>
  <c r="T615" i="7"/>
  <c r="U672" i="7"/>
  <c r="T672" i="7"/>
  <c r="U786" i="7"/>
  <c r="T786" i="7"/>
  <c r="U503" i="7"/>
  <c r="T503" i="7"/>
  <c r="U560" i="7"/>
  <c r="T560" i="7"/>
  <c r="U731" i="7"/>
  <c r="T731" i="7"/>
  <c r="U845" i="7"/>
  <c r="T845" i="7"/>
  <c r="U726" i="7"/>
  <c r="T726" i="7"/>
  <c r="U555" i="7"/>
  <c r="T555" i="7"/>
  <c r="U783" i="7"/>
  <c r="T783" i="7"/>
  <c r="U499" i="7"/>
  <c r="T499" i="7"/>
  <c r="U613" i="7"/>
  <c r="T613" i="7"/>
  <c r="U727" i="7"/>
  <c r="T727" i="7"/>
  <c r="U841" i="7"/>
  <c r="T841" i="7"/>
  <c r="U559" i="7"/>
  <c r="T559" i="7"/>
  <c r="U673" i="7"/>
  <c r="T673" i="7"/>
  <c r="U787" i="7"/>
  <c r="T787" i="7"/>
  <c r="U557" i="7"/>
  <c r="T557" i="7"/>
  <c r="U671" i="7"/>
  <c r="T671" i="7"/>
  <c r="U785" i="7"/>
  <c r="T785" i="7"/>
  <c r="U501" i="7"/>
  <c r="T501" i="7"/>
  <c r="U558" i="7"/>
  <c r="T558" i="7"/>
  <c r="U729" i="7"/>
  <c r="T729" i="7"/>
  <c r="U843" i="7"/>
  <c r="T843" i="7"/>
  <c r="U617" i="7"/>
  <c r="T617" i="7"/>
  <c r="U674" i="7"/>
  <c r="T674" i="7"/>
  <c r="U788" i="7"/>
  <c r="T788" i="7"/>
  <c r="U669" i="7"/>
  <c r="T669" i="7"/>
  <c r="U498" i="7"/>
  <c r="T498" i="7"/>
  <c r="U612" i="7"/>
  <c r="T612" i="7"/>
  <c r="U840" i="7"/>
  <c r="T840" i="7"/>
  <c r="U556" i="7"/>
  <c r="T556" i="7"/>
  <c r="U670" i="7"/>
  <c r="T670" i="7"/>
  <c r="U784" i="7"/>
  <c r="T784" i="7"/>
  <c r="U502" i="7"/>
  <c r="T502" i="7"/>
  <c r="U616" i="7"/>
  <c r="T616" i="7"/>
  <c r="U730" i="7"/>
  <c r="T730" i="7"/>
  <c r="U844" i="7"/>
  <c r="T844" i="7"/>
  <c r="S380" i="7"/>
  <c r="S263" i="7"/>
  <c r="S267" i="7"/>
  <c r="S266" i="7"/>
  <c r="S379" i="7"/>
  <c r="S382" i="7"/>
  <c r="S272" i="7"/>
  <c r="S273" i="7"/>
  <c r="S275" i="7"/>
  <c r="S271" i="7"/>
  <c r="S274" i="7"/>
  <c r="S386" i="7"/>
  <c r="S389" i="7"/>
  <c r="S385" i="7"/>
  <c r="S388" i="7"/>
  <c r="S149" i="7"/>
  <c r="S270" i="7"/>
  <c r="S377" i="7"/>
  <c r="S387" i="7"/>
  <c r="S384" i="7"/>
  <c r="S150" i="7"/>
  <c r="S154" i="7"/>
  <c r="S153" i="7"/>
  <c r="S436" i="7"/>
  <c r="S437" i="7"/>
  <c r="S439" i="7"/>
  <c r="S434" i="7"/>
  <c r="S435" i="7"/>
  <c r="S438" i="7"/>
  <c r="T443" i="7"/>
  <c r="T444" i="7"/>
  <c r="T446" i="7"/>
  <c r="T441" i="7"/>
  <c r="T442" i="7"/>
  <c r="T445" i="7"/>
  <c r="S94" i="7"/>
  <c r="S206" i="7"/>
  <c r="S325" i="7"/>
  <c r="S320" i="7"/>
  <c r="S321" i="7"/>
  <c r="S324" i="7"/>
  <c r="S322" i="7"/>
  <c r="S323" i="7"/>
  <c r="T329" i="7"/>
  <c r="T330" i="7"/>
  <c r="T332" i="7"/>
  <c r="T327" i="7"/>
  <c r="T328" i="7"/>
  <c r="T331" i="7"/>
  <c r="S207" i="7"/>
  <c r="S210" i="7"/>
  <c r="S208" i="7"/>
  <c r="S209" i="7"/>
  <c r="S211" i="7"/>
  <c r="T158" i="7"/>
  <c r="T159" i="7"/>
  <c r="T161" i="7"/>
  <c r="T156" i="7"/>
  <c r="T157" i="7"/>
  <c r="T160" i="7"/>
  <c r="T215" i="7"/>
  <c r="T216" i="7"/>
  <c r="T218" i="7"/>
  <c r="T213" i="7"/>
  <c r="T214" i="7"/>
  <c r="T217" i="7"/>
  <c r="S95" i="7"/>
  <c r="S97" i="7"/>
  <c r="S92" i="7"/>
  <c r="S93" i="7"/>
  <c r="S96" i="7"/>
  <c r="T101" i="7"/>
  <c r="T104" i="7"/>
  <c r="T99" i="7"/>
  <c r="T102" i="7"/>
  <c r="T100" i="7"/>
  <c r="T103" i="7"/>
  <c r="S159" i="7"/>
  <c r="S844" i="7"/>
  <c r="S730" i="7"/>
  <c r="S616" i="7"/>
  <c r="S502" i="7"/>
  <c r="S784" i="7"/>
  <c r="S670" i="7"/>
  <c r="S556" i="7"/>
  <c r="S840" i="7"/>
  <c r="S612" i="7"/>
  <c r="S498" i="7"/>
  <c r="S669" i="7"/>
  <c r="S788" i="7"/>
  <c r="S674" i="7"/>
  <c r="S617" i="7"/>
  <c r="S843" i="7"/>
  <c r="S729" i="7"/>
  <c r="S558" i="7"/>
  <c r="S501" i="7"/>
  <c r="S785" i="7"/>
  <c r="S671" i="7"/>
  <c r="S557" i="7"/>
  <c r="S787" i="7"/>
  <c r="S673" i="7"/>
  <c r="S559" i="7"/>
  <c r="S841" i="7"/>
  <c r="S727" i="7"/>
  <c r="S613" i="7"/>
  <c r="S499" i="7"/>
  <c r="S783" i="7"/>
  <c r="S555" i="7"/>
  <c r="S726" i="7"/>
  <c r="S845" i="7"/>
  <c r="S731" i="7"/>
  <c r="S560" i="7"/>
  <c r="S503" i="7"/>
  <c r="S786" i="7"/>
  <c r="S672" i="7"/>
  <c r="S615" i="7"/>
  <c r="S842" i="7"/>
  <c r="S728" i="7"/>
  <c r="S614" i="7"/>
  <c r="S500" i="7"/>
  <c r="S158" i="7"/>
  <c r="S160" i="7"/>
  <c r="S161" i="7"/>
  <c r="S156" i="7"/>
  <c r="S157" i="7"/>
  <c r="S331" i="7"/>
  <c r="S328" i="7"/>
  <c r="S327" i="7"/>
  <c r="S332" i="7"/>
  <c r="S445" i="7"/>
  <c r="S442" i="7"/>
  <c r="S446" i="7"/>
  <c r="S444" i="7"/>
  <c r="S443" i="7"/>
  <c r="S330" i="7"/>
  <c r="S329" i="7"/>
  <c r="S441" i="7"/>
  <c r="S217" i="7"/>
  <c r="S214" i="7"/>
  <c r="S213" i="7"/>
  <c r="S218" i="7"/>
  <c r="S216" i="7"/>
  <c r="S215" i="7"/>
  <c r="S103" i="7"/>
  <c r="S100" i="7"/>
  <c r="S102" i="7"/>
  <c r="S99" i="7"/>
  <c r="S101" i="7"/>
  <c r="S104" i="7"/>
  <c r="T21" i="7"/>
  <c r="T22" i="7"/>
  <c r="T42" i="7"/>
  <c r="S51" i="7"/>
  <c r="S49" i="7"/>
  <c r="S50" i="7"/>
  <c r="S48" i="7"/>
  <c r="S53" i="7"/>
  <c r="S54" i="7"/>
  <c r="S55" i="7"/>
  <c r="S56" i="7"/>
  <c r="S52" i="7"/>
  <c r="T23" i="7"/>
  <c r="T43" i="7"/>
  <c r="T35" i="7"/>
  <c r="S33" i="7"/>
  <c r="S32" i="7"/>
  <c r="S27" i="7"/>
  <c r="S31" i="7"/>
  <c r="S30" i="7"/>
  <c r="S29" i="7"/>
  <c r="T24" i="7"/>
  <c r="T44" i="7"/>
  <c r="S44" i="7"/>
  <c r="T36" i="7"/>
  <c r="T25" i="7"/>
  <c r="T45" i="7"/>
  <c r="S45" i="7"/>
  <c r="T37" i="7"/>
  <c r="S37" i="7"/>
  <c r="T38" i="7"/>
  <c r="S38" i="7"/>
  <c r="T26" i="7"/>
  <c r="S26" i="7"/>
  <c r="T46" i="7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9" i="3"/>
  <c r="M8" i="3"/>
  <c r="M7" i="3"/>
  <c r="M5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T47" i="7"/>
  <c r="S47" i="7"/>
  <c r="T39" i="7"/>
  <c r="T40" i="7"/>
  <c r="S40" i="7"/>
  <c r="L9" i="3"/>
  <c r="L8" i="3"/>
  <c r="L7" i="3"/>
  <c r="L6" i="3"/>
  <c r="L5" i="3"/>
  <c r="AY1" i="7"/>
  <c r="AE3" i="3"/>
  <c r="C2" i="9"/>
  <c r="G54" i="3"/>
  <c r="F54" i="3"/>
  <c r="I54" i="3"/>
  <c r="D54" i="3"/>
  <c r="E54" i="3"/>
  <c r="AX1" i="7"/>
  <c r="AI8" i="7"/>
  <c r="AI7" i="7"/>
  <c r="S41" i="7"/>
  <c r="S20" i="7"/>
  <c r="S25" i="7"/>
  <c r="S34" i="7"/>
  <c r="M9" i="9"/>
  <c r="L11" i="9"/>
  <c r="L16" i="9"/>
  <c r="L10" i="9"/>
  <c r="L12" i="9"/>
  <c r="M10" i="9"/>
  <c r="L9" i="9"/>
  <c r="L15" i="9"/>
  <c r="L13" i="9"/>
  <c r="L14" i="9"/>
  <c r="D8" i="9"/>
  <c r="AK8" i="7"/>
  <c r="F13" i="9"/>
  <c r="D13" i="9"/>
  <c r="D12" i="9"/>
  <c r="G14" i="9"/>
  <c r="S39" i="7"/>
  <c r="S46" i="7"/>
  <c r="S24" i="7"/>
  <c r="S43" i="7"/>
  <c r="S23" i="7"/>
  <c r="AE4" i="3"/>
  <c r="S22" i="7"/>
  <c r="S21" i="7"/>
  <c r="D32" i="9"/>
  <c r="D31" i="9"/>
  <c r="AK7" i="7"/>
  <c r="AM8" i="7"/>
  <c r="S36" i="7"/>
  <c r="N10" i="9"/>
  <c r="AE5" i="3"/>
  <c r="S35" i="7"/>
  <c r="S42" i="7"/>
  <c r="F12" i="9"/>
  <c r="M13" i="9"/>
  <c r="M14" i="9"/>
  <c r="M15" i="9"/>
  <c r="G15" i="9"/>
  <c r="AM7" i="7"/>
  <c r="AO8" i="7"/>
  <c r="AE6" i="3"/>
  <c r="M16" i="9"/>
  <c r="N16" i="9"/>
  <c r="M11" i="9"/>
  <c r="N11" i="9"/>
  <c r="G16" i="9"/>
  <c r="AQ8" i="7"/>
  <c r="AO7" i="7"/>
  <c r="AE7" i="3"/>
  <c r="M12" i="9"/>
  <c r="N12" i="9"/>
  <c r="AS8" i="7"/>
  <c r="AQ7" i="7"/>
  <c r="AE8" i="3"/>
  <c r="AS7" i="7"/>
  <c r="AU8" i="7"/>
  <c r="AE9" i="3"/>
  <c r="AU7" i="7"/>
  <c r="AE10" i="3"/>
  <c r="AE11" i="3"/>
  <c r="AE12" i="3"/>
  <c r="AE13" i="3"/>
  <c r="AE14" i="3"/>
  <c r="AE15" i="3"/>
  <c r="AE16" i="3"/>
  <c r="AE17" i="3"/>
  <c r="AE18" i="3"/>
  <c r="AE19" i="3"/>
  <c r="AE20" i="3"/>
  <c r="AD21" i="3"/>
  <c r="AD22" i="3"/>
  <c r="AE21" i="3"/>
  <c r="AD23" i="3"/>
  <c r="AE22" i="3"/>
  <c r="AE23" i="3"/>
  <c r="N14" i="9"/>
  <c r="D9" i="9"/>
  <c r="L7" i="9"/>
  <c r="D11" i="9"/>
  <c r="D10" i="9"/>
  <c r="N15" i="9"/>
  <c r="N13" i="9"/>
  <c r="F9" i="9"/>
  <c r="E10" i="9"/>
  <c r="E11" i="9"/>
  <c r="E12" i="9"/>
  <c r="E8" i="9"/>
  <c r="E9" i="9"/>
  <c r="E13" i="9"/>
  <c r="G12" i="9"/>
  <c r="N9" i="9"/>
  <c r="G10" i="9"/>
  <c r="G11" i="9"/>
  <c r="G9" i="9"/>
  <c r="G13" i="9"/>
  <c r="F10" i="9"/>
  <c r="F11" i="9"/>
  <c r="G8" i="9"/>
  <c r="M7" i="9"/>
  <c r="N7" i="9"/>
  <c r="E14" i="9"/>
  <c r="CB137" i="7"/>
  <c r="CB73" i="7"/>
  <c r="CB9" i="7"/>
  <c r="CB169" i="7"/>
  <c r="CB105" i="7"/>
  <c r="CB41" i="7"/>
  <c r="CB183" i="7"/>
  <c r="CB151" i="7"/>
  <c r="CB119" i="7"/>
  <c r="CB87" i="7"/>
  <c r="CB55" i="7"/>
  <c r="CB23" i="7"/>
  <c r="CB160" i="7"/>
  <c r="CB96" i="7"/>
  <c r="CB32" i="7"/>
  <c r="CB192" i="7"/>
  <c r="CB128" i="7"/>
  <c r="CB64" i="7"/>
  <c r="CB190" i="7"/>
  <c r="CB158" i="7"/>
  <c r="CB126" i="7"/>
  <c r="CB94" i="7"/>
  <c r="CB62" i="7"/>
  <c r="CB30" i="7"/>
  <c r="CB184" i="7"/>
  <c r="CB120" i="7"/>
  <c r="CB56" i="7"/>
  <c r="CB152" i="7"/>
  <c r="CB88" i="7"/>
  <c r="CB24" i="7"/>
  <c r="CB176" i="7"/>
  <c r="CB144" i="7"/>
  <c r="CB112" i="7"/>
  <c r="CB80" i="7"/>
  <c r="CB48" i="7"/>
  <c r="CB16" i="7"/>
  <c r="CB142" i="7"/>
  <c r="CB78" i="7"/>
  <c r="CB174" i="7"/>
  <c r="CB110" i="7"/>
  <c r="CB46" i="7"/>
  <c r="CB168" i="7"/>
  <c r="CB136" i="7"/>
  <c r="CB104" i="7"/>
  <c r="CB72" i="7"/>
  <c r="CB40" i="7"/>
  <c r="CB8" i="7"/>
  <c r="CB134" i="7"/>
  <c r="CB70" i="7"/>
  <c r="CB6" i="7"/>
  <c r="CB166" i="7"/>
  <c r="CB102" i="7"/>
  <c r="CB38" i="7"/>
  <c r="CB172" i="7"/>
  <c r="CB140" i="7"/>
  <c r="CB108" i="7"/>
  <c r="CB76" i="7"/>
  <c r="CB44" i="7"/>
  <c r="CB12" i="7"/>
  <c r="CB139" i="7"/>
  <c r="CB75" i="7"/>
  <c r="CB11" i="7"/>
  <c r="CB171" i="7"/>
  <c r="CB107" i="7"/>
  <c r="CB43" i="7"/>
  <c r="CB187" i="7"/>
  <c r="CB155" i="7"/>
  <c r="CB123" i="7"/>
  <c r="CB91" i="7"/>
  <c r="CB59" i="7"/>
  <c r="CB27" i="7"/>
  <c r="CB181" i="7"/>
  <c r="CB117" i="7"/>
  <c r="CB53" i="7"/>
  <c r="CB149" i="7"/>
  <c r="CB85" i="7"/>
  <c r="CB21" i="7"/>
  <c r="CB177" i="7"/>
  <c r="CB145" i="7"/>
  <c r="CB113" i="7"/>
  <c r="CB81" i="7"/>
  <c r="CB49" i="7"/>
  <c r="CB17" i="7"/>
  <c r="CB34" i="7"/>
  <c r="CA34" i="7"/>
  <c r="CA30" i="7"/>
  <c r="CB26" i="7"/>
  <c r="CA26" i="7"/>
  <c r="CB22" i="7"/>
  <c r="CA22" i="7"/>
  <c r="CB18" i="7"/>
  <c r="CA18" i="7"/>
  <c r="CB14" i="7"/>
  <c r="CA14" i="7"/>
  <c r="CB10" i="7"/>
  <c r="CA10" i="7"/>
  <c r="CA6" i="7"/>
  <c r="CB33" i="7"/>
  <c r="CA33" i="7"/>
  <c r="CB29" i="7"/>
  <c r="CA29" i="7"/>
  <c r="CB25" i="7"/>
  <c r="CA25" i="7"/>
  <c r="CA21" i="7"/>
  <c r="CA17" i="7"/>
  <c r="CB13" i="7"/>
  <c r="CA13" i="7"/>
  <c r="CA9" i="7"/>
  <c r="CB5" i="7"/>
  <c r="CA5" i="7"/>
  <c r="CA32" i="7"/>
  <c r="CB28" i="7"/>
  <c r="CA28" i="7"/>
  <c r="CA24" i="7"/>
  <c r="CB20" i="7"/>
  <c r="CA20" i="7"/>
  <c r="CA16" i="7"/>
  <c r="CA12" i="7"/>
  <c r="CA8" i="7"/>
  <c r="CB31" i="7"/>
  <c r="CA31" i="7"/>
  <c r="CA27" i="7"/>
  <c r="CA23" i="7"/>
  <c r="CB19" i="7"/>
  <c r="CA19" i="7"/>
  <c r="CB15" i="7"/>
  <c r="CA15" i="7"/>
  <c r="CA11" i="7"/>
  <c r="CB7" i="7"/>
  <c r="CA7" i="7"/>
  <c r="CB4" i="7"/>
  <c r="CA4" i="7"/>
  <c r="U43" i="3"/>
  <c r="U44" i="3"/>
  <c r="O44" i="3"/>
  <c r="Q45" i="3"/>
  <c r="U42" i="3"/>
  <c r="K44" i="3"/>
  <c r="Q44" i="3"/>
  <c r="Q42" i="3"/>
  <c r="S44" i="3"/>
  <c r="M43" i="3"/>
  <c r="K43" i="3"/>
  <c r="O45" i="3"/>
  <c r="M42" i="3"/>
  <c r="S41" i="3"/>
  <c r="M45" i="3"/>
  <c r="S42" i="3"/>
  <c r="K45" i="3"/>
  <c r="O43" i="3"/>
  <c r="M41" i="3"/>
  <c r="M44" i="3"/>
  <c r="O42" i="3"/>
  <c r="K41" i="3"/>
  <c r="U41" i="3"/>
  <c r="O41" i="3"/>
  <c r="Q43" i="3"/>
  <c r="S45" i="3"/>
  <c r="U45" i="3"/>
  <c r="K42" i="3"/>
  <c r="S43" i="3"/>
  <c r="Q41" i="3"/>
  <c r="CA3" i="7"/>
  <c r="M130" i="3"/>
  <c r="M98" i="3"/>
  <c r="CB3" i="7"/>
  <c r="R41" i="3"/>
  <c r="P84" i="3"/>
  <c r="L42" i="3"/>
  <c r="P52" i="3"/>
  <c r="T45" i="3"/>
  <c r="P82" i="3"/>
  <c r="P41" i="3"/>
  <c r="P62" i="3"/>
  <c r="L41" i="3"/>
  <c r="P51" i="3"/>
  <c r="N44" i="3"/>
  <c r="P60" i="3"/>
  <c r="L45" i="3"/>
  <c r="P55" i="3"/>
  <c r="N45" i="3"/>
  <c r="P61" i="3"/>
  <c r="N42" i="3"/>
  <c r="P58" i="3"/>
  <c r="P45" i="3"/>
  <c r="P90" i="3"/>
  <c r="N43" i="3"/>
  <c r="P59" i="3"/>
  <c r="R42" i="3"/>
  <c r="P85" i="3"/>
  <c r="V42" i="3"/>
  <c r="P94" i="3"/>
  <c r="V44" i="3"/>
  <c r="P96" i="3"/>
  <c r="T43" i="3"/>
  <c r="P80" i="3"/>
  <c r="V45" i="3"/>
  <c r="P97" i="3"/>
  <c r="R43" i="3"/>
  <c r="P86" i="3"/>
  <c r="V41" i="3"/>
  <c r="P83" i="3"/>
  <c r="P42" i="3"/>
  <c r="P63" i="3"/>
  <c r="N41" i="3"/>
  <c r="P57" i="3"/>
  <c r="P43" i="3"/>
  <c r="P64" i="3"/>
  <c r="T42" i="3"/>
  <c r="P79" i="3"/>
  <c r="T41" i="3"/>
  <c r="P78" i="3"/>
  <c r="L43" i="3"/>
  <c r="P53" i="3"/>
  <c r="T44" i="3"/>
  <c r="P81" i="3"/>
  <c r="R44" i="3"/>
  <c r="P72" i="3"/>
  <c r="L44" i="3"/>
  <c r="P54" i="3"/>
  <c r="R45" i="3"/>
  <c r="P66" i="3"/>
  <c r="Y67" i="7" a="1"/>
  <c r="Y67" i="7"/>
  <c r="P44" i="3"/>
  <c r="P65" i="3"/>
  <c r="V43" i="3"/>
  <c r="P95" i="3"/>
  <c r="N130" i="3"/>
  <c r="CB67" i="7"/>
  <c r="N98" i="3"/>
  <c r="CB35" i="7"/>
  <c r="Y808" i="7" a="1"/>
  <c r="Y808" i="7"/>
  <c r="Y810" i="7" a="1"/>
  <c r="Y810" i="7"/>
  <c r="Y812" i="7" a="1"/>
  <c r="Y812" i="7"/>
  <c r="Y814" i="7" a="1"/>
  <c r="Y814" i="7"/>
  <c r="Y809" i="7" a="1"/>
  <c r="Y809" i="7"/>
  <c r="Y811" i="7" a="1"/>
  <c r="Y811" i="7"/>
  <c r="Y813" i="7" a="1"/>
  <c r="Y813" i="7"/>
  <c r="Y807" i="7" a="1"/>
  <c r="Y807" i="7"/>
  <c r="Y865" i="7" a="1"/>
  <c r="Y865" i="7"/>
  <c r="Y869" i="7" a="1"/>
  <c r="Y869" i="7"/>
  <c r="Y866" i="7" a="1"/>
  <c r="Y866" i="7"/>
  <c r="Y870" i="7" a="1"/>
  <c r="Y870" i="7"/>
  <c r="Y353" i="7" a="1"/>
  <c r="Y353" i="7"/>
  <c r="Y357" i="7" a="1"/>
  <c r="Y357" i="7"/>
  <c r="Y466" i="7" a="1"/>
  <c r="Y466" i="7"/>
  <c r="Y470" i="7" a="1"/>
  <c r="Y470" i="7"/>
  <c r="Y523" i="7" a="1"/>
  <c r="Y523" i="7"/>
  <c r="Y527" i="7" a="1"/>
  <c r="Y527" i="7"/>
  <c r="Y580" i="7" a="1"/>
  <c r="Y580" i="7"/>
  <c r="Y584" i="7" a="1"/>
  <c r="Y584" i="7"/>
  <c r="Y637" i="7" a="1"/>
  <c r="Y637" i="7"/>
  <c r="Y639" i="7" a="1"/>
  <c r="Y639" i="7"/>
  <c r="Y641" i="7" a="1"/>
  <c r="Y641" i="7"/>
  <c r="Y643" i="7" a="1"/>
  <c r="Y643" i="7"/>
  <c r="Y695" i="7" a="1"/>
  <c r="Y695" i="7"/>
  <c r="Y699" i="7" a="1"/>
  <c r="Y699" i="7"/>
  <c r="Y751" i="7" a="1"/>
  <c r="Y751" i="7"/>
  <c r="Y753" i="7" a="1"/>
  <c r="Y753" i="7"/>
  <c r="Y755" i="7" a="1"/>
  <c r="Y755" i="7"/>
  <c r="Y757" i="7" a="1"/>
  <c r="Y757" i="7"/>
  <c r="Y352" i="7" a="1"/>
  <c r="Y352" i="7"/>
  <c r="Y356" i="7" a="1"/>
  <c r="Y356" i="7"/>
  <c r="Y409" i="7" a="1"/>
  <c r="Y409" i="7"/>
  <c r="Y411" i="7" a="1"/>
  <c r="Y411" i="7"/>
  <c r="Y413" i="7" a="1"/>
  <c r="Y413" i="7"/>
  <c r="Y415" i="7" a="1"/>
  <c r="Y415" i="7"/>
  <c r="Y467" i="7" a="1"/>
  <c r="Y467" i="7"/>
  <c r="Y471" i="7" a="1"/>
  <c r="Y471" i="7"/>
  <c r="Y524" i="7" a="1"/>
  <c r="Y524" i="7"/>
  <c r="Y528" i="7" a="1"/>
  <c r="Y528" i="7"/>
  <c r="Y581" i="7" a="1"/>
  <c r="Y581" i="7"/>
  <c r="Y585" i="7" a="1"/>
  <c r="Y585" i="7"/>
  <c r="Y694" i="7" a="1"/>
  <c r="Y694" i="7"/>
  <c r="Y698" i="7" a="1"/>
  <c r="Y698" i="7"/>
  <c r="Y295" i="7" a="1"/>
  <c r="Y295" i="7"/>
  <c r="Y299" i="7" a="1"/>
  <c r="Y299" i="7"/>
  <c r="Y296" i="7" a="1"/>
  <c r="Y296" i="7"/>
  <c r="Y300" i="7" a="1"/>
  <c r="Y300" i="7"/>
  <c r="Y239" i="7" a="1"/>
  <c r="Y239" i="7"/>
  <c r="Y243" i="7" a="1"/>
  <c r="Y243" i="7"/>
  <c r="Y238" i="7" a="1"/>
  <c r="Y238" i="7"/>
  <c r="Y242" i="7" a="1"/>
  <c r="Y242" i="7"/>
  <c r="Y181" i="7" a="1"/>
  <c r="Y181" i="7"/>
  <c r="Y185" i="7" a="1"/>
  <c r="Y185" i="7"/>
  <c r="Y182" i="7" a="1"/>
  <c r="Y182" i="7"/>
  <c r="Y186" i="7" a="1"/>
  <c r="Y186" i="7"/>
  <c r="Y124" i="7" a="1"/>
  <c r="Y124" i="7"/>
  <c r="Y128" i="7" a="1"/>
  <c r="Y128" i="7"/>
  <c r="Y125" i="7" a="1"/>
  <c r="Y125" i="7"/>
  <c r="Y129" i="7" a="1"/>
  <c r="Y129" i="7"/>
  <c r="Y867" i="7" a="1"/>
  <c r="Y867" i="7"/>
  <c r="Y871" i="7" a="1"/>
  <c r="Y871" i="7"/>
  <c r="Y868" i="7" a="1"/>
  <c r="Y868" i="7"/>
  <c r="Y864" i="7" a="1"/>
  <c r="Y864" i="7"/>
  <c r="Y355" i="7" a="1"/>
  <c r="Y355" i="7"/>
  <c r="Y351" i="7" a="1"/>
  <c r="Y351" i="7"/>
  <c r="Y468" i="7" a="1"/>
  <c r="Y468" i="7"/>
  <c r="Y472" i="7" a="1"/>
  <c r="Y472" i="7"/>
  <c r="Y525" i="7" a="1"/>
  <c r="Y525" i="7"/>
  <c r="Y529" i="7" a="1"/>
  <c r="Y529" i="7"/>
  <c r="Y582" i="7" a="1"/>
  <c r="Y582" i="7"/>
  <c r="Y586" i="7" a="1"/>
  <c r="Y586" i="7"/>
  <c r="Y638" i="7" a="1"/>
  <c r="Y638" i="7"/>
  <c r="Y640" i="7" a="1"/>
  <c r="Y640" i="7"/>
  <c r="Y642" i="7" a="1"/>
  <c r="Y642" i="7"/>
  <c r="Y636" i="7" a="1"/>
  <c r="Y636" i="7"/>
  <c r="Y697" i="7" a="1"/>
  <c r="Y697" i="7"/>
  <c r="Y693" i="7" a="1"/>
  <c r="Y693" i="7"/>
  <c r="Y752" i="7" a="1"/>
  <c r="Y752" i="7"/>
  <c r="Y754" i="7" a="1"/>
  <c r="Y754" i="7"/>
  <c r="Y756" i="7" a="1"/>
  <c r="Y756" i="7"/>
  <c r="Y750" i="7" a="1"/>
  <c r="Y750" i="7"/>
  <c r="Y354" i="7" a="1"/>
  <c r="Y354" i="7"/>
  <c r="Y358" i="7" a="1"/>
  <c r="Y358" i="7"/>
  <c r="Y410" i="7" a="1"/>
  <c r="Y410" i="7"/>
  <c r="Y412" i="7" a="1"/>
  <c r="Y412" i="7"/>
  <c r="Y414" i="7" a="1"/>
  <c r="Y414" i="7"/>
  <c r="Y408" i="7" a="1"/>
  <c r="Y408" i="7"/>
  <c r="Y469" i="7" a="1"/>
  <c r="Y469" i="7"/>
  <c r="Y465" i="7" a="1"/>
  <c r="Y465" i="7"/>
  <c r="Y526" i="7" a="1"/>
  <c r="Y526" i="7"/>
  <c r="Y522" i="7" a="1"/>
  <c r="Y522" i="7"/>
  <c r="Y583" i="7" a="1"/>
  <c r="Y583" i="7"/>
  <c r="Y579" i="7" a="1"/>
  <c r="Y579" i="7"/>
  <c r="Y696" i="7" a="1"/>
  <c r="Y696" i="7"/>
  <c r="Y700" i="7" a="1"/>
  <c r="Y700" i="7"/>
  <c r="Y297" i="7" a="1"/>
  <c r="Y297" i="7"/>
  <c r="Y301" i="7" a="1"/>
  <c r="Y301" i="7"/>
  <c r="Y298" i="7" a="1"/>
  <c r="Y298" i="7"/>
  <c r="Y294" i="7" a="1"/>
  <c r="Y294" i="7"/>
  <c r="Y241" i="7" a="1"/>
  <c r="Y241" i="7"/>
  <c r="Y237" i="7" a="1"/>
  <c r="Y237" i="7"/>
  <c r="Y240" i="7" a="1"/>
  <c r="Y240" i="7"/>
  <c r="Y244" i="7" a="1"/>
  <c r="Y244" i="7"/>
  <c r="Y183" i="7" a="1"/>
  <c r="Y183" i="7"/>
  <c r="Y187" i="7" a="1"/>
  <c r="Y187" i="7"/>
  <c r="Y184" i="7" a="1"/>
  <c r="Y184" i="7"/>
  <c r="Y180" i="7" a="1"/>
  <c r="Y180" i="7"/>
  <c r="Y126" i="7" a="1"/>
  <c r="Y126" i="7"/>
  <c r="Y130" i="7" a="1"/>
  <c r="Y130" i="7"/>
  <c r="Y127" i="7" a="1"/>
  <c r="Y127" i="7"/>
  <c r="Y123" i="7" a="1"/>
  <c r="Y123" i="7"/>
  <c r="Y9" i="7" a="1"/>
  <c r="Y9" i="7"/>
  <c r="Y13" i="7" a="1"/>
  <c r="Y13" i="7"/>
  <c r="Y66" i="7" a="1"/>
  <c r="Y66" i="7"/>
  <c r="Y70" i="7" a="1"/>
  <c r="Y70" i="7"/>
  <c r="Y16" i="7" a="1"/>
  <c r="Y16" i="7"/>
  <c r="Y12" i="7" a="1"/>
  <c r="Y12" i="7"/>
  <c r="Y73" i="7" a="1"/>
  <c r="Y73" i="7"/>
  <c r="Y69" i="7" a="1"/>
  <c r="Y69" i="7"/>
  <c r="Y15" i="7" a="1"/>
  <c r="Y15" i="7"/>
  <c r="Y11" i="7" a="1"/>
  <c r="Y11" i="7"/>
  <c r="Y72" i="7" a="1"/>
  <c r="Y72" i="7"/>
  <c r="Y68" i="7" a="1"/>
  <c r="Y68" i="7"/>
  <c r="Y14" i="7" a="1"/>
  <c r="Y14" i="7"/>
  <c r="Y10" i="7" a="1"/>
  <c r="Y10" i="7"/>
  <c r="Y71" i="7" a="1"/>
  <c r="Y71" i="7"/>
  <c r="BR25" i="7"/>
  <c r="BU25" i="7"/>
  <c r="I8" i="9"/>
  <c r="E16" i="9"/>
  <c r="BU24" i="7"/>
  <c r="E15" i="9"/>
  <c r="M8" i="9"/>
  <c r="BT24" i="7"/>
  <c r="L8" i="9"/>
  <c r="N8" i="9"/>
  <c r="BU26" i="7"/>
  <c r="I9" i="9"/>
  <c r="BT28" i="7"/>
  <c r="H11" i="9"/>
  <c r="BT32" i="7"/>
  <c r="F8" i="9"/>
  <c r="BU29" i="7"/>
  <c r="I12" i="9"/>
  <c r="BU28" i="7"/>
  <c r="I11" i="9"/>
  <c r="BU27" i="7"/>
  <c r="I10" i="9"/>
  <c r="BU30" i="7"/>
  <c r="I13" i="9"/>
  <c r="BT25" i="7"/>
  <c r="H8" i="9"/>
  <c r="BT27" i="7"/>
  <c r="H10" i="9"/>
  <c r="BT26" i="7"/>
  <c r="H9" i="9"/>
  <c r="BT29" i="7"/>
  <c r="H12" i="9"/>
  <c r="BT30" i="7"/>
  <c r="H13" i="9"/>
  <c r="T28" i="7"/>
  <c r="S28" i="7"/>
  <c r="BU81" i="7"/>
  <c r="BU82" i="7"/>
  <c r="BU83" i="7"/>
  <c r="BU84" i="7"/>
  <c r="BU85" i="7"/>
  <c r="BU86" i="7"/>
  <c r="BU87" i="7"/>
  <c r="BU138" i="7"/>
  <c r="BU139" i="7"/>
  <c r="BU140" i="7"/>
  <c r="BU141" i="7"/>
  <c r="BU142" i="7"/>
  <c r="BU143" i="7"/>
  <c r="BU144" i="7"/>
  <c r="BU195" i="7"/>
  <c r="BU196" i="7"/>
  <c r="BU197" i="7"/>
  <c r="BU198" i="7"/>
  <c r="BU199" i="7"/>
  <c r="BU200" i="7"/>
  <c r="BU201" i="7"/>
  <c r="BU252" i="7"/>
  <c r="BU253" i="7"/>
  <c r="BU254" i="7"/>
  <c r="BU255" i="7"/>
  <c r="BU256" i="7"/>
  <c r="BU257" i="7"/>
  <c r="BU258" i="7"/>
  <c r="BU309" i="7"/>
  <c r="BU310" i="7"/>
  <c r="BU311" i="7"/>
  <c r="BU312" i="7"/>
  <c r="BU313" i="7"/>
  <c r="BU314" i="7"/>
  <c r="BU315" i="7"/>
  <c r="BU366" i="7"/>
  <c r="BU367" i="7"/>
  <c r="BU368" i="7"/>
  <c r="BU369" i="7"/>
  <c r="BU370" i="7"/>
  <c r="BU371" i="7"/>
  <c r="BU372" i="7"/>
  <c r="BU423" i="7"/>
  <c r="BU424" i="7"/>
  <c r="BU425" i="7"/>
  <c r="BU426" i="7"/>
  <c r="BU427" i="7"/>
  <c r="BU428" i="7"/>
  <c r="BU429" i="7"/>
  <c r="BU480" i="7"/>
  <c r="BU481" i="7"/>
  <c r="BU482" i="7"/>
  <c r="BU483" i="7"/>
  <c r="BU484" i="7"/>
  <c r="BU485" i="7"/>
  <c r="BU486" i="7"/>
  <c r="BU537" i="7"/>
  <c r="BU538" i="7"/>
  <c r="BU539" i="7"/>
  <c r="BU540" i="7"/>
  <c r="BU541" i="7"/>
  <c r="BU542" i="7"/>
  <c r="BU543" i="7"/>
  <c r="BU594" i="7"/>
  <c r="BU595" i="7"/>
  <c r="BU596" i="7"/>
  <c r="BU597" i="7"/>
  <c r="BU598" i="7"/>
  <c r="BU599" i="7"/>
  <c r="BU600" i="7"/>
  <c r="BU651" i="7"/>
  <c r="BU652" i="7"/>
  <c r="BU653" i="7"/>
  <c r="BU654" i="7"/>
  <c r="BU655" i="7"/>
  <c r="BU656" i="7"/>
  <c r="BU657" i="7"/>
  <c r="BU708" i="7"/>
  <c r="BU709" i="7"/>
  <c r="BU710" i="7"/>
  <c r="BU711" i="7"/>
  <c r="BU712" i="7"/>
  <c r="BU713" i="7"/>
  <c r="BU714" i="7"/>
  <c r="BU765" i="7"/>
  <c r="BU766" i="7"/>
  <c r="BU767" i="7"/>
  <c r="BU768" i="7"/>
  <c r="BU769" i="7"/>
  <c r="BU770" i="7"/>
  <c r="BU771" i="7"/>
  <c r="BU822" i="7"/>
  <c r="BU823" i="7"/>
  <c r="BU824" i="7"/>
  <c r="BU825" i="7"/>
  <c r="BU826" i="7"/>
  <c r="BU827" i="7"/>
  <c r="BU828" i="7"/>
  <c r="BU879" i="7"/>
  <c r="BU880" i="7"/>
  <c r="BU881" i="7"/>
  <c r="BU882" i="7"/>
  <c r="BU883" i="7"/>
  <c r="BU884" i="7"/>
  <c r="BU885" i="7"/>
  <c r="BT81" i="7"/>
  <c r="BT82" i="7"/>
  <c r="BT83" i="7"/>
  <c r="BT84" i="7"/>
  <c r="BT85" i="7"/>
  <c r="BT86" i="7"/>
  <c r="BT87" i="7"/>
  <c r="BT89" i="7"/>
  <c r="BT138" i="7"/>
  <c r="BT139" i="7"/>
  <c r="BT140" i="7"/>
  <c r="BT141" i="7"/>
  <c r="BT142" i="7"/>
  <c r="BT143" i="7"/>
  <c r="BT144" i="7"/>
  <c r="BT146" i="7"/>
  <c r="BT195" i="7"/>
  <c r="BT196" i="7"/>
  <c r="BT197" i="7"/>
  <c r="BT198" i="7"/>
  <c r="BT199" i="7"/>
  <c r="BT200" i="7"/>
  <c r="BT201" i="7"/>
  <c r="BT203" i="7"/>
  <c r="BT252" i="7"/>
  <c r="BT253" i="7"/>
  <c r="BT254" i="7"/>
  <c r="BT255" i="7"/>
  <c r="BT256" i="7"/>
  <c r="BT257" i="7"/>
  <c r="BT258" i="7"/>
  <c r="BT260" i="7"/>
  <c r="BT309" i="7"/>
  <c r="BT310" i="7"/>
  <c r="BT311" i="7"/>
  <c r="BT312" i="7"/>
  <c r="BT313" i="7"/>
  <c r="BT314" i="7"/>
  <c r="BT315" i="7"/>
  <c r="BT317" i="7"/>
  <c r="BT366" i="7"/>
  <c r="BT367" i="7"/>
  <c r="BT368" i="7"/>
  <c r="BT369" i="7"/>
  <c r="BT370" i="7"/>
  <c r="BT371" i="7"/>
  <c r="BT372" i="7"/>
  <c r="BT374" i="7"/>
  <c r="BT423" i="7"/>
  <c r="BT424" i="7"/>
  <c r="BT425" i="7"/>
  <c r="BT426" i="7"/>
  <c r="BT427" i="7"/>
  <c r="BT428" i="7"/>
  <c r="BT429" i="7"/>
  <c r="BT431" i="7"/>
  <c r="BT480" i="7"/>
  <c r="BT481" i="7"/>
  <c r="BT482" i="7"/>
  <c r="BT483" i="7"/>
  <c r="BT484" i="7"/>
  <c r="BT485" i="7"/>
  <c r="BT486" i="7"/>
  <c r="BT488" i="7"/>
  <c r="BT537" i="7"/>
  <c r="BT538" i="7"/>
  <c r="BT539" i="7"/>
  <c r="BT540" i="7"/>
  <c r="BT541" i="7"/>
  <c r="BT542" i="7"/>
  <c r="BT543" i="7"/>
  <c r="BT545" i="7"/>
  <c r="BT594" i="7"/>
  <c r="BT595" i="7"/>
  <c r="BT596" i="7"/>
  <c r="BT597" i="7"/>
  <c r="BT598" i="7"/>
  <c r="BT599" i="7"/>
  <c r="BT600" i="7"/>
  <c r="BT602" i="7"/>
  <c r="BT651" i="7"/>
  <c r="BT652" i="7"/>
  <c r="BT653" i="7"/>
  <c r="BT654" i="7"/>
  <c r="BT655" i="7"/>
  <c r="BT656" i="7"/>
  <c r="BT657" i="7"/>
  <c r="BT659" i="7"/>
  <c r="BT708" i="7"/>
  <c r="BT709" i="7"/>
  <c r="BT710" i="7"/>
  <c r="BT711" i="7"/>
  <c r="BT712" i="7"/>
  <c r="BT713" i="7"/>
  <c r="BT714" i="7"/>
  <c r="BT716" i="7"/>
  <c r="BT765" i="7"/>
  <c r="BT766" i="7"/>
  <c r="BT767" i="7"/>
  <c r="BT768" i="7"/>
  <c r="BT769" i="7"/>
  <c r="BT770" i="7"/>
  <c r="BT771" i="7"/>
  <c r="BT773" i="7"/>
  <c r="BT822" i="7"/>
  <c r="BT823" i="7"/>
  <c r="BT824" i="7"/>
  <c r="BT825" i="7"/>
  <c r="BT826" i="7"/>
  <c r="BT827" i="7"/>
  <c r="BT828" i="7"/>
  <c r="BT830" i="7"/>
  <c r="BT879" i="7"/>
  <c r="BT880" i="7"/>
  <c r="BT881" i="7"/>
  <c r="BT882" i="7"/>
  <c r="BT883" i="7"/>
  <c r="BT884" i="7"/>
  <c r="BT885" i="7"/>
  <c r="BT887" i="7"/>
</calcChain>
</file>

<file path=xl/sharedStrings.xml><?xml version="1.0" encoding="utf-8"?>
<sst xmlns="http://schemas.openxmlformats.org/spreadsheetml/2006/main" count="12224" uniqueCount="264">
  <si>
    <t>Aulas Teóricas</t>
  </si>
  <si>
    <t>Estudo Autónomo</t>
  </si>
  <si>
    <t>Sono</t>
  </si>
  <si>
    <t>Deslocação</t>
  </si>
  <si>
    <t>Refeição</t>
  </si>
  <si>
    <t>Aulas Práticas</t>
  </si>
  <si>
    <t>Privado</t>
  </si>
  <si>
    <t>TG</t>
  </si>
  <si>
    <t>EA</t>
  </si>
  <si>
    <t>AT</t>
  </si>
  <si>
    <t>HS</t>
  </si>
  <si>
    <t>HD</t>
  </si>
  <si>
    <t>HR</t>
  </si>
  <si>
    <t>APA</t>
  </si>
  <si>
    <t>DESCRIÇÃO</t>
  </si>
  <si>
    <t>Teste 1</t>
  </si>
  <si>
    <t>Teste 2</t>
  </si>
  <si>
    <t>Teste 3</t>
  </si>
  <si>
    <t>Trabalho</t>
  </si>
  <si>
    <t>ANÁLISE DESVIOS</t>
  </si>
  <si>
    <t>HORÁRIO PLANEADO</t>
  </si>
  <si>
    <t>COMENTÁRIOS</t>
  </si>
  <si>
    <t>HORAS</t>
  </si>
  <si>
    <t>SEMANA 1</t>
  </si>
  <si>
    <t>Segunda</t>
  </si>
  <si>
    <t>Terça</t>
  </si>
  <si>
    <t>Quarta</t>
  </si>
  <si>
    <t>Quinta</t>
  </si>
  <si>
    <t>Sexta</t>
  </si>
  <si>
    <t>Sábado</t>
  </si>
  <si>
    <t>Domingo</t>
  </si>
  <si>
    <t>LISTAGEM DE SIGLAS</t>
  </si>
  <si>
    <t>LISTAGEM DE MOMENTOS AVALIATIVOS</t>
  </si>
  <si>
    <t>DADOS PESSOAIS</t>
  </si>
  <si>
    <t>DADOS</t>
  </si>
  <si>
    <t>INFO</t>
  </si>
  <si>
    <t>NOME</t>
  </si>
  <si>
    <t>Planeado</t>
  </si>
  <si>
    <t>Executado</t>
  </si>
  <si>
    <t>Realizado</t>
  </si>
  <si>
    <t>Disciplinas</t>
  </si>
  <si>
    <t>H ATUAIS</t>
  </si>
  <si>
    <t>Nº ALUNO</t>
  </si>
  <si>
    <t>Tabela por Disciplina</t>
  </si>
  <si>
    <t>Tabela Análise Geral</t>
  </si>
  <si>
    <t>Gráfico de Análise Geral</t>
  </si>
  <si>
    <t>Siglas Categorias</t>
  </si>
  <si>
    <t>Siglas Disciplinas</t>
  </si>
  <si>
    <t>TOTAL</t>
  </si>
  <si>
    <t>Descrição</t>
  </si>
  <si>
    <t>Exame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</si>
  <si>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</si>
  <si>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</si>
  <si>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</si>
  <si>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</si>
  <si>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</si>
  <si>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</si>
  <si>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</si>
  <si>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</si>
  <si>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</si>
  <si>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</si>
  <si>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</si>
  <si>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</si>
  <si>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</si>
  <si>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</si>
  <si>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</si>
  <si>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</si>
  <si>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</si>
  <si>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</si>
  <si>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</si>
  <si>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</si>
  <si>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Semana 21</t>
  </si>
  <si>
    <t>Projecto</t>
  </si>
  <si>
    <t>Estudo Auto (H)</t>
  </si>
  <si>
    <t>Aulas Teóricas (H)</t>
  </si>
  <si>
    <t>Trabalho Gr (H)</t>
  </si>
  <si>
    <t>Desvio (H)</t>
  </si>
  <si>
    <t>Planeado (H)</t>
  </si>
  <si>
    <t>Realizado (H)</t>
  </si>
  <si>
    <t>Relatório1</t>
  </si>
  <si>
    <t>Relatório2</t>
  </si>
  <si>
    <t>Relatório3</t>
  </si>
  <si>
    <t>Relatório4</t>
  </si>
  <si>
    <t>Relatório5</t>
  </si>
  <si>
    <t>Relatório6</t>
  </si>
  <si>
    <t>Datas/Disciplinas</t>
  </si>
  <si>
    <t>Trabalho de Grupo</t>
  </si>
  <si>
    <t>DESVIO RECOMENDADAS</t>
  </si>
  <si>
    <t>SIGLAS</t>
  </si>
  <si>
    <t>RECOMENDADAS</t>
  </si>
  <si>
    <t>DESVIO PLANEADAS</t>
  </si>
  <si>
    <t>PLANEADAS</t>
  </si>
  <si>
    <t>?</t>
  </si>
  <si>
    <t>Teste 4</t>
  </si>
  <si>
    <t>Teste 5</t>
  </si>
  <si>
    <t>Teste 6</t>
  </si>
  <si>
    <t>Projeto 1</t>
  </si>
  <si>
    <t>Projeto 2</t>
  </si>
  <si>
    <t>Projeto 3</t>
  </si>
  <si>
    <t>Projeto 4</t>
  </si>
  <si>
    <t>Projeto 5</t>
  </si>
  <si>
    <t>Projeto 6</t>
  </si>
  <si>
    <t>Trabalho 1</t>
  </si>
  <si>
    <t>Trabalho 2</t>
  </si>
  <si>
    <t>Trabalho 3</t>
  </si>
  <si>
    <t>Trabalho 4</t>
  </si>
  <si>
    <t>Trabalho 5</t>
  </si>
  <si>
    <t>Trabalho 6</t>
  </si>
  <si>
    <t>Exame 1</t>
  </si>
  <si>
    <t>Exame 2</t>
  </si>
  <si>
    <t>Exame 3</t>
  </si>
  <si>
    <t>Exame 4</t>
  </si>
  <si>
    <t>CATEGORIAS</t>
  </si>
  <si>
    <t>1º DIA AULAS</t>
  </si>
  <si>
    <t>PLANEADO</t>
  </si>
  <si>
    <t>REALIZADO</t>
  </si>
  <si>
    <t>PV</t>
  </si>
  <si>
    <t>Categoria</t>
  </si>
  <si>
    <t>Gráfico de Análise por Categoria</t>
  </si>
  <si>
    <t>HORÁRIO</t>
  </si>
  <si>
    <t>-</t>
  </si>
  <si>
    <t>HORAS IDEAIS SEMANAIS</t>
  </si>
  <si>
    <t>UC1</t>
  </si>
  <si>
    <t>UC2</t>
  </si>
  <si>
    <t>UC3</t>
  </si>
  <si>
    <t>UC4</t>
  </si>
  <si>
    <t>UC5</t>
  </si>
  <si>
    <t>UC6</t>
  </si>
  <si>
    <t>EG</t>
  </si>
  <si>
    <t>Estudo em Grupo</t>
  </si>
  <si>
    <t>APB</t>
  </si>
  <si>
    <t>Aulas Problemas</t>
  </si>
  <si>
    <t>LAB</t>
  </si>
  <si>
    <t>Laboratórios</t>
  </si>
  <si>
    <t>MA</t>
  </si>
  <si>
    <t>Momento Avaliativo</t>
  </si>
  <si>
    <t>HDV</t>
  </si>
  <si>
    <t>Horário de Dúvidas</t>
  </si>
  <si>
    <t>Region</t>
  </si>
  <si>
    <t>Product</t>
  </si>
  <si>
    <t>AA</t>
  </si>
  <si>
    <t>CC</t>
  </si>
  <si>
    <t>DD</t>
  </si>
  <si>
    <t>FF</t>
  </si>
  <si>
    <t>GG</t>
  </si>
  <si>
    <t>HH</t>
  </si>
  <si>
    <t>II</t>
  </si>
  <si>
    <t>Siglas Privado</t>
  </si>
  <si>
    <t>UC7</t>
  </si>
  <si>
    <t>UC10</t>
  </si>
  <si>
    <t>UC13</t>
  </si>
  <si>
    <t>UC16</t>
  </si>
  <si>
    <t>UC19</t>
  </si>
  <si>
    <t>UC22</t>
  </si>
  <si>
    <t>UC25</t>
  </si>
  <si>
    <t>UC8</t>
  </si>
  <si>
    <t>UC28</t>
  </si>
  <si>
    <t>UC31</t>
  </si>
  <si>
    <t>UC9</t>
  </si>
  <si>
    <t>UC34</t>
  </si>
  <si>
    <t>UC37</t>
  </si>
  <si>
    <t>UC40</t>
  </si>
  <si>
    <t>UC43</t>
  </si>
  <si>
    <t>UC11</t>
  </si>
  <si>
    <t>UC46</t>
  </si>
  <si>
    <t>UC49</t>
  </si>
  <si>
    <t>UC12</t>
  </si>
  <si>
    <t>UC52</t>
  </si>
  <si>
    <t>UC55</t>
  </si>
  <si>
    <t>UC58</t>
  </si>
  <si>
    <t>UC61</t>
  </si>
  <si>
    <t>UC14</t>
  </si>
  <si>
    <t>UC64</t>
  </si>
  <si>
    <t>UC67</t>
  </si>
  <si>
    <t>UC15</t>
  </si>
  <si>
    <t>UC70</t>
  </si>
  <si>
    <t>UC73</t>
  </si>
  <si>
    <t>UC76</t>
  </si>
  <si>
    <t>UC79</t>
  </si>
  <si>
    <t>UC17</t>
  </si>
  <si>
    <t>UC82</t>
  </si>
  <si>
    <t>UC85</t>
  </si>
  <si>
    <t>UC18</t>
  </si>
  <si>
    <t>UC88</t>
  </si>
  <si>
    <t>UC91</t>
  </si>
  <si>
    <t>UC94</t>
  </si>
  <si>
    <t>UC97</t>
  </si>
  <si>
    <t>UC20</t>
  </si>
  <si>
    <t>UC100</t>
  </si>
  <si>
    <t>UC103</t>
  </si>
  <si>
    <t>UC21</t>
  </si>
  <si>
    <t>UC106</t>
  </si>
  <si>
    <t>UC109</t>
  </si>
  <si>
    <t>UC112</t>
  </si>
  <si>
    <t>UC115</t>
  </si>
  <si>
    <t>UC23</t>
  </si>
  <si>
    <t>UC118</t>
  </si>
  <si>
    <t>MOMENTOS AVALIATIVOS</t>
  </si>
  <si>
    <t>Ferramenta Alfredo Bensaúde</t>
  </si>
  <si>
    <t>Tipo</t>
  </si>
  <si>
    <t>Data</t>
  </si>
  <si>
    <t>PRIORIDADES PARA ESTA SEMANA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</si>
  <si>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</si>
  <si>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</si>
  <si>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</si>
  <si>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</si>
  <si>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</si>
  <si>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</si>
  <si>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</si>
  <si>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</si>
  <si>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</si>
  <si>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</si>
  <si>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</si>
  <si>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</si>
  <si>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DE</t>
  </si>
  <si>
    <t>CLASSIFICAÇÃO OBTIDA</t>
  </si>
  <si>
    <t>Registe aqui o que considera serem as suas três principais prioridades para a semana
(Dica - para criar paragráfos Alt+Enter)</t>
  </si>
  <si>
    <t>Ponderação (%)</t>
  </si>
  <si>
    <t>Classificação obtida</t>
  </si>
  <si>
    <t>Nº DESVIOS</t>
  </si>
  <si>
    <t>Nº COMENTARIOS</t>
  </si>
  <si>
    <t>VERIEDITO</t>
  </si>
  <si>
    <t>ANÁLISE DE AVALIAÇÕES</t>
  </si>
  <si>
    <t>André Fonseca</t>
  </si>
  <si>
    <t>FP</t>
  </si>
  <si>
    <t>Fundamentos de Programação</t>
  </si>
  <si>
    <t>IEI</t>
  </si>
  <si>
    <t>Introdução à Engenharia Informática</t>
  </si>
  <si>
    <t>IAC</t>
  </si>
  <si>
    <t>Introdução à Arquitetura de Computadores</t>
  </si>
  <si>
    <t>AL</t>
  </si>
  <si>
    <t>CDI</t>
  </si>
  <si>
    <t>Cálculo Diferencial e Integral I</t>
  </si>
  <si>
    <t>Álgebra Linear</t>
  </si>
  <si>
    <t>Arranjar os livros e outros materiais necessários para as cadeiras.</t>
  </si>
  <si>
    <t/>
  </si>
  <si>
    <t>Por serem os últimos dias de férias da minha família, troquei algumas horas para poder passar mais tempo com a minha família.</t>
  </si>
  <si>
    <t>Al</t>
  </si>
  <si>
    <t>Entrar num rítmo de estudo para tentar seguír todas as semanas.
Procurar os materiais e livros em falta para as cadeiras.</t>
  </si>
  <si>
    <t>Não obtive o tempo que esperava no computador para chegar a estas horas de FP.</t>
  </si>
  <si>
    <t>Senti o que seria de considerar um pouco de dificuldade ao resolver um exercicio, por isso decidi dedicar um pouco mais de tempo a Algebra.</t>
  </si>
  <si>
    <t>Como adquiri o livro de cálculo, foi-me possível mais horas de estudo do que as que tinha planeado para esta semana.</t>
  </si>
  <si>
    <t>Foquei-me mais em socializar com mais colegas para formar os grupos de IEI e FP e adquirir livros das cadeiras do que em estudar.</t>
  </si>
  <si>
    <t>Começar a estudar relativamente mais Algebra pois o teste aproxima-se.
Trabalhar no relatório de IEI.
Aprender mais python para estar mais à vontade com o trabalho de grupo que sera em pyhon.</t>
  </si>
  <si>
    <t>A realização do Relatório de IEI forçou-me a alterar alguns dos meus estudos.</t>
  </si>
  <si>
    <t>Faz</t>
  </si>
  <si>
    <t>Estudar para o teste de Algebra.
Começar o projecto de FP.</t>
  </si>
  <si>
    <t>Foquei o estudo mais para o teste de Algebra.</t>
  </si>
  <si>
    <t>Foquei-me mais em Algebra, pois tinha teste.</t>
  </si>
  <si>
    <t>E</t>
  </si>
  <si>
    <t>Terminar o Projecto de FP
Estudar mais Algebra</t>
  </si>
  <si>
    <t>Foquei mais álgebra nesta semana.</t>
  </si>
  <si>
    <t>Terminei o projecto de FP, o que demorou um pouco mais do que o esperado.</t>
  </si>
  <si>
    <t xml:space="preserve">Estudar mais IAC.
</t>
  </si>
  <si>
    <t>A ficha de algebra demorou um pouco mais do que o esperado.</t>
  </si>
  <si>
    <t>Estudar IAC para começar a fazer o projecto.
Estudar mais CDI para o teste.
Começar a trabalhar no trabalho de grupo de IEI</t>
  </si>
  <si>
    <t>Senti-me na necessidade de estudar mais IAC de que Algebra e FP.</t>
  </si>
  <si>
    <t>Não tinha planeado, mas lembrei-me a última da hora que tinha que investigar um pouco sobre o RTG</t>
  </si>
  <si>
    <t>Como não pude estudar em grupo AL, estudei sozinho.</t>
  </si>
  <si>
    <t>Estudei mais em grupo.</t>
  </si>
  <si>
    <t>Estudar para o teste de CDI.
Avançar com a entrevista de IEI à empresa.
Avançar no projecto de IAC.</t>
  </si>
  <si>
    <t>Não contava que fosse precisar de tanto tempo para os dois relatórios de IEI</t>
  </si>
  <si>
    <t>A entrevista precisou de um pouco mais tempo do que o esperado</t>
  </si>
  <si>
    <t>Não senti  necessidade de estudar AL quando tinha outras prioridades.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</si>
</sst>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/mm/yyyy\ hh:mm;@"/>
    <numFmt numFmtId="165" formatCode="0.0%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0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2"/>
      <name val="Arial"/>
      <family val="2"/>
    </font>
    <font>
      <b/>
      <sz val="2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7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4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B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9FF"/>
        <bgColor indexed="64"/>
      </patternFill>
    </fill>
    <fill>
      <patternFill patternType="solid">
        <fgColor rgb="FFBDBD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9FE3"/>
        <bgColor indexed="64"/>
      </patternFill>
    </fill>
    <fill>
      <patternFill patternType="solid">
        <fgColor rgb="FFC9EE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B7DB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BC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5"/>
      </patternFill>
    </fill>
    <fill>
      <patternFill patternType="solid">
        <fgColor theme="6" tint="0.79998168889431442"/>
        <bgColor theme="5" tint="0.79998168889431442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</fills>
  <borders count="119">
    <border>
      <left/>
      <right/>
      <top/>
      <bottom/>
      <diagonal/>
    </border>
    <border>
      <left style="thick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/>
      <bottom style="thin">
        <color theme="6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/>
      <right/>
      <top style="thick">
        <color theme="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 style="thin">
        <color rgb="FF00B0F0"/>
      </bottom>
      <diagonal/>
    </border>
    <border>
      <left/>
      <right/>
      <top style="medium">
        <color rgb="FF00B0F0"/>
      </top>
      <bottom style="thin">
        <color rgb="FF00B0F0"/>
      </bottom>
      <diagonal/>
    </border>
    <border>
      <left/>
      <right style="medium">
        <color rgb="FF00B0F0"/>
      </right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thin">
        <color rgb="FF00B0F0"/>
      </top>
      <bottom style="medium">
        <color rgb="FF00B0F0"/>
      </bottom>
      <diagonal/>
    </border>
    <border>
      <left/>
      <right/>
      <top style="thin">
        <color rgb="FF00B0F0"/>
      </top>
      <bottom style="medium">
        <color rgb="FF00B0F0"/>
      </bottom>
      <diagonal/>
    </border>
    <border>
      <left/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/>
      <right style="thin">
        <color theme="8" tint="0.39994506668294322"/>
      </right>
      <top style="thin">
        <color theme="8" tint="0.39997558519241921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/>
      <diagonal/>
    </border>
    <border>
      <left style="thin">
        <color theme="8" tint="0.39994506668294322"/>
      </left>
      <right/>
      <top style="thin">
        <color theme="8" tint="0.39997558519241921"/>
      </top>
      <bottom/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/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/>
      <right style="medium">
        <color rgb="FF00B0F0"/>
      </right>
      <top style="thin">
        <color rgb="FF00B0F0"/>
      </top>
      <bottom/>
      <diagonal/>
    </border>
    <border>
      <left style="thin">
        <color rgb="FF00B0F0"/>
      </left>
      <right/>
      <top style="medium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/>
      <diagonal/>
    </border>
    <border>
      <left style="medium">
        <color rgb="FF00B0F0"/>
      </left>
      <right style="thin">
        <color rgb="FF00B0F0"/>
      </right>
      <top/>
      <bottom/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97DFFF"/>
      </left>
      <right/>
      <top style="medium">
        <color rgb="FF97DFFF"/>
      </top>
      <bottom style="medium">
        <color rgb="FF97DFFF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n">
        <color theme="0" tint="-0.499984740745262"/>
      </bottom>
      <diagonal/>
    </border>
    <border>
      <left/>
      <right/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 style="thick">
        <color rgb="FF00B0F0"/>
      </left>
      <right style="thin">
        <color rgb="FF00B0F0"/>
      </right>
      <top style="thick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ck">
        <color rgb="FF00B0F0"/>
      </top>
      <bottom style="thin">
        <color rgb="FF00B0F0"/>
      </bottom>
      <diagonal/>
    </border>
    <border>
      <left style="thin">
        <color rgb="FF00B0F0"/>
      </left>
      <right style="thick">
        <color rgb="FF00B0F0"/>
      </right>
      <top style="thick">
        <color rgb="FF00B0F0"/>
      </top>
      <bottom style="thin">
        <color rgb="FF00B0F0"/>
      </bottom>
      <diagonal/>
    </border>
    <border>
      <left style="thick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ck">
        <color rgb="FF00B0F0"/>
      </right>
      <top style="thin">
        <color rgb="FF00B0F0"/>
      </top>
      <bottom style="thin">
        <color rgb="FF00B0F0"/>
      </bottom>
      <diagonal/>
    </border>
    <border>
      <left style="thick">
        <color rgb="FF00B0F0"/>
      </left>
      <right style="thin">
        <color rgb="FF00B0F0"/>
      </right>
      <top style="thin">
        <color rgb="FF00B0F0"/>
      </top>
      <bottom style="thick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ck">
        <color rgb="FF00B0F0"/>
      </bottom>
      <diagonal/>
    </border>
    <border>
      <left style="thin">
        <color rgb="FF00B0F0"/>
      </left>
      <right style="thick">
        <color rgb="FF00B0F0"/>
      </right>
      <top style="thin">
        <color rgb="FF00B0F0"/>
      </top>
      <bottom style="thick">
        <color rgb="FF00B0F0"/>
      </bottom>
      <diagonal/>
    </border>
    <border>
      <left/>
      <right style="thick">
        <color rgb="FF00B0F0"/>
      </right>
      <top style="medium">
        <color rgb="FF00B0F0"/>
      </top>
      <bottom style="thin">
        <color rgb="FF00B0F0"/>
      </bottom>
      <diagonal/>
    </border>
    <border>
      <left/>
      <right style="thick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0" tint="-0.499984740745262"/>
      </top>
      <bottom style="thick">
        <color theme="0" tint="-0.499984740745262"/>
      </bottom>
      <diagonal/>
    </border>
    <border>
      <left style="thin">
        <color rgb="FF00B0F0"/>
      </left>
      <right/>
      <top style="thin">
        <color rgb="FF00B0F0"/>
      </top>
      <bottom style="thick">
        <color rgb="FF00B0F0"/>
      </bottom>
      <diagonal/>
    </border>
    <border>
      <left/>
      <right/>
      <top style="thin">
        <color rgb="FF00B0F0"/>
      </top>
      <bottom style="thick">
        <color rgb="FF00B0F0"/>
      </bottom>
      <diagonal/>
    </border>
    <border>
      <left style="medium">
        <color rgb="FF00B0F0"/>
      </left>
      <right style="thick">
        <color rgb="FF00B0F0"/>
      </right>
      <top style="thin">
        <color rgb="FF00B0F0"/>
      </top>
      <bottom style="thick">
        <color rgb="FF00B0F0"/>
      </bottom>
      <diagonal/>
    </border>
    <border diagonalUp="1">
      <left/>
      <right/>
      <top/>
      <bottom/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6"/>
      </bottom>
      <diagonal/>
    </border>
    <border>
      <left style="thick">
        <color theme="6"/>
      </left>
      <right style="thin">
        <color theme="6"/>
      </right>
      <top/>
      <bottom style="thick">
        <color theme="6"/>
      </bottom>
      <diagonal/>
    </border>
    <border>
      <left style="thin">
        <color theme="6"/>
      </left>
      <right style="thin">
        <color theme="6"/>
      </right>
      <top/>
      <bottom style="thick">
        <color theme="6"/>
      </bottom>
      <diagonal/>
    </border>
    <border>
      <left style="thin">
        <color theme="6"/>
      </left>
      <right style="thick">
        <color theme="6"/>
      </right>
      <top/>
      <bottom style="thick">
        <color theme="6"/>
      </bottom>
      <diagonal/>
    </border>
    <border>
      <left/>
      <right/>
      <top/>
      <bottom style="thick">
        <color theme="6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6"/>
      </left>
      <right style="thin">
        <color theme="6"/>
      </right>
      <top style="thick">
        <color theme="6"/>
      </top>
      <bottom/>
      <diagonal/>
    </border>
    <border>
      <left style="thin">
        <color theme="6"/>
      </left>
      <right style="thin">
        <color theme="6"/>
      </right>
      <top style="thick">
        <color theme="6"/>
      </top>
      <bottom/>
      <diagonal/>
    </border>
    <border>
      <left style="thin">
        <color theme="6"/>
      </left>
      <right style="thick">
        <color theme="6"/>
      </right>
      <top style="thick">
        <color theme="6"/>
      </top>
      <bottom/>
      <diagonal/>
    </border>
    <border>
      <left style="thick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ck">
        <color theme="6"/>
      </right>
      <top/>
      <bottom/>
      <diagonal/>
    </border>
    <border>
      <left style="medium">
        <color theme="0"/>
      </left>
      <right style="thick">
        <color theme="6"/>
      </right>
      <top style="medium">
        <color theme="0"/>
      </top>
      <bottom style="thick">
        <color theme="0"/>
      </bottom>
      <diagonal/>
    </border>
    <border>
      <left/>
      <right/>
      <top style="thick">
        <color theme="6"/>
      </top>
      <bottom/>
      <diagonal/>
    </border>
    <border>
      <left style="thick">
        <color theme="0"/>
      </left>
      <right style="medium">
        <color theme="0"/>
      </right>
      <top style="thick">
        <color theme="6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6"/>
      </top>
      <bottom style="medium">
        <color theme="0"/>
      </bottom>
      <diagonal/>
    </border>
    <border>
      <left style="medium">
        <color theme="0"/>
      </left>
      <right style="thick">
        <color theme="6"/>
      </right>
      <top style="thick">
        <color theme="6"/>
      </top>
      <bottom style="medium">
        <color theme="0"/>
      </bottom>
      <diagonal/>
    </border>
    <border>
      <left style="thick">
        <color theme="6"/>
      </left>
      <right style="medium">
        <color theme="0"/>
      </right>
      <top style="thick">
        <color theme="6"/>
      </top>
      <bottom style="medium">
        <color theme="0"/>
      </bottom>
      <diagonal/>
    </border>
    <border>
      <left style="thick">
        <color theme="6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medium">
        <color rgb="FF00B0F0"/>
      </left>
      <right/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/>
      <right/>
      <top style="thin">
        <color theme="8" tint="0.39997558519241921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54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6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6" borderId="0" xfId="0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6" borderId="0" xfId="0" applyFont="1" applyFill="1" applyBorder="1" applyAlignment="1" applyProtection="1">
      <alignment vertical="center"/>
      <protection hidden="1"/>
    </xf>
    <xf numFmtId="0" fontId="12" fillId="6" borderId="2" xfId="0" applyFont="1" applyFill="1" applyBorder="1" applyAlignment="1" applyProtection="1">
      <alignment horizontal="center" vertical="center" wrapText="1"/>
      <protection hidden="1"/>
    </xf>
    <xf numFmtId="0" fontId="5" fillId="6" borderId="0" xfId="0" applyFont="1" applyFill="1" applyProtection="1">
      <protection hidden="1"/>
    </xf>
    <xf numFmtId="0" fontId="0" fillId="6" borderId="0" xfId="0" applyFill="1" applyAlignment="1" applyProtection="1">
      <alignment horizontal="center" vertical="center" wrapText="1"/>
      <protection hidden="1"/>
    </xf>
    <xf numFmtId="0" fontId="0" fillId="6" borderId="0" xfId="0" applyFill="1" applyProtection="1">
      <protection hidden="1"/>
    </xf>
    <xf numFmtId="0" fontId="25" fillId="0" borderId="20" xfId="0" applyFont="1" applyFill="1" applyBorder="1" applyAlignment="1" applyProtection="1">
      <alignment vertical="center"/>
      <protection hidden="1"/>
    </xf>
    <xf numFmtId="0" fontId="5" fillId="3" borderId="1" xfId="0" applyFont="1" applyFill="1" applyBorder="1" applyAlignment="1" applyProtection="1">
      <alignment horizontal="center" vertical="center"/>
      <protection hidden="1"/>
    </xf>
    <xf numFmtId="20" fontId="5" fillId="6" borderId="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horizontal="right" vertical="center"/>
      <protection hidden="1"/>
    </xf>
    <xf numFmtId="0" fontId="15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20" fillId="11" borderId="13" xfId="0" applyFont="1" applyFill="1" applyBorder="1" applyAlignment="1" applyProtection="1">
      <alignment horizontal="center" vertical="center"/>
      <protection hidden="1"/>
    </xf>
    <xf numFmtId="0" fontId="20" fillId="11" borderId="14" xfId="0" applyFont="1" applyFill="1" applyBorder="1" applyAlignment="1" applyProtection="1">
      <alignment horizontal="center" vertical="center"/>
      <protection hidden="1"/>
    </xf>
    <xf numFmtId="0" fontId="20" fillId="11" borderId="0" xfId="0" applyFont="1" applyFill="1" applyBorder="1" applyAlignment="1" applyProtection="1">
      <alignment horizontal="center" vertical="center"/>
      <protection hidden="1"/>
    </xf>
    <xf numFmtId="0" fontId="16" fillId="11" borderId="16" xfId="0" applyFont="1" applyFill="1" applyBorder="1" applyAlignment="1" applyProtection="1">
      <alignment horizontal="center" vertical="center"/>
      <protection hidden="1"/>
    </xf>
    <xf numFmtId="2" fontId="23" fillId="0" borderId="16" xfId="0" applyNumberFormat="1" applyFont="1" applyBorder="1" applyAlignment="1" applyProtection="1">
      <alignment horizontal="center" vertical="center"/>
      <protection hidden="1"/>
    </xf>
    <xf numFmtId="2" fontId="21" fillId="0" borderId="16" xfId="0" applyNumberFormat="1" applyFont="1" applyBorder="1" applyAlignment="1" applyProtection="1">
      <alignment horizontal="center" vertical="center"/>
      <protection hidden="1"/>
    </xf>
    <xf numFmtId="2" fontId="19" fillId="0" borderId="16" xfId="0" applyNumberFormat="1" applyFont="1" applyBorder="1" applyAlignment="1" applyProtection="1">
      <alignment horizontal="center" vertical="center"/>
      <protection hidden="1"/>
    </xf>
    <xf numFmtId="0" fontId="10" fillId="11" borderId="16" xfId="0" applyFont="1" applyFill="1" applyBorder="1" applyAlignment="1" applyProtection="1">
      <alignment horizontal="center" vertical="center"/>
      <protection hidden="1"/>
    </xf>
    <xf numFmtId="0" fontId="22" fillId="0" borderId="17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2" fontId="17" fillId="0" borderId="18" xfId="0" applyNumberFormat="1" applyFont="1" applyBorder="1" applyAlignment="1" applyProtection="1">
      <alignment horizontal="center" vertical="center"/>
      <protection hidden="1"/>
    </xf>
    <xf numFmtId="2" fontId="19" fillId="0" borderId="18" xfId="0" applyNumberFormat="1" applyFont="1" applyBorder="1" applyAlignment="1" applyProtection="1">
      <alignment horizontal="center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2" fontId="17" fillId="0" borderId="10" xfId="0" applyNumberFormat="1" applyFont="1" applyBorder="1" applyAlignment="1" applyProtection="1">
      <alignment horizontal="center" vertical="center"/>
      <protection hidden="1"/>
    </xf>
    <xf numFmtId="2" fontId="19" fillId="0" borderId="10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2" fontId="17" fillId="0" borderId="0" xfId="0" applyNumberFormat="1" applyFont="1" applyBorder="1" applyAlignment="1" applyProtection="1">
      <alignment horizontal="center" vertical="center"/>
      <protection hidden="1"/>
    </xf>
    <xf numFmtId="2" fontId="19" fillId="0" borderId="0" xfId="0" applyNumberFormat="1" applyFont="1" applyBorder="1" applyAlignment="1" applyProtection="1">
      <alignment horizontal="center" vertical="center"/>
      <protection hidden="1"/>
    </xf>
    <xf numFmtId="0" fontId="20" fillId="9" borderId="11" xfId="0" applyFont="1" applyFill="1" applyBorder="1" applyAlignment="1" applyProtection="1">
      <alignment horizontal="center" vertical="center"/>
      <protection hidden="1"/>
    </xf>
    <xf numFmtId="0" fontId="20" fillId="9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 indent="2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20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 hidden="1"/>
    </xf>
    <xf numFmtId="14" fontId="0" fillId="0" borderId="0" xfId="0" applyNumberFormat="1" applyAlignment="1" applyProtection="1">
      <alignment horizontal="center"/>
      <protection locked="0" hidden="1"/>
    </xf>
    <xf numFmtId="0" fontId="1" fillId="15" borderId="0" xfId="0" applyFont="1" applyFill="1" applyAlignment="1" applyProtection="1">
      <alignment horizontal="center" vertical="center"/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center"/>
      <protection hidden="1"/>
    </xf>
    <xf numFmtId="0" fontId="0" fillId="13" borderId="19" xfId="0" applyFont="1" applyFill="1" applyBorder="1" applyAlignment="1" applyProtection="1">
      <alignment horizontal="center"/>
      <protection locked="0" hidden="1"/>
    </xf>
    <xf numFmtId="0" fontId="0" fillId="0" borderId="19" xfId="0" applyFont="1" applyBorder="1" applyAlignment="1" applyProtection="1">
      <alignment horizontal="center"/>
      <protection locked="0" hidden="1"/>
    </xf>
    <xf numFmtId="0" fontId="11" fillId="0" borderId="0" xfId="0" applyFont="1" applyAlignment="1" applyProtection="1">
      <alignment horizontal="left" vertical="center"/>
      <protection hidden="1"/>
    </xf>
    <xf numFmtId="0" fontId="7" fillId="18" borderId="0" xfId="0" applyFont="1" applyFill="1" applyBorder="1" applyAlignment="1">
      <alignment horizontal="center" vertical="center"/>
    </xf>
    <xf numFmtId="14" fontId="0" fillId="0" borderId="0" xfId="0" applyNumberFormat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" fontId="17" fillId="0" borderId="16" xfId="0" applyNumberFormat="1" applyFont="1" applyBorder="1" applyAlignment="1" applyProtection="1">
      <alignment horizontal="center" vertical="center"/>
      <protection hidden="1"/>
    </xf>
    <xf numFmtId="0" fontId="0" fillId="13" borderId="19" xfId="0" applyFont="1" applyFill="1" applyBorder="1" applyAlignment="1" applyProtection="1">
      <alignment horizontal="center"/>
      <protection hidden="1"/>
    </xf>
    <xf numFmtId="0" fontId="0" fillId="0" borderId="19" xfId="0" applyFont="1" applyBorder="1" applyAlignment="1" applyProtection="1">
      <alignment horizontal="center"/>
      <protection hidden="1"/>
    </xf>
    <xf numFmtId="0" fontId="34" fillId="0" borderId="22" xfId="0" applyFont="1" applyFill="1" applyBorder="1" applyAlignment="1" applyProtection="1">
      <alignment vertical="center" wrapText="1"/>
      <protection hidden="1"/>
    </xf>
    <xf numFmtId="0" fontId="30" fillId="0" borderId="22" xfId="0" applyFont="1" applyFill="1" applyBorder="1" applyAlignment="1" applyProtection="1">
      <alignment vertical="center" wrapText="1"/>
      <protection hidden="1"/>
    </xf>
    <xf numFmtId="0" fontId="33" fillId="0" borderId="22" xfId="0" applyFont="1" applyFill="1" applyBorder="1" applyAlignment="1" applyProtection="1">
      <alignment vertical="center" wrapText="1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19" borderId="46" xfId="0" applyFont="1" applyFill="1" applyBorder="1" applyAlignment="1" applyProtection="1">
      <alignment horizontal="center" vertical="center"/>
      <protection locked="0"/>
    </xf>
    <xf numFmtId="14" fontId="0" fillId="19" borderId="46" xfId="0" applyNumberFormat="1" applyFont="1" applyFill="1" applyBorder="1" applyAlignment="1" applyProtection="1">
      <alignment horizontal="center" vertical="center"/>
      <protection locked="0"/>
    </xf>
    <xf numFmtId="0" fontId="1" fillId="20" borderId="46" xfId="0" applyFont="1" applyFill="1" applyBorder="1" applyAlignment="1" applyProtection="1">
      <alignment horizontal="center" vertical="center"/>
      <protection locked="0"/>
    </xf>
    <xf numFmtId="14" fontId="0" fillId="20" borderId="46" xfId="0" applyNumberFormat="1" applyFont="1" applyFill="1" applyBorder="1" applyAlignment="1" applyProtection="1">
      <alignment horizontal="center" vertical="center"/>
      <protection locked="0"/>
    </xf>
    <xf numFmtId="0" fontId="1" fillId="20" borderId="29" xfId="0" applyFont="1" applyFill="1" applyBorder="1" applyAlignment="1" applyProtection="1">
      <alignment horizontal="center" vertical="center"/>
      <protection locked="0"/>
    </xf>
    <xf numFmtId="14" fontId="0" fillId="20" borderId="29" xfId="0" applyNumberFormat="1" applyFont="1" applyFill="1" applyBorder="1" applyAlignment="1" applyProtection="1">
      <alignment horizontal="center" vertical="center"/>
      <protection locked="0"/>
    </xf>
    <xf numFmtId="0" fontId="7" fillId="12" borderId="47" xfId="0" applyFont="1" applyFill="1" applyBorder="1" applyAlignment="1" applyProtection="1">
      <alignment horizontal="center" vertical="center"/>
      <protection hidden="1"/>
    </xf>
    <xf numFmtId="0" fontId="7" fillId="12" borderId="48" xfId="0" applyFont="1" applyFill="1" applyBorder="1" applyAlignment="1" applyProtection="1">
      <alignment horizontal="center" vertical="center"/>
      <protection hidden="1"/>
    </xf>
    <xf numFmtId="0" fontId="7" fillId="12" borderId="49" xfId="0" applyFont="1" applyFill="1" applyBorder="1" applyAlignment="1" applyProtection="1">
      <alignment horizontal="center" vertical="center"/>
      <protection hidden="1"/>
    </xf>
    <xf numFmtId="0" fontId="7" fillId="12" borderId="50" xfId="0" applyFont="1" applyFill="1" applyBorder="1" applyAlignment="1" applyProtection="1">
      <alignment horizontal="center" vertical="center"/>
      <protection hidden="1"/>
    </xf>
    <xf numFmtId="0" fontId="7" fillId="12" borderId="51" xfId="0" applyFont="1" applyFill="1" applyBorder="1" applyAlignment="1" applyProtection="1">
      <alignment horizontal="center" vertical="center"/>
      <protection hidden="1"/>
    </xf>
    <xf numFmtId="0" fontId="7" fillId="12" borderId="52" xfId="0" applyFont="1" applyFill="1" applyBorder="1" applyAlignment="1" applyProtection="1">
      <alignment horizontal="center" vertical="center"/>
      <protection hidden="1"/>
    </xf>
    <xf numFmtId="0" fontId="39" fillId="0" borderId="0" xfId="0" applyFont="1" applyProtection="1">
      <protection hidden="1"/>
    </xf>
    <xf numFmtId="20" fontId="5" fillId="3" borderId="35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55" xfId="0" applyFont="1" applyFill="1" applyBorder="1" applyAlignment="1" applyProtection="1">
      <alignment horizontal="center" vertical="center" wrapText="1"/>
      <protection hidden="1"/>
    </xf>
    <xf numFmtId="9" fontId="10" fillId="0" borderId="55" xfId="1" applyFont="1" applyFill="1" applyBorder="1" applyAlignment="1" applyProtection="1">
      <alignment horizontal="center" vertical="center"/>
      <protection hidden="1"/>
    </xf>
    <xf numFmtId="0" fontId="9" fillId="0" borderId="55" xfId="0" applyFont="1" applyFill="1" applyBorder="1" applyAlignment="1" applyProtection="1">
      <alignment horizontal="center" vertical="center"/>
      <protection hidden="1"/>
    </xf>
    <xf numFmtId="9" fontId="10" fillId="0" borderId="56" xfId="1" applyFont="1" applyFill="1" applyBorder="1" applyAlignment="1" applyProtection="1">
      <alignment horizontal="center" vertical="center"/>
      <protection hidden="1"/>
    </xf>
    <xf numFmtId="0" fontId="1" fillId="29" borderId="41" xfId="0" applyFont="1" applyFill="1" applyBorder="1" applyAlignment="1" applyProtection="1">
      <alignment horizontal="center" vertical="center"/>
      <protection hidden="1"/>
    </xf>
    <xf numFmtId="0" fontId="1" fillId="0" borderId="30" xfId="0" applyFont="1" applyFill="1" applyBorder="1" applyAlignment="1" applyProtection="1">
      <alignment horizontal="center" vertical="center" wrapText="1"/>
      <protection hidden="1"/>
    </xf>
    <xf numFmtId="9" fontId="10" fillId="0" borderId="30" xfId="1" applyFont="1" applyFill="1" applyBorder="1" applyAlignment="1" applyProtection="1">
      <alignment horizontal="center" vertical="center"/>
      <protection hidden="1"/>
    </xf>
    <xf numFmtId="0" fontId="9" fillId="0" borderId="30" xfId="0" applyFont="1" applyFill="1" applyBorder="1" applyAlignment="1" applyProtection="1">
      <alignment horizontal="center" vertical="center"/>
      <protection hidden="1"/>
    </xf>
    <xf numFmtId="9" fontId="10" fillId="0" borderId="42" xfId="1" applyFont="1" applyFill="1" applyBorder="1" applyAlignment="1" applyProtection="1">
      <alignment horizontal="center" vertical="center"/>
      <protection hidden="1"/>
    </xf>
    <xf numFmtId="0" fontId="1" fillId="7" borderId="41" xfId="0" applyFont="1" applyFill="1" applyBorder="1" applyAlignment="1" applyProtection="1">
      <alignment horizontal="center" vertical="center"/>
      <protection hidden="1"/>
    </xf>
    <xf numFmtId="0" fontId="1" fillId="2" borderId="43" xfId="0" applyFont="1" applyFill="1" applyBorder="1" applyAlignment="1" applyProtection="1">
      <alignment horizontal="center" vertical="center"/>
      <protection hidden="1"/>
    </xf>
    <xf numFmtId="0" fontId="1" fillId="0" borderId="44" xfId="0" applyFont="1" applyFill="1" applyBorder="1" applyAlignment="1" applyProtection="1">
      <alignment horizontal="center" vertical="center" wrapText="1"/>
      <protection hidden="1"/>
    </xf>
    <xf numFmtId="9" fontId="10" fillId="0" borderId="44" xfId="1" applyFont="1" applyFill="1" applyBorder="1" applyAlignment="1" applyProtection="1">
      <alignment horizontal="center" vertical="center"/>
      <protection hidden="1"/>
    </xf>
    <xf numFmtId="0" fontId="9" fillId="0" borderId="44" xfId="0" applyFont="1" applyFill="1" applyBorder="1" applyAlignment="1" applyProtection="1">
      <alignment horizontal="center" vertical="center"/>
      <protection hidden="1"/>
    </xf>
    <xf numFmtId="9" fontId="10" fillId="0" borderId="45" xfId="1" applyFont="1" applyFill="1" applyBorder="1" applyAlignment="1" applyProtection="1">
      <alignment horizontal="center" vertical="center"/>
      <protection hidden="1"/>
    </xf>
    <xf numFmtId="0" fontId="1" fillId="24" borderId="40" xfId="0" applyFont="1" applyFill="1" applyBorder="1" applyAlignment="1" applyProtection="1">
      <alignment horizontal="center" vertical="center"/>
      <protection hidden="1"/>
    </xf>
    <xf numFmtId="0" fontId="9" fillId="0" borderId="55" xfId="0" applyFont="1" applyBorder="1" applyAlignment="1" applyProtection="1">
      <alignment horizontal="center" vertical="center" wrapText="1"/>
      <protection hidden="1"/>
    </xf>
    <xf numFmtId="0" fontId="1" fillId="27" borderId="41" xfId="0" applyFont="1" applyFill="1" applyBorder="1" applyAlignment="1" applyProtection="1">
      <alignment horizontal="center" vertical="center"/>
      <protection hidden="1"/>
    </xf>
    <xf numFmtId="0" fontId="9" fillId="0" borderId="30" xfId="0" applyFont="1" applyBorder="1" applyAlignment="1" applyProtection="1">
      <alignment horizontal="center" vertical="center" wrapText="1"/>
      <protection hidden="1"/>
    </xf>
    <xf numFmtId="0" fontId="1" fillId="4" borderId="43" xfId="0" applyFont="1" applyFill="1" applyBorder="1" applyAlignment="1" applyProtection="1">
      <alignment horizontal="center" vertical="center"/>
      <protection hidden="1"/>
    </xf>
    <xf numFmtId="0" fontId="1" fillId="28" borderId="40" xfId="0" applyFont="1" applyFill="1" applyBorder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center" vertical="center"/>
      <protection hidden="1"/>
    </xf>
    <xf numFmtId="0" fontId="1" fillId="8" borderId="41" xfId="0" applyFont="1" applyFill="1" applyBorder="1" applyAlignment="1" applyProtection="1">
      <alignment horizontal="center" vertical="center"/>
      <protection hidden="1"/>
    </xf>
    <xf numFmtId="0" fontId="26" fillId="0" borderId="30" xfId="0" applyFont="1" applyFill="1" applyBorder="1" applyAlignment="1" applyProtection="1">
      <alignment horizontal="center" vertical="center" wrapText="1"/>
      <protection hidden="1"/>
    </xf>
    <xf numFmtId="0" fontId="9" fillId="0" borderId="30" xfId="0" applyFont="1" applyFill="1" applyBorder="1" applyAlignment="1" applyProtection="1">
      <alignment horizontal="center" vertical="center" wrapText="1"/>
      <protection hidden="1"/>
    </xf>
    <xf numFmtId="0" fontId="26" fillId="0" borderId="44" xfId="0" applyFont="1" applyFill="1" applyBorder="1" applyAlignment="1" applyProtection="1">
      <alignment horizontal="center" vertical="center" wrapText="1"/>
      <protection hidden="1"/>
    </xf>
    <xf numFmtId="0" fontId="9" fillId="0" borderId="44" xfId="0" applyFont="1" applyFill="1" applyBorder="1" applyAlignment="1" applyProtection="1">
      <alignment horizontal="center" vertical="center" wrapText="1"/>
      <protection hidden="1"/>
    </xf>
    <xf numFmtId="0" fontId="35" fillId="22" borderId="57" xfId="0" applyFont="1" applyFill="1" applyBorder="1" applyAlignment="1" applyProtection="1">
      <alignment horizontal="center" vertical="center"/>
      <protection hidden="1"/>
    </xf>
    <xf numFmtId="0" fontId="35" fillId="22" borderId="58" xfId="0" applyFont="1" applyFill="1" applyBorder="1" applyAlignment="1" applyProtection="1">
      <alignment horizontal="center" vertical="center"/>
      <protection hidden="1"/>
    </xf>
    <xf numFmtId="0" fontId="30" fillId="22" borderId="58" xfId="0" applyFont="1" applyFill="1" applyBorder="1" applyAlignment="1" applyProtection="1">
      <alignment horizontal="center" vertical="center"/>
      <protection hidden="1"/>
    </xf>
    <xf numFmtId="0" fontId="35" fillId="22" borderId="59" xfId="0" applyFont="1" applyFill="1" applyBorder="1" applyAlignment="1" applyProtection="1">
      <alignment horizontal="center" vertical="center"/>
      <protection hidden="1"/>
    </xf>
    <xf numFmtId="0" fontId="36" fillId="23" borderId="57" xfId="0" applyFont="1" applyFill="1" applyBorder="1" applyAlignment="1" applyProtection="1">
      <alignment horizontal="center" vertical="center"/>
      <protection hidden="1"/>
    </xf>
    <xf numFmtId="0" fontId="36" fillId="23" borderId="58" xfId="0" applyFont="1" applyFill="1" applyBorder="1" applyAlignment="1" applyProtection="1">
      <alignment horizontal="center" vertical="center"/>
      <protection hidden="1"/>
    </xf>
    <xf numFmtId="0" fontId="30" fillId="23" borderId="58" xfId="0" applyFont="1" applyFill="1" applyBorder="1" applyAlignment="1" applyProtection="1">
      <alignment horizontal="center" vertical="center"/>
      <protection hidden="1"/>
    </xf>
    <xf numFmtId="0" fontId="36" fillId="23" borderId="59" xfId="0" applyFont="1" applyFill="1" applyBorder="1" applyAlignment="1" applyProtection="1">
      <alignment horizontal="center" vertical="center"/>
      <protection hidden="1"/>
    </xf>
    <xf numFmtId="0" fontId="37" fillId="25" borderId="57" xfId="0" applyFont="1" applyFill="1" applyBorder="1" applyAlignment="1" applyProtection="1">
      <alignment horizontal="center" vertical="center"/>
      <protection hidden="1"/>
    </xf>
    <xf numFmtId="0" fontId="37" fillId="25" borderId="58" xfId="0" applyFont="1" applyFill="1" applyBorder="1" applyAlignment="1" applyProtection="1">
      <alignment horizontal="center" vertical="center"/>
      <protection hidden="1"/>
    </xf>
    <xf numFmtId="0" fontId="30" fillId="25" borderId="58" xfId="0" applyFont="1" applyFill="1" applyBorder="1" applyAlignment="1" applyProtection="1">
      <alignment horizontal="center" vertical="center"/>
      <protection hidden="1"/>
    </xf>
    <xf numFmtId="0" fontId="37" fillId="25" borderId="59" xfId="0" applyFont="1" applyFill="1" applyBorder="1" applyAlignment="1" applyProtection="1">
      <alignment horizontal="center" vertical="center"/>
      <protection hidden="1"/>
    </xf>
    <xf numFmtId="0" fontId="38" fillId="26" borderId="57" xfId="0" applyFont="1" applyFill="1" applyBorder="1" applyAlignment="1" applyProtection="1">
      <alignment horizontal="center" vertical="center"/>
      <protection hidden="1"/>
    </xf>
    <xf numFmtId="0" fontId="38" fillId="26" borderId="58" xfId="0" applyFont="1" applyFill="1" applyBorder="1" applyAlignment="1" applyProtection="1">
      <alignment horizontal="center" vertical="center"/>
      <protection hidden="1"/>
    </xf>
    <xf numFmtId="0" fontId="30" fillId="26" borderId="58" xfId="0" applyFont="1" applyFill="1" applyBorder="1" applyAlignment="1" applyProtection="1">
      <alignment horizontal="center" vertical="center"/>
      <protection hidden="1"/>
    </xf>
    <xf numFmtId="0" fontId="38" fillId="26" borderId="59" xfId="0" applyFont="1" applyFill="1" applyBorder="1" applyAlignment="1" applyProtection="1">
      <alignment horizontal="center" vertical="center"/>
      <protection hidden="1"/>
    </xf>
    <xf numFmtId="0" fontId="18" fillId="10" borderId="60" xfId="0" applyFont="1" applyFill="1" applyBorder="1" applyAlignment="1" applyProtection="1">
      <alignment horizontal="center" vertical="center"/>
      <protection hidden="1"/>
    </xf>
    <xf numFmtId="0" fontId="7" fillId="16" borderId="65" xfId="0" applyFont="1" applyFill="1" applyBorder="1" applyAlignment="1">
      <alignment horizontal="center" vertical="center"/>
    </xf>
    <xf numFmtId="0" fontId="0" fillId="17" borderId="64" xfId="0" applyFill="1" applyBorder="1" applyAlignment="1" applyProtection="1">
      <alignment horizontal="center"/>
      <protection locked="0"/>
    </xf>
    <xf numFmtId="14" fontId="39" fillId="0" borderId="0" xfId="0" applyNumberFormat="1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12" fillId="21" borderId="30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17" borderId="66" xfId="0" applyFont="1" applyFill="1" applyBorder="1" applyAlignment="1">
      <alignment horizontal="center"/>
    </xf>
    <xf numFmtId="0" fontId="0" fillId="0" borderId="66" xfId="0" applyFont="1" applyBorder="1" applyAlignment="1">
      <alignment horizontal="center"/>
    </xf>
    <xf numFmtId="0" fontId="12" fillId="21" borderId="30" xfId="0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locked="0"/>
    </xf>
    <xf numFmtId="22" fontId="5" fillId="0" borderId="0" xfId="0" applyNumberFormat="1" applyFont="1" applyAlignment="1" applyProtection="1">
      <alignment vertical="center"/>
      <protection locked="0"/>
    </xf>
    <xf numFmtId="0" fontId="5" fillId="6" borderId="0" xfId="0" applyFont="1" applyFill="1" applyBorder="1" applyAlignment="1" applyProtection="1">
      <alignment vertical="center"/>
      <protection locked="0"/>
    </xf>
    <xf numFmtId="0" fontId="0" fillId="3" borderId="41" xfId="0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22" fontId="0" fillId="0" borderId="0" xfId="0" applyNumberFormat="1" applyAlignment="1" applyProtection="1">
      <alignment vertical="center"/>
      <protection locked="0"/>
    </xf>
    <xf numFmtId="0" fontId="0" fillId="3" borderId="57" xfId="0" applyFont="1" applyFill="1" applyBorder="1" applyAlignment="1" applyProtection="1">
      <alignment vertical="center"/>
      <protection hidden="1"/>
    </xf>
    <xf numFmtId="0" fontId="0" fillId="3" borderId="68" xfId="0" applyFont="1" applyFill="1" applyBorder="1" applyAlignment="1" applyProtection="1">
      <alignment vertical="center"/>
      <protection hidden="1"/>
    </xf>
    <xf numFmtId="164" fontId="0" fillId="0" borderId="0" xfId="0" applyNumberFormat="1" applyFont="1" applyAlignment="1" applyProtection="1">
      <alignment vertical="center"/>
      <protection hidden="1"/>
    </xf>
    <xf numFmtId="164" fontId="0" fillId="0" borderId="0" xfId="0" applyNumberFormat="1" applyFill="1" applyAlignment="1" applyProtection="1">
      <alignment vertical="center"/>
      <protection hidden="1"/>
    </xf>
    <xf numFmtId="0" fontId="12" fillId="21" borderId="73" xfId="0" applyFont="1" applyFill="1" applyBorder="1" applyAlignment="1" applyProtection="1">
      <alignment horizontal="center" vertical="center"/>
      <protection locked="0" hidden="1"/>
    </xf>
    <xf numFmtId="0" fontId="12" fillId="21" borderId="74" xfId="0" applyFont="1" applyFill="1" applyBorder="1" applyAlignment="1" applyProtection="1">
      <alignment horizontal="center" vertical="center" wrapText="1"/>
      <protection locked="0" hidden="1"/>
    </xf>
    <xf numFmtId="0" fontId="12" fillId="21" borderId="74" xfId="0" applyFont="1" applyFill="1" applyBorder="1" applyAlignment="1" applyProtection="1">
      <alignment horizontal="center" vertical="center"/>
      <protection locked="0" hidden="1"/>
    </xf>
    <xf numFmtId="0" fontId="12" fillId="21" borderId="75" xfId="0" applyFont="1" applyFill="1" applyBorder="1" applyAlignment="1" applyProtection="1">
      <alignment horizontal="center" vertical="center" wrapText="1"/>
      <protection locked="0" hidden="1"/>
    </xf>
    <xf numFmtId="0" fontId="12" fillId="21" borderId="76" xfId="0" applyFont="1" applyFill="1" applyBorder="1" applyAlignment="1" applyProtection="1">
      <alignment horizontal="center" vertical="center"/>
      <protection locked="0" hidden="1"/>
    </xf>
    <xf numFmtId="0" fontId="12" fillId="21" borderId="77" xfId="0" applyFont="1" applyFill="1" applyBorder="1" applyAlignment="1" applyProtection="1">
      <alignment horizontal="center" vertical="center" wrapText="1"/>
      <protection locked="0" hidden="1"/>
    </xf>
    <xf numFmtId="0" fontId="12" fillId="21" borderId="78" xfId="0" applyFont="1" applyFill="1" applyBorder="1" applyAlignment="1" applyProtection="1">
      <alignment horizontal="center" vertical="center"/>
      <protection locked="0" hidden="1"/>
    </xf>
    <xf numFmtId="0" fontId="12" fillId="21" borderId="79" xfId="0" applyFont="1" applyFill="1" applyBorder="1" applyAlignment="1" applyProtection="1">
      <alignment horizontal="center" vertical="center" wrapText="1"/>
      <protection locked="0" hidden="1"/>
    </xf>
    <xf numFmtId="0" fontId="12" fillId="21" borderId="79" xfId="0" applyFont="1" applyFill="1" applyBorder="1" applyAlignment="1" applyProtection="1">
      <alignment horizontal="center" vertical="center"/>
      <protection locked="0" hidden="1"/>
    </xf>
    <xf numFmtId="0" fontId="12" fillId="21" borderId="80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Alignment="1">
      <alignment horizontal="left" indent="1"/>
    </xf>
    <xf numFmtId="0" fontId="1" fillId="0" borderId="0" xfId="0" applyFont="1"/>
    <xf numFmtId="0" fontId="0" fillId="0" borderId="0" xfId="0" applyAlignment="1">
      <alignment horizontal="left" indent="1"/>
    </xf>
    <xf numFmtId="0" fontId="0" fillId="30" borderId="0" xfId="0" applyFill="1"/>
    <xf numFmtId="0" fontId="0" fillId="17" borderId="85" xfId="0" applyFill="1" applyBorder="1" applyAlignment="1" applyProtection="1">
      <alignment horizontal="center"/>
      <protection locked="0"/>
    </xf>
    <xf numFmtId="0" fontId="7" fillId="16" borderId="84" xfId="0" applyFont="1" applyFill="1" applyBorder="1" applyAlignment="1">
      <alignment vertical="center"/>
    </xf>
    <xf numFmtId="0" fontId="12" fillId="2" borderId="73" xfId="0" applyFont="1" applyFill="1" applyBorder="1" applyAlignment="1" applyProtection="1">
      <alignment horizontal="center" vertical="center"/>
      <protection locked="0" hidden="1"/>
    </xf>
    <xf numFmtId="0" fontId="12" fillId="2" borderId="76" xfId="0" applyFont="1" applyFill="1" applyBorder="1" applyAlignment="1" applyProtection="1">
      <alignment horizontal="center" vertical="center"/>
      <protection locked="0" hidden="1"/>
    </xf>
    <xf numFmtId="0" fontId="12" fillId="2" borderId="78" xfId="0" applyFont="1" applyFill="1" applyBorder="1" applyAlignment="1" applyProtection="1">
      <alignment horizontal="center" vertical="center"/>
      <protection locked="0" hidden="1"/>
    </xf>
    <xf numFmtId="0" fontId="12" fillId="2" borderId="74" xfId="0" applyFont="1" applyFill="1" applyBorder="1" applyAlignment="1" applyProtection="1">
      <alignment horizontal="center" vertical="center"/>
      <protection locked="0" hidden="1"/>
    </xf>
    <xf numFmtId="0" fontId="12" fillId="2" borderId="30" xfId="0" applyFont="1" applyFill="1" applyBorder="1" applyAlignment="1" applyProtection="1">
      <alignment horizontal="center" vertical="center"/>
      <protection locked="0" hidden="1"/>
    </xf>
    <xf numFmtId="0" fontId="12" fillId="2" borderId="79" xfId="0" applyFont="1" applyFill="1" applyBorder="1" applyAlignment="1" applyProtection="1">
      <alignment horizontal="center" vertical="center"/>
      <protection locked="0" hidden="1"/>
    </xf>
    <xf numFmtId="0" fontId="0" fillId="17" borderId="83" xfId="0" applyFill="1" applyBorder="1" applyAlignment="1" applyProtection="1">
      <alignment horizontal="center" vertical="center"/>
      <protection locked="0"/>
    </xf>
    <xf numFmtId="0" fontId="0" fillId="17" borderId="84" xfId="0" applyFill="1" applyBorder="1" applyAlignment="1" applyProtection="1">
      <alignment vertical="center"/>
      <protection locked="0"/>
    </xf>
    <xf numFmtId="0" fontId="0" fillId="0" borderId="83" xfId="0" applyFont="1" applyBorder="1" applyAlignment="1" applyProtection="1">
      <alignment horizontal="center" vertical="center"/>
      <protection locked="0"/>
    </xf>
    <xf numFmtId="0" fontId="0" fillId="0" borderId="84" xfId="0" applyFont="1" applyBorder="1" applyAlignment="1" applyProtection="1">
      <alignment vertical="center"/>
      <protection locked="0"/>
    </xf>
    <xf numFmtId="0" fontId="0" fillId="17" borderId="83" xfId="0" applyFont="1" applyFill="1" applyBorder="1" applyAlignment="1" applyProtection="1">
      <alignment horizontal="center" vertical="center"/>
      <protection locked="0"/>
    </xf>
    <xf numFmtId="0" fontId="0" fillId="17" borderId="84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5" fontId="0" fillId="0" borderId="0" xfId="1" applyNumberFormat="1" applyFont="1" applyAlignment="1" applyProtection="1">
      <alignment vertical="center"/>
      <protection locked="0"/>
    </xf>
    <xf numFmtId="20" fontId="5" fillId="3" borderId="9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left" indent="1"/>
      <protection hidden="1"/>
    </xf>
    <xf numFmtId="0" fontId="9" fillId="34" borderId="0" xfId="0" applyFont="1" applyFill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hidden="1"/>
    </xf>
    <xf numFmtId="0" fontId="0" fillId="0" borderId="92" xfId="0" applyBorder="1" applyAlignment="1" applyProtection="1">
      <alignment vertical="center"/>
      <protection hidden="1"/>
    </xf>
    <xf numFmtId="0" fontId="0" fillId="0" borderId="92" xfId="0" applyBorder="1" applyProtection="1">
      <protection hidden="1"/>
    </xf>
    <xf numFmtId="20" fontId="0" fillId="0" borderId="92" xfId="0" applyNumberFormat="1" applyBorder="1" applyAlignment="1" applyProtection="1">
      <alignment horizontal="center" vertical="center"/>
      <protection hidden="1"/>
    </xf>
    <xf numFmtId="14" fontId="0" fillId="0" borderId="92" xfId="0" applyNumberFormat="1" applyBorder="1" applyAlignment="1" applyProtection="1">
      <alignment horizontal="center" vertical="center"/>
      <protection hidden="1"/>
    </xf>
    <xf numFmtId="14" fontId="0" fillId="0" borderId="92" xfId="0" applyNumberFormat="1" applyBorder="1" applyProtection="1">
      <protection hidden="1"/>
    </xf>
    <xf numFmtId="0" fontId="0" fillId="0" borderId="92" xfId="0" applyBorder="1" applyAlignment="1" applyProtection="1">
      <alignment horizontal="center"/>
      <protection hidden="1"/>
    </xf>
    <xf numFmtId="14" fontId="0" fillId="0" borderId="92" xfId="0" applyNumberFormat="1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11" fillId="0" borderId="94" xfId="0" applyFont="1" applyBorder="1" applyAlignment="1" applyProtection="1">
      <alignment vertical="center"/>
      <protection hidden="1"/>
    </xf>
    <xf numFmtId="0" fontId="5" fillId="0" borderId="0" xfId="0" applyFont="1"/>
    <xf numFmtId="0" fontId="47" fillId="0" borderId="0" xfId="0" applyFont="1" applyBorder="1" applyAlignment="1" applyProtection="1">
      <alignment horizontal="right" vertical="center"/>
      <protection hidden="1"/>
    </xf>
    <xf numFmtId="0" fontId="48" fillId="0" borderId="0" xfId="0" applyFont="1" applyAlignment="1" applyProtection="1">
      <alignment vertical="center"/>
      <protection hidden="1"/>
    </xf>
    <xf numFmtId="0" fontId="5" fillId="6" borderId="0" xfId="0" applyFont="1" applyFill="1" applyAlignment="1" applyProtection="1">
      <alignment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 wrapText="1"/>
      <protection hidden="1"/>
    </xf>
    <xf numFmtId="0" fontId="32" fillId="6" borderId="0" xfId="0" applyNumberFormat="1" applyFont="1" applyFill="1" applyBorder="1" applyAlignment="1" applyProtection="1">
      <alignment horizontal="center" vertical="center" wrapText="1"/>
      <protection hidden="1"/>
    </xf>
    <xf numFmtId="0" fontId="32" fillId="6" borderId="0" xfId="1" applyNumberFormat="1" applyFont="1" applyFill="1" applyBorder="1" applyAlignment="1" applyProtection="1">
      <alignment horizontal="center" vertical="center"/>
      <protection hidden="1"/>
    </xf>
    <xf numFmtId="0" fontId="32" fillId="6" borderId="24" xfId="1" applyNumberFormat="1" applyFont="1" applyFill="1" applyBorder="1" applyAlignment="1" applyProtection="1">
      <alignment horizontal="center" vertical="center"/>
      <protection hidden="1"/>
    </xf>
    <xf numFmtId="0" fontId="32" fillId="6" borderId="24" xfId="0" applyNumberFormat="1" applyFont="1" applyFill="1" applyBorder="1" applyAlignment="1" applyProtection="1">
      <alignment horizontal="center" vertical="center" wrapText="1"/>
      <protection hidden="1"/>
    </xf>
    <xf numFmtId="0" fontId="32" fillId="6" borderId="24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49" fillId="34" borderId="0" xfId="0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0" fillId="13" borderId="19" xfId="0" applyFill="1" applyBorder="1" applyAlignment="1" applyProtection="1">
      <alignment horizontal="center"/>
      <protection locked="0" hidden="1"/>
    </xf>
    <xf numFmtId="0" fontId="43" fillId="0" borderId="110" xfId="0" applyFont="1" applyBorder="1" applyProtection="1">
      <protection hidden="1"/>
    </xf>
    <xf numFmtId="0" fontId="46" fillId="18" borderId="112" xfId="0" applyFont="1" applyFill="1" applyBorder="1" applyAlignment="1" applyProtection="1">
      <alignment horizontal="center" vertical="center" wrapText="1"/>
      <protection hidden="1"/>
    </xf>
    <xf numFmtId="0" fontId="46" fillId="18" borderId="95" xfId="0" applyFont="1" applyFill="1" applyBorder="1" applyAlignment="1" applyProtection="1">
      <alignment horizontal="center" vertical="center" wrapText="1"/>
      <protection hidden="1"/>
    </xf>
    <xf numFmtId="0" fontId="40" fillId="0" borderId="0" xfId="0" applyFont="1" applyProtection="1"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3" fillId="33" borderId="102" xfId="0" applyFont="1" applyFill="1" applyBorder="1" applyAlignment="1" applyProtection="1">
      <alignment horizontal="center" vertical="center" wrapText="1"/>
      <protection hidden="1"/>
    </xf>
    <xf numFmtId="0" fontId="10" fillId="33" borderId="96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vertical="center"/>
      <protection hidden="1"/>
    </xf>
    <xf numFmtId="0" fontId="45" fillId="6" borderId="98" xfId="0" applyFont="1" applyFill="1" applyBorder="1" applyAlignment="1" applyProtection="1">
      <alignment horizontal="center" vertical="center" wrapText="1"/>
      <protection hidden="1"/>
    </xf>
    <xf numFmtId="0" fontId="45" fillId="6" borderId="99" xfId="0" applyFont="1" applyFill="1" applyBorder="1" applyAlignment="1" applyProtection="1">
      <alignment horizontal="center" vertical="center" wrapText="1"/>
      <protection hidden="1"/>
    </xf>
    <xf numFmtId="0" fontId="45" fillId="6" borderId="100" xfId="0" applyFont="1" applyFill="1" applyBorder="1" applyAlignment="1" applyProtection="1">
      <alignment horizontal="center" vertical="center" wrapText="1"/>
      <protection hidden="1"/>
    </xf>
    <xf numFmtId="0" fontId="45" fillId="6" borderId="101" xfId="0" applyFont="1" applyFill="1" applyBorder="1" applyAlignment="1" applyProtection="1">
      <alignment horizontal="center" vertical="center" wrapText="1"/>
      <protection hidden="1"/>
    </xf>
    <xf numFmtId="0" fontId="45" fillId="6" borderId="97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Protection="1">
      <protection hidden="1"/>
    </xf>
    <xf numFmtId="0" fontId="30" fillId="0" borderId="103" xfId="0" applyFont="1" applyBorder="1" applyAlignment="1" applyProtection="1">
      <alignment horizontal="center" wrapText="1"/>
      <protection hidden="1"/>
    </xf>
    <xf numFmtId="14" fontId="30" fillId="0" borderId="104" xfId="0" applyNumberFormat="1" applyFont="1" applyBorder="1" applyAlignment="1" applyProtection="1">
      <alignment horizontal="center" wrapText="1"/>
      <protection hidden="1"/>
    </xf>
    <xf numFmtId="9" fontId="6" fillId="0" borderId="104" xfId="0" applyNumberFormat="1" applyFont="1" applyBorder="1" applyAlignment="1" applyProtection="1">
      <alignment horizontal="center" wrapText="1"/>
      <protection locked="0" hidden="1"/>
    </xf>
    <xf numFmtId="0" fontId="6" fillId="0" borderId="105" xfId="0" applyFont="1" applyBorder="1" applyAlignment="1" applyProtection="1">
      <alignment horizontal="center" wrapText="1"/>
      <protection locked="0" hidden="1"/>
    </xf>
    <xf numFmtId="0" fontId="30" fillId="0" borderId="0" xfId="0" applyFont="1" applyAlignment="1" applyProtection="1">
      <alignment horizontal="center" wrapText="1"/>
      <protection hidden="1"/>
    </xf>
    <xf numFmtId="0" fontId="6" fillId="0" borderId="104" xfId="0" applyFont="1" applyBorder="1" applyAlignment="1" applyProtection="1">
      <alignment horizontal="center" wrapText="1"/>
      <protection locked="0" hidden="1"/>
    </xf>
    <xf numFmtId="0" fontId="0" fillId="0" borderId="0" xfId="0" applyAlignment="1" applyProtection="1">
      <alignment wrapText="1"/>
      <protection hidden="1"/>
    </xf>
    <xf numFmtId="0" fontId="30" fillId="0" borderId="106" xfId="0" applyFont="1" applyBorder="1" applyAlignment="1" applyProtection="1">
      <alignment horizontal="center" wrapText="1"/>
      <protection hidden="1"/>
    </xf>
    <xf numFmtId="14" fontId="30" fillId="0" borderId="107" xfId="0" applyNumberFormat="1" applyFont="1" applyBorder="1" applyAlignment="1" applyProtection="1">
      <alignment horizontal="center" wrapText="1"/>
      <protection hidden="1"/>
    </xf>
    <xf numFmtId="9" fontId="6" fillId="0" borderId="107" xfId="0" applyNumberFormat="1" applyFont="1" applyBorder="1" applyAlignment="1" applyProtection="1">
      <alignment horizontal="center" wrapText="1"/>
      <protection locked="0" hidden="1"/>
    </xf>
    <xf numFmtId="0" fontId="6" fillId="0" borderId="108" xfId="0" applyFont="1" applyBorder="1" applyAlignment="1" applyProtection="1">
      <alignment horizontal="center" wrapText="1"/>
      <protection locked="0" hidden="1"/>
    </xf>
    <xf numFmtId="0" fontId="6" fillId="0" borderId="107" xfId="0" applyFont="1" applyBorder="1" applyAlignment="1" applyProtection="1">
      <alignment horizontal="center" wrapText="1"/>
      <protection locked="0" hidden="1"/>
    </xf>
    <xf numFmtId="0" fontId="30" fillId="0" borderId="107" xfId="0" applyFont="1" applyBorder="1" applyAlignment="1" applyProtection="1">
      <alignment horizontal="center" wrapText="1"/>
      <protection locked="0" hidden="1"/>
    </xf>
    <xf numFmtId="0" fontId="30" fillId="0" borderId="108" xfId="0" applyFont="1" applyBorder="1" applyAlignment="1" applyProtection="1">
      <alignment horizontal="center" wrapText="1"/>
      <protection locked="0" hidden="1"/>
    </xf>
    <xf numFmtId="0" fontId="30" fillId="0" borderId="107" xfId="0" applyFont="1" applyBorder="1" applyAlignment="1" applyProtection="1">
      <alignment horizontal="center" wrapText="1"/>
      <protection hidden="1"/>
    </xf>
    <xf numFmtId="0" fontId="0" fillId="0" borderId="106" xfId="0" applyBorder="1" applyAlignment="1" applyProtection="1">
      <alignment wrapText="1"/>
      <protection hidden="1"/>
    </xf>
    <xf numFmtId="0" fontId="0" fillId="0" borderId="107" xfId="0" applyBorder="1" applyAlignment="1" applyProtection="1">
      <alignment wrapText="1"/>
      <protection hidden="1"/>
    </xf>
    <xf numFmtId="0" fontId="0" fillId="0" borderId="107" xfId="0" applyBorder="1" applyAlignment="1" applyProtection="1">
      <alignment wrapText="1"/>
      <protection locked="0" hidden="1"/>
    </xf>
    <xf numFmtId="0" fontId="0" fillId="0" borderId="108" xfId="0" applyBorder="1" applyAlignment="1" applyProtection="1">
      <alignment wrapText="1"/>
      <protection locked="0" hidden="1"/>
    </xf>
    <xf numFmtId="0" fontId="41" fillId="0" borderId="118" xfId="0" applyFont="1" applyBorder="1" applyAlignment="1" applyProtection="1">
      <alignment horizontal="center"/>
      <protection hidden="1"/>
    </xf>
    <xf numFmtId="0" fontId="7" fillId="31" borderId="10" xfId="0" applyFont="1" applyFill="1" applyBorder="1" applyAlignment="1">
      <alignment horizontal="center" vertical="center"/>
    </xf>
    <xf numFmtId="0" fontId="7" fillId="31" borderId="87" xfId="0" applyFont="1" applyFill="1" applyBorder="1" applyAlignment="1">
      <alignment horizontal="center" vertical="center"/>
    </xf>
    <xf numFmtId="0" fontId="0" fillId="32" borderId="10" xfId="0" applyFill="1" applyBorder="1" applyAlignment="1" applyProtection="1">
      <alignment horizontal="center"/>
      <protection locked="0"/>
    </xf>
    <xf numFmtId="0" fontId="0" fillId="32" borderId="87" xfId="0" applyFill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0" fillId="0" borderId="87" xfId="0" applyFont="1" applyBorder="1" applyAlignment="1" applyProtection="1">
      <alignment horizontal="center"/>
      <protection locked="0"/>
    </xf>
    <xf numFmtId="0" fontId="0" fillId="32" borderId="10" xfId="0" applyFont="1" applyFill="1" applyBorder="1" applyAlignment="1" applyProtection="1">
      <alignment horizontal="center"/>
      <protection locked="0"/>
    </xf>
    <xf numFmtId="0" fontId="0" fillId="32" borderId="87" xfId="0" applyFont="1" applyFill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 wrapText="1"/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1" fillId="0" borderId="92" xfId="0" applyFont="1" applyBorder="1" applyAlignment="1" applyProtection="1">
      <alignment horizontal="center" vertical="center"/>
      <protection hidden="1"/>
    </xf>
    <xf numFmtId="0" fontId="7" fillId="31" borderId="86" xfId="0" applyFont="1" applyFill="1" applyBorder="1" applyAlignment="1">
      <alignment horizontal="center" vertical="center" wrapText="1"/>
    </xf>
    <xf numFmtId="0" fontId="7" fillId="31" borderId="10" xfId="0" applyFont="1" applyFill="1" applyBorder="1" applyAlignment="1">
      <alignment horizontal="center" vertical="center" wrapText="1"/>
    </xf>
    <xf numFmtId="0" fontId="0" fillId="32" borderId="86" xfId="0" applyFill="1" applyBorder="1" applyAlignment="1" applyProtection="1">
      <alignment horizontal="center"/>
      <protection locked="0"/>
    </xf>
    <xf numFmtId="0" fontId="0" fillId="0" borderId="86" xfId="0" applyFont="1" applyBorder="1" applyAlignment="1" applyProtection="1">
      <alignment horizontal="center"/>
      <protection locked="0"/>
    </xf>
    <xf numFmtId="0" fontId="0" fillId="32" borderId="86" xfId="0" applyFont="1" applyFill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hidden="1"/>
    </xf>
    <xf numFmtId="0" fontId="40" fillId="0" borderId="24" xfId="0" applyFont="1" applyFill="1" applyBorder="1" applyAlignment="1" applyProtection="1">
      <alignment horizontal="center" vertical="top" wrapText="1"/>
    </xf>
    <xf numFmtId="0" fontId="40" fillId="0" borderId="0" xfId="0" applyFont="1" applyFill="1" applyBorder="1" applyAlignment="1" applyProtection="1">
      <alignment horizontal="center" vertical="top" wrapText="1"/>
    </xf>
    <xf numFmtId="0" fontId="40" fillId="0" borderId="25" xfId="0" applyFont="1" applyFill="1" applyBorder="1" applyAlignment="1" applyProtection="1">
      <alignment horizontal="center" vertical="top" wrapText="1"/>
    </xf>
    <xf numFmtId="0" fontId="40" fillId="0" borderId="26" xfId="0" applyFont="1" applyFill="1" applyBorder="1" applyAlignment="1" applyProtection="1">
      <alignment horizontal="center" vertical="top" wrapText="1"/>
    </xf>
    <xf numFmtId="0" fontId="40" fillId="0" borderId="27" xfId="0" applyFont="1" applyFill="1" applyBorder="1" applyAlignment="1" applyProtection="1">
      <alignment horizontal="center" vertical="top" wrapText="1"/>
    </xf>
    <xf numFmtId="0" fontId="40" fillId="0" borderId="28" xfId="0" applyFont="1" applyFill="1" applyBorder="1" applyAlignment="1" applyProtection="1">
      <alignment horizontal="center" vertical="top" wrapText="1"/>
    </xf>
    <xf numFmtId="0" fontId="40" fillId="0" borderId="21" xfId="0" applyFont="1" applyFill="1" applyBorder="1" applyAlignment="1" applyProtection="1">
      <alignment horizontal="center" vertical="top" wrapText="1"/>
    </xf>
    <xf numFmtId="0" fontId="40" fillId="0" borderId="22" xfId="0" applyFont="1" applyFill="1" applyBorder="1" applyAlignment="1" applyProtection="1">
      <alignment horizontal="center" vertical="top" wrapText="1"/>
    </xf>
    <xf numFmtId="0" fontId="40" fillId="0" borderId="23" xfId="0" applyFont="1" applyFill="1" applyBorder="1" applyAlignment="1" applyProtection="1">
      <alignment horizontal="center" vertical="top" wrapText="1"/>
    </xf>
    <xf numFmtId="0" fontId="0" fillId="0" borderId="35" xfId="0" applyFill="1" applyBorder="1" applyAlignment="1" applyProtection="1">
      <alignment horizontal="left" vertical="center"/>
      <protection locked="0"/>
    </xf>
    <xf numFmtId="0" fontId="0" fillId="0" borderId="31" xfId="0" applyFill="1" applyBorder="1" applyAlignment="1" applyProtection="1">
      <alignment horizontal="left" vertical="center"/>
      <protection locked="0"/>
    </xf>
    <xf numFmtId="0" fontId="0" fillId="0" borderId="36" xfId="0" applyFill="1" applyBorder="1" applyAlignment="1" applyProtection="1">
      <alignment horizontal="left" vertical="center"/>
      <protection locked="0"/>
    </xf>
    <xf numFmtId="0" fontId="0" fillId="0" borderId="37" xfId="0" applyFill="1" applyBorder="1" applyAlignment="1" applyProtection="1">
      <alignment horizontal="left" vertical="center"/>
      <protection locked="0"/>
    </xf>
    <xf numFmtId="0" fontId="0" fillId="0" borderId="38" xfId="0" applyFill="1" applyBorder="1" applyAlignment="1" applyProtection="1">
      <alignment horizontal="left"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0" fillId="0" borderId="33" xfId="0" applyFill="1" applyBorder="1" applyAlignment="1" applyProtection="1">
      <alignment horizontal="left" vertical="center"/>
      <protection locked="0"/>
    </xf>
    <xf numFmtId="0" fontId="0" fillId="0" borderId="34" xfId="0" applyFill="1" applyBorder="1" applyAlignment="1" applyProtection="1">
      <alignment horizontal="left" vertical="center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left" vertical="top" wrapText="1"/>
      <protection locked="0"/>
    </xf>
    <xf numFmtId="0" fontId="44" fillId="0" borderId="22" xfId="0" applyFont="1" applyBorder="1" applyAlignment="1" applyProtection="1">
      <alignment horizontal="left" vertical="top" wrapText="1"/>
      <protection locked="0"/>
    </xf>
    <xf numFmtId="0" fontId="44" fillId="0" borderId="23" xfId="0" applyFont="1" applyBorder="1" applyAlignment="1" applyProtection="1">
      <alignment horizontal="left" vertical="top" wrapText="1"/>
      <protection locked="0"/>
    </xf>
    <xf numFmtId="0" fontId="44" fillId="0" borderId="24" xfId="0" applyFont="1" applyBorder="1" applyAlignment="1" applyProtection="1">
      <alignment horizontal="left" vertical="top" wrapText="1"/>
      <protection locked="0"/>
    </xf>
    <xf numFmtId="0" fontId="44" fillId="0" borderId="0" xfId="0" applyFont="1" applyBorder="1" applyAlignment="1" applyProtection="1">
      <alignment horizontal="left" vertical="top" wrapText="1"/>
      <protection locked="0"/>
    </xf>
    <xf numFmtId="0" fontId="44" fillId="0" borderId="25" xfId="0" applyFont="1" applyBorder="1" applyAlignment="1" applyProtection="1">
      <alignment horizontal="left" vertical="top" wrapText="1"/>
      <protection locked="0"/>
    </xf>
    <xf numFmtId="0" fontId="44" fillId="0" borderId="26" xfId="0" applyFont="1" applyBorder="1" applyAlignment="1" applyProtection="1">
      <alignment horizontal="left" vertical="top" wrapText="1"/>
      <protection locked="0"/>
    </xf>
    <xf numFmtId="0" fontId="44" fillId="0" borderId="27" xfId="0" applyFont="1" applyBorder="1" applyAlignment="1" applyProtection="1">
      <alignment horizontal="left" vertical="top" wrapText="1"/>
      <protection locked="0"/>
    </xf>
    <xf numFmtId="0" fontId="44" fillId="0" borderId="28" xfId="0" applyFont="1" applyBorder="1" applyAlignment="1" applyProtection="1">
      <alignment horizontal="left" vertical="top" wrapText="1"/>
      <protection locked="0"/>
    </xf>
    <xf numFmtId="0" fontId="32" fillId="3" borderId="22" xfId="0" applyFont="1" applyFill="1" applyBorder="1" applyAlignment="1" applyProtection="1">
      <alignment horizontal="center" vertical="center" wrapText="1"/>
      <protection hidden="1"/>
    </xf>
    <xf numFmtId="0" fontId="32" fillId="3" borderId="27" xfId="0" applyFont="1" applyFill="1" applyBorder="1" applyAlignment="1" applyProtection="1">
      <alignment horizontal="center" vertical="center" wrapText="1"/>
      <protection hidden="1"/>
    </xf>
    <xf numFmtId="0" fontId="32" fillId="3" borderId="23" xfId="0" applyFont="1" applyFill="1" applyBorder="1" applyAlignment="1" applyProtection="1">
      <alignment horizontal="center" vertical="center" wrapText="1"/>
      <protection hidden="1"/>
    </xf>
    <xf numFmtId="0" fontId="32" fillId="3" borderId="28" xfId="0" applyFont="1" applyFill="1" applyBorder="1" applyAlignment="1" applyProtection="1">
      <alignment horizontal="center" vertical="center" wrapText="1"/>
      <protection hidden="1"/>
    </xf>
    <xf numFmtId="0" fontId="32" fillId="3" borderId="21" xfId="0" applyFont="1" applyFill="1" applyBorder="1" applyAlignment="1" applyProtection="1">
      <alignment horizontal="center" vertical="center" wrapText="1"/>
      <protection hidden="1"/>
    </xf>
    <xf numFmtId="0" fontId="32" fillId="3" borderId="26" xfId="0" applyFont="1" applyFill="1" applyBorder="1" applyAlignment="1" applyProtection="1">
      <alignment horizontal="center" vertical="center" wrapText="1"/>
      <protection hidden="1"/>
    </xf>
    <xf numFmtId="0" fontId="21" fillId="0" borderId="32" xfId="0" applyFont="1" applyBorder="1" applyAlignment="1" applyProtection="1">
      <alignment horizontal="left" vertical="center" wrapText="1"/>
      <protection locked="0"/>
    </xf>
    <xf numFmtId="0" fontId="21" fillId="0" borderId="33" xfId="0" applyFont="1" applyBorder="1" applyAlignment="1" applyProtection="1">
      <alignment horizontal="left" vertical="center" wrapText="1"/>
      <protection locked="0"/>
    </xf>
    <xf numFmtId="0" fontId="21" fillId="0" borderId="34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left" vertical="center" wrapText="1"/>
      <protection locked="0"/>
    </xf>
    <xf numFmtId="0" fontId="0" fillId="0" borderId="31" xfId="0" applyBorder="1" applyAlignment="1" applyProtection="1">
      <alignment horizontal="left" vertical="center" wrapText="1"/>
      <protection locked="0"/>
    </xf>
    <xf numFmtId="0" fontId="0" fillId="0" borderId="36" xfId="0" applyBorder="1" applyAlignment="1" applyProtection="1">
      <alignment horizontal="left" vertical="center" wrapText="1"/>
      <protection locked="0"/>
    </xf>
    <xf numFmtId="0" fontId="5" fillId="3" borderId="21" xfId="0" applyFont="1" applyFill="1" applyBorder="1" applyAlignment="1" applyProtection="1">
      <alignment horizontal="center" vertical="center" wrapText="1"/>
      <protection hidden="1"/>
    </xf>
    <xf numFmtId="0" fontId="5" fillId="3" borderId="22" xfId="0" applyFont="1" applyFill="1" applyBorder="1" applyAlignment="1" applyProtection="1">
      <alignment horizontal="center" vertical="center" wrapText="1"/>
      <protection hidden="1"/>
    </xf>
    <xf numFmtId="0" fontId="5" fillId="3" borderId="23" xfId="0" applyFont="1" applyFill="1" applyBorder="1" applyAlignment="1" applyProtection="1">
      <alignment horizontal="center" vertical="center" wrapText="1"/>
      <protection hidden="1"/>
    </xf>
    <xf numFmtId="0" fontId="5" fillId="3" borderId="26" xfId="0" applyFont="1" applyFill="1" applyBorder="1" applyAlignment="1" applyProtection="1">
      <alignment horizontal="center" vertical="center" wrapText="1"/>
      <protection hidden="1"/>
    </xf>
    <xf numFmtId="0" fontId="5" fillId="3" borderId="27" xfId="0" applyFont="1" applyFill="1" applyBorder="1" applyAlignment="1" applyProtection="1">
      <alignment horizontal="center" vertical="center" wrapText="1"/>
      <protection hidden="1"/>
    </xf>
    <xf numFmtId="0" fontId="5" fillId="3" borderId="28" xfId="0" applyFont="1" applyFill="1" applyBorder="1" applyAlignment="1" applyProtection="1">
      <alignment horizontal="center" vertical="center" wrapText="1"/>
      <protection hidden="1"/>
    </xf>
    <xf numFmtId="0" fontId="0" fillId="0" borderId="116" xfId="0" applyFill="1" applyBorder="1" applyAlignment="1" applyProtection="1">
      <alignment horizontal="left" vertical="center"/>
      <protection locked="0"/>
    </xf>
    <xf numFmtId="0" fontId="0" fillId="0" borderId="117" xfId="0" applyFill="1" applyBorder="1" applyAlignment="1" applyProtection="1">
      <alignment horizontal="left" vertical="center"/>
      <protection locked="0"/>
    </xf>
    <xf numFmtId="0" fontId="0" fillId="0" borderId="53" xfId="0" applyFill="1" applyBorder="1" applyAlignment="1" applyProtection="1">
      <alignment horizontal="left" vertical="center"/>
      <protection locked="0"/>
    </xf>
    <xf numFmtId="0" fontId="25" fillId="3" borderId="4" xfId="0" applyFont="1" applyFill="1" applyBorder="1" applyAlignment="1" applyProtection="1">
      <alignment horizontal="center" vertical="center"/>
      <protection hidden="1"/>
    </xf>
    <xf numFmtId="0" fontId="25" fillId="3" borderId="5" xfId="0" applyFont="1" applyFill="1" applyBorder="1" applyAlignment="1" applyProtection="1">
      <alignment horizontal="center" vertical="center"/>
      <protection hidden="1"/>
    </xf>
    <xf numFmtId="0" fontId="25" fillId="3" borderId="67" xfId="0" applyFont="1" applyFill="1" applyBorder="1" applyAlignment="1" applyProtection="1">
      <alignment horizontal="center" vertical="center"/>
      <protection hidden="1"/>
    </xf>
    <xf numFmtId="10" fontId="31" fillId="3" borderId="54" xfId="1" applyNumberFormat="1" applyFont="1" applyFill="1" applyBorder="1" applyAlignment="1" applyProtection="1">
      <alignment horizontal="left" vertical="center"/>
      <protection hidden="1"/>
    </xf>
    <xf numFmtId="10" fontId="31" fillId="3" borderId="33" xfId="1" applyNumberFormat="1" applyFont="1" applyFill="1" applyBorder="1" applyAlignment="1" applyProtection="1">
      <alignment horizontal="left" vertical="center"/>
      <protection hidden="1"/>
    </xf>
    <xf numFmtId="10" fontId="31" fillId="3" borderId="81" xfId="1" applyNumberFormat="1" applyFont="1" applyFill="1" applyBorder="1" applyAlignment="1" applyProtection="1">
      <alignment horizontal="left" vertical="center"/>
      <protection hidden="1"/>
    </xf>
    <xf numFmtId="0" fontId="28" fillId="3" borderId="31" xfId="0" applyFont="1" applyFill="1" applyBorder="1" applyAlignment="1" applyProtection="1">
      <alignment horizontal="center" vertical="center" wrapText="1"/>
      <protection hidden="1"/>
    </xf>
    <xf numFmtId="0" fontId="25" fillId="3" borderId="70" xfId="0" applyFont="1" applyFill="1" applyBorder="1" applyAlignment="1" applyProtection="1">
      <alignment horizontal="center" vertical="center"/>
      <protection hidden="1"/>
    </xf>
    <xf numFmtId="0" fontId="25" fillId="3" borderId="71" xfId="0" applyFont="1" applyFill="1" applyBorder="1" applyAlignment="1" applyProtection="1">
      <alignment horizontal="center" vertical="center"/>
      <protection hidden="1"/>
    </xf>
    <xf numFmtId="0" fontId="25" fillId="3" borderId="8" xfId="0" applyFont="1" applyFill="1" applyBorder="1" applyAlignment="1" applyProtection="1">
      <alignment horizontal="center" vertical="center"/>
      <protection hidden="1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3" borderId="6" xfId="0" applyFont="1" applyFill="1" applyBorder="1" applyAlignment="1" applyProtection="1">
      <alignment horizontal="center" vertical="center"/>
      <protection hidden="1"/>
    </xf>
    <xf numFmtId="0" fontId="25" fillId="3" borderId="9" xfId="0" applyFont="1" applyFill="1" applyBorder="1" applyAlignment="1" applyProtection="1">
      <alignment horizontal="center" vertical="center"/>
      <protection hidden="1"/>
    </xf>
    <xf numFmtId="0" fontId="25" fillId="3" borderId="2" xfId="0" applyFont="1" applyFill="1" applyBorder="1" applyAlignment="1" applyProtection="1">
      <alignment horizontal="center" vertical="center"/>
      <protection hidden="1"/>
    </xf>
    <xf numFmtId="0" fontId="25" fillId="3" borderId="7" xfId="0" applyFont="1" applyFill="1" applyBorder="1" applyAlignment="1" applyProtection="1">
      <alignment horizontal="center" vertical="center"/>
      <protection hidden="1"/>
    </xf>
    <xf numFmtId="0" fontId="12" fillId="0" borderId="21" xfId="0" applyFont="1" applyBorder="1" applyAlignment="1" applyProtection="1">
      <alignment horizontal="left" vertical="top" wrapText="1"/>
      <protection locked="0"/>
    </xf>
    <xf numFmtId="0" fontId="3" fillId="3" borderId="72" xfId="0" applyFont="1" applyFill="1" applyBorder="1" applyAlignment="1" applyProtection="1">
      <alignment horizontal="center" vertical="center"/>
      <protection hidden="1"/>
    </xf>
    <xf numFmtId="0" fontId="3" fillId="3" borderId="88" xfId="0" applyFont="1" applyFill="1" applyBorder="1" applyAlignment="1" applyProtection="1">
      <alignment horizontal="center" vertical="center"/>
      <protection hidden="1"/>
    </xf>
    <xf numFmtId="0" fontId="28" fillId="3" borderId="82" xfId="0" applyFont="1" applyFill="1" applyBorder="1" applyAlignment="1" applyProtection="1">
      <alignment horizontal="center" vertical="center" wrapText="1"/>
      <protection hidden="1"/>
    </xf>
    <xf numFmtId="0" fontId="28" fillId="3" borderId="69" xfId="0" applyFont="1" applyFill="1" applyBorder="1" applyAlignment="1" applyProtection="1">
      <alignment horizontal="center" vertical="center" wrapText="1"/>
      <protection hidden="1"/>
    </xf>
    <xf numFmtId="14" fontId="3" fillId="3" borderId="89" xfId="0" applyNumberFormat="1" applyFont="1" applyFill="1" applyBorder="1" applyAlignment="1" applyProtection="1">
      <alignment horizontal="center" vertical="center" wrapText="1"/>
      <protection hidden="1"/>
    </xf>
    <xf numFmtId="14" fontId="3" fillId="3" borderId="90" xfId="0" applyNumberFormat="1" applyFont="1" applyFill="1" applyBorder="1" applyAlignment="1" applyProtection="1">
      <alignment horizontal="center" vertical="center" wrapText="1"/>
      <protection hidden="1"/>
    </xf>
    <xf numFmtId="14" fontId="5" fillId="3" borderId="89" xfId="0" applyNumberFormat="1" applyFont="1" applyFill="1" applyBorder="1" applyAlignment="1" applyProtection="1">
      <alignment horizontal="center" vertical="center" wrapText="1"/>
      <protection hidden="1"/>
    </xf>
    <xf numFmtId="14" fontId="5" fillId="3" borderId="90" xfId="0" applyNumberFormat="1" applyFont="1" applyFill="1" applyBorder="1" applyAlignment="1" applyProtection="1">
      <alignment horizontal="center" vertical="center" wrapText="1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0" fontId="50" fillId="0" borderId="101" xfId="0" applyFont="1" applyBorder="1" applyAlignment="1" applyProtection="1">
      <alignment horizontal="center" vertical="center"/>
      <protection hidden="1"/>
    </xf>
    <xf numFmtId="0" fontId="13" fillId="33" borderId="102" xfId="0" applyFont="1" applyFill="1" applyBorder="1" applyAlignment="1" applyProtection="1">
      <alignment horizontal="center" vertical="center" wrapText="1"/>
      <protection hidden="1"/>
    </xf>
    <xf numFmtId="0" fontId="13" fillId="33" borderId="109" xfId="0" applyFont="1" applyFill="1" applyBorder="1" applyAlignment="1" applyProtection="1">
      <alignment horizontal="center" vertical="center" wrapText="1"/>
      <protection hidden="1"/>
    </xf>
    <xf numFmtId="0" fontId="46" fillId="18" borderId="114" xfId="0" applyFont="1" applyFill="1" applyBorder="1" applyAlignment="1" applyProtection="1">
      <alignment horizontal="center" vertical="center" wrapText="1"/>
      <protection hidden="1"/>
    </xf>
    <xf numFmtId="0" fontId="46" fillId="18" borderId="112" xfId="0" applyFont="1" applyFill="1" applyBorder="1" applyAlignment="1" applyProtection="1">
      <alignment horizontal="center" vertical="center" wrapText="1"/>
      <protection hidden="1"/>
    </xf>
    <xf numFmtId="0" fontId="46" fillId="18" borderId="111" xfId="0" applyFont="1" applyFill="1" applyBorder="1" applyAlignment="1" applyProtection="1">
      <alignment horizontal="center" vertical="center" wrapText="1"/>
      <protection hidden="1"/>
    </xf>
    <xf numFmtId="0" fontId="46" fillId="18" borderId="113" xfId="0" applyFont="1" applyFill="1" applyBorder="1" applyAlignment="1" applyProtection="1">
      <alignment horizontal="center" vertical="center" wrapText="1"/>
      <protection hidden="1"/>
    </xf>
    <xf numFmtId="0" fontId="13" fillId="18" borderId="115" xfId="0" applyFont="1" applyFill="1" applyBorder="1" applyAlignment="1" applyProtection="1">
      <alignment horizontal="center" vertical="center" wrapText="1"/>
      <protection hidden="1"/>
    </xf>
    <xf numFmtId="0" fontId="13" fillId="18" borderId="102" xfId="0" applyFont="1" applyFill="1" applyBorder="1" applyAlignment="1" applyProtection="1">
      <alignment horizontal="center" vertical="center" wrapText="1"/>
      <protection hidden="1"/>
    </xf>
    <xf numFmtId="0" fontId="24" fillId="0" borderId="61" xfId="0" applyFont="1" applyFill="1" applyBorder="1" applyAlignment="1" applyProtection="1">
      <alignment horizontal="center" vertical="center"/>
      <protection locked="0" hidden="1"/>
    </xf>
    <xf numFmtId="0" fontId="24" fillId="0" borderId="62" xfId="0" applyFont="1" applyFill="1" applyBorder="1" applyAlignment="1" applyProtection="1">
      <alignment horizontal="center" vertical="center"/>
      <protection locked="0" hidden="1"/>
    </xf>
    <xf numFmtId="0" fontId="24" fillId="0" borderId="63" xfId="0" applyFont="1" applyFill="1" applyBorder="1" applyAlignment="1" applyProtection="1">
      <alignment horizontal="center" vertical="center"/>
      <protection locked="0" hidden="1"/>
    </xf>
    <xf numFmtId="0" fontId="27" fillId="14" borderId="0" xfId="0" applyFont="1" applyFill="1" applyAlignment="1" applyProtection="1">
      <alignment horizontal="right" vertical="center"/>
      <protection hidden="1"/>
    </xf>
    <xf numFmtId="0" fontId="14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8" fillId="10" borderId="13" xfId="0" applyFont="1" applyFill="1" applyBorder="1" applyAlignment="1" applyProtection="1">
      <alignment horizontal="center" vertical="center"/>
      <protection hidden="1"/>
    </xf>
    <xf numFmtId="0" fontId="18" fillId="10" borderId="14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Percent" xfId="1" builtinId="5"/>
  </cellStyles>
  <dxfs count="510">
    <dxf>
      <fill>
        <patternFill>
          <bgColor theme="9" tint="0.39994506668294322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BFBFBF"/>
        </patternFill>
      </fill>
    </dxf>
    <dxf>
      <fill>
        <patternFill>
          <bgColor rgb="FFFCD5B4"/>
        </patternFill>
      </fill>
    </dxf>
    <dxf>
      <fill>
        <patternFill>
          <bgColor rgb="FFD8E4BC"/>
        </patternFill>
      </fill>
    </dxf>
    <dxf>
      <fill>
        <patternFill>
          <bgColor rgb="FFB7DEE8"/>
        </patternFill>
      </fill>
    </dxf>
    <dxf>
      <fill>
        <patternFill>
          <bgColor rgb="FFFFBEAF"/>
        </patternFill>
      </fill>
    </dxf>
    <dxf>
      <fill>
        <patternFill>
          <bgColor rgb="FFBDBDFF"/>
        </patternFill>
      </fill>
    </dxf>
    <dxf>
      <fill>
        <patternFill>
          <bgColor rgb="FFEDCCCB"/>
        </patternFill>
      </fill>
    </dxf>
    <dxf>
      <fill>
        <patternFill>
          <bgColor rgb="FFD8CFE3"/>
        </patternFill>
      </fill>
    </dxf>
    <dxf>
      <fill>
        <patternFill>
          <bgColor rgb="FFFFFFB3"/>
        </patternFill>
      </fill>
    </dxf>
    <dxf>
      <fill>
        <patternFill>
          <bgColor rgb="FFFFC9FF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87CECD"/>
        </patternFill>
      </fill>
    </dxf>
    <dxf>
      <fill>
        <patternFill>
          <bgColor rgb="FFAFEEEE"/>
        </patternFill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Up"/>
      </fill>
    </dxf>
    <dxf>
      <fill>
        <patternFill patternType="lightDown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lightUp"/>
      </fill>
    </dxf>
    <dxf>
      <fill>
        <patternFill patternType="lightDown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>
          <bgColor theme="0"/>
        </patternFill>
      </fill>
    </dxf>
    <dxf>
      <fill>
        <patternFill patternType="lightGray">
          <bgColor theme="0"/>
        </patternFill>
      </fill>
    </dxf>
    <dxf>
      <fill>
        <patternFill patternType="lightGray">
          <bgColor theme="0"/>
        </patternFill>
      </fill>
    </dxf>
    <dxf>
      <fill>
        <patternFill patternType="lightGray">
          <bgColor theme="0"/>
        </patternFill>
      </fill>
    </dxf>
    <dxf>
      <fill>
        <patternFill patternType="lightGray">
          <bgColor theme="0"/>
        </patternFill>
      </fill>
    </dxf>
    <dxf>
      <fill>
        <patternFill patternType="lightGray">
          <bgColor theme="0"/>
        </patternFill>
      </fill>
    </dxf>
    <dxf>
      <font>
        <b/>
        <i val="0"/>
      </font>
      <fill>
        <patternFill patternType="lightGray">
          <bgColor theme="0"/>
        </patternFill>
      </fill>
    </dxf>
    <dxf>
      <fill>
        <patternFill patternType="lightGray"/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strike val="0"/>
        <color auto="1"/>
      </font>
      <fill>
        <patternFill patternType="lightGray">
          <fgColor auto="1"/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ont>
        <b/>
        <i val="0"/>
        <color auto="1"/>
      </font>
      <fill>
        <patternFill patternType="lightGray">
          <bgColor auto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rgb="FFA8D4FF"/>
        </patternFill>
      </fill>
    </dxf>
    <dxf>
      <fill>
        <patternFill>
          <bgColor rgb="FF00FFFF"/>
        </patternFill>
      </fill>
    </dxf>
    <dxf>
      <fill>
        <patternFill>
          <bgColor rgb="FFA8FFFF"/>
        </patternFill>
      </fill>
    </dxf>
    <dxf>
      <fill>
        <patternFill>
          <bgColor rgb="FFAFEEEE"/>
        </patternFill>
      </fill>
    </dxf>
    <dxf>
      <fill>
        <patternFill>
          <bgColor rgb="FF87CECD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59996337778862885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rgb="FFFFC9FF"/>
        </patternFill>
      </fill>
    </dxf>
    <dxf>
      <fill>
        <patternFill>
          <bgColor rgb="FFE2A700"/>
        </patternFill>
      </fill>
    </dxf>
    <dxf>
      <fill>
        <patternFill>
          <bgColor rgb="FFBDBDFF"/>
        </patternFill>
      </fill>
    </dxf>
    <dxf>
      <fill>
        <patternFill>
          <bgColor rgb="FFFCD5B4"/>
        </patternFill>
      </fill>
    </dxf>
    <dxf>
      <fill>
        <patternFill>
          <bgColor theme="3" tint="0.59996337778862885"/>
        </patternFill>
      </fill>
    </dxf>
    <dxf>
      <fill>
        <patternFill>
          <bgColor rgb="FFBFBFBF"/>
        </patternFill>
      </fill>
    </dxf>
    <dxf>
      <fill>
        <patternFill>
          <bgColor rgb="FFFFFFB3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alignment horizontal="center" textRotation="0" wrapText="0" indent="0" justifyLastLine="0" shrinkToFit="0" readingOrder="0"/>
      <protection locked="0" hidden="1"/>
    </dxf>
    <dxf>
      <protection hidden="1"/>
    </dxf>
    <dxf>
      <protection hidden="1"/>
    </dxf>
    <dxf>
      <alignment horizontal="center" vertical="center" textRotation="0" wrapText="0" indent="0" justifyLastLine="0" shrinkToFit="0" readingOrder="0"/>
      <protection hidden="1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FFFFB3"/>
      <color rgb="FFE2A700"/>
      <color rgb="FFCC9900"/>
      <color rgb="FFDEBC9A"/>
      <color rgb="FFD6AD84"/>
      <color rgb="FFC58A4F"/>
      <color rgb="FFFF9797"/>
      <color rgb="FFFF5B5B"/>
      <color rgb="FFBFBFBF"/>
      <color rgb="FFD8E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DASHBOARD!$M$6</c:f>
              <c:strCache>
                <c:ptCount val="1"/>
                <c:pt idx="0">
                  <c:v>Realizado (H)</c:v>
                </c:pt>
              </c:strCache>
            </c:strRef>
          </c:tx>
          <c:invertIfNegative val="0"/>
          <c:cat>
            <c:strRef>
              <c:f>DASHBOARD!$K$7:$K$12</c:f>
              <c:strCache>
                <c:ptCount val="6"/>
                <c:pt idx="0">
                  <c:v>Estudo Autónomo</c:v>
                </c:pt>
                <c:pt idx="1">
                  <c:v>Estudo em Grupo</c:v>
                </c:pt>
                <c:pt idx="2">
                  <c:v>Trabalho de Grupo</c:v>
                </c:pt>
                <c:pt idx="3">
                  <c:v>Aulas Teóricas</c:v>
                </c:pt>
                <c:pt idx="4">
                  <c:v>Privado</c:v>
                </c:pt>
                <c:pt idx="5">
                  <c:v>Deslocação</c:v>
                </c:pt>
              </c:strCache>
            </c:strRef>
          </c:cat>
          <c:val>
            <c:numRef>
              <c:f>DASHBOARD!$M$7:$M$12</c:f>
              <c:numCache>
                <c:formatCode>0.00</c:formatCode>
                <c:ptCount val="6"/>
                <c:pt idx="0">
                  <c:v>95.5</c:v>
                </c:pt>
                <c:pt idx="1">
                  <c:v>55.5</c:v>
                </c:pt>
                <c:pt idx="2">
                  <c:v>0</c:v>
                </c:pt>
                <c:pt idx="3">
                  <c:v>120</c:v>
                </c:pt>
                <c:pt idx="4">
                  <c:v>369</c:v>
                </c:pt>
                <c:pt idx="5">
                  <c:v>115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F9-4CC3-A3AD-916C7E9A9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98056"/>
        <c:axId val="318498448"/>
      </c:barChart>
      <c:lineChart>
        <c:grouping val="standard"/>
        <c:varyColors val="0"/>
        <c:ser>
          <c:idx val="0"/>
          <c:order val="0"/>
          <c:tx>
            <c:strRef>
              <c:f>DASHBOARD!$L$6</c:f>
              <c:strCache>
                <c:ptCount val="1"/>
                <c:pt idx="0">
                  <c:v>Planeado (H)</c:v>
                </c:pt>
              </c:strCache>
            </c:strRef>
          </c:tx>
          <c:spPr>
            <a:ln w="2857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cat>
            <c:strRef>
              <c:f>DASHBOARD!$K$7:$K$12</c:f>
              <c:strCache>
                <c:ptCount val="6"/>
                <c:pt idx="0">
                  <c:v>Estudo Autónomo</c:v>
                </c:pt>
                <c:pt idx="1">
                  <c:v>Estudo em Grupo</c:v>
                </c:pt>
                <c:pt idx="2">
                  <c:v>Trabalho de Grupo</c:v>
                </c:pt>
                <c:pt idx="3">
                  <c:v>Aulas Teóricas</c:v>
                </c:pt>
                <c:pt idx="4">
                  <c:v>Privado</c:v>
                </c:pt>
                <c:pt idx="5">
                  <c:v>Deslocação</c:v>
                </c:pt>
              </c:strCache>
            </c:strRef>
          </c:cat>
          <c:val>
            <c:numRef>
              <c:f>DASHBOARD!$L$7:$L$12</c:f>
              <c:numCache>
                <c:formatCode>0.00</c:formatCode>
                <c:ptCount val="6"/>
                <c:pt idx="0">
                  <c:v>86.5</c:v>
                </c:pt>
                <c:pt idx="1">
                  <c:v>46.5</c:v>
                </c:pt>
                <c:pt idx="2">
                  <c:v>0</c:v>
                </c:pt>
                <c:pt idx="3">
                  <c:v>120</c:v>
                </c:pt>
                <c:pt idx="4">
                  <c:v>384</c:v>
                </c:pt>
                <c:pt idx="5">
                  <c:v>116.5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F9-4CC3-A3AD-916C7E9A9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98056"/>
        <c:axId val="318498448"/>
      </c:lineChart>
      <c:catAx>
        <c:axId val="318498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8498448"/>
        <c:crosses val="autoZero"/>
        <c:auto val="1"/>
        <c:lblAlgn val="ctr"/>
        <c:lblOffset val="100"/>
        <c:noMultiLvlLbl val="0"/>
      </c:catAx>
      <c:valAx>
        <c:axId val="3184984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318498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rgbClr val="009FE3"/>
      </a:solidFill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DASHBOARD!$D$30</c:f>
              <c:strCache>
                <c:ptCount val="1"/>
              </c:strCache>
            </c:strRef>
          </c:tx>
          <c:invertIfNegative val="0"/>
          <c:cat>
            <c:strRef>
              <c:f>DASHBOARD!$C$31:$C$32</c:f>
              <c:strCache>
                <c:ptCount val="2"/>
                <c:pt idx="0">
                  <c:v>PLANEADO</c:v>
                </c:pt>
                <c:pt idx="1">
                  <c:v>REALIZADO</c:v>
                </c:pt>
              </c:strCache>
            </c:strRef>
          </c:cat>
          <c:val>
            <c:numRef>
              <c:f>DASHBOARD!$D$31:$D$32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677-4ACD-B642-0A165F8E3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99232"/>
        <c:axId val="318499624"/>
      </c:barChart>
      <c:catAx>
        <c:axId val="318499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8499624"/>
        <c:crosses val="autoZero"/>
        <c:auto val="1"/>
        <c:lblAlgn val="ctr"/>
        <c:lblOffset val="100"/>
        <c:noMultiLvlLbl val="0"/>
      </c:catAx>
      <c:valAx>
        <c:axId val="318499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8499232"/>
        <c:crosses val="autoZero"/>
        <c:crossBetween val="between"/>
      </c:valAx>
    </c:plotArea>
    <c:plotVisOnly val="1"/>
    <c:dispBlanksAs val="gap"/>
    <c:showDLblsOverMax val="0"/>
  </c:chart>
  <c:spPr>
    <a:ln>
      <a:solidFill>
        <a:srgbClr val="00B0F0"/>
      </a:solidFill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29137</xdr:colOff>
      <xdr:row>0</xdr:row>
      <xdr:rowOff>96369</xdr:rowOff>
    </xdr:from>
    <xdr:to>
      <xdr:col>1</xdr:col>
      <xdr:colOff>874060</xdr:colOff>
      <xdr:row>0</xdr:row>
      <xdr:rowOff>529821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7" y="96369"/>
          <a:ext cx="1136276" cy="4334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239487</xdr:colOff>
      <xdr:row>5</xdr:row>
      <xdr:rowOff>13608</xdr:rowOff>
    </xdr:from>
    <xdr:to>
      <xdr:col>9</xdr:col>
      <xdr:colOff>307521</xdr:colOff>
      <xdr:row>5</xdr:row>
      <xdr:rowOff>375558</xdr:rowOff>
    </xdr:to>
    <xdr:sp macro="" textlink="$A$4">
      <xdr:nvSpPr>
        <xdr:cNvPr id="3" name="TextBox 2"/>
        <xdr:cNvSpPr txBox="1"/>
      </xdr:nvSpPr>
      <xdr:spPr>
        <a:xfrm>
          <a:off x="2634344" y="1374322"/>
          <a:ext cx="1836963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E47FE52-3BEE-424F-851F-2FAEA761498E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244930</xdr:colOff>
      <xdr:row>62</xdr:row>
      <xdr:rowOff>27215</xdr:rowOff>
    </xdr:from>
    <xdr:to>
      <xdr:col>9</xdr:col>
      <xdr:colOff>312964</xdr:colOff>
      <xdr:row>63</xdr:row>
      <xdr:rowOff>1</xdr:rowOff>
    </xdr:to>
    <xdr:sp macro="" textlink="$A$61">
      <xdr:nvSpPr>
        <xdr:cNvPr id="11" name="TextBox 10"/>
        <xdr:cNvSpPr txBox="1"/>
      </xdr:nvSpPr>
      <xdr:spPr>
        <a:xfrm>
          <a:off x="2639787" y="14790965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574E96D5-3523-4A5E-9227-A2281977CAA3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2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54429</xdr:colOff>
      <xdr:row>119</xdr:row>
      <xdr:rowOff>13608</xdr:rowOff>
    </xdr:from>
    <xdr:to>
      <xdr:col>10</xdr:col>
      <xdr:colOff>122464</xdr:colOff>
      <xdr:row>119</xdr:row>
      <xdr:rowOff>381001</xdr:rowOff>
    </xdr:to>
    <xdr:sp macro="" textlink="">
      <xdr:nvSpPr>
        <xdr:cNvPr id="13" name="TextBox 12"/>
        <xdr:cNvSpPr txBox="1"/>
      </xdr:nvSpPr>
      <xdr:spPr>
        <a:xfrm>
          <a:off x="2789465" y="28125965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3</a:t>
          </a:r>
        </a:p>
      </xdr:txBody>
    </xdr:sp>
    <xdr:clientData/>
  </xdr:twoCellAnchor>
  <xdr:twoCellAnchor>
    <xdr:from>
      <xdr:col>5</xdr:col>
      <xdr:colOff>180522</xdr:colOff>
      <xdr:row>175</xdr:row>
      <xdr:rowOff>103416</xdr:rowOff>
    </xdr:from>
    <xdr:to>
      <xdr:col>9</xdr:col>
      <xdr:colOff>248557</xdr:colOff>
      <xdr:row>176</xdr:row>
      <xdr:rowOff>355602</xdr:rowOff>
    </xdr:to>
    <xdr:sp macro="" textlink="">
      <xdr:nvSpPr>
        <xdr:cNvPr id="17" name="TextBox 16"/>
        <xdr:cNvSpPr txBox="1"/>
      </xdr:nvSpPr>
      <xdr:spPr>
        <a:xfrm>
          <a:off x="3088822" y="41429216"/>
          <a:ext cx="1947635" cy="3664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4</a:t>
          </a:r>
        </a:p>
      </xdr:txBody>
    </xdr:sp>
    <xdr:clientData/>
  </xdr:twoCellAnchor>
  <xdr:twoCellAnchor>
    <xdr:from>
      <xdr:col>6</xdr:col>
      <xdr:colOff>54429</xdr:colOff>
      <xdr:row>233</xdr:row>
      <xdr:rowOff>1</xdr:rowOff>
    </xdr:from>
    <xdr:to>
      <xdr:col>10</xdr:col>
      <xdr:colOff>122464</xdr:colOff>
      <xdr:row>233</xdr:row>
      <xdr:rowOff>367394</xdr:rowOff>
    </xdr:to>
    <xdr:sp macro="" textlink="">
      <xdr:nvSpPr>
        <xdr:cNvPr id="19" name="TextBox 18"/>
        <xdr:cNvSpPr txBox="1"/>
      </xdr:nvSpPr>
      <xdr:spPr>
        <a:xfrm>
          <a:off x="2789465" y="54809572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5</a:t>
          </a:r>
        </a:p>
      </xdr:txBody>
    </xdr:sp>
    <xdr:clientData/>
  </xdr:twoCellAnchor>
  <xdr:twoCellAnchor>
    <xdr:from>
      <xdr:col>6</xdr:col>
      <xdr:colOff>13607</xdr:colOff>
      <xdr:row>290</xdr:row>
      <xdr:rowOff>1</xdr:rowOff>
    </xdr:from>
    <xdr:to>
      <xdr:col>10</xdr:col>
      <xdr:colOff>81642</xdr:colOff>
      <xdr:row>290</xdr:row>
      <xdr:rowOff>367394</xdr:rowOff>
    </xdr:to>
    <xdr:sp macro="" textlink="">
      <xdr:nvSpPr>
        <xdr:cNvPr id="21" name="TextBox 20"/>
        <xdr:cNvSpPr txBox="1"/>
      </xdr:nvSpPr>
      <xdr:spPr>
        <a:xfrm>
          <a:off x="2748643" y="68158180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6</a:t>
          </a:r>
        </a:p>
      </xdr:txBody>
    </xdr:sp>
    <xdr:clientData/>
  </xdr:twoCellAnchor>
  <xdr:twoCellAnchor>
    <xdr:from>
      <xdr:col>5</xdr:col>
      <xdr:colOff>326572</xdr:colOff>
      <xdr:row>347</xdr:row>
      <xdr:rowOff>1</xdr:rowOff>
    </xdr:from>
    <xdr:to>
      <xdr:col>10</xdr:col>
      <xdr:colOff>54428</xdr:colOff>
      <xdr:row>347</xdr:row>
      <xdr:rowOff>367394</xdr:rowOff>
    </xdr:to>
    <xdr:sp macro="" textlink="">
      <xdr:nvSpPr>
        <xdr:cNvPr id="24" name="TextBox 23"/>
        <xdr:cNvSpPr txBox="1"/>
      </xdr:nvSpPr>
      <xdr:spPr>
        <a:xfrm>
          <a:off x="2721429" y="81506787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7</a:t>
          </a:r>
        </a:p>
      </xdr:txBody>
    </xdr:sp>
    <xdr:clientData/>
  </xdr:twoCellAnchor>
  <xdr:twoCellAnchor>
    <xdr:from>
      <xdr:col>6</xdr:col>
      <xdr:colOff>136072</xdr:colOff>
      <xdr:row>404</xdr:row>
      <xdr:rowOff>1</xdr:rowOff>
    </xdr:from>
    <xdr:to>
      <xdr:col>10</xdr:col>
      <xdr:colOff>204107</xdr:colOff>
      <xdr:row>404</xdr:row>
      <xdr:rowOff>367394</xdr:rowOff>
    </xdr:to>
    <xdr:sp macro="" textlink="">
      <xdr:nvSpPr>
        <xdr:cNvPr id="27" name="TextBox 26"/>
        <xdr:cNvSpPr txBox="1"/>
      </xdr:nvSpPr>
      <xdr:spPr>
        <a:xfrm>
          <a:off x="2871108" y="94855394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200" b="1">
              <a:solidFill>
                <a:schemeClr val="bg1"/>
              </a:solidFill>
            </a:rPr>
            <a:t>SEMANA 8</a:t>
          </a:r>
        </a:p>
      </xdr:txBody>
    </xdr:sp>
    <xdr:clientData/>
  </xdr:twoCellAnchor>
  <xdr:twoCellAnchor>
    <xdr:from>
      <xdr:col>18</xdr:col>
      <xdr:colOff>959372</xdr:colOff>
      <xdr:row>56</xdr:row>
      <xdr:rowOff>71434</xdr:rowOff>
    </xdr:from>
    <xdr:to>
      <xdr:col>20</xdr:col>
      <xdr:colOff>1007435</xdr:colOff>
      <xdr:row>59</xdr:row>
      <xdr:rowOff>12743</xdr:rowOff>
    </xdr:to>
    <xdr:sp macro="[0]!FPlanSEMANA1" textlink="">
      <xdr:nvSpPr>
        <xdr:cNvPr id="29" name="Rounded Rectangle 1" hidden="1"/>
        <xdr:cNvSpPr/>
      </xdr:nvSpPr>
      <xdr:spPr>
        <a:xfrm>
          <a:off x="10341497" y="13715997"/>
          <a:ext cx="2095938" cy="584246"/>
        </a:xfrm>
        <a:prstGeom prst="roundRect">
          <a:avLst/>
        </a:prstGeom>
        <a:ln>
          <a:solidFill>
            <a:srgbClr val="5BCCFF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18</xdr:col>
      <xdr:colOff>975247</xdr:colOff>
      <xdr:row>113</xdr:row>
      <xdr:rowOff>71091</xdr:rowOff>
    </xdr:from>
    <xdr:to>
      <xdr:col>20</xdr:col>
      <xdr:colOff>1023310</xdr:colOff>
      <xdr:row>116</xdr:row>
      <xdr:rowOff>87415</xdr:rowOff>
    </xdr:to>
    <xdr:sp macro="[0]!FPlanSEMANA2" textlink="">
      <xdr:nvSpPr>
        <xdr:cNvPr id="30" name="Rounded Rectangle 3" hidden="1"/>
        <xdr:cNvSpPr/>
      </xdr:nvSpPr>
      <xdr:spPr>
        <a:xfrm>
          <a:off x="10357372" y="27455466"/>
          <a:ext cx="2095938" cy="5878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1119001</xdr:colOff>
      <xdr:row>113</xdr:row>
      <xdr:rowOff>71091</xdr:rowOff>
    </xdr:from>
    <xdr:to>
      <xdr:col>29</xdr:col>
      <xdr:colOff>488189</xdr:colOff>
      <xdr:row>116</xdr:row>
      <xdr:rowOff>92858</xdr:rowOff>
    </xdr:to>
    <xdr:sp macro="[0]!ReportSEMANA2" textlink="">
      <xdr:nvSpPr>
        <xdr:cNvPr id="31" name="Rounded Rectangle 4" hidden="1"/>
        <xdr:cNvSpPr/>
      </xdr:nvSpPr>
      <xdr:spPr>
        <a:xfrm>
          <a:off x="19740376" y="27455466"/>
          <a:ext cx="1940938" cy="59326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 </a:t>
          </a:r>
          <a:r>
            <a:rPr lang="pt-PT" sz="1200" b="1" baseline="0">
              <a:solidFill>
                <a:schemeClr val="bg1"/>
              </a:solidFill>
            </a:rPr>
            <a:t>SEMANA 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170</xdr:row>
      <xdr:rowOff>79821</xdr:rowOff>
    </xdr:from>
    <xdr:to>
      <xdr:col>20</xdr:col>
      <xdr:colOff>995529</xdr:colOff>
      <xdr:row>173</xdr:row>
      <xdr:rowOff>100906</xdr:rowOff>
    </xdr:to>
    <xdr:sp macro="[0]!FPlanSEMANA3" textlink="">
      <xdr:nvSpPr>
        <xdr:cNvPr id="32" name="Rounded Rectangle 5" hidden="1"/>
        <xdr:cNvSpPr/>
      </xdr:nvSpPr>
      <xdr:spPr>
        <a:xfrm>
          <a:off x="10329591" y="41108759"/>
          <a:ext cx="2095938" cy="5925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1099951</xdr:colOff>
      <xdr:row>170</xdr:row>
      <xdr:rowOff>79821</xdr:rowOff>
    </xdr:from>
    <xdr:to>
      <xdr:col>29</xdr:col>
      <xdr:colOff>478664</xdr:colOff>
      <xdr:row>173</xdr:row>
      <xdr:rowOff>106349</xdr:rowOff>
    </xdr:to>
    <xdr:sp macro="[0]!ReportSEMANA3" textlink="">
      <xdr:nvSpPr>
        <xdr:cNvPr id="33" name="Rounded Rectangle 6" hidden="1"/>
        <xdr:cNvSpPr/>
      </xdr:nvSpPr>
      <xdr:spPr>
        <a:xfrm>
          <a:off x="19721326" y="41108759"/>
          <a:ext cx="1950463" cy="598028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27</xdr:col>
      <xdr:colOff>1109363</xdr:colOff>
      <xdr:row>56</xdr:row>
      <xdr:rowOff>83341</xdr:rowOff>
    </xdr:from>
    <xdr:to>
      <xdr:col>29</xdr:col>
      <xdr:colOff>485808</xdr:colOff>
      <xdr:row>59</xdr:row>
      <xdr:rowOff>22559</xdr:rowOff>
    </xdr:to>
    <xdr:sp macro="[0]!ReportSEMANA1" textlink="">
      <xdr:nvSpPr>
        <xdr:cNvPr id="34" name="Rounded Rectangle 2" hidden="1"/>
        <xdr:cNvSpPr/>
      </xdr:nvSpPr>
      <xdr:spPr>
        <a:xfrm>
          <a:off x="19730738" y="13727904"/>
          <a:ext cx="1948195" cy="58215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 </a:t>
          </a:r>
          <a:r>
            <a:rPr lang="pt-PT" sz="1200" b="1" baseline="0">
              <a:solidFill>
                <a:schemeClr val="bg1"/>
              </a:solidFill>
            </a:rPr>
            <a:t>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227</xdr:row>
      <xdr:rowOff>74261</xdr:rowOff>
    </xdr:from>
    <xdr:to>
      <xdr:col>20</xdr:col>
      <xdr:colOff>995529</xdr:colOff>
      <xdr:row>230</xdr:row>
      <xdr:rowOff>95347</xdr:rowOff>
    </xdr:to>
    <xdr:sp macro="[0]!FPlanSEMANA4" textlink="">
      <xdr:nvSpPr>
        <xdr:cNvPr id="35" name="Rounded Rectangle 7" hidden="1"/>
        <xdr:cNvSpPr/>
      </xdr:nvSpPr>
      <xdr:spPr>
        <a:xfrm>
          <a:off x="10329591" y="54747761"/>
          <a:ext cx="2095938" cy="59258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1095188</xdr:colOff>
      <xdr:row>227</xdr:row>
      <xdr:rowOff>74261</xdr:rowOff>
    </xdr:from>
    <xdr:to>
      <xdr:col>29</xdr:col>
      <xdr:colOff>464376</xdr:colOff>
      <xdr:row>230</xdr:row>
      <xdr:rowOff>100790</xdr:rowOff>
    </xdr:to>
    <xdr:sp macro="[0]!ReportSEMANA4" textlink="">
      <xdr:nvSpPr>
        <xdr:cNvPr id="36" name="Rounded Rectangle 8" hidden="1"/>
        <xdr:cNvSpPr/>
      </xdr:nvSpPr>
      <xdr:spPr>
        <a:xfrm>
          <a:off x="19716563" y="54747761"/>
          <a:ext cx="1940938" cy="59802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935559</xdr:colOff>
      <xdr:row>284</xdr:row>
      <xdr:rowOff>63939</xdr:rowOff>
    </xdr:from>
    <xdr:to>
      <xdr:col>20</xdr:col>
      <xdr:colOff>983622</xdr:colOff>
      <xdr:row>287</xdr:row>
      <xdr:rowOff>77087</xdr:rowOff>
    </xdr:to>
    <xdr:sp macro="[0]!FPlanSEMANA5" textlink="">
      <xdr:nvSpPr>
        <xdr:cNvPr id="37" name="Rounded Rectangle 9" hidden="1"/>
        <xdr:cNvSpPr/>
      </xdr:nvSpPr>
      <xdr:spPr>
        <a:xfrm>
          <a:off x="10317684" y="68382002"/>
          <a:ext cx="2095938" cy="58464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</a:t>
          </a:r>
        </a:p>
      </xdr:txBody>
    </xdr:sp>
    <xdr:clientData/>
  </xdr:twoCellAnchor>
  <xdr:twoCellAnchor>
    <xdr:from>
      <xdr:col>27</xdr:col>
      <xdr:colOff>1083282</xdr:colOff>
      <xdr:row>284</xdr:row>
      <xdr:rowOff>63939</xdr:rowOff>
    </xdr:from>
    <xdr:to>
      <xdr:col>29</xdr:col>
      <xdr:colOff>461995</xdr:colOff>
      <xdr:row>287</xdr:row>
      <xdr:rowOff>82530</xdr:rowOff>
    </xdr:to>
    <xdr:sp macro="[0]!ReportSEMANA5" textlink="">
      <xdr:nvSpPr>
        <xdr:cNvPr id="38" name="Rounded Rectangle 10" hidden="1"/>
        <xdr:cNvSpPr/>
      </xdr:nvSpPr>
      <xdr:spPr>
        <a:xfrm>
          <a:off x="19704657" y="68382002"/>
          <a:ext cx="1950463" cy="59009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995092</xdr:colOff>
      <xdr:row>341</xdr:row>
      <xdr:rowOff>59967</xdr:rowOff>
    </xdr:from>
    <xdr:to>
      <xdr:col>21</xdr:col>
      <xdr:colOff>19217</xdr:colOff>
      <xdr:row>344</xdr:row>
      <xdr:rowOff>73116</xdr:rowOff>
    </xdr:to>
    <xdr:sp macro="[0]!FPlanSEMANA6" textlink="">
      <xdr:nvSpPr>
        <xdr:cNvPr id="40" name="Rounded Rectangle 11" hidden="1"/>
        <xdr:cNvSpPr/>
      </xdr:nvSpPr>
      <xdr:spPr>
        <a:xfrm>
          <a:off x="10377217" y="82022592"/>
          <a:ext cx="2095938" cy="58464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</a:t>
          </a:r>
        </a:p>
      </xdr:txBody>
    </xdr:sp>
    <xdr:clientData/>
  </xdr:twoCellAnchor>
  <xdr:twoCellAnchor>
    <xdr:from>
      <xdr:col>27</xdr:col>
      <xdr:colOff>1154721</xdr:colOff>
      <xdr:row>341</xdr:row>
      <xdr:rowOff>59967</xdr:rowOff>
    </xdr:from>
    <xdr:to>
      <xdr:col>29</xdr:col>
      <xdr:colOff>533434</xdr:colOff>
      <xdr:row>344</xdr:row>
      <xdr:rowOff>78559</xdr:rowOff>
    </xdr:to>
    <xdr:sp macro="[0]!ReportSEMANA6" textlink="">
      <xdr:nvSpPr>
        <xdr:cNvPr id="41" name="Rounded Rectangle 12" hidden="1"/>
        <xdr:cNvSpPr/>
      </xdr:nvSpPr>
      <xdr:spPr>
        <a:xfrm>
          <a:off x="19776096" y="82022592"/>
          <a:ext cx="1950463" cy="59009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398</xdr:row>
      <xdr:rowOff>79809</xdr:rowOff>
    </xdr:from>
    <xdr:to>
      <xdr:col>20</xdr:col>
      <xdr:colOff>995529</xdr:colOff>
      <xdr:row>401</xdr:row>
      <xdr:rowOff>85019</xdr:rowOff>
    </xdr:to>
    <xdr:sp macro="[0]!FPlanSEMANA7" textlink="">
      <xdr:nvSpPr>
        <xdr:cNvPr id="42" name="Rounded Rectangle 13" hidden="1"/>
        <xdr:cNvSpPr/>
      </xdr:nvSpPr>
      <xdr:spPr>
        <a:xfrm>
          <a:off x="10329591" y="95686997"/>
          <a:ext cx="2095938" cy="57671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1107094</xdr:colOff>
      <xdr:row>398</xdr:row>
      <xdr:rowOff>79809</xdr:rowOff>
    </xdr:from>
    <xdr:to>
      <xdr:col>29</xdr:col>
      <xdr:colOff>623344</xdr:colOff>
      <xdr:row>401</xdr:row>
      <xdr:rowOff>90462</xdr:rowOff>
    </xdr:to>
    <xdr:sp macro="[0]!ReportSEMANA7" textlink="">
      <xdr:nvSpPr>
        <xdr:cNvPr id="43" name="Rounded Rectangle 14" hidden="1"/>
        <xdr:cNvSpPr/>
      </xdr:nvSpPr>
      <xdr:spPr>
        <a:xfrm>
          <a:off x="19728469" y="95686997"/>
          <a:ext cx="2088000" cy="582153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928756</xdr:colOff>
      <xdr:row>455</xdr:row>
      <xdr:rowOff>59966</xdr:rowOff>
    </xdr:from>
    <xdr:to>
      <xdr:col>20</xdr:col>
      <xdr:colOff>976280</xdr:colOff>
      <xdr:row>457</xdr:row>
      <xdr:rowOff>96216</xdr:rowOff>
    </xdr:to>
    <xdr:sp macro="[0]!FPlanSEMANA8" textlink="">
      <xdr:nvSpPr>
        <xdr:cNvPr id="44" name="Rounded Rectangle 15" hidden="1"/>
        <xdr:cNvSpPr/>
      </xdr:nvSpPr>
      <xdr:spPr>
        <a:xfrm>
          <a:off x="10390256" y="103310966"/>
          <a:ext cx="2079524" cy="57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880876</xdr:colOff>
      <xdr:row>455</xdr:row>
      <xdr:rowOff>59966</xdr:rowOff>
    </xdr:from>
    <xdr:to>
      <xdr:col>29</xdr:col>
      <xdr:colOff>267526</xdr:colOff>
      <xdr:row>457</xdr:row>
      <xdr:rowOff>96216</xdr:rowOff>
    </xdr:to>
    <xdr:sp macro="[0]!ReportSEMANA8" textlink="">
      <xdr:nvSpPr>
        <xdr:cNvPr id="45" name="Rounded Rectangle 16" hidden="1"/>
        <xdr:cNvSpPr/>
      </xdr:nvSpPr>
      <xdr:spPr>
        <a:xfrm>
          <a:off x="19581626" y="103310966"/>
          <a:ext cx="1990150" cy="57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81643</xdr:colOff>
      <xdr:row>461</xdr:row>
      <xdr:rowOff>13608</xdr:rowOff>
    </xdr:from>
    <xdr:to>
      <xdr:col>10</xdr:col>
      <xdr:colOff>149678</xdr:colOff>
      <xdr:row>461</xdr:row>
      <xdr:rowOff>381001</xdr:rowOff>
    </xdr:to>
    <xdr:sp macro="" textlink="$A$460">
      <xdr:nvSpPr>
        <xdr:cNvPr id="28" name="TextBox 27"/>
        <xdr:cNvSpPr txBox="1"/>
      </xdr:nvSpPr>
      <xdr:spPr>
        <a:xfrm>
          <a:off x="2816679" y="108394501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82A6258-60A8-44E8-9AB4-39C340E9C18A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9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81643</xdr:colOff>
      <xdr:row>518</xdr:row>
      <xdr:rowOff>1</xdr:rowOff>
    </xdr:from>
    <xdr:to>
      <xdr:col>10</xdr:col>
      <xdr:colOff>149678</xdr:colOff>
      <xdr:row>518</xdr:row>
      <xdr:rowOff>367394</xdr:rowOff>
    </xdr:to>
    <xdr:sp macro="" textlink="$A$517">
      <xdr:nvSpPr>
        <xdr:cNvPr id="39" name="TextBox 38"/>
        <xdr:cNvSpPr txBox="1"/>
      </xdr:nvSpPr>
      <xdr:spPr>
        <a:xfrm>
          <a:off x="2816679" y="121729501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C592E42-2FA9-4532-A715-8E18AA4395D6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10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136072</xdr:colOff>
      <xdr:row>575</xdr:row>
      <xdr:rowOff>1</xdr:rowOff>
    </xdr:from>
    <xdr:to>
      <xdr:col>10</xdr:col>
      <xdr:colOff>204107</xdr:colOff>
      <xdr:row>575</xdr:row>
      <xdr:rowOff>367394</xdr:rowOff>
    </xdr:to>
    <xdr:sp macro="" textlink="$A$574">
      <xdr:nvSpPr>
        <xdr:cNvPr id="46" name="TextBox 45"/>
        <xdr:cNvSpPr txBox="1"/>
      </xdr:nvSpPr>
      <xdr:spPr>
        <a:xfrm>
          <a:off x="2871108" y="135078108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E4160B72-BD73-4819-A1B3-9924EB137837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11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40821</xdr:colOff>
      <xdr:row>632</xdr:row>
      <xdr:rowOff>1</xdr:rowOff>
    </xdr:from>
    <xdr:to>
      <xdr:col>10</xdr:col>
      <xdr:colOff>108856</xdr:colOff>
      <xdr:row>632</xdr:row>
      <xdr:rowOff>367394</xdr:rowOff>
    </xdr:to>
    <xdr:sp macro="" textlink="$A$631">
      <xdr:nvSpPr>
        <xdr:cNvPr id="47" name="TextBox 46"/>
        <xdr:cNvSpPr txBox="1"/>
      </xdr:nvSpPr>
      <xdr:spPr>
        <a:xfrm>
          <a:off x="2775857" y="148426715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3938677-E581-4EC0-9E5F-88148EEB5AF8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12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122465</xdr:colOff>
      <xdr:row>689</xdr:row>
      <xdr:rowOff>1</xdr:rowOff>
    </xdr:from>
    <xdr:to>
      <xdr:col>10</xdr:col>
      <xdr:colOff>190500</xdr:colOff>
      <xdr:row>689</xdr:row>
      <xdr:rowOff>367394</xdr:rowOff>
    </xdr:to>
    <xdr:sp macro="" textlink="$A$688">
      <xdr:nvSpPr>
        <xdr:cNvPr id="48" name="TextBox 47"/>
        <xdr:cNvSpPr txBox="1"/>
      </xdr:nvSpPr>
      <xdr:spPr>
        <a:xfrm>
          <a:off x="2857501" y="161775322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1F8ACE4-A919-4680-A5D8-55D48C1407F9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13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149679</xdr:colOff>
      <xdr:row>746</xdr:row>
      <xdr:rowOff>1</xdr:rowOff>
    </xdr:from>
    <xdr:to>
      <xdr:col>10</xdr:col>
      <xdr:colOff>217714</xdr:colOff>
      <xdr:row>746</xdr:row>
      <xdr:rowOff>367394</xdr:rowOff>
    </xdr:to>
    <xdr:sp macro="" textlink="$A$745">
      <xdr:nvSpPr>
        <xdr:cNvPr id="49" name="TextBox 48"/>
        <xdr:cNvSpPr txBox="1"/>
      </xdr:nvSpPr>
      <xdr:spPr>
        <a:xfrm>
          <a:off x="2884715" y="175123930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8CD026E-90EF-4C60-8B37-6AA4F7E65925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14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81643</xdr:colOff>
      <xdr:row>803</xdr:row>
      <xdr:rowOff>1</xdr:rowOff>
    </xdr:from>
    <xdr:to>
      <xdr:col>10</xdr:col>
      <xdr:colOff>149678</xdr:colOff>
      <xdr:row>803</xdr:row>
      <xdr:rowOff>367394</xdr:rowOff>
    </xdr:to>
    <xdr:sp macro="" textlink="$A$802">
      <xdr:nvSpPr>
        <xdr:cNvPr id="50" name="TextBox 49"/>
        <xdr:cNvSpPr txBox="1"/>
      </xdr:nvSpPr>
      <xdr:spPr>
        <a:xfrm>
          <a:off x="2816679" y="188472537"/>
          <a:ext cx="1836963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1A32C76-96D0-4D67-BDD8-A217E8BBAA81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15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975247</xdr:colOff>
      <xdr:row>512</xdr:row>
      <xdr:rowOff>71091</xdr:rowOff>
    </xdr:from>
    <xdr:to>
      <xdr:col>20</xdr:col>
      <xdr:colOff>1023310</xdr:colOff>
      <xdr:row>515</xdr:row>
      <xdr:rowOff>87415</xdr:rowOff>
    </xdr:to>
    <xdr:sp macro="[0]!FPlanSEMANA9" textlink="">
      <xdr:nvSpPr>
        <xdr:cNvPr id="51" name="Rounded Rectangle 17"/>
        <xdr:cNvSpPr/>
      </xdr:nvSpPr>
      <xdr:spPr>
        <a:xfrm>
          <a:off x="10404997" y="25963216"/>
          <a:ext cx="2111813" cy="5878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1119001</xdr:colOff>
      <xdr:row>512</xdr:row>
      <xdr:rowOff>71091</xdr:rowOff>
    </xdr:from>
    <xdr:to>
      <xdr:col>29</xdr:col>
      <xdr:colOff>488189</xdr:colOff>
      <xdr:row>515</xdr:row>
      <xdr:rowOff>92858</xdr:rowOff>
    </xdr:to>
    <xdr:sp macro="[0]!ReportSEMANA9" textlink="">
      <xdr:nvSpPr>
        <xdr:cNvPr id="52" name="Rounded Rectangle 18" hidden="1"/>
        <xdr:cNvSpPr/>
      </xdr:nvSpPr>
      <xdr:spPr>
        <a:xfrm>
          <a:off x="19883251" y="25963216"/>
          <a:ext cx="1972688" cy="59326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 </a:t>
          </a:r>
          <a:r>
            <a:rPr lang="pt-PT" sz="1200" b="1" baseline="0">
              <a:solidFill>
                <a:schemeClr val="bg1"/>
              </a:solidFill>
            </a:rPr>
            <a:t>SEMANA 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569</xdr:row>
      <xdr:rowOff>79821</xdr:rowOff>
    </xdr:from>
    <xdr:to>
      <xdr:col>20</xdr:col>
      <xdr:colOff>995529</xdr:colOff>
      <xdr:row>572</xdr:row>
      <xdr:rowOff>100906</xdr:rowOff>
    </xdr:to>
    <xdr:sp macro="[0]!FPlanSEMANA10" textlink="">
      <xdr:nvSpPr>
        <xdr:cNvPr id="53" name="Rounded Rectangle 19" hidden="1"/>
        <xdr:cNvSpPr/>
      </xdr:nvSpPr>
      <xdr:spPr>
        <a:xfrm>
          <a:off x="10377216" y="38894196"/>
          <a:ext cx="2111813" cy="5925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1099951</xdr:colOff>
      <xdr:row>569</xdr:row>
      <xdr:rowOff>79821</xdr:rowOff>
    </xdr:from>
    <xdr:to>
      <xdr:col>29</xdr:col>
      <xdr:colOff>478664</xdr:colOff>
      <xdr:row>572</xdr:row>
      <xdr:rowOff>106349</xdr:rowOff>
    </xdr:to>
    <xdr:sp macro="[0]!ReportSEMANA10" textlink="">
      <xdr:nvSpPr>
        <xdr:cNvPr id="54" name="Rounded Rectangle 20" hidden="1"/>
        <xdr:cNvSpPr/>
      </xdr:nvSpPr>
      <xdr:spPr>
        <a:xfrm>
          <a:off x="19864201" y="38894196"/>
          <a:ext cx="1982213" cy="598028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626</xdr:row>
      <xdr:rowOff>74261</xdr:rowOff>
    </xdr:from>
    <xdr:to>
      <xdr:col>20</xdr:col>
      <xdr:colOff>995529</xdr:colOff>
      <xdr:row>629</xdr:row>
      <xdr:rowOff>95347</xdr:rowOff>
    </xdr:to>
    <xdr:sp macro="[0]!FPlanSEMANA11" textlink="">
      <xdr:nvSpPr>
        <xdr:cNvPr id="55" name="Rounded Rectangle 21" hidden="1"/>
        <xdr:cNvSpPr/>
      </xdr:nvSpPr>
      <xdr:spPr>
        <a:xfrm>
          <a:off x="10377216" y="51810886"/>
          <a:ext cx="2111813" cy="59258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1095188</xdr:colOff>
      <xdr:row>626</xdr:row>
      <xdr:rowOff>74261</xdr:rowOff>
    </xdr:from>
    <xdr:to>
      <xdr:col>29</xdr:col>
      <xdr:colOff>464376</xdr:colOff>
      <xdr:row>629</xdr:row>
      <xdr:rowOff>100790</xdr:rowOff>
    </xdr:to>
    <xdr:sp macro="[0]!ReportSEMANA11" textlink="">
      <xdr:nvSpPr>
        <xdr:cNvPr id="56" name="Rounded Rectangle 22" hidden="1"/>
        <xdr:cNvSpPr/>
      </xdr:nvSpPr>
      <xdr:spPr>
        <a:xfrm>
          <a:off x="19859438" y="51810886"/>
          <a:ext cx="1972688" cy="59802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 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935559</xdr:colOff>
      <xdr:row>683</xdr:row>
      <xdr:rowOff>63939</xdr:rowOff>
    </xdr:from>
    <xdr:to>
      <xdr:col>20</xdr:col>
      <xdr:colOff>983622</xdr:colOff>
      <xdr:row>686</xdr:row>
      <xdr:rowOff>77087</xdr:rowOff>
    </xdr:to>
    <xdr:sp macro="[0]!FPlanSEMANA12" textlink="">
      <xdr:nvSpPr>
        <xdr:cNvPr id="57" name="Rounded Rectangle 23" hidden="1"/>
        <xdr:cNvSpPr/>
      </xdr:nvSpPr>
      <xdr:spPr>
        <a:xfrm>
          <a:off x="10365309" y="64722814"/>
          <a:ext cx="2111813" cy="58464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1083282</xdr:colOff>
      <xdr:row>683</xdr:row>
      <xdr:rowOff>63939</xdr:rowOff>
    </xdr:from>
    <xdr:to>
      <xdr:col>29</xdr:col>
      <xdr:colOff>461995</xdr:colOff>
      <xdr:row>686</xdr:row>
      <xdr:rowOff>82530</xdr:rowOff>
    </xdr:to>
    <xdr:sp macro="[0]!ReportSEMANA12" textlink="">
      <xdr:nvSpPr>
        <xdr:cNvPr id="58" name="Rounded Rectangle 24" hidden="1"/>
        <xdr:cNvSpPr/>
      </xdr:nvSpPr>
      <xdr:spPr>
        <a:xfrm>
          <a:off x="19847532" y="64722814"/>
          <a:ext cx="1982213" cy="59009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995092</xdr:colOff>
      <xdr:row>740</xdr:row>
      <xdr:rowOff>59967</xdr:rowOff>
    </xdr:from>
    <xdr:to>
      <xdr:col>21</xdr:col>
      <xdr:colOff>19217</xdr:colOff>
      <xdr:row>743</xdr:row>
      <xdr:rowOff>73116</xdr:rowOff>
    </xdr:to>
    <xdr:sp macro="[0]!FPlanSEMANA13" textlink="">
      <xdr:nvSpPr>
        <xdr:cNvPr id="59" name="Rounded Rectangle 25" hidden="1"/>
        <xdr:cNvSpPr/>
      </xdr:nvSpPr>
      <xdr:spPr>
        <a:xfrm>
          <a:off x="10424842" y="77641092"/>
          <a:ext cx="2119750" cy="58464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1154721</xdr:colOff>
      <xdr:row>740</xdr:row>
      <xdr:rowOff>59967</xdr:rowOff>
    </xdr:from>
    <xdr:to>
      <xdr:col>29</xdr:col>
      <xdr:colOff>533434</xdr:colOff>
      <xdr:row>743</xdr:row>
      <xdr:rowOff>78559</xdr:rowOff>
    </xdr:to>
    <xdr:sp macro="[0]!ReportSEMANA13" textlink="">
      <xdr:nvSpPr>
        <xdr:cNvPr id="60" name="Rounded Rectangle 26" hidden="1"/>
        <xdr:cNvSpPr/>
      </xdr:nvSpPr>
      <xdr:spPr>
        <a:xfrm>
          <a:off x="19918971" y="77641092"/>
          <a:ext cx="1982213" cy="59009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947466</xdr:colOff>
      <xdr:row>797</xdr:row>
      <xdr:rowOff>79809</xdr:rowOff>
    </xdr:from>
    <xdr:to>
      <xdr:col>20</xdr:col>
      <xdr:colOff>995529</xdr:colOff>
      <xdr:row>800</xdr:row>
      <xdr:rowOff>85019</xdr:rowOff>
    </xdr:to>
    <xdr:sp macro="[0]!FPlanSEMANA14" textlink="">
      <xdr:nvSpPr>
        <xdr:cNvPr id="61" name="Rounded Rectangle 27" hidden="1"/>
        <xdr:cNvSpPr/>
      </xdr:nvSpPr>
      <xdr:spPr>
        <a:xfrm>
          <a:off x="10377216" y="90583184"/>
          <a:ext cx="2111813" cy="57671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</a:t>
          </a:r>
        </a:p>
      </xdr:txBody>
    </xdr:sp>
    <xdr:clientData/>
  </xdr:twoCellAnchor>
  <xdr:twoCellAnchor>
    <xdr:from>
      <xdr:col>27</xdr:col>
      <xdr:colOff>1107094</xdr:colOff>
      <xdr:row>797</xdr:row>
      <xdr:rowOff>79809</xdr:rowOff>
    </xdr:from>
    <xdr:to>
      <xdr:col>29</xdr:col>
      <xdr:colOff>623344</xdr:colOff>
      <xdr:row>800</xdr:row>
      <xdr:rowOff>90462</xdr:rowOff>
    </xdr:to>
    <xdr:sp macro="[0]!ReportSEMANA14" textlink="">
      <xdr:nvSpPr>
        <xdr:cNvPr id="62" name="Rounded Rectangle 28" hidden="1"/>
        <xdr:cNvSpPr/>
      </xdr:nvSpPr>
      <xdr:spPr>
        <a:xfrm>
          <a:off x="19871344" y="90583184"/>
          <a:ext cx="2119750" cy="582153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928756</xdr:colOff>
      <xdr:row>854</xdr:row>
      <xdr:rowOff>59966</xdr:rowOff>
    </xdr:from>
    <xdr:to>
      <xdr:col>20</xdr:col>
      <xdr:colOff>976280</xdr:colOff>
      <xdr:row>857</xdr:row>
      <xdr:rowOff>0</xdr:rowOff>
    </xdr:to>
    <xdr:sp macro="[0]!FPlanSEMANA15" textlink="">
      <xdr:nvSpPr>
        <xdr:cNvPr id="63" name="Rounded Rectangle 29" hidden="1"/>
        <xdr:cNvSpPr/>
      </xdr:nvSpPr>
      <xdr:spPr>
        <a:xfrm>
          <a:off x="10390256" y="193703216"/>
          <a:ext cx="2079524" cy="63853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</a:t>
          </a:r>
        </a:p>
      </xdr:txBody>
    </xdr:sp>
    <xdr:clientData/>
  </xdr:twoCellAnchor>
  <xdr:twoCellAnchor>
    <xdr:from>
      <xdr:col>27</xdr:col>
      <xdr:colOff>880876</xdr:colOff>
      <xdr:row>854</xdr:row>
      <xdr:rowOff>59966</xdr:rowOff>
    </xdr:from>
    <xdr:to>
      <xdr:col>29</xdr:col>
      <xdr:colOff>267526</xdr:colOff>
      <xdr:row>857</xdr:row>
      <xdr:rowOff>0</xdr:rowOff>
    </xdr:to>
    <xdr:sp macro="[0]!ReportSEMANA15" textlink="">
      <xdr:nvSpPr>
        <xdr:cNvPr id="64" name="Rounded Rectangle 30" hidden="1"/>
        <xdr:cNvSpPr/>
      </xdr:nvSpPr>
      <xdr:spPr>
        <a:xfrm>
          <a:off x="19581626" y="193703216"/>
          <a:ext cx="1990150" cy="63853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 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236765</xdr:colOff>
      <xdr:row>859</xdr:row>
      <xdr:rowOff>82551</xdr:rowOff>
    </xdr:from>
    <xdr:to>
      <xdr:col>9</xdr:col>
      <xdr:colOff>307521</xdr:colOff>
      <xdr:row>860</xdr:row>
      <xdr:rowOff>322944</xdr:rowOff>
    </xdr:to>
    <xdr:sp macro="" textlink="$A$859">
      <xdr:nvSpPr>
        <xdr:cNvPr id="65" name="TextBox 64"/>
        <xdr:cNvSpPr txBox="1"/>
      </xdr:nvSpPr>
      <xdr:spPr>
        <a:xfrm>
          <a:off x="2776765" y="200298051"/>
          <a:ext cx="1950356" cy="354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CC8AF6A-5FEF-4F96-9EE8-50763CB30393}" type="TxLink">
            <a:rPr lang="en-US" sz="2200" b="1" i="0" u="none" strike="noStrike">
              <a:solidFill>
                <a:srgbClr val="FFFFFF"/>
              </a:solidFill>
              <a:latin typeface="Calibri"/>
            </a:rPr>
            <a:pPr algn="ctr"/>
            <a:t>SEMANA 16</a:t>
          </a:fld>
          <a:endParaRPr lang="pt-PT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857250</xdr:colOff>
      <xdr:row>911</xdr:row>
      <xdr:rowOff>63500</xdr:rowOff>
    </xdr:from>
    <xdr:to>
      <xdr:col>20</xdr:col>
      <xdr:colOff>904774</xdr:colOff>
      <xdr:row>914</xdr:row>
      <xdr:rowOff>130534</xdr:rowOff>
    </xdr:to>
    <xdr:sp macro="[0]!FPlanSEMANA16" textlink="">
      <xdr:nvSpPr>
        <xdr:cNvPr id="66" name="Rounded Rectangle 31" hidden="1"/>
        <xdr:cNvSpPr/>
      </xdr:nvSpPr>
      <xdr:spPr>
        <a:xfrm>
          <a:off x="10318750" y="206724250"/>
          <a:ext cx="2079524" cy="63853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solidFill>
                <a:schemeClr val="bg1"/>
              </a:solidFill>
            </a:rPr>
            <a:t>FECHAR</a:t>
          </a:r>
          <a:r>
            <a:rPr lang="pt-PT" sz="1200" b="1" baseline="0">
              <a:solidFill>
                <a:schemeClr val="bg1"/>
              </a:solidFill>
            </a:rPr>
            <a:t> PLANEAMENTO </a:t>
          </a:r>
        </a:p>
      </xdr:txBody>
    </xdr:sp>
    <xdr:clientData/>
  </xdr:twoCellAnchor>
  <xdr:twoCellAnchor>
    <xdr:from>
      <xdr:col>27</xdr:col>
      <xdr:colOff>809370</xdr:colOff>
      <xdr:row>911</xdr:row>
      <xdr:rowOff>63500</xdr:rowOff>
    </xdr:from>
    <xdr:to>
      <xdr:col>29</xdr:col>
      <xdr:colOff>196020</xdr:colOff>
      <xdr:row>914</xdr:row>
      <xdr:rowOff>130534</xdr:rowOff>
    </xdr:to>
    <xdr:sp macro="[0]!ReportSEMANA16" textlink="">
      <xdr:nvSpPr>
        <xdr:cNvPr id="67" name="Rounded Rectangle 32" hidden="1"/>
        <xdr:cNvSpPr/>
      </xdr:nvSpPr>
      <xdr:spPr>
        <a:xfrm>
          <a:off x="19510120" y="206724250"/>
          <a:ext cx="1990150" cy="63853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baseline="0">
              <a:solidFill>
                <a:schemeClr val="bg1"/>
              </a:solidFill>
            </a:rPr>
            <a:t>FECHAR SEMANA</a:t>
          </a:r>
          <a:endParaRPr lang="pt-PT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16</xdr:col>
      <xdr:colOff>76200</xdr:colOff>
      <xdr:row>0</xdr:row>
      <xdr:rowOff>57150</xdr:rowOff>
    </xdr:from>
    <xdr:to>
      <xdr:col>16</xdr:col>
      <xdr:colOff>1563672</xdr:colOff>
      <xdr:row>1</xdr:row>
      <xdr:rowOff>228600</xdr:rowOff>
    </xdr:to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57150"/>
          <a:ext cx="1504357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576888</xdr:colOff>
      <xdr:row>0</xdr:row>
      <xdr:rowOff>74588</xdr:rowOff>
    </xdr:from>
    <xdr:to>
      <xdr:col>9</xdr:col>
      <xdr:colOff>126039</xdr:colOff>
      <xdr:row>2</xdr:row>
      <xdr:rowOff>481620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EFEFC"/>
            </a:clrFrom>
            <a:clrTo>
              <a:srgbClr val="FEFEFC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0317" y="74588"/>
          <a:ext cx="2161722" cy="7698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376517</xdr:colOff>
      <xdr:row>21</xdr:row>
      <xdr:rowOff>117660</xdr:rowOff>
    </xdr:from>
    <xdr:to>
      <xdr:col>14</xdr:col>
      <xdr:colOff>33618</xdr:colOff>
      <xdr:row>37</xdr:row>
      <xdr:rowOff>140072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280147</xdr:colOff>
      <xdr:row>21</xdr:row>
      <xdr:rowOff>101974</xdr:rowOff>
    </xdr:from>
    <xdr:to>
      <xdr:col>9</xdr:col>
      <xdr:colOff>291352</xdr:colOff>
      <xdr:row>37</xdr:row>
      <xdr:rowOff>123265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336723</xdr:colOff>
      <xdr:row>0</xdr:row>
      <xdr:rowOff>56030</xdr:rowOff>
    </xdr:from>
    <xdr:to>
      <xdr:col>10</xdr:col>
      <xdr:colOff>930088</xdr:colOff>
      <xdr:row>0</xdr:row>
      <xdr:rowOff>941294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3899" y="56030"/>
          <a:ext cx="2330277" cy="88526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6:C29" totalsRowShown="0" headerRowDxfId="508">
  <sortState ref="B15:C27">
    <sortCondition ref="C14:C27"/>
  </sortState>
  <tableColumns count="2">
    <tableColumn id="2" name="Siglas Categorias" dataDxfId="507"/>
    <tableColumn id="1" name="Descriçã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4:C13" totalsRowShown="0" headerRowDxfId="506" dataDxfId="505">
  <tableColumns count="2">
    <tableColumn id="1" name="DADOS" dataDxfId="504"/>
    <tableColumn id="2" name="INFO" dataDxfId="50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257"/>
  <sheetViews>
    <sheetView showGridLines="0" topLeftCell="A55" zoomScale="80" zoomScaleNormal="80" zoomScalePageLayoutView="77" workbookViewId="0">
      <selection activeCell="G85" sqref="G85"/>
    </sheetView>
  </sheetViews>
  <sheetFormatPr defaultColWidth="0" defaultRowHeight="14.4" zeroHeight="1" x14ac:dyDescent="0.3"/>
  <cols>
    <col min="1" max="1" width="4.44140625" style="1" customWidth="1"/>
    <col min="2" max="2" width="19.5546875" style="1" customWidth="1"/>
    <col min="3" max="3" width="22" style="1" customWidth="1"/>
    <col min="4" max="7" width="11.21875" style="1" customWidth="1"/>
    <col min="8" max="9" width="11.77734375" style="1" customWidth="1"/>
    <col min="10" max="10" width="5.44140625" style="1" customWidth="1"/>
    <col min="11" max="11" width="10.77734375" style="45" hidden="1" customWidth="1"/>
    <col min="12" max="12" width="31.77734375" style="45" hidden="1" customWidth="1"/>
    <col min="13" max="13" width="31" style="45" hidden="1" customWidth="1"/>
    <col min="14" max="14" width="22.5546875" style="45" hidden="1" customWidth="1"/>
    <col min="15" max="15" width="11.21875" style="1" hidden="1" customWidth="1"/>
    <col min="16" max="16" width="22.5546875" style="1" hidden="1" customWidth="1"/>
    <col min="17" max="19" width="11.21875" style="1" hidden="1" customWidth="1"/>
    <col min="20" max="21" width="11.21875" style="45" hidden="1" customWidth="1"/>
    <col min="22" max="22" width="22" style="45" hidden="1" customWidth="1"/>
    <col min="23" max="27" width="11.21875" style="1" hidden="1" customWidth="1"/>
    <col min="28" max="28" width="11.77734375" style="1" hidden="1" customWidth="1"/>
    <col min="29" max="29" width="9.21875" style="1" hidden="1" customWidth="1"/>
    <col min="30" max="31" width="12.21875" style="46" hidden="1" customWidth="1"/>
    <col min="32" max="32" width="12.21875" style="17" hidden="1" customWidth="1"/>
    <col min="33" max="33" width="12.21875" style="1" hidden="1" customWidth="1"/>
    <col min="34" max="36" width="9.21875" style="1" hidden="1" customWidth="1"/>
    <col min="37" max="37" width="11.77734375" style="161" hidden="1" customWidth="1"/>
    <col min="38" max="38" width="14" style="161" hidden="1" customWidth="1"/>
    <col min="39" max="39" width="2.77734375" hidden="1" customWidth="1"/>
    <col min="40" max="43" width="9.21875" hidden="1" customWidth="1"/>
    <col min="44" max="44" width="2.77734375" hidden="1" customWidth="1"/>
    <col min="45" max="48" width="7.21875" hidden="1" customWidth="1"/>
    <col min="49" max="50" width="5.5546875" hidden="1" customWidth="1"/>
    <col min="51" max="57" width="9.21875" hidden="1" customWidth="1"/>
    <col min="58" max="16384" width="9.21875" style="1" hidden="1"/>
  </cols>
  <sheetData>
    <row r="1" spans="2:57" ht="48.75" customHeight="1" x14ac:dyDescent="0.3">
      <c r="B1" s="253" t="s">
        <v>198</v>
      </c>
      <c r="C1" s="254"/>
      <c r="D1" s="254"/>
      <c r="E1" s="254"/>
      <c r="F1" s="254"/>
      <c r="G1" s="254"/>
      <c r="H1" s="254"/>
      <c r="I1" s="254"/>
      <c r="J1" s="254"/>
      <c r="L1" s="45" t="s">
        <v>197</v>
      </c>
      <c r="AF1" s="58"/>
      <c r="AK1" s="159" t="s">
        <v>138</v>
      </c>
      <c r="AL1" s="159" t="s">
        <v>139</v>
      </c>
      <c r="AN1" s="160" t="s">
        <v>138</v>
      </c>
      <c r="AO1" s="160" t="s">
        <v>139</v>
      </c>
      <c r="AP1" s="160" t="s">
        <v>138</v>
      </c>
      <c r="AQ1" s="160" t="s">
        <v>139</v>
      </c>
      <c r="AS1" s="133" t="s">
        <v>8</v>
      </c>
      <c r="AT1" s="134" t="s">
        <v>128</v>
      </c>
      <c r="AU1" s="133" t="s">
        <v>7</v>
      </c>
      <c r="AV1" s="134" t="s">
        <v>9</v>
      </c>
      <c r="AW1" s="133" t="s">
        <v>13</v>
      </c>
      <c r="AX1" s="134" t="s">
        <v>130</v>
      </c>
      <c r="AY1" s="133" t="s">
        <v>132</v>
      </c>
      <c r="AZ1" s="134" t="s">
        <v>134</v>
      </c>
      <c r="BA1" s="133" t="s">
        <v>136</v>
      </c>
      <c r="BB1" s="134" t="s">
        <v>116</v>
      </c>
      <c r="BC1" s="133" t="s">
        <v>11</v>
      </c>
      <c r="BD1" s="134" t="s">
        <v>12</v>
      </c>
      <c r="BE1" s="133" t="s">
        <v>10</v>
      </c>
    </row>
    <row r="2" spans="2:57" x14ac:dyDescent="0.3">
      <c r="AF2" s="58"/>
      <c r="AK2" s="133" t="s">
        <v>8</v>
      </c>
      <c r="AL2" s="161" t="s">
        <v>140</v>
      </c>
      <c r="AN2" s="162" t="s">
        <v>136</v>
      </c>
      <c r="AO2" s="162" t="s">
        <v>120</v>
      </c>
      <c r="AP2" s="162" t="s">
        <v>116</v>
      </c>
      <c r="AQ2" s="162" t="s">
        <v>122</v>
      </c>
      <c r="AS2" s="127" t="str">
        <f>$B32</f>
        <v>FP</v>
      </c>
      <c r="AT2" s="127" t="str">
        <f t="shared" ref="AT2:BA2" si="0">$B32</f>
        <v>FP</v>
      </c>
      <c r="AU2" s="127" t="str">
        <f t="shared" si="0"/>
        <v>FP</v>
      </c>
      <c r="AV2" s="127" t="str">
        <f t="shared" si="0"/>
        <v>FP</v>
      </c>
      <c r="AW2" s="127" t="str">
        <f t="shared" si="0"/>
        <v>FP</v>
      </c>
      <c r="AX2" s="127" t="str">
        <f t="shared" si="0"/>
        <v>FP</v>
      </c>
      <c r="AY2" s="127" t="str">
        <f t="shared" si="0"/>
        <v>FP</v>
      </c>
      <c r="AZ2" s="127" t="str">
        <f t="shared" si="0"/>
        <v>FP</v>
      </c>
      <c r="BA2" s="127" t="str">
        <f t="shared" si="0"/>
        <v>FP</v>
      </c>
      <c r="BB2" s="163" t="str">
        <f>IF(E32="","",E32)</f>
        <v/>
      </c>
      <c r="BC2" s="163" t="s">
        <v>120</v>
      </c>
      <c r="BD2" s="163" t="s">
        <v>120</v>
      </c>
      <c r="BE2" s="163" t="s">
        <v>120</v>
      </c>
    </row>
    <row r="3" spans="2:57" ht="27" customHeight="1" x14ac:dyDescent="0.3">
      <c r="B3" s="43" t="s">
        <v>33</v>
      </c>
      <c r="C3" s="44"/>
      <c r="L3" s="45" t="s">
        <v>201</v>
      </c>
      <c r="M3" s="190">
        <v>56</v>
      </c>
      <c r="N3" s="190">
        <v>57</v>
      </c>
      <c r="O3" s="190">
        <v>58</v>
      </c>
      <c r="P3" s="190">
        <v>59</v>
      </c>
      <c r="Q3" s="190">
        <v>60</v>
      </c>
      <c r="R3" s="190">
        <v>61</v>
      </c>
      <c r="S3" s="190">
        <v>62</v>
      </c>
      <c r="T3" s="190">
        <v>63</v>
      </c>
      <c r="U3" s="190">
        <v>64</v>
      </c>
      <c r="V3" s="190">
        <v>65</v>
      </c>
      <c r="W3" s="190">
        <v>66</v>
      </c>
      <c r="X3" s="190">
        <v>67</v>
      </c>
      <c r="Y3" s="190">
        <v>68</v>
      </c>
      <c r="Z3" s="190">
        <v>69</v>
      </c>
      <c r="AA3" s="190">
        <v>70</v>
      </c>
      <c r="AB3" s="190">
        <v>71</v>
      </c>
      <c r="AD3" s="46">
        <f>C9</f>
        <v>42261</v>
      </c>
      <c r="AE3" s="46">
        <f>AD3+6</f>
        <v>42267</v>
      </c>
      <c r="AF3" s="17" t="s">
        <v>51</v>
      </c>
      <c r="AK3" s="134" t="s">
        <v>128</v>
      </c>
      <c r="AL3" s="161" t="s">
        <v>140</v>
      </c>
      <c r="AN3" s="162" t="s">
        <v>130</v>
      </c>
      <c r="AO3" s="162" t="s">
        <v>125</v>
      </c>
      <c r="AP3" s="162" t="s">
        <v>130</v>
      </c>
      <c r="AQ3" s="162" t="s">
        <v>125</v>
      </c>
      <c r="AS3" s="127" t="str">
        <f t="shared" ref="AS3:BA7" si="1">$B33</f>
        <v>IEI</v>
      </c>
      <c r="AT3" s="127" t="str">
        <f t="shared" si="1"/>
        <v>IEI</v>
      </c>
      <c r="AU3" s="127" t="str">
        <f t="shared" si="1"/>
        <v>IEI</v>
      </c>
      <c r="AV3" s="127" t="str">
        <f t="shared" si="1"/>
        <v>IEI</v>
      </c>
      <c r="AW3" s="127" t="str">
        <f t="shared" si="1"/>
        <v>IEI</v>
      </c>
      <c r="AX3" s="127" t="str">
        <f t="shared" si="1"/>
        <v>IEI</v>
      </c>
      <c r="AY3" s="127" t="str">
        <f t="shared" si="1"/>
        <v>IEI</v>
      </c>
      <c r="AZ3" s="127" t="str">
        <f t="shared" si="1"/>
        <v>IEI</v>
      </c>
      <c r="BA3" s="127" t="str">
        <f t="shared" si="1"/>
        <v>IEI</v>
      </c>
      <c r="BB3" s="163" t="str">
        <f t="shared" ref="BB3:BB7" si="2">IF(E33="","",E33)</f>
        <v/>
      </c>
    </row>
    <row r="4" spans="2:57" s="17" customFormat="1" ht="24" customHeight="1" x14ac:dyDescent="0.3">
      <c r="B4" s="17" t="s">
        <v>34</v>
      </c>
      <c r="C4" s="17" t="s">
        <v>35</v>
      </c>
      <c r="D4" s="205">
        <f>SUM(D5:D7)</f>
        <v>0</v>
      </c>
      <c r="H4" s="58"/>
      <c r="L4" s="184" t="str">
        <f>B65</f>
        <v>Datas/Disciplinas</v>
      </c>
      <c r="M4" s="184" t="str">
        <f>B90</f>
        <v>Exame 1</v>
      </c>
      <c r="N4" s="184" t="str">
        <f>B84</f>
        <v>Teste 1</v>
      </c>
      <c r="O4" s="184" t="str">
        <f>B85</f>
        <v>Teste 2</v>
      </c>
      <c r="P4" s="184" t="str">
        <f>B86</f>
        <v>Teste 3</v>
      </c>
      <c r="Q4" s="185" t="str">
        <f>B72</f>
        <v>Projeto 1</v>
      </c>
      <c r="R4" s="186" t="str">
        <f>B66</f>
        <v>Trabalho 1</v>
      </c>
      <c r="S4" s="186" t="str">
        <f>B78</f>
        <v>Relatório1</v>
      </c>
      <c r="T4" s="187" t="str">
        <f>B79</f>
        <v>Relatório2</v>
      </c>
      <c r="U4" s="184" t="str">
        <f>B80</f>
        <v>Relatório3</v>
      </c>
      <c r="V4" s="184" t="str">
        <f>B81</f>
        <v>Relatório4</v>
      </c>
      <c r="W4" s="184" t="str">
        <f>B82</f>
        <v>Relatório5</v>
      </c>
      <c r="X4" s="184" t="str">
        <f>B83</f>
        <v>Relatório6</v>
      </c>
      <c r="Y4" s="184" t="str">
        <f>B94</f>
        <v>?</v>
      </c>
      <c r="Z4" s="184" t="str">
        <f>B95</f>
        <v>?</v>
      </c>
      <c r="AA4" s="184" t="str">
        <f>B96</f>
        <v>?</v>
      </c>
      <c r="AB4" s="184" t="str">
        <f>B97</f>
        <v>?</v>
      </c>
      <c r="AD4" s="46">
        <f>AD3+7</f>
        <v>42268</v>
      </c>
      <c r="AE4" s="46">
        <f>AD4+6</f>
        <v>42274</v>
      </c>
      <c r="AF4" s="17" t="s">
        <v>52</v>
      </c>
      <c r="AK4" s="133" t="s">
        <v>7</v>
      </c>
      <c r="AL4" s="161" t="s">
        <v>141</v>
      </c>
      <c r="AM4"/>
      <c r="AN4" s="162" t="s">
        <v>12</v>
      </c>
      <c r="AO4" s="162" t="s">
        <v>120</v>
      </c>
      <c r="AP4" s="162" t="s">
        <v>12</v>
      </c>
      <c r="AQ4" s="162" t="s">
        <v>120</v>
      </c>
      <c r="AR4"/>
      <c r="AS4" s="127" t="str">
        <f t="shared" si="1"/>
        <v>IAC</v>
      </c>
      <c r="AT4" s="127" t="str">
        <f t="shared" si="1"/>
        <v>IAC</v>
      </c>
      <c r="AU4" s="127" t="str">
        <f t="shared" si="1"/>
        <v>IAC</v>
      </c>
      <c r="AV4" s="127" t="str">
        <f t="shared" si="1"/>
        <v>IAC</v>
      </c>
      <c r="AW4" s="127" t="str">
        <f t="shared" si="1"/>
        <v>IAC</v>
      </c>
      <c r="AX4" s="127" t="str">
        <f t="shared" si="1"/>
        <v>IAC</v>
      </c>
      <c r="AY4" s="127" t="str">
        <f t="shared" si="1"/>
        <v>IAC</v>
      </c>
      <c r="AZ4" s="127" t="str">
        <f t="shared" si="1"/>
        <v>IAC</v>
      </c>
      <c r="BA4" s="127" t="str">
        <f t="shared" si="1"/>
        <v>IAC</v>
      </c>
      <c r="BB4" s="163" t="str">
        <f t="shared" si="2"/>
        <v/>
      </c>
      <c r="BC4"/>
      <c r="BD4"/>
      <c r="BE4"/>
    </row>
    <row r="5" spans="2:57" s="17" customFormat="1" ht="15.75" customHeight="1" x14ac:dyDescent="0.3">
      <c r="B5" s="181" t="s">
        <v>42</v>
      </c>
      <c r="C5" s="16">
        <v>84698</v>
      </c>
      <c r="D5" s="205">
        <f>IF(Table2[[#This Row],[INFO]]=12345,1,0)</f>
        <v>0</v>
      </c>
      <c r="H5" s="58"/>
      <c r="L5" s="184" t="str">
        <f>C65</f>
        <v>FP</v>
      </c>
      <c r="M5" s="188">
        <f>C90</f>
        <v>0</v>
      </c>
      <c r="N5" s="188">
        <f>C84</f>
        <v>0</v>
      </c>
      <c r="O5" s="189">
        <f>C85</f>
        <v>0</v>
      </c>
      <c r="P5" s="189">
        <f>C86</f>
        <v>0</v>
      </c>
      <c r="Q5" s="189">
        <f>C72</f>
        <v>0</v>
      </c>
      <c r="R5" s="189">
        <f>C66</f>
        <v>0</v>
      </c>
      <c r="S5" s="189">
        <f>C78</f>
        <v>0</v>
      </c>
      <c r="T5" s="188">
        <f>C79</f>
        <v>0</v>
      </c>
      <c r="U5" s="188">
        <f>C80</f>
        <v>0</v>
      </c>
      <c r="V5" s="188">
        <f>C81</f>
        <v>0</v>
      </c>
      <c r="W5" s="188">
        <f>C82</f>
        <v>0</v>
      </c>
      <c r="X5" s="188">
        <f>C83</f>
        <v>0</v>
      </c>
      <c r="Y5" s="188">
        <f>C94</f>
        <v>0</v>
      </c>
      <c r="Z5" s="188">
        <f>C95</f>
        <v>0</v>
      </c>
      <c r="AA5" s="188">
        <f>C96</f>
        <v>0</v>
      </c>
      <c r="AB5" s="188">
        <f>C97</f>
        <v>0</v>
      </c>
      <c r="AD5" s="46">
        <f t="shared" ref="AD5:AD23" si="3">AD4+7</f>
        <v>42275</v>
      </c>
      <c r="AE5" s="46">
        <f t="shared" ref="AE5:AE23" si="4">AD5+6</f>
        <v>42281</v>
      </c>
      <c r="AF5" s="17" t="s">
        <v>53</v>
      </c>
      <c r="AK5" s="134" t="s">
        <v>9</v>
      </c>
      <c r="AL5" s="161" t="s">
        <v>142</v>
      </c>
      <c r="AM5"/>
      <c r="AN5" s="162"/>
      <c r="AO5" s="162"/>
      <c r="AP5" s="162"/>
      <c r="AQ5" s="162"/>
      <c r="AR5"/>
      <c r="AS5" s="127" t="str">
        <f t="shared" si="1"/>
        <v>AL</v>
      </c>
      <c r="AT5" s="127" t="str">
        <f t="shared" si="1"/>
        <v>AL</v>
      </c>
      <c r="AU5" s="127" t="str">
        <f t="shared" si="1"/>
        <v>AL</v>
      </c>
      <c r="AV5" s="127" t="str">
        <f t="shared" si="1"/>
        <v>AL</v>
      </c>
      <c r="AW5" s="127" t="str">
        <f t="shared" si="1"/>
        <v>AL</v>
      </c>
      <c r="AX5" s="127" t="str">
        <f t="shared" si="1"/>
        <v>AL</v>
      </c>
      <c r="AY5" s="127" t="str">
        <f t="shared" si="1"/>
        <v>AL</v>
      </c>
      <c r="AZ5" s="127" t="str">
        <f t="shared" si="1"/>
        <v>AL</v>
      </c>
      <c r="BA5" s="127" t="str">
        <f t="shared" si="1"/>
        <v>AL</v>
      </c>
      <c r="BB5" s="163" t="str">
        <f t="shared" si="2"/>
        <v/>
      </c>
      <c r="BC5"/>
      <c r="BD5"/>
      <c r="BE5"/>
    </row>
    <row r="6" spans="2:57" x14ac:dyDescent="0.3">
      <c r="B6" s="182" t="s">
        <v>36</v>
      </c>
      <c r="C6" s="48" t="s">
        <v>223</v>
      </c>
      <c r="D6" s="205">
        <f>IF(Table2[[#This Row],[INFO]]="alfredo Bensaúde",1,0)</f>
        <v>0</v>
      </c>
      <c r="L6" s="190" t="str">
        <f>D65</f>
        <v>IEI</v>
      </c>
      <c r="M6" s="188">
        <f>D90</f>
        <v>0</v>
      </c>
      <c r="N6" s="188">
        <f>D84</f>
        <v>0</v>
      </c>
      <c r="O6" s="189">
        <f>D85</f>
        <v>0</v>
      </c>
      <c r="P6" s="189">
        <f>D86</f>
        <v>0</v>
      </c>
      <c r="Q6" s="189">
        <f>D72</f>
        <v>0</v>
      </c>
      <c r="R6" s="189">
        <f>D66</f>
        <v>0</v>
      </c>
      <c r="S6" s="189">
        <f>D78</f>
        <v>0</v>
      </c>
      <c r="T6" s="188">
        <f>D79</f>
        <v>0</v>
      </c>
      <c r="U6" s="188">
        <f>D80</f>
        <v>0</v>
      </c>
      <c r="V6" s="188">
        <f>D81</f>
        <v>0</v>
      </c>
      <c r="W6" s="188">
        <f>D82</f>
        <v>0</v>
      </c>
      <c r="X6" s="188">
        <f>D83</f>
        <v>0</v>
      </c>
      <c r="Y6" s="188">
        <f>D94</f>
        <v>0</v>
      </c>
      <c r="Z6" s="188">
        <f>D95</f>
        <v>0</v>
      </c>
      <c r="AA6" s="188">
        <f>D96</f>
        <v>0</v>
      </c>
      <c r="AB6" s="188">
        <f>D97</f>
        <v>0</v>
      </c>
      <c r="AD6" s="46">
        <f t="shared" si="3"/>
        <v>42282</v>
      </c>
      <c r="AE6" s="46">
        <f t="shared" si="4"/>
        <v>42288</v>
      </c>
      <c r="AF6" s="17" t="s">
        <v>54</v>
      </c>
      <c r="AK6" s="133" t="s">
        <v>13</v>
      </c>
      <c r="AL6" s="161" t="s">
        <v>140</v>
      </c>
      <c r="AN6" s="162"/>
      <c r="AO6" s="162"/>
      <c r="AP6" s="162"/>
      <c r="AQ6" s="162"/>
      <c r="AS6" s="127" t="str">
        <f t="shared" si="1"/>
        <v>CDI</v>
      </c>
      <c r="AT6" s="127" t="str">
        <f t="shared" si="1"/>
        <v>CDI</v>
      </c>
      <c r="AU6" s="127" t="str">
        <f t="shared" si="1"/>
        <v>CDI</v>
      </c>
      <c r="AV6" s="127" t="str">
        <f t="shared" si="1"/>
        <v>CDI</v>
      </c>
      <c r="AW6" s="127" t="str">
        <f t="shared" si="1"/>
        <v>CDI</v>
      </c>
      <c r="AX6" s="127" t="str">
        <f t="shared" si="1"/>
        <v>CDI</v>
      </c>
      <c r="AY6" s="127" t="str">
        <f t="shared" si="1"/>
        <v>CDI</v>
      </c>
      <c r="AZ6" s="127" t="str">
        <f t="shared" si="1"/>
        <v>CDI</v>
      </c>
      <c r="BA6" s="127" t="str">
        <f t="shared" si="1"/>
        <v>CDI</v>
      </c>
      <c r="BB6" s="163" t="str">
        <f t="shared" si="2"/>
        <v/>
      </c>
    </row>
    <row r="7" spans="2:57" x14ac:dyDescent="0.3">
      <c r="B7" s="182" t="s">
        <v>113</v>
      </c>
      <c r="C7" s="49">
        <v>42261</v>
      </c>
      <c r="D7" s="205">
        <f>IF(Table2[[#This Row],[INFO]]=12345,1,0)</f>
        <v>0</v>
      </c>
      <c r="L7" s="190" t="str">
        <f>E65</f>
        <v>IAC</v>
      </c>
      <c r="M7" s="191">
        <f>E90</f>
        <v>0</v>
      </c>
      <c r="N7" s="191">
        <f>E84</f>
        <v>42306</v>
      </c>
      <c r="O7" s="189">
        <f>E85</f>
        <v>0</v>
      </c>
      <c r="P7" s="189">
        <f>E86</f>
        <v>0</v>
      </c>
      <c r="Q7" s="189">
        <f>E72</f>
        <v>0</v>
      </c>
      <c r="R7" s="189">
        <f>E66</f>
        <v>0</v>
      </c>
      <c r="S7" s="189">
        <f>E78</f>
        <v>0</v>
      </c>
      <c r="T7" s="191">
        <f>E79</f>
        <v>0</v>
      </c>
      <c r="U7" s="191">
        <f>E80</f>
        <v>0</v>
      </c>
      <c r="V7" s="191">
        <f>E81</f>
        <v>0</v>
      </c>
      <c r="W7" s="189">
        <f>E82</f>
        <v>0</v>
      </c>
      <c r="X7" s="189">
        <f>E83</f>
        <v>0</v>
      </c>
      <c r="Y7" s="189">
        <f>E94</f>
        <v>0</v>
      </c>
      <c r="Z7" s="189">
        <f>E95</f>
        <v>0</v>
      </c>
      <c r="AA7" s="189">
        <f>E96</f>
        <v>0</v>
      </c>
      <c r="AB7" s="189">
        <f>E97</f>
        <v>0</v>
      </c>
      <c r="AD7" s="46">
        <f t="shared" si="3"/>
        <v>42289</v>
      </c>
      <c r="AE7" s="46">
        <f t="shared" si="4"/>
        <v>42295</v>
      </c>
      <c r="AF7" s="17" t="s">
        <v>55</v>
      </c>
      <c r="AK7" s="134" t="s">
        <v>130</v>
      </c>
      <c r="AL7" s="161" t="s">
        <v>143</v>
      </c>
      <c r="AN7" s="162"/>
      <c r="AO7" s="162"/>
      <c r="AP7" s="162"/>
      <c r="AQ7" s="162"/>
      <c r="AS7" s="127">
        <f t="shared" si="1"/>
        <v>0</v>
      </c>
      <c r="AT7" s="127">
        <f t="shared" si="1"/>
        <v>0</v>
      </c>
      <c r="AU7" s="127">
        <f t="shared" si="1"/>
        <v>0</v>
      </c>
      <c r="AV7" s="127">
        <f t="shared" si="1"/>
        <v>0</v>
      </c>
      <c r="AW7" s="127">
        <f t="shared" si="1"/>
        <v>0</v>
      </c>
      <c r="AX7" s="127">
        <f t="shared" si="1"/>
        <v>0</v>
      </c>
      <c r="AY7" s="127">
        <f t="shared" si="1"/>
        <v>0</v>
      </c>
      <c r="AZ7" s="127">
        <f t="shared" si="1"/>
        <v>0</v>
      </c>
      <c r="BA7" s="127">
        <f t="shared" si="1"/>
        <v>0</v>
      </c>
      <c r="BB7" s="163" t="str">
        <f t="shared" si="2"/>
        <v/>
      </c>
    </row>
    <row r="8" spans="2:57" hidden="1" x14ac:dyDescent="0.3">
      <c r="C8" s="48"/>
      <c r="L8" s="190" t="str">
        <f>F65</f>
        <v>AL</v>
      </c>
      <c r="M8" s="191">
        <f>F90</f>
        <v>0</v>
      </c>
      <c r="N8" s="191">
        <f>F84</f>
        <v>42289</v>
      </c>
      <c r="O8" s="189">
        <f>F85</f>
        <v>0</v>
      </c>
      <c r="P8" s="189">
        <f>F86</f>
        <v>0</v>
      </c>
      <c r="Q8" s="189">
        <f>F72</f>
        <v>0</v>
      </c>
      <c r="R8" s="189">
        <f>F66</f>
        <v>0</v>
      </c>
      <c r="S8" s="189">
        <f>F78</f>
        <v>0</v>
      </c>
      <c r="T8" s="191">
        <f>F79</f>
        <v>0</v>
      </c>
      <c r="U8" s="191">
        <f>F80</f>
        <v>0</v>
      </c>
      <c r="V8" s="191">
        <f>F81</f>
        <v>0</v>
      </c>
      <c r="W8" s="189">
        <f>F82</f>
        <v>0</v>
      </c>
      <c r="X8" s="189">
        <f>F83</f>
        <v>0</v>
      </c>
      <c r="Y8" s="189">
        <f>F94</f>
        <v>0</v>
      </c>
      <c r="Z8" s="189">
        <f>F95</f>
        <v>0</v>
      </c>
      <c r="AA8" s="189">
        <f>F96</f>
        <v>0</v>
      </c>
      <c r="AB8" s="189">
        <f>F97</f>
        <v>0</v>
      </c>
      <c r="AD8" s="46">
        <f t="shared" si="3"/>
        <v>42296</v>
      </c>
      <c r="AE8" s="46">
        <f t="shared" si="4"/>
        <v>42302</v>
      </c>
      <c r="AF8" s="17" t="s">
        <v>56</v>
      </c>
      <c r="AK8" s="133" t="s">
        <v>132</v>
      </c>
      <c r="AL8" s="161" t="s">
        <v>144</v>
      </c>
      <c r="AN8" s="162"/>
      <c r="AO8" s="162"/>
      <c r="AP8" s="162" t="s">
        <v>116</v>
      </c>
      <c r="AQ8" s="162" t="s">
        <v>120</v>
      </c>
    </row>
    <row r="9" spans="2:57" hidden="1" x14ac:dyDescent="0.3">
      <c r="B9" s="80" t="str">
        <f>B7</f>
        <v>1º DIA AULAS</v>
      </c>
      <c r="C9" s="128">
        <f>C7</f>
        <v>42261</v>
      </c>
      <c r="L9" s="190" t="str">
        <f>G65</f>
        <v>CDI</v>
      </c>
      <c r="M9" s="191">
        <f>G90</f>
        <v>0</v>
      </c>
      <c r="N9" s="191">
        <f>G84</f>
        <v>42315</v>
      </c>
      <c r="O9" s="189">
        <f>G85</f>
        <v>0</v>
      </c>
      <c r="P9" s="189">
        <f>G86</f>
        <v>0</v>
      </c>
      <c r="Q9" s="189">
        <f>G72</f>
        <v>0</v>
      </c>
      <c r="R9" s="189">
        <f>G66</f>
        <v>0</v>
      </c>
      <c r="S9" s="189">
        <f>G78</f>
        <v>0</v>
      </c>
      <c r="T9" s="191">
        <f>G79</f>
        <v>0</v>
      </c>
      <c r="U9" s="191">
        <f>G80</f>
        <v>0</v>
      </c>
      <c r="V9" s="191">
        <f>G81</f>
        <v>0</v>
      </c>
      <c r="W9" s="189">
        <f>G82</f>
        <v>0</v>
      </c>
      <c r="X9" s="189">
        <f>G83</f>
        <v>0</v>
      </c>
      <c r="Y9" s="189">
        <f>G94</f>
        <v>0</v>
      </c>
      <c r="Z9" s="189">
        <f>G95</f>
        <v>0</v>
      </c>
      <c r="AA9" s="189">
        <f>G96</f>
        <v>0</v>
      </c>
      <c r="AB9" s="189">
        <f>G97</f>
        <v>0</v>
      </c>
      <c r="AD9" s="46">
        <f t="shared" si="3"/>
        <v>42303</v>
      </c>
      <c r="AE9" s="46">
        <f t="shared" si="4"/>
        <v>42309</v>
      </c>
      <c r="AF9" s="17" t="s">
        <v>57</v>
      </c>
      <c r="AK9" s="134" t="s">
        <v>134</v>
      </c>
      <c r="AL9" s="161" t="s">
        <v>145</v>
      </c>
      <c r="AN9" s="162"/>
      <c r="AO9" s="162"/>
      <c r="AP9" s="162"/>
      <c r="AQ9" s="162"/>
    </row>
    <row r="10" spans="2:57" ht="15" hidden="1" customHeight="1" x14ac:dyDescent="0.3">
      <c r="B10" s="15"/>
      <c r="C10" s="48"/>
      <c r="L10" s="190" t="str">
        <f>H65</f>
        <v/>
      </c>
      <c r="M10" s="190"/>
      <c r="N10" s="190"/>
      <c r="O10" s="186"/>
      <c r="P10" s="186"/>
      <c r="Q10" s="186"/>
      <c r="R10" s="186"/>
      <c r="S10" s="186"/>
      <c r="T10" s="190"/>
      <c r="U10" s="190"/>
      <c r="V10" s="190"/>
      <c r="W10" s="186"/>
      <c r="X10" s="186"/>
      <c r="Y10" s="186"/>
      <c r="Z10" s="186"/>
      <c r="AA10" s="186"/>
      <c r="AB10" s="186"/>
      <c r="AD10" s="46">
        <f t="shared" si="3"/>
        <v>42310</v>
      </c>
      <c r="AE10" s="46">
        <f t="shared" si="4"/>
        <v>42316</v>
      </c>
      <c r="AF10" s="17" t="s">
        <v>58</v>
      </c>
      <c r="AK10" s="133" t="s">
        <v>136</v>
      </c>
      <c r="AL10" s="161" t="s">
        <v>146</v>
      </c>
      <c r="AN10" s="162" t="s">
        <v>136</v>
      </c>
      <c r="AO10" s="162" t="s">
        <v>120</v>
      </c>
      <c r="AP10" s="162" t="s">
        <v>116</v>
      </c>
      <c r="AQ10" s="162" t="s">
        <v>148</v>
      </c>
    </row>
    <row r="11" spans="2:57" hidden="1" x14ac:dyDescent="0.3">
      <c r="B11" s="15"/>
      <c r="C11" s="48"/>
      <c r="AD11" s="46">
        <f t="shared" si="3"/>
        <v>42317</v>
      </c>
      <c r="AE11" s="46">
        <f t="shared" si="4"/>
        <v>42323</v>
      </c>
      <c r="AF11" s="17" t="s">
        <v>59</v>
      </c>
      <c r="AK11" s="134" t="s">
        <v>116</v>
      </c>
      <c r="AN11" s="162" t="s">
        <v>130</v>
      </c>
      <c r="AO11" s="162" t="s">
        <v>126</v>
      </c>
      <c r="AP11" s="162" t="s">
        <v>130</v>
      </c>
      <c r="AQ11" s="162" t="s">
        <v>149</v>
      </c>
    </row>
    <row r="12" spans="2:57" ht="17.25" hidden="1" customHeight="1" x14ac:dyDescent="0.3">
      <c r="B12" s="15"/>
      <c r="C12" s="48"/>
      <c r="AD12" s="46">
        <f t="shared" si="3"/>
        <v>42324</v>
      </c>
      <c r="AE12" s="46">
        <f t="shared" si="4"/>
        <v>42330</v>
      </c>
      <c r="AF12" s="17" t="s">
        <v>60</v>
      </c>
      <c r="AK12" s="133" t="s">
        <v>11</v>
      </c>
      <c r="AN12" s="162" t="s">
        <v>12</v>
      </c>
      <c r="AO12" s="162" t="s">
        <v>120</v>
      </c>
      <c r="AP12" s="162" t="s">
        <v>12</v>
      </c>
      <c r="AQ12" s="162" t="s">
        <v>120</v>
      </c>
    </row>
    <row r="13" spans="2:57" hidden="1" x14ac:dyDescent="0.3">
      <c r="B13" s="15"/>
      <c r="C13" s="48"/>
      <c r="AD13" s="46">
        <f t="shared" si="3"/>
        <v>42331</v>
      </c>
      <c r="AE13" s="46">
        <f t="shared" si="4"/>
        <v>42337</v>
      </c>
      <c r="AF13" s="17" t="s">
        <v>61</v>
      </c>
      <c r="AK13" s="134" t="s">
        <v>12</v>
      </c>
      <c r="AN13" s="162" t="s">
        <v>7</v>
      </c>
      <c r="AO13" s="162"/>
      <c r="AP13" s="162" t="s">
        <v>128</v>
      </c>
      <c r="AQ13" s="162" t="s">
        <v>123</v>
      </c>
    </row>
    <row r="14" spans="2:57" x14ac:dyDescent="0.3">
      <c r="L14" s="45">
        <f>COUNTA(E32:E37)+6</f>
        <v>6</v>
      </c>
      <c r="AD14" s="46">
        <f t="shared" si="3"/>
        <v>42338</v>
      </c>
      <c r="AE14" s="46">
        <f t="shared" si="4"/>
        <v>42344</v>
      </c>
      <c r="AF14" s="17" t="s">
        <v>62</v>
      </c>
      <c r="AK14" s="133" t="s">
        <v>10</v>
      </c>
      <c r="AN14" s="162"/>
      <c r="AO14" s="162"/>
      <c r="AP14" s="162"/>
      <c r="AQ14" s="162"/>
    </row>
    <row r="15" spans="2:57" ht="27" customHeight="1" x14ac:dyDescent="0.3">
      <c r="B15" s="43" t="s">
        <v>31</v>
      </c>
      <c r="C15" s="44"/>
      <c r="AD15" s="46">
        <f t="shared" si="3"/>
        <v>42345</v>
      </c>
      <c r="AE15" s="46">
        <f t="shared" si="4"/>
        <v>42351</v>
      </c>
      <c r="AF15" s="17" t="s">
        <v>63</v>
      </c>
      <c r="AK15" s="133" t="s">
        <v>8</v>
      </c>
      <c r="AN15" s="162" t="s">
        <v>7</v>
      </c>
      <c r="AO15" s="162"/>
      <c r="AP15" s="162"/>
      <c r="AQ15" s="162"/>
    </row>
    <row r="16" spans="2:57" s="17" customFormat="1" ht="24" customHeight="1" x14ac:dyDescent="0.3">
      <c r="B16" s="66" t="s">
        <v>46</v>
      </c>
      <c r="C16" s="66" t="s">
        <v>49</v>
      </c>
      <c r="H16" s="58"/>
      <c r="O16" s="1"/>
      <c r="P16" s="1"/>
      <c r="Q16" s="1"/>
      <c r="R16" s="1"/>
      <c r="S16" s="1"/>
      <c r="T16" s="47"/>
      <c r="AD16" s="46">
        <f t="shared" si="3"/>
        <v>42352</v>
      </c>
      <c r="AE16" s="46">
        <f t="shared" si="4"/>
        <v>42358</v>
      </c>
      <c r="AF16" s="17" t="s">
        <v>64</v>
      </c>
      <c r="AK16" s="133" t="s">
        <v>8</v>
      </c>
      <c r="AL16" s="161"/>
      <c r="AM16"/>
      <c r="AN16" s="162"/>
      <c r="AO16" s="162"/>
      <c r="AP16" s="162"/>
      <c r="AQ16" s="162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2:57" x14ac:dyDescent="0.3">
      <c r="B17" s="67" t="s">
        <v>8</v>
      </c>
      <c r="C17" t="s">
        <v>1</v>
      </c>
      <c r="D17" s="4" t="str">
        <f>Table1[[#This Row],[Siglas Categorias]]</f>
        <v>EA</v>
      </c>
      <c r="AD17" s="46">
        <f t="shared" si="3"/>
        <v>42359</v>
      </c>
      <c r="AE17" s="46">
        <f t="shared" si="4"/>
        <v>42365</v>
      </c>
      <c r="AF17" s="17" t="s">
        <v>65</v>
      </c>
      <c r="AK17" s="133" t="s">
        <v>8</v>
      </c>
      <c r="AN17" s="162"/>
      <c r="AO17" s="162"/>
      <c r="AP17" s="162"/>
      <c r="AQ17" s="162"/>
    </row>
    <row r="18" spans="2:57" x14ac:dyDescent="0.3">
      <c r="B18" s="67" t="s">
        <v>128</v>
      </c>
      <c r="C18" t="s">
        <v>129</v>
      </c>
      <c r="D18" s="4" t="str">
        <f>Table1[[#This Row],[Siglas Categorias]]</f>
        <v>EG</v>
      </c>
      <c r="L18" s="45" t="str">
        <f t="shared" ref="L18:L23" si="5">B32</f>
        <v>FP</v>
      </c>
      <c r="AD18" s="46">
        <f t="shared" si="3"/>
        <v>42366</v>
      </c>
      <c r="AE18" s="46">
        <f t="shared" si="4"/>
        <v>42372</v>
      </c>
      <c r="AF18" s="17" t="s">
        <v>66</v>
      </c>
      <c r="AK18" s="133" t="s">
        <v>8</v>
      </c>
      <c r="AN18" s="162" t="s">
        <v>136</v>
      </c>
      <c r="AO18" s="162" t="s">
        <v>120</v>
      </c>
      <c r="AP18" s="162" t="s">
        <v>116</v>
      </c>
      <c r="AQ18" s="162" t="s">
        <v>150</v>
      </c>
    </row>
    <row r="19" spans="2:57" x14ac:dyDescent="0.3">
      <c r="B19" s="67" t="s">
        <v>7</v>
      </c>
      <c r="C19" t="s">
        <v>86</v>
      </c>
      <c r="D19" s="4" t="str">
        <f>Table1[[#This Row],[Siglas Categorias]]</f>
        <v>TG</v>
      </c>
      <c r="L19" s="45" t="str">
        <f t="shared" si="5"/>
        <v>IEI</v>
      </c>
      <c r="AD19" s="46">
        <f t="shared" si="3"/>
        <v>42373</v>
      </c>
      <c r="AE19" s="46">
        <f t="shared" si="4"/>
        <v>42379</v>
      </c>
      <c r="AF19" s="17" t="s">
        <v>67</v>
      </c>
      <c r="AK19" s="133" t="s">
        <v>8</v>
      </c>
      <c r="AN19" s="162" t="s">
        <v>130</v>
      </c>
      <c r="AO19" s="162" t="s">
        <v>127</v>
      </c>
      <c r="AP19" s="162" t="s">
        <v>130</v>
      </c>
      <c r="AQ19" s="162" t="s">
        <v>123</v>
      </c>
    </row>
    <row r="20" spans="2:57" ht="15" customHeight="1" x14ac:dyDescent="0.3">
      <c r="B20" s="67" t="s">
        <v>9</v>
      </c>
      <c r="C20" t="s">
        <v>0</v>
      </c>
      <c r="D20" s="4" t="str">
        <f>Table1[[#This Row],[Siglas Categorias]]</f>
        <v>AT</v>
      </c>
      <c r="L20" s="45" t="str">
        <f t="shared" si="5"/>
        <v>IAC</v>
      </c>
      <c r="AD20" s="46">
        <f t="shared" si="3"/>
        <v>42380</v>
      </c>
      <c r="AE20" s="46">
        <f t="shared" si="4"/>
        <v>42386</v>
      </c>
      <c r="AF20" s="17" t="s">
        <v>68</v>
      </c>
      <c r="AK20" s="134" t="s">
        <v>128</v>
      </c>
      <c r="AN20" s="162" t="s">
        <v>12</v>
      </c>
      <c r="AO20" s="162" t="s">
        <v>120</v>
      </c>
      <c r="AP20" s="162" t="s">
        <v>12</v>
      </c>
      <c r="AQ20" s="162" t="s">
        <v>120</v>
      </c>
    </row>
    <row r="21" spans="2:57" x14ac:dyDescent="0.3">
      <c r="B21" s="67" t="s">
        <v>13</v>
      </c>
      <c r="C21" t="s">
        <v>5</v>
      </c>
      <c r="D21" s="4" t="str">
        <f>Table1[[#This Row],[Siglas Categorias]]</f>
        <v>APA</v>
      </c>
      <c r="L21" s="45" t="str">
        <f t="shared" si="5"/>
        <v>AL</v>
      </c>
      <c r="AD21" s="46">
        <f t="shared" si="3"/>
        <v>42387</v>
      </c>
      <c r="AE21" s="46">
        <f t="shared" si="4"/>
        <v>42393</v>
      </c>
      <c r="AF21" s="17" t="s">
        <v>69</v>
      </c>
      <c r="AK21" s="134" t="s">
        <v>128</v>
      </c>
      <c r="AN21" s="162"/>
      <c r="AO21" s="162"/>
      <c r="AP21" s="162"/>
      <c r="AQ21" s="162"/>
    </row>
    <row r="22" spans="2:57" x14ac:dyDescent="0.3">
      <c r="B22" s="67" t="s">
        <v>130</v>
      </c>
      <c r="C22" t="s">
        <v>131</v>
      </c>
      <c r="D22" s="4" t="str">
        <f>Table1[[#This Row],[Siglas Categorias]]</f>
        <v>APB</v>
      </c>
      <c r="L22" s="45" t="str">
        <f t="shared" si="5"/>
        <v>CDI</v>
      </c>
      <c r="AD22" s="46">
        <f t="shared" si="3"/>
        <v>42394</v>
      </c>
      <c r="AE22" s="46">
        <f t="shared" si="4"/>
        <v>42400</v>
      </c>
      <c r="AF22" s="17" t="s">
        <v>70</v>
      </c>
      <c r="AK22" s="134" t="s">
        <v>128</v>
      </c>
      <c r="AN22" s="162"/>
      <c r="AO22" s="162"/>
      <c r="AP22" s="162"/>
      <c r="AQ22" s="162"/>
    </row>
    <row r="23" spans="2:57" x14ac:dyDescent="0.3">
      <c r="B23" s="67" t="s">
        <v>132</v>
      </c>
      <c r="C23" t="s">
        <v>133</v>
      </c>
      <c r="D23" s="4" t="str">
        <f>Table1[[#This Row],[Siglas Categorias]]</f>
        <v>LAB</v>
      </c>
      <c r="L23" s="45">
        <f t="shared" si="5"/>
        <v>0</v>
      </c>
      <c r="AD23" s="46">
        <f t="shared" si="3"/>
        <v>42401</v>
      </c>
      <c r="AE23" s="46">
        <f t="shared" si="4"/>
        <v>42407</v>
      </c>
      <c r="AF23" s="17" t="s">
        <v>71</v>
      </c>
      <c r="AK23" s="134" t="s">
        <v>128</v>
      </c>
      <c r="AN23" s="162"/>
      <c r="AO23" s="162"/>
      <c r="AP23" s="162"/>
      <c r="AQ23" s="162"/>
    </row>
    <row r="24" spans="2:57" x14ac:dyDescent="0.3">
      <c r="B24" s="67" t="s">
        <v>134</v>
      </c>
      <c r="C24" t="s">
        <v>135</v>
      </c>
      <c r="D24" s="4" t="str">
        <f>Table1[[#This Row],[Siglas Categorias]]</f>
        <v>MA</v>
      </c>
      <c r="AF24" s="58"/>
      <c r="AK24" s="134" t="s">
        <v>128</v>
      </c>
      <c r="AN24" s="162"/>
      <c r="AO24" s="162"/>
      <c r="AP24" s="162"/>
      <c r="AQ24" s="162"/>
    </row>
    <row r="25" spans="2:57" x14ac:dyDescent="0.3">
      <c r="B25" s="67" t="s">
        <v>136</v>
      </c>
      <c r="C25" t="s">
        <v>137</v>
      </c>
      <c r="D25" s="4" t="str">
        <f>Table1[[#This Row],[Siglas Categorias]]</f>
        <v>HDV</v>
      </c>
      <c r="AF25" s="58"/>
      <c r="AK25" s="134" t="s">
        <v>7</v>
      </c>
      <c r="AN25" s="162"/>
      <c r="AO25" s="162"/>
      <c r="AP25" s="162"/>
      <c r="AQ25" s="162"/>
    </row>
    <row r="26" spans="2:57" x14ac:dyDescent="0.3">
      <c r="B26" s="67" t="s">
        <v>116</v>
      </c>
      <c r="C26" t="s">
        <v>6</v>
      </c>
      <c r="D26" s="4" t="str">
        <f>Table1[[#This Row],[Siglas Categorias]]</f>
        <v>PV</v>
      </c>
      <c r="AF26" s="58"/>
      <c r="AK26" s="133" t="s">
        <v>7</v>
      </c>
      <c r="AN26" s="162" t="s">
        <v>136</v>
      </c>
      <c r="AO26" s="162" t="s">
        <v>120</v>
      </c>
      <c r="AP26" s="162" t="s">
        <v>116</v>
      </c>
      <c r="AQ26" s="162" t="s">
        <v>152</v>
      </c>
    </row>
    <row r="27" spans="2:57" x14ac:dyDescent="0.3">
      <c r="B27" s="67" t="s">
        <v>11</v>
      </c>
      <c r="C27" t="s">
        <v>3</v>
      </c>
      <c r="D27" s="4" t="str">
        <f>Table1[[#This Row],[Siglas Categorias]]</f>
        <v>HD</v>
      </c>
      <c r="AF27" s="58"/>
      <c r="AK27" s="133" t="s">
        <v>7</v>
      </c>
      <c r="AN27" s="162" t="s">
        <v>130</v>
      </c>
      <c r="AO27" s="162" t="s">
        <v>148</v>
      </c>
      <c r="AP27" s="162" t="s">
        <v>130</v>
      </c>
      <c r="AQ27" s="162" t="s">
        <v>153</v>
      </c>
    </row>
    <row r="28" spans="2:57" x14ac:dyDescent="0.3">
      <c r="B28" s="67" t="s">
        <v>12</v>
      </c>
      <c r="C28" t="s">
        <v>4</v>
      </c>
      <c r="D28" s="4" t="str">
        <f>Table1[[#This Row],[Siglas Categorias]]</f>
        <v>HR</v>
      </c>
      <c r="L28" s="45" t="str">
        <f>IF(E32="","",E32)</f>
        <v/>
      </c>
      <c r="AK28" s="133" t="s">
        <v>7</v>
      </c>
      <c r="AN28" s="162" t="s">
        <v>12</v>
      </c>
      <c r="AO28" s="162" t="s">
        <v>120</v>
      </c>
      <c r="AP28" s="162" t="s">
        <v>12</v>
      </c>
      <c r="AQ28" s="162" t="s">
        <v>120</v>
      </c>
    </row>
    <row r="29" spans="2:57" x14ac:dyDescent="0.3">
      <c r="B29" s="67" t="s">
        <v>10</v>
      </c>
      <c r="C29" t="s">
        <v>2</v>
      </c>
      <c r="D29" s="4" t="str">
        <f>Table1[[#This Row],[Siglas Categorias]]</f>
        <v>HS</v>
      </c>
      <c r="L29" s="45" t="str">
        <f t="shared" ref="L29:L32" si="6">IF(E34="","",E34)</f>
        <v/>
      </c>
      <c r="AK29" s="133" t="s">
        <v>7</v>
      </c>
      <c r="AN29" s="162"/>
      <c r="AO29" s="162"/>
      <c r="AP29" s="162"/>
      <c r="AQ29" s="162"/>
    </row>
    <row r="30" spans="2:57" x14ac:dyDescent="0.3">
      <c r="B30" s="45"/>
      <c r="D30"/>
      <c r="E30"/>
      <c r="F30"/>
      <c r="G30"/>
      <c r="H30"/>
      <c r="L30" s="45" t="str">
        <f t="shared" si="6"/>
        <v/>
      </c>
      <c r="AK30" s="134" t="s">
        <v>9</v>
      </c>
      <c r="AN30" s="162"/>
      <c r="AO30" s="162"/>
      <c r="AP30" s="162"/>
      <c r="AQ30" s="162"/>
    </row>
    <row r="31" spans="2:57" s="17" customFormat="1" ht="29.25" customHeight="1" x14ac:dyDescent="0.3">
      <c r="B31" s="126" t="s">
        <v>47</v>
      </c>
      <c r="C31" s="164" t="s">
        <v>49</v>
      </c>
      <c r="D31"/>
      <c r="E31" s="256" t="s">
        <v>147</v>
      </c>
      <c r="F31" s="257"/>
      <c r="G31" s="245" t="s">
        <v>49</v>
      </c>
      <c r="H31" s="245"/>
      <c r="I31" s="246"/>
      <c r="L31" s="45" t="str">
        <f t="shared" si="6"/>
        <v/>
      </c>
      <c r="O31" s="1"/>
      <c r="P31" s="1"/>
      <c r="Q31" s="1"/>
      <c r="R31" s="1"/>
      <c r="S31" s="1"/>
      <c r="T31" s="47"/>
      <c r="AD31" s="46"/>
      <c r="AE31" s="46"/>
      <c r="AK31" s="134" t="s">
        <v>9</v>
      </c>
      <c r="AL31" s="161"/>
      <c r="AM31"/>
      <c r="AN31" s="162"/>
      <c r="AO31" s="162"/>
      <c r="AP31" s="162"/>
      <c r="AQ31" s="162"/>
      <c r="AR31"/>
      <c r="AS31"/>
      <c r="AT31" t="str">
        <f>HORÁRIO!G25</f>
        <v>-</v>
      </c>
      <c r="AU31"/>
      <c r="AV31"/>
      <c r="AW31"/>
      <c r="AX31"/>
      <c r="AY31"/>
      <c r="AZ31"/>
      <c r="BA31"/>
      <c r="BB31"/>
      <c r="BC31"/>
      <c r="BD31"/>
      <c r="BE31"/>
    </row>
    <row r="32" spans="2:57" ht="15.75" customHeight="1" x14ac:dyDescent="0.3">
      <c r="B32" s="171" t="s">
        <v>224</v>
      </c>
      <c r="C32" s="172" t="s">
        <v>225</v>
      </c>
      <c r="D32"/>
      <c r="E32" s="258"/>
      <c r="F32" s="247"/>
      <c r="G32" s="247"/>
      <c r="H32" s="247"/>
      <c r="I32" s="248"/>
      <c r="L32" s="45" t="str">
        <f t="shared" si="6"/>
        <v/>
      </c>
      <c r="AK32" s="134" t="s">
        <v>9</v>
      </c>
      <c r="AN32" s="162"/>
      <c r="AO32" s="162"/>
      <c r="AP32" s="162"/>
      <c r="AQ32" s="162"/>
    </row>
    <row r="33" spans="2:43" x14ac:dyDescent="0.3">
      <c r="B33" s="173" t="s">
        <v>226</v>
      </c>
      <c r="C33" s="174" t="s">
        <v>227</v>
      </c>
      <c r="D33"/>
      <c r="E33" s="259"/>
      <c r="F33" s="249"/>
      <c r="G33" s="249"/>
      <c r="H33" s="249"/>
      <c r="I33" s="250"/>
      <c r="AK33" s="134" t="s">
        <v>9</v>
      </c>
      <c r="AN33" s="162"/>
      <c r="AO33" s="162"/>
      <c r="AP33" s="162"/>
      <c r="AQ33" s="162"/>
    </row>
    <row r="34" spans="2:43" x14ac:dyDescent="0.3">
      <c r="B34" s="175" t="s">
        <v>228</v>
      </c>
      <c r="C34" s="176" t="s">
        <v>229</v>
      </c>
      <c r="D34"/>
      <c r="E34" s="260"/>
      <c r="F34" s="251"/>
      <c r="G34" s="251"/>
      <c r="H34" s="251"/>
      <c r="I34" s="252"/>
      <c r="AK34" s="134" t="s">
        <v>9</v>
      </c>
      <c r="AN34" s="162" t="s">
        <v>136</v>
      </c>
      <c r="AO34" s="162" t="s">
        <v>120</v>
      </c>
      <c r="AP34" s="162" t="s">
        <v>116</v>
      </c>
      <c r="AQ34" s="162" t="s">
        <v>154</v>
      </c>
    </row>
    <row r="35" spans="2:43" x14ac:dyDescent="0.3">
      <c r="B35" s="173" t="s">
        <v>230</v>
      </c>
      <c r="C35" s="174" t="s">
        <v>233</v>
      </c>
      <c r="D35"/>
      <c r="E35" s="259"/>
      <c r="F35" s="249"/>
      <c r="G35" s="249"/>
      <c r="H35" s="249"/>
      <c r="I35" s="250"/>
      <c r="AK35" s="133" t="s">
        <v>13</v>
      </c>
      <c r="AN35" s="162" t="s">
        <v>130</v>
      </c>
      <c r="AO35" s="162" t="s">
        <v>155</v>
      </c>
      <c r="AP35" s="162" t="s">
        <v>130</v>
      </c>
      <c r="AQ35" s="162" t="s">
        <v>156</v>
      </c>
    </row>
    <row r="36" spans="2:43" x14ac:dyDescent="0.3">
      <c r="B36" s="175" t="s">
        <v>231</v>
      </c>
      <c r="C36" s="176" t="s">
        <v>232</v>
      </c>
      <c r="D36"/>
      <c r="E36" s="260"/>
      <c r="F36" s="251"/>
      <c r="G36" s="251"/>
      <c r="H36" s="251"/>
      <c r="I36" s="252"/>
      <c r="AF36" s="58"/>
      <c r="AK36" s="133" t="s">
        <v>13</v>
      </c>
      <c r="AN36" s="162" t="s">
        <v>12</v>
      </c>
      <c r="AO36" s="162" t="s">
        <v>120</v>
      </c>
      <c r="AP36" s="162" t="s">
        <v>12</v>
      </c>
      <c r="AQ36" s="162" t="s">
        <v>120</v>
      </c>
    </row>
    <row r="37" spans="2:43" x14ac:dyDescent="0.3">
      <c r="B37" s="173"/>
      <c r="C37" s="174"/>
      <c r="D37"/>
      <c r="E37" s="259"/>
      <c r="F37" s="249"/>
      <c r="G37" s="249"/>
      <c r="H37" s="249"/>
      <c r="I37" s="250"/>
      <c r="AK37" s="133" t="s">
        <v>13</v>
      </c>
      <c r="AN37" s="162"/>
      <c r="AO37" s="162"/>
      <c r="AP37" s="162"/>
      <c r="AQ37" s="162"/>
    </row>
    <row r="38" spans="2:43" x14ac:dyDescent="0.3">
      <c r="B38" s="129" t="s">
        <v>120</v>
      </c>
      <c r="D38"/>
      <c r="E38"/>
      <c r="F38"/>
      <c r="G38"/>
      <c r="H38"/>
      <c r="AK38" s="133" t="s">
        <v>13</v>
      </c>
      <c r="AN38" s="162"/>
      <c r="AO38" s="162"/>
      <c r="AP38" s="162"/>
      <c r="AQ38" s="162"/>
    </row>
    <row r="39" spans="2:43" ht="27" customHeight="1" x14ac:dyDescent="0.3">
      <c r="B39" s="43" t="s">
        <v>121</v>
      </c>
      <c r="C39" s="43"/>
      <c r="D39" s="43"/>
      <c r="E39" s="43"/>
      <c r="F39" s="43"/>
      <c r="G39" s="43"/>
      <c r="H39" s="43"/>
      <c r="I39" s="43"/>
      <c r="AK39" s="133" t="s">
        <v>13</v>
      </c>
      <c r="AN39" s="162"/>
      <c r="AO39" s="162"/>
      <c r="AP39" s="162"/>
      <c r="AQ39" s="162"/>
    </row>
    <row r="40" spans="2:43" ht="24" customHeight="1" x14ac:dyDescent="0.3">
      <c r="B40" s="74" t="s">
        <v>112</v>
      </c>
      <c r="C40" s="75" t="s">
        <v>22</v>
      </c>
      <c r="D40" s="76" t="str">
        <f>IF(B32="","",B32)</f>
        <v>FP</v>
      </c>
      <c r="E40" s="76" t="str">
        <f>IF(B33="","",B33)</f>
        <v>IEI</v>
      </c>
      <c r="F40" s="76" t="str">
        <f>IF(B34="","",B34)</f>
        <v>IAC</v>
      </c>
      <c r="G40" s="76" t="str">
        <f>IF(B35="","",B35)</f>
        <v>AL</v>
      </c>
      <c r="H40" s="77" t="str">
        <f>IF(B36="","",B36)</f>
        <v>CDI</v>
      </c>
      <c r="I40" s="78" t="str">
        <f>IF(B37="","",B37)</f>
        <v/>
      </c>
      <c r="K40" s="255" t="s">
        <v>15</v>
      </c>
      <c r="L40" s="255"/>
      <c r="M40" s="255" t="s">
        <v>16</v>
      </c>
      <c r="N40" s="255"/>
      <c r="O40" s="255" t="s">
        <v>17</v>
      </c>
      <c r="P40" s="255"/>
      <c r="Q40" s="255" t="s">
        <v>72</v>
      </c>
      <c r="R40" s="255"/>
      <c r="S40" s="255" t="s">
        <v>18</v>
      </c>
      <c r="T40" s="255"/>
      <c r="U40" s="255" t="s">
        <v>50</v>
      </c>
      <c r="V40" s="255"/>
      <c r="AK40" s="134" t="s">
        <v>130</v>
      </c>
      <c r="AN40" s="162"/>
      <c r="AO40" s="162"/>
      <c r="AP40" s="162"/>
      <c r="AQ40" s="162"/>
    </row>
    <row r="41" spans="2:43" x14ac:dyDescent="0.3">
      <c r="B41" s="61" t="str">
        <f>IF(C17="","",C17)</f>
        <v>Estudo Autónomo</v>
      </c>
      <c r="C41" s="61">
        <f>IF(SUM(D41:I41)=0,"",SUM(D41:I41))</f>
        <v>19</v>
      </c>
      <c r="D41" s="53">
        <v>5</v>
      </c>
      <c r="E41" s="53">
        <v>2</v>
      </c>
      <c r="F41" s="53">
        <v>2</v>
      </c>
      <c r="G41" s="53">
        <v>5</v>
      </c>
      <c r="H41" s="53">
        <v>5</v>
      </c>
      <c r="I41" s="53"/>
      <c r="K41" s="192" t="str">
        <f>IFERROR(VLOOKUP(C59,$AD:$AF,3),"-")</f>
        <v>-</v>
      </c>
      <c r="L41" s="192" t="str">
        <f>IF(K41="-","",IF(C59="","",CONCATENATE(TEXT(C59,"dd-mm-aaaa")," - ",C$58," ",$B59)))</f>
        <v/>
      </c>
      <c r="M41" s="192" t="str">
        <f>IFERROR(VLOOKUP(D59,$AD:$AF,3),"-")</f>
        <v>-</v>
      </c>
      <c r="N41" s="192" t="str">
        <f>IF(M41="-","",IF(D59="","",CONCATENATE(TEXT(D59,"dd-mm-aaaa"), " - ",D$58," ",$B59)))</f>
        <v/>
      </c>
      <c r="O41" s="192" t="str">
        <f>IFERROR(VLOOKUP(E59,$AD:$AF,3),"-")</f>
        <v>-</v>
      </c>
      <c r="P41" s="192" t="str">
        <f>IF(O41="-","",IF(E59="","",CONCATENATE(TEXT(E59,"dd-mm-aaaa"), " - ",E$58," ",$B59)))</f>
        <v/>
      </c>
      <c r="Q41" s="192" t="str">
        <f>IFERROR(VLOOKUP(F59,$AD:$AF,3),"-")</f>
        <v>-</v>
      </c>
      <c r="R41" s="192" t="str">
        <f>IF(Q41="-","",IF(F59="","",CONCATENATE(TEXT(F59,"dd-mm-aaaa"), " - ",F$58," ",$B59)))</f>
        <v/>
      </c>
      <c r="S41" s="192" t="str">
        <f>IFERROR(VLOOKUP(G59,$AD:$AF,3),"-")</f>
        <v>-</v>
      </c>
      <c r="T41" s="192" t="str">
        <f>IF(S41="-","",IF(G59="","",CONCATENATE(TEXT(G59,"dd-mm-aaaa"), " - ",G$58," ",$B59)))</f>
        <v/>
      </c>
      <c r="U41" s="192" t="str">
        <f>IFERROR(VLOOKUP(I59,$AD:$AF,3),"-")</f>
        <v>-</v>
      </c>
      <c r="V41" s="192" t="str">
        <f>IF(U41="-","",IF(I59="","",CONCATENATE(TEXT(I59,"dd-mm-aaaa"), " - ",I$58," ",$B59)))</f>
        <v/>
      </c>
      <c r="AK41" s="134" t="s">
        <v>130</v>
      </c>
      <c r="AN41" s="162"/>
      <c r="AO41" s="162"/>
      <c r="AP41" s="162"/>
      <c r="AQ41" s="162"/>
    </row>
    <row r="42" spans="2:43" x14ac:dyDescent="0.3">
      <c r="B42" s="62" t="str">
        <f t="shared" ref="B42:B53" si="7">IF(C18="","",C18)</f>
        <v>Estudo em Grupo</v>
      </c>
      <c r="C42" s="62">
        <f t="shared" ref="C42:C47" si="8">IF(SUM(D42:I42)=0,"",SUM(D42:I42))</f>
        <v>8</v>
      </c>
      <c r="D42" s="54">
        <v>2</v>
      </c>
      <c r="E42" s="54"/>
      <c r="F42" s="54">
        <v>2</v>
      </c>
      <c r="G42" s="54">
        <v>2</v>
      </c>
      <c r="H42" s="54">
        <v>2</v>
      </c>
      <c r="I42" s="54"/>
      <c r="K42" s="192" t="str">
        <f>IFERROR(VLOOKUP(C60,$AD:$AF,3),"-")</f>
        <v>-</v>
      </c>
      <c r="L42" s="192" t="str">
        <f>IF(K42="-","",IF(C60="","",CONCATENATE(TEXT(C60,"dd-mm-aaaa"), " - ",C$58," ",$B60)))</f>
        <v/>
      </c>
      <c r="M42" s="192" t="str">
        <f>IFERROR(VLOOKUP(D60,$AD:$AF,3),"-")</f>
        <v>-</v>
      </c>
      <c r="N42" s="192" t="str">
        <f>IF(M42="-","",IF(D60="","",CONCATENATE(TEXT(D60,"dd-mm-aaaa"), " - ",D$58," ",$B60)))</f>
        <v/>
      </c>
      <c r="O42" s="192" t="str">
        <f>IFERROR(VLOOKUP(E60,$AD:$AF,3),"-")</f>
        <v>-</v>
      </c>
      <c r="P42" s="192" t="str">
        <f>IF(O42="-","",IF(E60="","",CONCATENATE(TEXT(E60,"dd-mm-aaaa"), " - ",E$58," ",$B60)))</f>
        <v/>
      </c>
      <c r="Q42" s="192" t="str">
        <f>IFERROR(VLOOKUP(F60,$AD:$AF,3),"-")</f>
        <v>-</v>
      </c>
      <c r="R42" s="192" t="str">
        <f>IF(Q42="-","",IF(F60="","",CONCATENATE(TEXT(F60,"dd-mm-aaaa"), " - ",F$58," ",$B60)))</f>
        <v/>
      </c>
      <c r="S42" s="192" t="str">
        <f>IFERROR(VLOOKUP(G60,$AD:$AF,3),"-")</f>
        <v>-</v>
      </c>
      <c r="T42" s="192" t="str">
        <f>IF(S42="-","",IF(G60="","",CONCATENATE(TEXT(G60,"dd-mm-aaaa"), " - ",G$58," ",$B60)))</f>
        <v/>
      </c>
      <c r="U42" s="192" t="str">
        <f>IFERROR(VLOOKUP(I60,$AD:$AF,3),"-")</f>
        <v>-</v>
      </c>
      <c r="V42" s="192" t="str">
        <f>IF(U42="-","",IF(I60="","",CONCATENATE(TEXT(I60,"dd-mm-aaaa"), " - ",I$58," ",$B60)))</f>
        <v/>
      </c>
      <c r="AK42" s="134" t="s">
        <v>130</v>
      </c>
      <c r="AN42" s="162" t="s">
        <v>136</v>
      </c>
      <c r="AO42" s="162" t="s">
        <v>120</v>
      </c>
      <c r="AP42" s="162" t="s">
        <v>116</v>
      </c>
      <c r="AQ42" s="162" t="s">
        <v>157</v>
      </c>
    </row>
    <row r="43" spans="2:43" x14ac:dyDescent="0.3">
      <c r="B43" s="61" t="str">
        <f t="shared" si="7"/>
        <v>Trabalho de Grupo</v>
      </c>
      <c r="C43" s="61">
        <f t="shared" si="8"/>
        <v>15</v>
      </c>
      <c r="D43" s="53">
        <v>3</v>
      </c>
      <c r="E43" s="53">
        <v>3</v>
      </c>
      <c r="F43" s="53">
        <v>3</v>
      </c>
      <c r="G43" s="53">
        <v>3</v>
      </c>
      <c r="H43" s="53">
        <v>3</v>
      </c>
      <c r="I43" s="53"/>
      <c r="K43" s="192" t="str">
        <f>IFERROR(VLOOKUP(C61,$AD:$AF,3),"-")</f>
        <v>-</v>
      </c>
      <c r="L43" s="192" t="str">
        <f>IF(K43="-","",IF(C61="","",CONCATENATE(TEXT(C61,"dd-mm-aaaa"), " - ",C$58," ",$B61)))</f>
        <v/>
      </c>
      <c r="M43" s="192" t="str">
        <f>IFERROR(VLOOKUP(D61,$AD:$AF,3),"-")</f>
        <v>-</v>
      </c>
      <c r="N43" s="192" t="str">
        <f>IF(M43="-","",IF(D61="","",CONCATENATE(TEXT(D61,"dd-mm-aaaa"), " - ",D$58," ",$B61)))</f>
        <v/>
      </c>
      <c r="O43" s="192" t="str">
        <f>IFERROR(VLOOKUP(E61,$AD:$AF,3),"-")</f>
        <v>-</v>
      </c>
      <c r="P43" s="192" t="str">
        <f>IF(O43="-","",IF(E61="","",CONCATENATE(TEXT(E61,"dd-mm-aaaa"), " - ",E$58," ",$B61)))</f>
        <v/>
      </c>
      <c r="Q43" s="192" t="str">
        <f>IFERROR(VLOOKUP(F61,$AD:$AF,3),"-")</f>
        <v>-</v>
      </c>
      <c r="R43" s="192" t="str">
        <f>IF(Q43="-","",IF(F61="","",CONCATENATE(TEXT(F61,"dd-mm-aaaa"), " - ",F$58," ",$B61)))</f>
        <v/>
      </c>
      <c r="S43" s="192" t="str">
        <f>IFERROR(VLOOKUP(G61,$AD:$AF,3),"-")</f>
        <v>-</v>
      </c>
      <c r="T43" s="192" t="str">
        <f>IF(S43="-","",IF(G61="","",CONCATENATE(TEXT(G61,"dd-mm-aaaa"), " - ",G$58," ",$B61)))</f>
        <v/>
      </c>
      <c r="U43" s="192" t="str">
        <f>IFERROR(VLOOKUP(I61,$AD:$AF,3),"-")</f>
        <v>-</v>
      </c>
      <c r="V43" s="192" t="str">
        <f>IF(U43="-","",IF(I61="","",CONCATENATE(TEXT(I61,"dd-mm-aaaa"), " - ",I$58," ",$B61)))</f>
        <v/>
      </c>
      <c r="AK43" s="134" t="s">
        <v>130</v>
      </c>
      <c r="AN43" s="162" t="s">
        <v>130</v>
      </c>
      <c r="AO43" s="162" t="s">
        <v>158</v>
      </c>
      <c r="AP43" s="162" t="s">
        <v>130</v>
      </c>
      <c r="AQ43" s="162" t="s">
        <v>159</v>
      </c>
    </row>
    <row r="44" spans="2:43" x14ac:dyDescent="0.3">
      <c r="B44" s="62" t="str">
        <f t="shared" si="7"/>
        <v>Aulas Teóricas</v>
      </c>
      <c r="C44" s="62">
        <f t="shared" si="8"/>
        <v>15</v>
      </c>
      <c r="D44" s="54">
        <v>3</v>
      </c>
      <c r="E44" s="54">
        <v>3</v>
      </c>
      <c r="F44" s="54">
        <v>3</v>
      </c>
      <c r="G44" s="54">
        <v>3</v>
      </c>
      <c r="H44" s="54">
        <v>3</v>
      </c>
      <c r="I44" s="54"/>
      <c r="K44" s="192" t="str">
        <f>IFERROR(VLOOKUP(C62,$AD:$AF,3),"-")</f>
        <v>-</v>
      </c>
      <c r="L44" s="192" t="str">
        <f>IF(K44="-","",IF(C62="","",CONCATENATE(TEXT(C62,"dd-mm-aaaa"), " - ",C$58," ",$B62)))</f>
        <v/>
      </c>
      <c r="M44" s="192" t="str">
        <f>IFERROR(VLOOKUP(D62,$AD:$AF,3),"-")</f>
        <v>-</v>
      </c>
      <c r="N44" s="192" t="str">
        <f>IF(M44="-","",IF(D62="","",CONCATENATE(TEXT(D62,"dd-mm-aaaa"), " - ",D$58," ",$B62)))</f>
        <v/>
      </c>
      <c r="O44" s="192" t="str">
        <f>IFERROR(VLOOKUP(E62,$AD:$AF,3),"-")</f>
        <v>-</v>
      </c>
      <c r="P44" s="192" t="str">
        <f>IF(O44="-","",IF(E62="","",CONCATENATE(TEXT(E62,"dd-mm-aaaa"), " - ",E$58," ",$B62)))</f>
        <v/>
      </c>
      <c r="Q44" s="192" t="str">
        <f>IFERROR(VLOOKUP(F62,$AD:$AF,3),"-")</f>
        <v>-</v>
      </c>
      <c r="R44" s="192" t="str">
        <f>IF(Q44="-","",IF(F62="","",CONCATENATE(TEXT(F62,"dd-mm-aaaa"), " - ",F$58," ",$B62)))</f>
        <v/>
      </c>
      <c r="S44" s="192" t="str">
        <f>IFERROR(VLOOKUP(G62,$AD:$AF,3),"-")</f>
        <v>-</v>
      </c>
      <c r="T44" s="192" t="str">
        <f>IF(S44="-","",IF(G62="","",CONCATENATE(TEXT(G62,"dd-mm-aaaa"), " - ",G$58," ",$B62)))</f>
        <v/>
      </c>
      <c r="U44" s="192" t="str">
        <f>IFERROR(VLOOKUP(I62,$AD:$AF,3),"-")</f>
        <v>-</v>
      </c>
      <c r="V44" s="192" t="str">
        <f>IF(U44="-","",IF(I62="","",CONCATENATE(TEXT(I62,"dd-mm-aaaa"), " - ",I$58," ",$B62)))</f>
        <v/>
      </c>
      <c r="AK44" s="134" t="s">
        <v>130</v>
      </c>
      <c r="AN44" s="162" t="s">
        <v>12</v>
      </c>
      <c r="AO44" s="162" t="s">
        <v>120</v>
      </c>
      <c r="AP44" s="162" t="s">
        <v>12</v>
      </c>
      <c r="AQ44" s="162" t="s">
        <v>120</v>
      </c>
    </row>
    <row r="45" spans="2:43" x14ac:dyDescent="0.3">
      <c r="B45" s="61" t="str">
        <f t="shared" si="7"/>
        <v>Aulas Práticas</v>
      </c>
      <c r="C45" s="61" t="str">
        <f t="shared" si="8"/>
        <v/>
      </c>
      <c r="D45" s="210"/>
      <c r="E45" s="53"/>
      <c r="F45" s="53"/>
      <c r="G45" s="53"/>
      <c r="H45" s="53"/>
      <c r="I45" s="53"/>
      <c r="K45" s="192" t="str">
        <f>IFERROR(VLOOKUP(C63,$AD:$AF,3),"-")</f>
        <v>-</v>
      </c>
      <c r="L45" s="192" t="str">
        <f>IF(K45="-","",IF(C63="","",CONCATENATE(TEXT(C63,"dd-mm-aaaa"), " - ",C$58," ",$B63)))</f>
        <v/>
      </c>
      <c r="M45" s="192" t="str">
        <f>IFERROR(VLOOKUP(D63,$AD:$AF,3),"-")</f>
        <v>-</v>
      </c>
      <c r="N45" s="192" t="str">
        <f>IF(M45="-","",IF(D63="","",CONCATENATE(TEXT(D63,"dd-mm-aaaa"), " - ",D$58," ",$B63)))</f>
        <v/>
      </c>
      <c r="O45" s="192" t="str">
        <f>IFERROR(VLOOKUP(E63,$AD:$AF,3),"-")</f>
        <v>-</v>
      </c>
      <c r="P45" s="192" t="str">
        <f>IF(O45="-","",IF(E63="","",CONCATENATE(TEXT(E63,"dd-mm-aaaa"), " - ",E$58," ",$B63)))</f>
        <v/>
      </c>
      <c r="Q45" s="192" t="str">
        <f>IFERROR(VLOOKUP(F63,$AD:$AF,3),"-")</f>
        <v>-</v>
      </c>
      <c r="R45" s="192" t="str">
        <f>IF(Q45="-","",IF(F63="","",CONCATENATE(TEXT(F63,"dd-mm-aaaa"), " - ",F$58," ",$B63)))</f>
        <v/>
      </c>
      <c r="S45" s="192" t="str">
        <f>IFERROR(VLOOKUP(G63,$AD:$AF,3),"-")</f>
        <v>-</v>
      </c>
      <c r="T45" s="192" t="str">
        <f>IF(S45="-","",IF(G63="","",CONCATENATE(TEXT(G63,"dd-mm-aaaa"), " - ",G$58," ",$B63)))</f>
        <v/>
      </c>
      <c r="U45" s="192" t="str">
        <f>IFERROR(VLOOKUP(I63,$AD:$AF,3),"-")</f>
        <v>-</v>
      </c>
      <c r="V45" s="192" t="str">
        <f>IF(U45="-","",IF(I63="","",CONCATENATE(TEXT(I63,"dd-mm-aaaa"), " - ",I$58," ",$B63)))</f>
        <v/>
      </c>
      <c r="AK45" s="134" t="s">
        <v>132</v>
      </c>
      <c r="AN45" s="162"/>
      <c r="AO45" s="162"/>
      <c r="AP45" s="162"/>
      <c r="AQ45" s="162"/>
    </row>
    <row r="46" spans="2:43" x14ac:dyDescent="0.3">
      <c r="B46" s="62" t="str">
        <f t="shared" si="7"/>
        <v>Aulas Problemas</v>
      </c>
      <c r="C46" s="62">
        <f t="shared" si="8"/>
        <v>6</v>
      </c>
      <c r="D46" s="54">
        <v>1.5</v>
      </c>
      <c r="E46" s="54"/>
      <c r="F46" s="54">
        <v>1.5</v>
      </c>
      <c r="G46" s="54">
        <v>1.5</v>
      </c>
      <c r="H46" s="54">
        <v>1.5</v>
      </c>
      <c r="I46" s="54"/>
      <c r="K46" s="190"/>
      <c r="L46" s="190"/>
      <c r="M46" s="190"/>
      <c r="N46" s="190"/>
      <c r="O46" s="186"/>
      <c r="P46" s="186"/>
      <c r="Q46" s="186"/>
      <c r="R46" s="186"/>
      <c r="S46" s="186"/>
      <c r="T46" s="190"/>
      <c r="U46" s="190"/>
      <c r="V46" s="190"/>
      <c r="AK46" s="133" t="s">
        <v>132</v>
      </c>
      <c r="AN46" s="162"/>
      <c r="AO46" s="162"/>
      <c r="AP46" s="162"/>
      <c r="AQ46" s="162"/>
    </row>
    <row r="47" spans="2:43" x14ac:dyDescent="0.3">
      <c r="B47" s="61" t="str">
        <f t="shared" si="7"/>
        <v>Laboratórios</v>
      </c>
      <c r="C47" s="61">
        <f t="shared" si="8"/>
        <v>1.5</v>
      </c>
      <c r="D47" s="53"/>
      <c r="E47" s="53"/>
      <c r="F47" s="53">
        <v>1.5</v>
      </c>
      <c r="G47" s="53"/>
      <c r="H47" s="53"/>
      <c r="I47" s="53"/>
      <c r="S47" s="50" t="s">
        <v>51</v>
      </c>
      <c r="AK47" s="133" t="s">
        <v>132</v>
      </c>
      <c r="AN47" s="162"/>
      <c r="AO47" s="162"/>
      <c r="AP47" s="162"/>
      <c r="AQ47" s="162"/>
    </row>
    <row r="48" spans="2:43" x14ac:dyDescent="0.3">
      <c r="B48" s="62" t="str">
        <f t="shared" si="7"/>
        <v>Momento Avaliativo</v>
      </c>
      <c r="C48" s="54"/>
      <c r="D48" s="62" t="s">
        <v>120</v>
      </c>
      <c r="E48" s="62" t="s">
        <v>120</v>
      </c>
      <c r="F48" s="62" t="s">
        <v>120</v>
      </c>
      <c r="G48" s="62" t="s">
        <v>120</v>
      </c>
      <c r="H48" s="62" t="s">
        <v>120</v>
      </c>
      <c r="I48" s="62" t="s">
        <v>120</v>
      </c>
      <c r="S48" s="50"/>
      <c r="AF48" s="58"/>
      <c r="AK48" s="133" t="s">
        <v>132</v>
      </c>
      <c r="AN48" s="162"/>
      <c r="AO48" s="162"/>
      <c r="AP48" s="162"/>
      <c r="AQ48" s="162"/>
    </row>
    <row r="49" spans="2:43" x14ac:dyDescent="0.3">
      <c r="B49" s="61" t="str">
        <f t="shared" si="7"/>
        <v>Horário de Dúvidas</v>
      </c>
      <c r="C49" s="53">
        <v>3</v>
      </c>
      <c r="D49" s="61" t="s">
        <v>120</v>
      </c>
      <c r="E49" s="61" t="s">
        <v>120</v>
      </c>
      <c r="F49" s="61" t="s">
        <v>120</v>
      </c>
      <c r="G49" s="61" t="s">
        <v>120</v>
      </c>
      <c r="H49" s="61" t="s">
        <v>120</v>
      </c>
      <c r="I49" s="61" t="s">
        <v>120</v>
      </c>
      <c r="S49" s="50"/>
      <c r="AF49" s="58"/>
      <c r="AK49" s="133" t="s">
        <v>132</v>
      </c>
      <c r="AN49" s="162"/>
      <c r="AO49" s="162"/>
      <c r="AP49" s="162"/>
      <c r="AQ49" s="162"/>
    </row>
    <row r="50" spans="2:43" x14ac:dyDescent="0.3">
      <c r="B50" s="62" t="str">
        <f t="shared" si="7"/>
        <v>Privado</v>
      </c>
      <c r="C50" s="54">
        <v>26.5</v>
      </c>
      <c r="D50" s="62" t="s">
        <v>120</v>
      </c>
      <c r="E50" s="62" t="s">
        <v>120</v>
      </c>
      <c r="F50" s="62" t="s">
        <v>120</v>
      </c>
      <c r="G50" s="62" t="s">
        <v>120</v>
      </c>
      <c r="H50" s="62" t="s">
        <v>120</v>
      </c>
      <c r="I50" s="62" t="s">
        <v>120</v>
      </c>
      <c r="S50" s="50"/>
      <c r="AF50" s="58"/>
      <c r="AK50" s="134" t="s">
        <v>134</v>
      </c>
      <c r="AN50" s="162" t="s">
        <v>136</v>
      </c>
      <c r="AO50" s="162" t="s">
        <v>120</v>
      </c>
      <c r="AP50" s="162" t="s">
        <v>116</v>
      </c>
      <c r="AQ50" s="162" t="s">
        <v>160</v>
      </c>
    </row>
    <row r="51" spans="2:43" ht="15" customHeight="1" x14ac:dyDescent="0.3">
      <c r="B51" s="61" t="str">
        <f t="shared" si="7"/>
        <v>Deslocação</v>
      </c>
      <c r="C51" s="53">
        <v>10</v>
      </c>
      <c r="D51" s="61" t="s">
        <v>120</v>
      </c>
      <c r="E51" s="61" t="s">
        <v>120</v>
      </c>
      <c r="F51" s="61" t="s">
        <v>120</v>
      </c>
      <c r="G51" s="61" t="s">
        <v>120</v>
      </c>
      <c r="H51" s="61" t="s">
        <v>120</v>
      </c>
      <c r="I51" s="61" t="s">
        <v>120</v>
      </c>
      <c r="O51" s="17"/>
      <c r="P51" s="17" t="str">
        <f t="shared" ref="P51:P55" si="9">L41</f>
        <v/>
      </c>
      <c r="R51" s="51">
        <v>1</v>
      </c>
      <c r="T51" s="52"/>
      <c r="AK51" s="134" t="s">
        <v>134</v>
      </c>
      <c r="AN51" s="162" t="s">
        <v>130</v>
      </c>
      <c r="AO51" s="162" t="s">
        <v>149</v>
      </c>
      <c r="AP51" s="162" t="s">
        <v>130</v>
      </c>
      <c r="AQ51" s="162" t="s">
        <v>161</v>
      </c>
    </row>
    <row r="52" spans="2:43" x14ac:dyDescent="0.3">
      <c r="B52" s="62" t="str">
        <f t="shared" si="7"/>
        <v>Refeição</v>
      </c>
      <c r="C52" s="54">
        <v>15</v>
      </c>
      <c r="D52" s="62" t="s">
        <v>120</v>
      </c>
      <c r="E52" s="62" t="s">
        <v>120</v>
      </c>
      <c r="F52" s="62" t="s">
        <v>120</v>
      </c>
      <c r="G52" s="62" t="s">
        <v>120</v>
      </c>
      <c r="H52" s="62" t="s">
        <v>120</v>
      </c>
      <c r="I52" s="62" t="s">
        <v>120</v>
      </c>
      <c r="O52" s="17"/>
      <c r="P52" s="17" t="str">
        <f t="shared" si="9"/>
        <v/>
      </c>
      <c r="R52" s="51">
        <v>2</v>
      </c>
      <c r="S52" s="51"/>
      <c r="T52" s="52"/>
      <c r="AK52" s="134" t="s">
        <v>134</v>
      </c>
      <c r="AN52" s="162" t="s">
        <v>12</v>
      </c>
      <c r="AO52" s="162" t="s">
        <v>120</v>
      </c>
      <c r="AP52" s="162" t="s">
        <v>12</v>
      </c>
      <c r="AQ52" s="162" t="s">
        <v>120</v>
      </c>
    </row>
    <row r="53" spans="2:43" x14ac:dyDescent="0.3">
      <c r="B53" s="61" t="str">
        <f t="shared" si="7"/>
        <v>Sono</v>
      </c>
      <c r="C53" s="53">
        <v>49</v>
      </c>
      <c r="D53" s="61" t="s">
        <v>120</v>
      </c>
      <c r="E53" s="61" t="s">
        <v>120</v>
      </c>
      <c r="F53" s="61" t="s">
        <v>120</v>
      </c>
      <c r="G53" s="61" t="s">
        <v>120</v>
      </c>
      <c r="H53" s="61" t="s">
        <v>120</v>
      </c>
      <c r="I53" s="61" t="s">
        <v>120</v>
      </c>
      <c r="O53" s="17"/>
      <c r="P53" s="17" t="str">
        <f t="shared" si="9"/>
        <v/>
      </c>
      <c r="R53" s="51">
        <v>3</v>
      </c>
      <c r="S53" s="51"/>
      <c r="T53" s="52"/>
      <c r="AK53" s="134" t="s">
        <v>134</v>
      </c>
      <c r="AN53" s="162"/>
      <c r="AO53" s="162"/>
      <c r="AP53" s="162"/>
      <c r="AQ53" s="162"/>
    </row>
    <row r="54" spans="2:43" ht="19.5" customHeight="1" x14ac:dyDescent="0.3">
      <c r="B54" s="79" t="s">
        <v>48</v>
      </c>
      <c r="C54" s="79">
        <f>SUM(C41:C53)</f>
        <v>168</v>
      </c>
      <c r="D54" s="79">
        <f t="shared" ref="D54:I54" si="10">SUM(D41:D53)</f>
        <v>14.5</v>
      </c>
      <c r="E54" s="79">
        <f t="shared" si="10"/>
        <v>8</v>
      </c>
      <c r="F54" s="79">
        <f t="shared" si="10"/>
        <v>13</v>
      </c>
      <c r="G54" s="79">
        <f t="shared" si="10"/>
        <v>14.5</v>
      </c>
      <c r="H54" s="79">
        <f t="shared" si="10"/>
        <v>14.5</v>
      </c>
      <c r="I54" s="79">
        <f t="shared" si="10"/>
        <v>0</v>
      </c>
      <c r="O54" s="17"/>
      <c r="P54" s="17" t="str">
        <f t="shared" si="9"/>
        <v/>
      </c>
      <c r="R54" s="51">
        <v>4</v>
      </c>
      <c r="S54" s="51"/>
      <c r="T54" s="52"/>
      <c r="AK54" s="134" t="s">
        <v>134</v>
      </c>
      <c r="AN54" s="162"/>
      <c r="AO54" s="162"/>
      <c r="AP54" s="162"/>
      <c r="AQ54" s="162"/>
    </row>
    <row r="55" spans="2:43" x14ac:dyDescent="0.3">
      <c r="B55" s="4">
        <f>C54-168</f>
        <v>0</v>
      </c>
      <c r="C55" s="244" t="str">
        <f>IF(B55=0,"Horas semanais inseridas",IF(B55&lt;0,CONCATENATE("Já só faltam preencher ",B56," horas!"),CONCATENATE("Estão ",B56," horas a mais...")))</f>
        <v>Horas semanais inseridas</v>
      </c>
      <c r="D55" s="244"/>
      <c r="O55" s="17"/>
      <c r="P55" s="17" t="str">
        <f t="shared" si="9"/>
        <v/>
      </c>
      <c r="R55" s="51">
        <v>5</v>
      </c>
      <c r="S55" s="51"/>
      <c r="T55" s="52"/>
      <c r="AK55" s="133" t="s">
        <v>136</v>
      </c>
      <c r="AN55" s="162"/>
      <c r="AO55" s="162"/>
      <c r="AP55" s="162"/>
      <c r="AQ55" s="162"/>
    </row>
    <row r="56" spans="2:43" x14ac:dyDescent="0.3">
      <c r="B56" s="4">
        <f>ABS(B55)</f>
        <v>0</v>
      </c>
      <c r="O56" s="58"/>
      <c r="P56" s="58"/>
      <c r="R56" s="51"/>
      <c r="S56" s="51"/>
      <c r="T56" s="52"/>
      <c r="AF56" s="58"/>
      <c r="AK56" s="133" t="s">
        <v>136</v>
      </c>
      <c r="AN56" s="162"/>
      <c r="AO56" s="162"/>
      <c r="AP56" s="162"/>
      <c r="AQ56" s="162"/>
    </row>
    <row r="57" spans="2:43" ht="26.25" customHeight="1" x14ac:dyDescent="0.3">
      <c r="B57" s="43" t="s">
        <v>32</v>
      </c>
      <c r="O57" s="17"/>
      <c r="P57" s="17" t="str">
        <f t="shared" ref="P57:P61" si="11">N41</f>
        <v/>
      </c>
      <c r="R57" s="51">
        <v>6</v>
      </c>
      <c r="S57" s="51"/>
      <c r="T57" s="52"/>
      <c r="AK57" s="133" t="s">
        <v>136</v>
      </c>
      <c r="AN57" s="162"/>
      <c r="AO57" s="162"/>
      <c r="AP57" s="162"/>
      <c r="AQ57" s="162"/>
    </row>
    <row r="58" spans="2:43" ht="24.75" hidden="1" customHeight="1" x14ac:dyDescent="0.3">
      <c r="B58"/>
      <c r="C58"/>
      <c r="D58"/>
      <c r="E58"/>
      <c r="F58"/>
      <c r="G58"/>
      <c r="H58"/>
      <c r="I58"/>
      <c r="O58" s="17"/>
      <c r="P58" s="17" t="str">
        <f t="shared" si="11"/>
        <v/>
      </c>
      <c r="R58" s="51">
        <v>7</v>
      </c>
      <c r="S58" s="51"/>
      <c r="T58" s="52"/>
      <c r="AK58" s="133" t="s">
        <v>136</v>
      </c>
      <c r="AN58" s="162" t="s">
        <v>136</v>
      </c>
      <c r="AO58" s="162" t="s">
        <v>120</v>
      </c>
      <c r="AP58" s="162" t="s">
        <v>116</v>
      </c>
      <c r="AQ58" s="162" t="s">
        <v>162</v>
      </c>
    </row>
    <row r="59" spans="2:43" hidden="1" x14ac:dyDescent="0.3">
      <c r="B59"/>
      <c r="C59"/>
      <c r="D59"/>
      <c r="E59"/>
      <c r="F59"/>
      <c r="G59"/>
      <c r="H59"/>
      <c r="I59"/>
      <c r="O59" s="17"/>
      <c r="P59" s="17" t="str">
        <f t="shared" si="11"/>
        <v/>
      </c>
      <c r="R59" s="51">
        <v>8</v>
      </c>
      <c r="S59" s="51"/>
      <c r="T59" s="52"/>
      <c r="AK59" s="133" t="s">
        <v>136</v>
      </c>
      <c r="AN59" s="162" t="s">
        <v>130</v>
      </c>
      <c r="AO59" s="162" t="s">
        <v>163</v>
      </c>
      <c r="AP59" s="162" t="s">
        <v>130</v>
      </c>
      <c r="AQ59" s="162" t="s">
        <v>164</v>
      </c>
    </row>
    <row r="60" spans="2:43" hidden="1" x14ac:dyDescent="0.3">
      <c r="B60"/>
      <c r="C60"/>
      <c r="D60"/>
      <c r="E60"/>
      <c r="F60"/>
      <c r="G60"/>
      <c r="H60"/>
      <c r="I60"/>
      <c r="O60" s="17"/>
      <c r="P60" s="17" t="str">
        <f t="shared" si="11"/>
        <v/>
      </c>
      <c r="R60" s="51">
        <v>9</v>
      </c>
      <c r="S60" s="51"/>
      <c r="T60" s="52"/>
      <c r="AK60" s="161" t="s">
        <v>116</v>
      </c>
      <c r="AN60" s="162" t="s">
        <v>12</v>
      </c>
      <c r="AO60" s="162" t="s">
        <v>120</v>
      </c>
      <c r="AP60" s="162" t="s">
        <v>12</v>
      </c>
      <c r="AQ60" s="162" t="s">
        <v>120</v>
      </c>
    </row>
    <row r="61" spans="2:43" hidden="1" x14ac:dyDescent="0.3">
      <c r="B61"/>
      <c r="C61"/>
      <c r="D61"/>
      <c r="E61"/>
      <c r="F61"/>
      <c r="G61"/>
      <c r="H61"/>
      <c r="I61"/>
      <c r="O61" s="17"/>
      <c r="P61" s="17" t="str">
        <f t="shared" si="11"/>
        <v/>
      </c>
      <c r="R61" s="51">
        <v>10</v>
      </c>
      <c r="S61" s="51"/>
      <c r="T61" s="52"/>
      <c r="AK61" s="161" t="s">
        <v>116</v>
      </c>
      <c r="AN61" s="162"/>
      <c r="AO61" s="162"/>
      <c r="AP61" s="162"/>
      <c r="AQ61" s="162"/>
    </row>
    <row r="62" spans="2:43" hidden="1" x14ac:dyDescent="0.3">
      <c r="B62"/>
      <c r="C62"/>
      <c r="D62"/>
      <c r="E62"/>
      <c r="F62"/>
      <c r="G62"/>
      <c r="H62"/>
      <c r="I62"/>
      <c r="O62" s="17"/>
      <c r="P62" s="17" t="str">
        <f t="shared" ref="P62:P65" si="12">P41</f>
        <v/>
      </c>
      <c r="R62" s="51">
        <v>11</v>
      </c>
      <c r="S62" s="51"/>
      <c r="T62" s="52"/>
      <c r="AK62" s="161" t="s">
        <v>116</v>
      </c>
      <c r="AN62" s="162"/>
      <c r="AO62" s="162"/>
      <c r="AP62" s="162"/>
      <c r="AQ62" s="162"/>
    </row>
    <row r="63" spans="2:43" hidden="1" x14ac:dyDescent="0.3">
      <c r="B63"/>
      <c r="C63"/>
      <c r="D63"/>
      <c r="E63"/>
      <c r="F63"/>
      <c r="G63"/>
      <c r="H63"/>
      <c r="I63"/>
      <c r="O63" s="17"/>
      <c r="P63" s="17" t="str">
        <f t="shared" si="12"/>
        <v/>
      </c>
      <c r="R63" s="51">
        <v>12</v>
      </c>
      <c r="S63" s="51"/>
      <c r="T63" s="52"/>
      <c r="AK63" s="161" t="s">
        <v>116</v>
      </c>
      <c r="AN63" s="162"/>
      <c r="AO63" s="162"/>
      <c r="AP63" s="162" t="s">
        <v>9</v>
      </c>
      <c r="AQ63" s="162" t="s">
        <v>123</v>
      </c>
    </row>
    <row r="64" spans="2:43" hidden="1" x14ac:dyDescent="0.3">
      <c r="O64" s="17"/>
      <c r="P64" s="17" t="str">
        <f t="shared" si="12"/>
        <v/>
      </c>
      <c r="AK64" s="161" t="s">
        <v>116</v>
      </c>
      <c r="AN64" s="162"/>
      <c r="AO64" s="162"/>
      <c r="AP64" s="162"/>
      <c r="AQ64" s="162"/>
    </row>
    <row r="65" spans="2:43" ht="33" customHeight="1" thickBot="1" x14ac:dyDescent="0.35">
      <c r="B65" s="56" t="s">
        <v>85</v>
      </c>
      <c r="C65" s="56" t="str">
        <f>IF(B32="","",B32)</f>
        <v>FP</v>
      </c>
      <c r="D65" s="56" t="str">
        <f>IF(B33="","",B33)</f>
        <v>IEI</v>
      </c>
      <c r="E65" s="56" t="str">
        <f>IF(B34="","",B34)</f>
        <v>IAC</v>
      </c>
      <c r="F65" s="56" t="str">
        <f>IF(B35="","",B35)</f>
        <v>AL</v>
      </c>
      <c r="G65" s="56" t="str">
        <f>IF(B36="","",B36)</f>
        <v>CDI</v>
      </c>
      <c r="H65" s="56" t="str">
        <f>IF(B37="","",B37)</f>
        <v/>
      </c>
      <c r="O65" s="17"/>
      <c r="P65" s="17" t="str">
        <f t="shared" si="12"/>
        <v/>
      </c>
      <c r="AN65" s="162"/>
      <c r="AO65" s="162"/>
      <c r="AP65" s="162"/>
      <c r="AQ65" s="162"/>
    </row>
    <row r="66" spans="2:43" ht="24.75" customHeight="1" thickTop="1" thickBot="1" x14ac:dyDescent="0.35">
      <c r="B66" s="68" t="s">
        <v>102</v>
      </c>
      <c r="C66" s="69"/>
      <c r="D66" s="69"/>
      <c r="E66" s="69"/>
      <c r="F66" s="69"/>
      <c r="G66" s="69"/>
      <c r="H66" s="69"/>
      <c r="K66" s="193" t="s">
        <v>122</v>
      </c>
      <c r="L66" s="45" t="str">
        <f>IFERROR(VLOOKUP(C66,$AD:$AF,3),"-")</f>
        <v>-</v>
      </c>
      <c r="M66" s="45" t="str">
        <f>IF(L66="-","",IF(C66="","",CONCATENATE(TEXT(C66,"dd-mm-aaaa")," - ",B66," ",C$65)))</f>
        <v/>
      </c>
      <c r="N66" s="45" t="str">
        <f>LEFT(M66,10)</f>
        <v/>
      </c>
      <c r="O66" s="17" t="str">
        <f>IF(B66="","",B66)</f>
        <v>Trabalho 1</v>
      </c>
      <c r="P66" s="17" t="str">
        <f>R45</f>
        <v/>
      </c>
      <c r="Q66" s="66" t="e">
        <f>_xlfn.RANK.EQ(C66,C$66:C$97,1)</f>
        <v>#N/A</v>
      </c>
      <c r="R66" s="57">
        <f>C66</f>
        <v>0</v>
      </c>
      <c r="S66" s="66" t="e">
        <f t="shared" ref="S66:S97" si="13">_xlfn.RANK.EQ(D66,D$66:D$97,1)</f>
        <v>#N/A</v>
      </c>
      <c r="T66" s="57">
        <f>D66</f>
        <v>0</v>
      </c>
      <c r="U66" s="66" t="e">
        <f t="shared" ref="U66:U97" si="14">_xlfn.RANK.EQ(E66,E$66:E$97,1)</f>
        <v>#N/A</v>
      </c>
      <c r="V66" s="57">
        <f>E66</f>
        <v>0</v>
      </c>
      <c r="W66" s="66" t="e">
        <f t="shared" ref="W66:W97" si="15">_xlfn.RANK.EQ(F66,F$66:F$97,1)</f>
        <v>#N/A</v>
      </c>
      <c r="X66" s="57">
        <f>F66</f>
        <v>0</v>
      </c>
      <c r="Y66" s="66" t="e">
        <f t="shared" ref="Y66:Y97" si="16">_xlfn.RANK.EQ(G66,G$66:G$97,1)</f>
        <v>#N/A</v>
      </c>
      <c r="Z66" s="57">
        <f>G66</f>
        <v>0</v>
      </c>
      <c r="AA66" s="66" t="e">
        <f t="shared" ref="AA66:AA97" si="17">_xlfn.RANK.EQ(H66,H$66:H$97,1)</f>
        <v>#N/A</v>
      </c>
      <c r="AB66" s="57">
        <f>H66</f>
        <v>0</v>
      </c>
      <c r="AC66" s="1" t="str">
        <f>B66</f>
        <v>Trabalho 1</v>
      </c>
      <c r="AN66" s="162" t="s">
        <v>136</v>
      </c>
      <c r="AO66" s="162" t="s">
        <v>120</v>
      </c>
      <c r="AP66" s="162" t="s">
        <v>116</v>
      </c>
      <c r="AQ66" s="162" t="s">
        <v>165</v>
      </c>
    </row>
    <row r="67" spans="2:43" ht="24.75" customHeight="1" thickTop="1" thickBot="1" x14ac:dyDescent="0.35">
      <c r="B67" s="70" t="s">
        <v>103</v>
      </c>
      <c r="C67" s="71"/>
      <c r="D67" s="71"/>
      <c r="E67" s="71"/>
      <c r="F67" s="71"/>
      <c r="G67" s="71"/>
      <c r="H67" s="71"/>
      <c r="K67" s="193" t="s">
        <v>122</v>
      </c>
      <c r="L67" s="45" t="str">
        <f t="shared" ref="L67:L97" si="18">IFERROR(VLOOKUP(C67,$AD:$AF,3),"-")</f>
        <v>-</v>
      </c>
      <c r="M67" s="45" t="str">
        <f t="shared" ref="M67:M97" si="19">IF(L67="-","",IF(C67="","",CONCATENATE(TEXT(C67,"dd-mm-aaaa")," - ",B67," ",C$65)))</f>
        <v/>
      </c>
      <c r="N67" s="45" t="str">
        <f t="shared" ref="N67:N130" si="20">LEFT(M67,10)</f>
        <v/>
      </c>
      <c r="O67" s="58" t="str">
        <f t="shared" ref="O67:O130" si="21">IF(B67="","",B67)</f>
        <v>Trabalho 2</v>
      </c>
      <c r="P67" s="58"/>
      <c r="Q67" s="66" t="e">
        <f t="shared" ref="Q67:Q97" si="22">_xlfn.RANK.EQ(C67,C$66:C$97,1)</f>
        <v>#N/A</v>
      </c>
      <c r="R67" s="57">
        <f t="shared" ref="R67:R130" si="23">C67</f>
        <v>0</v>
      </c>
      <c r="S67" s="66" t="e">
        <f t="shared" si="13"/>
        <v>#N/A</v>
      </c>
      <c r="T67" s="57">
        <f t="shared" ref="T67:T130" si="24">D67</f>
        <v>0</v>
      </c>
      <c r="U67" s="66" t="e">
        <f t="shared" si="14"/>
        <v>#N/A</v>
      </c>
      <c r="V67" s="57">
        <f t="shared" ref="V67:V130" si="25">E67</f>
        <v>0</v>
      </c>
      <c r="W67" s="66" t="e">
        <f t="shared" si="15"/>
        <v>#N/A</v>
      </c>
      <c r="X67" s="57">
        <f t="shared" ref="X67:X130" si="26">F67</f>
        <v>0</v>
      </c>
      <c r="Y67" s="66" t="e">
        <f t="shared" si="16"/>
        <v>#N/A</v>
      </c>
      <c r="Z67" s="57">
        <f t="shared" ref="Z67:Z130" si="27">G67</f>
        <v>0</v>
      </c>
      <c r="AA67" s="66" t="e">
        <f t="shared" si="17"/>
        <v>#N/A</v>
      </c>
      <c r="AB67" s="57">
        <f t="shared" ref="AB67:AB130" si="28">H67</f>
        <v>0</v>
      </c>
      <c r="AC67" s="1" t="str">
        <f t="shared" ref="AC67:AC130" si="29">B67</f>
        <v>Trabalho 2</v>
      </c>
      <c r="AF67" s="58"/>
      <c r="AN67" s="162" t="s">
        <v>130</v>
      </c>
      <c r="AO67" s="162" t="s">
        <v>166</v>
      </c>
      <c r="AP67" s="162" t="s">
        <v>130</v>
      </c>
      <c r="AQ67" s="162" t="s">
        <v>167</v>
      </c>
    </row>
    <row r="68" spans="2:43" ht="24.75" customHeight="1" thickTop="1" thickBot="1" x14ac:dyDescent="0.35">
      <c r="B68" s="68" t="s">
        <v>104</v>
      </c>
      <c r="C68" s="69"/>
      <c r="D68" s="69"/>
      <c r="E68" s="69"/>
      <c r="F68" s="69"/>
      <c r="G68" s="69"/>
      <c r="H68" s="69"/>
      <c r="K68" s="193" t="s">
        <v>122</v>
      </c>
      <c r="L68" s="45" t="str">
        <f t="shared" si="18"/>
        <v>-</v>
      </c>
      <c r="M68" s="45" t="str">
        <f t="shared" si="19"/>
        <v/>
      </c>
      <c r="N68" s="45" t="str">
        <f t="shared" si="20"/>
        <v/>
      </c>
      <c r="O68" s="58" t="str">
        <f t="shared" si="21"/>
        <v>Trabalho 3</v>
      </c>
      <c r="P68" s="58"/>
      <c r="Q68" s="66" t="e">
        <f t="shared" si="22"/>
        <v>#N/A</v>
      </c>
      <c r="R68" s="57">
        <f t="shared" si="23"/>
        <v>0</v>
      </c>
      <c r="S68" s="66" t="e">
        <f t="shared" si="13"/>
        <v>#N/A</v>
      </c>
      <c r="T68" s="57">
        <f t="shared" si="24"/>
        <v>0</v>
      </c>
      <c r="U68" s="66" t="e">
        <f t="shared" si="14"/>
        <v>#N/A</v>
      </c>
      <c r="V68" s="57">
        <f t="shared" si="25"/>
        <v>0</v>
      </c>
      <c r="W68" s="66" t="e">
        <f t="shared" si="15"/>
        <v>#N/A</v>
      </c>
      <c r="X68" s="57">
        <f t="shared" si="26"/>
        <v>0</v>
      </c>
      <c r="Y68" s="66" t="e">
        <f t="shared" si="16"/>
        <v>#N/A</v>
      </c>
      <c r="Z68" s="57">
        <f t="shared" si="27"/>
        <v>0</v>
      </c>
      <c r="AA68" s="66" t="e">
        <f t="shared" si="17"/>
        <v>#N/A</v>
      </c>
      <c r="AB68" s="57">
        <f t="shared" si="28"/>
        <v>0</v>
      </c>
      <c r="AC68" s="1" t="str">
        <f t="shared" si="29"/>
        <v>Trabalho 3</v>
      </c>
      <c r="AF68" s="58"/>
      <c r="AN68" s="162" t="s">
        <v>12</v>
      </c>
      <c r="AO68" s="162" t="s">
        <v>120</v>
      </c>
      <c r="AP68" s="162" t="s">
        <v>12</v>
      </c>
      <c r="AQ68" s="162" t="s">
        <v>120</v>
      </c>
    </row>
    <row r="69" spans="2:43" ht="24.75" customHeight="1" thickTop="1" thickBot="1" x14ac:dyDescent="0.35">
      <c r="B69" s="70" t="s">
        <v>105</v>
      </c>
      <c r="C69" s="71"/>
      <c r="D69" s="71"/>
      <c r="E69" s="71"/>
      <c r="F69" s="71"/>
      <c r="G69" s="71"/>
      <c r="H69" s="71"/>
      <c r="K69" s="193" t="s">
        <v>122</v>
      </c>
      <c r="L69" s="45" t="str">
        <f t="shared" si="18"/>
        <v>-</v>
      </c>
      <c r="M69" s="45" t="str">
        <f t="shared" si="19"/>
        <v/>
      </c>
      <c r="N69" s="45" t="str">
        <f t="shared" si="20"/>
        <v/>
      </c>
      <c r="O69" s="58" t="str">
        <f t="shared" si="21"/>
        <v>Trabalho 4</v>
      </c>
      <c r="P69" s="58"/>
      <c r="Q69" s="66" t="e">
        <f t="shared" si="22"/>
        <v>#N/A</v>
      </c>
      <c r="R69" s="57">
        <f t="shared" si="23"/>
        <v>0</v>
      </c>
      <c r="S69" s="66" t="e">
        <f t="shared" si="13"/>
        <v>#N/A</v>
      </c>
      <c r="T69" s="57">
        <f t="shared" si="24"/>
        <v>0</v>
      </c>
      <c r="U69" s="66" t="e">
        <f t="shared" si="14"/>
        <v>#N/A</v>
      </c>
      <c r="V69" s="57">
        <f t="shared" si="25"/>
        <v>0</v>
      </c>
      <c r="W69" s="66" t="e">
        <f t="shared" si="15"/>
        <v>#N/A</v>
      </c>
      <c r="X69" s="57">
        <f t="shared" si="26"/>
        <v>0</v>
      </c>
      <c r="Y69" s="66" t="e">
        <f t="shared" si="16"/>
        <v>#N/A</v>
      </c>
      <c r="Z69" s="57">
        <f t="shared" si="27"/>
        <v>0</v>
      </c>
      <c r="AA69" s="66" t="e">
        <f t="shared" si="17"/>
        <v>#N/A</v>
      </c>
      <c r="AB69" s="57">
        <f t="shared" si="28"/>
        <v>0</v>
      </c>
      <c r="AC69" s="1" t="str">
        <f t="shared" si="29"/>
        <v>Trabalho 4</v>
      </c>
      <c r="AF69" s="58"/>
      <c r="AN69" s="162"/>
      <c r="AO69" s="162"/>
      <c r="AP69" s="162"/>
      <c r="AQ69" s="162"/>
    </row>
    <row r="70" spans="2:43" ht="24.75" customHeight="1" thickTop="1" thickBot="1" x14ac:dyDescent="0.35">
      <c r="B70" s="68" t="s">
        <v>106</v>
      </c>
      <c r="C70" s="69"/>
      <c r="D70" s="69"/>
      <c r="E70" s="69"/>
      <c r="F70" s="69"/>
      <c r="G70" s="69"/>
      <c r="H70" s="69"/>
      <c r="K70" s="193" t="s">
        <v>122</v>
      </c>
      <c r="L70" s="45" t="str">
        <f t="shared" si="18"/>
        <v>-</v>
      </c>
      <c r="M70" s="45" t="str">
        <f t="shared" si="19"/>
        <v/>
      </c>
      <c r="N70" s="45" t="str">
        <f t="shared" si="20"/>
        <v/>
      </c>
      <c r="O70" s="58" t="str">
        <f t="shared" si="21"/>
        <v>Trabalho 5</v>
      </c>
      <c r="P70" s="58"/>
      <c r="Q70" s="66" t="e">
        <f t="shared" si="22"/>
        <v>#N/A</v>
      </c>
      <c r="R70" s="57">
        <f t="shared" si="23"/>
        <v>0</v>
      </c>
      <c r="S70" s="66" t="e">
        <f t="shared" si="13"/>
        <v>#N/A</v>
      </c>
      <c r="T70" s="57">
        <f t="shared" si="24"/>
        <v>0</v>
      </c>
      <c r="U70" s="66" t="e">
        <f t="shared" si="14"/>
        <v>#N/A</v>
      </c>
      <c r="V70" s="57">
        <f t="shared" si="25"/>
        <v>0</v>
      </c>
      <c r="W70" s="66" t="e">
        <f t="shared" si="15"/>
        <v>#N/A</v>
      </c>
      <c r="X70" s="57">
        <f t="shared" si="26"/>
        <v>0</v>
      </c>
      <c r="Y70" s="66" t="e">
        <f t="shared" si="16"/>
        <v>#N/A</v>
      </c>
      <c r="Z70" s="57">
        <f t="shared" si="27"/>
        <v>0</v>
      </c>
      <c r="AA70" s="66" t="e">
        <f t="shared" si="17"/>
        <v>#N/A</v>
      </c>
      <c r="AB70" s="57">
        <f t="shared" si="28"/>
        <v>0</v>
      </c>
      <c r="AC70" s="1" t="str">
        <f t="shared" si="29"/>
        <v>Trabalho 5</v>
      </c>
      <c r="AF70" s="58"/>
      <c r="AN70" s="162"/>
      <c r="AO70" s="162"/>
      <c r="AP70" s="162"/>
      <c r="AQ70" s="162"/>
    </row>
    <row r="71" spans="2:43" ht="24.75" customHeight="1" thickTop="1" thickBot="1" x14ac:dyDescent="0.35">
      <c r="B71" s="70" t="s">
        <v>107</v>
      </c>
      <c r="C71" s="71"/>
      <c r="D71" s="71"/>
      <c r="E71" s="71"/>
      <c r="F71" s="71"/>
      <c r="G71" s="71"/>
      <c r="H71" s="71"/>
      <c r="K71" s="193" t="s">
        <v>122</v>
      </c>
      <c r="L71" s="45" t="str">
        <f t="shared" si="18"/>
        <v>-</v>
      </c>
      <c r="M71" s="45" t="str">
        <f t="shared" si="19"/>
        <v/>
      </c>
      <c r="N71" s="45" t="str">
        <f t="shared" si="20"/>
        <v/>
      </c>
      <c r="O71" s="58" t="str">
        <f t="shared" si="21"/>
        <v>Trabalho 6</v>
      </c>
      <c r="P71" s="58"/>
      <c r="Q71" s="66" t="e">
        <f t="shared" si="22"/>
        <v>#N/A</v>
      </c>
      <c r="R71" s="57">
        <f t="shared" si="23"/>
        <v>0</v>
      </c>
      <c r="S71" s="66" t="e">
        <f t="shared" si="13"/>
        <v>#N/A</v>
      </c>
      <c r="T71" s="57">
        <f t="shared" si="24"/>
        <v>0</v>
      </c>
      <c r="U71" s="66" t="e">
        <f t="shared" si="14"/>
        <v>#N/A</v>
      </c>
      <c r="V71" s="57">
        <f t="shared" si="25"/>
        <v>0</v>
      </c>
      <c r="W71" s="66" t="e">
        <f t="shared" si="15"/>
        <v>#N/A</v>
      </c>
      <c r="X71" s="57">
        <f t="shared" si="26"/>
        <v>0</v>
      </c>
      <c r="Y71" s="66" t="e">
        <f t="shared" si="16"/>
        <v>#N/A</v>
      </c>
      <c r="Z71" s="57">
        <f t="shared" si="27"/>
        <v>0</v>
      </c>
      <c r="AA71" s="66" t="e">
        <f t="shared" si="17"/>
        <v>#N/A</v>
      </c>
      <c r="AB71" s="57">
        <f t="shared" si="28"/>
        <v>0</v>
      </c>
      <c r="AC71" s="1" t="str">
        <f t="shared" si="29"/>
        <v>Trabalho 6</v>
      </c>
      <c r="AF71" s="58"/>
      <c r="AN71" s="162"/>
      <c r="AO71" s="162"/>
      <c r="AP71" s="162"/>
      <c r="AQ71" s="162"/>
    </row>
    <row r="72" spans="2:43" ht="24.75" customHeight="1" thickTop="1" thickBot="1" x14ac:dyDescent="0.35">
      <c r="B72" s="68" t="s">
        <v>96</v>
      </c>
      <c r="C72" s="69"/>
      <c r="D72" s="69"/>
      <c r="E72" s="69"/>
      <c r="F72" s="69"/>
      <c r="G72" s="69"/>
      <c r="H72" s="69"/>
      <c r="K72" s="193" t="s">
        <v>122</v>
      </c>
      <c r="L72" s="45" t="str">
        <f t="shared" si="18"/>
        <v>-</v>
      </c>
      <c r="M72" s="45" t="str">
        <f t="shared" si="19"/>
        <v/>
      </c>
      <c r="N72" s="45" t="str">
        <f t="shared" si="20"/>
        <v/>
      </c>
      <c r="O72" s="58" t="str">
        <f t="shared" si="21"/>
        <v>Projeto 1</v>
      </c>
      <c r="P72" s="17" t="str">
        <f>R44</f>
        <v/>
      </c>
      <c r="Q72" s="66" t="e">
        <f t="shared" si="22"/>
        <v>#N/A</v>
      </c>
      <c r="R72" s="57">
        <f t="shared" si="23"/>
        <v>0</v>
      </c>
      <c r="S72" s="66" t="e">
        <f t="shared" si="13"/>
        <v>#N/A</v>
      </c>
      <c r="T72" s="57">
        <f t="shared" si="24"/>
        <v>0</v>
      </c>
      <c r="U72" s="66" t="e">
        <f t="shared" si="14"/>
        <v>#N/A</v>
      </c>
      <c r="V72" s="57">
        <f t="shared" si="25"/>
        <v>0</v>
      </c>
      <c r="W72" s="66" t="e">
        <f t="shared" si="15"/>
        <v>#N/A</v>
      </c>
      <c r="X72" s="57">
        <f t="shared" si="26"/>
        <v>0</v>
      </c>
      <c r="Y72" s="66" t="e">
        <f t="shared" si="16"/>
        <v>#N/A</v>
      </c>
      <c r="Z72" s="57">
        <f t="shared" si="27"/>
        <v>0</v>
      </c>
      <c r="AA72" s="66" t="e">
        <f t="shared" si="17"/>
        <v>#N/A</v>
      </c>
      <c r="AB72" s="57">
        <f t="shared" si="28"/>
        <v>0</v>
      </c>
      <c r="AC72" s="1" t="str">
        <f t="shared" si="29"/>
        <v>Projeto 1</v>
      </c>
      <c r="AN72" s="162"/>
      <c r="AO72" s="162"/>
      <c r="AP72" s="162"/>
      <c r="AQ72" s="162"/>
    </row>
    <row r="73" spans="2:43" ht="24.75" customHeight="1" thickTop="1" thickBot="1" x14ac:dyDescent="0.35">
      <c r="B73" s="70" t="s">
        <v>97</v>
      </c>
      <c r="C73" s="71"/>
      <c r="D73" s="71"/>
      <c r="E73" s="71"/>
      <c r="F73" s="71"/>
      <c r="G73" s="71"/>
      <c r="H73" s="71"/>
      <c r="K73" s="193" t="s">
        <v>122</v>
      </c>
      <c r="L73" s="45" t="str">
        <f t="shared" si="18"/>
        <v>-</v>
      </c>
      <c r="M73" s="45" t="str">
        <f t="shared" si="19"/>
        <v/>
      </c>
      <c r="N73" s="45" t="str">
        <f t="shared" si="20"/>
        <v/>
      </c>
      <c r="O73" s="58" t="str">
        <f t="shared" si="21"/>
        <v>Projeto 2</v>
      </c>
      <c r="P73" s="58"/>
      <c r="Q73" s="66" t="e">
        <f t="shared" si="22"/>
        <v>#N/A</v>
      </c>
      <c r="R73" s="57">
        <f t="shared" si="23"/>
        <v>0</v>
      </c>
      <c r="S73" s="66" t="e">
        <f t="shared" si="13"/>
        <v>#N/A</v>
      </c>
      <c r="T73" s="57">
        <f t="shared" si="24"/>
        <v>0</v>
      </c>
      <c r="U73" s="66" t="e">
        <f t="shared" si="14"/>
        <v>#N/A</v>
      </c>
      <c r="V73" s="57">
        <f t="shared" si="25"/>
        <v>0</v>
      </c>
      <c r="W73" s="66" t="e">
        <f t="shared" si="15"/>
        <v>#N/A</v>
      </c>
      <c r="X73" s="57">
        <f t="shared" si="26"/>
        <v>0</v>
      </c>
      <c r="Y73" s="66" t="e">
        <f t="shared" si="16"/>
        <v>#N/A</v>
      </c>
      <c r="Z73" s="57">
        <f t="shared" si="27"/>
        <v>0</v>
      </c>
      <c r="AA73" s="66" t="e">
        <f t="shared" si="17"/>
        <v>#N/A</v>
      </c>
      <c r="AB73" s="57">
        <f t="shared" si="28"/>
        <v>0</v>
      </c>
      <c r="AC73" s="1" t="str">
        <f t="shared" si="29"/>
        <v>Projeto 2</v>
      </c>
      <c r="AF73" s="58"/>
      <c r="AN73" s="162"/>
      <c r="AO73" s="162"/>
      <c r="AP73" s="162"/>
      <c r="AQ73" s="162"/>
    </row>
    <row r="74" spans="2:43" ht="24.75" customHeight="1" thickTop="1" thickBot="1" x14ac:dyDescent="0.35">
      <c r="B74" s="68" t="s">
        <v>98</v>
      </c>
      <c r="C74" s="69"/>
      <c r="D74" s="69"/>
      <c r="E74" s="69"/>
      <c r="F74" s="69"/>
      <c r="G74" s="69"/>
      <c r="H74" s="69"/>
      <c r="K74" s="193" t="s">
        <v>122</v>
      </c>
      <c r="L74" s="45" t="str">
        <f t="shared" si="18"/>
        <v>-</v>
      </c>
      <c r="M74" s="45" t="str">
        <f t="shared" si="19"/>
        <v/>
      </c>
      <c r="N74" s="45" t="str">
        <f t="shared" si="20"/>
        <v/>
      </c>
      <c r="O74" s="58" t="str">
        <f t="shared" si="21"/>
        <v>Projeto 3</v>
      </c>
      <c r="P74" s="58"/>
      <c r="Q74" s="66" t="e">
        <f t="shared" si="22"/>
        <v>#N/A</v>
      </c>
      <c r="R74" s="57">
        <f t="shared" si="23"/>
        <v>0</v>
      </c>
      <c r="S74" s="66" t="e">
        <f t="shared" si="13"/>
        <v>#N/A</v>
      </c>
      <c r="T74" s="57">
        <f t="shared" si="24"/>
        <v>0</v>
      </c>
      <c r="U74" s="66" t="e">
        <f t="shared" si="14"/>
        <v>#N/A</v>
      </c>
      <c r="V74" s="57">
        <f t="shared" si="25"/>
        <v>0</v>
      </c>
      <c r="W74" s="66" t="e">
        <f t="shared" si="15"/>
        <v>#N/A</v>
      </c>
      <c r="X74" s="57">
        <f t="shared" si="26"/>
        <v>0</v>
      </c>
      <c r="Y74" s="66" t="e">
        <f t="shared" si="16"/>
        <v>#N/A</v>
      </c>
      <c r="Z74" s="57">
        <f t="shared" si="27"/>
        <v>0</v>
      </c>
      <c r="AA74" s="66" t="e">
        <f t="shared" si="17"/>
        <v>#N/A</v>
      </c>
      <c r="AB74" s="57">
        <f t="shared" si="28"/>
        <v>0</v>
      </c>
      <c r="AC74" s="1" t="str">
        <f t="shared" si="29"/>
        <v>Projeto 3</v>
      </c>
      <c r="AF74" s="58"/>
      <c r="AN74" s="162" t="s">
        <v>136</v>
      </c>
      <c r="AO74" s="162" t="s">
        <v>120</v>
      </c>
      <c r="AP74" s="162" t="s">
        <v>116</v>
      </c>
      <c r="AQ74" s="162" t="s">
        <v>168</v>
      </c>
    </row>
    <row r="75" spans="2:43" ht="24.75" customHeight="1" thickTop="1" thickBot="1" x14ac:dyDescent="0.35">
      <c r="B75" s="70" t="s">
        <v>99</v>
      </c>
      <c r="C75" s="71"/>
      <c r="D75" s="71"/>
      <c r="E75" s="71"/>
      <c r="F75" s="71"/>
      <c r="G75" s="71"/>
      <c r="H75" s="71"/>
      <c r="K75" s="193" t="s">
        <v>122</v>
      </c>
      <c r="L75" s="45" t="str">
        <f t="shared" si="18"/>
        <v>-</v>
      </c>
      <c r="M75" s="45" t="str">
        <f t="shared" si="19"/>
        <v/>
      </c>
      <c r="N75" s="45" t="str">
        <f t="shared" si="20"/>
        <v/>
      </c>
      <c r="O75" s="58" t="str">
        <f t="shared" si="21"/>
        <v>Projeto 4</v>
      </c>
      <c r="P75" s="58"/>
      <c r="Q75" s="66" t="e">
        <f t="shared" si="22"/>
        <v>#N/A</v>
      </c>
      <c r="R75" s="57">
        <f t="shared" si="23"/>
        <v>0</v>
      </c>
      <c r="S75" s="66" t="e">
        <f t="shared" si="13"/>
        <v>#N/A</v>
      </c>
      <c r="T75" s="57">
        <f t="shared" si="24"/>
        <v>0</v>
      </c>
      <c r="U75" s="66" t="e">
        <f t="shared" si="14"/>
        <v>#N/A</v>
      </c>
      <c r="V75" s="57">
        <f t="shared" si="25"/>
        <v>0</v>
      </c>
      <c r="W75" s="66" t="e">
        <f t="shared" si="15"/>
        <v>#N/A</v>
      </c>
      <c r="X75" s="57">
        <f t="shared" si="26"/>
        <v>0</v>
      </c>
      <c r="Y75" s="66" t="e">
        <f t="shared" si="16"/>
        <v>#N/A</v>
      </c>
      <c r="Z75" s="57">
        <f t="shared" si="27"/>
        <v>0</v>
      </c>
      <c r="AA75" s="66" t="e">
        <f t="shared" si="17"/>
        <v>#N/A</v>
      </c>
      <c r="AB75" s="57">
        <f t="shared" si="28"/>
        <v>0</v>
      </c>
      <c r="AC75" s="1" t="str">
        <f t="shared" si="29"/>
        <v>Projeto 4</v>
      </c>
      <c r="AF75" s="58"/>
      <c r="AN75" s="162" t="s">
        <v>130</v>
      </c>
      <c r="AO75" s="162" t="s">
        <v>150</v>
      </c>
      <c r="AP75" s="162" t="s">
        <v>130</v>
      </c>
      <c r="AQ75" s="162" t="s">
        <v>169</v>
      </c>
    </row>
    <row r="76" spans="2:43" ht="24.75" customHeight="1" thickTop="1" thickBot="1" x14ac:dyDescent="0.35">
      <c r="B76" s="68" t="s">
        <v>100</v>
      </c>
      <c r="C76" s="69"/>
      <c r="D76" s="69"/>
      <c r="E76" s="69"/>
      <c r="F76" s="69"/>
      <c r="G76" s="69"/>
      <c r="H76" s="69"/>
      <c r="K76" s="193" t="s">
        <v>122</v>
      </c>
      <c r="L76" s="45" t="str">
        <f t="shared" si="18"/>
        <v>-</v>
      </c>
      <c r="M76" s="45" t="str">
        <f t="shared" si="19"/>
        <v/>
      </c>
      <c r="N76" s="45" t="str">
        <f t="shared" si="20"/>
        <v/>
      </c>
      <c r="O76" s="58" t="str">
        <f t="shared" si="21"/>
        <v>Projeto 5</v>
      </c>
      <c r="P76" s="58"/>
      <c r="Q76" s="66" t="e">
        <f t="shared" si="22"/>
        <v>#N/A</v>
      </c>
      <c r="R76" s="57">
        <f t="shared" si="23"/>
        <v>0</v>
      </c>
      <c r="S76" s="66" t="e">
        <f t="shared" si="13"/>
        <v>#N/A</v>
      </c>
      <c r="T76" s="57">
        <f t="shared" si="24"/>
        <v>0</v>
      </c>
      <c r="U76" s="66" t="e">
        <f t="shared" si="14"/>
        <v>#N/A</v>
      </c>
      <c r="V76" s="57">
        <f t="shared" si="25"/>
        <v>0</v>
      </c>
      <c r="W76" s="66" t="e">
        <f t="shared" si="15"/>
        <v>#N/A</v>
      </c>
      <c r="X76" s="57">
        <f t="shared" si="26"/>
        <v>0</v>
      </c>
      <c r="Y76" s="66" t="e">
        <f t="shared" si="16"/>
        <v>#N/A</v>
      </c>
      <c r="Z76" s="57">
        <f t="shared" si="27"/>
        <v>0</v>
      </c>
      <c r="AA76" s="66" t="e">
        <f t="shared" si="17"/>
        <v>#N/A</v>
      </c>
      <c r="AB76" s="57">
        <f t="shared" si="28"/>
        <v>0</v>
      </c>
      <c r="AC76" s="1" t="str">
        <f t="shared" si="29"/>
        <v>Projeto 5</v>
      </c>
      <c r="AF76" s="58"/>
      <c r="AN76" s="162" t="s">
        <v>12</v>
      </c>
      <c r="AO76" s="162" t="s">
        <v>120</v>
      </c>
      <c r="AP76" s="162" t="s">
        <v>12</v>
      </c>
      <c r="AQ76" s="162" t="s">
        <v>120</v>
      </c>
    </row>
    <row r="77" spans="2:43" ht="24.75" customHeight="1" thickTop="1" thickBot="1" x14ac:dyDescent="0.35">
      <c r="B77" s="70" t="s">
        <v>101</v>
      </c>
      <c r="C77" s="71"/>
      <c r="D77" s="71"/>
      <c r="E77" s="71"/>
      <c r="F77" s="71"/>
      <c r="G77" s="71"/>
      <c r="H77" s="71"/>
      <c r="K77" s="193" t="s">
        <v>122</v>
      </c>
      <c r="L77" s="45" t="str">
        <f t="shared" si="18"/>
        <v>-</v>
      </c>
      <c r="M77" s="45" t="str">
        <f t="shared" si="19"/>
        <v/>
      </c>
      <c r="N77" s="45" t="str">
        <f t="shared" si="20"/>
        <v/>
      </c>
      <c r="O77" s="58" t="str">
        <f t="shared" si="21"/>
        <v>Projeto 6</v>
      </c>
      <c r="P77" s="58"/>
      <c r="Q77" s="66" t="e">
        <f t="shared" si="22"/>
        <v>#N/A</v>
      </c>
      <c r="R77" s="57">
        <f t="shared" si="23"/>
        <v>0</v>
      </c>
      <c r="S77" s="66" t="e">
        <f t="shared" si="13"/>
        <v>#N/A</v>
      </c>
      <c r="T77" s="57">
        <f t="shared" si="24"/>
        <v>0</v>
      </c>
      <c r="U77" s="66" t="e">
        <f t="shared" si="14"/>
        <v>#N/A</v>
      </c>
      <c r="V77" s="57">
        <f t="shared" si="25"/>
        <v>0</v>
      </c>
      <c r="W77" s="66" t="e">
        <f t="shared" si="15"/>
        <v>#N/A</v>
      </c>
      <c r="X77" s="57">
        <f t="shared" si="26"/>
        <v>0</v>
      </c>
      <c r="Y77" s="66" t="e">
        <f t="shared" si="16"/>
        <v>#N/A</v>
      </c>
      <c r="Z77" s="57">
        <f t="shared" si="27"/>
        <v>0</v>
      </c>
      <c r="AA77" s="66" t="e">
        <f t="shared" si="17"/>
        <v>#N/A</v>
      </c>
      <c r="AB77" s="57">
        <f t="shared" si="28"/>
        <v>0</v>
      </c>
      <c r="AC77" s="1" t="str">
        <f t="shared" si="29"/>
        <v>Projeto 6</v>
      </c>
      <c r="AF77" s="58"/>
      <c r="AN77" s="162"/>
      <c r="AO77" s="162"/>
      <c r="AP77" s="162"/>
      <c r="AQ77" s="162"/>
    </row>
    <row r="78" spans="2:43" ht="24.75" customHeight="1" thickTop="1" thickBot="1" x14ac:dyDescent="0.35">
      <c r="B78" s="68" t="s">
        <v>79</v>
      </c>
      <c r="C78" s="69"/>
      <c r="D78" s="69"/>
      <c r="E78" s="69"/>
      <c r="F78" s="69"/>
      <c r="G78" s="69"/>
      <c r="H78" s="69"/>
      <c r="K78" s="193" t="s">
        <v>122</v>
      </c>
      <c r="L78" s="45" t="str">
        <f t="shared" si="18"/>
        <v>-</v>
      </c>
      <c r="M78" s="45" t="str">
        <f t="shared" si="19"/>
        <v/>
      </c>
      <c r="N78" s="45" t="str">
        <f t="shared" si="20"/>
        <v/>
      </c>
      <c r="O78" s="58" t="str">
        <f t="shared" si="21"/>
        <v>Relatório1</v>
      </c>
      <c r="P78" s="17" t="str">
        <f t="shared" ref="P78:P82" si="30">T41</f>
        <v/>
      </c>
      <c r="Q78" s="66" t="e">
        <f t="shared" si="22"/>
        <v>#N/A</v>
      </c>
      <c r="R78" s="57">
        <f t="shared" si="23"/>
        <v>0</v>
      </c>
      <c r="S78" s="66" t="e">
        <f t="shared" si="13"/>
        <v>#N/A</v>
      </c>
      <c r="T78" s="57">
        <f t="shared" si="24"/>
        <v>0</v>
      </c>
      <c r="U78" s="66" t="e">
        <f t="shared" si="14"/>
        <v>#N/A</v>
      </c>
      <c r="V78" s="57">
        <f t="shared" si="25"/>
        <v>0</v>
      </c>
      <c r="W78" s="66" t="e">
        <f t="shared" si="15"/>
        <v>#N/A</v>
      </c>
      <c r="X78" s="57">
        <f t="shared" si="26"/>
        <v>0</v>
      </c>
      <c r="Y78" s="66" t="e">
        <f t="shared" si="16"/>
        <v>#N/A</v>
      </c>
      <c r="Z78" s="57">
        <f t="shared" si="27"/>
        <v>0</v>
      </c>
      <c r="AA78" s="66" t="e">
        <f t="shared" si="17"/>
        <v>#N/A</v>
      </c>
      <c r="AB78" s="57">
        <f t="shared" si="28"/>
        <v>0</v>
      </c>
      <c r="AC78" s="1" t="str">
        <f t="shared" si="29"/>
        <v>Relatório1</v>
      </c>
      <c r="AN78" s="162"/>
      <c r="AO78" s="162"/>
      <c r="AP78" s="162"/>
      <c r="AQ78" s="162"/>
    </row>
    <row r="79" spans="2:43" ht="24.75" customHeight="1" thickTop="1" thickBot="1" x14ac:dyDescent="0.35">
      <c r="B79" s="70" t="s">
        <v>80</v>
      </c>
      <c r="C79" s="71"/>
      <c r="D79" s="71"/>
      <c r="E79" s="71"/>
      <c r="F79" s="71"/>
      <c r="G79" s="71"/>
      <c r="H79" s="71"/>
      <c r="K79" s="193" t="s">
        <v>122</v>
      </c>
      <c r="L79" s="45" t="str">
        <f t="shared" si="18"/>
        <v>-</v>
      </c>
      <c r="M79" s="45" t="str">
        <f t="shared" si="19"/>
        <v/>
      </c>
      <c r="N79" s="45" t="str">
        <f t="shared" si="20"/>
        <v/>
      </c>
      <c r="O79" s="58" t="str">
        <f t="shared" si="21"/>
        <v>Relatório2</v>
      </c>
      <c r="P79" s="17" t="str">
        <f t="shared" si="30"/>
        <v/>
      </c>
      <c r="Q79" s="66" t="e">
        <f t="shared" si="22"/>
        <v>#N/A</v>
      </c>
      <c r="R79" s="57">
        <f t="shared" si="23"/>
        <v>0</v>
      </c>
      <c r="S79" s="66" t="e">
        <f t="shared" si="13"/>
        <v>#N/A</v>
      </c>
      <c r="T79" s="57">
        <f t="shared" si="24"/>
        <v>0</v>
      </c>
      <c r="U79" s="66" t="e">
        <f t="shared" si="14"/>
        <v>#N/A</v>
      </c>
      <c r="V79" s="57">
        <f t="shared" si="25"/>
        <v>0</v>
      </c>
      <c r="W79" s="66" t="e">
        <f t="shared" si="15"/>
        <v>#N/A</v>
      </c>
      <c r="X79" s="57">
        <f t="shared" si="26"/>
        <v>0</v>
      </c>
      <c r="Y79" s="66" t="e">
        <f t="shared" si="16"/>
        <v>#N/A</v>
      </c>
      <c r="Z79" s="57">
        <f t="shared" si="27"/>
        <v>0</v>
      </c>
      <c r="AA79" s="66" t="e">
        <f t="shared" si="17"/>
        <v>#N/A</v>
      </c>
      <c r="AB79" s="57">
        <f t="shared" si="28"/>
        <v>0</v>
      </c>
      <c r="AC79" s="1" t="str">
        <f t="shared" si="29"/>
        <v>Relatório2</v>
      </c>
      <c r="AN79" s="162"/>
      <c r="AO79" s="162"/>
      <c r="AP79" s="162" t="s">
        <v>9</v>
      </c>
      <c r="AQ79" s="162" t="s">
        <v>123</v>
      </c>
    </row>
    <row r="80" spans="2:43" ht="24.75" customHeight="1" thickTop="1" thickBot="1" x14ac:dyDescent="0.35">
      <c r="B80" s="68" t="s">
        <v>81</v>
      </c>
      <c r="C80" s="69"/>
      <c r="D80" s="69"/>
      <c r="E80" s="69"/>
      <c r="F80" s="69"/>
      <c r="G80" s="69"/>
      <c r="H80" s="69"/>
      <c r="K80" s="193" t="s">
        <v>122</v>
      </c>
      <c r="L80" s="45" t="str">
        <f t="shared" si="18"/>
        <v>-</v>
      </c>
      <c r="M80" s="45" t="str">
        <f t="shared" si="19"/>
        <v/>
      </c>
      <c r="N80" s="45" t="str">
        <f t="shared" si="20"/>
        <v/>
      </c>
      <c r="O80" s="58" t="str">
        <f t="shared" si="21"/>
        <v>Relatório3</v>
      </c>
      <c r="P80" s="17" t="str">
        <f t="shared" si="30"/>
        <v/>
      </c>
      <c r="Q80" s="66" t="e">
        <f t="shared" si="22"/>
        <v>#N/A</v>
      </c>
      <c r="R80" s="57">
        <f t="shared" si="23"/>
        <v>0</v>
      </c>
      <c r="S80" s="66" t="e">
        <f t="shared" si="13"/>
        <v>#N/A</v>
      </c>
      <c r="T80" s="57">
        <f t="shared" si="24"/>
        <v>0</v>
      </c>
      <c r="U80" s="66" t="e">
        <f t="shared" si="14"/>
        <v>#N/A</v>
      </c>
      <c r="V80" s="57">
        <f t="shared" si="25"/>
        <v>0</v>
      </c>
      <c r="W80" s="66" t="e">
        <f t="shared" si="15"/>
        <v>#N/A</v>
      </c>
      <c r="X80" s="57">
        <f t="shared" si="26"/>
        <v>0</v>
      </c>
      <c r="Y80" s="66" t="e">
        <f t="shared" si="16"/>
        <v>#N/A</v>
      </c>
      <c r="Z80" s="57">
        <f t="shared" si="27"/>
        <v>0</v>
      </c>
      <c r="AA80" s="66" t="e">
        <f t="shared" si="17"/>
        <v>#N/A</v>
      </c>
      <c r="AB80" s="57">
        <f t="shared" si="28"/>
        <v>0</v>
      </c>
      <c r="AC80" s="1" t="str">
        <f t="shared" si="29"/>
        <v>Relatório3</v>
      </c>
      <c r="AN80" s="162"/>
      <c r="AO80" s="162"/>
      <c r="AP80" s="162"/>
      <c r="AQ80" s="162"/>
    </row>
    <row r="81" spans="2:43" ht="24.75" customHeight="1" thickTop="1" thickBot="1" x14ac:dyDescent="0.35">
      <c r="B81" s="70" t="s">
        <v>82</v>
      </c>
      <c r="C81" s="71"/>
      <c r="D81" s="71"/>
      <c r="E81" s="71"/>
      <c r="F81" s="71"/>
      <c r="G81" s="71"/>
      <c r="H81" s="71"/>
      <c r="K81" s="193" t="s">
        <v>122</v>
      </c>
      <c r="L81" s="45" t="str">
        <f t="shared" si="18"/>
        <v>-</v>
      </c>
      <c r="M81" s="45" t="str">
        <f t="shared" si="19"/>
        <v/>
      </c>
      <c r="N81" s="45" t="str">
        <f t="shared" si="20"/>
        <v/>
      </c>
      <c r="O81" s="58" t="str">
        <f t="shared" si="21"/>
        <v>Relatório4</v>
      </c>
      <c r="P81" s="17" t="str">
        <f t="shared" si="30"/>
        <v/>
      </c>
      <c r="Q81" s="66" t="e">
        <f t="shared" si="22"/>
        <v>#N/A</v>
      </c>
      <c r="R81" s="57">
        <f t="shared" si="23"/>
        <v>0</v>
      </c>
      <c r="S81" s="66" t="e">
        <f t="shared" si="13"/>
        <v>#N/A</v>
      </c>
      <c r="T81" s="57">
        <f t="shared" si="24"/>
        <v>0</v>
      </c>
      <c r="U81" s="66" t="e">
        <f t="shared" si="14"/>
        <v>#N/A</v>
      </c>
      <c r="V81" s="57">
        <f t="shared" si="25"/>
        <v>0</v>
      </c>
      <c r="W81" s="66" t="e">
        <f t="shared" si="15"/>
        <v>#N/A</v>
      </c>
      <c r="X81" s="57">
        <f t="shared" si="26"/>
        <v>0</v>
      </c>
      <c r="Y81" s="66" t="e">
        <f t="shared" si="16"/>
        <v>#N/A</v>
      </c>
      <c r="Z81" s="57">
        <f t="shared" si="27"/>
        <v>0</v>
      </c>
      <c r="AA81" s="66" t="e">
        <f t="shared" si="17"/>
        <v>#N/A</v>
      </c>
      <c r="AB81" s="57">
        <f t="shared" si="28"/>
        <v>0</v>
      </c>
      <c r="AC81" s="1" t="str">
        <f t="shared" si="29"/>
        <v>Relatório4</v>
      </c>
      <c r="AN81" s="162"/>
      <c r="AO81" s="162"/>
      <c r="AP81" s="162"/>
      <c r="AQ81" s="162"/>
    </row>
    <row r="82" spans="2:43" ht="24.75" customHeight="1" thickTop="1" thickBot="1" x14ac:dyDescent="0.35">
      <c r="B82" s="68" t="s">
        <v>83</v>
      </c>
      <c r="C82" s="69"/>
      <c r="D82" s="69"/>
      <c r="E82" s="69"/>
      <c r="F82" s="69"/>
      <c r="G82" s="69"/>
      <c r="H82" s="69"/>
      <c r="K82" s="193" t="s">
        <v>122</v>
      </c>
      <c r="L82" s="45" t="str">
        <f t="shared" si="18"/>
        <v>-</v>
      </c>
      <c r="M82" s="45" t="str">
        <f t="shared" si="19"/>
        <v/>
      </c>
      <c r="N82" s="45" t="str">
        <f t="shared" si="20"/>
        <v/>
      </c>
      <c r="O82" s="58" t="str">
        <f t="shared" si="21"/>
        <v>Relatório5</v>
      </c>
      <c r="P82" s="17" t="str">
        <f t="shared" si="30"/>
        <v/>
      </c>
      <c r="Q82" s="66" t="e">
        <f t="shared" si="22"/>
        <v>#N/A</v>
      </c>
      <c r="R82" s="57">
        <f t="shared" si="23"/>
        <v>0</v>
      </c>
      <c r="S82" s="66" t="e">
        <f t="shared" si="13"/>
        <v>#N/A</v>
      </c>
      <c r="T82" s="57">
        <f t="shared" si="24"/>
        <v>0</v>
      </c>
      <c r="U82" s="66" t="e">
        <f t="shared" si="14"/>
        <v>#N/A</v>
      </c>
      <c r="V82" s="57">
        <f t="shared" si="25"/>
        <v>0</v>
      </c>
      <c r="W82" s="66" t="e">
        <f t="shared" si="15"/>
        <v>#N/A</v>
      </c>
      <c r="X82" s="57">
        <f t="shared" si="26"/>
        <v>0</v>
      </c>
      <c r="Y82" s="66" t="e">
        <f t="shared" si="16"/>
        <v>#N/A</v>
      </c>
      <c r="Z82" s="57">
        <f t="shared" si="27"/>
        <v>0</v>
      </c>
      <c r="AA82" s="66" t="e">
        <f t="shared" si="17"/>
        <v>#N/A</v>
      </c>
      <c r="AB82" s="57">
        <f t="shared" si="28"/>
        <v>0</v>
      </c>
      <c r="AC82" s="1" t="str">
        <f t="shared" si="29"/>
        <v>Relatório5</v>
      </c>
      <c r="AN82" s="162" t="s">
        <v>136</v>
      </c>
      <c r="AO82" s="162" t="s">
        <v>120</v>
      </c>
      <c r="AP82" s="162" t="s">
        <v>116</v>
      </c>
      <c r="AQ82" s="162" t="s">
        <v>170</v>
      </c>
    </row>
    <row r="83" spans="2:43" ht="24.75" customHeight="1" thickTop="1" thickBot="1" x14ac:dyDescent="0.35">
      <c r="B83" s="70" t="s">
        <v>84</v>
      </c>
      <c r="C83" s="71"/>
      <c r="D83" s="71"/>
      <c r="E83" s="71"/>
      <c r="F83" s="71"/>
      <c r="G83" s="71"/>
      <c r="H83" s="71"/>
      <c r="K83" s="193" t="s">
        <v>122</v>
      </c>
      <c r="L83" s="45" t="str">
        <f t="shared" si="18"/>
        <v>-</v>
      </c>
      <c r="M83" s="45" t="str">
        <f t="shared" si="19"/>
        <v/>
      </c>
      <c r="N83" s="45" t="str">
        <f t="shared" si="20"/>
        <v/>
      </c>
      <c r="O83" s="58" t="str">
        <f t="shared" si="21"/>
        <v>Relatório6</v>
      </c>
      <c r="P83" s="17" t="str">
        <f>V41</f>
        <v/>
      </c>
      <c r="Q83" s="66" t="e">
        <f t="shared" si="22"/>
        <v>#N/A</v>
      </c>
      <c r="R83" s="57">
        <f t="shared" si="23"/>
        <v>0</v>
      </c>
      <c r="S83" s="66" t="e">
        <f t="shared" si="13"/>
        <v>#N/A</v>
      </c>
      <c r="T83" s="57">
        <f t="shared" si="24"/>
        <v>0</v>
      </c>
      <c r="U83" s="66" t="e">
        <f t="shared" si="14"/>
        <v>#N/A</v>
      </c>
      <c r="V83" s="57">
        <f t="shared" si="25"/>
        <v>0</v>
      </c>
      <c r="W83" s="66" t="e">
        <f t="shared" si="15"/>
        <v>#N/A</v>
      </c>
      <c r="X83" s="57">
        <f t="shared" si="26"/>
        <v>0</v>
      </c>
      <c r="Y83" s="66" t="e">
        <f t="shared" si="16"/>
        <v>#N/A</v>
      </c>
      <c r="Z83" s="57">
        <f t="shared" si="27"/>
        <v>0</v>
      </c>
      <c r="AA83" s="66" t="e">
        <f t="shared" si="17"/>
        <v>#N/A</v>
      </c>
      <c r="AB83" s="57">
        <f t="shared" si="28"/>
        <v>0</v>
      </c>
      <c r="AC83" s="1" t="str">
        <f t="shared" si="29"/>
        <v>Relatório6</v>
      </c>
      <c r="AN83" s="162" t="s">
        <v>130</v>
      </c>
      <c r="AO83" s="162" t="s">
        <v>171</v>
      </c>
      <c r="AP83" s="162" t="s">
        <v>130</v>
      </c>
      <c r="AQ83" s="162" t="s">
        <v>172</v>
      </c>
    </row>
    <row r="84" spans="2:43" ht="24.75" customHeight="1" thickTop="1" thickBot="1" x14ac:dyDescent="0.35">
      <c r="B84" s="68" t="s">
        <v>15</v>
      </c>
      <c r="C84" s="69"/>
      <c r="D84" s="69"/>
      <c r="E84" s="69">
        <v>42306</v>
      </c>
      <c r="F84" s="69">
        <v>42289</v>
      </c>
      <c r="G84" s="69">
        <v>42315</v>
      </c>
      <c r="H84" s="69"/>
      <c r="K84" s="193" t="s">
        <v>122</v>
      </c>
      <c r="L84" s="45" t="str">
        <f t="shared" si="18"/>
        <v>-</v>
      </c>
      <c r="M84" s="45" t="str">
        <f t="shared" si="19"/>
        <v/>
      </c>
      <c r="N84" s="45" t="str">
        <f t="shared" si="20"/>
        <v/>
      </c>
      <c r="O84" s="58" t="str">
        <f t="shared" si="21"/>
        <v>Teste 1</v>
      </c>
      <c r="P84" s="17" t="str">
        <f t="shared" ref="P84:P86" si="31">R41</f>
        <v/>
      </c>
      <c r="Q84" s="66" t="e">
        <f t="shared" si="22"/>
        <v>#N/A</v>
      </c>
      <c r="R84" s="57">
        <f t="shared" si="23"/>
        <v>0</v>
      </c>
      <c r="S84" s="66" t="e">
        <f t="shared" si="13"/>
        <v>#N/A</v>
      </c>
      <c r="T84" s="57">
        <f t="shared" si="24"/>
        <v>0</v>
      </c>
      <c r="U84" s="66">
        <f t="shared" si="14"/>
        <v>1</v>
      </c>
      <c r="V84" s="57">
        <f t="shared" si="25"/>
        <v>42306</v>
      </c>
      <c r="W84" s="66">
        <f t="shared" si="15"/>
        <v>1</v>
      </c>
      <c r="X84" s="57">
        <f t="shared" si="26"/>
        <v>42289</v>
      </c>
      <c r="Y84" s="66">
        <f t="shared" si="16"/>
        <v>1</v>
      </c>
      <c r="Z84" s="57">
        <f t="shared" si="27"/>
        <v>42315</v>
      </c>
      <c r="AA84" s="66" t="e">
        <f t="shared" si="17"/>
        <v>#N/A</v>
      </c>
      <c r="AB84" s="57">
        <f t="shared" si="28"/>
        <v>0</v>
      </c>
      <c r="AC84" s="1" t="str">
        <f t="shared" si="29"/>
        <v>Teste 1</v>
      </c>
      <c r="AN84" s="162" t="s">
        <v>12</v>
      </c>
      <c r="AO84" s="162" t="s">
        <v>120</v>
      </c>
      <c r="AP84" s="162" t="s">
        <v>12</v>
      </c>
      <c r="AQ84" s="162" t="s">
        <v>120</v>
      </c>
    </row>
    <row r="85" spans="2:43" ht="24.75" customHeight="1" thickTop="1" thickBot="1" x14ac:dyDescent="0.35">
      <c r="B85" s="70" t="s">
        <v>16</v>
      </c>
      <c r="C85" s="71"/>
      <c r="D85" s="71"/>
      <c r="E85" s="71"/>
      <c r="F85" s="71"/>
      <c r="G85" s="71"/>
      <c r="H85" s="71"/>
      <c r="K85" s="193" t="s">
        <v>122</v>
      </c>
      <c r="L85" s="45" t="str">
        <f t="shared" si="18"/>
        <v>-</v>
      </c>
      <c r="M85" s="45" t="str">
        <f t="shared" si="19"/>
        <v/>
      </c>
      <c r="N85" s="45" t="str">
        <f t="shared" si="20"/>
        <v/>
      </c>
      <c r="O85" s="58" t="str">
        <f t="shared" si="21"/>
        <v>Teste 2</v>
      </c>
      <c r="P85" s="17" t="str">
        <f t="shared" si="31"/>
        <v/>
      </c>
      <c r="Q85" s="66" t="e">
        <f t="shared" si="22"/>
        <v>#N/A</v>
      </c>
      <c r="R85" s="57">
        <f t="shared" si="23"/>
        <v>0</v>
      </c>
      <c r="S85" s="66" t="e">
        <f t="shared" si="13"/>
        <v>#N/A</v>
      </c>
      <c r="T85" s="57">
        <f t="shared" si="24"/>
        <v>0</v>
      </c>
      <c r="U85" s="66" t="e">
        <f t="shared" si="14"/>
        <v>#N/A</v>
      </c>
      <c r="V85" s="57">
        <f t="shared" si="25"/>
        <v>0</v>
      </c>
      <c r="W85" s="66" t="e">
        <f t="shared" si="15"/>
        <v>#N/A</v>
      </c>
      <c r="X85" s="57">
        <f t="shared" si="26"/>
        <v>0</v>
      </c>
      <c r="Y85" s="66" t="e">
        <f t="shared" si="16"/>
        <v>#N/A</v>
      </c>
      <c r="Z85" s="57">
        <f t="shared" si="27"/>
        <v>0</v>
      </c>
      <c r="AA85" s="66" t="e">
        <f t="shared" si="17"/>
        <v>#N/A</v>
      </c>
      <c r="AB85" s="57">
        <f t="shared" si="28"/>
        <v>0</v>
      </c>
      <c r="AC85" s="1" t="str">
        <f t="shared" si="29"/>
        <v>Teste 2</v>
      </c>
      <c r="AN85" s="162"/>
      <c r="AO85" s="162"/>
      <c r="AP85" s="162"/>
      <c r="AQ85" s="162"/>
    </row>
    <row r="86" spans="2:43" ht="24.75" customHeight="1" thickTop="1" thickBot="1" x14ac:dyDescent="0.35">
      <c r="B86" s="68" t="s">
        <v>17</v>
      </c>
      <c r="C86" s="69"/>
      <c r="D86" s="69"/>
      <c r="E86" s="69"/>
      <c r="F86" s="69"/>
      <c r="G86" s="69"/>
      <c r="H86" s="69"/>
      <c r="K86" s="193" t="s">
        <v>122</v>
      </c>
      <c r="L86" s="45" t="str">
        <f t="shared" si="18"/>
        <v>-</v>
      </c>
      <c r="M86" s="45" t="str">
        <f t="shared" si="19"/>
        <v/>
      </c>
      <c r="N86" s="45" t="str">
        <f t="shared" si="20"/>
        <v/>
      </c>
      <c r="O86" s="58" t="str">
        <f t="shared" si="21"/>
        <v>Teste 3</v>
      </c>
      <c r="P86" s="17" t="str">
        <f t="shared" si="31"/>
        <v/>
      </c>
      <c r="Q86" s="66" t="e">
        <f t="shared" si="22"/>
        <v>#N/A</v>
      </c>
      <c r="R86" s="57">
        <f t="shared" si="23"/>
        <v>0</v>
      </c>
      <c r="S86" s="66" t="e">
        <f t="shared" si="13"/>
        <v>#N/A</v>
      </c>
      <c r="T86" s="57">
        <f t="shared" si="24"/>
        <v>0</v>
      </c>
      <c r="U86" s="66" t="e">
        <f t="shared" si="14"/>
        <v>#N/A</v>
      </c>
      <c r="V86" s="57">
        <f t="shared" si="25"/>
        <v>0</v>
      </c>
      <c r="W86" s="66" t="e">
        <f t="shared" si="15"/>
        <v>#N/A</v>
      </c>
      <c r="X86" s="57">
        <f t="shared" si="26"/>
        <v>0</v>
      </c>
      <c r="Y86" s="66" t="e">
        <f t="shared" si="16"/>
        <v>#N/A</v>
      </c>
      <c r="Z86" s="57">
        <f t="shared" si="27"/>
        <v>0</v>
      </c>
      <c r="AA86" s="66" t="e">
        <f t="shared" si="17"/>
        <v>#N/A</v>
      </c>
      <c r="AB86" s="57">
        <f t="shared" si="28"/>
        <v>0</v>
      </c>
      <c r="AC86" s="1" t="str">
        <f t="shared" si="29"/>
        <v>Teste 3</v>
      </c>
      <c r="AN86" s="162"/>
      <c r="AO86" s="162"/>
      <c r="AP86" s="162"/>
      <c r="AQ86" s="162"/>
    </row>
    <row r="87" spans="2:43" ht="24.75" customHeight="1" thickTop="1" thickBot="1" x14ac:dyDescent="0.35">
      <c r="B87" s="70" t="s">
        <v>93</v>
      </c>
      <c r="C87" s="71"/>
      <c r="D87" s="71"/>
      <c r="E87" s="71"/>
      <c r="F87" s="71"/>
      <c r="G87" s="71"/>
      <c r="H87" s="71"/>
      <c r="K87" s="193" t="s">
        <v>122</v>
      </c>
      <c r="L87" s="45" t="str">
        <f t="shared" si="18"/>
        <v>-</v>
      </c>
      <c r="M87" s="45" t="str">
        <f t="shared" si="19"/>
        <v/>
      </c>
      <c r="N87" s="45" t="str">
        <f t="shared" si="20"/>
        <v/>
      </c>
      <c r="O87" s="58" t="str">
        <f t="shared" si="21"/>
        <v>Teste 4</v>
      </c>
      <c r="P87" s="58"/>
      <c r="Q87" s="66" t="e">
        <f t="shared" si="22"/>
        <v>#N/A</v>
      </c>
      <c r="R87" s="57">
        <f t="shared" si="23"/>
        <v>0</v>
      </c>
      <c r="S87" s="66" t="e">
        <f t="shared" si="13"/>
        <v>#N/A</v>
      </c>
      <c r="T87" s="57">
        <f t="shared" si="24"/>
        <v>0</v>
      </c>
      <c r="U87" s="66" t="e">
        <f t="shared" si="14"/>
        <v>#N/A</v>
      </c>
      <c r="V87" s="57">
        <f t="shared" si="25"/>
        <v>0</v>
      </c>
      <c r="W87" s="66" t="e">
        <f t="shared" si="15"/>
        <v>#N/A</v>
      </c>
      <c r="X87" s="57">
        <f t="shared" si="26"/>
        <v>0</v>
      </c>
      <c r="Y87" s="66" t="e">
        <f t="shared" si="16"/>
        <v>#N/A</v>
      </c>
      <c r="Z87" s="57">
        <f t="shared" si="27"/>
        <v>0</v>
      </c>
      <c r="AA87" s="66" t="e">
        <f t="shared" si="17"/>
        <v>#N/A</v>
      </c>
      <c r="AB87" s="57">
        <f t="shared" si="28"/>
        <v>0</v>
      </c>
      <c r="AC87" s="1" t="str">
        <f t="shared" si="29"/>
        <v>Teste 4</v>
      </c>
      <c r="AF87" s="58"/>
      <c r="AN87" s="162"/>
      <c r="AO87" s="162"/>
      <c r="AP87" s="162"/>
      <c r="AQ87" s="162"/>
    </row>
    <row r="88" spans="2:43" ht="24.75" customHeight="1" thickTop="1" thickBot="1" x14ac:dyDescent="0.35">
      <c r="B88" s="68" t="s">
        <v>94</v>
      </c>
      <c r="C88" s="69"/>
      <c r="D88" s="69"/>
      <c r="E88" s="69"/>
      <c r="F88" s="69"/>
      <c r="G88" s="69"/>
      <c r="H88" s="69"/>
      <c r="K88" s="193" t="s">
        <v>122</v>
      </c>
      <c r="L88" s="45" t="str">
        <f t="shared" si="18"/>
        <v>-</v>
      </c>
      <c r="M88" s="45" t="str">
        <f t="shared" si="19"/>
        <v/>
      </c>
      <c r="N88" s="45" t="str">
        <f t="shared" si="20"/>
        <v/>
      </c>
      <c r="O88" s="58" t="str">
        <f t="shared" si="21"/>
        <v>Teste 5</v>
      </c>
      <c r="P88" s="58"/>
      <c r="Q88" s="66" t="e">
        <f t="shared" si="22"/>
        <v>#N/A</v>
      </c>
      <c r="R88" s="57">
        <f t="shared" si="23"/>
        <v>0</v>
      </c>
      <c r="S88" s="66" t="e">
        <f t="shared" si="13"/>
        <v>#N/A</v>
      </c>
      <c r="T88" s="57">
        <f t="shared" si="24"/>
        <v>0</v>
      </c>
      <c r="U88" s="66" t="e">
        <f t="shared" si="14"/>
        <v>#N/A</v>
      </c>
      <c r="V88" s="57">
        <f t="shared" si="25"/>
        <v>0</v>
      </c>
      <c r="W88" s="66" t="e">
        <f t="shared" si="15"/>
        <v>#N/A</v>
      </c>
      <c r="X88" s="57">
        <f t="shared" si="26"/>
        <v>0</v>
      </c>
      <c r="Y88" s="66" t="e">
        <f t="shared" si="16"/>
        <v>#N/A</v>
      </c>
      <c r="Z88" s="57">
        <f t="shared" si="27"/>
        <v>0</v>
      </c>
      <c r="AA88" s="66" t="e">
        <f t="shared" si="17"/>
        <v>#N/A</v>
      </c>
      <c r="AB88" s="57">
        <f t="shared" si="28"/>
        <v>0</v>
      </c>
      <c r="AC88" s="1" t="str">
        <f t="shared" si="29"/>
        <v>Teste 5</v>
      </c>
      <c r="AF88" s="58"/>
      <c r="AN88" s="162"/>
      <c r="AO88" s="162"/>
      <c r="AP88" s="162"/>
      <c r="AQ88" s="162"/>
    </row>
    <row r="89" spans="2:43" ht="24.75" customHeight="1" thickTop="1" thickBot="1" x14ac:dyDescent="0.35">
      <c r="B89" s="70" t="s">
        <v>95</v>
      </c>
      <c r="C89" s="71"/>
      <c r="D89" s="71"/>
      <c r="E89" s="71"/>
      <c r="F89" s="71"/>
      <c r="G89" s="71"/>
      <c r="H89" s="71"/>
      <c r="K89" s="193" t="s">
        <v>122</v>
      </c>
      <c r="L89" s="45" t="str">
        <f t="shared" si="18"/>
        <v>-</v>
      </c>
      <c r="M89" s="45" t="str">
        <f t="shared" si="19"/>
        <v/>
      </c>
      <c r="N89" s="45" t="str">
        <f t="shared" si="20"/>
        <v/>
      </c>
      <c r="O89" s="58" t="str">
        <f t="shared" si="21"/>
        <v>Teste 6</v>
      </c>
      <c r="P89" s="58"/>
      <c r="Q89" s="66" t="e">
        <f t="shared" si="22"/>
        <v>#N/A</v>
      </c>
      <c r="R89" s="57">
        <f t="shared" si="23"/>
        <v>0</v>
      </c>
      <c r="S89" s="66" t="e">
        <f t="shared" si="13"/>
        <v>#N/A</v>
      </c>
      <c r="T89" s="57">
        <f t="shared" si="24"/>
        <v>0</v>
      </c>
      <c r="U89" s="66" t="e">
        <f t="shared" si="14"/>
        <v>#N/A</v>
      </c>
      <c r="V89" s="57">
        <f t="shared" si="25"/>
        <v>0</v>
      </c>
      <c r="W89" s="66" t="e">
        <f t="shared" si="15"/>
        <v>#N/A</v>
      </c>
      <c r="X89" s="57">
        <f t="shared" si="26"/>
        <v>0</v>
      </c>
      <c r="Y89" s="66" t="e">
        <f t="shared" si="16"/>
        <v>#N/A</v>
      </c>
      <c r="Z89" s="57">
        <f t="shared" si="27"/>
        <v>0</v>
      </c>
      <c r="AA89" s="66" t="e">
        <f t="shared" si="17"/>
        <v>#N/A</v>
      </c>
      <c r="AB89" s="57">
        <f t="shared" si="28"/>
        <v>0</v>
      </c>
      <c r="AC89" s="1" t="str">
        <f t="shared" si="29"/>
        <v>Teste 6</v>
      </c>
      <c r="AF89" s="58"/>
      <c r="AN89" s="162"/>
      <c r="AO89" s="162"/>
      <c r="AP89" s="162"/>
      <c r="AQ89" s="162"/>
    </row>
    <row r="90" spans="2:43" ht="24.75" customHeight="1" thickTop="1" thickBot="1" x14ac:dyDescent="0.35">
      <c r="B90" s="68" t="s">
        <v>108</v>
      </c>
      <c r="C90" s="69"/>
      <c r="D90" s="69"/>
      <c r="E90" s="69"/>
      <c r="F90" s="69"/>
      <c r="G90" s="69"/>
      <c r="H90" s="69"/>
      <c r="K90" s="193" t="s">
        <v>122</v>
      </c>
      <c r="L90" s="45" t="str">
        <f t="shared" si="18"/>
        <v>-</v>
      </c>
      <c r="M90" s="45" t="str">
        <f t="shared" si="19"/>
        <v/>
      </c>
      <c r="N90" s="45" t="str">
        <f t="shared" si="20"/>
        <v/>
      </c>
      <c r="O90" s="58" t="str">
        <f t="shared" si="21"/>
        <v>Exame 1</v>
      </c>
      <c r="P90" s="17" t="str">
        <f>P45</f>
        <v/>
      </c>
      <c r="Q90" s="66" t="e">
        <f t="shared" si="22"/>
        <v>#N/A</v>
      </c>
      <c r="R90" s="57">
        <f t="shared" si="23"/>
        <v>0</v>
      </c>
      <c r="S90" s="66" t="e">
        <f t="shared" si="13"/>
        <v>#N/A</v>
      </c>
      <c r="T90" s="57">
        <f t="shared" si="24"/>
        <v>0</v>
      </c>
      <c r="U90" s="66" t="e">
        <f t="shared" si="14"/>
        <v>#N/A</v>
      </c>
      <c r="V90" s="57">
        <f t="shared" si="25"/>
        <v>0</v>
      </c>
      <c r="W90" s="66" t="e">
        <f t="shared" si="15"/>
        <v>#N/A</v>
      </c>
      <c r="X90" s="57">
        <f t="shared" si="26"/>
        <v>0</v>
      </c>
      <c r="Y90" s="66" t="e">
        <f t="shared" si="16"/>
        <v>#N/A</v>
      </c>
      <c r="Z90" s="57">
        <f t="shared" si="27"/>
        <v>0</v>
      </c>
      <c r="AA90" s="66" t="e">
        <f t="shared" si="17"/>
        <v>#N/A</v>
      </c>
      <c r="AB90" s="57">
        <f t="shared" si="28"/>
        <v>0</v>
      </c>
      <c r="AC90" s="1" t="str">
        <f t="shared" si="29"/>
        <v>Exame 1</v>
      </c>
      <c r="AN90" s="162" t="s">
        <v>136</v>
      </c>
      <c r="AO90" s="162" t="s">
        <v>120</v>
      </c>
      <c r="AP90" s="162" t="s">
        <v>116</v>
      </c>
      <c r="AQ90" s="162" t="s">
        <v>173</v>
      </c>
    </row>
    <row r="91" spans="2:43" ht="24.75" customHeight="1" thickTop="1" thickBot="1" x14ac:dyDescent="0.35">
      <c r="B91" s="70" t="s">
        <v>109</v>
      </c>
      <c r="C91" s="71"/>
      <c r="D91" s="71"/>
      <c r="E91" s="71"/>
      <c r="F91" s="71"/>
      <c r="G91" s="71"/>
      <c r="H91" s="71"/>
      <c r="K91" s="193" t="s">
        <v>122</v>
      </c>
      <c r="L91" s="45" t="str">
        <f t="shared" si="18"/>
        <v>-</v>
      </c>
      <c r="M91" s="45" t="str">
        <f t="shared" si="19"/>
        <v/>
      </c>
      <c r="N91" s="45" t="str">
        <f t="shared" si="20"/>
        <v/>
      </c>
      <c r="O91" s="58" t="str">
        <f t="shared" si="21"/>
        <v>Exame 2</v>
      </c>
      <c r="P91" s="58"/>
      <c r="Q91" s="66" t="e">
        <f t="shared" si="22"/>
        <v>#N/A</v>
      </c>
      <c r="R91" s="57">
        <f t="shared" si="23"/>
        <v>0</v>
      </c>
      <c r="S91" s="66" t="e">
        <f t="shared" si="13"/>
        <v>#N/A</v>
      </c>
      <c r="T91" s="57">
        <f t="shared" si="24"/>
        <v>0</v>
      </c>
      <c r="U91" s="66" t="e">
        <f t="shared" si="14"/>
        <v>#N/A</v>
      </c>
      <c r="V91" s="57">
        <f t="shared" si="25"/>
        <v>0</v>
      </c>
      <c r="W91" s="66" t="e">
        <f t="shared" si="15"/>
        <v>#N/A</v>
      </c>
      <c r="X91" s="57">
        <f t="shared" si="26"/>
        <v>0</v>
      </c>
      <c r="Y91" s="66" t="e">
        <f t="shared" si="16"/>
        <v>#N/A</v>
      </c>
      <c r="Z91" s="57">
        <f t="shared" si="27"/>
        <v>0</v>
      </c>
      <c r="AA91" s="66" t="e">
        <f t="shared" si="17"/>
        <v>#N/A</v>
      </c>
      <c r="AB91" s="57">
        <f t="shared" si="28"/>
        <v>0</v>
      </c>
      <c r="AC91" s="1" t="str">
        <f t="shared" si="29"/>
        <v>Exame 2</v>
      </c>
      <c r="AF91" s="58"/>
      <c r="AN91" s="162" t="s">
        <v>130</v>
      </c>
      <c r="AO91" s="162" t="s">
        <v>174</v>
      </c>
      <c r="AP91" s="162" t="s">
        <v>130</v>
      </c>
      <c r="AQ91" s="162" t="s">
        <v>175</v>
      </c>
    </row>
    <row r="92" spans="2:43" ht="24.75" customHeight="1" thickTop="1" thickBot="1" x14ac:dyDescent="0.35">
      <c r="B92" s="68" t="s">
        <v>110</v>
      </c>
      <c r="C92" s="69"/>
      <c r="D92" s="69"/>
      <c r="E92" s="69"/>
      <c r="F92" s="69"/>
      <c r="G92" s="69"/>
      <c r="H92" s="69"/>
      <c r="K92" s="193" t="s">
        <v>122</v>
      </c>
      <c r="L92" s="45" t="str">
        <f t="shared" si="18"/>
        <v>-</v>
      </c>
      <c r="M92" s="45" t="str">
        <f t="shared" si="19"/>
        <v/>
      </c>
      <c r="N92" s="45" t="str">
        <f t="shared" si="20"/>
        <v/>
      </c>
      <c r="O92" s="58" t="str">
        <f t="shared" si="21"/>
        <v>Exame 3</v>
      </c>
      <c r="P92" s="58"/>
      <c r="Q92" s="66" t="e">
        <f t="shared" si="22"/>
        <v>#N/A</v>
      </c>
      <c r="R92" s="57">
        <f t="shared" si="23"/>
        <v>0</v>
      </c>
      <c r="S92" s="66" t="e">
        <f t="shared" si="13"/>
        <v>#N/A</v>
      </c>
      <c r="T92" s="57">
        <f t="shared" si="24"/>
        <v>0</v>
      </c>
      <c r="U92" s="66" t="e">
        <f t="shared" si="14"/>
        <v>#N/A</v>
      </c>
      <c r="V92" s="57">
        <f t="shared" si="25"/>
        <v>0</v>
      </c>
      <c r="W92" s="66" t="e">
        <f t="shared" si="15"/>
        <v>#N/A</v>
      </c>
      <c r="X92" s="57">
        <f t="shared" si="26"/>
        <v>0</v>
      </c>
      <c r="Y92" s="66" t="e">
        <f t="shared" si="16"/>
        <v>#N/A</v>
      </c>
      <c r="Z92" s="57">
        <f t="shared" si="27"/>
        <v>0</v>
      </c>
      <c r="AA92" s="66" t="e">
        <f t="shared" si="17"/>
        <v>#N/A</v>
      </c>
      <c r="AB92" s="57">
        <f t="shared" si="28"/>
        <v>0</v>
      </c>
      <c r="AC92" s="1" t="str">
        <f t="shared" si="29"/>
        <v>Exame 3</v>
      </c>
      <c r="AF92" s="58"/>
      <c r="AN92" s="162" t="s">
        <v>12</v>
      </c>
      <c r="AO92" s="162" t="s">
        <v>120</v>
      </c>
      <c r="AP92" s="162" t="s">
        <v>12</v>
      </c>
      <c r="AQ92" s="162" t="s">
        <v>120</v>
      </c>
    </row>
    <row r="93" spans="2:43" ht="24.75" customHeight="1" thickTop="1" thickBot="1" x14ac:dyDescent="0.35">
      <c r="B93" s="70" t="s">
        <v>111</v>
      </c>
      <c r="C93" s="71"/>
      <c r="D93" s="71"/>
      <c r="E93" s="71"/>
      <c r="F93" s="71"/>
      <c r="G93" s="71"/>
      <c r="H93" s="71"/>
      <c r="K93" s="193" t="s">
        <v>122</v>
      </c>
      <c r="L93" s="45" t="str">
        <f t="shared" si="18"/>
        <v>-</v>
      </c>
      <c r="M93" s="45" t="str">
        <f t="shared" si="19"/>
        <v/>
      </c>
      <c r="N93" s="45" t="str">
        <f t="shared" si="20"/>
        <v/>
      </c>
      <c r="O93" s="58" t="str">
        <f t="shared" si="21"/>
        <v>Exame 4</v>
      </c>
      <c r="P93" s="58"/>
      <c r="Q93" s="66" t="e">
        <f t="shared" si="22"/>
        <v>#N/A</v>
      </c>
      <c r="R93" s="57">
        <f t="shared" si="23"/>
        <v>0</v>
      </c>
      <c r="S93" s="66" t="e">
        <f t="shared" si="13"/>
        <v>#N/A</v>
      </c>
      <c r="T93" s="57">
        <f t="shared" si="24"/>
        <v>0</v>
      </c>
      <c r="U93" s="66" t="e">
        <f t="shared" si="14"/>
        <v>#N/A</v>
      </c>
      <c r="V93" s="57">
        <f t="shared" si="25"/>
        <v>0</v>
      </c>
      <c r="W93" s="66" t="e">
        <f t="shared" si="15"/>
        <v>#N/A</v>
      </c>
      <c r="X93" s="57">
        <f t="shared" si="26"/>
        <v>0</v>
      </c>
      <c r="Y93" s="66" t="e">
        <f t="shared" si="16"/>
        <v>#N/A</v>
      </c>
      <c r="Z93" s="57">
        <f t="shared" si="27"/>
        <v>0</v>
      </c>
      <c r="AA93" s="66" t="e">
        <f t="shared" si="17"/>
        <v>#N/A</v>
      </c>
      <c r="AB93" s="57">
        <f t="shared" si="28"/>
        <v>0</v>
      </c>
      <c r="AC93" s="1" t="str">
        <f t="shared" si="29"/>
        <v>Exame 4</v>
      </c>
      <c r="AF93" s="58"/>
      <c r="AN93" s="162"/>
      <c r="AO93" s="162"/>
      <c r="AP93" s="162"/>
      <c r="AQ93" s="162"/>
    </row>
    <row r="94" spans="2:43" ht="24.75" customHeight="1" thickTop="1" thickBot="1" x14ac:dyDescent="0.35">
      <c r="B94" s="68" t="s">
        <v>92</v>
      </c>
      <c r="C94" s="69"/>
      <c r="D94" s="69"/>
      <c r="E94" s="69"/>
      <c r="F94" s="69"/>
      <c r="G94" s="69"/>
      <c r="H94" s="69"/>
      <c r="K94" s="193" t="s">
        <v>122</v>
      </c>
      <c r="L94" s="45" t="str">
        <f t="shared" si="18"/>
        <v>-</v>
      </c>
      <c r="M94" s="45" t="str">
        <f t="shared" si="19"/>
        <v/>
      </c>
      <c r="N94" s="45" t="str">
        <f t="shared" si="20"/>
        <v/>
      </c>
      <c r="O94" s="58" t="str">
        <f t="shared" si="21"/>
        <v>?</v>
      </c>
      <c r="P94" s="17" t="str">
        <f t="shared" ref="P94:P97" si="32">V42</f>
        <v/>
      </c>
      <c r="Q94" s="66" t="e">
        <f t="shared" si="22"/>
        <v>#N/A</v>
      </c>
      <c r="R94" s="57">
        <f t="shared" si="23"/>
        <v>0</v>
      </c>
      <c r="S94" s="66" t="e">
        <f t="shared" si="13"/>
        <v>#N/A</v>
      </c>
      <c r="T94" s="57">
        <f t="shared" si="24"/>
        <v>0</v>
      </c>
      <c r="U94" s="66" t="e">
        <f t="shared" si="14"/>
        <v>#N/A</v>
      </c>
      <c r="V94" s="57">
        <f t="shared" si="25"/>
        <v>0</v>
      </c>
      <c r="W94" s="66" t="e">
        <f t="shared" si="15"/>
        <v>#N/A</v>
      </c>
      <c r="X94" s="57">
        <f t="shared" si="26"/>
        <v>0</v>
      </c>
      <c r="Y94" s="66" t="e">
        <f t="shared" si="16"/>
        <v>#N/A</v>
      </c>
      <c r="Z94" s="57">
        <f t="shared" si="27"/>
        <v>0</v>
      </c>
      <c r="AA94" s="66" t="e">
        <f t="shared" si="17"/>
        <v>#N/A</v>
      </c>
      <c r="AB94" s="57">
        <f t="shared" si="28"/>
        <v>0</v>
      </c>
      <c r="AC94" s="1" t="str">
        <f t="shared" si="29"/>
        <v>?</v>
      </c>
      <c r="AN94" s="162"/>
      <c r="AO94" s="162"/>
      <c r="AP94" s="162"/>
      <c r="AQ94" s="162"/>
    </row>
    <row r="95" spans="2:43" ht="24.75" customHeight="1" thickTop="1" thickBot="1" x14ac:dyDescent="0.35">
      <c r="B95" s="70" t="s">
        <v>92</v>
      </c>
      <c r="C95" s="71"/>
      <c r="D95" s="71"/>
      <c r="E95" s="71"/>
      <c r="F95" s="71"/>
      <c r="G95" s="71"/>
      <c r="H95" s="71"/>
      <c r="K95" s="193" t="s">
        <v>122</v>
      </c>
      <c r="L95" s="45" t="str">
        <f t="shared" si="18"/>
        <v>-</v>
      </c>
      <c r="M95" s="45" t="str">
        <f t="shared" si="19"/>
        <v/>
      </c>
      <c r="N95" s="45" t="str">
        <f t="shared" si="20"/>
        <v/>
      </c>
      <c r="O95" s="58" t="str">
        <f t="shared" si="21"/>
        <v>?</v>
      </c>
      <c r="P95" s="17" t="str">
        <f t="shared" si="32"/>
        <v/>
      </c>
      <c r="Q95" s="66" t="e">
        <f t="shared" si="22"/>
        <v>#N/A</v>
      </c>
      <c r="R95" s="57">
        <f t="shared" si="23"/>
        <v>0</v>
      </c>
      <c r="S95" s="66" t="e">
        <f t="shared" si="13"/>
        <v>#N/A</v>
      </c>
      <c r="T95" s="57">
        <f t="shared" si="24"/>
        <v>0</v>
      </c>
      <c r="U95" s="66" t="e">
        <f t="shared" si="14"/>
        <v>#N/A</v>
      </c>
      <c r="V95" s="57">
        <f t="shared" si="25"/>
        <v>0</v>
      </c>
      <c r="W95" s="66" t="e">
        <f t="shared" si="15"/>
        <v>#N/A</v>
      </c>
      <c r="X95" s="57">
        <f t="shared" si="26"/>
        <v>0</v>
      </c>
      <c r="Y95" s="66" t="e">
        <f t="shared" si="16"/>
        <v>#N/A</v>
      </c>
      <c r="Z95" s="57">
        <f t="shared" si="27"/>
        <v>0</v>
      </c>
      <c r="AA95" s="66" t="e">
        <f t="shared" si="17"/>
        <v>#N/A</v>
      </c>
      <c r="AB95" s="57">
        <f t="shared" si="28"/>
        <v>0</v>
      </c>
      <c r="AC95" s="1" t="str">
        <f t="shared" si="29"/>
        <v>?</v>
      </c>
      <c r="AN95" s="162"/>
      <c r="AO95" s="162"/>
      <c r="AP95" s="162"/>
      <c r="AQ95" s="162"/>
    </row>
    <row r="96" spans="2:43" ht="24.75" customHeight="1" thickTop="1" thickBot="1" x14ac:dyDescent="0.35">
      <c r="B96" s="68" t="s">
        <v>92</v>
      </c>
      <c r="C96" s="69"/>
      <c r="D96" s="69"/>
      <c r="E96" s="69"/>
      <c r="F96" s="69"/>
      <c r="G96" s="69"/>
      <c r="H96" s="69"/>
      <c r="K96" s="193" t="s">
        <v>122</v>
      </c>
      <c r="L96" s="45" t="str">
        <f t="shared" si="18"/>
        <v>-</v>
      </c>
      <c r="M96" s="45" t="str">
        <f t="shared" si="19"/>
        <v/>
      </c>
      <c r="N96" s="45" t="str">
        <f t="shared" si="20"/>
        <v/>
      </c>
      <c r="O96" s="58" t="str">
        <f t="shared" si="21"/>
        <v>?</v>
      </c>
      <c r="P96" s="17" t="str">
        <f t="shared" si="32"/>
        <v/>
      </c>
      <c r="Q96" s="66" t="e">
        <f t="shared" si="22"/>
        <v>#N/A</v>
      </c>
      <c r="R96" s="57">
        <f t="shared" si="23"/>
        <v>0</v>
      </c>
      <c r="S96" s="66" t="e">
        <f t="shared" si="13"/>
        <v>#N/A</v>
      </c>
      <c r="T96" s="57">
        <f t="shared" si="24"/>
        <v>0</v>
      </c>
      <c r="U96" s="66" t="e">
        <f t="shared" si="14"/>
        <v>#N/A</v>
      </c>
      <c r="V96" s="57">
        <f t="shared" si="25"/>
        <v>0</v>
      </c>
      <c r="W96" s="66" t="e">
        <f t="shared" si="15"/>
        <v>#N/A</v>
      </c>
      <c r="X96" s="57">
        <f t="shared" si="26"/>
        <v>0</v>
      </c>
      <c r="Y96" s="66" t="e">
        <f t="shared" si="16"/>
        <v>#N/A</v>
      </c>
      <c r="Z96" s="57">
        <f t="shared" si="27"/>
        <v>0</v>
      </c>
      <c r="AA96" s="66" t="e">
        <f t="shared" si="17"/>
        <v>#N/A</v>
      </c>
      <c r="AB96" s="57">
        <f t="shared" si="28"/>
        <v>0</v>
      </c>
      <c r="AC96" s="1" t="str">
        <f t="shared" si="29"/>
        <v>?</v>
      </c>
      <c r="AN96" s="162"/>
      <c r="AO96" s="162"/>
      <c r="AP96" s="162"/>
      <c r="AQ96" s="162"/>
    </row>
    <row r="97" spans="2:43" ht="24.75" customHeight="1" thickTop="1" x14ac:dyDescent="0.3">
      <c r="B97" s="72" t="s">
        <v>92</v>
      </c>
      <c r="C97" s="73"/>
      <c r="D97" s="73"/>
      <c r="E97" s="73"/>
      <c r="F97" s="73"/>
      <c r="G97" s="73"/>
      <c r="H97" s="73"/>
      <c r="K97" s="193" t="s">
        <v>122</v>
      </c>
      <c r="L97" s="45" t="str">
        <f t="shared" si="18"/>
        <v>-</v>
      </c>
      <c r="M97" s="45" t="str">
        <f t="shared" si="19"/>
        <v/>
      </c>
      <c r="N97" s="45" t="str">
        <f t="shared" si="20"/>
        <v/>
      </c>
      <c r="O97" s="58" t="str">
        <f t="shared" si="21"/>
        <v>?</v>
      </c>
      <c r="P97" s="17" t="str">
        <f t="shared" si="32"/>
        <v/>
      </c>
      <c r="Q97" s="66" t="e">
        <f t="shared" si="22"/>
        <v>#N/A</v>
      </c>
      <c r="R97" s="57">
        <f t="shared" si="23"/>
        <v>0</v>
      </c>
      <c r="S97" s="66" t="e">
        <f t="shared" si="13"/>
        <v>#N/A</v>
      </c>
      <c r="T97" s="57">
        <f t="shared" si="24"/>
        <v>0</v>
      </c>
      <c r="U97" s="66" t="e">
        <f t="shared" si="14"/>
        <v>#N/A</v>
      </c>
      <c r="V97" s="57">
        <f t="shared" si="25"/>
        <v>0</v>
      </c>
      <c r="W97" s="66" t="e">
        <f t="shared" si="15"/>
        <v>#N/A</v>
      </c>
      <c r="X97" s="57">
        <f t="shared" si="26"/>
        <v>0</v>
      </c>
      <c r="Y97" s="66" t="e">
        <f t="shared" si="16"/>
        <v>#N/A</v>
      </c>
      <c r="Z97" s="57">
        <f t="shared" si="27"/>
        <v>0</v>
      </c>
      <c r="AA97" s="66" t="e">
        <f t="shared" si="17"/>
        <v>#N/A</v>
      </c>
      <c r="AB97" s="57">
        <f t="shared" si="28"/>
        <v>0</v>
      </c>
      <c r="AC97" s="1" t="str">
        <f t="shared" si="29"/>
        <v>?</v>
      </c>
      <c r="AN97" s="162"/>
      <c r="AO97" s="162"/>
      <c r="AP97" s="162"/>
      <c r="AQ97" s="162"/>
    </row>
    <row r="98" spans="2:43" ht="15" hidden="1" customHeight="1" x14ac:dyDescent="0.3">
      <c r="K98" s="193" t="s">
        <v>123</v>
      </c>
      <c r="L98" s="45" t="str">
        <f>IFERROR(VLOOKUP(D66,$AD:$AF,3),"-")</f>
        <v>-</v>
      </c>
      <c r="M98" s="45" t="str">
        <f>IF(L66="-","",IF(D66="","",CONCATENATE(TEXT(D66,"dd-mm-aaaa")," - ",B66," ",D$65)))</f>
        <v/>
      </c>
      <c r="N98" s="45" t="str">
        <f t="shared" si="20"/>
        <v/>
      </c>
      <c r="O98" s="58" t="str">
        <f>IF(D66="","",D66)</f>
        <v/>
      </c>
      <c r="R98" s="57">
        <f t="shared" si="23"/>
        <v>0</v>
      </c>
      <c r="T98" s="57">
        <f t="shared" si="24"/>
        <v>0</v>
      </c>
      <c r="V98" s="57">
        <f t="shared" si="25"/>
        <v>0</v>
      </c>
      <c r="X98" s="57">
        <f t="shared" si="26"/>
        <v>0</v>
      </c>
      <c r="Z98" s="57">
        <f t="shared" si="27"/>
        <v>0</v>
      </c>
      <c r="AB98" s="57">
        <f t="shared" si="28"/>
        <v>0</v>
      </c>
      <c r="AC98" s="1">
        <f t="shared" si="29"/>
        <v>0</v>
      </c>
      <c r="AN98" s="162" t="s">
        <v>136</v>
      </c>
      <c r="AO98" s="162" t="s">
        <v>120</v>
      </c>
      <c r="AP98" s="162" t="s">
        <v>116</v>
      </c>
      <c r="AQ98" s="162" t="s">
        <v>176</v>
      </c>
    </row>
    <row r="99" spans="2:43" ht="15" hidden="1" customHeight="1" x14ac:dyDescent="0.3">
      <c r="K99" s="193" t="s">
        <v>123</v>
      </c>
      <c r="L99" s="45" t="str">
        <f t="shared" ref="L99:L129" si="33">IFERROR(VLOOKUP(D67,$AD:$AF,3),"-")</f>
        <v>-</v>
      </c>
      <c r="M99" s="45" t="str">
        <f t="shared" ref="M99:M129" si="34">IF(L67="-","",IF(D67="","",CONCATENATE(TEXT(D67,"dd-mm-aaaa")," - ",B67," ",D$65)))</f>
        <v/>
      </c>
      <c r="N99" s="45" t="str">
        <f t="shared" si="20"/>
        <v/>
      </c>
      <c r="O99" s="58" t="str">
        <f t="shared" si="21"/>
        <v/>
      </c>
      <c r="R99" s="57">
        <f t="shared" si="23"/>
        <v>0</v>
      </c>
      <c r="T99" s="57">
        <f t="shared" si="24"/>
        <v>0</v>
      </c>
      <c r="V99" s="57">
        <f t="shared" si="25"/>
        <v>0</v>
      </c>
      <c r="X99" s="57">
        <f t="shared" si="26"/>
        <v>0</v>
      </c>
      <c r="Z99" s="57">
        <f t="shared" si="27"/>
        <v>0</v>
      </c>
      <c r="AB99" s="57">
        <f t="shared" si="28"/>
        <v>0</v>
      </c>
      <c r="AC99" s="1">
        <f t="shared" si="29"/>
        <v>0</v>
      </c>
      <c r="AN99" s="162" t="s">
        <v>130</v>
      </c>
      <c r="AO99" s="162" t="s">
        <v>151</v>
      </c>
      <c r="AP99" s="162" t="s">
        <v>130</v>
      </c>
      <c r="AQ99" s="162" t="s">
        <v>177</v>
      </c>
    </row>
    <row r="100" spans="2:43" ht="15" hidden="1" customHeight="1" x14ac:dyDescent="0.3">
      <c r="K100" s="193" t="s">
        <v>123</v>
      </c>
      <c r="L100" s="45" t="str">
        <f t="shared" si="33"/>
        <v>-</v>
      </c>
      <c r="M100" s="45" t="str">
        <f t="shared" si="34"/>
        <v/>
      </c>
      <c r="N100" s="45" t="str">
        <f t="shared" si="20"/>
        <v/>
      </c>
      <c r="O100" s="58" t="str">
        <f t="shared" si="21"/>
        <v/>
      </c>
      <c r="R100" s="57">
        <f t="shared" si="23"/>
        <v>0</v>
      </c>
      <c r="T100" s="57">
        <f t="shared" si="24"/>
        <v>0</v>
      </c>
      <c r="V100" s="57">
        <f t="shared" si="25"/>
        <v>0</v>
      </c>
      <c r="X100" s="57">
        <f t="shared" si="26"/>
        <v>0</v>
      </c>
      <c r="Z100" s="57">
        <f t="shared" si="27"/>
        <v>0</v>
      </c>
      <c r="AB100" s="57">
        <f t="shared" si="28"/>
        <v>0</v>
      </c>
      <c r="AC100" s="1">
        <f t="shared" si="29"/>
        <v>0</v>
      </c>
      <c r="AN100" s="162" t="s">
        <v>12</v>
      </c>
      <c r="AO100" s="162" t="s">
        <v>120</v>
      </c>
      <c r="AP100" s="162" t="s">
        <v>12</v>
      </c>
      <c r="AQ100" s="162" t="s">
        <v>120</v>
      </c>
    </row>
    <row r="101" spans="2:43" ht="15" hidden="1" customHeight="1" x14ac:dyDescent="0.3">
      <c r="K101" s="193" t="s">
        <v>123</v>
      </c>
      <c r="L101" s="45" t="str">
        <f t="shared" si="33"/>
        <v>-</v>
      </c>
      <c r="M101" s="45" t="str">
        <f t="shared" si="34"/>
        <v/>
      </c>
      <c r="N101" s="45" t="str">
        <f t="shared" si="20"/>
        <v/>
      </c>
      <c r="O101" s="58" t="str">
        <f t="shared" si="21"/>
        <v/>
      </c>
      <c r="R101" s="57">
        <f t="shared" si="23"/>
        <v>0</v>
      </c>
      <c r="T101" s="57">
        <f t="shared" si="24"/>
        <v>0</v>
      </c>
      <c r="V101" s="57">
        <f t="shared" si="25"/>
        <v>0</v>
      </c>
      <c r="X101" s="57">
        <f t="shared" si="26"/>
        <v>0</v>
      </c>
      <c r="Z101" s="57">
        <f t="shared" si="27"/>
        <v>0</v>
      </c>
      <c r="AB101" s="57">
        <f t="shared" si="28"/>
        <v>0</v>
      </c>
      <c r="AC101" s="1">
        <f t="shared" si="29"/>
        <v>0</v>
      </c>
      <c r="AN101" s="162"/>
      <c r="AO101" s="162"/>
      <c r="AP101" s="162"/>
      <c r="AQ101" s="162"/>
    </row>
    <row r="102" spans="2:43" ht="15" hidden="1" customHeight="1" x14ac:dyDescent="0.3">
      <c r="K102" s="193" t="s">
        <v>123</v>
      </c>
      <c r="L102" s="45" t="str">
        <f t="shared" si="33"/>
        <v>-</v>
      </c>
      <c r="M102" s="45" t="str">
        <f t="shared" si="34"/>
        <v/>
      </c>
      <c r="N102" s="45" t="str">
        <f t="shared" si="20"/>
        <v/>
      </c>
      <c r="O102" s="58" t="str">
        <f t="shared" si="21"/>
        <v/>
      </c>
      <c r="R102" s="57">
        <f t="shared" si="23"/>
        <v>0</v>
      </c>
      <c r="T102" s="57">
        <f t="shared" si="24"/>
        <v>0</v>
      </c>
      <c r="V102" s="57">
        <f t="shared" si="25"/>
        <v>0</v>
      </c>
      <c r="X102" s="57">
        <f t="shared" si="26"/>
        <v>0</v>
      </c>
      <c r="Z102" s="57">
        <f t="shared" si="27"/>
        <v>0</v>
      </c>
      <c r="AB102" s="57">
        <f t="shared" si="28"/>
        <v>0</v>
      </c>
      <c r="AC102" s="1">
        <f t="shared" si="29"/>
        <v>0</v>
      </c>
      <c r="AN102" s="162"/>
      <c r="AO102" s="162"/>
      <c r="AP102" s="162"/>
      <c r="AQ102" s="162"/>
    </row>
    <row r="103" spans="2:43" ht="15" hidden="1" customHeight="1" x14ac:dyDescent="0.3">
      <c r="K103" s="193" t="s">
        <v>123</v>
      </c>
      <c r="L103" s="45" t="str">
        <f t="shared" si="33"/>
        <v>-</v>
      </c>
      <c r="M103" s="45" t="str">
        <f t="shared" si="34"/>
        <v/>
      </c>
      <c r="N103" s="45" t="str">
        <f t="shared" si="20"/>
        <v/>
      </c>
      <c r="O103" s="58" t="str">
        <f t="shared" si="21"/>
        <v/>
      </c>
      <c r="R103" s="57">
        <f t="shared" si="23"/>
        <v>0</v>
      </c>
      <c r="T103" s="57">
        <f t="shared" si="24"/>
        <v>0</v>
      </c>
      <c r="V103" s="57">
        <f t="shared" si="25"/>
        <v>0</v>
      </c>
      <c r="X103" s="57">
        <f t="shared" si="26"/>
        <v>0</v>
      </c>
      <c r="Z103" s="57">
        <f t="shared" si="27"/>
        <v>0</v>
      </c>
      <c r="AB103" s="57">
        <f t="shared" si="28"/>
        <v>0</v>
      </c>
      <c r="AC103" s="1">
        <f t="shared" si="29"/>
        <v>0</v>
      </c>
      <c r="AN103" s="162"/>
      <c r="AO103" s="162"/>
      <c r="AP103" s="162"/>
      <c r="AQ103" s="162"/>
    </row>
    <row r="104" spans="2:43" ht="15" hidden="1" customHeight="1" x14ac:dyDescent="0.3">
      <c r="K104" s="193" t="s">
        <v>123</v>
      </c>
      <c r="L104" s="45" t="str">
        <f t="shared" si="33"/>
        <v>-</v>
      </c>
      <c r="M104" s="45" t="str">
        <f t="shared" si="34"/>
        <v/>
      </c>
      <c r="N104" s="45" t="str">
        <f t="shared" si="20"/>
        <v/>
      </c>
      <c r="O104" s="58" t="str">
        <f t="shared" si="21"/>
        <v/>
      </c>
      <c r="R104" s="57">
        <f t="shared" si="23"/>
        <v>0</v>
      </c>
      <c r="T104" s="57">
        <f t="shared" si="24"/>
        <v>0</v>
      </c>
      <c r="V104" s="57">
        <f t="shared" si="25"/>
        <v>0</v>
      </c>
      <c r="X104" s="57">
        <f t="shared" si="26"/>
        <v>0</v>
      </c>
      <c r="Z104" s="57">
        <f t="shared" si="27"/>
        <v>0</v>
      </c>
      <c r="AB104" s="57">
        <f t="shared" si="28"/>
        <v>0</v>
      </c>
      <c r="AC104" s="1">
        <f t="shared" si="29"/>
        <v>0</v>
      </c>
      <c r="AN104" s="162"/>
      <c r="AO104" s="162"/>
      <c r="AP104" s="162"/>
      <c r="AQ104" s="162"/>
    </row>
    <row r="105" spans="2:43" ht="15" hidden="1" customHeight="1" x14ac:dyDescent="0.3">
      <c r="K105" s="193" t="s">
        <v>123</v>
      </c>
      <c r="L105" s="45" t="str">
        <f t="shared" si="33"/>
        <v>-</v>
      </c>
      <c r="M105" s="45" t="str">
        <f t="shared" si="34"/>
        <v/>
      </c>
      <c r="N105" s="45" t="str">
        <f t="shared" si="20"/>
        <v/>
      </c>
      <c r="O105" s="58" t="str">
        <f t="shared" si="21"/>
        <v/>
      </c>
      <c r="R105" s="57">
        <f t="shared" si="23"/>
        <v>0</v>
      </c>
      <c r="T105" s="57">
        <f t="shared" si="24"/>
        <v>0</v>
      </c>
      <c r="V105" s="57">
        <f t="shared" si="25"/>
        <v>0</v>
      </c>
      <c r="X105" s="57">
        <f t="shared" si="26"/>
        <v>0</v>
      </c>
      <c r="Z105" s="57">
        <f t="shared" si="27"/>
        <v>0</v>
      </c>
      <c r="AB105" s="57">
        <f t="shared" si="28"/>
        <v>0</v>
      </c>
      <c r="AC105" s="1">
        <f t="shared" si="29"/>
        <v>0</v>
      </c>
      <c r="AN105" s="162"/>
      <c r="AO105" s="162"/>
      <c r="AP105" s="162"/>
      <c r="AQ105" s="162"/>
    </row>
    <row r="106" spans="2:43" ht="15" hidden="1" customHeight="1" x14ac:dyDescent="0.3">
      <c r="K106" s="193" t="s">
        <v>123</v>
      </c>
      <c r="L106" s="45" t="str">
        <f t="shared" si="33"/>
        <v>-</v>
      </c>
      <c r="M106" s="45" t="str">
        <f t="shared" si="34"/>
        <v/>
      </c>
      <c r="N106" s="45" t="str">
        <f t="shared" si="20"/>
        <v/>
      </c>
      <c r="O106" s="58" t="str">
        <f t="shared" si="21"/>
        <v/>
      </c>
      <c r="R106" s="57">
        <f t="shared" si="23"/>
        <v>0</v>
      </c>
      <c r="T106" s="57">
        <f t="shared" si="24"/>
        <v>0</v>
      </c>
      <c r="V106" s="57">
        <f t="shared" si="25"/>
        <v>0</v>
      </c>
      <c r="X106" s="57">
        <f t="shared" si="26"/>
        <v>0</v>
      </c>
      <c r="Z106" s="57">
        <f t="shared" si="27"/>
        <v>0</v>
      </c>
      <c r="AB106" s="57">
        <f t="shared" si="28"/>
        <v>0</v>
      </c>
      <c r="AC106" s="1">
        <f t="shared" si="29"/>
        <v>0</v>
      </c>
      <c r="AN106" s="162" t="s">
        <v>136</v>
      </c>
      <c r="AO106" s="162" t="s">
        <v>120</v>
      </c>
      <c r="AP106" s="162" t="s">
        <v>116</v>
      </c>
      <c r="AQ106" s="162" t="s">
        <v>178</v>
      </c>
    </row>
    <row r="107" spans="2:43" ht="15" hidden="1" customHeight="1" x14ac:dyDescent="0.3">
      <c r="K107" s="193" t="s">
        <v>123</v>
      </c>
      <c r="L107" s="45" t="str">
        <f t="shared" si="33"/>
        <v>-</v>
      </c>
      <c r="M107" s="45" t="str">
        <f t="shared" si="34"/>
        <v/>
      </c>
      <c r="N107" s="45" t="str">
        <f t="shared" si="20"/>
        <v/>
      </c>
      <c r="O107" s="58" t="str">
        <f t="shared" si="21"/>
        <v/>
      </c>
      <c r="R107" s="57">
        <f t="shared" si="23"/>
        <v>0</v>
      </c>
      <c r="T107" s="57">
        <f t="shared" si="24"/>
        <v>0</v>
      </c>
      <c r="V107" s="57">
        <f t="shared" si="25"/>
        <v>0</v>
      </c>
      <c r="X107" s="57">
        <f t="shared" si="26"/>
        <v>0</v>
      </c>
      <c r="Z107" s="57">
        <f t="shared" si="27"/>
        <v>0</v>
      </c>
      <c r="AB107" s="57">
        <f t="shared" si="28"/>
        <v>0</v>
      </c>
      <c r="AC107" s="1">
        <f t="shared" si="29"/>
        <v>0</v>
      </c>
      <c r="AN107" s="162" t="s">
        <v>130</v>
      </c>
      <c r="AO107" s="162" t="s">
        <v>179</v>
      </c>
      <c r="AP107" s="162" t="s">
        <v>130</v>
      </c>
      <c r="AQ107" s="162" t="s">
        <v>180</v>
      </c>
    </row>
    <row r="108" spans="2:43" ht="15" hidden="1" customHeight="1" x14ac:dyDescent="0.3">
      <c r="K108" s="193" t="s">
        <v>123</v>
      </c>
      <c r="L108" s="45" t="str">
        <f t="shared" si="33"/>
        <v>-</v>
      </c>
      <c r="M108" s="45" t="str">
        <f t="shared" si="34"/>
        <v/>
      </c>
      <c r="N108" s="45" t="str">
        <f t="shared" si="20"/>
        <v/>
      </c>
      <c r="O108" s="58" t="str">
        <f t="shared" si="21"/>
        <v/>
      </c>
      <c r="R108" s="57">
        <f t="shared" si="23"/>
        <v>0</v>
      </c>
      <c r="T108" s="57">
        <f t="shared" si="24"/>
        <v>0</v>
      </c>
      <c r="V108" s="57">
        <f t="shared" si="25"/>
        <v>0</v>
      </c>
      <c r="X108" s="57">
        <f t="shared" si="26"/>
        <v>0</v>
      </c>
      <c r="Z108" s="57">
        <f t="shared" si="27"/>
        <v>0</v>
      </c>
      <c r="AB108" s="57">
        <f t="shared" si="28"/>
        <v>0</v>
      </c>
      <c r="AC108" s="1">
        <f t="shared" si="29"/>
        <v>0</v>
      </c>
      <c r="AN108" s="162" t="s">
        <v>12</v>
      </c>
      <c r="AO108" s="162" t="s">
        <v>120</v>
      </c>
      <c r="AP108" s="162" t="s">
        <v>12</v>
      </c>
      <c r="AQ108" s="162" t="s">
        <v>120</v>
      </c>
    </row>
    <row r="109" spans="2:43" ht="15" hidden="1" customHeight="1" x14ac:dyDescent="0.3">
      <c r="K109" s="193" t="s">
        <v>123</v>
      </c>
      <c r="L109" s="45" t="str">
        <f t="shared" si="33"/>
        <v>-</v>
      </c>
      <c r="M109" s="45" t="str">
        <f t="shared" si="34"/>
        <v/>
      </c>
      <c r="N109" s="45" t="str">
        <f t="shared" si="20"/>
        <v/>
      </c>
      <c r="O109" s="58" t="str">
        <f t="shared" si="21"/>
        <v/>
      </c>
      <c r="R109" s="57">
        <f t="shared" si="23"/>
        <v>0</v>
      </c>
      <c r="T109" s="57">
        <f t="shared" si="24"/>
        <v>0</v>
      </c>
      <c r="V109" s="57">
        <f t="shared" si="25"/>
        <v>0</v>
      </c>
      <c r="X109" s="57">
        <f t="shared" si="26"/>
        <v>0</v>
      </c>
      <c r="Z109" s="57">
        <f t="shared" si="27"/>
        <v>0</v>
      </c>
      <c r="AB109" s="57">
        <f t="shared" si="28"/>
        <v>0</v>
      </c>
      <c r="AC109" s="1">
        <f t="shared" si="29"/>
        <v>0</v>
      </c>
      <c r="AN109" s="162"/>
      <c r="AO109" s="162"/>
      <c r="AP109" s="162"/>
      <c r="AQ109" s="162"/>
    </row>
    <row r="110" spans="2:43" ht="15" hidden="1" customHeight="1" x14ac:dyDescent="0.3">
      <c r="K110" s="193" t="s">
        <v>123</v>
      </c>
      <c r="L110" s="45" t="str">
        <f t="shared" si="33"/>
        <v>-</v>
      </c>
      <c r="M110" s="45" t="str">
        <f t="shared" si="34"/>
        <v/>
      </c>
      <c r="N110" s="45" t="str">
        <f t="shared" si="20"/>
        <v/>
      </c>
      <c r="O110" s="58" t="str">
        <f t="shared" si="21"/>
        <v/>
      </c>
      <c r="R110" s="57">
        <f t="shared" si="23"/>
        <v>0</v>
      </c>
      <c r="T110" s="57">
        <f t="shared" si="24"/>
        <v>0</v>
      </c>
      <c r="V110" s="57">
        <f t="shared" si="25"/>
        <v>0</v>
      </c>
      <c r="X110" s="57">
        <f t="shared" si="26"/>
        <v>0</v>
      </c>
      <c r="Z110" s="57">
        <f t="shared" si="27"/>
        <v>0</v>
      </c>
      <c r="AB110" s="57">
        <f t="shared" si="28"/>
        <v>0</v>
      </c>
      <c r="AC110" s="1">
        <f t="shared" si="29"/>
        <v>0</v>
      </c>
      <c r="AN110" s="162"/>
      <c r="AO110" s="162"/>
      <c r="AP110" s="162" t="s">
        <v>9</v>
      </c>
      <c r="AQ110" s="162" t="s">
        <v>124</v>
      </c>
    </row>
    <row r="111" spans="2:43" ht="15" hidden="1" customHeight="1" x14ac:dyDescent="0.3">
      <c r="K111" s="193" t="s">
        <v>123</v>
      </c>
      <c r="L111" s="45" t="str">
        <f t="shared" si="33"/>
        <v>-</v>
      </c>
      <c r="M111" s="45" t="str">
        <f t="shared" si="34"/>
        <v/>
      </c>
      <c r="N111" s="45" t="str">
        <f t="shared" si="20"/>
        <v/>
      </c>
      <c r="O111" s="58" t="str">
        <f t="shared" si="21"/>
        <v/>
      </c>
      <c r="R111" s="57">
        <f t="shared" si="23"/>
        <v>0</v>
      </c>
      <c r="T111" s="57">
        <f t="shared" si="24"/>
        <v>0</v>
      </c>
      <c r="V111" s="57">
        <f t="shared" si="25"/>
        <v>0</v>
      </c>
      <c r="X111" s="57">
        <f t="shared" si="26"/>
        <v>0</v>
      </c>
      <c r="Z111" s="57">
        <f t="shared" si="27"/>
        <v>0</v>
      </c>
      <c r="AB111" s="57">
        <f t="shared" si="28"/>
        <v>0</v>
      </c>
      <c r="AC111" s="1">
        <f t="shared" si="29"/>
        <v>0</v>
      </c>
      <c r="AN111" s="162"/>
      <c r="AO111" s="162"/>
      <c r="AP111" s="162"/>
      <c r="AQ111" s="162"/>
    </row>
    <row r="112" spans="2:43" ht="15" hidden="1" customHeight="1" x14ac:dyDescent="0.3">
      <c r="K112" s="193" t="s">
        <v>123</v>
      </c>
      <c r="L112" s="45" t="str">
        <f t="shared" si="33"/>
        <v>-</v>
      </c>
      <c r="M112" s="45" t="str">
        <f t="shared" si="34"/>
        <v/>
      </c>
      <c r="N112" s="45" t="str">
        <f t="shared" si="20"/>
        <v/>
      </c>
      <c r="O112" s="58" t="str">
        <f t="shared" si="21"/>
        <v/>
      </c>
      <c r="R112" s="57">
        <f t="shared" si="23"/>
        <v>0</v>
      </c>
      <c r="T112" s="57">
        <f t="shared" si="24"/>
        <v>0</v>
      </c>
      <c r="V112" s="57">
        <f t="shared" si="25"/>
        <v>0</v>
      </c>
      <c r="X112" s="57">
        <f t="shared" si="26"/>
        <v>0</v>
      </c>
      <c r="Z112" s="57">
        <f t="shared" si="27"/>
        <v>0</v>
      </c>
      <c r="AB112" s="57">
        <f t="shared" si="28"/>
        <v>0</v>
      </c>
      <c r="AC112" s="1">
        <f t="shared" si="29"/>
        <v>0</v>
      </c>
      <c r="AN112" s="162"/>
      <c r="AO112" s="162"/>
      <c r="AP112" s="162"/>
      <c r="AQ112" s="162"/>
    </row>
    <row r="113" spans="11:43" ht="15" hidden="1" customHeight="1" x14ac:dyDescent="0.3">
      <c r="K113" s="193" t="s">
        <v>123</v>
      </c>
      <c r="L113" s="45" t="str">
        <f t="shared" si="33"/>
        <v>-</v>
      </c>
      <c r="M113" s="45" t="str">
        <f t="shared" si="34"/>
        <v/>
      </c>
      <c r="N113" s="45" t="str">
        <f t="shared" si="20"/>
        <v/>
      </c>
      <c r="O113" s="58" t="str">
        <f t="shared" si="21"/>
        <v/>
      </c>
      <c r="R113" s="57">
        <f t="shared" si="23"/>
        <v>0</v>
      </c>
      <c r="T113" s="57">
        <f t="shared" si="24"/>
        <v>0</v>
      </c>
      <c r="V113" s="57">
        <f t="shared" si="25"/>
        <v>0</v>
      </c>
      <c r="X113" s="57">
        <f t="shared" si="26"/>
        <v>0</v>
      </c>
      <c r="Z113" s="57">
        <f t="shared" si="27"/>
        <v>0</v>
      </c>
      <c r="AB113" s="57">
        <f t="shared" si="28"/>
        <v>0</v>
      </c>
      <c r="AC113" s="1">
        <f t="shared" si="29"/>
        <v>0</v>
      </c>
      <c r="AN113" s="162"/>
      <c r="AO113" s="162"/>
      <c r="AP113" s="162"/>
      <c r="AQ113" s="162"/>
    </row>
    <row r="114" spans="11:43" ht="15" hidden="1" customHeight="1" x14ac:dyDescent="0.3">
      <c r="K114" s="193" t="s">
        <v>123</v>
      </c>
      <c r="L114" s="45" t="str">
        <f t="shared" si="33"/>
        <v>-</v>
      </c>
      <c r="M114" s="45" t="str">
        <f t="shared" si="34"/>
        <v/>
      </c>
      <c r="N114" s="45" t="str">
        <f t="shared" si="20"/>
        <v/>
      </c>
      <c r="O114" s="58" t="str">
        <f t="shared" si="21"/>
        <v/>
      </c>
      <c r="R114" s="57">
        <f t="shared" si="23"/>
        <v>0</v>
      </c>
      <c r="T114" s="57">
        <f t="shared" si="24"/>
        <v>0</v>
      </c>
      <c r="V114" s="57">
        <f t="shared" si="25"/>
        <v>0</v>
      </c>
      <c r="X114" s="57">
        <f t="shared" si="26"/>
        <v>0</v>
      </c>
      <c r="Z114" s="57">
        <f t="shared" si="27"/>
        <v>0</v>
      </c>
      <c r="AB114" s="57">
        <f t="shared" si="28"/>
        <v>0</v>
      </c>
      <c r="AC114" s="1">
        <f t="shared" si="29"/>
        <v>0</v>
      </c>
      <c r="AN114" s="162" t="s">
        <v>136</v>
      </c>
      <c r="AO114" s="162" t="s">
        <v>120</v>
      </c>
      <c r="AP114" s="162" t="s">
        <v>116</v>
      </c>
      <c r="AQ114" s="162" t="s">
        <v>181</v>
      </c>
    </row>
    <row r="115" spans="11:43" ht="15" hidden="1" customHeight="1" x14ac:dyDescent="0.3">
      <c r="K115" s="193" t="s">
        <v>123</v>
      </c>
      <c r="L115" s="45" t="str">
        <f t="shared" si="33"/>
        <v>-</v>
      </c>
      <c r="M115" s="45" t="str">
        <f t="shared" si="34"/>
        <v/>
      </c>
      <c r="N115" s="45" t="str">
        <f t="shared" si="20"/>
        <v/>
      </c>
      <c r="O115" s="58" t="str">
        <f t="shared" si="21"/>
        <v/>
      </c>
      <c r="R115" s="57">
        <f t="shared" si="23"/>
        <v>0</v>
      </c>
      <c r="T115" s="57">
        <f t="shared" si="24"/>
        <v>0</v>
      </c>
      <c r="V115" s="57">
        <f t="shared" si="25"/>
        <v>0</v>
      </c>
      <c r="X115" s="57">
        <f t="shared" si="26"/>
        <v>0</v>
      </c>
      <c r="Z115" s="57">
        <f t="shared" si="27"/>
        <v>0</v>
      </c>
      <c r="AB115" s="57">
        <f t="shared" si="28"/>
        <v>0</v>
      </c>
      <c r="AC115" s="1">
        <f t="shared" si="29"/>
        <v>0</v>
      </c>
      <c r="AN115" s="162" t="s">
        <v>130</v>
      </c>
      <c r="AO115" s="162" t="s">
        <v>182</v>
      </c>
      <c r="AP115" s="162" t="s">
        <v>130</v>
      </c>
      <c r="AQ115" s="162" t="s">
        <v>183</v>
      </c>
    </row>
    <row r="116" spans="11:43" ht="15" hidden="1" customHeight="1" x14ac:dyDescent="0.3">
      <c r="K116" s="193" t="s">
        <v>123</v>
      </c>
      <c r="L116" s="45" t="str">
        <f t="shared" si="33"/>
        <v>-</v>
      </c>
      <c r="M116" s="45" t="str">
        <f t="shared" si="34"/>
        <v/>
      </c>
      <c r="N116" s="45" t="str">
        <f t="shared" si="20"/>
        <v/>
      </c>
      <c r="O116" s="58" t="str">
        <f t="shared" si="21"/>
        <v/>
      </c>
      <c r="R116" s="57">
        <f t="shared" si="23"/>
        <v>0</v>
      </c>
      <c r="T116" s="57">
        <f t="shared" si="24"/>
        <v>0</v>
      </c>
      <c r="V116" s="57">
        <f t="shared" si="25"/>
        <v>0</v>
      </c>
      <c r="X116" s="57">
        <f t="shared" si="26"/>
        <v>0</v>
      </c>
      <c r="Z116" s="57">
        <f t="shared" si="27"/>
        <v>0</v>
      </c>
      <c r="AB116" s="57">
        <f t="shared" si="28"/>
        <v>0</v>
      </c>
      <c r="AC116" s="1">
        <f t="shared" si="29"/>
        <v>0</v>
      </c>
      <c r="AN116" s="162" t="s">
        <v>12</v>
      </c>
      <c r="AO116" s="162" t="s">
        <v>120</v>
      </c>
      <c r="AP116" s="162" t="s">
        <v>12</v>
      </c>
      <c r="AQ116" s="162" t="s">
        <v>120</v>
      </c>
    </row>
    <row r="117" spans="11:43" ht="15" hidden="1" customHeight="1" x14ac:dyDescent="0.3">
      <c r="K117" s="193" t="s">
        <v>123</v>
      </c>
      <c r="L117" s="45" t="str">
        <f t="shared" si="33"/>
        <v>-</v>
      </c>
      <c r="M117" s="45" t="str">
        <f t="shared" si="34"/>
        <v/>
      </c>
      <c r="N117" s="45" t="str">
        <f t="shared" si="20"/>
        <v/>
      </c>
      <c r="O117" s="58" t="str">
        <f t="shared" si="21"/>
        <v/>
      </c>
      <c r="R117" s="57">
        <f t="shared" si="23"/>
        <v>0</v>
      </c>
      <c r="T117" s="57">
        <f t="shared" si="24"/>
        <v>0</v>
      </c>
      <c r="V117" s="57">
        <f t="shared" si="25"/>
        <v>0</v>
      </c>
      <c r="X117" s="57">
        <f t="shared" si="26"/>
        <v>0</v>
      </c>
      <c r="Z117" s="57">
        <f t="shared" si="27"/>
        <v>0</v>
      </c>
      <c r="AB117" s="57">
        <f t="shared" si="28"/>
        <v>0</v>
      </c>
      <c r="AC117" s="1">
        <f t="shared" si="29"/>
        <v>0</v>
      </c>
      <c r="AN117" s="162"/>
      <c r="AO117" s="162"/>
      <c r="AP117" s="162"/>
      <c r="AQ117" s="162"/>
    </row>
    <row r="118" spans="11:43" ht="15" hidden="1" customHeight="1" x14ac:dyDescent="0.3">
      <c r="K118" s="193" t="s">
        <v>123</v>
      </c>
      <c r="L118" s="45" t="str">
        <f t="shared" si="33"/>
        <v>-</v>
      </c>
      <c r="M118" s="45" t="str">
        <f t="shared" si="34"/>
        <v/>
      </c>
      <c r="N118" s="45" t="str">
        <f t="shared" si="20"/>
        <v/>
      </c>
      <c r="O118" s="58" t="str">
        <f t="shared" si="21"/>
        <v/>
      </c>
      <c r="R118" s="57">
        <f t="shared" si="23"/>
        <v>0</v>
      </c>
      <c r="T118" s="57">
        <f t="shared" si="24"/>
        <v>0</v>
      </c>
      <c r="V118" s="57">
        <f t="shared" si="25"/>
        <v>0</v>
      </c>
      <c r="X118" s="57">
        <f t="shared" si="26"/>
        <v>0</v>
      </c>
      <c r="Z118" s="57">
        <f t="shared" si="27"/>
        <v>0</v>
      </c>
      <c r="AB118" s="57">
        <f t="shared" si="28"/>
        <v>0</v>
      </c>
      <c r="AC118" s="1">
        <f t="shared" si="29"/>
        <v>0</v>
      </c>
      <c r="AN118" s="162"/>
      <c r="AO118" s="162"/>
      <c r="AP118" s="162"/>
      <c r="AQ118" s="162"/>
    </row>
    <row r="119" spans="11:43" ht="15" hidden="1" customHeight="1" x14ac:dyDescent="0.3">
      <c r="K119" s="193" t="s">
        <v>123</v>
      </c>
      <c r="L119" s="45" t="str">
        <f t="shared" si="33"/>
        <v>-</v>
      </c>
      <c r="M119" s="45" t="str">
        <f t="shared" si="34"/>
        <v/>
      </c>
      <c r="N119" s="45" t="str">
        <f t="shared" si="20"/>
        <v/>
      </c>
      <c r="O119" s="58" t="str">
        <f t="shared" si="21"/>
        <v/>
      </c>
      <c r="R119" s="57">
        <f t="shared" si="23"/>
        <v>0</v>
      </c>
      <c r="T119" s="57">
        <f t="shared" si="24"/>
        <v>0</v>
      </c>
      <c r="V119" s="57">
        <f t="shared" si="25"/>
        <v>0</v>
      </c>
      <c r="X119" s="57">
        <f t="shared" si="26"/>
        <v>0</v>
      </c>
      <c r="Z119" s="57">
        <f t="shared" si="27"/>
        <v>0</v>
      </c>
      <c r="AB119" s="57">
        <f t="shared" si="28"/>
        <v>0</v>
      </c>
      <c r="AC119" s="1">
        <f t="shared" si="29"/>
        <v>0</v>
      </c>
      <c r="AN119" s="162"/>
      <c r="AO119" s="162"/>
      <c r="AP119" s="162"/>
      <c r="AQ119" s="162"/>
    </row>
    <row r="120" spans="11:43" ht="15" hidden="1" customHeight="1" x14ac:dyDescent="0.3">
      <c r="K120" s="193" t="s">
        <v>123</v>
      </c>
      <c r="L120" s="45" t="str">
        <f t="shared" si="33"/>
        <v>-</v>
      </c>
      <c r="M120" s="45" t="str">
        <f t="shared" si="34"/>
        <v/>
      </c>
      <c r="N120" s="45" t="str">
        <f t="shared" si="20"/>
        <v/>
      </c>
      <c r="O120" s="58" t="str">
        <f t="shared" si="21"/>
        <v/>
      </c>
      <c r="R120" s="57">
        <f t="shared" si="23"/>
        <v>0</v>
      </c>
      <c r="T120" s="57">
        <f t="shared" si="24"/>
        <v>0</v>
      </c>
      <c r="V120" s="57">
        <f t="shared" si="25"/>
        <v>0</v>
      </c>
      <c r="X120" s="57">
        <f t="shared" si="26"/>
        <v>0</v>
      </c>
      <c r="Z120" s="57">
        <f t="shared" si="27"/>
        <v>0</v>
      </c>
      <c r="AB120" s="57">
        <f t="shared" si="28"/>
        <v>0</v>
      </c>
      <c r="AC120" s="1">
        <f t="shared" si="29"/>
        <v>0</v>
      </c>
      <c r="AN120" s="162"/>
      <c r="AO120" s="162"/>
      <c r="AP120" s="162"/>
      <c r="AQ120" s="162"/>
    </row>
    <row r="121" spans="11:43" ht="15" hidden="1" customHeight="1" x14ac:dyDescent="0.3">
      <c r="K121" s="193" t="s">
        <v>123</v>
      </c>
      <c r="L121" s="45" t="str">
        <f t="shared" si="33"/>
        <v>-</v>
      </c>
      <c r="M121" s="45" t="str">
        <f t="shared" si="34"/>
        <v/>
      </c>
      <c r="N121" s="45" t="str">
        <f t="shared" si="20"/>
        <v/>
      </c>
      <c r="O121" s="58" t="str">
        <f t="shared" si="21"/>
        <v/>
      </c>
      <c r="R121" s="57">
        <f t="shared" si="23"/>
        <v>0</v>
      </c>
      <c r="T121" s="57">
        <f t="shared" si="24"/>
        <v>0</v>
      </c>
      <c r="V121" s="57">
        <f t="shared" si="25"/>
        <v>0</v>
      </c>
      <c r="X121" s="57">
        <f t="shared" si="26"/>
        <v>0</v>
      </c>
      <c r="Z121" s="57">
        <f t="shared" si="27"/>
        <v>0</v>
      </c>
      <c r="AB121" s="57">
        <f t="shared" si="28"/>
        <v>0</v>
      </c>
      <c r="AC121" s="1">
        <f t="shared" si="29"/>
        <v>0</v>
      </c>
      <c r="AN121" s="162"/>
      <c r="AO121" s="162"/>
      <c r="AP121" s="162"/>
      <c r="AQ121" s="162"/>
    </row>
    <row r="122" spans="11:43" ht="15" hidden="1" customHeight="1" x14ac:dyDescent="0.3">
      <c r="K122" s="193" t="s">
        <v>123</v>
      </c>
      <c r="L122" s="45" t="str">
        <f t="shared" si="33"/>
        <v>-</v>
      </c>
      <c r="M122" s="45" t="str">
        <f t="shared" si="34"/>
        <v/>
      </c>
      <c r="N122" s="45" t="str">
        <f t="shared" si="20"/>
        <v/>
      </c>
      <c r="O122" s="58" t="str">
        <f t="shared" si="21"/>
        <v/>
      </c>
      <c r="R122" s="57">
        <f t="shared" si="23"/>
        <v>0</v>
      </c>
      <c r="T122" s="57">
        <f t="shared" si="24"/>
        <v>0</v>
      </c>
      <c r="V122" s="57">
        <f t="shared" si="25"/>
        <v>0</v>
      </c>
      <c r="X122" s="57">
        <f t="shared" si="26"/>
        <v>0</v>
      </c>
      <c r="Z122" s="57">
        <f t="shared" si="27"/>
        <v>0</v>
      </c>
      <c r="AB122" s="57">
        <f t="shared" si="28"/>
        <v>0</v>
      </c>
      <c r="AC122" s="1">
        <f t="shared" si="29"/>
        <v>0</v>
      </c>
      <c r="AN122" s="162" t="s">
        <v>136</v>
      </c>
      <c r="AO122" s="162" t="s">
        <v>120</v>
      </c>
      <c r="AP122" s="162" t="s">
        <v>116</v>
      </c>
      <c r="AQ122" s="162" t="s">
        <v>184</v>
      </c>
    </row>
    <row r="123" spans="11:43" ht="15" hidden="1" customHeight="1" x14ac:dyDescent="0.3">
      <c r="K123" s="193" t="s">
        <v>123</v>
      </c>
      <c r="L123" s="45" t="str">
        <f t="shared" si="33"/>
        <v>-</v>
      </c>
      <c r="M123" s="45" t="str">
        <f t="shared" si="34"/>
        <v/>
      </c>
      <c r="N123" s="45" t="str">
        <f t="shared" si="20"/>
        <v/>
      </c>
      <c r="O123" s="58" t="str">
        <f t="shared" si="21"/>
        <v/>
      </c>
      <c r="R123" s="57">
        <f t="shared" si="23"/>
        <v>0</v>
      </c>
      <c r="T123" s="57">
        <f t="shared" si="24"/>
        <v>0</v>
      </c>
      <c r="V123" s="57">
        <f t="shared" si="25"/>
        <v>0</v>
      </c>
      <c r="X123" s="57">
        <f t="shared" si="26"/>
        <v>0</v>
      </c>
      <c r="Z123" s="57">
        <f t="shared" si="27"/>
        <v>0</v>
      </c>
      <c r="AB123" s="57">
        <f t="shared" si="28"/>
        <v>0</v>
      </c>
      <c r="AC123" s="1">
        <f t="shared" si="29"/>
        <v>0</v>
      </c>
      <c r="AN123" s="162" t="s">
        <v>130</v>
      </c>
      <c r="AO123" s="162" t="s">
        <v>152</v>
      </c>
      <c r="AP123" s="162" t="s">
        <v>130</v>
      </c>
      <c r="AQ123" s="162" t="s">
        <v>185</v>
      </c>
    </row>
    <row r="124" spans="11:43" ht="15" hidden="1" customHeight="1" x14ac:dyDescent="0.3">
      <c r="K124" s="193" t="s">
        <v>123</v>
      </c>
      <c r="L124" s="45" t="str">
        <f t="shared" si="33"/>
        <v>-</v>
      </c>
      <c r="M124" s="45" t="str">
        <f t="shared" si="34"/>
        <v/>
      </c>
      <c r="N124" s="45" t="str">
        <f t="shared" si="20"/>
        <v/>
      </c>
      <c r="O124" s="58" t="str">
        <f t="shared" si="21"/>
        <v/>
      </c>
      <c r="R124" s="57">
        <f t="shared" si="23"/>
        <v>0</v>
      </c>
      <c r="T124" s="57">
        <f t="shared" si="24"/>
        <v>0</v>
      </c>
      <c r="V124" s="57">
        <f t="shared" si="25"/>
        <v>0</v>
      </c>
      <c r="X124" s="57">
        <f t="shared" si="26"/>
        <v>0</v>
      </c>
      <c r="Z124" s="57">
        <f t="shared" si="27"/>
        <v>0</v>
      </c>
      <c r="AB124" s="57">
        <f t="shared" si="28"/>
        <v>0</v>
      </c>
      <c r="AC124" s="1">
        <f t="shared" si="29"/>
        <v>0</v>
      </c>
      <c r="AN124" s="162" t="s">
        <v>12</v>
      </c>
      <c r="AO124" s="162" t="s">
        <v>120</v>
      </c>
      <c r="AP124" s="162" t="s">
        <v>12</v>
      </c>
      <c r="AQ124" s="162" t="s">
        <v>120</v>
      </c>
    </row>
    <row r="125" spans="11:43" ht="15" hidden="1" customHeight="1" x14ac:dyDescent="0.3">
      <c r="K125" s="193" t="s">
        <v>123</v>
      </c>
      <c r="L125" s="45" t="str">
        <f t="shared" si="33"/>
        <v>-</v>
      </c>
      <c r="M125" s="45" t="str">
        <f t="shared" si="34"/>
        <v/>
      </c>
      <c r="N125" s="45" t="str">
        <f t="shared" si="20"/>
        <v/>
      </c>
      <c r="O125" s="58" t="str">
        <f t="shared" si="21"/>
        <v/>
      </c>
      <c r="R125" s="57">
        <f t="shared" si="23"/>
        <v>0</v>
      </c>
      <c r="T125" s="57">
        <f t="shared" si="24"/>
        <v>0</v>
      </c>
      <c r="V125" s="57">
        <f t="shared" si="25"/>
        <v>0</v>
      </c>
      <c r="X125" s="57">
        <f t="shared" si="26"/>
        <v>0</v>
      </c>
      <c r="Z125" s="57">
        <f t="shared" si="27"/>
        <v>0</v>
      </c>
      <c r="AB125" s="57">
        <f t="shared" si="28"/>
        <v>0</v>
      </c>
      <c r="AC125" s="1">
        <f t="shared" si="29"/>
        <v>0</v>
      </c>
      <c r="AN125" s="162"/>
      <c r="AO125" s="162"/>
      <c r="AP125" s="162"/>
      <c r="AQ125" s="162"/>
    </row>
    <row r="126" spans="11:43" ht="15" hidden="1" customHeight="1" x14ac:dyDescent="0.3">
      <c r="K126" s="193" t="s">
        <v>123</v>
      </c>
      <c r="L126" s="45" t="str">
        <f t="shared" si="33"/>
        <v>-</v>
      </c>
      <c r="M126" s="45" t="str">
        <f t="shared" si="34"/>
        <v/>
      </c>
      <c r="N126" s="45" t="str">
        <f t="shared" si="20"/>
        <v/>
      </c>
      <c r="O126" s="58" t="str">
        <f t="shared" si="21"/>
        <v/>
      </c>
      <c r="R126" s="57">
        <f t="shared" si="23"/>
        <v>0</v>
      </c>
      <c r="T126" s="57">
        <f t="shared" si="24"/>
        <v>0</v>
      </c>
      <c r="V126" s="57">
        <f t="shared" si="25"/>
        <v>0</v>
      </c>
      <c r="X126" s="57">
        <f t="shared" si="26"/>
        <v>0</v>
      </c>
      <c r="Z126" s="57">
        <f t="shared" si="27"/>
        <v>0</v>
      </c>
      <c r="AB126" s="57">
        <f t="shared" si="28"/>
        <v>0</v>
      </c>
      <c r="AC126" s="1">
        <f t="shared" si="29"/>
        <v>0</v>
      </c>
      <c r="AN126" s="162"/>
      <c r="AO126" s="162"/>
      <c r="AP126" s="162"/>
      <c r="AQ126" s="162"/>
    </row>
    <row r="127" spans="11:43" ht="15" hidden="1" customHeight="1" x14ac:dyDescent="0.3">
      <c r="K127" s="193" t="s">
        <v>123</v>
      </c>
      <c r="L127" s="45" t="str">
        <f t="shared" si="33"/>
        <v>-</v>
      </c>
      <c r="M127" s="45" t="str">
        <f t="shared" si="34"/>
        <v/>
      </c>
      <c r="N127" s="45" t="str">
        <f t="shared" si="20"/>
        <v/>
      </c>
      <c r="O127" s="58" t="str">
        <f t="shared" si="21"/>
        <v/>
      </c>
      <c r="R127" s="57">
        <f t="shared" si="23"/>
        <v>0</v>
      </c>
      <c r="T127" s="57">
        <f t="shared" si="24"/>
        <v>0</v>
      </c>
      <c r="V127" s="57">
        <f t="shared" si="25"/>
        <v>0</v>
      </c>
      <c r="X127" s="57">
        <f t="shared" si="26"/>
        <v>0</v>
      </c>
      <c r="Z127" s="57">
        <f t="shared" si="27"/>
        <v>0</v>
      </c>
      <c r="AB127" s="57">
        <f t="shared" si="28"/>
        <v>0</v>
      </c>
      <c r="AC127" s="1">
        <f t="shared" si="29"/>
        <v>0</v>
      </c>
      <c r="AN127" s="162"/>
      <c r="AO127" s="162"/>
      <c r="AP127" s="162"/>
      <c r="AQ127" s="162"/>
    </row>
    <row r="128" spans="11:43" ht="15" hidden="1" customHeight="1" x14ac:dyDescent="0.3">
      <c r="K128" s="193" t="s">
        <v>123</v>
      </c>
      <c r="L128" s="45" t="str">
        <f t="shared" si="33"/>
        <v>-</v>
      </c>
      <c r="M128" s="45" t="str">
        <f t="shared" si="34"/>
        <v/>
      </c>
      <c r="N128" s="45" t="str">
        <f t="shared" si="20"/>
        <v/>
      </c>
      <c r="O128" s="58" t="str">
        <f t="shared" si="21"/>
        <v/>
      </c>
      <c r="R128" s="57">
        <f t="shared" si="23"/>
        <v>0</v>
      </c>
      <c r="T128" s="57">
        <f t="shared" si="24"/>
        <v>0</v>
      </c>
      <c r="V128" s="57">
        <f t="shared" si="25"/>
        <v>0</v>
      </c>
      <c r="X128" s="57">
        <f t="shared" si="26"/>
        <v>0</v>
      </c>
      <c r="Z128" s="57">
        <f t="shared" si="27"/>
        <v>0</v>
      </c>
      <c r="AB128" s="57">
        <f t="shared" si="28"/>
        <v>0</v>
      </c>
      <c r="AC128" s="1">
        <f t="shared" si="29"/>
        <v>0</v>
      </c>
      <c r="AN128" s="162"/>
      <c r="AO128" s="162"/>
      <c r="AP128" s="162"/>
      <c r="AQ128" s="162"/>
    </row>
    <row r="129" spans="11:43" ht="15" hidden="1" customHeight="1" x14ac:dyDescent="0.3">
      <c r="K129" s="193" t="s">
        <v>123</v>
      </c>
      <c r="L129" s="45" t="str">
        <f t="shared" si="33"/>
        <v>-</v>
      </c>
      <c r="M129" s="45" t="str">
        <f t="shared" si="34"/>
        <v/>
      </c>
      <c r="N129" s="45" t="str">
        <f t="shared" si="20"/>
        <v/>
      </c>
      <c r="O129" s="58" t="str">
        <f t="shared" si="21"/>
        <v/>
      </c>
      <c r="R129" s="57">
        <f t="shared" si="23"/>
        <v>0</v>
      </c>
      <c r="T129" s="57">
        <f t="shared" si="24"/>
        <v>0</v>
      </c>
      <c r="V129" s="57">
        <f t="shared" si="25"/>
        <v>0</v>
      </c>
      <c r="X129" s="57">
        <f t="shared" si="26"/>
        <v>0</v>
      </c>
      <c r="Z129" s="57">
        <f t="shared" si="27"/>
        <v>0</v>
      </c>
      <c r="AB129" s="57">
        <f t="shared" si="28"/>
        <v>0</v>
      </c>
      <c r="AC129" s="1">
        <f t="shared" si="29"/>
        <v>0</v>
      </c>
      <c r="AN129" s="162"/>
      <c r="AO129" s="162"/>
      <c r="AP129" s="162"/>
      <c r="AQ129" s="162"/>
    </row>
    <row r="130" spans="11:43" ht="15" hidden="1" customHeight="1" x14ac:dyDescent="0.3">
      <c r="K130" s="193" t="s">
        <v>124</v>
      </c>
      <c r="L130" s="45" t="str">
        <f>IFERROR(VLOOKUP(E66,$AD:$AF,3),"-")</f>
        <v>-</v>
      </c>
      <c r="M130" s="45" t="str">
        <f>IF(L66="-","",IF(E66="","",CONCATENATE(TEXT(E66,"dd-mm-aaaa")," - ",B66," ",E$65)))</f>
        <v/>
      </c>
      <c r="N130" s="45" t="str">
        <f t="shared" si="20"/>
        <v/>
      </c>
      <c r="O130" s="58" t="str">
        <f t="shared" si="21"/>
        <v/>
      </c>
      <c r="R130" s="57">
        <f t="shared" si="23"/>
        <v>0</v>
      </c>
      <c r="T130" s="57">
        <f t="shared" si="24"/>
        <v>0</v>
      </c>
      <c r="V130" s="57">
        <f t="shared" si="25"/>
        <v>0</v>
      </c>
      <c r="X130" s="57">
        <f t="shared" si="26"/>
        <v>0</v>
      </c>
      <c r="Z130" s="57">
        <f t="shared" si="27"/>
        <v>0</v>
      </c>
      <c r="AB130" s="57">
        <f t="shared" si="28"/>
        <v>0</v>
      </c>
      <c r="AC130" s="1">
        <f t="shared" si="29"/>
        <v>0</v>
      </c>
      <c r="AN130" s="162" t="s">
        <v>136</v>
      </c>
      <c r="AO130" s="162" t="s">
        <v>120</v>
      </c>
      <c r="AP130" s="162" t="s">
        <v>116</v>
      </c>
      <c r="AQ130" s="162" t="s">
        <v>186</v>
      </c>
    </row>
    <row r="131" spans="11:43" ht="15" hidden="1" customHeight="1" x14ac:dyDescent="0.3">
      <c r="K131" s="193" t="s">
        <v>124</v>
      </c>
      <c r="L131" s="45" t="str">
        <f t="shared" ref="L131:L161" si="35">IFERROR(VLOOKUP(E67,$AD:$AF,3),"-")</f>
        <v>-</v>
      </c>
      <c r="M131" s="45" t="str">
        <f t="shared" ref="M131:M161" si="36">IF(L67="-","",IF(E67="","",CONCATENATE(TEXT(E67,"dd-mm-aaaa")," - ",B67," ",E$65)))</f>
        <v/>
      </c>
      <c r="N131" s="45" t="str">
        <f t="shared" ref="N131:N194" si="37">LEFT(M131,10)</f>
        <v/>
      </c>
      <c r="O131" s="58" t="str">
        <f t="shared" ref="O131:O194" si="38">IF(B131="","",B131)</f>
        <v/>
      </c>
      <c r="R131" s="57">
        <f t="shared" ref="R131:R194" si="39">C131</f>
        <v>0</v>
      </c>
      <c r="T131" s="57">
        <f t="shared" ref="T131:T194" si="40">D131</f>
        <v>0</v>
      </c>
      <c r="V131" s="57">
        <f t="shared" ref="V131:V194" si="41">E131</f>
        <v>0</v>
      </c>
      <c r="X131" s="57">
        <f t="shared" ref="X131:X194" si="42">F131</f>
        <v>0</v>
      </c>
      <c r="Z131" s="57">
        <f t="shared" ref="Z131:Z194" si="43">G131</f>
        <v>0</v>
      </c>
      <c r="AB131" s="57">
        <f t="shared" ref="AB131:AB194" si="44">H131</f>
        <v>0</v>
      </c>
      <c r="AC131" s="1">
        <f t="shared" ref="AC131:AC194" si="45">B131</f>
        <v>0</v>
      </c>
      <c r="AN131" s="162" t="s">
        <v>130</v>
      </c>
      <c r="AO131" s="162" t="s">
        <v>187</v>
      </c>
      <c r="AP131" s="162" t="s">
        <v>130</v>
      </c>
      <c r="AQ131" s="162" t="s">
        <v>188</v>
      </c>
    </row>
    <row r="132" spans="11:43" ht="15" hidden="1" customHeight="1" x14ac:dyDescent="0.3">
      <c r="K132" s="193" t="s">
        <v>124</v>
      </c>
      <c r="L132" s="45" t="str">
        <f t="shared" si="35"/>
        <v>-</v>
      </c>
      <c r="M132" s="45" t="str">
        <f t="shared" si="36"/>
        <v/>
      </c>
      <c r="N132" s="45" t="str">
        <f t="shared" si="37"/>
        <v/>
      </c>
      <c r="O132" s="58" t="str">
        <f t="shared" si="38"/>
        <v/>
      </c>
      <c r="R132" s="57">
        <f t="shared" si="39"/>
        <v>0</v>
      </c>
      <c r="T132" s="57">
        <f t="shared" si="40"/>
        <v>0</v>
      </c>
      <c r="V132" s="57">
        <f t="shared" si="41"/>
        <v>0</v>
      </c>
      <c r="X132" s="57">
        <f t="shared" si="42"/>
        <v>0</v>
      </c>
      <c r="Z132" s="57">
        <f t="shared" si="43"/>
        <v>0</v>
      </c>
      <c r="AB132" s="57">
        <f t="shared" si="44"/>
        <v>0</v>
      </c>
      <c r="AC132" s="1">
        <f t="shared" si="45"/>
        <v>0</v>
      </c>
      <c r="AN132" s="162" t="s">
        <v>12</v>
      </c>
      <c r="AO132" s="162" t="s">
        <v>120</v>
      </c>
      <c r="AP132" s="162" t="s">
        <v>12</v>
      </c>
      <c r="AQ132" s="162" t="s">
        <v>120</v>
      </c>
    </row>
    <row r="133" spans="11:43" ht="15" hidden="1" customHeight="1" x14ac:dyDescent="0.3">
      <c r="K133" s="193" t="s">
        <v>124</v>
      </c>
      <c r="L133" s="45" t="str">
        <f t="shared" si="35"/>
        <v>-</v>
      </c>
      <c r="M133" s="45" t="str">
        <f t="shared" si="36"/>
        <v/>
      </c>
      <c r="N133" s="45" t="str">
        <f t="shared" si="37"/>
        <v/>
      </c>
      <c r="O133" s="58" t="str">
        <f t="shared" si="38"/>
        <v/>
      </c>
      <c r="R133" s="57">
        <f t="shared" si="39"/>
        <v>0</v>
      </c>
      <c r="T133" s="57">
        <f t="shared" si="40"/>
        <v>0</v>
      </c>
      <c r="V133" s="57">
        <f t="shared" si="41"/>
        <v>0</v>
      </c>
      <c r="X133" s="57">
        <f t="shared" si="42"/>
        <v>0</v>
      </c>
      <c r="Z133" s="57">
        <f t="shared" si="43"/>
        <v>0</v>
      </c>
      <c r="AB133" s="57">
        <f t="shared" si="44"/>
        <v>0</v>
      </c>
      <c r="AC133" s="1">
        <f t="shared" si="45"/>
        <v>0</v>
      </c>
      <c r="AN133" s="162"/>
      <c r="AO133" s="162"/>
      <c r="AP133" s="162"/>
      <c r="AQ133" s="162"/>
    </row>
    <row r="134" spans="11:43" ht="15" hidden="1" customHeight="1" x14ac:dyDescent="0.3">
      <c r="K134" s="193" t="s">
        <v>124</v>
      </c>
      <c r="L134" s="45" t="str">
        <f t="shared" si="35"/>
        <v>-</v>
      </c>
      <c r="M134" s="45" t="str">
        <f t="shared" si="36"/>
        <v/>
      </c>
      <c r="N134" s="45" t="str">
        <f t="shared" si="37"/>
        <v/>
      </c>
      <c r="O134" s="58" t="str">
        <f t="shared" si="38"/>
        <v/>
      </c>
      <c r="R134" s="57">
        <f t="shared" si="39"/>
        <v>0</v>
      </c>
      <c r="T134" s="57">
        <f t="shared" si="40"/>
        <v>0</v>
      </c>
      <c r="V134" s="57">
        <f t="shared" si="41"/>
        <v>0</v>
      </c>
      <c r="X134" s="57">
        <f t="shared" si="42"/>
        <v>0</v>
      </c>
      <c r="Z134" s="57">
        <f t="shared" si="43"/>
        <v>0</v>
      </c>
      <c r="AB134" s="57">
        <f t="shared" si="44"/>
        <v>0</v>
      </c>
      <c r="AC134" s="1">
        <f t="shared" si="45"/>
        <v>0</v>
      </c>
      <c r="AN134" s="162"/>
      <c r="AO134" s="162"/>
      <c r="AP134" s="162"/>
      <c r="AQ134" s="162"/>
    </row>
    <row r="135" spans="11:43" ht="15" hidden="1" customHeight="1" x14ac:dyDescent="0.3">
      <c r="K135" s="193" t="s">
        <v>124</v>
      </c>
      <c r="L135" s="45" t="str">
        <f t="shared" si="35"/>
        <v>-</v>
      </c>
      <c r="M135" s="45" t="str">
        <f t="shared" si="36"/>
        <v/>
      </c>
      <c r="N135" s="45" t="str">
        <f t="shared" si="37"/>
        <v/>
      </c>
      <c r="O135" s="58" t="str">
        <f t="shared" si="38"/>
        <v/>
      </c>
      <c r="R135" s="57">
        <f t="shared" si="39"/>
        <v>0</v>
      </c>
      <c r="T135" s="57">
        <f t="shared" si="40"/>
        <v>0</v>
      </c>
      <c r="V135" s="57">
        <f t="shared" si="41"/>
        <v>0</v>
      </c>
      <c r="X135" s="57">
        <f t="shared" si="42"/>
        <v>0</v>
      </c>
      <c r="Z135" s="57">
        <f t="shared" si="43"/>
        <v>0</v>
      </c>
      <c r="AB135" s="57">
        <f t="shared" si="44"/>
        <v>0</v>
      </c>
      <c r="AC135" s="1">
        <f t="shared" si="45"/>
        <v>0</v>
      </c>
      <c r="AN135" s="162"/>
      <c r="AO135" s="162"/>
      <c r="AP135" s="162"/>
      <c r="AQ135" s="162"/>
    </row>
    <row r="136" spans="11:43" ht="15" hidden="1" customHeight="1" x14ac:dyDescent="0.3">
      <c r="K136" s="193" t="s">
        <v>124</v>
      </c>
      <c r="L136" s="45" t="str">
        <f t="shared" si="35"/>
        <v>-</v>
      </c>
      <c r="M136" s="45" t="str">
        <f t="shared" si="36"/>
        <v/>
      </c>
      <c r="N136" s="45" t="str">
        <f t="shared" si="37"/>
        <v/>
      </c>
      <c r="O136" s="58" t="str">
        <f t="shared" si="38"/>
        <v/>
      </c>
      <c r="R136" s="57">
        <f t="shared" si="39"/>
        <v>0</v>
      </c>
      <c r="T136" s="57">
        <f t="shared" si="40"/>
        <v>0</v>
      </c>
      <c r="V136" s="57">
        <f t="shared" si="41"/>
        <v>0</v>
      </c>
      <c r="X136" s="57">
        <f t="shared" si="42"/>
        <v>0</v>
      </c>
      <c r="Z136" s="57">
        <f t="shared" si="43"/>
        <v>0</v>
      </c>
      <c r="AB136" s="57">
        <f t="shared" si="44"/>
        <v>0</v>
      </c>
      <c r="AC136" s="1">
        <f t="shared" si="45"/>
        <v>0</v>
      </c>
      <c r="AN136" s="162"/>
      <c r="AO136" s="162"/>
      <c r="AP136" s="162"/>
      <c r="AQ136" s="162"/>
    </row>
    <row r="137" spans="11:43" ht="15" hidden="1" customHeight="1" x14ac:dyDescent="0.3">
      <c r="K137" s="193" t="s">
        <v>124</v>
      </c>
      <c r="L137" s="45" t="str">
        <f t="shared" si="35"/>
        <v>-</v>
      </c>
      <c r="M137" s="45" t="str">
        <f t="shared" si="36"/>
        <v/>
      </c>
      <c r="N137" s="45" t="str">
        <f t="shared" si="37"/>
        <v/>
      </c>
      <c r="O137" s="58" t="str">
        <f t="shared" si="38"/>
        <v/>
      </c>
      <c r="R137" s="57">
        <f t="shared" si="39"/>
        <v>0</v>
      </c>
      <c r="T137" s="57">
        <f t="shared" si="40"/>
        <v>0</v>
      </c>
      <c r="V137" s="57">
        <f t="shared" si="41"/>
        <v>0</v>
      </c>
      <c r="X137" s="57">
        <f t="shared" si="42"/>
        <v>0</v>
      </c>
      <c r="Z137" s="57">
        <f t="shared" si="43"/>
        <v>0</v>
      </c>
      <c r="AB137" s="57">
        <f t="shared" si="44"/>
        <v>0</v>
      </c>
      <c r="AC137" s="1">
        <f t="shared" si="45"/>
        <v>0</v>
      </c>
      <c r="AN137" s="162"/>
      <c r="AO137" s="162"/>
      <c r="AP137" s="162"/>
      <c r="AQ137" s="162"/>
    </row>
    <row r="138" spans="11:43" ht="15" hidden="1" customHeight="1" x14ac:dyDescent="0.3">
      <c r="K138" s="193" t="s">
        <v>124</v>
      </c>
      <c r="L138" s="45" t="str">
        <f t="shared" si="35"/>
        <v>-</v>
      </c>
      <c r="M138" s="45" t="str">
        <f t="shared" si="36"/>
        <v/>
      </c>
      <c r="N138" s="45" t="str">
        <f t="shared" si="37"/>
        <v/>
      </c>
      <c r="O138" s="58" t="str">
        <f t="shared" si="38"/>
        <v/>
      </c>
      <c r="R138" s="57">
        <f t="shared" si="39"/>
        <v>0</v>
      </c>
      <c r="T138" s="57">
        <f t="shared" si="40"/>
        <v>0</v>
      </c>
      <c r="V138" s="57">
        <f t="shared" si="41"/>
        <v>0</v>
      </c>
      <c r="X138" s="57">
        <f t="shared" si="42"/>
        <v>0</v>
      </c>
      <c r="Z138" s="57">
        <f t="shared" si="43"/>
        <v>0</v>
      </c>
      <c r="AB138" s="57">
        <f t="shared" si="44"/>
        <v>0</v>
      </c>
      <c r="AC138" s="1">
        <f t="shared" si="45"/>
        <v>0</v>
      </c>
      <c r="AN138" s="162" t="s">
        <v>136</v>
      </c>
      <c r="AO138" s="162" t="s">
        <v>120</v>
      </c>
      <c r="AP138" s="162" t="s">
        <v>116</v>
      </c>
      <c r="AQ138" s="162" t="s">
        <v>189</v>
      </c>
    </row>
    <row r="139" spans="11:43" ht="15" hidden="1" customHeight="1" x14ac:dyDescent="0.3">
      <c r="K139" s="193" t="s">
        <v>124</v>
      </c>
      <c r="L139" s="45" t="str">
        <f t="shared" si="35"/>
        <v>-</v>
      </c>
      <c r="M139" s="45" t="str">
        <f t="shared" si="36"/>
        <v/>
      </c>
      <c r="N139" s="45" t="str">
        <f t="shared" si="37"/>
        <v/>
      </c>
      <c r="O139" s="58" t="str">
        <f t="shared" si="38"/>
        <v/>
      </c>
      <c r="R139" s="57">
        <f t="shared" si="39"/>
        <v>0</v>
      </c>
      <c r="T139" s="57">
        <f t="shared" si="40"/>
        <v>0</v>
      </c>
      <c r="V139" s="57">
        <f t="shared" si="41"/>
        <v>0</v>
      </c>
      <c r="X139" s="57">
        <f t="shared" si="42"/>
        <v>0</v>
      </c>
      <c r="Z139" s="57">
        <f t="shared" si="43"/>
        <v>0</v>
      </c>
      <c r="AB139" s="57">
        <f t="shared" si="44"/>
        <v>0</v>
      </c>
      <c r="AC139" s="1">
        <f t="shared" si="45"/>
        <v>0</v>
      </c>
      <c r="AN139" s="162" t="s">
        <v>130</v>
      </c>
      <c r="AO139" s="162" t="s">
        <v>190</v>
      </c>
      <c r="AP139" s="162" t="s">
        <v>130</v>
      </c>
      <c r="AQ139" s="162" t="s">
        <v>191</v>
      </c>
    </row>
    <row r="140" spans="11:43" ht="15" hidden="1" customHeight="1" x14ac:dyDescent="0.3">
      <c r="K140" s="193" t="s">
        <v>124</v>
      </c>
      <c r="L140" s="45" t="str">
        <f t="shared" si="35"/>
        <v>-</v>
      </c>
      <c r="M140" s="45" t="str">
        <f t="shared" si="36"/>
        <v/>
      </c>
      <c r="N140" s="45" t="str">
        <f t="shared" si="37"/>
        <v/>
      </c>
      <c r="O140" s="58" t="str">
        <f t="shared" si="38"/>
        <v/>
      </c>
      <c r="R140" s="57">
        <f t="shared" si="39"/>
        <v>0</v>
      </c>
      <c r="T140" s="57">
        <f t="shared" si="40"/>
        <v>0</v>
      </c>
      <c r="V140" s="57">
        <f t="shared" si="41"/>
        <v>0</v>
      </c>
      <c r="X140" s="57">
        <f t="shared" si="42"/>
        <v>0</v>
      </c>
      <c r="Z140" s="57">
        <f t="shared" si="43"/>
        <v>0</v>
      </c>
      <c r="AB140" s="57">
        <f t="shared" si="44"/>
        <v>0</v>
      </c>
      <c r="AC140" s="1">
        <f t="shared" si="45"/>
        <v>0</v>
      </c>
      <c r="AN140" s="162" t="s">
        <v>12</v>
      </c>
      <c r="AO140" s="162" t="s">
        <v>120</v>
      </c>
      <c r="AP140" s="162" t="s">
        <v>12</v>
      </c>
      <c r="AQ140" s="162" t="s">
        <v>120</v>
      </c>
    </row>
    <row r="141" spans="11:43" ht="15" hidden="1" customHeight="1" x14ac:dyDescent="0.3">
      <c r="K141" s="193" t="s">
        <v>124</v>
      </c>
      <c r="L141" s="45" t="str">
        <f t="shared" si="35"/>
        <v>-</v>
      </c>
      <c r="M141" s="45" t="str">
        <f t="shared" si="36"/>
        <v/>
      </c>
      <c r="N141" s="45" t="str">
        <f t="shared" si="37"/>
        <v/>
      </c>
      <c r="O141" s="58" t="str">
        <f t="shared" si="38"/>
        <v/>
      </c>
      <c r="R141" s="57">
        <f t="shared" si="39"/>
        <v>0</v>
      </c>
      <c r="T141" s="57">
        <f t="shared" si="40"/>
        <v>0</v>
      </c>
      <c r="V141" s="57">
        <f t="shared" si="41"/>
        <v>0</v>
      </c>
      <c r="X141" s="57">
        <f t="shared" si="42"/>
        <v>0</v>
      </c>
      <c r="Z141" s="57">
        <f t="shared" si="43"/>
        <v>0</v>
      </c>
      <c r="AB141" s="57">
        <f t="shared" si="44"/>
        <v>0</v>
      </c>
      <c r="AC141" s="1">
        <f t="shared" si="45"/>
        <v>0</v>
      </c>
      <c r="AN141" s="162"/>
      <c r="AO141" s="162"/>
      <c r="AP141" s="162"/>
      <c r="AQ141" s="162"/>
    </row>
    <row r="142" spans="11:43" ht="15" hidden="1" customHeight="1" x14ac:dyDescent="0.3">
      <c r="K142" s="193" t="s">
        <v>124</v>
      </c>
      <c r="L142" s="45" t="str">
        <f t="shared" si="35"/>
        <v>-</v>
      </c>
      <c r="M142" s="45" t="str">
        <f t="shared" si="36"/>
        <v/>
      </c>
      <c r="N142" s="45" t="str">
        <f t="shared" si="37"/>
        <v/>
      </c>
      <c r="O142" s="58" t="str">
        <f t="shared" si="38"/>
        <v/>
      </c>
      <c r="R142" s="57">
        <f t="shared" si="39"/>
        <v>0</v>
      </c>
      <c r="T142" s="57">
        <f t="shared" si="40"/>
        <v>0</v>
      </c>
      <c r="V142" s="57">
        <f t="shared" si="41"/>
        <v>0</v>
      </c>
      <c r="X142" s="57">
        <f t="shared" si="42"/>
        <v>0</v>
      </c>
      <c r="Z142" s="57">
        <f t="shared" si="43"/>
        <v>0</v>
      </c>
      <c r="AB142" s="57">
        <f t="shared" si="44"/>
        <v>0</v>
      </c>
      <c r="AC142" s="1">
        <f t="shared" si="45"/>
        <v>0</v>
      </c>
      <c r="AN142" s="162"/>
      <c r="AO142" s="162"/>
      <c r="AP142" s="162"/>
      <c r="AQ142" s="162"/>
    </row>
    <row r="143" spans="11:43" ht="15" hidden="1" customHeight="1" x14ac:dyDescent="0.3">
      <c r="K143" s="193" t="s">
        <v>124</v>
      </c>
      <c r="L143" s="45" t="str">
        <f t="shared" si="35"/>
        <v>-</v>
      </c>
      <c r="M143" s="45" t="str">
        <f t="shared" si="36"/>
        <v/>
      </c>
      <c r="N143" s="45" t="str">
        <f t="shared" si="37"/>
        <v/>
      </c>
      <c r="O143" s="58" t="str">
        <f t="shared" si="38"/>
        <v/>
      </c>
      <c r="R143" s="57">
        <f t="shared" si="39"/>
        <v>0</v>
      </c>
      <c r="T143" s="57">
        <f t="shared" si="40"/>
        <v>0</v>
      </c>
      <c r="V143" s="57">
        <f t="shared" si="41"/>
        <v>0</v>
      </c>
      <c r="X143" s="57">
        <f t="shared" si="42"/>
        <v>0</v>
      </c>
      <c r="Z143" s="57">
        <f t="shared" si="43"/>
        <v>0</v>
      </c>
      <c r="AB143" s="57">
        <f t="shared" si="44"/>
        <v>0</v>
      </c>
      <c r="AC143" s="1">
        <f t="shared" si="45"/>
        <v>0</v>
      </c>
      <c r="AN143" s="162"/>
      <c r="AO143" s="162"/>
      <c r="AP143" s="162"/>
      <c r="AQ143" s="162"/>
    </row>
    <row r="144" spans="11:43" ht="15" hidden="1" customHeight="1" x14ac:dyDescent="0.3">
      <c r="K144" s="193" t="s">
        <v>124</v>
      </c>
      <c r="L144" s="45" t="str">
        <f t="shared" si="35"/>
        <v>-</v>
      </c>
      <c r="M144" s="45" t="str">
        <f t="shared" si="36"/>
        <v/>
      </c>
      <c r="N144" s="45" t="str">
        <f t="shared" si="37"/>
        <v/>
      </c>
      <c r="O144" s="58" t="str">
        <f t="shared" si="38"/>
        <v/>
      </c>
      <c r="R144" s="57">
        <f t="shared" si="39"/>
        <v>0</v>
      </c>
      <c r="T144" s="57">
        <f t="shared" si="40"/>
        <v>0</v>
      </c>
      <c r="V144" s="57">
        <f t="shared" si="41"/>
        <v>0</v>
      </c>
      <c r="X144" s="57">
        <f t="shared" si="42"/>
        <v>0</v>
      </c>
      <c r="Z144" s="57">
        <f t="shared" si="43"/>
        <v>0</v>
      </c>
      <c r="AB144" s="57">
        <f t="shared" si="44"/>
        <v>0</v>
      </c>
      <c r="AC144" s="1">
        <f t="shared" si="45"/>
        <v>0</v>
      </c>
      <c r="AN144" s="162"/>
      <c r="AO144" s="162"/>
      <c r="AP144" s="162"/>
      <c r="AQ144" s="162"/>
    </row>
    <row r="145" spans="11:43" ht="15" hidden="1" customHeight="1" x14ac:dyDescent="0.3">
      <c r="K145" s="193" t="s">
        <v>124</v>
      </c>
      <c r="L145" s="45" t="str">
        <f t="shared" si="35"/>
        <v>-</v>
      </c>
      <c r="M145" s="45" t="str">
        <f t="shared" si="36"/>
        <v/>
      </c>
      <c r="N145" s="45" t="str">
        <f t="shared" si="37"/>
        <v/>
      </c>
      <c r="O145" s="58" t="str">
        <f t="shared" si="38"/>
        <v/>
      </c>
      <c r="R145" s="57">
        <f t="shared" si="39"/>
        <v>0</v>
      </c>
      <c r="T145" s="57">
        <f t="shared" si="40"/>
        <v>0</v>
      </c>
      <c r="V145" s="57">
        <f t="shared" si="41"/>
        <v>0</v>
      </c>
      <c r="X145" s="57">
        <f t="shared" si="42"/>
        <v>0</v>
      </c>
      <c r="Z145" s="57">
        <f t="shared" si="43"/>
        <v>0</v>
      </c>
      <c r="AB145" s="57">
        <f t="shared" si="44"/>
        <v>0</v>
      </c>
      <c r="AC145" s="1">
        <f t="shared" si="45"/>
        <v>0</v>
      </c>
      <c r="AN145" s="162"/>
      <c r="AO145" s="162"/>
      <c r="AP145" s="162"/>
      <c r="AQ145" s="162"/>
    </row>
    <row r="146" spans="11:43" ht="15" hidden="1" customHeight="1" x14ac:dyDescent="0.3">
      <c r="K146" s="193" t="s">
        <v>124</v>
      </c>
      <c r="L146" s="45" t="str">
        <f t="shared" si="35"/>
        <v>-</v>
      </c>
      <c r="M146" s="45" t="str">
        <f t="shared" si="36"/>
        <v/>
      </c>
      <c r="N146" s="45" t="str">
        <f t="shared" si="37"/>
        <v/>
      </c>
      <c r="O146" s="58" t="str">
        <f t="shared" si="38"/>
        <v/>
      </c>
      <c r="R146" s="57">
        <f t="shared" si="39"/>
        <v>0</v>
      </c>
      <c r="T146" s="57">
        <f t="shared" si="40"/>
        <v>0</v>
      </c>
      <c r="V146" s="57">
        <f t="shared" si="41"/>
        <v>0</v>
      </c>
      <c r="X146" s="57">
        <f t="shared" si="42"/>
        <v>0</v>
      </c>
      <c r="Z146" s="57">
        <f t="shared" si="43"/>
        <v>0</v>
      </c>
      <c r="AB146" s="57">
        <f t="shared" si="44"/>
        <v>0</v>
      </c>
      <c r="AC146" s="1">
        <f t="shared" si="45"/>
        <v>0</v>
      </c>
      <c r="AN146" s="162" t="s">
        <v>136</v>
      </c>
      <c r="AO146" s="162" t="s">
        <v>120</v>
      </c>
      <c r="AP146" s="162" t="s">
        <v>116</v>
      </c>
      <c r="AQ146" s="162" t="s">
        <v>192</v>
      </c>
    </row>
    <row r="147" spans="11:43" ht="15" hidden="1" customHeight="1" x14ac:dyDescent="0.3">
      <c r="K147" s="193" t="s">
        <v>124</v>
      </c>
      <c r="L147" s="45" t="str">
        <f t="shared" si="35"/>
        <v>-</v>
      </c>
      <c r="M147" s="45" t="str">
        <f t="shared" si="36"/>
        <v/>
      </c>
      <c r="N147" s="45" t="str">
        <f t="shared" si="37"/>
        <v/>
      </c>
      <c r="O147" s="58" t="str">
        <f t="shared" si="38"/>
        <v/>
      </c>
      <c r="R147" s="57">
        <f t="shared" si="39"/>
        <v>0</v>
      </c>
      <c r="T147" s="57">
        <f t="shared" si="40"/>
        <v>0</v>
      </c>
      <c r="V147" s="57">
        <f t="shared" si="41"/>
        <v>0</v>
      </c>
      <c r="X147" s="57">
        <f t="shared" si="42"/>
        <v>0</v>
      </c>
      <c r="Z147" s="57">
        <f t="shared" si="43"/>
        <v>0</v>
      </c>
      <c r="AB147" s="57">
        <f t="shared" si="44"/>
        <v>0</v>
      </c>
      <c r="AC147" s="1">
        <f t="shared" si="45"/>
        <v>0</v>
      </c>
      <c r="AN147" s="162" t="s">
        <v>130</v>
      </c>
      <c r="AO147" s="162" t="s">
        <v>153</v>
      </c>
      <c r="AP147" s="162" t="s">
        <v>130</v>
      </c>
      <c r="AQ147" s="162" t="s">
        <v>193</v>
      </c>
    </row>
    <row r="148" spans="11:43" ht="15" hidden="1" customHeight="1" x14ac:dyDescent="0.3">
      <c r="K148" s="193" t="s">
        <v>124</v>
      </c>
      <c r="L148" s="45" t="str">
        <f t="shared" si="35"/>
        <v>Semana 7</v>
      </c>
      <c r="M148" s="45" t="str">
        <f t="shared" si="36"/>
        <v/>
      </c>
      <c r="N148" s="45" t="str">
        <f t="shared" si="37"/>
        <v/>
      </c>
      <c r="O148" s="58" t="str">
        <f t="shared" si="38"/>
        <v/>
      </c>
      <c r="R148" s="57">
        <f t="shared" si="39"/>
        <v>0</v>
      </c>
      <c r="T148" s="57">
        <f t="shared" si="40"/>
        <v>0</v>
      </c>
      <c r="V148" s="57">
        <f t="shared" si="41"/>
        <v>0</v>
      </c>
      <c r="X148" s="57">
        <f t="shared" si="42"/>
        <v>0</v>
      </c>
      <c r="Z148" s="57">
        <f t="shared" si="43"/>
        <v>0</v>
      </c>
      <c r="AB148" s="57">
        <f t="shared" si="44"/>
        <v>0</v>
      </c>
      <c r="AC148" s="1">
        <f t="shared" si="45"/>
        <v>0</v>
      </c>
      <c r="AN148" s="162" t="s">
        <v>12</v>
      </c>
      <c r="AO148" s="162" t="s">
        <v>120</v>
      </c>
      <c r="AP148" s="162" t="s">
        <v>12</v>
      </c>
      <c r="AQ148" s="162" t="s">
        <v>120</v>
      </c>
    </row>
    <row r="149" spans="11:43" ht="15" hidden="1" customHeight="1" x14ac:dyDescent="0.3">
      <c r="K149" s="193" t="s">
        <v>124</v>
      </c>
      <c r="L149" s="45" t="str">
        <f t="shared" si="35"/>
        <v>-</v>
      </c>
      <c r="M149" s="45" t="str">
        <f t="shared" si="36"/>
        <v/>
      </c>
      <c r="N149" s="45" t="str">
        <f t="shared" si="37"/>
        <v/>
      </c>
      <c r="O149" s="58" t="str">
        <f t="shared" si="38"/>
        <v/>
      </c>
      <c r="R149" s="57">
        <f t="shared" si="39"/>
        <v>0</v>
      </c>
      <c r="T149" s="57">
        <f t="shared" si="40"/>
        <v>0</v>
      </c>
      <c r="V149" s="57">
        <f t="shared" si="41"/>
        <v>0</v>
      </c>
      <c r="X149" s="57">
        <f t="shared" si="42"/>
        <v>0</v>
      </c>
      <c r="Z149" s="57">
        <f t="shared" si="43"/>
        <v>0</v>
      </c>
      <c r="AB149" s="57">
        <f t="shared" si="44"/>
        <v>0</v>
      </c>
      <c r="AC149" s="1">
        <f t="shared" si="45"/>
        <v>0</v>
      </c>
      <c r="AN149" s="162"/>
      <c r="AO149" s="162"/>
      <c r="AP149" s="162"/>
      <c r="AQ149" s="162"/>
    </row>
    <row r="150" spans="11:43" ht="15" hidden="1" customHeight="1" x14ac:dyDescent="0.3">
      <c r="K150" s="193" t="s">
        <v>124</v>
      </c>
      <c r="L150" s="45" t="str">
        <f t="shared" si="35"/>
        <v>-</v>
      </c>
      <c r="M150" s="45" t="str">
        <f t="shared" si="36"/>
        <v/>
      </c>
      <c r="N150" s="45" t="str">
        <f t="shared" si="37"/>
        <v/>
      </c>
      <c r="O150" s="58" t="str">
        <f t="shared" si="38"/>
        <v/>
      </c>
      <c r="R150" s="57">
        <f t="shared" si="39"/>
        <v>0</v>
      </c>
      <c r="T150" s="57">
        <f t="shared" si="40"/>
        <v>0</v>
      </c>
      <c r="V150" s="57">
        <f t="shared" si="41"/>
        <v>0</v>
      </c>
      <c r="X150" s="57">
        <f t="shared" si="42"/>
        <v>0</v>
      </c>
      <c r="Z150" s="57">
        <f t="shared" si="43"/>
        <v>0</v>
      </c>
      <c r="AB150" s="57">
        <f t="shared" si="44"/>
        <v>0</v>
      </c>
      <c r="AC150" s="1">
        <f t="shared" si="45"/>
        <v>0</v>
      </c>
      <c r="AN150" s="162"/>
      <c r="AO150" s="162"/>
      <c r="AP150" s="162"/>
      <c r="AQ150" s="162"/>
    </row>
    <row r="151" spans="11:43" ht="15" hidden="1" customHeight="1" x14ac:dyDescent="0.3">
      <c r="K151" s="193" t="s">
        <v>124</v>
      </c>
      <c r="L151" s="45" t="str">
        <f t="shared" si="35"/>
        <v>-</v>
      </c>
      <c r="M151" s="45" t="str">
        <f t="shared" si="36"/>
        <v/>
      </c>
      <c r="N151" s="45" t="str">
        <f t="shared" si="37"/>
        <v/>
      </c>
      <c r="O151" s="58" t="str">
        <f t="shared" si="38"/>
        <v/>
      </c>
      <c r="R151" s="57">
        <f t="shared" si="39"/>
        <v>0</v>
      </c>
      <c r="T151" s="57">
        <f t="shared" si="40"/>
        <v>0</v>
      </c>
      <c r="V151" s="57">
        <f t="shared" si="41"/>
        <v>0</v>
      </c>
      <c r="X151" s="57">
        <f t="shared" si="42"/>
        <v>0</v>
      </c>
      <c r="Z151" s="57">
        <f t="shared" si="43"/>
        <v>0</v>
      </c>
      <c r="AB151" s="57">
        <f t="shared" si="44"/>
        <v>0</v>
      </c>
      <c r="AC151" s="1">
        <f t="shared" si="45"/>
        <v>0</v>
      </c>
      <c r="AN151" s="162"/>
      <c r="AO151" s="162"/>
      <c r="AP151" s="162"/>
      <c r="AQ151" s="162"/>
    </row>
    <row r="152" spans="11:43" ht="15" hidden="1" customHeight="1" x14ac:dyDescent="0.3">
      <c r="K152" s="193" t="s">
        <v>124</v>
      </c>
      <c r="L152" s="45" t="str">
        <f t="shared" si="35"/>
        <v>-</v>
      </c>
      <c r="M152" s="45" t="str">
        <f t="shared" si="36"/>
        <v/>
      </c>
      <c r="N152" s="45" t="str">
        <f t="shared" si="37"/>
        <v/>
      </c>
      <c r="O152" s="58" t="str">
        <f t="shared" si="38"/>
        <v/>
      </c>
      <c r="R152" s="57">
        <f t="shared" si="39"/>
        <v>0</v>
      </c>
      <c r="T152" s="57">
        <f t="shared" si="40"/>
        <v>0</v>
      </c>
      <c r="V152" s="57">
        <f t="shared" si="41"/>
        <v>0</v>
      </c>
      <c r="X152" s="57">
        <f t="shared" si="42"/>
        <v>0</v>
      </c>
      <c r="Z152" s="57">
        <f t="shared" si="43"/>
        <v>0</v>
      </c>
      <c r="AB152" s="57">
        <f t="shared" si="44"/>
        <v>0</v>
      </c>
      <c r="AC152" s="1">
        <f t="shared" si="45"/>
        <v>0</v>
      </c>
      <c r="AN152" s="162"/>
      <c r="AO152" s="162"/>
      <c r="AP152" s="162"/>
      <c r="AQ152" s="162"/>
    </row>
    <row r="153" spans="11:43" ht="15" hidden="1" customHeight="1" x14ac:dyDescent="0.3">
      <c r="K153" s="193" t="s">
        <v>124</v>
      </c>
      <c r="L153" s="45" t="str">
        <f t="shared" si="35"/>
        <v>-</v>
      </c>
      <c r="M153" s="45" t="str">
        <f t="shared" si="36"/>
        <v/>
      </c>
      <c r="N153" s="45" t="str">
        <f t="shared" si="37"/>
        <v/>
      </c>
      <c r="O153" s="58" t="str">
        <f t="shared" si="38"/>
        <v/>
      </c>
      <c r="R153" s="57">
        <f t="shared" si="39"/>
        <v>0</v>
      </c>
      <c r="T153" s="57">
        <f t="shared" si="40"/>
        <v>0</v>
      </c>
      <c r="V153" s="57">
        <f t="shared" si="41"/>
        <v>0</v>
      </c>
      <c r="X153" s="57">
        <f t="shared" si="42"/>
        <v>0</v>
      </c>
      <c r="Z153" s="57">
        <f t="shared" si="43"/>
        <v>0</v>
      </c>
      <c r="AB153" s="57">
        <f t="shared" si="44"/>
        <v>0</v>
      </c>
      <c r="AC153" s="1">
        <f t="shared" si="45"/>
        <v>0</v>
      </c>
      <c r="AN153" s="162"/>
      <c r="AO153" s="162"/>
      <c r="AP153" s="162"/>
      <c r="AQ153" s="162"/>
    </row>
    <row r="154" spans="11:43" ht="15" hidden="1" customHeight="1" x14ac:dyDescent="0.3">
      <c r="K154" s="193" t="s">
        <v>124</v>
      </c>
      <c r="L154" s="45" t="str">
        <f t="shared" si="35"/>
        <v>-</v>
      </c>
      <c r="M154" s="45" t="str">
        <f t="shared" si="36"/>
        <v/>
      </c>
      <c r="N154" s="45" t="str">
        <f t="shared" si="37"/>
        <v/>
      </c>
      <c r="O154" s="58" t="str">
        <f t="shared" si="38"/>
        <v/>
      </c>
      <c r="R154" s="57">
        <f t="shared" si="39"/>
        <v>0</v>
      </c>
      <c r="T154" s="57">
        <f t="shared" si="40"/>
        <v>0</v>
      </c>
      <c r="V154" s="57">
        <f t="shared" si="41"/>
        <v>0</v>
      </c>
      <c r="X154" s="57">
        <f t="shared" si="42"/>
        <v>0</v>
      </c>
      <c r="Z154" s="57">
        <f t="shared" si="43"/>
        <v>0</v>
      </c>
      <c r="AB154" s="57">
        <f t="shared" si="44"/>
        <v>0</v>
      </c>
      <c r="AC154" s="1">
        <f t="shared" si="45"/>
        <v>0</v>
      </c>
      <c r="AN154" s="162" t="s">
        <v>136</v>
      </c>
      <c r="AO154" s="162" t="s">
        <v>120</v>
      </c>
      <c r="AP154" s="162" t="s">
        <v>116</v>
      </c>
      <c r="AQ154" s="162" t="s">
        <v>194</v>
      </c>
    </row>
    <row r="155" spans="11:43" ht="15" hidden="1" customHeight="1" x14ac:dyDescent="0.3">
      <c r="K155" s="193" t="s">
        <v>124</v>
      </c>
      <c r="L155" s="45" t="str">
        <f t="shared" si="35"/>
        <v>-</v>
      </c>
      <c r="M155" s="45" t="str">
        <f t="shared" si="36"/>
        <v/>
      </c>
      <c r="N155" s="45" t="str">
        <f t="shared" si="37"/>
        <v/>
      </c>
      <c r="O155" s="58" t="str">
        <f t="shared" si="38"/>
        <v/>
      </c>
      <c r="R155" s="57">
        <f t="shared" si="39"/>
        <v>0</v>
      </c>
      <c r="T155" s="57">
        <f t="shared" si="40"/>
        <v>0</v>
      </c>
      <c r="V155" s="57">
        <f t="shared" si="41"/>
        <v>0</v>
      </c>
      <c r="X155" s="57">
        <f t="shared" si="42"/>
        <v>0</v>
      </c>
      <c r="Z155" s="57">
        <f t="shared" si="43"/>
        <v>0</v>
      </c>
      <c r="AB155" s="57">
        <f t="shared" si="44"/>
        <v>0</v>
      </c>
      <c r="AC155" s="1">
        <f t="shared" si="45"/>
        <v>0</v>
      </c>
      <c r="AN155" s="162" t="s">
        <v>130</v>
      </c>
      <c r="AO155" s="162" t="s">
        <v>195</v>
      </c>
      <c r="AP155" s="162" t="s">
        <v>130</v>
      </c>
      <c r="AQ155" s="162" t="s">
        <v>196</v>
      </c>
    </row>
    <row r="156" spans="11:43" ht="15" hidden="1" customHeight="1" x14ac:dyDescent="0.3">
      <c r="K156" s="193" t="s">
        <v>124</v>
      </c>
      <c r="L156" s="45" t="str">
        <f t="shared" si="35"/>
        <v>-</v>
      </c>
      <c r="M156" s="45" t="str">
        <f t="shared" si="36"/>
        <v/>
      </c>
      <c r="N156" s="45" t="str">
        <f t="shared" si="37"/>
        <v/>
      </c>
      <c r="O156" s="58" t="str">
        <f t="shared" si="38"/>
        <v/>
      </c>
      <c r="R156" s="57">
        <f t="shared" si="39"/>
        <v>0</v>
      </c>
      <c r="T156" s="57">
        <f t="shared" si="40"/>
        <v>0</v>
      </c>
      <c r="V156" s="57">
        <f t="shared" si="41"/>
        <v>0</v>
      </c>
      <c r="X156" s="57">
        <f t="shared" si="42"/>
        <v>0</v>
      </c>
      <c r="Z156" s="57">
        <f t="shared" si="43"/>
        <v>0</v>
      </c>
      <c r="AB156" s="57">
        <f t="shared" si="44"/>
        <v>0</v>
      </c>
      <c r="AC156" s="1">
        <f t="shared" si="45"/>
        <v>0</v>
      </c>
      <c r="AN156" s="162" t="s">
        <v>12</v>
      </c>
      <c r="AO156" s="162" t="s">
        <v>120</v>
      </c>
      <c r="AP156" s="162" t="s">
        <v>12</v>
      </c>
      <c r="AQ156" s="162" t="s">
        <v>120</v>
      </c>
    </row>
    <row r="157" spans="11:43" ht="15" hidden="1" customHeight="1" x14ac:dyDescent="0.3">
      <c r="K157" s="193" t="s">
        <v>124</v>
      </c>
      <c r="L157" s="45" t="str">
        <f t="shared" si="35"/>
        <v>-</v>
      </c>
      <c r="M157" s="45" t="str">
        <f t="shared" si="36"/>
        <v/>
      </c>
      <c r="N157" s="45" t="str">
        <f t="shared" si="37"/>
        <v/>
      </c>
      <c r="O157" s="58" t="str">
        <f t="shared" si="38"/>
        <v/>
      </c>
      <c r="R157" s="57">
        <f t="shared" si="39"/>
        <v>0</v>
      </c>
      <c r="T157" s="57">
        <f t="shared" si="40"/>
        <v>0</v>
      </c>
      <c r="V157" s="57">
        <f t="shared" si="41"/>
        <v>0</v>
      </c>
      <c r="X157" s="57">
        <f t="shared" si="42"/>
        <v>0</v>
      </c>
      <c r="Z157" s="57">
        <f t="shared" si="43"/>
        <v>0</v>
      </c>
      <c r="AB157" s="57">
        <f t="shared" si="44"/>
        <v>0</v>
      </c>
      <c r="AC157" s="1">
        <f t="shared" si="45"/>
        <v>0</v>
      </c>
      <c r="AN157" s="162"/>
      <c r="AO157" s="162"/>
      <c r="AP157" s="162"/>
      <c r="AQ157" s="162"/>
    </row>
    <row r="158" spans="11:43" ht="15" hidden="1" customHeight="1" x14ac:dyDescent="0.3">
      <c r="K158" s="193" t="s">
        <v>124</v>
      </c>
      <c r="L158" s="45" t="str">
        <f t="shared" si="35"/>
        <v>-</v>
      </c>
      <c r="M158" s="45" t="str">
        <f t="shared" si="36"/>
        <v/>
      </c>
      <c r="N158" s="45" t="str">
        <f t="shared" si="37"/>
        <v/>
      </c>
      <c r="O158" s="58" t="str">
        <f t="shared" si="38"/>
        <v/>
      </c>
      <c r="R158" s="57">
        <f t="shared" si="39"/>
        <v>0</v>
      </c>
      <c r="T158" s="57">
        <f t="shared" si="40"/>
        <v>0</v>
      </c>
      <c r="V158" s="57">
        <f t="shared" si="41"/>
        <v>0</v>
      </c>
      <c r="X158" s="57">
        <f t="shared" si="42"/>
        <v>0</v>
      </c>
      <c r="Z158" s="57">
        <f t="shared" si="43"/>
        <v>0</v>
      </c>
      <c r="AB158" s="57">
        <f t="shared" si="44"/>
        <v>0</v>
      </c>
      <c r="AC158" s="1">
        <f t="shared" si="45"/>
        <v>0</v>
      </c>
      <c r="AN158" s="162"/>
      <c r="AO158" s="162"/>
      <c r="AP158" s="162"/>
      <c r="AQ158" s="162"/>
    </row>
    <row r="159" spans="11:43" ht="15" hidden="1" customHeight="1" x14ac:dyDescent="0.3">
      <c r="K159" s="193" t="s">
        <v>124</v>
      </c>
      <c r="L159" s="45" t="str">
        <f t="shared" si="35"/>
        <v>-</v>
      </c>
      <c r="M159" s="45" t="str">
        <f t="shared" si="36"/>
        <v/>
      </c>
      <c r="N159" s="45" t="str">
        <f t="shared" si="37"/>
        <v/>
      </c>
      <c r="O159" s="58" t="str">
        <f t="shared" si="38"/>
        <v/>
      </c>
      <c r="R159" s="57">
        <f t="shared" si="39"/>
        <v>0</v>
      </c>
      <c r="T159" s="57">
        <f t="shared" si="40"/>
        <v>0</v>
      </c>
      <c r="V159" s="57">
        <f t="shared" si="41"/>
        <v>0</v>
      </c>
      <c r="X159" s="57">
        <f t="shared" si="42"/>
        <v>0</v>
      </c>
      <c r="Z159" s="57">
        <f t="shared" si="43"/>
        <v>0</v>
      </c>
      <c r="AB159" s="57">
        <f t="shared" si="44"/>
        <v>0</v>
      </c>
      <c r="AC159" s="1">
        <f t="shared" si="45"/>
        <v>0</v>
      </c>
      <c r="AN159" s="162"/>
      <c r="AO159" s="162"/>
      <c r="AP159" s="162"/>
      <c r="AQ159" s="162"/>
    </row>
    <row r="160" spans="11:43" ht="15" hidden="1" customHeight="1" x14ac:dyDescent="0.3">
      <c r="K160" s="193" t="s">
        <v>124</v>
      </c>
      <c r="L160" s="45" t="str">
        <f t="shared" si="35"/>
        <v>-</v>
      </c>
      <c r="M160" s="45" t="str">
        <f t="shared" si="36"/>
        <v/>
      </c>
      <c r="N160" s="45" t="str">
        <f t="shared" si="37"/>
        <v/>
      </c>
      <c r="O160" s="58" t="str">
        <f t="shared" si="38"/>
        <v/>
      </c>
      <c r="R160" s="57">
        <f t="shared" si="39"/>
        <v>0</v>
      </c>
      <c r="T160" s="57">
        <f t="shared" si="40"/>
        <v>0</v>
      </c>
      <c r="V160" s="57">
        <f t="shared" si="41"/>
        <v>0</v>
      </c>
      <c r="X160" s="57">
        <f t="shared" si="42"/>
        <v>0</v>
      </c>
      <c r="Z160" s="57">
        <f t="shared" si="43"/>
        <v>0</v>
      </c>
      <c r="AB160" s="57">
        <f t="shared" si="44"/>
        <v>0</v>
      </c>
      <c r="AC160" s="1">
        <f t="shared" si="45"/>
        <v>0</v>
      </c>
    </row>
    <row r="161" spans="11:29" ht="15" hidden="1" customHeight="1" x14ac:dyDescent="0.3">
      <c r="K161" s="193" t="s">
        <v>124</v>
      </c>
      <c r="L161" s="45" t="str">
        <f t="shared" si="35"/>
        <v>-</v>
      </c>
      <c r="M161" s="45" t="str">
        <f t="shared" si="36"/>
        <v/>
      </c>
      <c r="N161" s="45" t="str">
        <f t="shared" si="37"/>
        <v/>
      </c>
      <c r="O161" s="58" t="str">
        <f t="shared" si="38"/>
        <v/>
      </c>
      <c r="R161" s="57">
        <f t="shared" si="39"/>
        <v>0</v>
      </c>
      <c r="T161" s="57">
        <f t="shared" si="40"/>
        <v>0</v>
      </c>
      <c r="V161" s="57">
        <f t="shared" si="41"/>
        <v>0</v>
      </c>
      <c r="X161" s="57">
        <f t="shared" si="42"/>
        <v>0</v>
      </c>
      <c r="Z161" s="57">
        <f t="shared" si="43"/>
        <v>0</v>
      </c>
      <c r="AB161" s="57">
        <f t="shared" si="44"/>
        <v>0</v>
      </c>
      <c r="AC161" s="1">
        <f t="shared" si="45"/>
        <v>0</v>
      </c>
    </row>
    <row r="162" spans="11:29" ht="15" hidden="1" customHeight="1" x14ac:dyDescent="0.3">
      <c r="K162" s="193" t="s">
        <v>125</v>
      </c>
      <c r="L162" s="45" t="str">
        <f>IFERROR(VLOOKUP(F66,$AD:$AF,3),"-")</f>
        <v>-</v>
      </c>
      <c r="M162" s="45" t="str">
        <f>IF(L66="-","",IF(F66="","",CONCATENATE(TEXT(F66,"dd-mm-aaaa")," - ",B66," ",F$65)))</f>
        <v/>
      </c>
      <c r="N162" s="45" t="str">
        <f t="shared" si="37"/>
        <v/>
      </c>
      <c r="O162" s="58" t="str">
        <f t="shared" si="38"/>
        <v/>
      </c>
      <c r="R162" s="57">
        <f t="shared" si="39"/>
        <v>0</v>
      </c>
      <c r="T162" s="57">
        <f t="shared" si="40"/>
        <v>0</v>
      </c>
      <c r="V162" s="57">
        <f t="shared" si="41"/>
        <v>0</v>
      </c>
      <c r="X162" s="57">
        <f t="shared" si="42"/>
        <v>0</v>
      </c>
      <c r="Z162" s="57">
        <f t="shared" si="43"/>
        <v>0</v>
      </c>
      <c r="AB162" s="57">
        <f t="shared" si="44"/>
        <v>0</v>
      </c>
      <c r="AC162" s="1">
        <f t="shared" si="45"/>
        <v>0</v>
      </c>
    </row>
    <row r="163" spans="11:29" ht="15" hidden="1" customHeight="1" x14ac:dyDescent="0.3">
      <c r="K163" s="193" t="s">
        <v>125</v>
      </c>
      <c r="L163" s="45" t="str">
        <f t="shared" ref="L163:L193" si="46">IFERROR(VLOOKUP(F67,$AD:$AF,3),"-")</f>
        <v>-</v>
      </c>
      <c r="M163" s="45" t="str">
        <f t="shared" ref="M163:M193" si="47">IF(L67="-","",IF(F67="","",CONCATENATE(TEXT(F67,"dd-mm-aaaa")," - ",B67," ",F$65)))</f>
        <v/>
      </c>
      <c r="N163" s="45" t="str">
        <f t="shared" si="37"/>
        <v/>
      </c>
      <c r="O163" s="58" t="str">
        <f t="shared" si="38"/>
        <v/>
      </c>
      <c r="R163" s="57">
        <f t="shared" si="39"/>
        <v>0</v>
      </c>
      <c r="T163" s="57">
        <f t="shared" si="40"/>
        <v>0</v>
      </c>
      <c r="V163" s="57">
        <f t="shared" si="41"/>
        <v>0</v>
      </c>
      <c r="X163" s="57">
        <f t="shared" si="42"/>
        <v>0</v>
      </c>
      <c r="Z163" s="57">
        <f t="shared" si="43"/>
        <v>0</v>
      </c>
      <c r="AB163" s="57">
        <f t="shared" si="44"/>
        <v>0</v>
      </c>
      <c r="AC163" s="1">
        <f t="shared" si="45"/>
        <v>0</v>
      </c>
    </row>
    <row r="164" spans="11:29" ht="15" hidden="1" customHeight="1" x14ac:dyDescent="0.3">
      <c r="K164" s="193" t="s">
        <v>125</v>
      </c>
      <c r="L164" s="45" t="str">
        <f t="shared" si="46"/>
        <v>-</v>
      </c>
      <c r="M164" s="45" t="str">
        <f t="shared" si="47"/>
        <v/>
      </c>
      <c r="N164" s="45" t="str">
        <f t="shared" si="37"/>
        <v/>
      </c>
      <c r="O164" s="58" t="str">
        <f t="shared" si="38"/>
        <v/>
      </c>
      <c r="R164" s="57">
        <f t="shared" si="39"/>
        <v>0</v>
      </c>
      <c r="T164" s="57">
        <f t="shared" si="40"/>
        <v>0</v>
      </c>
      <c r="V164" s="57">
        <f t="shared" si="41"/>
        <v>0</v>
      </c>
      <c r="X164" s="57">
        <f t="shared" si="42"/>
        <v>0</v>
      </c>
      <c r="Z164" s="57">
        <f t="shared" si="43"/>
        <v>0</v>
      </c>
      <c r="AB164" s="57">
        <f t="shared" si="44"/>
        <v>0</v>
      </c>
      <c r="AC164" s="1">
        <f t="shared" si="45"/>
        <v>0</v>
      </c>
    </row>
    <row r="165" spans="11:29" ht="15" hidden="1" customHeight="1" x14ac:dyDescent="0.3">
      <c r="K165" s="193" t="s">
        <v>125</v>
      </c>
      <c r="L165" s="45" t="str">
        <f t="shared" si="46"/>
        <v>-</v>
      </c>
      <c r="M165" s="45" t="str">
        <f t="shared" si="47"/>
        <v/>
      </c>
      <c r="N165" s="45" t="str">
        <f t="shared" si="37"/>
        <v/>
      </c>
      <c r="O165" s="58" t="str">
        <f t="shared" si="38"/>
        <v/>
      </c>
      <c r="R165" s="57">
        <f t="shared" si="39"/>
        <v>0</v>
      </c>
      <c r="T165" s="57">
        <f t="shared" si="40"/>
        <v>0</v>
      </c>
      <c r="V165" s="57">
        <f t="shared" si="41"/>
        <v>0</v>
      </c>
      <c r="X165" s="57">
        <f t="shared" si="42"/>
        <v>0</v>
      </c>
      <c r="Z165" s="57">
        <f t="shared" si="43"/>
        <v>0</v>
      </c>
      <c r="AB165" s="57">
        <f t="shared" si="44"/>
        <v>0</v>
      </c>
      <c r="AC165" s="1">
        <f t="shared" si="45"/>
        <v>0</v>
      </c>
    </row>
    <row r="166" spans="11:29" ht="15" hidden="1" customHeight="1" x14ac:dyDescent="0.3">
      <c r="K166" s="193" t="s">
        <v>125</v>
      </c>
      <c r="L166" s="45" t="str">
        <f t="shared" si="46"/>
        <v>-</v>
      </c>
      <c r="M166" s="45" t="str">
        <f t="shared" si="47"/>
        <v/>
      </c>
      <c r="N166" s="45" t="str">
        <f t="shared" si="37"/>
        <v/>
      </c>
      <c r="O166" s="58" t="str">
        <f t="shared" si="38"/>
        <v/>
      </c>
      <c r="R166" s="57">
        <f t="shared" si="39"/>
        <v>0</v>
      </c>
      <c r="T166" s="57">
        <f t="shared" si="40"/>
        <v>0</v>
      </c>
      <c r="V166" s="57">
        <f t="shared" si="41"/>
        <v>0</v>
      </c>
      <c r="X166" s="57">
        <f t="shared" si="42"/>
        <v>0</v>
      </c>
      <c r="Z166" s="57">
        <f t="shared" si="43"/>
        <v>0</v>
      </c>
      <c r="AB166" s="57">
        <f t="shared" si="44"/>
        <v>0</v>
      </c>
      <c r="AC166" s="1">
        <f t="shared" si="45"/>
        <v>0</v>
      </c>
    </row>
    <row r="167" spans="11:29" ht="15" hidden="1" customHeight="1" x14ac:dyDescent="0.3">
      <c r="K167" s="193" t="s">
        <v>125</v>
      </c>
      <c r="L167" s="45" t="str">
        <f t="shared" si="46"/>
        <v>-</v>
      </c>
      <c r="M167" s="45" t="str">
        <f t="shared" si="47"/>
        <v/>
      </c>
      <c r="N167" s="45" t="str">
        <f t="shared" si="37"/>
        <v/>
      </c>
      <c r="O167" s="58" t="str">
        <f t="shared" si="38"/>
        <v/>
      </c>
      <c r="R167" s="57">
        <f t="shared" si="39"/>
        <v>0</v>
      </c>
      <c r="T167" s="57">
        <f t="shared" si="40"/>
        <v>0</v>
      </c>
      <c r="V167" s="57">
        <f t="shared" si="41"/>
        <v>0</v>
      </c>
      <c r="X167" s="57">
        <f t="shared" si="42"/>
        <v>0</v>
      </c>
      <c r="Z167" s="57">
        <f t="shared" si="43"/>
        <v>0</v>
      </c>
      <c r="AB167" s="57">
        <f t="shared" si="44"/>
        <v>0</v>
      </c>
      <c r="AC167" s="1">
        <f t="shared" si="45"/>
        <v>0</v>
      </c>
    </row>
    <row r="168" spans="11:29" ht="15" hidden="1" customHeight="1" x14ac:dyDescent="0.3">
      <c r="K168" s="193" t="s">
        <v>125</v>
      </c>
      <c r="L168" s="45" t="str">
        <f t="shared" si="46"/>
        <v>-</v>
      </c>
      <c r="M168" s="45" t="str">
        <f t="shared" si="47"/>
        <v/>
      </c>
      <c r="N168" s="45" t="str">
        <f t="shared" si="37"/>
        <v/>
      </c>
      <c r="O168" s="58" t="str">
        <f t="shared" si="38"/>
        <v/>
      </c>
      <c r="R168" s="57">
        <f t="shared" si="39"/>
        <v>0</v>
      </c>
      <c r="T168" s="57">
        <f t="shared" si="40"/>
        <v>0</v>
      </c>
      <c r="V168" s="57">
        <f t="shared" si="41"/>
        <v>0</v>
      </c>
      <c r="X168" s="57">
        <f t="shared" si="42"/>
        <v>0</v>
      </c>
      <c r="Z168" s="57">
        <f t="shared" si="43"/>
        <v>0</v>
      </c>
      <c r="AB168" s="57">
        <f t="shared" si="44"/>
        <v>0</v>
      </c>
      <c r="AC168" s="1">
        <f t="shared" si="45"/>
        <v>0</v>
      </c>
    </row>
    <row r="169" spans="11:29" ht="15" hidden="1" customHeight="1" x14ac:dyDescent="0.3">
      <c r="K169" s="193" t="s">
        <v>125</v>
      </c>
      <c r="L169" s="45" t="str">
        <f t="shared" si="46"/>
        <v>-</v>
      </c>
      <c r="M169" s="45" t="str">
        <f t="shared" si="47"/>
        <v/>
      </c>
      <c r="N169" s="45" t="str">
        <f t="shared" si="37"/>
        <v/>
      </c>
      <c r="O169" s="58" t="str">
        <f t="shared" si="38"/>
        <v/>
      </c>
      <c r="R169" s="57">
        <f t="shared" si="39"/>
        <v>0</v>
      </c>
      <c r="T169" s="57">
        <f t="shared" si="40"/>
        <v>0</v>
      </c>
      <c r="V169" s="57">
        <f t="shared" si="41"/>
        <v>0</v>
      </c>
      <c r="X169" s="57">
        <f t="shared" si="42"/>
        <v>0</v>
      </c>
      <c r="Z169" s="57">
        <f t="shared" si="43"/>
        <v>0</v>
      </c>
      <c r="AB169" s="57">
        <f t="shared" si="44"/>
        <v>0</v>
      </c>
      <c r="AC169" s="1">
        <f t="shared" si="45"/>
        <v>0</v>
      </c>
    </row>
    <row r="170" spans="11:29" ht="15" hidden="1" customHeight="1" x14ac:dyDescent="0.3">
      <c r="K170" s="193" t="s">
        <v>125</v>
      </c>
      <c r="L170" s="45" t="str">
        <f t="shared" si="46"/>
        <v>-</v>
      </c>
      <c r="M170" s="45" t="str">
        <f t="shared" si="47"/>
        <v/>
      </c>
      <c r="N170" s="45" t="str">
        <f t="shared" si="37"/>
        <v/>
      </c>
      <c r="O170" s="58" t="str">
        <f t="shared" si="38"/>
        <v/>
      </c>
      <c r="R170" s="57">
        <f t="shared" si="39"/>
        <v>0</v>
      </c>
      <c r="T170" s="57">
        <f t="shared" si="40"/>
        <v>0</v>
      </c>
      <c r="V170" s="57">
        <f t="shared" si="41"/>
        <v>0</v>
      </c>
      <c r="X170" s="57">
        <f t="shared" si="42"/>
        <v>0</v>
      </c>
      <c r="Z170" s="57">
        <f t="shared" si="43"/>
        <v>0</v>
      </c>
      <c r="AB170" s="57">
        <f t="shared" si="44"/>
        <v>0</v>
      </c>
      <c r="AC170" s="1">
        <f t="shared" si="45"/>
        <v>0</v>
      </c>
    </row>
    <row r="171" spans="11:29" ht="15" hidden="1" customHeight="1" x14ac:dyDescent="0.3">
      <c r="K171" s="193" t="s">
        <v>125</v>
      </c>
      <c r="L171" s="45" t="str">
        <f t="shared" si="46"/>
        <v>-</v>
      </c>
      <c r="M171" s="45" t="str">
        <f t="shared" si="47"/>
        <v/>
      </c>
      <c r="N171" s="45" t="str">
        <f t="shared" si="37"/>
        <v/>
      </c>
      <c r="O171" s="58" t="str">
        <f t="shared" si="38"/>
        <v/>
      </c>
      <c r="R171" s="57">
        <f t="shared" si="39"/>
        <v>0</v>
      </c>
      <c r="T171" s="57">
        <f t="shared" si="40"/>
        <v>0</v>
      </c>
      <c r="V171" s="57">
        <f t="shared" si="41"/>
        <v>0</v>
      </c>
      <c r="X171" s="57">
        <f t="shared" si="42"/>
        <v>0</v>
      </c>
      <c r="Z171" s="57">
        <f t="shared" si="43"/>
        <v>0</v>
      </c>
      <c r="AB171" s="57">
        <f t="shared" si="44"/>
        <v>0</v>
      </c>
      <c r="AC171" s="1">
        <f t="shared" si="45"/>
        <v>0</v>
      </c>
    </row>
    <row r="172" spans="11:29" ht="15" hidden="1" customHeight="1" x14ac:dyDescent="0.3">
      <c r="K172" s="193" t="s">
        <v>125</v>
      </c>
      <c r="L172" s="45" t="str">
        <f t="shared" si="46"/>
        <v>-</v>
      </c>
      <c r="M172" s="45" t="str">
        <f t="shared" si="47"/>
        <v/>
      </c>
      <c r="N172" s="45" t="str">
        <f t="shared" si="37"/>
        <v/>
      </c>
      <c r="O172" s="58" t="str">
        <f t="shared" si="38"/>
        <v/>
      </c>
      <c r="R172" s="57">
        <f t="shared" si="39"/>
        <v>0</v>
      </c>
      <c r="T172" s="57">
        <f t="shared" si="40"/>
        <v>0</v>
      </c>
      <c r="V172" s="57">
        <f t="shared" si="41"/>
        <v>0</v>
      </c>
      <c r="X172" s="57">
        <f t="shared" si="42"/>
        <v>0</v>
      </c>
      <c r="Z172" s="57">
        <f t="shared" si="43"/>
        <v>0</v>
      </c>
      <c r="AB172" s="57">
        <f t="shared" si="44"/>
        <v>0</v>
      </c>
      <c r="AC172" s="1">
        <f t="shared" si="45"/>
        <v>0</v>
      </c>
    </row>
    <row r="173" spans="11:29" ht="15" hidden="1" customHeight="1" x14ac:dyDescent="0.3">
      <c r="K173" s="193" t="s">
        <v>125</v>
      </c>
      <c r="L173" s="45" t="str">
        <f t="shared" si="46"/>
        <v>-</v>
      </c>
      <c r="M173" s="45" t="str">
        <f t="shared" si="47"/>
        <v/>
      </c>
      <c r="N173" s="45" t="str">
        <f t="shared" si="37"/>
        <v/>
      </c>
      <c r="O173" s="58" t="str">
        <f t="shared" si="38"/>
        <v/>
      </c>
      <c r="R173" s="57">
        <f t="shared" si="39"/>
        <v>0</v>
      </c>
      <c r="T173" s="57">
        <f t="shared" si="40"/>
        <v>0</v>
      </c>
      <c r="V173" s="57">
        <f t="shared" si="41"/>
        <v>0</v>
      </c>
      <c r="X173" s="57">
        <f t="shared" si="42"/>
        <v>0</v>
      </c>
      <c r="Z173" s="57">
        <f t="shared" si="43"/>
        <v>0</v>
      </c>
      <c r="AB173" s="57">
        <f t="shared" si="44"/>
        <v>0</v>
      </c>
      <c r="AC173" s="1">
        <f t="shared" si="45"/>
        <v>0</v>
      </c>
    </row>
    <row r="174" spans="11:29" ht="15" hidden="1" customHeight="1" x14ac:dyDescent="0.3">
      <c r="K174" s="193" t="s">
        <v>125</v>
      </c>
      <c r="L174" s="45" t="str">
        <f t="shared" si="46"/>
        <v>-</v>
      </c>
      <c r="M174" s="45" t="str">
        <f t="shared" si="47"/>
        <v/>
      </c>
      <c r="N174" s="45" t="str">
        <f t="shared" si="37"/>
        <v/>
      </c>
      <c r="O174" s="58" t="str">
        <f t="shared" si="38"/>
        <v/>
      </c>
      <c r="R174" s="57">
        <f t="shared" si="39"/>
        <v>0</v>
      </c>
      <c r="T174" s="57">
        <f t="shared" si="40"/>
        <v>0</v>
      </c>
      <c r="V174" s="57">
        <f t="shared" si="41"/>
        <v>0</v>
      </c>
      <c r="X174" s="57">
        <f t="shared" si="42"/>
        <v>0</v>
      </c>
      <c r="Z174" s="57">
        <f t="shared" si="43"/>
        <v>0</v>
      </c>
      <c r="AB174" s="57">
        <f t="shared" si="44"/>
        <v>0</v>
      </c>
      <c r="AC174" s="1">
        <f t="shared" si="45"/>
        <v>0</v>
      </c>
    </row>
    <row r="175" spans="11:29" ht="15" hidden="1" customHeight="1" x14ac:dyDescent="0.3">
      <c r="K175" s="193" t="s">
        <v>125</v>
      </c>
      <c r="L175" s="45" t="str">
        <f t="shared" si="46"/>
        <v>-</v>
      </c>
      <c r="M175" s="45" t="str">
        <f t="shared" si="47"/>
        <v/>
      </c>
      <c r="N175" s="45" t="str">
        <f t="shared" si="37"/>
        <v/>
      </c>
      <c r="O175" s="58" t="str">
        <f t="shared" si="38"/>
        <v/>
      </c>
      <c r="R175" s="57">
        <f t="shared" si="39"/>
        <v>0</v>
      </c>
      <c r="T175" s="57">
        <f t="shared" si="40"/>
        <v>0</v>
      </c>
      <c r="V175" s="57">
        <f t="shared" si="41"/>
        <v>0</v>
      </c>
      <c r="X175" s="57">
        <f t="shared" si="42"/>
        <v>0</v>
      </c>
      <c r="Z175" s="57">
        <f t="shared" si="43"/>
        <v>0</v>
      </c>
      <c r="AB175" s="57">
        <f t="shared" si="44"/>
        <v>0</v>
      </c>
      <c r="AC175" s="1">
        <f t="shared" si="45"/>
        <v>0</v>
      </c>
    </row>
    <row r="176" spans="11:29" ht="15" hidden="1" customHeight="1" x14ac:dyDescent="0.3">
      <c r="K176" s="193" t="s">
        <v>125</v>
      </c>
      <c r="L176" s="45" t="str">
        <f t="shared" si="46"/>
        <v>-</v>
      </c>
      <c r="M176" s="45" t="str">
        <f t="shared" si="47"/>
        <v/>
      </c>
      <c r="N176" s="45" t="str">
        <f t="shared" si="37"/>
        <v/>
      </c>
      <c r="O176" s="58" t="str">
        <f t="shared" si="38"/>
        <v/>
      </c>
      <c r="R176" s="57">
        <f t="shared" si="39"/>
        <v>0</v>
      </c>
      <c r="T176" s="57">
        <f t="shared" si="40"/>
        <v>0</v>
      </c>
      <c r="V176" s="57">
        <f t="shared" si="41"/>
        <v>0</v>
      </c>
      <c r="X176" s="57">
        <f t="shared" si="42"/>
        <v>0</v>
      </c>
      <c r="Z176" s="57">
        <f t="shared" si="43"/>
        <v>0</v>
      </c>
      <c r="AB176" s="57">
        <f t="shared" si="44"/>
        <v>0</v>
      </c>
      <c r="AC176" s="1">
        <f t="shared" si="45"/>
        <v>0</v>
      </c>
    </row>
    <row r="177" spans="11:29" ht="15" hidden="1" customHeight="1" x14ac:dyDescent="0.3">
      <c r="K177" s="193" t="s">
        <v>125</v>
      </c>
      <c r="L177" s="45" t="str">
        <f t="shared" si="46"/>
        <v>-</v>
      </c>
      <c r="M177" s="45" t="str">
        <f t="shared" si="47"/>
        <v/>
      </c>
      <c r="N177" s="45" t="str">
        <f t="shared" si="37"/>
        <v/>
      </c>
      <c r="O177" s="58" t="str">
        <f t="shared" si="38"/>
        <v/>
      </c>
      <c r="R177" s="57">
        <f t="shared" si="39"/>
        <v>0</v>
      </c>
      <c r="T177" s="57">
        <f t="shared" si="40"/>
        <v>0</v>
      </c>
      <c r="V177" s="57">
        <f t="shared" si="41"/>
        <v>0</v>
      </c>
      <c r="X177" s="57">
        <f t="shared" si="42"/>
        <v>0</v>
      </c>
      <c r="Z177" s="57">
        <f t="shared" si="43"/>
        <v>0</v>
      </c>
      <c r="AB177" s="57">
        <f t="shared" si="44"/>
        <v>0</v>
      </c>
      <c r="AC177" s="1">
        <f t="shared" si="45"/>
        <v>0</v>
      </c>
    </row>
    <row r="178" spans="11:29" ht="15" hidden="1" customHeight="1" x14ac:dyDescent="0.3">
      <c r="K178" s="193" t="s">
        <v>125</v>
      </c>
      <c r="L178" s="45" t="str">
        <f t="shared" si="46"/>
        <v>-</v>
      </c>
      <c r="M178" s="45" t="str">
        <f t="shared" si="47"/>
        <v/>
      </c>
      <c r="N178" s="45" t="str">
        <f t="shared" si="37"/>
        <v/>
      </c>
      <c r="O178" s="58" t="str">
        <f t="shared" si="38"/>
        <v/>
      </c>
      <c r="R178" s="57">
        <f t="shared" si="39"/>
        <v>0</v>
      </c>
      <c r="T178" s="57">
        <f t="shared" si="40"/>
        <v>0</v>
      </c>
      <c r="V178" s="57">
        <f t="shared" si="41"/>
        <v>0</v>
      </c>
      <c r="X178" s="57">
        <f t="shared" si="42"/>
        <v>0</v>
      </c>
      <c r="Z178" s="57">
        <f t="shared" si="43"/>
        <v>0</v>
      </c>
      <c r="AB178" s="57">
        <f t="shared" si="44"/>
        <v>0</v>
      </c>
      <c r="AC178" s="1">
        <f t="shared" si="45"/>
        <v>0</v>
      </c>
    </row>
    <row r="179" spans="11:29" ht="15" hidden="1" customHeight="1" x14ac:dyDescent="0.3">
      <c r="K179" s="193" t="s">
        <v>125</v>
      </c>
      <c r="L179" s="45" t="str">
        <f t="shared" si="46"/>
        <v>-</v>
      </c>
      <c r="M179" s="45" t="str">
        <f t="shared" si="47"/>
        <v/>
      </c>
      <c r="N179" s="45" t="str">
        <f t="shared" si="37"/>
        <v/>
      </c>
      <c r="O179" s="58" t="str">
        <f t="shared" si="38"/>
        <v/>
      </c>
      <c r="R179" s="57">
        <f t="shared" si="39"/>
        <v>0</v>
      </c>
      <c r="T179" s="57">
        <f t="shared" si="40"/>
        <v>0</v>
      </c>
      <c r="V179" s="57">
        <f t="shared" si="41"/>
        <v>0</v>
      </c>
      <c r="X179" s="57">
        <f t="shared" si="42"/>
        <v>0</v>
      </c>
      <c r="Z179" s="57">
        <f t="shared" si="43"/>
        <v>0</v>
      </c>
      <c r="AB179" s="57">
        <f t="shared" si="44"/>
        <v>0</v>
      </c>
      <c r="AC179" s="1">
        <f t="shared" si="45"/>
        <v>0</v>
      </c>
    </row>
    <row r="180" spans="11:29" ht="15" hidden="1" customHeight="1" x14ac:dyDescent="0.3">
      <c r="K180" s="193" t="s">
        <v>125</v>
      </c>
      <c r="L180" s="45" t="str">
        <f t="shared" si="46"/>
        <v>Semana 5</v>
      </c>
      <c r="M180" s="45" t="str">
        <f t="shared" si="47"/>
        <v/>
      </c>
      <c r="N180" s="45" t="str">
        <f t="shared" si="37"/>
        <v/>
      </c>
      <c r="O180" s="58" t="str">
        <f t="shared" si="38"/>
        <v/>
      </c>
      <c r="R180" s="57">
        <f t="shared" si="39"/>
        <v>0</v>
      </c>
      <c r="T180" s="57">
        <f t="shared" si="40"/>
        <v>0</v>
      </c>
      <c r="V180" s="57">
        <f t="shared" si="41"/>
        <v>0</v>
      </c>
      <c r="X180" s="57">
        <f t="shared" si="42"/>
        <v>0</v>
      </c>
      <c r="Z180" s="57">
        <f t="shared" si="43"/>
        <v>0</v>
      </c>
      <c r="AB180" s="57">
        <f t="shared" si="44"/>
        <v>0</v>
      </c>
      <c r="AC180" s="1">
        <f t="shared" si="45"/>
        <v>0</v>
      </c>
    </row>
    <row r="181" spans="11:29" ht="15" hidden="1" customHeight="1" x14ac:dyDescent="0.3">
      <c r="K181" s="193" t="s">
        <v>125</v>
      </c>
      <c r="L181" s="45" t="str">
        <f t="shared" si="46"/>
        <v>-</v>
      </c>
      <c r="M181" s="45" t="str">
        <f t="shared" si="47"/>
        <v/>
      </c>
      <c r="N181" s="45" t="str">
        <f t="shared" si="37"/>
        <v/>
      </c>
      <c r="O181" s="58" t="str">
        <f t="shared" si="38"/>
        <v/>
      </c>
      <c r="R181" s="57">
        <f t="shared" si="39"/>
        <v>0</v>
      </c>
      <c r="T181" s="57">
        <f t="shared" si="40"/>
        <v>0</v>
      </c>
      <c r="V181" s="57">
        <f t="shared" si="41"/>
        <v>0</v>
      </c>
      <c r="X181" s="57">
        <f t="shared" si="42"/>
        <v>0</v>
      </c>
      <c r="Z181" s="57">
        <f t="shared" si="43"/>
        <v>0</v>
      </c>
      <c r="AB181" s="57">
        <f t="shared" si="44"/>
        <v>0</v>
      </c>
      <c r="AC181" s="1">
        <f t="shared" si="45"/>
        <v>0</v>
      </c>
    </row>
    <row r="182" spans="11:29" ht="15" hidden="1" customHeight="1" x14ac:dyDescent="0.3">
      <c r="K182" s="193" t="s">
        <v>125</v>
      </c>
      <c r="L182" s="45" t="str">
        <f t="shared" si="46"/>
        <v>-</v>
      </c>
      <c r="M182" s="45" t="str">
        <f t="shared" si="47"/>
        <v/>
      </c>
      <c r="N182" s="45" t="str">
        <f t="shared" si="37"/>
        <v/>
      </c>
      <c r="O182" s="58" t="str">
        <f t="shared" si="38"/>
        <v/>
      </c>
      <c r="R182" s="57">
        <f t="shared" si="39"/>
        <v>0</v>
      </c>
      <c r="T182" s="57">
        <f t="shared" si="40"/>
        <v>0</v>
      </c>
      <c r="V182" s="57">
        <f t="shared" si="41"/>
        <v>0</v>
      </c>
      <c r="X182" s="57">
        <f t="shared" si="42"/>
        <v>0</v>
      </c>
      <c r="Z182" s="57">
        <f t="shared" si="43"/>
        <v>0</v>
      </c>
      <c r="AB182" s="57">
        <f t="shared" si="44"/>
        <v>0</v>
      </c>
      <c r="AC182" s="1">
        <f t="shared" si="45"/>
        <v>0</v>
      </c>
    </row>
    <row r="183" spans="11:29" ht="15" hidden="1" customHeight="1" x14ac:dyDescent="0.3">
      <c r="K183" s="193" t="s">
        <v>125</v>
      </c>
      <c r="L183" s="45" t="str">
        <f t="shared" si="46"/>
        <v>-</v>
      </c>
      <c r="M183" s="45" t="str">
        <f t="shared" si="47"/>
        <v/>
      </c>
      <c r="N183" s="45" t="str">
        <f t="shared" si="37"/>
        <v/>
      </c>
      <c r="O183" s="58" t="str">
        <f t="shared" si="38"/>
        <v/>
      </c>
      <c r="R183" s="57">
        <f t="shared" si="39"/>
        <v>0</v>
      </c>
      <c r="T183" s="57">
        <f t="shared" si="40"/>
        <v>0</v>
      </c>
      <c r="V183" s="57">
        <f t="shared" si="41"/>
        <v>0</v>
      </c>
      <c r="X183" s="57">
        <f t="shared" si="42"/>
        <v>0</v>
      </c>
      <c r="Z183" s="57">
        <f t="shared" si="43"/>
        <v>0</v>
      </c>
      <c r="AB183" s="57">
        <f t="shared" si="44"/>
        <v>0</v>
      </c>
      <c r="AC183" s="1">
        <f t="shared" si="45"/>
        <v>0</v>
      </c>
    </row>
    <row r="184" spans="11:29" ht="15" hidden="1" customHeight="1" x14ac:dyDescent="0.3">
      <c r="K184" s="193" t="s">
        <v>125</v>
      </c>
      <c r="L184" s="45" t="str">
        <f t="shared" si="46"/>
        <v>-</v>
      </c>
      <c r="M184" s="45" t="str">
        <f t="shared" si="47"/>
        <v/>
      </c>
      <c r="N184" s="45" t="str">
        <f t="shared" si="37"/>
        <v/>
      </c>
      <c r="O184" s="58" t="str">
        <f t="shared" si="38"/>
        <v/>
      </c>
      <c r="R184" s="57">
        <f t="shared" si="39"/>
        <v>0</v>
      </c>
      <c r="T184" s="57">
        <f t="shared" si="40"/>
        <v>0</v>
      </c>
      <c r="V184" s="57">
        <f t="shared" si="41"/>
        <v>0</v>
      </c>
      <c r="X184" s="57">
        <f t="shared" si="42"/>
        <v>0</v>
      </c>
      <c r="Z184" s="57">
        <f t="shared" si="43"/>
        <v>0</v>
      </c>
      <c r="AB184" s="57">
        <f t="shared" si="44"/>
        <v>0</v>
      </c>
      <c r="AC184" s="1">
        <f t="shared" si="45"/>
        <v>0</v>
      </c>
    </row>
    <row r="185" spans="11:29" ht="15" hidden="1" customHeight="1" x14ac:dyDescent="0.3">
      <c r="K185" s="193" t="s">
        <v>125</v>
      </c>
      <c r="L185" s="45" t="str">
        <f t="shared" si="46"/>
        <v>-</v>
      </c>
      <c r="M185" s="45" t="str">
        <f t="shared" si="47"/>
        <v/>
      </c>
      <c r="N185" s="45" t="str">
        <f t="shared" si="37"/>
        <v/>
      </c>
      <c r="O185" s="58" t="str">
        <f t="shared" si="38"/>
        <v/>
      </c>
      <c r="R185" s="57">
        <f t="shared" si="39"/>
        <v>0</v>
      </c>
      <c r="T185" s="57">
        <f t="shared" si="40"/>
        <v>0</v>
      </c>
      <c r="V185" s="57">
        <f t="shared" si="41"/>
        <v>0</v>
      </c>
      <c r="X185" s="57">
        <f t="shared" si="42"/>
        <v>0</v>
      </c>
      <c r="Z185" s="57">
        <f t="shared" si="43"/>
        <v>0</v>
      </c>
      <c r="AB185" s="57">
        <f t="shared" si="44"/>
        <v>0</v>
      </c>
      <c r="AC185" s="1">
        <f t="shared" si="45"/>
        <v>0</v>
      </c>
    </row>
    <row r="186" spans="11:29" ht="15" hidden="1" customHeight="1" x14ac:dyDescent="0.3">
      <c r="K186" s="193" t="s">
        <v>125</v>
      </c>
      <c r="L186" s="45" t="str">
        <f t="shared" si="46"/>
        <v>-</v>
      </c>
      <c r="M186" s="45" t="str">
        <f t="shared" si="47"/>
        <v/>
      </c>
      <c r="N186" s="45" t="str">
        <f t="shared" si="37"/>
        <v/>
      </c>
      <c r="O186" s="58" t="str">
        <f t="shared" si="38"/>
        <v/>
      </c>
      <c r="R186" s="57">
        <f t="shared" si="39"/>
        <v>0</v>
      </c>
      <c r="T186" s="57">
        <f t="shared" si="40"/>
        <v>0</v>
      </c>
      <c r="V186" s="57">
        <f t="shared" si="41"/>
        <v>0</v>
      </c>
      <c r="X186" s="57">
        <f t="shared" si="42"/>
        <v>0</v>
      </c>
      <c r="Z186" s="57">
        <f t="shared" si="43"/>
        <v>0</v>
      </c>
      <c r="AB186" s="57">
        <f t="shared" si="44"/>
        <v>0</v>
      </c>
      <c r="AC186" s="1">
        <f t="shared" si="45"/>
        <v>0</v>
      </c>
    </row>
    <row r="187" spans="11:29" ht="15" hidden="1" customHeight="1" x14ac:dyDescent="0.3">
      <c r="K187" s="193" t="s">
        <v>125</v>
      </c>
      <c r="L187" s="45" t="str">
        <f t="shared" si="46"/>
        <v>-</v>
      </c>
      <c r="M187" s="45" t="str">
        <f t="shared" si="47"/>
        <v/>
      </c>
      <c r="N187" s="45" t="str">
        <f t="shared" si="37"/>
        <v/>
      </c>
      <c r="O187" s="58" t="str">
        <f t="shared" si="38"/>
        <v/>
      </c>
      <c r="R187" s="57">
        <f t="shared" si="39"/>
        <v>0</v>
      </c>
      <c r="T187" s="57">
        <f t="shared" si="40"/>
        <v>0</v>
      </c>
      <c r="V187" s="57">
        <f t="shared" si="41"/>
        <v>0</v>
      </c>
      <c r="X187" s="57">
        <f t="shared" si="42"/>
        <v>0</v>
      </c>
      <c r="Z187" s="57">
        <f t="shared" si="43"/>
        <v>0</v>
      </c>
      <c r="AB187" s="57">
        <f t="shared" si="44"/>
        <v>0</v>
      </c>
      <c r="AC187" s="1">
        <f t="shared" si="45"/>
        <v>0</v>
      </c>
    </row>
    <row r="188" spans="11:29" ht="15" hidden="1" customHeight="1" x14ac:dyDescent="0.3">
      <c r="K188" s="193" t="s">
        <v>125</v>
      </c>
      <c r="L188" s="45" t="str">
        <f t="shared" si="46"/>
        <v>-</v>
      </c>
      <c r="M188" s="45" t="str">
        <f t="shared" si="47"/>
        <v/>
      </c>
      <c r="N188" s="45" t="str">
        <f t="shared" si="37"/>
        <v/>
      </c>
      <c r="O188" s="58" t="str">
        <f t="shared" si="38"/>
        <v/>
      </c>
      <c r="R188" s="57">
        <f t="shared" si="39"/>
        <v>0</v>
      </c>
      <c r="T188" s="57">
        <f t="shared" si="40"/>
        <v>0</v>
      </c>
      <c r="V188" s="57">
        <f t="shared" si="41"/>
        <v>0</v>
      </c>
      <c r="X188" s="57">
        <f t="shared" si="42"/>
        <v>0</v>
      </c>
      <c r="Z188" s="57">
        <f t="shared" si="43"/>
        <v>0</v>
      </c>
      <c r="AB188" s="57">
        <f t="shared" si="44"/>
        <v>0</v>
      </c>
      <c r="AC188" s="1">
        <f t="shared" si="45"/>
        <v>0</v>
      </c>
    </row>
    <row r="189" spans="11:29" ht="15" hidden="1" customHeight="1" x14ac:dyDescent="0.3">
      <c r="K189" s="193" t="s">
        <v>125</v>
      </c>
      <c r="L189" s="45" t="str">
        <f t="shared" si="46"/>
        <v>-</v>
      </c>
      <c r="M189" s="45" t="str">
        <f t="shared" si="47"/>
        <v/>
      </c>
      <c r="N189" s="45" t="str">
        <f t="shared" si="37"/>
        <v/>
      </c>
      <c r="O189" s="58" t="str">
        <f t="shared" si="38"/>
        <v/>
      </c>
      <c r="R189" s="57">
        <f t="shared" si="39"/>
        <v>0</v>
      </c>
      <c r="T189" s="57">
        <f t="shared" si="40"/>
        <v>0</v>
      </c>
      <c r="V189" s="57">
        <f t="shared" si="41"/>
        <v>0</v>
      </c>
      <c r="X189" s="57">
        <f t="shared" si="42"/>
        <v>0</v>
      </c>
      <c r="Z189" s="57">
        <f t="shared" si="43"/>
        <v>0</v>
      </c>
      <c r="AB189" s="57">
        <f t="shared" si="44"/>
        <v>0</v>
      </c>
      <c r="AC189" s="1">
        <f t="shared" si="45"/>
        <v>0</v>
      </c>
    </row>
    <row r="190" spans="11:29" ht="15" hidden="1" customHeight="1" x14ac:dyDescent="0.3">
      <c r="K190" s="193" t="s">
        <v>125</v>
      </c>
      <c r="L190" s="45" t="str">
        <f t="shared" si="46"/>
        <v>-</v>
      </c>
      <c r="M190" s="45" t="str">
        <f t="shared" si="47"/>
        <v/>
      </c>
      <c r="N190" s="45" t="str">
        <f t="shared" si="37"/>
        <v/>
      </c>
      <c r="O190" s="58" t="str">
        <f t="shared" si="38"/>
        <v/>
      </c>
      <c r="R190" s="57">
        <f t="shared" si="39"/>
        <v>0</v>
      </c>
      <c r="T190" s="57">
        <f t="shared" si="40"/>
        <v>0</v>
      </c>
      <c r="V190" s="57">
        <f t="shared" si="41"/>
        <v>0</v>
      </c>
      <c r="X190" s="57">
        <f t="shared" si="42"/>
        <v>0</v>
      </c>
      <c r="Z190" s="57">
        <f t="shared" si="43"/>
        <v>0</v>
      </c>
      <c r="AB190" s="57">
        <f t="shared" si="44"/>
        <v>0</v>
      </c>
      <c r="AC190" s="1">
        <f t="shared" si="45"/>
        <v>0</v>
      </c>
    </row>
    <row r="191" spans="11:29" ht="15" hidden="1" customHeight="1" x14ac:dyDescent="0.3">
      <c r="K191" s="193" t="s">
        <v>125</v>
      </c>
      <c r="L191" s="45" t="str">
        <f t="shared" si="46"/>
        <v>-</v>
      </c>
      <c r="M191" s="45" t="str">
        <f t="shared" si="47"/>
        <v/>
      </c>
      <c r="N191" s="45" t="str">
        <f t="shared" si="37"/>
        <v/>
      </c>
      <c r="O191" s="58" t="str">
        <f t="shared" si="38"/>
        <v/>
      </c>
      <c r="R191" s="57">
        <f t="shared" si="39"/>
        <v>0</v>
      </c>
      <c r="T191" s="57">
        <f t="shared" si="40"/>
        <v>0</v>
      </c>
      <c r="V191" s="57">
        <f t="shared" si="41"/>
        <v>0</v>
      </c>
      <c r="X191" s="57">
        <f t="shared" si="42"/>
        <v>0</v>
      </c>
      <c r="Z191" s="57">
        <f t="shared" si="43"/>
        <v>0</v>
      </c>
      <c r="AB191" s="57">
        <f t="shared" si="44"/>
        <v>0</v>
      </c>
      <c r="AC191" s="1">
        <f t="shared" si="45"/>
        <v>0</v>
      </c>
    </row>
    <row r="192" spans="11:29" ht="15" hidden="1" customHeight="1" x14ac:dyDescent="0.3">
      <c r="K192" s="193" t="s">
        <v>125</v>
      </c>
      <c r="L192" s="45" t="str">
        <f t="shared" si="46"/>
        <v>-</v>
      </c>
      <c r="M192" s="45" t="str">
        <f t="shared" si="47"/>
        <v/>
      </c>
      <c r="N192" s="45" t="str">
        <f t="shared" si="37"/>
        <v/>
      </c>
      <c r="O192" s="58" t="str">
        <f t="shared" si="38"/>
        <v/>
      </c>
      <c r="R192" s="57">
        <f t="shared" si="39"/>
        <v>0</v>
      </c>
      <c r="T192" s="57">
        <f t="shared" si="40"/>
        <v>0</v>
      </c>
      <c r="V192" s="57">
        <f t="shared" si="41"/>
        <v>0</v>
      </c>
      <c r="X192" s="57">
        <f t="shared" si="42"/>
        <v>0</v>
      </c>
      <c r="Z192" s="57">
        <f t="shared" si="43"/>
        <v>0</v>
      </c>
      <c r="AB192" s="57">
        <f t="shared" si="44"/>
        <v>0</v>
      </c>
      <c r="AC192" s="1">
        <f t="shared" si="45"/>
        <v>0</v>
      </c>
    </row>
    <row r="193" spans="11:29" ht="15" hidden="1" customHeight="1" x14ac:dyDescent="0.3">
      <c r="K193" s="193" t="s">
        <v>125</v>
      </c>
      <c r="L193" s="45" t="str">
        <f t="shared" si="46"/>
        <v>-</v>
      </c>
      <c r="M193" s="45" t="str">
        <f t="shared" si="47"/>
        <v/>
      </c>
      <c r="N193" s="45" t="str">
        <f t="shared" si="37"/>
        <v/>
      </c>
      <c r="O193" s="58" t="str">
        <f t="shared" si="38"/>
        <v/>
      </c>
      <c r="R193" s="57">
        <f t="shared" si="39"/>
        <v>0</v>
      </c>
      <c r="T193" s="57">
        <f t="shared" si="40"/>
        <v>0</v>
      </c>
      <c r="V193" s="57">
        <f t="shared" si="41"/>
        <v>0</v>
      </c>
      <c r="X193" s="57">
        <f t="shared" si="42"/>
        <v>0</v>
      </c>
      <c r="Z193" s="57">
        <f t="shared" si="43"/>
        <v>0</v>
      </c>
      <c r="AB193" s="57">
        <f t="shared" si="44"/>
        <v>0</v>
      </c>
      <c r="AC193" s="1">
        <f t="shared" si="45"/>
        <v>0</v>
      </c>
    </row>
    <row r="194" spans="11:29" ht="15" hidden="1" customHeight="1" x14ac:dyDescent="0.3">
      <c r="K194" s="193" t="s">
        <v>126</v>
      </c>
      <c r="L194" s="45" t="str">
        <f>IFERROR(VLOOKUP(G66,$AD:$AF,3),"-")</f>
        <v>-</v>
      </c>
      <c r="M194" s="45" t="str">
        <f>IF(L66="-","",IF(G66="","",CONCATENATE(TEXT(G66,"dd-mm-aaaa")," - ",B66," ",G$65)))</f>
        <v/>
      </c>
      <c r="N194" s="45" t="str">
        <f t="shared" si="37"/>
        <v/>
      </c>
      <c r="O194" s="58" t="str">
        <f t="shared" si="38"/>
        <v/>
      </c>
      <c r="R194" s="57">
        <f t="shared" si="39"/>
        <v>0</v>
      </c>
      <c r="T194" s="57">
        <f t="shared" si="40"/>
        <v>0</v>
      </c>
      <c r="V194" s="57">
        <f t="shared" si="41"/>
        <v>0</v>
      </c>
      <c r="X194" s="57">
        <f t="shared" si="42"/>
        <v>0</v>
      </c>
      <c r="Z194" s="57">
        <f t="shared" si="43"/>
        <v>0</v>
      </c>
      <c r="AB194" s="57">
        <f t="shared" si="44"/>
        <v>0</v>
      </c>
      <c r="AC194" s="1">
        <f t="shared" si="45"/>
        <v>0</v>
      </c>
    </row>
    <row r="195" spans="11:29" ht="15" hidden="1" customHeight="1" x14ac:dyDescent="0.3">
      <c r="K195" s="193" t="s">
        <v>126</v>
      </c>
      <c r="L195" s="45" t="str">
        <f t="shared" ref="L195:L225" si="48">IFERROR(VLOOKUP(G67,$AD:$AF,3),"-")</f>
        <v>-</v>
      </c>
      <c r="M195" s="45" t="str">
        <f t="shared" ref="M195:M225" si="49">IF(L67="-","",IF(G67="","",CONCATENATE(TEXT(G67,"dd-mm-aaaa")," - ",B67," ",G$65)))</f>
        <v/>
      </c>
      <c r="N195" s="45" t="str">
        <f t="shared" ref="N195:N257" si="50">LEFT(M195,10)</f>
        <v/>
      </c>
      <c r="O195" s="58" t="str">
        <f t="shared" ref="O195:O257" si="51">IF(B195="","",B195)</f>
        <v/>
      </c>
      <c r="R195" s="57">
        <f t="shared" ref="R195:R257" si="52">C195</f>
        <v>0</v>
      </c>
      <c r="T195" s="57">
        <f t="shared" ref="T195:T257" si="53">D195</f>
        <v>0</v>
      </c>
      <c r="V195" s="57">
        <f t="shared" ref="V195:V257" si="54">E195</f>
        <v>0</v>
      </c>
      <c r="X195" s="57">
        <f t="shared" ref="X195:X257" si="55">F195</f>
        <v>0</v>
      </c>
      <c r="Z195" s="57">
        <f t="shared" ref="Z195:Z257" si="56">G195</f>
        <v>0</v>
      </c>
      <c r="AB195" s="57">
        <f t="shared" ref="AB195:AB257" si="57">H195</f>
        <v>0</v>
      </c>
      <c r="AC195" s="1">
        <f t="shared" ref="AC195:AC257" si="58">B195</f>
        <v>0</v>
      </c>
    </row>
    <row r="196" spans="11:29" ht="15" hidden="1" customHeight="1" x14ac:dyDescent="0.3">
      <c r="K196" s="193" t="s">
        <v>126</v>
      </c>
      <c r="L196" s="45" t="str">
        <f t="shared" si="48"/>
        <v>-</v>
      </c>
      <c r="M196" s="45" t="str">
        <f t="shared" si="49"/>
        <v/>
      </c>
      <c r="N196" s="45" t="str">
        <f t="shared" si="50"/>
        <v/>
      </c>
      <c r="O196" s="58" t="str">
        <f t="shared" si="51"/>
        <v/>
      </c>
      <c r="R196" s="57">
        <f t="shared" si="52"/>
        <v>0</v>
      </c>
      <c r="T196" s="57">
        <f t="shared" si="53"/>
        <v>0</v>
      </c>
      <c r="V196" s="57">
        <f t="shared" si="54"/>
        <v>0</v>
      </c>
      <c r="X196" s="57">
        <f t="shared" si="55"/>
        <v>0</v>
      </c>
      <c r="Z196" s="57">
        <f t="shared" si="56"/>
        <v>0</v>
      </c>
      <c r="AB196" s="57">
        <f t="shared" si="57"/>
        <v>0</v>
      </c>
      <c r="AC196" s="1">
        <f t="shared" si="58"/>
        <v>0</v>
      </c>
    </row>
    <row r="197" spans="11:29" ht="15" hidden="1" customHeight="1" x14ac:dyDescent="0.3">
      <c r="K197" s="193" t="s">
        <v>126</v>
      </c>
      <c r="L197" s="45" t="str">
        <f t="shared" si="48"/>
        <v>-</v>
      </c>
      <c r="M197" s="45" t="str">
        <f t="shared" si="49"/>
        <v/>
      </c>
      <c r="N197" s="45" t="str">
        <f t="shared" si="50"/>
        <v/>
      </c>
      <c r="O197" s="58" t="str">
        <f t="shared" si="51"/>
        <v/>
      </c>
      <c r="R197" s="57">
        <f t="shared" si="52"/>
        <v>0</v>
      </c>
      <c r="T197" s="57">
        <f t="shared" si="53"/>
        <v>0</v>
      </c>
      <c r="V197" s="57">
        <f t="shared" si="54"/>
        <v>0</v>
      </c>
      <c r="X197" s="57">
        <f t="shared" si="55"/>
        <v>0</v>
      </c>
      <c r="Z197" s="57">
        <f t="shared" si="56"/>
        <v>0</v>
      </c>
      <c r="AB197" s="57">
        <f t="shared" si="57"/>
        <v>0</v>
      </c>
      <c r="AC197" s="1">
        <f t="shared" si="58"/>
        <v>0</v>
      </c>
    </row>
    <row r="198" spans="11:29" ht="15" hidden="1" customHeight="1" x14ac:dyDescent="0.3">
      <c r="K198" s="193" t="s">
        <v>126</v>
      </c>
      <c r="L198" s="45" t="str">
        <f t="shared" si="48"/>
        <v>-</v>
      </c>
      <c r="M198" s="45" t="str">
        <f t="shared" si="49"/>
        <v/>
      </c>
      <c r="N198" s="45" t="str">
        <f t="shared" si="50"/>
        <v/>
      </c>
      <c r="O198" s="58" t="str">
        <f t="shared" si="51"/>
        <v/>
      </c>
      <c r="R198" s="57">
        <f t="shared" si="52"/>
        <v>0</v>
      </c>
      <c r="T198" s="57">
        <f t="shared" si="53"/>
        <v>0</v>
      </c>
      <c r="V198" s="57">
        <f t="shared" si="54"/>
        <v>0</v>
      </c>
      <c r="X198" s="57">
        <f t="shared" si="55"/>
        <v>0</v>
      </c>
      <c r="Z198" s="57">
        <f t="shared" si="56"/>
        <v>0</v>
      </c>
      <c r="AB198" s="57">
        <f t="shared" si="57"/>
        <v>0</v>
      </c>
      <c r="AC198" s="1">
        <f t="shared" si="58"/>
        <v>0</v>
      </c>
    </row>
    <row r="199" spans="11:29" ht="15" hidden="1" customHeight="1" x14ac:dyDescent="0.3">
      <c r="K199" s="193" t="s">
        <v>126</v>
      </c>
      <c r="L199" s="45" t="str">
        <f t="shared" si="48"/>
        <v>-</v>
      </c>
      <c r="M199" s="45" t="str">
        <f t="shared" si="49"/>
        <v/>
      </c>
      <c r="N199" s="45" t="str">
        <f t="shared" si="50"/>
        <v/>
      </c>
      <c r="O199" s="58" t="str">
        <f t="shared" si="51"/>
        <v/>
      </c>
      <c r="R199" s="57">
        <f t="shared" si="52"/>
        <v>0</v>
      </c>
      <c r="T199" s="57">
        <f t="shared" si="53"/>
        <v>0</v>
      </c>
      <c r="V199" s="57">
        <f t="shared" si="54"/>
        <v>0</v>
      </c>
      <c r="X199" s="57">
        <f t="shared" si="55"/>
        <v>0</v>
      </c>
      <c r="Z199" s="57">
        <f t="shared" si="56"/>
        <v>0</v>
      </c>
      <c r="AB199" s="57">
        <f t="shared" si="57"/>
        <v>0</v>
      </c>
      <c r="AC199" s="1">
        <f t="shared" si="58"/>
        <v>0</v>
      </c>
    </row>
    <row r="200" spans="11:29" ht="15" hidden="1" customHeight="1" x14ac:dyDescent="0.3">
      <c r="K200" s="193" t="s">
        <v>126</v>
      </c>
      <c r="L200" s="45" t="str">
        <f t="shared" si="48"/>
        <v>-</v>
      </c>
      <c r="M200" s="45" t="str">
        <f t="shared" si="49"/>
        <v/>
      </c>
      <c r="N200" s="45" t="str">
        <f t="shared" si="50"/>
        <v/>
      </c>
      <c r="O200" s="58" t="str">
        <f t="shared" si="51"/>
        <v/>
      </c>
      <c r="R200" s="57">
        <f t="shared" si="52"/>
        <v>0</v>
      </c>
      <c r="T200" s="57">
        <f t="shared" si="53"/>
        <v>0</v>
      </c>
      <c r="V200" s="57">
        <f t="shared" si="54"/>
        <v>0</v>
      </c>
      <c r="X200" s="57">
        <f t="shared" si="55"/>
        <v>0</v>
      </c>
      <c r="Z200" s="57">
        <f t="shared" si="56"/>
        <v>0</v>
      </c>
      <c r="AB200" s="57">
        <f t="shared" si="57"/>
        <v>0</v>
      </c>
      <c r="AC200" s="1">
        <f t="shared" si="58"/>
        <v>0</v>
      </c>
    </row>
    <row r="201" spans="11:29" ht="15" hidden="1" customHeight="1" x14ac:dyDescent="0.3">
      <c r="K201" s="193" t="s">
        <v>126</v>
      </c>
      <c r="L201" s="45" t="str">
        <f t="shared" si="48"/>
        <v>-</v>
      </c>
      <c r="M201" s="45" t="str">
        <f t="shared" si="49"/>
        <v/>
      </c>
      <c r="N201" s="45" t="str">
        <f t="shared" si="50"/>
        <v/>
      </c>
      <c r="O201" s="58" t="str">
        <f t="shared" si="51"/>
        <v/>
      </c>
      <c r="R201" s="57">
        <f t="shared" si="52"/>
        <v>0</v>
      </c>
      <c r="T201" s="57">
        <f t="shared" si="53"/>
        <v>0</v>
      </c>
      <c r="V201" s="57">
        <f t="shared" si="54"/>
        <v>0</v>
      </c>
      <c r="X201" s="57">
        <f t="shared" si="55"/>
        <v>0</v>
      </c>
      <c r="Z201" s="57">
        <f t="shared" si="56"/>
        <v>0</v>
      </c>
      <c r="AB201" s="57">
        <f t="shared" si="57"/>
        <v>0</v>
      </c>
      <c r="AC201" s="1">
        <f t="shared" si="58"/>
        <v>0</v>
      </c>
    </row>
    <row r="202" spans="11:29" ht="15" hidden="1" customHeight="1" x14ac:dyDescent="0.3">
      <c r="K202" s="193" t="s">
        <v>126</v>
      </c>
      <c r="L202" s="45" t="str">
        <f t="shared" si="48"/>
        <v>-</v>
      </c>
      <c r="M202" s="45" t="str">
        <f t="shared" si="49"/>
        <v/>
      </c>
      <c r="N202" s="45" t="str">
        <f t="shared" si="50"/>
        <v/>
      </c>
      <c r="O202" s="58" t="str">
        <f t="shared" si="51"/>
        <v/>
      </c>
      <c r="R202" s="57">
        <f t="shared" si="52"/>
        <v>0</v>
      </c>
      <c r="T202" s="57">
        <f t="shared" si="53"/>
        <v>0</v>
      </c>
      <c r="V202" s="57">
        <f t="shared" si="54"/>
        <v>0</v>
      </c>
      <c r="X202" s="57">
        <f t="shared" si="55"/>
        <v>0</v>
      </c>
      <c r="Z202" s="57">
        <f t="shared" si="56"/>
        <v>0</v>
      </c>
      <c r="AB202" s="57">
        <f t="shared" si="57"/>
        <v>0</v>
      </c>
      <c r="AC202" s="1">
        <f t="shared" si="58"/>
        <v>0</v>
      </c>
    </row>
    <row r="203" spans="11:29" ht="15" hidden="1" customHeight="1" x14ac:dyDescent="0.3">
      <c r="K203" s="193" t="s">
        <v>126</v>
      </c>
      <c r="L203" s="45" t="str">
        <f t="shared" si="48"/>
        <v>-</v>
      </c>
      <c r="M203" s="45" t="str">
        <f t="shared" si="49"/>
        <v/>
      </c>
      <c r="N203" s="45" t="str">
        <f t="shared" si="50"/>
        <v/>
      </c>
      <c r="O203" s="58" t="str">
        <f t="shared" si="51"/>
        <v/>
      </c>
      <c r="R203" s="57">
        <f t="shared" si="52"/>
        <v>0</v>
      </c>
      <c r="T203" s="57">
        <f t="shared" si="53"/>
        <v>0</v>
      </c>
      <c r="V203" s="57">
        <f t="shared" si="54"/>
        <v>0</v>
      </c>
      <c r="X203" s="57">
        <f t="shared" si="55"/>
        <v>0</v>
      </c>
      <c r="Z203" s="57">
        <f t="shared" si="56"/>
        <v>0</v>
      </c>
      <c r="AB203" s="57">
        <f t="shared" si="57"/>
        <v>0</v>
      </c>
      <c r="AC203" s="1">
        <f t="shared" si="58"/>
        <v>0</v>
      </c>
    </row>
    <row r="204" spans="11:29" ht="15" hidden="1" customHeight="1" x14ac:dyDescent="0.3">
      <c r="K204" s="193" t="s">
        <v>126</v>
      </c>
      <c r="L204" s="45" t="str">
        <f t="shared" si="48"/>
        <v>-</v>
      </c>
      <c r="M204" s="45" t="str">
        <f t="shared" si="49"/>
        <v/>
      </c>
      <c r="N204" s="45" t="str">
        <f t="shared" si="50"/>
        <v/>
      </c>
      <c r="O204" s="58" t="str">
        <f t="shared" si="51"/>
        <v/>
      </c>
      <c r="R204" s="57">
        <f t="shared" si="52"/>
        <v>0</v>
      </c>
      <c r="T204" s="57">
        <f t="shared" si="53"/>
        <v>0</v>
      </c>
      <c r="V204" s="57">
        <f t="shared" si="54"/>
        <v>0</v>
      </c>
      <c r="X204" s="57">
        <f t="shared" si="55"/>
        <v>0</v>
      </c>
      <c r="Z204" s="57">
        <f t="shared" si="56"/>
        <v>0</v>
      </c>
      <c r="AB204" s="57">
        <f t="shared" si="57"/>
        <v>0</v>
      </c>
      <c r="AC204" s="1">
        <f t="shared" si="58"/>
        <v>0</v>
      </c>
    </row>
    <row r="205" spans="11:29" ht="15" hidden="1" customHeight="1" x14ac:dyDescent="0.3">
      <c r="K205" s="193" t="s">
        <v>126</v>
      </c>
      <c r="L205" s="45" t="str">
        <f t="shared" si="48"/>
        <v>-</v>
      </c>
      <c r="M205" s="45" t="str">
        <f t="shared" si="49"/>
        <v/>
      </c>
      <c r="N205" s="45" t="str">
        <f t="shared" si="50"/>
        <v/>
      </c>
      <c r="O205" s="58" t="str">
        <f t="shared" si="51"/>
        <v/>
      </c>
      <c r="R205" s="57">
        <f t="shared" si="52"/>
        <v>0</v>
      </c>
      <c r="T205" s="57">
        <f t="shared" si="53"/>
        <v>0</v>
      </c>
      <c r="V205" s="57">
        <f t="shared" si="54"/>
        <v>0</v>
      </c>
      <c r="X205" s="57">
        <f t="shared" si="55"/>
        <v>0</v>
      </c>
      <c r="Z205" s="57">
        <f t="shared" si="56"/>
        <v>0</v>
      </c>
      <c r="AB205" s="57">
        <f t="shared" si="57"/>
        <v>0</v>
      </c>
      <c r="AC205" s="1">
        <f t="shared" si="58"/>
        <v>0</v>
      </c>
    </row>
    <row r="206" spans="11:29" ht="15" hidden="1" customHeight="1" x14ac:dyDescent="0.3">
      <c r="K206" s="193" t="s">
        <v>126</v>
      </c>
      <c r="L206" s="45" t="str">
        <f t="shared" si="48"/>
        <v>-</v>
      </c>
      <c r="M206" s="45" t="str">
        <f t="shared" si="49"/>
        <v/>
      </c>
      <c r="N206" s="45" t="str">
        <f t="shared" si="50"/>
        <v/>
      </c>
      <c r="O206" s="58" t="str">
        <f t="shared" si="51"/>
        <v/>
      </c>
      <c r="R206" s="57">
        <f t="shared" si="52"/>
        <v>0</v>
      </c>
      <c r="T206" s="57">
        <f t="shared" si="53"/>
        <v>0</v>
      </c>
      <c r="V206" s="57">
        <f t="shared" si="54"/>
        <v>0</v>
      </c>
      <c r="X206" s="57">
        <f t="shared" si="55"/>
        <v>0</v>
      </c>
      <c r="Z206" s="57">
        <f t="shared" si="56"/>
        <v>0</v>
      </c>
      <c r="AB206" s="57">
        <f t="shared" si="57"/>
        <v>0</v>
      </c>
      <c r="AC206" s="1">
        <f t="shared" si="58"/>
        <v>0</v>
      </c>
    </row>
    <row r="207" spans="11:29" ht="15" hidden="1" customHeight="1" x14ac:dyDescent="0.3">
      <c r="K207" s="193" t="s">
        <v>126</v>
      </c>
      <c r="L207" s="45" t="str">
        <f t="shared" si="48"/>
        <v>-</v>
      </c>
      <c r="M207" s="45" t="str">
        <f t="shared" si="49"/>
        <v/>
      </c>
      <c r="N207" s="45" t="str">
        <f t="shared" si="50"/>
        <v/>
      </c>
      <c r="O207" s="58" t="str">
        <f t="shared" si="51"/>
        <v/>
      </c>
      <c r="R207" s="57">
        <f t="shared" si="52"/>
        <v>0</v>
      </c>
      <c r="T207" s="57">
        <f t="shared" si="53"/>
        <v>0</v>
      </c>
      <c r="V207" s="57">
        <f t="shared" si="54"/>
        <v>0</v>
      </c>
      <c r="X207" s="57">
        <f t="shared" si="55"/>
        <v>0</v>
      </c>
      <c r="Z207" s="57">
        <f t="shared" si="56"/>
        <v>0</v>
      </c>
      <c r="AB207" s="57">
        <f t="shared" si="57"/>
        <v>0</v>
      </c>
      <c r="AC207" s="1">
        <f t="shared" si="58"/>
        <v>0</v>
      </c>
    </row>
    <row r="208" spans="11:29" ht="15" hidden="1" customHeight="1" x14ac:dyDescent="0.3">
      <c r="K208" s="193" t="s">
        <v>126</v>
      </c>
      <c r="L208" s="45" t="str">
        <f t="shared" si="48"/>
        <v>-</v>
      </c>
      <c r="M208" s="45" t="str">
        <f t="shared" si="49"/>
        <v/>
      </c>
      <c r="N208" s="45" t="str">
        <f t="shared" si="50"/>
        <v/>
      </c>
      <c r="O208" s="58" t="str">
        <f t="shared" si="51"/>
        <v/>
      </c>
      <c r="R208" s="57">
        <f t="shared" si="52"/>
        <v>0</v>
      </c>
      <c r="T208" s="57">
        <f t="shared" si="53"/>
        <v>0</v>
      </c>
      <c r="V208" s="57">
        <f t="shared" si="54"/>
        <v>0</v>
      </c>
      <c r="X208" s="57">
        <f t="shared" si="55"/>
        <v>0</v>
      </c>
      <c r="Z208" s="57">
        <f t="shared" si="56"/>
        <v>0</v>
      </c>
      <c r="AB208" s="57">
        <f t="shared" si="57"/>
        <v>0</v>
      </c>
      <c r="AC208" s="1">
        <f t="shared" si="58"/>
        <v>0</v>
      </c>
    </row>
    <row r="209" spans="11:29" ht="15" hidden="1" customHeight="1" x14ac:dyDescent="0.3">
      <c r="K209" s="193" t="s">
        <v>126</v>
      </c>
      <c r="L209" s="45" t="str">
        <f t="shared" si="48"/>
        <v>-</v>
      </c>
      <c r="M209" s="45" t="str">
        <f t="shared" si="49"/>
        <v/>
      </c>
      <c r="N209" s="45" t="str">
        <f t="shared" si="50"/>
        <v/>
      </c>
      <c r="O209" s="58" t="str">
        <f t="shared" si="51"/>
        <v/>
      </c>
      <c r="R209" s="57">
        <f t="shared" si="52"/>
        <v>0</v>
      </c>
      <c r="T209" s="57">
        <f t="shared" si="53"/>
        <v>0</v>
      </c>
      <c r="V209" s="57">
        <f t="shared" si="54"/>
        <v>0</v>
      </c>
      <c r="X209" s="57">
        <f t="shared" si="55"/>
        <v>0</v>
      </c>
      <c r="Z209" s="57">
        <f t="shared" si="56"/>
        <v>0</v>
      </c>
      <c r="AB209" s="57">
        <f t="shared" si="57"/>
        <v>0</v>
      </c>
      <c r="AC209" s="1">
        <f t="shared" si="58"/>
        <v>0</v>
      </c>
    </row>
    <row r="210" spans="11:29" ht="15" hidden="1" customHeight="1" x14ac:dyDescent="0.3">
      <c r="K210" s="193" t="s">
        <v>126</v>
      </c>
      <c r="L210" s="45" t="str">
        <f t="shared" si="48"/>
        <v>-</v>
      </c>
      <c r="M210" s="45" t="str">
        <f t="shared" si="49"/>
        <v/>
      </c>
      <c r="N210" s="45" t="str">
        <f t="shared" si="50"/>
        <v/>
      </c>
      <c r="O210" s="58" t="str">
        <f t="shared" si="51"/>
        <v/>
      </c>
      <c r="R210" s="57">
        <f t="shared" si="52"/>
        <v>0</v>
      </c>
      <c r="T210" s="57">
        <f t="shared" si="53"/>
        <v>0</v>
      </c>
      <c r="V210" s="57">
        <f t="shared" si="54"/>
        <v>0</v>
      </c>
      <c r="X210" s="57">
        <f t="shared" si="55"/>
        <v>0</v>
      </c>
      <c r="Z210" s="57">
        <f t="shared" si="56"/>
        <v>0</v>
      </c>
      <c r="AB210" s="57">
        <f t="shared" si="57"/>
        <v>0</v>
      </c>
      <c r="AC210" s="1">
        <f t="shared" si="58"/>
        <v>0</v>
      </c>
    </row>
    <row r="211" spans="11:29" ht="15" hidden="1" customHeight="1" x14ac:dyDescent="0.3">
      <c r="K211" s="193" t="s">
        <v>126</v>
      </c>
      <c r="L211" s="45" t="str">
        <f t="shared" si="48"/>
        <v>-</v>
      </c>
      <c r="M211" s="45" t="str">
        <f t="shared" si="49"/>
        <v/>
      </c>
      <c r="N211" s="45" t="str">
        <f t="shared" si="50"/>
        <v/>
      </c>
      <c r="O211" s="58" t="str">
        <f t="shared" si="51"/>
        <v/>
      </c>
      <c r="R211" s="57">
        <f t="shared" si="52"/>
        <v>0</v>
      </c>
      <c r="T211" s="57">
        <f t="shared" si="53"/>
        <v>0</v>
      </c>
      <c r="V211" s="57">
        <f t="shared" si="54"/>
        <v>0</v>
      </c>
      <c r="X211" s="57">
        <f t="shared" si="55"/>
        <v>0</v>
      </c>
      <c r="Z211" s="57">
        <f t="shared" si="56"/>
        <v>0</v>
      </c>
      <c r="AB211" s="57">
        <f t="shared" si="57"/>
        <v>0</v>
      </c>
      <c r="AC211" s="1">
        <f t="shared" si="58"/>
        <v>0</v>
      </c>
    </row>
    <row r="212" spans="11:29" ht="15" hidden="1" customHeight="1" x14ac:dyDescent="0.3">
      <c r="K212" s="193" t="s">
        <v>126</v>
      </c>
      <c r="L212" s="45" t="str">
        <f t="shared" si="48"/>
        <v>Semana 8</v>
      </c>
      <c r="M212" s="45" t="str">
        <f t="shared" si="49"/>
        <v/>
      </c>
      <c r="N212" s="45" t="str">
        <f t="shared" si="50"/>
        <v/>
      </c>
      <c r="O212" s="58" t="str">
        <f t="shared" si="51"/>
        <v/>
      </c>
      <c r="R212" s="57">
        <f t="shared" si="52"/>
        <v>0</v>
      </c>
      <c r="T212" s="57">
        <f t="shared" si="53"/>
        <v>0</v>
      </c>
      <c r="V212" s="57">
        <f t="shared" si="54"/>
        <v>0</v>
      </c>
      <c r="X212" s="57">
        <f t="shared" si="55"/>
        <v>0</v>
      </c>
      <c r="Z212" s="57">
        <f t="shared" si="56"/>
        <v>0</v>
      </c>
      <c r="AB212" s="57">
        <f t="shared" si="57"/>
        <v>0</v>
      </c>
      <c r="AC212" s="1">
        <f t="shared" si="58"/>
        <v>0</v>
      </c>
    </row>
    <row r="213" spans="11:29" ht="15" hidden="1" customHeight="1" x14ac:dyDescent="0.3">
      <c r="K213" s="193" t="s">
        <v>126</v>
      </c>
      <c r="L213" s="45" t="str">
        <f t="shared" si="48"/>
        <v>-</v>
      </c>
      <c r="M213" s="45" t="str">
        <f t="shared" si="49"/>
        <v/>
      </c>
      <c r="N213" s="45" t="str">
        <f t="shared" si="50"/>
        <v/>
      </c>
      <c r="O213" s="58" t="str">
        <f t="shared" si="51"/>
        <v/>
      </c>
      <c r="R213" s="57">
        <f t="shared" si="52"/>
        <v>0</v>
      </c>
      <c r="T213" s="57">
        <f t="shared" si="53"/>
        <v>0</v>
      </c>
      <c r="V213" s="57">
        <f t="shared" si="54"/>
        <v>0</v>
      </c>
      <c r="X213" s="57">
        <f t="shared" si="55"/>
        <v>0</v>
      </c>
      <c r="Z213" s="57">
        <f t="shared" si="56"/>
        <v>0</v>
      </c>
      <c r="AB213" s="57">
        <f t="shared" si="57"/>
        <v>0</v>
      </c>
      <c r="AC213" s="1">
        <f t="shared" si="58"/>
        <v>0</v>
      </c>
    </row>
    <row r="214" spans="11:29" ht="15" hidden="1" customHeight="1" x14ac:dyDescent="0.3">
      <c r="K214" s="193" t="s">
        <v>126</v>
      </c>
      <c r="L214" s="45" t="str">
        <f t="shared" si="48"/>
        <v>-</v>
      </c>
      <c r="M214" s="45" t="str">
        <f t="shared" si="49"/>
        <v/>
      </c>
      <c r="N214" s="45" t="str">
        <f t="shared" si="50"/>
        <v/>
      </c>
      <c r="O214" s="58" t="str">
        <f t="shared" si="51"/>
        <v/>
      </c>
      <c r="R214" s="57">
        <f t="shared" si="52"/>
        <v>0</v>
      </c>
      <c r="T214" s="57">
        <f t="shared" si="53"/>
        <v>0</v>
      </c>
      <c r="V214" s="57">
        <f t="shared" si="54"/>
        <v>0</v>
      </c>
      <c r="X214" s="57">
        <f t="shared" si="55"/>
        <v>0</v>
      </c>
      <c r="Z214" s="57">
        <f t="shared" si="56"/>
        <v>0</v>
      </c>
      <c r="AB214" s="57">
        <f t="shared" si="57"/>
        <v>0</v>
      </c>
      <c r="AC214" s="1">
        <f t="shared" si="58"/>
        <v>0</v>
      </c>
    </row>
    <row r="215" spans="11:29" ht="15" hidden="1" customHeight="1" x14ac:dyDescent="0.3">
      <c r="K215" s="193" t="s">
        <v>126</v>
      </c>
      <c r="L215" s="45" t="str">
        <f t="shared" si="48"/>
        <v>-</v>
      </c>
      <c r="M215" s="45" t="str">
        <f t="shared" si="49"/>
        <v/>
      </c>
      <c r="N215" s="45" t="str">
        <f t="shared" si="50"/>
        <v/>
      </c>
      <c r="O215" s="58" t="str">
        <f t="shared" si="51"/>
        <v/>
      </c>
      <c r="R215" s="57">
        <f t="shared" si="52"/>
        <v>0</v>
      </c>
      <c r="T215" s="57">
        <f t="shared" si="53"/>
        <v>0</v>
      </c>
      <c r="V215" s="57">
        <f t="shared" si="54"/>
        <v>0</v>
      </c>
      <c r="X215" s="57">
        <f t="shared" si="55"/>
        <v>0</v>
      </c>
      <c r="Z215" s="57">
        <f t="shared" si="56"/>
        <v>0</v>
      </c>
      <c r="AB215" s="57">
        <f t="shared" si="57"/>
        <v>0</v>
      </c>
      <c r="AC215" s="1">
        <f t="shared" si="58"/>
        <v>0</v>
      </c>
    </row>
    <row r="216" spans="11:29" ht="15" hidden="1" customHeight="1" x14ac:dyDescent="0.3">
      <c r="K216" s="193" t="s">
        <v>126</v>
      </c>
      <c r="L216" s="45" t="str">
        <f t="shared" si="48"/>
        <v>-</v>
      </c>
      <c r="M216" s="45" t="str">
        <f t="shared" si="49"/>
        <v/>
      </c>
      <c r="N216" s="45" t="str">
        <f t="shared" si="50"/>
        <v/>
      </c>
      <c r="O216" s="58" t="str">
        <f t="shared" si="51"/>
        <v/>
      </c>
      <c r="R216" s="57">
        <f t="shared" si="52"/>
        <v>0</v>
      </c>
      <c r="T216" s="57">
        <f t="shared" si="53"/>
        <v>0</v>
      </c>
      <c r="V216" s="57">
        <f t="shared" si="54"/>
        <v>0</v>
      </c>
      <c r="X216" s="57">
        <f t="shared" si="55"/>
        <v>0</v>
      </c>
      <c r="Z216" s="57">
        <f t="shared" si="56"/>
        <v>0</v>
      </c>
      <c r="AB216" s="57">
        <f t="shared" si="57"/>
        <v>0</v>
      </c>
      <c r="AC216" s="1">
        <f t="shared" si="58"/>
        <v>0</v>
      </c>
    </row>
    <row r="217" spans="11:29" ht="15" hidden="1" customHeight="1" x14ac:dyDescent="0.3">
      <c r="K217" s="193" t="s">
        <v>126</v>
      </c>
      <c r="L217" s="45" t="str">
        <f t="shared" si="48"/>
        <v>-</v>
      </c>
      <c r="M217" s="45" t="str">
        <f t="shared" si="49"/>
        <v/>
      </c>
      <c r="N217" s="45" t="str">
        <f t="shared" si="50"/>
        <v/>
      </c>
      <c r="O217" s="58" t="str">
        <f t="shared" si="51"/>
        <v/>
      </c>
      <c r="R217" s="57">
        <f t="shared" si="52"/>
        <v>0</v>
      </c>
      <c r="T217" s="57">
        <f t="shared" si="53"/>
        <v>0</v>
      </c>
      <c r="V217" s="57">
        <f t="shared" si="54"/>
        <v>0</v>
      </c>
      <c r="X217" s="57">
        <f t="shared" si="55"/>
        <v>0</v>
      </c>
      <c r="Z217" s="57">
        <f t="shared" si="56"/>
        <v>0</v>
      </c>
      <c r="AB217" s="57">
        <f t="shared" si="57"/>
        <v>0</v>
      </c>
      <c r="AC217" s="1">
        <f t="shared" si="58"/>
        <v>0</v>
      </c>
    </row>
    <row r="218" spans="11:29" ht="15" hidden="1" customHeight="1" x14ac:dyDescent="0.3">
      <c r="K218" s="193" t="s">
        <v>126</v>
      </c>
      <c r="L218" s="45" t="str">
        <f t="shared" si="48"/>
        <v>-</v>
      </c>
      <c r="M218" s="45" t="str">
        <f t="shared" si="49"/>
        <v/>
      </c>
      <c r="N218" s="45" t="str">
        <f t="shared" si="50"/>
        <v/>
      </c>
      <c r="O218" s="58" t="str">
        <f t="shared" si="51"/>
        <v/>
      </c>
      <c r="R218" s="57">
        <f t="shared" si="52"/>
        <v>0</v>
      </c>
      <c r="T218" s="57">
        <f t="shared" si="53"/>
        <v>0</v>
      </c>
      <c r="V218" s="57">
        <f t="shared" si="54"/>
        <v>0</v>
      </c>
      <c r="X218" s="57">
        <f t="shared" si="55"/>
        <v>0</v>
      </c>
      <c r="Z218" s="57">
        <f t="shared" si="56"/>
        <v>0</v>
      </c>
      <c r="AB218" s="57">
        <f t="shared" si="57"/>
        <v>0</v>
      </c>
      <c r="AC218" s="1">
        <f t="shared" si="58"/>
        <v>0</v>
      </c>
    </row>
    <row r="219" spans="11:29" ht="15" hidden="1" customHeight="1" x14ac:dyDescent="0.3">
      <c r="K219" s="193" t="s">
        <v>126</v>
      </c>
      <c r="L219" s="45" t="str">
        <f t="shared" si="48"/>
        <v>-</v>
      </c>
      <c r="M219" s="45" t="str">
        <f t="shared" si="49"/>
        <v/>
      </c>
      <c r="N219" s="45" t="str">
        <f t="shared" si="50"/>
        <v/>
      </c>
      <c r="O219" s="58" t="str">
        <f t="shared" si="51"/>
        <v/>
      </c>
      <c r="R219" s="57">
        <f t="shared" si="52"/>
        <v>0</v>
      </c>
      <c r="T219" s="57">
        <f t="shared" si="53"/>
        <v>0</v>
      </c>
      <c r="V219" s="57">
        <f t="shared" si="54"/>
        <v>0</v>
      </c>
      <c r="X219" s="57">
        <f t="shared" si="55"/>
        <v>0</v>
      </c>
      <c r="Z219" s="57">
        <f t="shared" si="56"/>
        <v>0</v>
      </c>
      <c r="AB219" s="57">
        <f t="shared" si="57"/>
        <v>0</v>
      </c>
      <c r="AC219" s="1">
        <f t="shared" si="58"/>
        <v>0</v>
      </c>
    </row>
    <row r="220" spans="11:29" ht="15" hidden="1" customHeight="1" x14ac:dyDescent="0.3">
      <c r="K220" s="193" t="s">
        <v>126</v>
      </c>
      <c r="L220" s="45" t="str">
        <f t="shared" si="48"/>
        <v>-</v>
      </c>
      <c r="M220" s="45" t="str">
        <f t="shared" si="49"/>
        <v/>
      </c>
      <c r="N220" s="45" t="str">
        <f t="shared" si="50"/>
        <v/>
      </c>
      <c r="O220" s="58" t="str">
        <f t="shared" si="51"/>
        <v/>
      </c>
      <c r="R220" s="57">
        <f t="shared" si="52"/>
        <v>0</v>
      </c>
      <c r="T220" s="57">
        <f t="shared" si="53"/>
        <v>0</v>
      </c>
      <c r="V220" s="57">
        <f t="shared" si="54"/>
        <v>0</v>
      </c>
      <c r="X220" s="57">
        <f t="shared" si="55"/>
        <v>0</v>
      </c>
      <c r="Z220" s="57">
        <f t="shared" si="56"/>
        <v>0</v>
      </c>
      <c r="AB220" s="57">
        <f t="shared" si="57"/>
        <v>0</v>
      </c>
      <c r="AC220" s="1">
        <f t="shared" si="58"/>
        <v>0</v>
      </c>
    </row>
    <row r="221" spans="11:29" ht="15" hidden="1" customHeight="1" x14ac:dyDescent="0.3">
      <c r="K221" s="193" t="s">
        <v>126</v>
      </c>
      <c r="L221" s="45" t="str">
        <f t="shared" si="48"/>
        <v>-</v>
      </c>
      <c r="M221" s="45" t="str">
        <f t="shared" si="49"/>
        <v/>
      </c>
      <c r="N221" s="45" t="str">
        <f t="shared" si="50"/>
        <v/>
      </c>
      <c r="O221" s="58" t="str">
        <f t="shared" si="51"/>
        <v/>
      </c>
      <c r="R221" s="57">
        <f t="shared" si="52"/>
        <v>0</v>
      </c>
      <c r="T221" s="57">
        <f t="shared" si="53"/>
        <v>0</v>
      </c>
      <c r="V221" s="57">
        <f t="shared" si="54"/>
        <v>0</v>
      </c>
      <c r="X221" s="57">
        <f t="shared" si="55"/>
        <v>0</v>
      </c>
      <c r="Z221" s="57">
        <f t="shared" si="56"/>
        <v>0</v>
      </c>
      <c r="AB221" s="57">
        <f t="shared" si="57"/>
        <v>0</v>
      </c>
      <c r="AC221" s="1">
        <f t="shared" si="58"/>
        <v>0</v>
      </c>
    </row>
    <row r="222" spans="11:29" ht="15" hidden="1" customHeight="1" x14ac:dyDescent="0.3">
      <c r="K222" s="193" t="s">
        <v>126</v>
      </c>
      <c r="L222" s="45" t="str">
        <f t="shared" si="48"/>
        <v>-</v>
      </c>
      <c r="M222" s="45" t="str">
        <f t="shared" si="49"/>
        <v/>
      </c>
      <c r="N222" s="45" t="str">
        <f t="shared" si="50"/>
        <v/>
      </c>
      <c r="O222" s="58" t="str">
        <f t="shared" si="51"/>
        <v/>
      </c>
      <c r="R222" s="57">
        <f t="shared" si="52"/>
        <v>0</v>
      </c>
      <c r="T222" s="57">
        <f t="shared" si="53"/>
        <v>0</v>
      </c>
      <c r="V222" s="57">
        <f t="shared" si="54"/>
        <v>0</v>
      </c>
      <c r="X222" s="57">
        <f t="shared" si="55"/>
        <v>0</v>
      </c>
      <c r="Z222" s="57">
        <f t="shared" si="56"/>
        <v>0</v>
      </c>
      <c r="AB222" s="57">
        <f t="shared" si="57"/>
        <v>0</v>
      </c>
      <c r="AC222" s="1">
        <f t="shared" si="58"/>
        <v>0</v>
      </c>
    </row>
    <row r="223" spans="11:29" ht="15" hidden="1" customHeight="1" x14ac:dyDescent="0.3">
      <c r="K223" s="193" t="s">
        <v>126</v>
      </c>
      <c r="L223" s="45" t="str">
        <f t="shared" si="48"/>
        <v>-</v>
      </c>
      <c r="M223" s="45" t="str">
        <f t="shared" si="49"/>
        <v/>
      </c>
      <c r="N223" s="45" t="str">
        <f t="shared" si="50"/>
        <v/>
      </c>
      <c r="O223" s="58" t="str">
        <f t="shared" si="51"/>
        <v/>
      </c>
      <c r="R223" s="57">
        <f t="shared" si="52"/>
        <v>0</v>
      </c>
      <c r="T223" s="57">
        <f t="shared" si="53"/>
        <v>0</v>
      </c>
      <c r="V223" s="57">
        <f t="shared" si="54"/>
        <v>0</v>
      </c>
      <c r="X223" s="57">
        <f t="shared" si="55"/>
        <v>0</v>
      </c>
      <c r="Z223" s="57">
        <f t="shared" si="56"/>
        <v>0</v>
      </c>
      <c r="AB223" s="57">
        <f t="shared" si="57"/>
        <v>0</v>
      </c>
      <c r="AC223" s="1">
        <f t="shared" si="58"/>
        <v>0</v>
      </c>
    </row>
    <row r="224" spans="11:29" ht="15" hidden="1" customHeight="1" x14ac:dyDescent="0.3">
      <c r="K224" s="193" t="s">
        <v>126</v>
      </c>
      <c r="L224" s="45" t="str">
        <f t="shared" si="48"/>
        <v>-</v>
      </c>
      <c r="M224" s="45" t="str">
        <f t="shared" si="49"/>
        <v/>
      </c>
      <c r="N224" s="45" t="str">
        <f t="shared" si="50"/>
        <v/>
      </c>
      <c r="O224" s="58" t="str">
        <f t="shared" si="51"/>
        <v/>
      </c>
      <c r="R224" s="57">
        <f t="shared" si="52"/>
        <v>0</v>
      </c>
      <c r="T224" s="57">
        <f t="shared" si="53"/>
        <v>0</v>
      </c>
      <c r="V224" s="57">
        <f t="shared" si="54"/>
        <v>0</v>
      </c>
      <c r="X224" s="57">
        <f t="shared" si="55"/>
        <v>0</v>
      </c>
      <c r="Z224" s="57">
        <f t="shared" si="56"/>
        <v>0</v>
      </c>
      <c r="AB224" s="57">
        <f t="shared" si="57"/>
        <v>0</v>
      </c>
      <c r="AC224" s="1">
        <f t="shared" si="58"/>
        <v>0</v>
      </c>
    </row>
    <row r="225" spans="11:29" ht="15" hidden="1" customHeight="1" x14ac:dyDescent="0.3">
      <c r="K225" s="193" t="s">
        <v>126</v>
      </c>
      <c r="L225" s="45" t="str">
        <f t="shared" si="48"/>
        <v>-</v>
      </c>
      <c r="M225" s="45" t="str">
        <f t="shared" si="49"/>
        <v/>
      </c>
      <c r="N225" s="45" t="str">
        <f t="shared" si="50"/>
        <v/>
      </c>
      <c r="O225" s="58" t="str">
        <f t="shared" si="51"/>
        <v/>
      </c>
      <c r="R225" s="57">
        <f t="shared" si="52"/>
        <v>0</v>
      </c>
      <c r="T225" s="57">
        <f t="shared" si="53"/>
        <v>0</v>
      </c>
      <c r="V225" s="57">
        <f t="shared" si="54"/>
        <v>0</v>
      </c>
      <c r="X225" s="57">
        <f t="shared" si="55"/>
        <v>0</v>
      </c>
      <c r="Z225" s="57">
        <f t="shared" si="56"/>
        <v>0</v>
      </c>
      <c r="AB225" s="57">
        <f t="shared" si="57"/>
        <v>0</v>
      </c>
      <c r="AC225" s="1">
        <f t="shared" si="58"/>
        <v>0</v>
      </c>
    </row>
    <row r="226" spans="11:29" ht="15" hidden="1" customHeight="1" x14ac:dyDescent="0.3">
      <c r="K226" s="193" t="s">
        <v>127</v>
      </c>
      <c r="L226" s="45" t="str">
        <f>IFERROR(VLOOKUP(H66,$AD:$AF,3),"-")</f>
        <v>-</v>
      </c>
      <c r="M226" s="45" t="str">
        <f>IF(L66="-","",IF(H66="","",CONCATENATE(TEXT(H66,"dd-mm-aaaa")," - ",B66," ",H$65)))</f>
        <v/>
      </c>
      <c r="N226" s="45" t="str">
        <f t="shared" si="50"/>
        <v/>
      </c>
      <c r="O226" s="58" t="str">
        <f t="shared" si="51"/>
        <v/>
      </c>
      <c r="R226" s="57">
        <f t="shared" si="52"/>
        <v>0</v>
      </c>
      <c r="T226" s="57">
        <f t="shared" si="53"/>
        <v>0</v>
      </c>
      <c r="V226" s="57">
        <f t="shared" si="54"/>
        <v>0</v>
      </c>
      <c r="X226" s="57">
        <f t="shared" si="55"/>
        <v>0</v>
      </c>
      <c r="Z226" s="57">
        <f t="shared" si="56"/>
        <v>0</v>
      </c>
      <c r="AB226" s="57">
        <f t="shared" si="57"/>
        <v>0</v>
      </c>
      <c r="AC226" s="1">
        <f t="shared" si="58"/>
        <v>0</v>
      </c>
    </row>
    <row r="227" spans="11:29" ht="15" hidden="1" customHeight="1" x14ac:dyDescent="0.3">
      <c r="K227" s="193" t="s">
        <v>127</v>
      </c>
      <c r="L227" s="45" t="str">
        <f t="shared" ref="L227:L257" si="59">IFERROR(VLOOKUP(H67,$AD:$AF,3),"-")</f>
        <v>-</v>
      </c>
      <c r="M227" s="45" t="str">
        <f t="shared" ref="M227:M257" si="60">IF(L67="-","",IF(H67="","",CONCATENATE(TEXT(H67,"dd-mm-aaaa")," - ",B67," ",H$65)))</f>
        <v/>
      </c>
      <c r="N227" s="45" t="str">
        <f t="shared" si="50"/>
        <v/>
      </c>
      <c r="O227" s="58" t="str">
        <f t="shared" si="51"/>
        <v/>
      </c>
      <c r="R227" s="57">
        <f t="shared" si="52"/>
        <v>0</v>
      </c>
      <c r="T227" s="57">
        <f t="shared" si="53"/>
        <v>0</v>
      </c>
      <c r="V227" s="57">
        <f t="shared" si="54"/>
        <v>0</v>
      </c>
      <c r="X227" s="57">
        <f t="shared" si="55"/>
        <v>0</v>
      </c>
      <c r="Z227" s="57">
        <f t="shared" si="56"/>
        <v>0</v>
      </c>
      <c r="AB227" s="57">
        <f t="shared" si="57"/>
        <v>0</v>
      </c>
      <c r="AC227" s="1">
        <f t="shared" si="58"/>
        <v>0</v>
      </c>
    </row>
    <row r="228" spans="11:29" ht="15" hidden="1" customHeight="1" x14ac:dyDescent="0.3">
      <c r="K228" s="193" t="s">
        <v>127</v>
      </c>
      <c r="L228" s="45" t="str">
        <f t="shared" si="59"/>
        <v>-</v>
      </c>
      <c r="M228" s="45" t="str">
        <f t="shared" si="60"/>
        <v/>
      </c>
      <c r="N228" s="45" t="str">
        <f t="shared" si="50"/>
        <v/>
      </c>
      <c r="O228" s="58" t="str">
        <f t="shared" si="51"/>
        <v/>
      </c>
      <c r="R228" s="57">
        <f t="shared" si="52"/>
        <v>0</v>
      </c>
      <c r="T228" s="57">
        <f t="shared" si="53"/>
        <v>0</v>
      </c>
      <c r="V228" s="57">
        <f t="shared" si="54"/>
        <v>0</v>
      </c>
      <c r="X228" s="57">
        <f t="shared" si="55"/>
        <v>0</v>
      </c>
      <c r="Z228" s="57">
        <f t="shared" si="56"/>
        <v>0</v>
      </c>
      <c r="AB228" s="57">
        <f t="shared" si="57"/>
        <v>0</v>
      </c>
      <c r="AC228" s="1">
        <f t="shared" si="58"/>
        <v>0</v>
      </c>
    </row>
    <row r="229" spans="11:29" ht="15" hidden="1" customHeight="1" x14ac:dyDescent="0.3">
      <c r="K229" s="193" t="s">
        <v>127</v>
      </c>
      <c r="L229" s="45" t="str">
        <f t="shared" si="59"/>
        <v>-</v>
      </c>
      <c r="M229" s="45" t="str">
        <f t="shared" si="60"/>
        <v/>
      </c>
      <c r="N229" s="45" t="str">
        <f t="shared" si="50"/>
        <v/>
      </c>
      <c r="O229" s="58" t="str">
        <f t="shared" si="51"/>
        <v/>
      </c>
      <c r="R229" s="57">
        <f t="shared" si="52"/>
        <v>0</v>
      </c>
      <c r="T229" s="57">
        <f t="shared" si="53"/>
        <v>0</v>
      </c>
      <c r="V229" s="57">
        <f t="shared" si="54"/>
        <v>0</v>
      </c>
      <c r="X229" s="57">
        <f t="shared" si="55"/>
        <v>0</v>
      </c>
      <c r="Z229" s="57">
        <f t="shared" si="56"/>
        <v>0</v>
      </c>
      <c r="AB229" s="57">
        <f t="shared" si="57"/>
        <v>0</v>
      </c>
      <c r="AC229" s="1">
        <f t="shared" si="58"/>
        <v>0</v>
      </c>
    </row>
    <row r="230" spans="11:29" ht="15" hidden="1" customHeight="1" x14ac:dyDescent="0.3">
      <c r="K230" s="193" t="s">
        <v>127</v>
      </c>
      <c r="L230" s="45" t="str">
        <f t="shared" si="59"/>
        <v>-</v>
      </c>
      <c r="M230" s="45" t="str">
        <f t="shared" si="60"/>
        <v/>
      </c>
      <c r="N230" s="45" t="str">
        <f t="shared" si="50"/>
        <v/>
      </c>
      <c r="O230" s="58" t="str">
        <f t="shared" si="51"/>
        <v/>
      </c>
      <c r="R230" s="57">
        <f t="shared" si="52"/>
        <v>0</v>
      </c>
      <c r="T230" s="57">
        <f t="shared" si="53"/>
        <v>0</v>
      </c>
      <c r="V230" s="57">
        <f t="shared" si="54"/>
        <v>0</v>
      </c>
      <c r="X230" s="57">
        <f t="shared" si="55"/>
        <v>0</v>
      </c>
      <c r="Z230" s="57">
        <f t="shared" si="56"/>
        <v>0</v>
      </c>
      <c r="AB230" s="57">
        <f t="shared" si="57"/>
        <v>0</v>
      </c>
      <c r="AC230" s="1">
        <f t="shared" si="58"/>
        <v>0</v>
      </c>
    </row>
    <row r="231" spans="11:29" ht="15" hidden="1" customHeight="1" x14ac:dyDescent="0.3">
      <c r="K231" s="193" t="s">
        <v>127</v>
      </c>
      <c r="L231" s="45" t="str">
        <f t="shared" si="59"/>
        <v>-</v>
      </c>
      <c r="M231" s="45" t="str">
        <f t="shared" si="60"/>
        <v/>
      </c>
      <c r="N231" s="45" t="str">
        <f t="shared" si="50"/>
        <v/>
      </c>
      <c r="O231" s="58" t="str">
        <f t="shared" si="51"/>
        <v/>
      </c>
      <c r="R231" s="57">
        <f t="shared" si="52"/>
        <v>0</v>
      </c>
      <c r="T231" s="57">
        <f t="shared" si="53"/>
        <v>0</v>
      </c>
      <c r="V231" s="57">
        <f t="shared" si="54"/>
        <v>0</v>
      </c>
      <c r="X231" s="57">
        <f t="shared" si="55"/>
        <v>0</v>
      </c>
      <c r="Z231" s="57">
        <f t="shared" si="56"/>
        <v>0</v>
      </c>
      <c r="AB231" s="57">
        <f t="shared" si="57"/>
        <v>0</v>
      </c>
      <c r="AC231" s="1">
        <f t="shared" si="58"/>
        <v>0</v>
      </c>
    </row>
    <row r="232" spans="11:29" ht="15" hidden="1" customHeight="1" x14ac:dyDescent="0.3">
      <c r="K232" s="193" t="s">
        <v>127</v>
      </c>
      <c r="L232" s="45" t="str">
        <f t="shared" si="59"/>
        <v>-</v>
      </c>
      <c r="M232" s="45" t="str">
        <f t="shared" si="60"/>
        <v/>
      </c>
      <c r="N232" s="45" t="str">
        <f t="shared" si="50"/>
        <v/>
      </c>
      <c r="O232" s="58" t="str">
        <f t="shared" si="51"/>
        <v/>
      </c>
      <c r="R232" s="57">
        <f t="shared" si="52"/>
        <v>0</v>
      </c>
      <c r="T232" s="57">
        <f t="shared" si="53"/>
        <v>0</v>
      </c>
      <c r="V232" s="57">
        <f t="shared" si="54"/>
        <v>0</v>
      </c>
      <c r="X232" s="57">
        <f t="shared" si="55"/>
        <v>0</v>
      </c>
      <c r="Z232" s="57">
        <f t="shared" si="56"/>
        <v>0</v>
      </c>
      <c r="AB232" s="57">
        <f t="shared" si="57"/>
        <v>0</v>
      </c>
      <c r="AC232" s="1">
        <f t="shared" si="58"/>
        <v>0</v>
      </c>
    </row>
    <row r="233" spans="11:29" ht="15" hidden="1" customHeight="1" x14ac:dyDescent="0.3">
      <c r="K233" s="193" t="s">
        <v>127</v>
      </c>
      <c r="L233" s="45" t="str">
        <f t="shared" si="59"/>
        <v>-</v>
      </c>
      <c r="M233" s="45" t="str">
        <f t="shared" si="60"/>
        <v/>
      </c>
      <c r="N233" s="45" t="str">
        <f t="shared" si="50"/>
        <v/>
      </c>
      <c r="O233" s="58" t="str">
        <f t="shared" si="51"/>
        <v/>
      </c>
      <c r="R233" s="57">
        <f t="shared" si="52"/>
        <v>0</v>
      </c>
      <c r="T233" s="57">
        <f t="shared" si="53"/>
        <v>0</v>
      </c>
      <c r="V233" s="57">
        <f t="shared" si="54"/>
        <v>0</v>
      </c>
      <c r="X233" s="57">
        <f t="shared" si="55"/>
        <v>0</v>
      </c>
      <c r="Z233" s="57">
        <f t="shared" si="56"/>
        <v>0</v>
      </c>
      <c r="AB233" s="57">
        <f t="shared" si="57"/>
        <v>0</v>
      </c>
      <c r="AC233" s="1">
        <f t="shared" si="58"/>
        <v>0</v>
      </c>
    </row>
    <row r="234" spans="11:29" ht="15" hidden="1" customHeight="1" x14ac:dyDescent="0.3">
      <c r="K234" s="193" t="s">
        <v>127</v>
      </c>
      <c r="L234" s="45" t="str">
        <f t="shared" si="59"/>
        <v>-</v>
      </c>
      <c r="M234" s="45" t="str">
        <f t="shared" si="60"/>
        <v/>
      </c>
      <c r="N234" s="45" t="str">
        <f t="shared" si="50"/>
        <v/>
      </c>
      <c r="O234" s="58" t="str">
        <f t="shared" si="51"/>
        <v/>
      </c>
      <c r="R234" s="57">
        <f t="shared" si="52"/>
        <v>0</v>
      </c>
      <c r="T234" s="57">
        <f t="shared" si="53"/>
        <v>0</v>
      </c>
      <c r="V234" s="57">
        <f t="shared" si="54"/>
        <v>0</v>
      </c>
      <c r="X234" s="57">
        <f t="shared" si="55"/>
        <v>0</v>
      </c>
      <c r="Z234" s="57">
        <f t="shared" si="56"/>
        <v>0</v>
      </c>
      <c r="AB234" s="57">
        <f t="shared" si="57"/>
        <v>0</v>
      </c>
      <c r="AC234" s="1">
        <f t="shared" si="58"/>
        <v>0</v>
      </c>
    </row>
    <row r="235" spans="11:29" ht="15" hidden="1" customHeight="1" x14ac:dyDescent="0.3">
      <c r="K235" s="193" t="s">
        <v>127</v>
      </c>
      <c r="L235" s="45" t="str">
        <f t="shared" si="59"/>
        <v>-</v>
      </c>
      <c r="M235" s="45" t="str">
        <f t="shared" si="60"/>
        <v/>
      </c>
      <c r="N235" s="45" t="str">
        <f t="shared" si="50"/>
        <v/>
      </c>
      <c r="O235" s="58" t="str">
        <f t="shared" si="51"/>
        <v/>
      </c>
      <c r="R235" s="57">
        <f t="shared" si="52"/>
        <v>0</v>
      </c>
      <c r="T235" s="57">
        <f t="shared" si="53"/>
        <v>0</v>
      </c>
      <c r="V235" s="57">
        <f t="shared" si="54"/>
        <v>0</v>
      </c>
      <c r="X235" s="57">
        <f t="shared" si="55"/>
        <v>0</v>
      </c>
      <c r="Z235" s="57">
        <f t="shared" si="56"/>
        <v>0</v>
      </c>
      <c r="AB235" s="57">
        <f t="shared" si="57"/>
        <v>0</v>
      </c>
      <c r="AC235" s="1">
        <f t="shared" si="58"/>
        <v>0</v>
      </c>
    </row>
    <row r="236" spans="11:29" ht="15" hidden="1" customHeight="1" x14ac:dyDescent="0.3">
      <c r="K236" s="193" t="s">
        <v>127</v>
      </c>
      <c r="L236" s="45" t="str">
        <f t="shared" si="59"/>
        <v>-</v>
      </c>
      <c r="M236" s="45" t="str">
        <f t="shared" si="60"/>
        <v/>
      </c>
      <c r="N236" s="45" t="str">
        <f t="shared" si="50"/>
        <v/>
      </c>
      <c r="O236" s="58" t="str">
        <f t="shared" si="51"/>
        <v/>
      </c>
      <c r="R236" s="57">
        <f t="shared" si="52"/>
        <v>0</v>
      </c>
      <c r="T236" s="57">
        <f t="shared" si="53"/>
        <v>0</v>
      </c>
      <c r="V236" s="57">
        <f t="shared" si="54"/>
        <v>0</v>
      </c>
      <c r="X236" s="57">
        <f t="shared" si="55"/>
        <v>0</v>
      </c>
      <c r="Z236" s="57">
        <f t="shared" si="56"/>
        <v>0</v>
      </c>
      <c r="AB236" s="57">
        <f t="shared" si="57"/>
        <v>0</v>
      </c>
      <c r="AC236" s="1">
        <f t="shared" si="58"/>
        <v>0</v>
      </c>
    </row>
    <row r="237" spans="11:29" ht="15" hidden="1" customHeight="1" x14ac:dyDescent="0.3">
      <c r="K237" s="193" t="s">
        <v>127</v>
      </c>
      <c r="L237" s="45" t="str">
        <f t="shared" si="59"/>
        <v>-</v>
      </c>
      <c r="M237" s="45" t="str">
        <f t="shared" si="60"/>
        <v/>
      </c>
      <c r="N237" s="45" t="str">
        <f t="shared" si="50"/>
        <v/>
      </c>
      <c r="O237" s="58" t="str">
        <f t="shared" si="51"/>
        <v/>
      </c>
      <c r="R237" s="57">
        <f t="shared" si="52"/>
        <v>0</v>
      </c>
      <c r="T237" s="57">
        <f t="shared" si="53"/>
        <v>0</v>
      </c>
      <c r="V237" s="57">
        <f t="shared" si="54"/>
        <v>0</v>
      </c>
      <c r="X237" s="57">
        <f t="shared" si="55"/>
        <v>0</v>
      </c>
      <c r="Z237" s="57">
        <f t="shared" si="56"/>
        <v>0</v>
      </c>
      <c r="AB237" s="57">
        <f t="shared" si="57"/>
        <v>0</v>
      </c>
      <c r="AC237" s="1">
        <f t="shared" si="58"/>
        <v>0</v>
      </c>
    </row>
    <row r="238" spans="11:29" ht="15" hidden="1" customHeight="1" x14ac:dyDescent="0.3">
      <c r="K238" s="193" t="s">
        <v>127</v>
      </c>
      <c r="L238" s="45" t="str">
        <f t="shared" si="59"/>
        <v>-</v>
      </c>
      <c r="M238" s="45" t="str">
        <f t="shared" si="60"/>
        <v/>
      </c>
      <c r="N238" s="45" t="str">
        <f t="shared" si="50"/>
        <v/>
      </c>
      <c r="O238" s="58" t="str">
        <f t="shared" si="51"/>
        <v/>
      </c>
      <c r="R238" s="57">
        <f t="shared" si="52"/>
        <v>0</v>
      </c>
      <c r="T238" s="57">
        <f t="shared" si="53"/>
        <v>0</v>
      </c>
      <c r="V238" s="57">
        <f t="shared" si="54"/>
        <v>0</v>
      </c>
      <c r="X238" s="57">
        <f t="shared" si="55"/>
        <v>0</v>
      </c>
      <c r="Z238" s="57">
        <f t="shared" si="56"/>
        <v>0</v>
      </c>
      <c r="AB238" s="57">
        <f t="shared" si="57"/>
        <v>0</v>
      </c>
      <c r="AC238" s="1">
        <f t="shared" si="58"/>
        <v>0</v>
      </c>
    </row>
    <row r="239" spans="11:29" ht="15" hidden="1" customHeight="1" x14ac:dyDescent="0.3">
      <c r="K239" s="193" t="s">
        <v>127</v>
      </c>
      <c r="L239" s="45" t="str">
        <f t="shared" si="59"/>
        <v>-</v>
      </c>
      <c r="M239" s="45" t="str">
        <f t="shared" si="60"/>
        <v/>
      </c>
      <c r="N239" s="45" t="str">
        <f t="shared" si="50"/>
        <v/>
      </c>
      <c r="O239" s="58" t="str">
        <f t="shared" si="51"/>
        <v/>
      </c>
      <c r="R239" s="57">
        <f t="shared" si="52"/>
        <v>0</v>
      </c>
      <c r="T239" s="57">
        <f t="shared" si="53"/>
        <v>0</v>
      </c>
      <c r="V239" s="57">
        <f t="shared" si="54"/>
        <v>0</v>
      </c>
      <c r="X239" s="57">
        <f t="shared" si="55"/>
        <v>0</v>
      </c>
      <c r="Z239" s="57">
        <f t="shared" si="56"/>
        <v>0</v>
      </c>
      <c r="AB239" s="57">
        <f t="shared" si="57"/>
        <v>0</v>
      </c>
      <c r="AC239" s="1">
        <f t="shared" si="58"/>
        <v>0</v>
      </c>
    </row>
    <row r="240" spans="11:29" ht="15" hidden="1" customHeight="1" x14ac:dyDescent="0.3">
      <c r="K240" s="193" t="s">
        <v>127</v>
      </c>
      <c r="L240" s="45" t="str">
        <f t="shared" si="59"/>
        <v>-</v>
      </c>
      <c r="M240" s="45" t="str">
        <f t="shared" si="60"/>
        <v/>
      </c>
      <c r="N240" s="45" t="str">
        <f t="shared" si="50"/>
        <v/>
      </c>
      <c r="O240" s="58" t="str">
        <f t="shared" si="51"/>
        <v/>
      </c>
      <c r="R240" s="57">
        <f t="shared" si="52"/>
        <v>0</v>
      </c>
      <c r="T240" s="57">
        <f t="shared" si="53"/>
        <v>0</v>
      </c>
      <c r="V240" s="57">
        <f t="shared" si="54"/>
        <v>0</v>
      </c>
      <c r="X240" s="57">
        <f t="shared" si="55"/>
        <v>0</v>
      </c>
      <c r="Z240" s="57">
        <f t="shared" si="56"/>
        <v>0</v>
      </c>
      <c r="AB240" s="57">
        <f t="shared" si="57"/>
        <v>0</v>
      </c>
      <c r="AC240" s="1">
        <f t="shared" si="58"/>
        <v>0</v>
      </c>
    </row>
    <row r="241" spans="11:29" ht="15" hidden="1" customHeight="1" x14ac:dyDescent="0.3">
      <c r="K241" s="193" t="s">
        <v>127</v>
      </c>
      <c r="L241" s="45" t="str">
        <f t="shared" si="59"/>
        <v>-</v>
      </c>
      <c r="M241" s="45" t="str">
        <f t="shared" si="60"/>
        <v/>
      </c>
      <c r="N241" s="45" t="str">
        <f t="shared" si="50"/>
        <v/>
      </c>
      <c r="O241" s="58" t="str">
        <f t="shared" si="51"/>
        <v/>
      </c>
      <c r="R241" s="57">
        <f t="shared" si="52"/>
        <v>0</v>
      </c>
      <c r="T241" s="57">
        <f t="shared" si="53"/>
        <v>0</v>
      </c>
      <c r="V241" s="57">
        <f t="shared" si="54"/>
        <v>0</v>
      </c>
      <c r="X241" s="57">
        <f t="shared" si="55"/>
        <v>0</v>
      </c>
      <c r="Z241" s="57">
        <f t="shared" si="56"/>
        <v>0</v>
      </c>
      <c r="AB241" s="57">
        <f t="shared" si="57"/>
        <v>0</v>
      </c>
      <c r="AC241" s="1">
        <f t="shared" si="58"/>
        <v>0</v>
      </c>
    </row>
    <row r="242" spans="11:29" ht="15" hidden="1" customHeight="1" x14ac:dyDescent="0.3">
      <c r="K242" s="193" t="s">
        <v>127</v>
      </c>
      <c r="L242" s="45" t="str">
        <f t="shared" si="59"/>
        <v>-</v>
      </c>
      <c r="M242" s="45" t="str">
        <f t="shared" si="60"/>
        <v/>
      </c>
      <c r="N242" s="45" t="str">
        <f t="shared" si="50"/>
        <v/>
      </c>
      <c r="O242" s="58" t="str">
        <f t="shared" si="51"/>
        <v/>
      </c>
      <c r="R242" s="57">
        <f t="shared" si="52"/>
        <v>0</v>
      </c>
      <c r="T242" s="57">
        <f t="shared" si="53"/>
        <v>0</v>
      </c>
      <c r="V242" s="57">
        <f t="shared" si="54"/>
        <v>0</v>
      </c>
      <c r="X242" s="57">
        <f t="shared" si="55"/>
        <v>0</v>
      </c>
      <c r="Z242" s="57">
        <f t="shared" si="56"/>
        <v>0</v>
      </c>
      <c r="AB242" s="57">
        <f t="shared" si="57"/>
        <v>0</v>
      </c>
      <c r="AC242" s="1">
        <f t="shared" si="58"/>
        <v>0</v>
      </c>
    </row>
    <row r="243" spans="11:29" ht="15" hidden="1" customHeight="1" x14ac:dyDescent="0.3">
      <c r="K243" s="193" t="s">
        <v>127</v>
      </c>
      <c r="L243" s="45" t="str">
        <f t="shared" si="59"/>
        <v>-</v>
      </c>
      <c r="M243" s="45" t="str">
        <f t="shared" si="60"/>
        <v/>
      </c>
      <c r="N243" s="45" t="str">
        <f t="shared" si="50"/>
        <v/>
      </c>
      <c r="O243" s="58" t="str">
        <f t="shared" si="51"/>
        <v/>
      </c>
      <c r="R243" s="57">
        <f t="shared" si="52"/>
        <v>0</v>
      </c>
      <c r="T243" s="57">
        <f t="shared" si="53"/>
        <v>0</v>
      </c>
      <c r="V243" s="57">
        <f t="shared" si="54"/>
        <v>0</v>
      </c>
      <c r="X243" s="57">
        <f t="shared" si="55"/>
        <v>0</v>
      </c>
      <c r="Z243" s="57">
        <f t="shared" si="56"/>
        <v>0</v>
      </c>
      <c r="AB243" s="57">
        <f t="shared" si="57"/>
        <v>0</v>
      </c>
      <c r="AC243" s="1">
        <f t="shared" si="58"/>
        <v>0</v>
      </c>
    </row>
    <row r="244" spans="11:29" ht="15" hidden="1" customHeight="1" x14ac:dyDescent="0.3">
      <c r="K244" s="193" t="s">
        <v>127</v>
      </c>
      <c r="L244" s="45" t="str">
        <f t="shared" si="59"/>
        <v>-</v>
      </c>
      <c r="M244" s="45" t="str">
        <f t="shared" si="60"/>
        <v/>
      </c>
      <c r="N244" s="45" t="str">
        <f t="shared" si="50"/>
        <v/>
      </c>
      <c r="O244" s="58" t="str">
        <f t="shared" si="51"/>
        <v/>
      </c>
      <c r="R244" s="57">
        <f t="shared" si="52"/>
        <v>0</v>
      </c>
      <c r="T244" s="57">
        <f t="shared" si="53"/>
        <v>0</v>
      </c>
      <c r="V244" s="57">
        <f t="shared" si="54"/>
        <v>0</v>
      </c>
      <c r="X244" s="57">
        <f t="shared" si="55"/>
        <v>0</v>
      </c>
      <c r="Z244" s="57">
        <f t="shared" si="56"/>
        <v>0</v>
      </c>
      <c r="AB244" s="57">
        <f t="shared" si="57"/>
        <v>0</v>
      </c>
      <c r="AC244" s="1">
        <f t="shared" si="58"/>
        <v>0</v>
      </c>
    </row>
    <row r="245" spans="11:29" ht="15" hidden="1" customHeight="1" x14ac:dyDescent="0.3">
      <c r="K245" s="193" t="s">
        <v>127</v>
      </c>
      <c r="L245" s="45" t="str">
        <f t="shared" si="59"/>
        <v>-</v>
      </c>
      <c r="M245" s="45" t="str">
        <f t="shared" si="60"/>
        <v/>
      </c>
      <c r="N245" s="45" t="str">
        <f t="shared" si="50"/>
        <v/>
      </c>
      <c r="O245" s="58" t="str">
        <f t="shared" si="51"/>
        <v/>
      </c>
      <c r="R245" s="57">
        <f t="shared" si="52"/>
        <v>0</v>
      </c>
      <c r="T245" s="57">
        <f t="shared" si="53"/>
        <v>0</v>
      </c>
      <c r="V245" s="57">
        <f t="shared" si="54"/>
        <v>0</v>
      </c>
      <c r="X245" s="57">
        <f t="shared" si="55"/>
        <v>0</v>
      </c>
      <c r="Z245" s="57">
        <f t="shared" si="56"/>
        <v>0</v>
      </c>
      <c r="AB245" s="57">
        <f t="shared" si="57"/>
        <v>0</v>
      </c>
      <c r="AC245" s="1">
        <f t="shared" si="58"/>
        <v>0</v>
      </c>
    </row>
    <row r="246" spans="11:29" ht="15" hidden="1" customHeight="1" x14ac:dyDescent="0.3">
      <c r="K246" s="193" t="s">
        <v>127</v>
      </c>
      <c r="L246" s="45" t="str">
        <f t="shared" si="59"/>
        <v>-</v>
      </c>
      <c r="M246" s="45" t="str">
        <f t="shared" si="60"/>
        <v/>
      </c>
      <c r="N246" s="45" t="str">
        <f t="shared" si="50"/>
        <v/>
      </c>
      <c r="O246" s="58" t="str">
        <f t="shared" si="51"/>
        <v/>
      </c>
      <c r="R246" s="57">
        <f t="shared" si="52"/>
        <v>0</v>
      </c>
      <c r="T246" s="57">
        <f t="shared" si="53"/>
        <v>0</v>
      </c>
      <c r="V246" s="57">
        <f t="shared" si="54"/>
        <v>0</v>
      </c>
      <c r="X246" s="57">
        <f t="shared" si="55"/>
        <v>0</v>
      </c>
      <c r="Z246" s="57">
        <f t="shared" si="56"/>
        <v>0</v>
      </c>
      <c r="AB246" s="57">
        <f t="shared" si="57"/>
        <v>0</v>
      </c>
      <c r="AC246" s="1">
        <f t="shared" si="58"/>
        <v>0</v>
      </c>
    </row>
    <row r="247" spans="11:29" ht="15" hidden="1" customHeight="1" x14ac:dyDescent="0.3">
      <c r="K247" s="193" t="s">
        <v>127</v>
      </c>
      <c r="L247" s="45" t="str">
        <f t="shared" si="59"/>
        <v>-</v>
      </c>
      <c r="M247" s="45" t="str">
        <f t="shared" si="60"/>
        <v/>
      </c>
      <c r="N247" s="45" t="str">
        <f t="shared" si="50"/>
        <v/>
      </c>
      <c r="O247" s="58" t="str">
        <f t="shared" si="51"/>
        <v/>
      </c>
      <c r="R247" s="57">
        <f t="shared" si="52"/>
        <v>0</v>
      </c>
      <c r="T247" s="57">
        <f t="shared" si="53"/>
        <v>0</v>
      </c>
      <c r="V247" s="57">
        <f t="shared" si="54"/>
        <v>0</v>
      </c>
      <c r="X247" s="57">
        <f t="shared" si="55"/>
        <v>0</v>
      </c>
      <c r="Z247" s="57">
        <f t="shared" si="56"/>
        <v>0</v>
      </c>
      <c r="AB247" s="57">
        <f t="shared" si="57"/>
        <v>0</v>
      </c>
      <c r="AC247" s="1">
        <f t="shared" si="58"/>
        <v>0</v>
      </c>
    </row>
    <row r="248" spans="11:29" ht="15" hidden="1" customHeight="1" x14ac:dyDescent="0.3">
      <c r="K248" s="193" t="s">
        <v>127</v>
      </c>
      <c r="L248" s="45" t="str">
        <f t="shared" si="59"/>
        <v>-</v>
      </c>
      <c r="M248" s="45" t="str">
        <f t="shared" si="60"/>
        <v/>
      </c>
      <c r="N248" s="45" t="str">
        <f t="shared" si="50"/>
        <v/>
      </c>
      <c r="O248" s="58" t="str">
        <f t="shared" si="51"/>
        <v/>
      </c>
      <c r="R248" s="57">
        <f t="shared" si="52"/>
        <v>0</v>
      </c>
      <c r="T248" s="57">
        <f t="shared" si="53"/>
        <v>0</v>
      </c>
      <c r="V248" s="57">
        <f t="shared" si="54"/>
        <v>0</v>
      </c>
      <c r="X248" s="57">
        <f t="shared" si="55"/>
        <v>0</v>
      </c>
      <c r="Z248" s="57">
        <f t="shared" si="56"/>
        <v>0</v>
      </c>
      <c r="AB248" s="57">
        <f t="shared" si="57"/>
        <v>0</v>
      </c>
      <c r="AC248" s="1">
        <f t="shared" si="58"/>
        <v>0</v>
      </c>
    </row>
    <row r="249" spans="11:29" ht="15" hidden="1" customHeight="1" x14ac:dyDescent="0.3">
      <c r="K249" s="193" t="s">
        <v>127</v>
      </c>
      <c r="L249" s="45" t="str">
        <f t="shared" si="59"/>
        <v>-</v>
      </c>
      <c r="M249" s="45" t="str">
        <f t="shared" si="60"/>
        <v/>
      </c>
      <c r="N249" s="45" t="str">
        <f t="shared" si="50"/>
        <v/>
      </c>
      <c r="O249" s="58" t="str">
        <f t="shared" si="51"/>
        <v/>
      </c>
      <c r="R249" s="57">
        <f t="shared" si="52"/>
        <v>0</v>
      </c>
      <c r="T249" s="57">
        <f t="shared" si="53"/>
        <v>0</v>
      </c>
      <c r="V249" s="57">
        <f t="shared" si="54"/>
        <v>0</v>
      </c>
      <c r="X249" s="57">
        <f t="shared" si="55"/>
        <v>0</v>
      </c>
      <c r="Z249" s="57">
        <f t="shared" si="56"/>
        <v>0</v>
      </c>
      <c r="AB249" s="57">
        <f t="shared" si="57"/>
        <v>0</v>
      </c>
      <c r="AC249" s="1">
        <f t="shared" si="58"/>
        <v>0</v>
      </c>
    </row>
    <row r="250" spans="11:29" ht="15" hidden="1" customHeight="1" x14ac:dyDescent="0.3">
      <c r="K250" s="193" t="s">
        <v>127</v>
      </c>
      <c r="L250" s="45" t="str">
        <f t="shared" si="59"/>
        <v>-</v>
      </c>
      <c r="M250" s="45" t="str">
        <f t="shared" si="60"/>
        <v/>
      </c>
      <c r="N250" s="45" t="str">
        <f t="shared" si="50"/>
        <v/>
      </c>
      <c r="O250" s="58" t="str">
        <f t="shared" si="51"/>
        <v/>
      </c>
      <c r="R250" s="57">
        <f t="shared" si="52"/>
        <v>0</v>
      </c>
      <c r="T250" s="57">
        <f t="shared" si="53"/>
        <v>0</v>
      </c>
      <c r="V250" s="57">
        <f t="shared" si="54"/>
        <v>0</v>
      </c>
      <c r="X250" s="57">
        <f t="shared" si="55"/>
        <v>0</v>
      </c>
      <c r="Z250" s="57">
        <f t="shared" si="56"/>
        <v>0</v>
      </c>
      <c r="AB250" s="57">
        <f t="shared" si="57"/>
        <v>0</v>
      </c>
      <c r="AC250" s="1">
        <f t="shared" si="58"/>
        <v>0</v>
      </c>
    </row>
    <row r="251" spans="11:29" ht="15" hidden="1" customHeight="1" x14ac:dyDescent="0.3">
      <c r="K251" s="193" t="s">
        <v>127</v>
      </c>
      <c r="L251" s="45" t="str">
        <f t="shared" si="59"/>
        <v>-</v>
      </c>
      <c r="M251" s="45" t="str">
        <f t="shared" si="60"/>
        <v/>
      </c>
      <c r="N251" s="45" t="str">
        <f t="shared" si="50"/>
        <v/>
      </c>
      <c r="O251" s="58" t="str">
        <f t="shared" si="51"/>
        <v/>
      </c>
      <c r="R251" s="57">
        <f t="shared" si="52"/>
        <v>0</v>
      </c>
      <c r="T251" s="57">
        <f t="shared" si="53"/>
        <v>0</v>
      </c>
      <c r="V251" s="57">
        <f t="shared" si="54"/>
        <v>0</v>
      </c>
      <c r="X251" s="57">
        <f t="shared" si="55"/>
        <v>0</v>
      </c>
      <c r="Z251" s="57">
        <f t="shared" si="56"/>
        <v>0</v>
      </c>
      <c r="AB251" s="57">
        <f t="shared" si="57"/>
        <v>0</v>
      </c>
      <c r="AC251" s="1">
        <f t="shared" si="58"/>
        <v>0</v>
      </c>
    </row>
    <row r="252" spans="11:29" ht="15" hidden="1" customHeight="1" x14ac:dyDescent="0.3">
      <c r="K252" s="193" t="s">
        <v>127</v>
      </c>
      <c r="L252" s="45" t="str">
        <f t="shared" si="59"/>
        <v>-</v>
      </c>
      <c r="M252" s="45" t="str">
        <f t="shared" si="60"/>
        <v/>
      </c>
      <c r="N252" s="45" t="str">
        <f t="shared" si="50"/>
        <v/>
      </c>
      <c r="O252" s="58" t="str">
        <f t="shared" si="51"/>
        <v/>
      </c>
      <c r="R252" s="57">
        <f t="shared" si="52"/>
        <v>0</v>
      </c>
      <c r="T252" s="57">
        <f t="shared" si="53"/>
        <v>0</v>
      </c>
      <c r="V252" s="57">
        <f t="shared" si="54"/>
        <v>0</v>
      </c>
      <c r="X252" s="57">
        <f t="shared" si="55"/>
        <v>0</v>
      </c>
      <c r="Z252" s="57">
        <f t="shared" si="56"/>
        <v>0</v>
      </c>
      <c r="AB252" s="57">
        <f t="shared" si="57"/>
        <v>0</v>
      </c>
      <c r="AC252" s="1">
        <f t="shared" si="58"/>
        <v>0</v>
      </c>
    </row>
    <row r="253" spans="11:29" ht="15" hidden="1" customHeight="1" x14ac:dyDescent="0.3">
      <c r="K253" s="193" t="s">
        <v>127</v>
      </c>
      <c r="L253" s="45" t="str">
        <f t="shared" si="59"/>
        <v>-</v>
      </c>
      <c r="M253" s="45" t="str">
        <f t="shared" si="60"/>
        <v/>
      </c>
      <c r="N253" s="45" t="str">
        <f t="shared" si="50"/>
        <v/>
      </c>
      <c r="O253" s="58" t="str">
        <f t="shared" si="51"/>
        <v/>
      </c>
      <c r="R253" s="57">
        <f t="shared" si="52"/>
        <v>0</v>
      </c>
      <c r="T253" s="57">
        <f t="shared" si="53"/>
        <v>0</v>
      </c>
      <c r="V253" s="57">
        <f t="shared" si="54"/>
        <v>0</v>
      </c>
      <c r="X253" s="57">
        <f t="shared" si="55"/>
        <v>0</v>
      </c>
      <c r="Z253" s="57">
        <f t="shared" si="56"/>
        <v>0</v>
      </c>
      <c r="AB253" s="57">
        <f t="shared" si="57"/>
        <v>0</v>
      </c>
      <c r="AC253" s="1">
        <f t="shared" si="58"/>
        <v>0</v>
      </c>
    </row>
    <row r="254" spans="11:29" ht="15" hidden="1" customHeight="1" x14ac:dyDescent="0.3">
      <c r="K254" s="193" t="s">
        <v>127</v>
      </c>
      <c r="L254" s="45" t="str">
        <f t="shared" si="59"/>
        <v>-</v>
      </c>
      <c r="M254" s="45" t="str">
        <f t="shared" si="60"/>
        <v/>
      </c>
      <c r="N254" s="45" t="str">
        <f t="shared" si="50"/>
        <v/>
      </c>
      <c r="O254" s="58" t="str">
        <f t="shared" si="51"/>
        <v/>
      </c>
      <c r="R254" s="57">
        <f t="shared" si="52"/>
        <v>0</v>
      </c>
      <c r="T254" s="57">
        <f t="shared" si="53"/>
        <v>0</v>
      </c>
      <c r="V254" s="57">
        <f t="shared" si="54"/>
        <v>0</v>
      </c>
      <c r="X254" s="57">
        <f t="shared" si="55"/>
        <v>0</v>
      </c>
      <c r="Z254" s="57">
        <f t="shared" si="56"/>
        <v>0</v>
      </c>
      <c r="AB254" s="57">
        <f t="shared" si="57"/>
        <v>0</v>
      </c>
      <c r="AC254" s="1">
        <f t="shared" si="58"/>
        <v>0</v>
      </c>
    </row>
    <row r="255" spans="11:29" ht="15" hidden="1" customHeight="1" x14ac:dyDescent="0.3">
      <c r="K255" s="193" t="s">
        <v>127</v>
      </c>
      <c r="L255" s="45" t="str">
        <f t="shared" si="59"/>
        <v>-</v>
      </c>
      <c r="M255" s="45" t="str">
        <f t="shared" si="60"/>
        <v/>
      </c>
      <c r="N255" s="45" t="str">
        <f t="shared" si="50"/>
        <v/>
      </c>
      <c r="O255" s="58" t="str">
        <f t="shared" si="51"/>
        <v/>
      </c>
      <c r="R255" s="57">
        <f t="shared" si="52"/>
        <v>0</v>
      </c>
      <c r="T255" s="57">
        <f t="shared" si="53"/>
        <v>0</v>
      </c>
      <c r="V255" s="57">
        <f t="shared" si="54"/>
        <v>0</v>
      </c>
      <c r="X255" s="57">
        <f t="shared" si="55"/>
        <v>0</v>
      </c>
      <c r="Z255" s="57">
        <f t="shared" si="56"/>
        <v>0</v>
      </c>
      <c r="AB255" s="57">
        <f t="shared" si="57"/>
        <v>0</v>
      </c>
      <c r="AC255" s="1">
        <f t="shared" si="58"/>
        <v>0</v>
      </c>
    </row>
    <row r="256" spans="11:29" ht="15" hidden="1" customHeight="1" x14ac:dyDescent="0.3">
      <c r="K256" s="193" t="s">
        <v>127</v>
      </c>
      <c r="L256" s="45" t="str">
        <f t="shared" si="59"/>
        <v>-</v>
      </c>
      <c r="M256" s="45" t="str">
        <f t="shared" si="60"/>
        <v/>
      </c>
      <c r="N256" s="45" t="str">
        <f t="shared" si="50"/>
        <v/>
      </c>
      <c r="O256" s="58" t="str">
        <f t="shared" si="51"/>
        <v/>
      </c>
      <c r="R256" s="57">
        <f t="shared" si="52"/>
        <v>0</v>
      </c>
      <c r="T256" s="57">
        <f t="shared" si="53"/>
        <v>0</v>
      </c>
      <c r="V256" s="57">
        <f t="shared" si="54"/>
        <v>0</v>
      </c>
      <c r="X256" s="57">
        <f t="shared" si="55"/>
        <v>0</v>
      </c>
      <c r="Z256" s="57">
        <f t="shared" si="56"/>
        <v>0</v>
      </c>
      <c r="AB256" s="57">
        <f t="shared" si="57"/>
        <v>0</v>
      </c>
      <c r="AC256" s="1">
        <f t="shared" si="58"/>
        <v>0</v>
      </c>
    </row>
    <row r="257" spans="11:29" ht="15" hidden="1" customHeight="1" x14ac:dyDescent="0.3">
      <c r="K257" s="193" t="s">
        <v>127</v>
      </c>
      <c r="L257" s="45" t="str">
        <f t="shared" si="59"/>
        <v>-</v>
      </c>
      <c r="M257" s="45" t="str">
        <f t="shared" si="60"/>
        <v/>
      </c>
      <c r="N257" s="45" t="str">
        <f t="shared" si="50"/>
        <v/>
      </c>
      <c r="O257" s="58" t="str">
        <f t="shared" si="51"/>
        <v/>
      </c>
      <c r="R257" s="57">
        <f t="shared" si="52"/>
        <v>0</v>
      </c>
      <c r="T257" s="57">
        <f t="shared" si="53"/>
        <v>0</v>
      </c>
      <c r="V257" s="57">
        <f t="shared" si="54"/>
        <v>0</v>
      </c>
      <c r="X257" s="57">
        <f t="shared" si="55"/>
        <v>0</v>
      </c>
      <c r="Z257" s="57">
        <f t="shared" si="56"/>
        <v>0</v>
      </c>
      <c r="AB257" s="57">
        <f t="shared" si="57"/>
        <v>0</v>
      </c>
      <c r="AC257" s="1">
        <f t="shared" si="58"/>
        <v>0</v>
      </c>
    </row>
  </sheetData>
  <sheetProtection algorithmName="SHA-512" hashValue="gxFFJlLSAsoKEkpsrTrlQuZZ+tCDCazqTHc7FyZGCxYyWQDmzxr61YQypwoYVF1WwcmoHUNXdUjTzxGbBdiUqQ==" saltValue="zSiE+RkoJw3N3lqYrilSLw==" spinCount="100000" sheet="1" objects="1" scenarios="1" selectLockedCells="1"/>
  <mergeCells count="22">
    <mergeCell ref="B1:J1"/>
    <mergeCell ref="U40:V40"/>
    <mergeCell ref="K40:L40"/>
    <mergeCell ref="M40:N40"/>
    <mergeCell ref="O40:P40"/>
    <mergeCell ref="Q40:R40"/>
    <mergeCell ref="S40:T40"/>
    <mergeCell ref="E31:F31"/>
    <mergeCell ref="E32:F32"/>
    <mergeCell ref="E33:F33"/>
    <mergeCell ref="E34:F34"/>
    <mergeCell ref="E35:F35"/>
    <mergeCell ref="E36:F36"/>
    <mergeCell ref="E37:F37"/>
    <mergeCell ref="G36:I36"/>
    <mergeCell ref="G37:I37"/>
    <mergeCell ref="C55:D55"/>
    <mergeCell ref="G31:I31"/>
    <mergeCell ref="G32:I32"/>
    <mergeCell ref="G33:I33"/>
    <mergeCell ref="G34:I34"/>
    <mergeCell ref="G35:I35"/>
  </mergeCells>
  <conditionalFormatting sqref="C54">
    <cfRule type="cellIs" dxfId="509" priority="1" operator="notEqual">
      <formula>168</formula>
    </cfRule>
  </conditionalFormatting>
  <dataValidations count="5">
    <dataValidation type="textLength" operator="equal" allowBlank="1" showInputMessage="1" showErrorMessage="1" errorTitle="Nº incorreto" error="Por favor introduza apenas os 5 últimos digitos do seu N - exemplo para  ist112345, introduza apenas 12345" promptTitle="Nº Aluno" prompt="Por favor introduza os últimos 5 dígitos do seu Nº" sqref="C5">
      <formula1>5</formula1>
    </dataValidation>
    <dataValidation type="date" operator="greaterThan" allowBlank="1" showInputMessage="1" showErrorMessage="1" sqref="C9 C7">
      <formula1>41883</formula1>
    </dataValidation>
    <dataValidation type="list" allowBlank="1" showInputMessage="1" showErrorMessage="1" sqref="G17">
      <formula1>OFFSET($L$18,0,0,$L$14,1)</formula1>
    </dataValidation>
    <dataValidation type="list" allowBlank="1" showInputMessage="1" showErrorMessage="1" sqref="AP2:AP159 AN2:AN159">
      <formula1>UniqueRegion</formula1>
    </dataValidation>
    <dataValidation type="list" allowBlank="1" showInputMessage="1" showErrorMessage="1" sqref="AQ2:AQ159 AO2:AO159">
      <formula1>UniqueProduct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P1664"/>
  <sheetViews>
    <sheetView showGridLines="0" tabSelected="1" zoomScale="70" zoomScaleNormal="70" zoomScalePageLayoutView="50" workbookViewId="0">
      <pane ySplit="2" topLeftCell="A468" activePane="bottomLeft" state="frozen"/>
      <selection pane="bottomLeft" activeCell="B465" sqref="B465"/>
    </sheetView>
  </sheetViews>
  <sheetFormatPr defaultColWidth="0" defaultRowHeight="14.4" zeroHeight="1" x14ac:dyDescent="0.3"/>
  <cols>
    <col min="1" max="1" width="9.44140625" style="143" customWidth="1"/>
    <col min="2" max="2" width="5.21875" style="2" customWidth="1"/>
    <col min="3" max="3" width="13.44140625" style="2" bestFit="1" customWidth="1"/>
    <col min="4" max="4" width="5.21875" style="2" customWidth="1"/>
    <col min="5" max="5" width="8.21875" style="2" customWidth="1"/>
    <col min="6" max="6" width="5.21875" style="2" customWidth="1"/>
    <col min="7" max="7" width="8.21875" style="2" customWidth="1"/>
    <col min="8" max="8" width="5.21875" style="2" customWidth="1"/>
    <col min="9" max="9" width="8.21875" style="2" customWidth="1"/>
    <col min="10" max="10" width="5.21875" style="2" customWidth="1"/>
    <col min="11" max="11" width="8.21875" style="2" customWidth="1"/>
    <col min="12" max="12" width="5.21875" style="2" customWidth="1"/>
    <col min="13" max="13" width="8.21875" style="2" customWidth="1"/>
    <col min="14" max="14" width="5.21875" style="2" customWidth="1"/>
    <col min="15" max="15" width="8.21875" style="2" customWidth="1"/>
    <col min="16" max="16" width="3.77734375" style="6" customWidth="1"/>
    <col min="17" max="17" width="26" style="2" customWidth="1"/>
    <col min="18" max="18" width="8.77734375" style="2" customWidth="1"/>
    <col min="19" max="19" width="16.77734375" style="2" customWidth="1"/>
    <col min="20" max="20" width="16.44140625" style="2" customWidth="1"/>
    <col min="21" max="23" width="15.44140625" style="2" customWidth="1"/>
    <col min="24" max="24" width="7.21875" style="7" customWidth="1"/>
    <col min="25" max="32" width="15.77734375" style="2" customWidth="1"/>
    <col min="33" max="33" width="3.77734375" style="2" customWidth="1"/>
    <col min="34" max="34" width="10.21875" style="136" hidden="1" customWidth="1"/>
    <col min="35" max="35" width="8.21875" style="136" hidden="1" customWidth="1"/>
    <col min="36" max="36" width="5.21875" style="136" hidden="1" customWidth="1"/>
    <col min="37" max="37" width="8.21875" style="136" hidden="1" customWidth="1"/>
    <col min="38" max="38" width="5.21875" style="136" hidden="1" customWidth="1"/>
    <col min="39" max="39" width="8.21875" style="136" hidden="1" customWidth="1"/>
    <col min="40" max="40" width="5.21875" style="136" hidden="1" customWidth="1"/>
    <col min="41" max="41" width="8.21875" style="136" hidden="1" customWidth="1"/>
    <col min="42" max="42" width="5.21875" style="136" hidden="1" customWidth="1"/>
    <col min="43" max="43" width="8.21875" style="136" hidden="1" customWidth="1"/>
    <col min="44" max="44" width="5.21875" style="136" hidden="1" customWidth="1"/>
    <col min="45" max="45" width="8.21875" style="136" hidden="1" customWidth="1"/>
    <col min="46" max="46" width="5.21875" style="136" hidden="1" customWidth="1"/>
    <col min="47" max="47" width="8.21875" style="136" hidden="1" customWidth="1"/>
    <col min="48" max="48" width="5.21875" style="136" hidden="1" customWidth="1"/>
    <col min="49" max="49" width="9.21875" style="136" hidden="1" customWidth="1"/>
    <col min="50" max="50" width="51.21875" style="136" hidden="1" customWidth="1"/>
    <col min="51" max="51" width="12.44140625" style="136" hidden="1" customWidth="1"/>
    <col min="52" max="65" width="9.21875" style="136" hidden="1" customWidth="1"/>
    <col min="66" max="66" width="23.21875" style="136" hidden="1" customWidth="1"/>
    <col min="67" max="67" width="7.44140625" style="136" hidden="1" customWidth="1"/>
    <col min="68" max="68" width="25.21875" style="136" hidden="1" customWidth="1"/>
    <col min="69" max="69" width="19.21875" style="136" hidden="1" customWidth="1"/>
    <col min="70" max="70" width="5.77734375" style="136" hidden="1" customWidth="1"/>
    <col min="71" max="71" width="19.21875" style="136" hidden="1" customWidth="1"/>
    <col min="72" max="72" width="10.5546875" style="136" hidden="1" customWidth="1"/>
    <col min="73" max="73" width="11.5546875" style="136" hidden="1" customWidth="1"/>
    <col min="74" max="76" width="16" style="136" hidden="1" customWidth="1"/>
    <col min="77" max="78" width="9.21875" style="136" hidden="1" customWidth="1"/>
    <col min="79" max="79" width="12.44140625" style="136" hidden="1" customWidth="1"/>
    <col min="80" max="80" width="47.77734375" style="136" hidden="1" customWidth="1"/>
    <col min="81" max="114" width="9.21875" style="136" hidden="1" customWidth="1"/>
    <col min="115" max="115" width="12.21875" style="136" hidden="1" customWidth="1"/>
    <col min="116" max="117" width="9.21875" style="136" hidden="1" customWidth="1"/>
    <col min="118" max="120" width="11.5546875" hidden="1" customWidth="1"/>
    <col min="121" max="16384" width="9.21875" style="136" hidden="1"/>
  </cols>
  <sheetData>
    <row r="1" spans="1:120" ht="31.5" customHeight="1" thickTop="1" x14ac:dyDescent="0.3">
      <c r="A1" s="318" t="s">
        <v>119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Q1" s="320" t="s">
        <v>19</v>
      </c>
      <c r="R1" s="321"/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2"/>
      <c r="AH1" s="136" t="s">
        <v>20</v>
      </c>
      <c r="AX1" s="136" t="str">
        <f>CONCATENATE("HORÁRIO PLANEADO ",AY1)</f>
        <v>HORÁRIO PLANEADO ANDRÉ FONSECA</v>
      </c>
      <c r="AY1" s="136" t="str">
        <f>UPPER('INFO BASE'!C6)</f>
        <v>ANDRÉ FONSECA</v>
      </c>
    </row>
    <row r="2" spans="1:120" ht="20.25" customHeight="1" thickBot="1" x14ac:dyDescent="0.35">
      <c r="A2" s="13"/>
      <c r="B2" s="327" t="s">
        <v>24</v>
      </c>
      <c r="C2" s="328"/>
      <c r="D2" s="328" t="s">
        <v>25</v>
      </c>
      <c r="E2" s="328"/>
      <c r="F2" s="328" t="s">
        <v>26</v>
      </c>
      <c r="G2" s="328"/>
      <c r="H2" s="328" t="s">
        <v>27</v>
      </c>
      <c r="I2" s="328"/>
      <c r="J2" s="328" t="s">
        <v>28</v>
      </c>
      <c r="K2" s="328"/>
      <c r="L2" s="328" t="s">
        <v>29</v>
      </c>
      <c r="M2" s="328"/>
      <c r="N2" s="328" t="s">
        <v>30</v>
      </c>
      <c r="O2" s="328"/>
      <c r="P2" s="196"/>
      <c r="Q2" s="323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24"/>
      <c r="AF2" s="325"/>
      <c r="AG2" s="137"/>
      <c r="AI2" s="136" t="s">
        <v>24</v>
      </c>
      <c r="AK2" s="136" t="s">
        <v>25</v>
      </c>
      <c r="AM2" s="136" t="s">
        <v>26</v>
      </c>
      <c r="AO2" s="136" t="s">
        <v>27</v>
      </c>
      <c r="AQ2" s="136" t="s">
        <v>28</v>
      </c>
      <c r="AS2" s="136" t="s">
        <v>29</v>
      </c>
      <c r="AU2" s="136" t="s">
        <v>30</v>
      </c>
    </row>
    <row r="3" spans="1:120" ht="8.25" customHeight="1" thickTop="1" thickBot="1" x14ac:dyDescent="0.3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Q3" s="138"/>
      <c r="R3" s="138"/>
      <c r="S3" s="138"/>
      <c r="T3" s="138"/>
      <c r="U3" s="138"/>
      <c r="V3" s="138"/>
      <c r="W3" s="138"/>
      <c r="X3" s="7">
        <v>1</v>
      </c>
      <c r="Y3" s="138"/>
      <c r="Z3" s="138"/>
      <c r="AA3" s="138"/>
      <c r="AB3" s="138"/>
      <c r="AC3" s="138"/>
      <c r="AD3" s="138"/>
      <c r="AE3" s="138"/>
      <c r="AF3" s="138"/>
      <c r="AG3" s="138"/>
      <c r="BZ3" s="280" t="s">
        <v>122</v>
      </c>
      <c r="CA3" s="183" t="str">
        <f>'INFO BASE'!L66</f>
        <v>-</v>
      </c>
      <c r="CB3" s="183" t="str">
        <f>'INFO BASE'!M66</f>
        <v/>
      </c>
    </row>
    <row r="4" spans="1:120" ht="38.25" customHeight="1" thickTop="1" thickBot="1" x14ac:dyDescent="0.35">
      <c r="A4" s="311" t="s">
        <v>23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312"/>
      <c r="Y4" s="312"/>
      <c r="Z4" s="312"/>
      <c r="AA4" s="312"/>
      <c r="AB4" s="312"/>
      <c r="AC4" s="312"/>
      <c r="AD4" s="312"/>
      <c r="AE4" s="312"/>
      <c r="AF4" s="313"/>
      <c r="AG4" s="12"/>
      <c r="BZ4" s="280"/>
      <c r="CA4" s="183" t="str">
        <f>'INFO BASE'!L67</f>
        <v>-</v>
      </c>
      <c r="CB4" s="183" t="str">
        <f>'INFO BASE'!M67</f>
        <v/>
      </c>
    </row>
    <row r="5" spans="1:120" ht="4.05" customHeight="1" thickTop="1" thickBot="1" x14ac:dyDescent="0.35">
      <c r="A5" s="139"/>
      <c r="B5" s="139"/>
      <c r="C5" s="140" t="str">
        <f>A4</f>
        <v>SEMANA 1</v>
      </c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41">
        <v>1</v>
      </c>
      <c r="Y5" s="139"/>
      <c r="Z5" s="139"/>
      <c r="AA5" s="139"/>
      <c r="AB5" s="139"/>
      <c r="AC5" s="139"/>
      <c r="AD5" s="139"/>
      <c r="AE5" s="139"/>
      <c r="AF5" s="139"/>
      <c r="AG5" s="139"/>
      <c r="AH5" s="144">
        <v>42267.719575462965</v>
      </c>
      <c r="AI5" s="144">
        <v>42267.727059490739</v>
      </c>
      <c r="BZ5" s="280"/>
      <c r="CA5" s="183" t="str">
        <f>'INFO BASE'!L68</f>
        <v>-</v>
      </c>
      <c r="CB5" s="183" t="str">
        <f>'INFO BASE'!M68</f>
        <v/>
      </c>
    </row>
    <row r="6" spans="1:120" ht="30.75" customHeight="1" x14ac:dyDescent="0.3">
      <c r="A6" s="145"/>
      <c r="B6" s="314">
        <f>1-(CR6/673)</f>
        <v>1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6"/>
      <c r="Q6" s="205">
        <f>IF(OR(Q9="Registe aqui o que considera serem as suas três principais prioridades para a semana
(Dica - para criar paragráfos Alt+Enter)",LEN(Q9)&lt;10),1,0)</f>
        <v>0</v>
      </c>
      <c r="X6" s="7">
        <v>1</v>
      </c>
      <c r="AM6" s="136" t="str">
        <f>CONCATENATE("PLANEAMENTO ",I6)</f>
        <v xml:space="preserve">PLANEAMENTO </v>
      </c>
      <c r="AX6" s="136">
        <f>IF(AI5="","",IF(B6="","",B6))</f>
        <v>1</v>
      </c>
      <c r="AY6" s="136" t="str">
        <f>IF(AI5="","",IF(C6="","",C6))</f>
        <v/>
      </c>
      <c r="AZ6" s="136" t="str">
        <f>IF(AI5="","",IF(D6="","",D6))</f>
        <v/>
      </c>
      <c r="BA6" s="136" t="str">
        <f>IF(AI5="","",IF(E6="","",E6))</f>
        <v/>
      </c>
      <c r="BB6" s="136" t="str">
        <f>IF(AI5="","",IF(F6="","",F6))</f>
        <v/>
      </c>
      <c r="BC6" s="136" t="str">
        <f>IF(AI5="","",IF(G6="","",G6))</f>
        <v/>
      </c>
      <c r="BD6" s="136" t="str">
        <f>IF(AI5="","",IF(H6="","",H6))</f>
        <v/>
      </c>
      <c r="BE6" s="136" t="str">
        <f>IF(AI5="","",IF(I6="","",I6))</f>
        <v/>
      </c>
      <c r="BF6" s="136" t="str">
        <f>IF(AI5="","",IF(J6="","",J6))</f>
        <v/>
      </c>
      <c r="BG6" s="136" t="str">
        <f>IF(AI5="","",IF(K6="","",K6))</f>
        <v/>
      </c>
      <c r="BH6" s="136" t="str">
        <f>IF(AI5="","",IF(L6="","",L6))</f>
        <v/>
      </c>
      <c r="BI6" s="136" t="str">
        <f>IF(AI5="","",IF(M6="","",M6))</f>
        <v/>
      </c>
      <c r="BJ6" s="136" t="str">
        <f>IF(AI5="","",IF(N6="","",N6))</f>
        <v/>
      </c>
      <c r="BK6" s="136" t="str">
        <f>IF(AI5="","",IF(O6="","",O6))</f>
        <v/>
      </c>
      <c r="BZ6" s="280"/>
      <c r="CA6" s="183" t="str">
        <f>'INFO BASE'!L69</f>
        <v>-</v>
      </c>
      <c r="CB6" s="183" t="str">
        <f>'INFO BASE'!M69</f>
        <v/>
      </c>
      <c r="CR6" s="136">
        <f>SUM(CR9:DE56,Q6)</f>
        <v>0</v>
      </c>
    </row>
    <row r="7" spans="1:120" ht="37.5" customHeight="1" thickBot="1" x14ac:dyDescent="0.35">
      <c r="A7" s="146"/>
      <c r="B7" s="330" t="str">
        <f>CONCATENATE("Segunda ",CHAR(10),TEXT(B8,"dd-mm-aaaa"))</f>
        <v>Segunda 
14-09-2015</v>
      </c>
      <c r="C7" s="317"/>
      <c r="D7" s="317" t="str">
        <f>CONCATENATE("Terça ",CHAR(10),TEXT(D8,"dd-mm-aaaa"))</f>
        <v>Terça 
15-09-2015</v>
      </c>
      <c r="E7" s="317"/>
      <c r="F7" s="317" t="str">
        <f>CONCATENATE("Quarta ",CHAR(10),TEXT(F8,"dd-mm-aaaa"))</f>
        <v>Quarta 
16-09-2015</v>
      </c>
      <c r="G7" s="317"/>
      <c r="H7" s="317" t="str">
        <f>CONCATENATE("Quinta ",CHAR(10),TEXT(H8,"dd-mm-aaaa"))</f>
        <v>Quinta 
17-09-2015</v>
      </c>
      <c r="I7" s="317"/>
      <c r="J7" s="317" t="str">
        <f>CONCATENATE("Sexta ",CHAR(10),TEXT(J8,"dd-mm-aaaa"))</f>
        <v>Sexta 
18-09-2015</v>
      </c>
      <c r="K7" s="317"/>
      <c r="L7" s="317" t="str">
        <f>CONCATENATE("Sábado ",CHAR(10),TEXT(L8,"dd-mm-aaaa"))</f>
        <v>Sábado 
19-09-2015</v>
      </c>
      <c r="M7" s="317"/>
      <c r="N7" s="317" t="str">
        <f>CONCATENATE("Domingo ",CHAR(10),TEXT(N8,"dd-mm-aaaa"))</f>
        <v>Domingo 
20-09-2015</v>
      </c>
      <c r="O7" s="329"/>
      <c r="Q7" s="55" t="str">
        <f>'INFO BASE'!$L$3</f>
        <v>PRIORIDADES PARA ESTA SEMANA</v>
      </c>
      <c r="R7" s="132"/>
      <c r="S7" s="132"/>
      <c r="T7" s="132"/>
      <c r="U7" s="132"/>
      <c r="V7" s="132"/>
      <c r="W7" s="195" t="str">
        <f>CONCATENATE("HORÁRIO ",'INFO BASE'!$C$6,"_",'INFO BASE'!$C$5,": ",UPPER(A4))</f>
        <v>HORÁRIO André Fonseca_84698: SEMANA 1</v>
      </c>
      <c r="X7" s="198">
        <v>1</v>
      </c>
      <c r="Y7" s="261" t="str">
        <f>'INFO BASE'!$L$1</f>
        <v>MOMENTOS AVALIATIVOS</v>
      </c>
      <c r="Z7" s="261"/>
      <c r="AA7" s="261"/>
      <c r="AB7" s="261"/>
      <c r="AC7" s="261"/>
      <c r="AD7" s="261"/>
      <c r="AE7" s="261"/>
      <c r="AF7" s="261"/>
      <c r="AI7" s="136" t="str">
        <f>B7</f>
        <v>Segunda 
14-09-2015</v>
      </c>
      <c r="AK7" s="136" t="str">
        <f>D7</f>
        <v>Terça 
15-09-2015</v>
      </c>
      <c r="AM7" s="136" t="str">
        <f>F7</f>
        <v>Quarta 
16-09-2015</v>
      </c>
      <c r="AO7" s="136" t="str">
        <f>H7</f>
        <v>Quinta 
17-09-2015</v>
      </c>
      <c r="AQ7" s="136" t="str">
        <f>J7</f>
        <v>Sexta 
18-09-2015</v>
      </c>
      <c r="AS7" s="136" t="str">
        <f>L7</f>
        <v>Sábado 
19-09-2015</v>
      </c>
      <c r="AU7" s="136" t="str">
        <f>N7</f>
        <v>Domingo 
20-09-2015</v>
      </c>
      <c r="AX7" s="136" t="str">
        <f>IF(AI5="","",IF(B7="","",B7))</f>
        <v>Segunda 
14-09-2015</v>
      </c>
      <c r="AY7" s="136" t="str">
        <f>IF(AI5="","",IF(C7="","",C7))</f>
        <v/>
      </c>
      <c r="AZ7" s="136" t="str">
        <f>IF(AI5="","",IF(D7="","",D7))</f>
        <v>Terça 
15-09-2015</v>
      </c>
      <c r="BA7" s="136" t="str">
        <f>IF(AI5="","",IF(E7="","",E7))</f>
        <v/>
      </c>
      <c r="BB7" s="136" t="str">
        <f>IF(AI5="","",IF(F7="","",F7))</f>
        <v>Quarta 
16-09-2015</v>
      </c>
      <c r="BC7" s="136" t="str">
        <f>IF(AI5="","",IF(G7="","",G7))</f>
        <v/>
      </c>
      <c r="BD7" s="136" t="str">
        <f>IF(AI5="","",IF(H7="","",H7))</f>
        <v>Quinta 
17-09-2015</v>
      </c>
      <c r="BE7" s="136" t="str">
        <f>IF(AI5="","",IF(I7="","",I7))</f>
        <v/>
      </c>
      <c r="BF7" s="136" t="str">
        <f>IF(AI5="","",IF(J7="","",J7))</f>
        <v>Sexta 
18-09-2015</v>
      </c>
      <c r="BG7" s="136" t="str">
        <f>IF(AI5="","",IF(K7="","",K7))</f>
        <v/>
      </c>
      <c r="BH7" s="136" t="str">
        <f>IF(AI5="","",IF(L7="","",L7))</f>
        <v>Sábado 
19-09-2015</v>
      </c>
      <c r="BI7" s="136" t="str">
        <f>IF(AI5="","",IF(M7="","",M7))</f>
        <v/>
      </c>
      <c r="BJ7" s="136" t="str">
        <f>IF(AI5="","",IF(N7="","",N7))</f>
        <v>Domingo 
20-09-2015</v>
      </c>
      <c r="BK7" s="136" t="str">
        <f>IF(AI5="","",IF(O7="","",O7))</f>
        <v/>
      </c>
      <c r="BZ7" s="280"/>
      <c r="CA7" s="183" t="str">
        <f>'INFO BASE'!L70</f>
        <v>-</v>
      </c>
      <c r="CB7" s="183" t="str">
        <f>'INFO BASE'!M70</f>
        <v/>
      </c>
      <c r="CR7" s="178" t="s">
        <v>202</v>
      </c>
      <c r="CS7" s="178" t="s">
        <v>203</v>
      </c>
      <c r="CT7" s="178" t="s">
        <v>204</v>
      </c>
      <c r="CU7" s="178" t="s">
        <v>205</v>
      </c>
      <c r="CV7" s="178" t="s">
        <v>206</v>
      </c>
      <c r="CW7" s="178" t="s">
        <v>207</v>
      </c>
      <c r="CX7" s="178" t="s">
        <v>208</v>
      </c>
      <c r="CY7" s="178" t="s">
        <v>209</v>
      </c>
      <c r="CZ7" s="178" t="s">
        <v>210</v>
      </c>
      <c r="DA7" s="178" t="s">
        <v>211</v>
      </c>
      <c r="DB7" s="178" t="s">
        <v>212</v>
      </c>
      <c r="DC7" s="178" t="s">
        <v>213</v>
      </c>
      <c r="DD7" s="178" t="s">
        <v>142</v>
      </c>
      <c r="DE7" s="178" t="s">
        <v>214</v>
      </c>
    </row>
    <row r="8" spans="1:120" ht="21" hidden="1" customHeight="1" thickBot="1" x14ac:dyDescent="0.35">
      <c r="A8" s="142"/>
      <c r="B8" s="331">
        <f>'INFO BASE'!C9</f>
        <v>42261</v>
      </c>
      <c r="C8" s="332"/>
      <c r="D8" s="332">
        <f>B8+1</f>
        <v>42262</v>
      </c>
      <c r="E8" s="332"/>
      <c r="F8" s="332">
        <f>D8+1</f>
        <v>42263</v>
      </c>
      <c r="G8" s="332"/>
      <c r="H8" s="332">
        <f>F8+1</f>
        <v>42264</v>
      </c>
      <c r="I8" s="332"/>
      <c r="J8" s="332">
        <f>H8+1</f>
        <v>42265</v>
      </c>
      <c r="K8" s="332"/>
      <c r="L8" s="332">
        <f>J8+1</f>
        <v>42266</v>
      </c>
      <c r="M8" s="332"/>
      <c r="N8" s="332">
        <f>L8+1</f>
        <v>42267</v>
      </c>
      <c r="O8" s="332"/>
      <c r="Q8" s="132"/>
      <c r="R8" s="132"/>
      <c r="S8" s="132"/>
      <c r="T8" s="132"/>
      <c r="U8" s="132"/>
      <c r="V8" s="132"/>
      <c r="W8" s="132"/>
      <c r="X8" s="198">
        <v>1</v>
      </c>
      <c r="Y8" s="132"/>
      <c r="Z8" s="132"/>
      <c r="AA8" s="132"/>
      <c r="AB8" s="131"/>
      <c r="AC8" s="131"/>
      <c r="AD8" s="131"/>
      <c r="AE8" s="131"/>
      <c r="AF8" s="131"/>
      <c r="AI8" s="136">
        <f>B8</f>
        <v>42261</v>
      </c>
      <c r="AK8" s="136">
        <f>D8</f>
        <v>42262</v>
      </c>
      <c r="AM8" s="136">
        <f>F8</f>
        <v>42263</v>
      </c>
      <c r="AO8" s="136">
        <f>H8</f>
        <v>42264</v>
      </c>
      <c r="AQ8" s="136">
        <f>J8</f>
        <v>42265</v>
      </c>
      <c r="AS8" s="136">
        <f>L8</f>
        <v>42266</v>
      </c>
      <c r="AU8" s="136">
        <f>N8</f>
        <v>42267</v>
      </c>
      <c r="AX8" s="136">
        <f>IF(AI5="","",IF(B8="","",B8))</f>
        <v>42261</v>
      </c>
      <c r="AY8" s="136" t="str">
        <f>IF(AI5="","",IF(C8="","",C8))</f>
        <v/>
      </c>
      <c r="AZ8" s="136">
        <f>IF(AI5="","",IF(D8="","",D8))</f>
        <v>42262</v>
      </c>
      <c r="BA8" s="136" t="str">
        <f>IF(AI5="","",IF(E8="","",E8))</f>
        <v/>
      </c>
      <c r="BB8" s="136">
        <f>IF(AI5="","",IF(F8="","",F8))</f>
        <v>42263</v>
      </c>
      <c r="BC8" s="136" t="str">
        <f>IF(AI5="","",IF(G8="","",G8))</f>
        <v/>
      </c>
      <c r="BD8" s="136">
        <f>IF(AI5="","",IF(H8="","",H8))</f>
        <v>42264</v>
      </c>
      <c r="BE8" s="136" t="str">
        <f>IF(AI5="","",IF(I8="","",I8))</f>
        <v/>
      </c>
      <c r="BF8" s="136">
        <f>IF(AI5="","",IF(J8="","",J8))</f>
        <v>42265</v>
      </c>
      <c r="BG8" s="136" t="str">
        <f>IF(AI5="","",IF(K8="","",K8))</f>
        <v/>
      </c>
      <c r="BH8" s="136">
        <f>IF(AI5="","",IF(L8="","",L8))</f>
        <v>42266</v>
      </c>
      <c r="BI8" s="136" t="str">
        <f>IF(AI5="","",IF(M8="","",M8))</f>
        <v/>
      </c>
      <c r="BJ8" s="136">
        <f>IF(AI5="","",IF(N8="","",N8))</f>
        <v>42267</v>
      </c>
      <c r="BK8" s="136" t="str">
        <f>IF(AI5="","",IF(O8="","",O8))</f>
        <v/>
      </c>
      <c r="BZ8" s="280"/>
      <c r="CA8" s="183" t="str">
        <f>'INFO BASE'!L71</f>
        <v>-</v>
      </c>
      <c r="CB8" s="183" t="str">
        <f>'INFO BASE'!M71</f>
        <v/>
      </c>
    </row>
    <row r="9" spans="1:120" ht="18" customHeight="1" thickTop="1" x14ac:dyDescent="0.3">
      <c r="A9" s="81">
        <v>0</v>
      </c>
      <c r="B9" s="165" t="s">
        <v>10</v>
      </c>
      <c r="C9" s="150" t="s">
        <v>120</v>
      </c>
      <c r="D9" s="168" t="s">
        <v>10</v>
      </c>
      <c r="E9" s="150" t="s">
        <v>120</v>
      </c>
      <c r="F9" s="168" t="s">
        <v>10</v>
      </c>
      <c r="G9" s="150" t="s">
        <v>120</v>
      </c>
      <c r="H9" s="168" t="s">
        <v>10</v>
      </c>
      <c r="I9" s="150" t="s">
        <v>120</v>
      </c>
      <c r="J9" s="168" t="s">
        <v>10</v>
      </c>
      <c r="K9" s="150" t="s">
        <v>120</v>
      </c>
      <c r="L9" s="168" t="s">
        <v>116</v>
      </c>
      <c r="M9" s="150"/>
      <c r="N9" s="168" t="s">
        <v>116</v>
      </c>
      <c r="O9" s="152"/>
      <c r="Q9" s="326" t="s">
        <v>234</v>
      </c>
      <c r="R9" s="282"/>
      <c r="S9" s="282"/>
      <c r="T9" s="282"/>
      <c r="U9" s="282"/>
      <c r="V9" s="282"/>
      <c r="W9" s="283"/>
      <c r="X9" s="199">
        <v>1</v>
      </c>
      <c r="Y9" s="268" t="str">
        <f t="array" ref="Y9">IF(ISERROR(INDEX($CA$2:$CB$200,SMALL(IF($CA$2:$CA$200=$A$4,ROW($CA$2:$CA$200)),ROW(1:1))-1,2)),"",INDEX($CA$2:$CB$200,SMALL(IF($CA$2:$CA$200=$A$4,ROW($CA$2:$CA$200)),ROW(1:1))-1,2))</f>
        <v/>
      </c>
      <c r="Z9" s="269"/>
      <c r="AA9" s="269"/>
      <c r="AB9" s="269"/>
      <c r="AC9" s="269"/>
      <c r="AD9" s="269"/>
      <c r="AE9" s="269"/>
      <c r="AF9" s="270"/>
      <c r="AH9" s="136">
        <v>0</v>
      </c>
      <c r="AI9" s="136" t="s">
        <v>10</v>
      </c>
      <c r="AJ9" s="136" t="s">
        <v>120</v>
      </c>
      <c r="AK9" s="136" t="s">
        <v>10</v>
      </c>
      <c r="AL9" s="136" t="s">
        <v>120</v>
      </c>
      <c r="AM9" s="136" t="s">
        <v>10</v>
      </c>
      <c r="AN9" s="136" t="s">
        <v>120</v>
      </c>
      <c r="AO9" s="136" t="s">
        <v>10</v>
      </c>
      <c r="AP9" s="136" t="s">
        <v>120</v>
      </c>
      <c r="AQ9" s="136" t="s">
        <v>10</v>
      </c>
      <c r="AR9" s="136" t="s">
        <v>120</v>
      </c>
      <c r="AS9" s="136" t="s">
        <v>116</v>
      </c>
      <c r="AT9" s="136" t="s">
        <v>235</v>
      </c>
      <c r="AU9" s="136" t="s">
        <v>116</v>
      </c>
      <c r="AV9" s="136" t="s">
        <v>235</v>
      </c>
      <c r="AX9" s="136" t="str">
        <f>IF(AI5="","",IF(B9="","",B9))</f>
        <v>HS</v>
      </c>
      <c r="AY9" s="136" t="str">
        <f>IF(AI5="","",IF(C9="","",C9))</f>
        <v>-</v>
      </c>
      <c r="AZ9" s="136" t="str">
        <f>IF(AI5="","",IF(D9="","",D9))</f>
        <v>HS</v>
      </c>
      <c r="BA9" s="136" t="str">
        <f>IF(AI5="","",IF(E9="","",E9))</f>
        <v>-</v>
      </c>
      <c r="BB9" s="136" t="str">
        <f>IF(AI5="","",IF(F9="","",F9))</f>
        <v>HS</v>
      </c>
      <c r="BC9" s="136" t="str">
        <f>IF(AI5="","",IF(G9="","",G9))</f>
        <v>-</v>
      </c>
      <c r="BD9" s="136" t="str">
        <f>IF(AI5="","",IF(H9="","",H9))</f>
        <v>HS</v>
      </c>
      <c r="BE9" s="136" t="str">
        <f>IF(AI5="","",IF(I9="","",I9))</f>
        <v>-</v>
      </c>
      <c r="BF9" s="136" t="str">
        <f>IF(AI5="","",IF(J9="","",J9))</f>
        <v>HS</v>
      </c>
      <c r="BG9" s="136" t="str">
        <f>IF(AI5="","",IF(K9="","",K9))</f>
        <v>-</v>
      </c>
      <c r="BH9" s="136" t="str">
        <f>IF(AI5="","",IF(L9="","",L9))</f>
        <v>PV</v>
      </c>
      <c r="BI9" s="136" t="str">
        <f>IF(AI5="","",IF(M9="","",M9))</f>
        <v/>
      </c>
      <c r="BJ9" s="136" t="str">
        <f>IF(AI5="","",IF(N9="","",N9))</f>
        <v>PV</v>
      </c>
      <c r="BK9" s="136" t="str">
        <f>IF(AI5="","",IF(O9="","",O9))</f>
        <v/>
      </c>
      <c r="BZ9" s="280"/>
      <c r="CA9" s="183" t="str">
        <f>'INFO BASE'!L72</f>
        <v>-</v>
      </c>
      <c r="CB9" s="183" t="str">
        <f>'INFO BASE'!M72</f>
        <v/>
      </c>
      <c r="CD9" s="136">
        <f>COUNTA('INFO BASE'!E32:E37)+6</f>
        <v>6</v>
      </c>
      <c r="CR9" s="177" t="str">
        <f>IF(B9="",1,B9)</f>
        <v>HS</v>
      </c>
      <c r="CS9" s="177" t="str">
        <f>IF(B9="PV",0,IFERROR(VLOOKUP(CONCATENATE(B9,C9),$DK$9:$DK$72,1,0),1))</f>
        <v>HS-</v>
      </c>
      <c r="CT9" s="177" t="str">
        <f>IF(D9="",1,D9)</f>
        <v>HS</v>
      </c>
      <c r="CU9" s="177" t="str">
        <f>IF(D9="PV",0,IFERROR(VLOOKUP(CONCATENATE(D9,E9),$DK$9:$DK$72,1,0),1))</f>
        <v>HS-</v>
      </c>
      <c r="CV9" s="177" t="str">
        <f>IF(F9="",1,F9)</f>
        <v>HS</v>
      </c>
      <c r="CW9" s="177" t="str">
        <f>IF(F9="PV",0,IFERROR(VLOOKUP(CONCATENATE(F9,G9),$DK$9:$DK$72,1,0),1))</f>
        <v>HS-</v>
      </c>
      <c r="CX9" s="177" t="str">
        <f>IF(H9="",1,H9)</f>
        <v>HS</v>
      </c>
      <c r="CY9" s="177" t="str">
        <f>IF(H9="PV",0,IFERROR(VLOOKUP(CONCATENATE(H9,I9),$DK$9:$DK$72,1,0),1))</f>
        <v>HS-</v>
      </c>
      <c r="CZ9" s="177" t="str">
        <f>IF(J9="",1,J9)</f>
        <v>HS</v>
      </c>
      <c r="DA9" s="177" t="str">
        <f>IF(J9="PV",0,IFERROR(VLOOKUP(CONCATENATE(J9,K9),$DK$9:$DK$72,1,0),1))</f>
        <v>HS-</v>
      </c>
      <c r="DB9" s="177" t="str">
        <f>IF(L9="",1,L9)</f>
        <v>PV</v>
      </c>
      <c r="DC9" s="177">
        <f>IF(L9="PV",0,IFERROR(VLOOKUP(CONCATENATE(L9,M9),$DK$9:$DK$72,1,0),1))</f>
        <v>0</v>
      </c>
      <c r="DD9" s="177" t="str">
        <f>IF(N9="",1,N9)</f>
        <v>PV</v>
      </c>
      <c r="DE9" s="177">
        <f>IF(N9="PV",0,IFERROR(VLOOKUP(CONCATENATE(N9,O9),$DK$9:$DK$72,1,0),1))</f>
        <v>0</v>
      </c>
      <c r="DK9" s="136" t="str">
        <f>CONCATENATE(DN9,DO9)</f>
        <v>EAFP</v>
      </c>
      <c r="DN9" t="str">
        <f>'INFO BASE'!B17</f>
        <v>EA</v>
      </c>
      <c r="DO9" t="str">
        <f t="shared" ref="DO9:DO14" si="0">DN86</f>
        <v>FP</v>
      </c>
      <c r="DP9" t="str">
        <f>DN9</f>
        <v>EA</v>
      </c>
    </row>
    <row r="10" spans="1:120" ht="18" customHeight="1" x14ac:dyDescent="0.3">
      <c r="A10" s="81">
        <v>2.0833333333333998E-2</v>
      </c>
      <c r="B10" s="166" t="s">
        <v>10</v>
      </c>
      <c r="C10" s="130" t="s">
        <v>120</v>
      </c>
      <c r="D10" s="169" t="s">
        <v>10</v>
      </c>
      <c r="E10" s="130" t="s">
        <v>120</v>
      </c>
      <c r="F10" s="169" t="s">
        <v>10</v>
      </c>
      <c r="G10" s="130" t="s">
        <v>120</v>
      </c>
      <c r="H10" s="169" t="s">
        <v>10</v>
      </c>
      <c r="I10" s="130" t="s">
        <v>120</v>
      </c>
      <c r="J10" s="169" t="s">
        <v>10</v>
      </c>
      <c r="K10" s="130" t="s">
        <v>120</v>
      </c>
      <c r="L10" s="169" t="s">
        <v>116</v>
      </c>
      <c r="M10" s="130"/>
      <c r="N10" s="169" t="s">
        <v>116</v>
      </c>
      <c r="O10" s="154"/>
      <c r="Q10" s="284"/>
      <c r="R10" s="285"/>
      <c r="S10" s="285"/>
      <c r="T10" s="285"/>
      <c r="U10" s="285"/>
      <c r="V10" s="285"/>
      <c r="W10" s="286"/>
      <c r="X10" s="199">
        <v>1</v>
      </c>
      <c r="Y10" s="262" t="str">
        <f t="array" ref="Y10">IF(ISERROR(INDEX($CA$2:$CB$200,SMALL(IF($CA$2:$CA$200=$A$4,ROW($CA$2:$CA$200)),ROW(2:2))-1,2)),"",INDEX($CA$2:$CB$200,SMALL(IF($CA$2:$CA$200=$A$4,ROW($CA$2:$CA$200)),ROW(2:2))-1,2))</f>
        <v/>
      </c>
      <c r="Z10" s="263"/>
      <c r="AA10" s="263"/>
      <c r="AB10" s="263"/>
      <c r="AC10" s="263"/>
      <c r="AD10" s="263"/>
      <c r="AE10" s="263"/>
      <c r="AF10" s="264"/>
      <c r="AH10" s="136">
        <v>2.0833333333333998E-2</v>
      </c>
      <c r="AI10" s="136" t="s">
        <v>10</v>
      </c>
      <c r="AJ10" s="136" t="s">
        <v>120</v>
      </c>
      <c r="AK10" s="136" t="s">
        <v>10</v>
      </c>
      <c r="AL10" s="136" t="s">
        <v>120</v>
      </c>
      <c r="AM10" s="136" t="s">
        <v>10</v>
      </c>
      <c r="AN10" s="136" t="s">
        <v>120</v>
      </c>
      <c r="AO10" s="136" t="s">
        <v>10</v>
      </c>
      <c r="AP10" s="136" t="s">
        <v>120</v>
      </c>
      <c r="AQ10" s="136" t="s">
        <v>10</v>
      </c>
      <c r="AR10" s="136" t="s">
        <v>120</v>
      </c>
      <c r="AS10" s="136" t="s">
        <v>116</v>
      </c>
      <c r="AT10" s="136" t="s">
        <v>235</v>
      </c>
      <c r="AU10" s="136" t="s">
        <v>116</v>
      </c>
      <c r="AV10" s="136" t="s">
        <v>235</v>
      </c>
      <c r="AX10" s="136" t="str">
        <f>IF(AI5="","",IF(B10="","",B10))</f>
        <v>HS</v>
      </c>
      <c r="AY10" s="136" t="str">
        <f>IF(AI5="","",IF(C10="","",C10))</f>
        <v>-</v>
      </c>
      <c r="AZ10" s="136" t="str">
        <f>IF(AI5="","",IF(D10="","",D10))</f>
        <v>HS</v>
      </c>
      <c r="BA10" s="136" t="str">
        <f>IF(AI5="","",IF(E10="","",E10))</f>
        <v>-</v>
      </c>
      <c r="BB10" s="136" t="str">
        <f>IF(AI5="","",IF(F10="","",F10))</f>
        <v>HS</v>
      </c>
      <c r="BC10" s="136" t="str">
        <f>IF(AI5="","",IF(G10="","",G10))</f>
        <v>-</v>
      </c>
      <c r="BD10" s="136" t="str">
        <f>IF(AI5="","",IF(H10="","",H10))</f>
        <v>HS</v>
      </c>
      <c r="BE10" s="136" t="str">
        <f>IF(AI5="","",IF(I10="","",I10))</f>
        <v>-</v>
      </c>
      <c r="BF10" s="136" t="str">
        <f>IF(AI5="","",IF(J10="","",J10))</f>
        <v>HS</v>
      </c>
      <c r="BG10" s="136" t="str">
        <f>IF(AI5="","",IF(K10="","",K10))</f>
        <v>-</v>
      </c>
      <c r="BH10" s="136" t="str">
        <f>IF(AI5="","",IF(L10="","",L10))</f>
        <v>PV</v>
      </c>
      <c r="BI10" s="136" t="str">
        <f>IF(AI5="","",IF(M10="","",M10))</f>
        <v/>
      </c>
      <c r="BJ10" s="136" t="str">
        <f>IF(AI5="","",IF(N10="","",N10))</f>
        <v>PV</v>
      </c>
      <c r="BK10" s="136" t="str">
        <f>IF(AI5="","",IF(O10="","",O10))</f>
        <v/>
      </c>
      <c r="BZ10" s="280"/>
      <c r="CA10" s="183" t="str">
        <f>'INFO BASE'!L73</f>
        <v>-</v>
      </c>
      <c r="CB10" s="183" t="str">
        <f>'INFO BASE'!M73</f>
        <v/>
      </c>
      <c r="CR10" s="177" t="str">
        <f t="shared" ref="CR10:DB56" si="1">IF(B10="",1,B10)</f>
        <v>HS</v>
      </c>
      <c r="CS10" s="177" t="str">
        <f t="shared" ref="CS10:CS56" si="2">IF(B10="PV",0,IFERROR(VLOOKUP(CONCATENATE(B10,C10),$DK$9:$DK$72,1,0),1))</f>
        <v>HS-</v>
      </c>
      <c r="CT10" s="177" t="str">
        <f t="shared" si="1"/>
        <v>HS</v>
      </c>
      <c r="CU10" s="177" t="str">
        <f t="shared" ref="CU10:CU56" si="3">IF(D10="PV",0,IFERROR(VLOOKUP(CONCATENATE(D10,E10),$DK$9:$DK$72,1,0),1))</f>
        <v>HS-</v>
      </c>
      <c r="CV10" s="177" t="str">
        <f t="shared" si="1"/>
        <v>HS</v>
      </c>
      <c r="CW10" s="177" t="str">
        <f t="shared" ref="CW10:CW56" si="4">IF(F10="PV",0,IFERROR(VLOOKUP(CONCATENATE(F10,G10),$DK$9:$DK$72,1,0),1))</f>
        <v>HS-</v>
      </c>
      <c r="CX10" s="177" t="str">
        <f t="shared" si="1"/>
        <v>HS</v>
      </c>
      <c r="CY10" s="177" t="str">
        <f t="shared" ref="CY10:CY56" si="5">IF(H10="PV",0,IFERROR(VLOOKUP(CONCATENATE(H10,I10),$DK$9:$DK$72,1,0),1))</f>
        <v>HS-</v>
      </c>
      <c r="CZ10" s="177" t="str">
        <f t="shared" si="1"/>
        <v>HS</v>
      </c>
      <c r="DA10" s="177" t="str">
        <f t="shared" ref="DA10:DA56" si="6">IF(J10="PV",0,IFERROR(VLOOKUP(CONCATENATE(J10,K10),$DK$9:$DK$72,1,0),1))</f>
        <v>HS-</v>
      </c>
      <c r="DB10" s="177" t="str">
        <f t="shared" si="1"/>
        <v>PV</v>
      </c>
      <c r="DC10" s="177">
        <f t="shared" ref="DC10:DC56" si="7">IF(L10="PV",0,IFERROR(VLOOKUP(CONCATENATE(L10,M10),$DK$9:$DK$72,1,0),1))</f>
        <v>0</v>
      </c>
      <c r="DD10" s="177" t="str">
        <f t="shared" ref="DD10:DD56" si="8">IF(N10="",1,N10)</f>
        <v>PV</v>
      </c>
      <c r="DE10" s="177">
        <f t="shared" ref="DE10:DE56" si="9">IF(N10="PV",0,IFERROR(VLOOKUP(CONCATENATE(N10,O10),$DK$9:$DK$72,1,0),1))</f>
        <v>0</v>
      </c>
      <c r="DK10" s="136" t="str">
        <f t="shared" ref="DK10:DK72" si="10">CONCATENATE(DN10,DO10)</f>
        <v>EAIEI</v>
      </c>
      <c r="DN10" t="str">
        <f>DN9</f>
        <v>EA</v>
      </c>
      <c r="DO10" t="str">
        <f t="shared" si="0"/>
        <v>IEI</v>
      </c>
      <c r="DP10" t="str">
        <f t="shared" ref="DP10:DP72" si="11">DN10</f>
        <v>EA</v>
      </c>
    </row>
    <row r="11" spans="1:120" ht="18" customHeight="1" x14ac:dyDescent="0.3">
      <c r="A11" s="81">
        <v>4.1666666666667997E-2</v>
      </c>
      <c r="B11" s="166" t="s">
        <v>10</v>
      </c>
      <c r="C11" s="130" t="s">
        <v>120</v>
      </c>
      <c r="D11" s="169" t="s">
        <v>10</v>
      </c>
      <c r="E11" s="130" t="s">
        <v>120</v>
      </c>
      <c r="F11" s="169" t="s">
        <v>10</v>
      </c>
      <c r="G11" s="130" t="s">
        <v>120</v>
      </c>
      <c r="H11" s="169" t="s">
        <v>10</v>
      </c>
      <c r="I11" s="130" t="s">
        <v>120</v>
      </c>
      <c r="J11" s="169" t="s">
        <v>10</v>
      </c>
      <c r="K11" s="130" t="s">
        <v>120</v>
      </c>
      <c r="L11" s="169" t="s">
        <v>116</v>
      </c>
      <c r="M11" s="130"/>
      <c r="N11" s="169" t="s">
        <v>116</v>
      </c>
      <c r="O11" s="154"/>
      <c r="Q11" s="284"/>
      <c r="R11" s="285"/>
      <c r="S11" s="285"/>
      <c r="T11" s="285"/>
      <c r="U11" s="285"/>
      <c r="V11" s="285"/>
      <c r="W11" s="286"/>
      <c r="X11" s="199">
        <v>1</v>
      </c>
      <c r="Y11" s="262" t="str">
        <f t="array" ref="Y11">IF(ISERROR(INDEX($CA$2:$CB$200,SMALL(IF($CA$2:$CA$200=$A$4,ROW($CA$2:$CA$200)),ROW(3:3))-1,2)),"",INDEX($CA$2:$CB$200,SMALL(IF($CA$2:$CA$200=$A$4,ROW($CA$2:$CA$200)),ROW(3:3))-1,2))</f>
        <v/>
      </c>
      <c r="Z11" s="263"/>
      <c r="AA11" s="263"/>
      <c r="AB11" s="263"/>
      <c r="AC11" s="263"/>
      <c r="AD11" s="263"/>
      <c r="AE11" s="263"/>
      <c r="AF11" s="264"/>
      <c r="AH11" s="136">
        <v>4.1666666666667997E-2</v>
      </c>
      <c r="AI11" s="136" t="s">
        <v>10</v>
      </c>
      <c r="AJ11" s="136" t="s">
        <v>120</v>
      </c>
      <c r="AK11" s="136" t="s">
        <v>10</v>
      </c>
      <c r="AL11" s="136" t="s">
        <v>120</v>
      </c>
      <c r="AM11" s="136" t="s">
        <v>10</v>
      </c>
      <c r="AN11" s="136" t="s">
        <v>120</v>
      </c>
      <c r="AO11" s="136" t="s">
        <v>10</v>
      </c>
      <c r="AP11" s="136" t="s">
        <v>120</v>
      </c>
      <c r="AQ11" s="136" t="s">
        <v>10</v>
      </c>
      <c r="AR11" s="136" t="s">
        <v>120</v>
      </c>
      <c r="AS11" s="136" t="s">
        <v>116</v>
      </c>
      <c r="AT11" s="136" t="s">
        <v>235</v>
      </c>
      <c r="AU11" s="136" t="s">
        <v>116</v>
      </c>
      <c r="AV11" s="136" t="s">
        <v>235</v>
      </c>
      <c r="AX11" s="136" t="str">
        <f>IF(AI5="","",IF(B11="","",B11))</f>
        <v>HS</v>
      </c>
      <c r="AY11" s="136" t="str">
        <f>IF(AI5="","",IF(C11="","",C11))</f>
        <v>-</v>
      </c>
      <c r="AZ11" s="136" t="str">
        <f>IF(AI5="","",IF(D11="","",D11))</f>
        <v>HS</v>
      </c>
      <c r="BA11" s="136" t="str">
        <f>IF(AI5="","",IF(E11="","",E11))</f>
        <v>-</v>
      </c>
      <c r="BB11" s="136" t="str">
        <f>IF(AI5="","",IF(F11="","",F11))</f>
        <v>HS</v>
      </c>
      <c r="BC11" s="136" t="str">
        <f>IF(AI5="","",IF(G11="","",G11))</f>
        <v>-</v>
      </c>
      <c r="BD11" s="136" t="str">
        <f>IF(AI5="","",IF(H11="","",H11))</f>
        <v>HS</v>
      </c>
      <c r="BE11" s="136" t="str">
        <f>IF(AI5="","",IF(I11="","",I11))</f>
        <v>-</v>
      </c>
      <c r="BF11" s="136" t="str">
        <f>IF(AI5="","",IF(J11="","",J11))</f>
        <v>HS</v>
      </c>
      <c r="BG11" s="136" t="str">
        <f>IF(AI5="","",IF(K11="","",K11))</f>
        <v>-</v>
      </c>
      <c r="BH11" s="136" t="str">
        <f>IF(AI5="","",IF(L11="","",L11))</f>
        <v>PV</v>
      </c>
      <c r="BI11" s="136" t="str">
        <f>IF(AI5="","",IF(M11="","",M11))</f>
        <v/>
      </c>
      <c r="BJ11" s="136" t="str">
        <f>IF(AI5="","",IF(N11="","",N11))</f>
        <v>PV</v>
      </c>
      <c r="BK11" s="136" t="str">
        <f>IF(AI5="","",IF(O11="","",O11))</f>
        <v/>
      </c>
      <c r="BZ11" s="280"/>
      <c r="CA11" s="183" t="str">
        <f>'INFO BASE'!L74</f>
        <v>-</v>
      </c>
      <c r="CB11" s="183" t="str">
        <f>'INFO BASE'!M74</f>
        <v/>
      </c>
      <c r="CR11" s="177" t="str">
        <f t="shared" si="1"/>
        <v>HS</v>
      </c>
      <c r="CS11" s="177" t="str">
        <f t="shared" si="2"/>
        <v>HS-</v>
      </c>
      <c r="CT11" s="177" t="str">
        <f t="shared" si="1"/>
        <v>HS</v>
      </c>
      <c r="CU11" s="177" t="str">
        <f t="shared" si="3"/>
        <v>HS-</v>
      </c>
      <c r="CV11" s="177" t="str">
        <f t="shared" si="1"/>
        <v>HS</v>
      </c>
      <c r="CW11" s="177" t="str">
        <f t="shared" si="4"/>
        <v>HS-</v>
      </c>
      <c r="CX11" s="177" t="str">
        <f t="shared" si="1"/>
        <v>HS</v>
      </c>
      <c r="CY11" s="177" t="str">
        <f t="shared" si="5"/>
        <v>HS-</v>
      </c>
      <c r="CZ11" s="177" t="str">
        <f t="shared" si="1"/>
        <v>HS</v>
      </c>
      <c r="DA11" s="177" t="str">
        <f t="shared" si="6"/>
        <v>HS-</v>
      </c>
      <c r="DB11" s="177" t="str">
        <f t="shared" si="1"/>
        <v>PV</v>
      </c>
      <c r="DC11" s="177">
        <f t="shared" si="7"/>
        <v>0</v>
      </c>
      <c r="DD11" s="177" t="str">
        <f t="shared" si="8"/>
        <v>PV</v>
      </c>
      <c r="DE11" s="177">
        <f t="shared" si="9"/>
        <v>0</v>
      </c>
      <c r="DK11" s="136" t="str">
        <f t="shared" si="10"/>
        <v>EAIAC</v>
      </c>
      <c r="DN11" t="str">
        <f t="shared" ref="DN11:DN14" si="12">DN10</f>
        <v>EA</v>
      </c>
      <c r="DO11" t="str">
        <f t="shared" si="0"/>
        <v>IAC</v>
      </c>
      <c r="DP11" t="str">
        <f t="shared" si="11"/>
        <v>EA</v>
      </c>
    </row>
    <row r="12" spans="1:120" ht="18" customHeight="1" x14ac:dyDescent="0.3">
      <c r="A12" s="81">
        <v>6.2500000000001998E-2</v>
      </c>
      <c r="B12" s="166" t="s">
        <v>10</v>
      </c>
      <c r="C12" s="130" t="s">
        <v>120</v>
      </c>
      <c r="D12" s="169" t="s">
        <v>10</v>
      </c>
      <c r="E12" s="130" t="s">
        <v>120</v>
      </c>
      <c r="F12" s="169" t="s">
        <v>10</v>
      </c>
      <c r="G12" s="130" t="s">
        <v>120</v>
      </c>
      <c r="H12" s="169" t="s">
        <v>10</v>
      </c>
      <c r="I12" s="130" t="s">
        <v>120</v>
      </c>
      <c r="J12" s="169" t="s">
        <v>10</v>
      </c>
      <c r="K12" s="130" t="s">
        <v>120</v>
      </c>
      <c r="L12" s="169" t="s">
        <v>10</v>
      </c>
      <c r="M12" s="130" t="s">
        <v>120</v>
      </c>
      <c r="N12" s="169" t="s">
        <v>10</v>
      </c>
      <c r="O12" s="154" t="s">
        <v>120</v>
      </c>
      <c r="Q12" s="284"/>
      <c r="R12" s="285"/>
      <c r="S12" s="285"/>
      <c r="T12" s="285"/>
      <c r="U12" s="285"/>
      <c r="V12" s="285"/>
      <c r="W12" s="286"/>
      <c r="X12" s="199">
        <v>1</v>
      </c>
      <c r="Y12" s="262" t="str">
        <f t="array" ref="Y12">IF(ISERROR(INDEX($CA$2:$CB$200,SMALL(IF($CA$2:$CA$200=$A$4,ROW($CA$2:$CA$200)),ROW(4:4))-1,2)),"",INDEX($CA$2:$CB$200,SMALL(IF($CA$2:$CA$200=$A$4,ROW($CA$2:$CA$200)),ROW(4:4))-1,2))</f>
        <v/>
      </c>
      <c r="Z12" s="263"/>
      <c r="AA12" s="263"/>
      <c r="AB12" s="263"/>
      <c r="AC12" s="263"/>
      <c r="AD12" s="263"/>
      <c r="AE12" s="263"/>
      <c r="AF12" s="264"/>
      <c r="AH12" s="136">
        <v>6.2500000000001998E-2</v>
      </c>
      <c r="AI12" s="136" t="s">
        <v>10</v>
      </c>
      <c r="AJ12" s="136" t="s">
        <v>120</v>
      </c>
      <c r="AK12" s="136" t="s">
        <v>10</v>
      </c>
      <c r="AL12" s="136" t="s">
        <v>120</v>
      </c>
      <c r="AM12" s="136" t="s">
        <v>10</v>
      </c>
      <c r="AN12" s="136" t="s">
        <v>120</v>
      </c>
      <c r="AO12" s="136" t="s">
        <v>10</v>
      </c>
      <c r="AP12" s="136" t="s">
        <v>120</v>
      </c>
      <c r="AQ12" s="136" t="s">
        <v>10</v>
      </c>
      <c r="AR12" s="136" t="s">
        <v>120</v>
      </c>
      <c r="AS12" s="136" t="s">
        <v>10</v>
      </c>
      <c r="AT12" s="136" t="s">
        <v>120</v>
      </c>
      <c r="AU12" s="136" t="s">
        <v>10</v>
      </c>
      <c r="AV12" s="136" t="s">
        <v>120</v>
      </c>
      <c r="AX12" s="136" t="str">
        <f>IF(AI5="","",IF(B12="","",B12))</f>
        <v>HS</v>
      </c>
      <c r="AY12" s="136" t="str">
        <f>IF(AI5="","",IF(C12="","",C12))</f>
        <v>-</v>
      </c>
      <c r="AZ12" s="136" t="str">
        <f>IF(AI5="","",IF(D12="","",D12))</f>
        <v>HS</v>
      </c>
      <c r="BA12" s="136" t="str">
        <f>IF(AI5="","",IF(E12="","",E12))</f>
        <v>-</v>
      </c>
      <c r="BB12" s="136" t="str">
        <f>IF(AI5="","",IF(F12="","",F12))</f>
        <v>HS</v>
      </c>
      <c r="BC12" s="136" t="str">
        <f>IF(AI5="","",IF(G12="","",G12))</f>
        <v>-</v>
      </c>
      <c r="BD12" s="136" t="str">
        <f>IF(AI5="","",IF(H12="","",H12))</f>
        <v>HS</v>
      </c>
      <c r="BE12" s="136" t="str">
        <f>IF(AI5="","",IF(I12="","",I12))</f>
        <v>-</v>
      </c>
      <c r="BF12" s="136" t="str">
        <f>IF(AI5="","",IF(J12="","",J12))</f>
        <v>HS</v>
      </c>
      <c r="BG12" s="136" t="str">
        <f>IF(AI5="","",IF(K12="","",K12))</f>
        <v>-</v>
      </c>
      <c r="BH12" s="136" t="str">
        <f>IF(AI5="","",IF(L12="","",L12))</f>
        <v>HS</v>
      </c>
      <c r="BI12" s="136" t="str">
        <f>IF(AI5="","",IF(M12="","",M12))</f>
        <v>-</v>
      </c>
      <c r="BJ12" s="136" t="str">
        <f>IF(AI5="","",IF(N12="","",N12))</f>
        <v>HS</v>
      </c>
      <c r="BK12" s="136" t="str">
        <f>IF(AI5="","",IF(O12="","",O12))</f>
        <v>-</v>
      </c>
      <c r="BZ12" s="280"/>
      <c r="CA12" s="183" t="str">
        <f>'INFO BASE'!L75</f>
        <v>-</v>
      </c>
      <c r="CB12" s="183" t="str">
        <f>'INFO BASE'!M75</f>
        <v/>
      </c>
      <c r="CR12" s="177" t="str">
        <f t="shared" si="1"/>
        <v>HS</v>
      </c>
      <c r="CS12" s="177" t="str">
        <f t="shared" si="2"/>
        <v>HS-</v>
      </c>
      <c r="CT12" s="177" t="str">
        <f t="shared" si="1"/>
        <v>HS</v>
      </c>
      <c r="CU12" s="177" t="str">
        <f t="shared" si="3"/>
        <v>HS-</v>
      </c>
      <c r="CV12" s="177" t="str">
        <f t="shared" si="1"/>
        <v>HS</v>
      </c>
      <c r="CW12" s="177" t="str">
        <f t="shared" si="4"/>
        <v>HS-</v>
      </c>
      <c r="CX12" s="177" t="str">
        <f t="shared" si="1"/>
        <v>HS</v>
      </c>
      <c r="CY12" s="177" t="str">
        <f t="shared" si="5"/>
        <v>HS-</v>
      </c>
      <c r="CZ12" s="177" t="str">
        <f t="shared" si="1"/>
        <v>HS</v>
      </c>
      <c r="DA12" s="177" t="str">
        <f t="shared" si="6"/>
        <v>HS-</v>
      </c>
      <c r="DB12" s="177" t="str">
        <f t="shared" si="1"/>
        <v>HS</v>
      </c>
      <c r="DC12" s="177" t="str">
        <f t="shared" si="7"/>
        <v>HS-</v>
      </c>
      <c r="DD12" s="177" t="str">
        <f t="shared" si="8"/>
        <v>HS</v>
      </c>
      <c r="DE12" s="177" t="str">
        <f t="shared" si="9"/>
        <v>HS-</v>
      </c>
      <c r="DK12" s="136" t="str">
        <f t="shared" si="10"/>
        <v>EAAL</v>
      </c>
      <c r="DN12" t="str">
        <f t="shared" si="12"/>
        <v>EA</v>
      </c>
      <c r="DO12" t="str">
        <f t="shared" si="0"/>
        <v>AL</v>
      </c>
      <c r="DP12" t="str">
        <f t="shared" si="11"/>
        <v>EA</v>
      </c>
    </row>
    <row r="13" spans="1:120" ht="18" customHeight="1" x14ac:dyDescent="0.3">
      <c r="A13" s="81">
        <v>8.3333333333335993E-2</v>
      </c>
      <c r="B13" s="166" t="s">
        <v>10</v>
      </c>
      <c r="C13" s="130" t="s">
        <v>120</v>
      </c>
      <c r="D13" s="169" t="s">
        <v>10</v>
      </c>
      <c r="E13" s="130" t="s">
        <v>120</v>
      </c>
      <c r="F13" s="169" t="s">
        <v>10</v>
      </c>
      <c r="G13" s="130" t="s">
        <v>120</v>
      </c>
      <c r="H13" s="169" t="s">
        <v>10</v>
      </c>
      <c r="I13" s="130" t="s">
        <v>120</v>
      </c>
      <c r="J13" s="169" t="s">
        <v>10</v>
      </c>
      <c r="K13" s="130" t="s">
        <v>120</v>
      </c>
      <c r="L13" s="169" t="s">
        <v>10</v>
      </c>
      <c r="M13" s="130" t="s">
        <v>120</v>
      </c>
      <c r="N13" s="169" t="s">
        <v>10</v>
      </c>
      <c r="O13" s="154" t="s">
        <v>120</v>
      </c>
      <c r="Q13" s="284"/>
      <c r="R13" s="285"/>
      <c r="S13" s="285"/>
      <c r="T13" s="285"/>
      <c r="U13" s="285"/>
      <c r="V13" s="285"/>
      <c r="W13" s="286"/>
      <c r="X13" s="199">
        <v>1</v>
      </c>
      <c r="Y13" s="262" t="str">
        <f t="array" ref="Y13">IF(ISERROR(INDEX($CA$2:$CB$200,SMALL(IF($CA$2:$CA$200=$A$4,ROW($CA$2:$CA$200)),ROW(5:5))-1,2)),"",INDEX($CA$2:$CB$200,SMALL(IF($CA$2:$CA$200=$A$4,ROW($CA$2:$CA$200)),ROW(5:5))-1,2))</f>
        <v/>
      </c>
      <c r="Z13" s="263"/>
      <c r="AA13" s="263"/>
      <c r="AB13" s="263"/>
      <c r="AC13" s="263"/>
      <c r="AD13" s="263"/>
      <c r="AE13" s="263"/>
      <c r="AF13" s="264"/>
      <c r="AH13" s="136">
        <v>8.3333333333335993E-2</v>
      </c>
      <c r="AI13" s="136" t="s">
        <v>10</v>
      </c>
      <c r="AJ13" s="136" t="s">
        <v>120</v>
      </c>
      <c r="AK13" s="136" t="s">
        <v>10</v>
      </c>
      <c r="AL13" s="136" t="s">
        <v>120</v>
      </c>
      <c r="AM13" s="136" t="s">
        <v>10</v>
      </c>
      <c r="AN13" s="136" t="s">
        <v>120</v>
      </c>
      <c r="AO13" s="136" t="s">
        <v>10</v>
      </c>
      <c r="AP13" s="136" t="s">
        <v>120</v>
      </c>
      <c r="AQ13" s="136" t="s">
        <v>10</v>
      </c>
      <c r="AR13" s="136" t="s">
        <v>120</v>
      </c>
      <c r="AS13" s="136" t="s">
        <v>10</v>
      </c>
      <c r="AT13" s="136" t="s">
        <v>120</v>
      </c>
      <c r="AU13" s="136" t="s">
        <v>10</v>
      </c>
      <c r="AV13" s="136" t="s">
        <v>120</v>
      </c>
      <c r="AX13" s="136" t="str">
        <f>IF(AI5="","",IF(B13="","",B13))</f>
        <v>HS</v>
      </c>
      <c r="AY13" s="136" t="str">
        <f>IF(AI5="","",IF(C13="","",C13))</f>
        <v>-</v>
      </c>
      <c r="AZ13" s="136" t="str">
        <f>IF(AI5="","",IF(D13="","",D13))</f>
        <v>HS</v>
      </c>
      <c r="BA13" s="136" t="str">
        <f>IF(AI5="","",IF(E13="","",E13))</f>
        <v>-</v>
      </c>
      <c r="BB13" s="136" t="str">
        <f>IF(AI5="","",IF(F13="","",F13))</f>
        <v>HS</v>
      </c>
      <c r="BC13" s="136" t="str">
        <f>IF(AI5="","",IF(G13="","",G13))</f>
        <v>-</v>
      </c>
      <c r="BD13" s="136" t="str">
        <f>IF(AI5="","",IF(H13="","",H13))</f>
        <v>HS</v>
      </c>
      <c r="BE13" s="136" t="str">
        <f>IF(AI5="","",IF(I13="","",I13))</f>
        <v>-</v>
      </c>
      <c r="BF13" s="136" t="str">
        <f>IF(AI5="","",IF(J13="","",J13))</f>
        <v>HS</v>
      </c>
      <c r="BG13" s="136" t="str">
        <f>IF(AI5="","",IF(K13="","",K13))</f>
        <v>-</v>
      </c>
      <c r="BH13" s="136" t="str">
        <f>IF(AI5="","",IF(L13="","",L13))</f>
        <v>HS</v>
      </c>
      <c r="BI13" s="136" t="str">
        <f>IF(AI5="","",IF(M13="","",M13))</f>
        <v>-</v>
      </c>
      <c r="BJ13" s="136" t="str">
        <f>IF(AI5="","",IF(N13="","",N13))</f>
        <v>HS</v>
      </c>
      <c r="BK13" s="136" t="str">
        <f>IF(AI5="","",IF(O13="","",O13))</f>
        <v>-</v>
      </c>
      <c r="BZ13" s="280"/>
      <c r="CA13" s="183" t="str">
        <f>'INFO BASE'!L76</f>
        <v>-</v>
      </c>
      <c r="CB13" s="183" t="str">
        <f>'INFO BASE'!M76</f>
        <v/>
      </c>
      <c r="CD13" s="136" t="str">
        <f t="shared" ref="CD13:CD18" si="13">R21</f>
        <v>FP</v>
      </c>
      <c r="CR13" s="177" t="str">
        <f t="shared" si="1"/>
        <v>HS</v>
      </c>
      <c r="CS13" s="177" t="str">
        <f t="shared" si="2"/>
        <v>HS-</v>
      </c>
      <c r="CT13" s="177" t="str">
        <f t="shared" si="1"/>
        <v>HS</v>
      </c>
      <c r="CU13" s="177" t="str">
        <f t="shared" si="3"/>
        <v>HS-</v>
      </c>
      <c r="CV13" s="177" t="str">
        <f t="shared" si="1"/>
        <v>HS</v>
      </c>
      <c r="CW13" s="177" t="str">
        <f t="shared" si="4"/>
        <v>HS-</v>
      </c>
      <c r="CX13" s="177" t="str">
        <f t="shared" si="1"/>
        <v>HS</v>
      </c>
      <c r="CY13" s="177" t="str">
        <f t="shared" si="5"/>
        <v>HS-</v>
      </c>
      <c r="CZ13" s="177" t="str">
        <f t="shared" si="1"/>
        <v>HS</v>
      </c>
      <c r="DA13" s="177" t="str">
        <f t="shared" si="6"/>
        <v>HS-</v>
      </c>
      <c r="DB13" s="177" t="str">
        <f t="shared" si="1"/>
        <v>HS</v>
      </c>
      <c r="DC13" s="177" t="str">
        <f t="shared" si="7"/>
        <v>HS-</v>
      </c>
      <c r="DD13" s="177" t="str">
        <f t="shared" si="8"/>
        <v>HS</v>
      </c>
      <c r="DE13" s="177" t="str">
        <f t="shared" si="9"/>
        <v>HS-</v>
      </c>
      <c r="DK13" s="136" t="str">
        <f t="shared" si="10"/>
        <v>EACDI</v>
      </c>
      <c r="DN13" t="str">
        <f t="shared" si="12"/>
        <v>EA</v>
      </c>
      <c r="DO13" t="str">
        <f t="shared" si="0"/>
        <v>CDI</v>
      </c>
      <c r="DP13" t="str">
        <f t="shared" si="11"/>
        <v>EA</v>
      </c>
    </row>
    <row r="14" spans="1:120" ht="18" customHeight="1" x14ac:dyDescent="0.3">
      <c r="A14" s="81">
        <v>0.10416666666667</v>
      </c>
      <c r="B14" s="166" t="s">
        <v>10</v>
      </c>
      <c r="C14" s="130" t="s">
        <v>120</v>
      </c>
      <c r="D14" s="169" t="s">
        <v>10</v>
      </c>
      <c r="E14" s="130" t="s">
        <v>120</v>
      </c>
      <c r="F14" s="169" t="s">
        <v>10</v>
      </c>
      <c r="G14" s="130" t="s">
        <v>120</v>
      </c>
      <c r="H14" s="169" t="s">
        <v>10</v>
      </c>
      <c r="I14" s="130" t="s">
        <v>120</v>
      </c>
      <c r="J14" s="169" t="s">
        <v>10</v>
      </c>
      <c r="K14" s="130" t="s">
        <v>120</v>
      </c>
      <c r="L14" s="169" t="s">
        <v>10</v>
      </c>
      <c r="M14" s="130" t="s">
        <v>120</v>
      </c>
      <c r="N14" s="169" t="s">
        <v>10</v>
      </c>
      <c r="O14" s="154" t="s">
        <v>120</v>
      </c>
      <c r="Q14" s="284"/>
      <c r="R14" s="285"/>
      <c r="S14" s="285"/>
      <c r="T14" s="285"/>
      <c r="U14" s="285"/>
      <c r="V14" s="285"/>
      <c r="W14" s="286"/>
      <c r="X14" s="199">
        <v>1</v>
      </c>
      <c r="Y14" s="262" t="str">
        <f t="array" ref="Y14">IF(ISERROR(INDEX($CA$2:$CB$200,SMALL(IF($CA$2:$CA$200=$A$4,ROW($CA$2:$CA$200)),ROW(6:6))-1,2)),"",INDEX($CA$2:$CB$200,SMALL(IF($CA$2:$CA$200=$A$4,ROW($CA$2:$CA$200)),ROW(6:6))-1,2))</f>
        <v/>
      </c>
      <c r="Z14" s="263"/>
      <c r="AA14" s="263"/>
      <c r="AB14" s="263"/>
      <c r="AC14" s="263"/>
      <c r="AD14" s="263"/>
      <c r="AE14" s="263"/>
      <c r="AF14" s="264"/>
      <c r="AH14" s="136">
        <v>0.10416666666667</v>
      </c>
      <c r="AI14" s="136" t="s">
        <v>10</v>
      </c>
      <c r="AJ14" s="136" t="s">
        <v>120</v>
      </c>
      <c r="AK14" s="136" t="s">
        <v>10</v>
      </c>
      <c r="AL14" s="136" t="s">
        <v>120</v>
      </c>
      <c r="AM14" s="136" t="s">
        <v>10</v>
      </c>
      <c r="AN14" s="136" t="s">
        <v>120</v>
      </c>
      <c r="AO14" s="136" t="s">
        <v>10</v>
      </c>
      <c r="AP14" s="136" t="s">
        <v>120</v>
      </c>
      <c r="AQ14" s="136" t="s">
        <v>10</v>
      </c>
      <c r="AR14" s="136" t="s">
        <v>120</v>
      </c>
      <c r="AS14" s="136" t="s">
        <v>10</v>
      </c>
      <c r="AT14" s="136" t="s">
        <v>120</v>
      </c>
      <c r="AU14" s="136" t="s">
        <v>10</v>
      </c>
      <c r="AV14" s="136" t="s">
        <v>120</v>
      </c>
      <c r="AX14" s="136" t="str">
        <f>IF(AI5="","",IF(B14="","",B14))</f>
        <v>HS</v>
      </c>
      <c r="AY14" s="136" t="str">
        <f>IF(AI5="","",IF(C14="","",C14))</f>
        <v>-</v>
      </c>
      <c r="AZ14" s="136" t="str">
        <f>IF(AI5="","",IF(D14="","",D14))</f>
        <v>HS</v>
      </c>
      <c r="BA14" s="136" t="str">
        <f>IF(AI5="","",IF(E14="","",E14))</f>
        <v>-</v>
      </c>
      <c r="BB14" s="136" t="str">
        <f>IF(AI5="","",IF(F14="","",F14))</f>
        <v>HS</v>
      </c>
      <c r="BC14" s="136" t="str">
        <f>IF(AI5="","",IF(G14="","",G14))</f>
        <v>-</v>
      </c>
      <c r="BD14" s="136" t="str">
        <f>IF(AI5="","",IF(H14="","",H14))</f>
        <v>HS</v>
      </c>
      <c r="BE14" s="136" t="str">
        <f>IF(AI5="","",IF(I14="","",I14))</f>
        <v>-</v>
      </c>
      <c r="BF14" s="136" t="str">
        <f>IF(AI5="","",IF(J14="","",J14))</f>
        <v>HS</v>
      </c>
      <c r="BG14" s="136" t="str">
        <f>IF(AI5="","",IF(K14="","",K14))</f>
        <v>-</v>
      </c>
      <c r="BH14" s="136" t="str">
        <f>IF(AI5="","",IF(L14="","",L14))</f>
        <v>HS</v>
      </c>
      <c r="BI14" s="136" t="str">
        <f>IF(AI5="","",IF(M14="","",M14))</f>
        <v>-</v>
      </c>
      <c r="BJ14" s="136" t="str">
        <f>IF(AI5="","",IF(N14="","",N14))</f>
        <v>HS</v>
      </c>
      <c r="BK14" s="136" t="str">
        <f>IF(AI5="","",IF(O14="","",O14))</f>
        <v>-</v>
      </c>
      <c r="BZ14" s="280"/>
      <c r="CA14" s="183" t="str">
        <f>'INFO BASE'!L77</f>
        <v>-</v>
      </c>
      <c r="CB14" s="183" t="str">
        <f>'INFO BASE'!M77</f>
        <v/>
      </c>
      <c r="CD14" s="136" t="str">
        <f t="shared" si="13"/>
        <v>IEI</v>
      </c>
      <c r="CR14" s="177" t="str">
        <f t="shared" si="1"/>
        <v>HS</v>
      </c>
      <c r="CS14" s="177" t="str">
        <f t="shared" si="2"/>
        <v>HS-</v>
      </c>
      <c r="CT14" s="177" t="str">
        <f t="shared" si="1"/>
        <v>HS</v>
      </c>
      <c r="CU14" s="177" t="str">
        <f t="shared" si="3"/>
        <v>HS-</v>
      </c>
      <c r="CV14" s="177" t="str">
        <f t="shared" si="1"/>
        <v>HS</v>
      </c>
      <c r="CW14" s="177" t="str">
        <f t="shared" si="4"/>
        <v>HS-</v>
      </c>
      <c r="CX14" s="177" t="str">
        <f t="shared" si="1"/>
        <v>HS</v>
      </c>
      <c r="CY14" s="177" t="str">
        <f t="shared" si="5"/>
        <v>HS-</v>
      </c>
      <c r="CZ14" s="177" t="str">
        <f t="shared" si="1"/>
        <v>HS</v>
      </c>
      <c r="DA14" s="177" t="str">
        <f t="shared" si="6"/>
        <v>HS-</v>
      </c>
      <c r="DB14" s="177" t="str">
        <f t="shared" si="1"/>
        <v>HS</v>
      </c>
      <c r="DC14" s="177" t="str">
        <f t="shared" si="7"/>
        <v>HS-</v>
      </c>
      <c r="DD14" s="177" t="str">
        <f t="shared" si="8"/>
        <v>HS</v>
      </c>
      <c r="DE14" s="177" t="str">
        <f t="shared" si="9"/>
        <v>HS-</v>
      </c>
      <c r="DK14" s="136" t="str">
        <f t="shared" si="10"/>
        <v>EA0</v>
      </c>
      <c r="DN14" t="str">
        <f t="shared" si="12"/>
        <v>EA</v>
      </c>
      <c r="DO14">
        <f t="shared" si="0"/>
        <v>0</v>
      </c>
      <c r="DP14" t="str">
        <f t="shared" si="11"/>
        <v>EA</v>
      </c>
    </row>
    <row r="15" spans="1:120" ht="18" customHeight="1" x14ac:dyDescent="0.3">
      <c r="A15" s="81">
        <v>0.125000000000004</v>
      </c>
      <c r="B15" s="166" t="s">
        <v>10</v>
      </c>
      <c r="C15" s="130" t="s">
        <v>120</v>
      </c>
      <c r="D15" s="169" t="s">
        <v>10</v>
      </c>
      <c r="E15" s="130" t="s">
        <v>120</v>
      </c>
      <c r="F15" s="169" t="s">
        <v>10</v>
      </c>
      <c r="G15" s="130" t="s">
        <v>120</v>
      </c>
      <c r="H15" s="169" t="s">
        <v>10</v>
      </c>
      <c r="I15" s="130" t="s">
        <v>120</v>
      </c>
      <c r="J15" s="169" t="s">
        <v>10</v>
      </c>
      <c r="K15" s="130" t="s">
        <v>120</v>
      </c>
      <c r="L15" s="169" t="s">
        <v>10</v>
      </c>
      <c r="M15" s="130" t="s">
        <v>120</v>
      </c>
      <c r="N15" s="169" t="s">
        <v>10</v>
      </c>
      <c r="O15" s="154" t="s">
        <v>120</v>
      </c>
      <c r="Q15" s="284"/>
      <c r="R15" s="285"/>
      <c r="S15" s="285"/>
      <c r="T15" s="285"/>
      <c r="U15" s="285"/>
      <c r="V15" s="285"/>
      <c r="W15" s="286"/>
      <c r="X15" s="199">
        <v>1</v>
      </c>
      <c r="Y15" s="262" t="str">
        <f t="array" ref="Y15">IF(ISERROR(INDEX($CA$2:$CB$200,SMALL(IF($CA$2:$CA$200=$A$4,ROW($CA$2:$CA$200)),ROW(7:7))-1,2)),"",INDEX($CA$2:$CB$200,SMALL(IF($CA$2:$CA$200=$A$4,ROW($CA$2:$CA$200)),ROW(7:7))-1,2))</f>
        <v/>
      </c>
      <c r="Z15" s="263"/>
      <c r="AA15" s="263"/>
      <c r="AB15" s="263"/>
      <c r="AC15" s="263"/>
      <c r="AD15" s="263"/>
      <c r="AE15" s="263"/>
      <c r="AF15" s="264"/>
      <c r="AH15" s="136">
        <v>0.125000000000004</v>
      </c>
      <c r="AI15" s="136" t="s">
        <v>10</v>
      </c>
      <c r="AJ15" s="136" t="s">
        <v>120</v>
      </c>
      <c r="AK15" s="136" t="s">
        <v>10</v>
      </c>
      <c r="AL15" s="136" t="s">
        <v>120</v>
      </c>
      <c r="AM15" s="136" t="s">
        <v>10</v>
      </c>
      <c r="AN15" s="136" t="s">
        <v>120</v>
      </c>
      <c r="AO15" s="136" t="s">
        <v>10</v>
      </c>
      <c r="AP15" s="136" t="s">
        <v>120</v>
      </c>
      <c r="AQ15" s="136" t="s">
        <v>10</v>
      </c>
      <c r="AR15" s="136" t="s">
        <v>120</v>
      </c>
      <c r="AS15" s="136" t="s">
        <v>10</v>
      </c>
      <c r="AT15" s="136" t="s">
        <v>120</v>
      </c>
      <c r="AU15" s="136" t="s">
        <v>10</v>
      </c>
      <c r="AV15" s="136" t="s">
        <v>120</v>
      </c>
      <c r="AX15" s="136" t="str">
        <f>IF(AI5="","",IF(B15="","",B15))</f>
        <v>HS</v>
      </c>
      <c r="AY15" s="136" t="str">
        <f>IF(AI5="","",IF(C15="","",C15))</f>
        <v>-</v>
      </c>
      <c r="AZ15" s="136" t="str">
        <f>IF(AI5="","",IF(D15="","",D15))</f>
        <v>HS</v>
      </c>
      <c r="BA15" s="136" t="str">
        <f>IF(AI5="","",IF(E15="","",E15))</f>
        <v>-</v>
      </c>
      <c r="BB15" s="136" t="str">
        <f>IF(AI5="","",IF(F15="","",F15))</f>
        <v>HS</v>
      </c>
      <c r="BC15" s="136" t="str">
        <f>IF(AI5="","",IF(G15="","",G15))</f>
        <v>-</v>
      </c>
      <c r="BD15" s="136" t="str">
        <f>IF(AI5="","",IF(H15="","",H15))</f>
        <v>HS</v>
      </c>
      <c r="BE15" s="136" t="str">
        <f>IF(AI5="","",IF(I15="","",I15))</f>
        <v>-</v>
      </c>
      <c r="BF15" s="136" t="str">
        <f>IF(AI5="","",IF(J15="","",J15))</f>
        <v>HS</v>
      </c>
      <c r="BG15" s="136" t="str">
        <f>IF(AI5="","",IF(K15="","",K15))</f>
        <v>-</v>
      </c>
      <c r="BH15" s="136" t="str">
        <f>IF(AI5="","",IF(L15="","",L15))</f>
        <v>HS</v>
      </c>
      <c r="BI15" s="136" t="str">
        <f>IF(AI5="","",IF(M15="","",M15))</f>
        <v>-</v>
      </c>
      <c r="BJ15" s="136" t="str">
        <f>IF(AI5="","",IF(N15="","",N15))</f>
        <v>HS</v>
      </c>
      <c r="BK15" s="136" t="str">
        <f>IF(AI5="","",IF(O15="","",O15))</f>
        <v>-</v>
      </c>
      <c r="BZ15" s="280"/>
      <c r="CA15" s="183" t="str">
        <f>'INFO BASE'!L78</f>
        <v>-</v>
      </c>
      <c r="CB15" s="183" t="str">
        <f>'INFO BASE'!M78</f>
        <v/>
      </c>
      <c r="CD15" s="136" t="str">
        <f t="shared" si="13"/>
        <v>IAC</v>
      </c>
      <c r="CR15" s="177" t="str">
        <f t="shared" si="1"/>
        <v>HS</v>
      </c>
      <c r="CS15" s="177" t="str">
        <f t="shared" si="2"/>
        <v>HS-</v>
      </c>
      <c r="CT15" s="177" t="str">
        <f t="shared" si="1"/>
        <v>HS</v>
      </c>
      <c r="CU15" s="177" t="str">
        <f t="shared" si="3"/>
        <v>HS-</v>
      </c>
      <c r="CV15" s="177" t="str">
        <f t="shared" si="1"/>
        <v>HS</v>
      </c>
      <c r="CW15" s="177" t="str">
        <f t="shared" si="4"/>
        <v>HS-</v>
      </c>
      <c r="CX15" s="177" t="str">
        <f t="shared" si="1"/>
        <v>HS</v>
      </c>
      <c r="CY15" s="177" t="str">
        <f t="shared" si="5"/>
        <v>HS-</v>
      </c>
      <c r="CZ15" s="177" t="str">
        <f t="shared" si="1"/>
        <v>HS</v>
      </c>
      <c r="DA15" s="177" t="str">
        <f t="shared" si="6"/>
        <v>HS-</v>
      </c>
      <c r="DB15" s="177" t="str">
        <f t="shared" si="1"/>
        <v>HS</v>
      </c>
      <c r="DC15" s="177" t="str">
        <f t="shared" si="7"/>
        <v>HS-</v>
      </c>
      <c r="DD15" s="177" t="str">
        <f t="shared" si="8"/>
        <v>HS</v>
      </c>
      <c r="DE15" s="177" t="str">
        <f t="shared" si="9"/>
        <v>HS-</v>
      </c>
      <c r="DK15" s="136" t="str">
        <f t="shared" si="10"/>
        <v>EGFP</v>
      </c>
      <c r="DN15" t="str">
        <f>'INFO BASE'!B18</f>
        <v>EG</v>
      </c>
      <c r="DO15" t="str">
        <f>DO9</f>
        <v>FP</v>
      </c>
      <c r="DP15" t="str">
        <f t="shared" si="11"/>
        <v>EG</v>
      </c>
    </row>
    <row r="16" spans="1:120" ht="18" customHeight="1" thickBot="1" x14ac:dyDescent="0.35">
      <c r="A16" s="81">
        <v>0.14583333333333801</v>
      </c>
      <c r="B16" s="166" t="s">
        <v>10</v>
      </c>
      <c r="C16" s="130" t="s">
        <v>120</v>
      </c>
      <c r="D16" s="169" t="s">
        <v>10</v>
      </c>
      <c r="E16" s="130" t="s">
        <v>120</v>
      </c>
      <c r="F16" s="169" t="s">
        <v>10</v>
      </c>
      <c r="G16" s="130" t="s">
        <v>120</v>
      </c>
      <c r="H16" s="169" t="s">
        <v>10</v>
      </c>
      <c r="I16" s="130" t="s">
        <v>120</v>
      </c>
      <c r="J16" s="169" t="s">
        <v>10</v>
      </c>
      <c r="K16" s="130" t="s">
        <v>120</v>
      </c>
      <c r="L16" s="169" t="s">
        <v>10</v>
      </c>
      <c r="M16" s="130" t="s">
        <v>120</v>
      </c>
      <c r="N16" s="169" t="s">
        <v>10</v>
      </c>
      <c r="O16" s="154" t="s">
        <v>120</v>
      </c>
      <c r="Q16" s="287"/>
      <c r="R16" s="288"/>
      <c r="S16" s="288"/>
      <c r="T16" s="288"/>
      <c r="U16" s="288"/>
      <c r="V16" s="288"/>
      <c r="W16" s="289"/>
      <c r="X16" s="199">
        <v>1</v>
      </c>
      <c r="Y16" s="265" t="str">
        <f t="array" ref="Y16">IF(ISERROR(INDEX($CA$2:$CB$200,SMALL(IF($CA$2:$CA$200=$A$4,ROW($CA$2:$CA$200)),ROW(8:8))-1,2)),"",INDEX($CA$2:$CB$200,SMALL(IF($CA$2:$CA$200=$A$4,ROW($CA$2:$CA$200)),ROW(8:8))-1,2))</f>
        <v/>
      </c>
      <c r="Z16" s="266"/>
      <c r="AA16" s="266"/>
      <c r="AB16" s="266"/>
      <c r="AC16" s="266"/>
      <c r="AD16" s="266"/>
      <c r="AE16" s="266"/>
      <c r="AF16" s="267"/>
      <c r="AH16" s="136">
        <v>0.14583333333333801</v>
      </c>
      <c r="AI16" s="136" t="s">
        <v>10</v>
      </c>
      <c r="AJ16" s="136" t="s">
        <v>120</v>
      </c>
      <c r="AK16" s="136" t="s">
        <v>10</v>
      </c>
      <c r="AL16" s="136" t="s">
        <v>120</v>
      </c>
      <c r="AM16" s="136" t="s">
        <v>10</v>
      </c>
      <c r="AN16" s="136" t="s">
        <v>120</v>
      </c>
      <c r="AO16" s="136" t="s">
        <v>10</v>
      </c>
      <c r="AP16" s="136" t="s">
        <v>120</v>
      </c>
      <c r="AQ16" s="136" t="s">
        <v>10</v>
      </c>
      <c r="AR16" s="136" t="s">
        <v>120</v>
      </c>
      <c r="AS16" s="136" t="s">
        <v>10</v>
      </c>
      <c r="AT16" s="136" t="s">
        <v>120</v>
      </c>
      <c r="AU16" s="136" t="s">
        <v>10</v>
      </c>
      <c r="AV16" s="136" t="s">
        <v>120</v>
      </c>
      <c r="AX16" s="136" t="str">
        <f>IF(AI5="","",IF(B16="","",B16))</f>
        <v>HS</v>
      </c>
      <c r="AY16" s="136" t="str">
        <f>IF(AI5="","",IF(C16="","",C16))</f>
        <v>-</v>
      </c>
      <c r="AZ16" s="136" t="str">
        <f>IF(AI5="","",IF(D16="","",D16))</f>
        <v>HS</v>
      </c>
      <c r="BA16" s="136" t="str">
        <f>IF(AI5="","",IF(E16="","",E16))</f>
        <v>-</v>
      </c>
      <c r="BB16" s="136" t="str">
        <f>IF(AI5="","",IF(F16="","",F16))</f>
        <v>HS</v>
      </c>
      <c r="BC16" s="136" t="str">
        <f>IF(AI5="","",IF(G16="","",G16))</f>
        <v>-</v>
      </c>
      <c r="BD16" s="136" t="str">
        <f>IF(AI5="","",IF(H16="","",H16))</f>
        <v>HS</v>
      </c>
      <c r="BE16" s="136" t="str">
        <f>IF(AI5="","",IF(I16="","",I16))</f>
        <v>-</v>
      </c>
      <c r="BF16" s="136" t="str">
        <f>IF(AI5="","",IF(J16="","",J16))</f>
        <v>HS</v>
      </c>
      <c r="BG16" s="136" t="str">
        <f>IF(AI5="","",IF(K16="","",K16))</f>
        <v>-</v>
      </c>
      <c r="BH16" s="136" t="str">
        <f>IF(AI5="","",IF(L16="","",L16))</f>
        <v>HS</v>
      </c>
      <c r="BI16" s="136" t="str">
        <f>IF(AI5="","",IF(M16="","",M16))</f>
        <v>-</v>
      </c>
      <c r="BJ16" s="136" t="str">
        <f>IF(AI5="","",IF(N16="","",N16))</f>
        <v>HS</v>
      </c>
      <c r="BK16" s="136" t="str">
        <f>IF(AI5="","",IF(O16="","",O16))</f>
        <v>-</v>
      </c>
      <c r="BT16" s="136" t="s">
        <v>37</v>
      </c>
      <c r="BU16" s="136" t="s">
        <v>38</v>
      </c>
      <c r="BZ16" s="280"/>
      <c r="CA16" s="183" t="str">
        <f>'INFO BASE'!L79</f>
        <v>-</v>
      </c>
      <c r="CB16" s="183" t="str">
        <f>'INFO BASE'!M79</f>
        <v/>
      </c>
      <c r="CD16" s="136" t="str">
        <f t="shared" si="13"/>
        <v>AL</v>
      </c>
      <c r="CR16" s="177" t="str">
        <f t="shared" si="1"/>
        <v>HS</v>
      </c>
      <c r="CS16" s="177" t="str">
        <f t="shared" si="2"/>
        <v>HS-</v>
      </c>
      <c r="CT16" s="177" t="str">
        <f t="shared" si="1"/>
        <v>HS</v>
      </c>
      <c r="CU16" s="177" t="str">
        <f t="shared" si="3"/>
        <v>HS-</v>
      </c>
      <c r="CV16" s="177" t="str">
        <f t="shared" si="1"/>
        <v>HS</v>
      </c>
      <c r="CW16" s="177" t="str">
        <f t="shared" si="4"/>
        <v>HS-</v>
      </c>
      <c r="CX16" s="177" t="str">
        <f t="shared" si="1"/>
        <v>HS</v>
      </c>
      <c r="CY16" s="177" t="str">
        <f t="shared" si="5"/>
        <v>HS-</v>
      </c>
      <c r="CZ16" s="177" t="str">
        <f t="shared" si="1"/>
        <v>HS</v>
      </c>
      <c r="DA16" s="177" t="str">
        <f t="shared" si="6"/>
        <v>HS-</v>
      </c>
      <c r="DB16" s="177" t="str">
        <f t="shared" si="1"/>
        <v>HS</v>
      </c>
      <c r="DC16" s="177" t="str">
        <f t="shared" si="7"/>
        <v>HS-</v>
      </c>
      <c r="DD16" s="177" t="str">
        <f t="shared" si="8"/>
        <v>HS</v>
      </c>
      <c r="DE16" s="177" t="str">
        <f t="shared" si="9"/>
        <v>HS-</v>
      </c>
      <c r="DK16" s="136" t="str">
        <f t="shared" si="10"/>
        <v>EGIEI</v>
      </c>
      <c r="DN16" t="str">
        <f>DN15</f>
        <v>EG</v>
      </c>
      <c r="DO16" t="str">
        <f t="shared" ref="DO16:DO20" si="14">DO10</f>
        <v>IEI</v>
      </c>
      <c r="DP16" t="str">
        <f t="shared" si="11"/>
        <v>EG</v>
      </c>
    </row>
    <row r="17" spans="1:120" ht="18" customHeight="1" thickBot="1" x14ac:dyDescent="0.35">
      <c r="A17" s="81">
        <v>0.16666666666667199</v>
      </c>
      <c r="B17" s="166" t="s">
        <v>10</v>
      </c>
      <c r="C17" s="130" t="s">
        <v>120</v>
      </c>
      <c r="D17" s="169" t="s">
        <v>10</v>
      </c>
      <c r="E17" s="130" t="s">
        <v>120</v>
      </c>
      <c r="F17" s="169" t="s">
        <v>10</v>
      </c>
      <c r="G17" s="130" t="s">
        <v>120</v>
      </c>
      <c r="H17" s="169" t="s">
        <v>10</v>
      </c>
      <c r="I17" s="130" t="s">
        <v>120</v>
      </c>
      <c r="J17" s="169" t="s">
        <v>10</v>
      </c>
      <c r="K17" s="130" t="s">
        <v>120</v>
      </c>
      <c r="L17" s="169" t="s">
        <v>10</v>
      </c>
      <c r="M17" s="130" t="s">
        <v>120</v>
      </c>
      <c r="N17" s="169" t="s">
        <v>10</v>
      </c>
      <c r="O17" s="154" t="s">
        <v>120</v>
      </c>
      <c r="Q17" s="63"/>
      <c r="R17" s="64"/>
      <c r="S17" s="65"/>
      <c r="T17" s="65"/>
      <c r="U17" s="65"/>
      <c r="V17" s="65"/>
      <c r="W17" s="65"/>
      <c r="X17" s="199">
        <v>1</v>
      </c>
      <c r="Y17" s="59"/>
      <c r="Z17" s="59"/>
      <c r="AA17" s="59"/>
      <c r="AB17" s="59"/>
      <c r="AC17" s="59"/>
      <c r="AD17" s="59"/>
      <c r="AE17" s="59"/>
      <c r="AF17" s="59"/>
      <c r="AH17" s="136">
        <v>0.16666666666667199</v>
      </c>
      <c r="AI17" s="136" t="s">
        <v>10</v>
      </c>
      <c r="AJ17" s="136" t="s">
        <v>120</v>
      </c>
      <c r="AK17" s="136" t="s">
        <v>10</v>
      </c>
      <c r="AL17" s="136" t="s">
        <v>120</v>
      </c>
      <c r="AM17" s="136" t="s">
        <v>10</v>
      </c>
      <c r="AN17" s="136" t="s">
        <v>120</v>
      </c>
      <c r="AO17" s="136" t="s">
        <v>10</v>
      </c>
      <c r="AP17" s="136" t="s">
        <v>120</v>
      </c>
      <c r="AQ17" s="136" t="s">
        <v>10</v>
      </c>
      <c r="AR17" s="136" t="s">
        <v>120</v>
      </c>
      <c r="AS17" s="136" t="s">
        <v>10</v>
      </c>
      <c r="AT17" s="136" t="s">
        <v>120</v>
      </c>
      <c r="AU17" s="136" t="s">
        <v>10</v>
      </c>
      <c r="AV17" s="136" t="s">
        <v>120</v>
      </c>
      <c r="AX17" s="136" t="str">
        <f>IF(AI5="","",IF(B17="","",B17))</f>
        <v>HS</v>
      </c>
      <c r="AY17" s="136" t="str">
        <f>IF(AI5="","",IF(C17="","",C17))</f>
        <v>-</v>
      </c>
      <c r="AZ17" s="136" t="str">
        <f>IF(AI5="","",IF(D17="","",D17))</f>
        <v>HS</v>
      </c>
      <c r="BA17" s="136" t="str">
        <f>IF(AI5="","",IF(E17="","",E17))</f>
        <v>-</v>
      </c>
      <c r="BB17" s="136" t="str">
        <f>IF(AI5="","",IF(F17="","",F17))</f>
        <v>HS</v>
      </c>
      <c r="BC17" s="136" t="str">
        <f>IF(AI5="","",IF(G17="","",G17))</f>
        <v>-</v>
      </c>
      <c r="BD17" s="136" t="str">
        <f>IF(AI5="","",IF(H17="","",H17))</f>
        <v>HS</v>
      </c>
      <c r="BE17" s="136" t="str">
        <f>IF(AI5="","",IF(I17="","",I17))</f>
        <v>-</v>
      </c>
      <c r="BF17" s="136" t="str">
        <f>IF(AI5="","",IF(J17="","",J17))</f>
        <v>HS</v>
      </c>
      <c r="BG17" s="136" t="str">
        <f>IF(AI5="","",IF(K17="","",K17))</f>
        <v>-</v>
      </c>
      <c r="BH17" s="136" t="str">
        <f>IF(AI5="","",IF(L17="","",L17))</f>
        <v>HS</v>
      </c>
      <c r="BI17" s="136" t="str">
        <f>IF(AI5="","",IF(M17="","",M17))</f>
        <v>-</v>
      </c>
      <c r="BJ17" s="136" t="str">
        <f>IF(AI5="","",IF(N17="","",N17))</f>
        <v>HS</v>
      </c>
      <c r="BK17" s="136" t="str">
        <f>IF(AI5="","",IF(O17="","",O17))</f>
        <v>-</v>
      </c>
      <c r="BM17" s="136" t="str">
        <f>BO17</f>
        <v>EA</v>
      </c>
      <c r="BN17" s="136" t="str">
        <f t="shared" ref="BN17:BO53" si="15">Q20</f>
        <v>Estudo Autónomo</v>
      </c>
      <c r="BO17" s="136" t="str">
        <f t="shared" si="15"/>
        <v>EA</v>
      </c>
      <c r="BP17" s="136">
        <f>COUNTIFS(AX9:BK56,BO17)*0.5</f>
        <v>2</v>
      </c>
      <c r="BQ17" s="136" t="str">
        <f t="shared" ref="BQ17:BR32" si="16">BN17</f>
        <v>Estudo Autónomo</v>
      </c>
      <c r="BR17" s="136" t="str">
        <f t="shared" si="16"/>
        <v>EA</v>
      </c>
      <c r="BS17" s="136" t="str">
        <f>BQ17</f>
        <v>Estudo Autónomo</v>
      </c>
      <c r="BT17" s="136">
        <f>SUMIFS(V:V,Q:Q,BQ17,R:R,BR17)</f>
        <v>86.5</v>
      </c>
      <c r="BU17" s="136">
        <f>SUMIFS(BP:BP,BN:BN,BQ17,BO:BO,BR17)</f>
        <v>95.5</v>
      </c>
      <c r="BZ17" s="280"/>
      <c r="CA17" s="183" t="str">
        <f>'INFO BASE'!L80</f>
        <v>-</v>
      </c>
      <c r="CB17" s="183" t="str">
        <f>'INFO BASE'!M80</f>
        <v/>
      </c>
      <c r="CD17" s="136" t="str">
        <f t="shared" si="13"/>
        <v>CDI</v>
      </c>
      <c r="CR17" s="177" t="str">
        <f t="shared" si="1"/>
        <v>HS</v>
      </c>
      <c r="CS17" s="177" t="str">
        <f t="shared" si="2"/>
        <v>HS-</v>
      </c>
      <c r="CT17" s="177" t="str">
        <f t="shared" si="1"/>
        <v>HS</v>
      </c>
      <c r="CU17" s="177" t="str">
        <f t="shared" si="3"/>
        <v>HS-</v>
      </c>
      <c r="CV17" s="177" t="str">
        <f t="shared" si="1"/>
        <v>HS</v>
      </c>
      <c r="CW17" s="177" t="str">
        <f t="shared" si="4"/>
        <v>HS-</v>
      </c>
      <c r="CX17" s="177" t="str">
        <f t="shared" si="1"/>
        <v>HS</v>
      </c>
      <c r="CY17" s="177" t="str">
        <f t="shared" si="5"/>
        <v>HS-</v>
      </c>
      <c r="CZ17" s="177" t="str">
        <f t="shared" si="1"/>
        <v>HS</v>
      </c>
      <c r="DA17" s="177" t="str">
        <f t="shared" si="6"/>
        <v>HS-</v>
      </c>
      <c r="DB17" s="177" t="str">
        <f t="shared" si="1"/>
        <v>HS</v>
      </c>
      <c r="DC17" s="177" t="str">
        <f t="shared" si="7"/>
        <v>HS-</v>
      </c>
      <c r="DD17" s="177" t="str">
        <f t="shared" si="8"/>
        <v>HS</v>
      </c>
      <c r="DE17" s="177" t="str">
        <f t="shared" si="9"/>
        <v>HS-</v>
      </c>
      <c r="DK17" s="136" t="str">
        <f t="shared" si="10"/>
        <v>EGIAC</v>
      </c>
      <c r="DN17" t="str">
        <f t="shared" ref="DN17:DN20" si="17">DN16</f>
        <v>EG</v>
      </c>
      <c r="DO17" t="str">
        <f t="shared" si="14"/>
        <v>IAC</v>
      </c>
      <c r="DP17" t="str">
        <f t="shared" si="11"/>
        <v>EG</v>
      </c>
    </row>
    <row r="18" spans="1:120" ht="18" customHeight="1" x14ac:dyDescent="0.3">
      <c r="A18" s="81">
        <v>0.187500000000006</v>
      </c>
      <c r="B18" s="166" t="s">
        <v>10</v>
      </c>
      <c r="C18" s="130" t="s">
        <v>120</v>
      </c>
      <c r="D18" s="169" t="s">
        <v>10</v>
      </c>
      <c r="E18" s="130" t="s">
        <v>120</v>
      </c>
      <c r="F18" s="169" t="s">
        <v>10</v>
      </c>
      <c r="G18" s="130" t="s">
        <v>120</v>
      </c>
      <c r="H18" s="169" t="s">
        <v>10</v>
      </c>
      <c r="I18" s="130" t="s">
        <v>120</v>
      </c>
      <c r="J18" s="169" t="s">
        <v>10</v>
      </c>
      <c r="K18" s="130" t="s">
        <v>120</v>
      </c>
      <c r="L18" s="169" t="s">
        <v>10</v>
      </c>
      <c r="M18" s="130" t="s">
        <v>120</v>
      </c>
      <c r="N18" s="169" t="s">
        <v>10</v>
      </c>
      <c r="O18" s="154" t="s">
        <v>120</v>
      </c>
      <c r="Q18" s="294" t="s">
        <v>14</v>
      </c>
      <c r="R18" s="290" t="s">
        <v>88</v>
      </c>
      <c r="S18" s="290" t="s">
        <v>87</v>
      </c>
      <c r="T18" s="290" t="s">
        <v>89</v>
      </c>
      <c r="U18" s="290" t="s">
        <v>41</v>
      </c>
      <c r="V18" s="290" t="s">
        <v>91</v>
      </c>
      <c r="W18" s="292" t="s">
        <v>90</v>
      </c>
      <c r="X18" s="199">
        <v>1</v>
      </c>
      <c r="Y18" s="302" t="s">
        <v>21</v>
      </c>
      <c r="Z18" s="303"/>
      <c r="AA18" s="303"/>
      <c r="AB18" s="303"/>
      <c r="AC18" s="303"/>
      <c r="AD18" s="303"/>
      <c r="AE18" s="303"/>
      <c r="AF18" s="304"/>
      <c r="AH18" s="136">
        <v>0.187500000000006</v>
      </c>
      <c r="AI18" s="136" t="s">
        <v>10</v>
      </c>
      <c r="AJ18" s="136" t="s">
        <v>120</v>
      </c>
      <c r="AK18" s="136" t="s">
        <v>10</v>
      </c>
      <c r="AL18" s="136" t="s">
        <v>120</v>
      </c>
      <c r="AM18" s="136" t="s">
        <v>10</v>
      </c>
      <c r="AN18" s="136" t="s">
        <v>120</v>
      </c>
      <c r="AO18" s="136" t="s">
        <v>10</v>
      </c>
      <c r="AP18" s="136" t="s">
        <v>120</v>
      </c>
      <c r="AQ18" s="136" t="s">
        <v>10</v>
      </c>
      <c r="AR18" s="136" t="s">
        <v>120</v>
      </c>
      <c r="AS18" s="136" t="s">
        <v>10</v>
      </c>
      <c r="AT18" s="136" t="s">
        <v>120</v>
      </c>
      <c r="AU18" s="136" t="s">
        <v>10</v>
      </c>
      <c r="AV18" s="136" t="s">
        <v>120</v>
      </c>
      <c r="AX18" s="136" t="str">
        <f>IF(AI5="","",IF(B18="","",B18))</f>
        <v>HS</v>
      </c>
      <c r="AY18" s="136" t="str">
        <f>IF(AI5="","",IF(C18="","",C18))</f>
        <v>-</v>
      </c>
      <c r="AZ18" s="136" t="str">
        <f>IF(AI5="","",IF(D18="","",D18))</f>
        <v>HS</v>
      </c>
      <c r="BA18" s="136" t="str">
        <f>IF(AI5="","",IF(E18="","",E18))</f>
        <v>-</v>
      </c>
      <c r="BB18" s="136" t="str">
        <f>IF(AI5="","",IF(F18="","",F18))</f>
        <v>HS</v>
      </c>
      <c r="BC18" s="136" t="str">
        <f>IF(AI5="","",IF(G18="","",G18))</f>
        <v>-</v>
      </c>
      <c r="BD18" s="136" t="str">
        <f>IF(AI5="","",IF(H18="","",H18))</f>
        <v>HS</v>
      </c>
      <c r="BE18" s="136" t="str">
        <f>IF(AI5="","",IF(I18="","",I18))</f>
        <v>-</v>
      </c>
      <c r="BF18" s="136" t="str">
        <f>IF(AI5="","",IF(J18="","",J18))</f>
        <v>HS</v>
      </c>
      <c r="BG18" s="136" t="str">
        <f>IF(AI5="","",IF(K18="","",K18))</f>
        <v>-</v>
      </c>
      <c r="BH18" s="136" t="str">
        <f>IF(AI5="","",IF(L18="","",L18))</f>
        <v>HS</v>
      </c>
      <c r="BI18" s="136" t="str">
        <f>IF(AI5="","",IF(M18="","",M18))</f>
        <v>-</v>
      </c>
      <c r="BJ18" s="136" t="str">
        <f>IF(AI5="","",IF(N18="","",N18))</f>
        <v>HS</v>
      </c>
      <c r="BK18" s="136" t="str">
        <f>IF(AI5="","",IF(O18="","",O18))</f>
        <v>-</v>
      </c>
      <c r="BM18" s="136" t="str">
        <f>BM17</f>
        <v>EA</v>
      </c>
      <c r="BN18" s="136" t="str">
        <f t="shared" si="15"/>
        <v>Estudo Autónomo</v>
      </c>
      <c r="BO18" s="136" t="str">
        <f t="shared" si="15"/>
        <v>FP</v>
      </c>
      <c r="BP18" s="136">
        <f>(COUNTIFS(AX9:AX56,BM18,AY9:AY56,BO18)+COUNTIFS(AZ9:AZ56,BM18,BA9:BA56,BO18)+COUNTIFS(BB9:BB56,BM18,BC9:BC56,BO18)+COUNTIFS(BD9:BD56,BM18,BE9:BE56,BO18)+COUNTIFS(BF9:BF56,BM18,BG9:BG56,BO18)+COUNTIFS(BH9:BH56,BM18,BI9:BI56,BO18)+COUNTIFS(BJ9:BJ56,BM18,BK9:BK56,BO18))*0.5</f>
        <v>1.5</v>
      </c>
      <c r="BQ18" s="136" t="str">
        <f t="shared" si="16"/>
        <v>Estudo Autónomo</v>
      </c>
      <c r="BR18" s="136" t="str">
        <f>$R$20</f>
        <v>EA</v>
      </c>
      <c r="BS18" s="136" t="str">
        <f t="shared" ref="BS18:BS53" si="18">BQ18</f>
        <v>Estudo Autónomo</v>
      </c>
      <c r="BT18" s="136">
        <f>SUMIFS(V:V,Q:Q,BQ18,R:R,BR18)</f>
        <v>86.5</v>
      </c>
      <c r="BU18" s="136">
        <f>SUMIFS(BP:BP,BN:BN,BQ18,BO:BO,BR18)</f>
        <v>95.5</v>
      </c>
      <c r="BZ18" s="280"/>
      <c r="CA18" s="183" t="str">
        <f>'INFO BASE'!L81</f>
        <v>-</v>
      </c>
      <c r="CB18" s="183" t="str">
        <f>'INFO BASE'!M81</f>
        <v/>
      </c>
      <c r="CD18" s="136" t="str">
        <f t="shared" si="13"/>
        <v/>
      </c>
      <c r="CR18" s="177" t="str">
        <f t="shared" si="1"/>
        <v>HS</v>
      </c>
      <c r="CS18" s="177" t="str">
        <f t="shared" si="2"/>
        <v>HS-</v>
      </c>
      <c r="CT18" s="177" t="str">
        <f t="shared" si="1"/>
        <v>HS</v>
      </c>
      <c r="CU18" s="177" t="str">
        <f t="shared" si="3"/>
        <v>HS-</v>
      </c>
      <c r="CV18" s="177" t="str">
        <f t="shared" si="1"/>
        <v>HS</v>
      </c>
      <c r="CW18" s="177" t="str">
        <f t="shared" si="4"/>
        <v>HS-</v>
      </c>
      <c r="CX18" s="177" t="str">
        <f t="shared" si="1"/>
        <v>HS</v>
      </c>
      <c r="CY18" s="177" t="str">
        <f t="shared" si="5"/>
        <v>HS-</v>
      </c>
      <c r="CZ18" s="177" t="str">
        <f t="shared" si="1"/>
        <v>HS</v>
      </c>
      <c r="DA18" s="177" t="str">
        <f t="shared" si="6"/>
        <v>HS-</v>
      </c>
      <c r="DB18" s="177" t="str">
        <f t="shared" si="1"/>
        <v>HS</v>
      </c>
      <c r="DC18" s="177" t="str">
        <f t="shared" si="7"/>
        <v>HS-</v>
      </c>
      <c r="DD18" s="177" t="str">
        <f t="shared" si="8"/>
        <v>HS</v>
      </c>
      <c r="DE18" s="177" t="str">
        <f t="shared" si="9"/>
        <v>HS-</v>
      </c>
      <c r="DK18" s="136" t="str">
        <f t="shared" si="10"/>
        <v>EGAL</v>
      </c>
      <c r="DN18" t="str">
        <f t="shared" si="17"/>
        <v>EG</v>
      </c>
      <c r="DO18" t="str">
        <f t="shared" si="14"/>
        <v>AL</v>
      </c>
      <c r="DP18" t="str">
        <f t="shared" si="11"/>
        <v>EG</v>
      </c>
    </row>
    <row r="19" spans="1:120" ht="18" customHeight="1" thickBot="1" x14ac:dyDescent="0.35">
      <c r="A19" s="81">
        <v>0.20833333333334</v>
      </c>
      <c r="B19" s="166" t="s">
        <v>10</v>
      </c>
      <c r="C19" s="130" t="s">
        <v>120</v>
      </c>
      <c r="D19" s="169" t="s">
        <v>10</v>
      </c>
      <c r="E19" s="130" t="s">
        <v>120</v>
      </c>
      <c r="F19" s="169" t="s">
        <v>10</v>
      </c>
      <c r="G19" s="130" t="s">
        <v>120</v>
      </c>
      <c r="H19" s="169" t="s">
        <v>10</v>
      </c>
      <c r="I19" s="130" t="s">
        <v>120</v>
      </c>
      <c r="J19" s="169" t="s">
        <v>10</v>
      </c>
      <c r="K19" s="130" t="s">
        <v>120</v>
      </c>
      <c r="L19" s="169" t="s">
        <v>10</v>
      </c>
      <c r="M19" s="130" t="s">
        <v>120</v>
      </c>
      <c r="N19" s="169" t="s">
        <v>10</v>
      </c>
      <c r="O19" s="154" t="s">
        <v>120</v>
      </c>
      <c r="Q19" s="295"/>
      <c r="R19" s="291"/>
      <c r="S19" s="291"/>
      <c r="T19" s="291"/>
      <c r="U19" s="291"/>
      <c r="V19" s="291"/>
      <c r="W19" s="293"/>
      <c r="X19" s="199">
        <v>1</v>
      </c>
      <c r="Y19" s="305"/>
      <c r="Z19" s="306"/>
      <c r="AA19" s="306"/>
      <c r="AB19" s="306"/>
      <c r="AC19" s="306"/>
      <c r="AD19" s="306"/>
      <c r="AE19" s="306"/>
      <c r="AF19" s="307"/>
      <c r="AH19" s="136">
        <v>0.20833333333334</v>
      </c>
      <c r="AI19" s="136" t="s">
        <v>10</v>
      </c>
      <c r="AJ19" s="136" t="s">
        <v>120</v>
      </c>
      <c r="AK19" s="136" t="s">
        <v>10</v>
      </c>
      <c r="AL19" s="136" t="s">
        <v>120</v>
      </c>
      <c r="AM19" s="136" t="s">
        <v>10</v>
      </c>
      <c r="AN19" s="136" t="s">
        <v>120</v>
      </c>
      <c r="AO19" s="136" t="s">
        <v>10</v>
      </c>
      <c r="AP19" s="136" t="s">
        <v>120</v>
      </c>
      <c r="AQ19" s="136" t="s">
        <v>10</v>
      </c>
      <c r="AR19" s="136" t="s">
        <v>120</v>
      </c>
      <c r="AS19" s="136" t="s">
        <v>10</v>
      </c>
      <c r="AT19" s="136" t="s">
        <v>120</v>
      </c>
      <c r="AU19" s="136" t="s">
        <v>10</v>
      </c>
      <c r="AV19" s="136" t="s">
        <v>120</v>
      </c>
      <c r="AX19" s="136" t="str">
        <f>IF(AI5="","",IF(B19="","",B19))</f>
        <v>HS</v>
      </c>
      <c r="AY19" s="136" t="str">
        <f>IF(AI5="","",IF(C19="","",C19))</f>
        <v>-</v>
      </c>
      <c r="AZ19" s="136" t="str">
        <f>IF(AI5="","",IF(D19="","",D19))</f>
        <v>HS</v>
      </c>
      <c r="BA19" s="136" t="str">
        <f>IF(AI5="","",IF(E19="","",E19))</f>
        <v>-</v>
      </c>
      <c r="BB19" s="136" t="str">
        <f>IF(AI5="","",IF(F19="","",F19))</f>
        <v>HS</v>
      </c>
      <c r="BC19" s="136" t="str">
        <f>IF(AI5="","",IF(G19="","",G19))</f>
        <v>-</v>
      </c>
      <c r="BD19" s="136" t="str">
        <f>IF(AI5="","",IF(H19="","",H19))</f>
        <v>HS</v>
      </c>
      <c r="BE19" s="136" t="str">
        <f>IF(AI5="","",IF(I19="","",I19))</f>
        <v>-</v>
      </c>
      <c r="BF19" s="136" t="str">
        <f>IF(AI5="","",IF(J19="","",J19))</f>
        <v>HS</v>
      </c>
      <c r="BG19" s="136" t="str">
        <f>IF(AI5="","",IF(K19="","",K19))</f>
        <v>-</v>
      </c>
      <c r="BH19" s="136" t="str">
        <f>IF(AI5="","",IF(L19="","",L19))</f>
        <v>HS</v>
      </c>
      <c r="BI19" s="136" t="str">
        <f>IF(AI5="","",IF(M19="","",M19))</f>
        <v>-</v>
      </c>
      <c r="BJ19" s="136" t="str">
        <f>IF(AI5="","",IF(N19="","",N19))</f>
        <v>HS</v>
      </c>
      <c r="BK19" s="136" t="str">
        <f>IF(AI5="","",IF(O19="","",O19))</f>
        <v>-</v>
      </c>
      <c r="BM19" s="136" t="str">
        <f t="shared" ref="BM19:BM23" si="19">BM18</f>
        <v>EA</v>
      </c>
      <c r="BN19" s="136" t="str">
        <f t="shared" si="15"/>
        <v>Estudo Autónomo</v>
      </c>
      <c r="BO19" s="136" t="str">
        <f t="shared" si="15"/>
        <v>IEI</v>
      </c>
      <c r="BP19" s="136">
        <f>(COUNTIFS(AX9:AX56,BM19,AY9:AY56,BO19)+COUNTIFS(AZ9:AZ56,BM19,BA9:BA56,BO19)+COUNTIFS(BB9:BB56,BM19,BC9:BC56,BO19)+COUNTIFS(BD9:BD56,BM19,BE9:BE56,BO19)+COUNTIFS(BF9:BF56,BM19,BG9:BG56,BO19)+COUNTIFS(BH9:BH56,BM19,BI9:BI56,BO19)+COUNTIFS(BJ9:BJ56,BM19,BK9:BK56,BO19))*0.5</f>
        <v>0</v>
      </c>
      <c r="BQ19" s="136" t="str">
        <f t="shared" si="16"/>
        <v>Estudo Autónomo</v>
      </c>
      <c r="BR19" s="136" t="str">
        <f t="shared" si="16"/>
        <v>IEI</v>
      </c>
      <c r="BS19" s="136" t="str">
        <f t="shared" si="18"/>
        <v>Estudo Autónomo</v>
      </c>
      <c r="BT19" s="136">
        <f>SUMIFS(V:V,Q:Q,BQ19,R:R,BR19)</f>
        <v>20</v>
      </c>
      <c r="BU19" s="136">
        <f>SUMIFS(BP:BP,BN:BN,BQ19,BO:BO,BR19)</f>
        <v>36.5</v>
      </c>
      <c r="BZ19" s="280"/>
      <c r="CA19" s="183" t="str">
        <f>'INFO BASE'!L82</f>
        <v>-</v>
      </c>
      <c r="CB19" s="183" t="str">
        <f>'INFO BASE'!M82</f>
        <v/>
      </c>
      <c r="CD19" s="136" t="str">
        <f>IF('INFO BASE'!E32="","",'INFO BASE'!E32)</f>
        <v/>
      </c>
      <c r="CR19" s="177" t="str">
        <f t="shared" si="1"/>
        <v>HS</v>
      </c>
      <c r="CS19" s="177" t="str">
        <f t="shared" si="2"/>
        <v>HS-</v>
      </c>
      <c r="CT19" s="177" t="str">
        <f t="shared" si="1"/>
        <v>HS</v>
      </c>
      <c r="CU19" s="177" t="str">
        <f t="shared" si="3"/>
        <v>HS-</v>
      </c>
      <c r="CV19" s="177" t="str">
        <f t="shared" si="1"/>
        <v>HS</v>
      </c>
      <c r="CW19" s="177" t="str">
        <f t="shared" si="4"/>
        <v>HS-</v>
      </c>
      <c r="CX19" s="177" t="str">
        <f t="shared" si="1"/>
        <v>HS</v>
      </c>
      <c r="CY19" s="177" t="str">
        <f t="shared" si="5"/>
        <v>HS-</v>
      </c>
      <c r="CZ19" s="177" t="str">
        <f t="shared" si="1"/>
        <v>HS</v>
      </c>
      <c r="DA19" s="177" t="str">
        <f t="shared" si="6"/>
        <v>HS-</v>
      </c>
      <c r="DB19" s="177" t="str">
        <f t="shared" si="1"/>
        <v>HS</v>
      </c>
      <c r="DC19" s="177" t="str">
        <f t="shared" si="7"/>
        <v>HS-</v>
      </c>
      <c r="DD19" s="177" t="str">
        <f t="shared" si="8"/>
        <v>HS</v>
      </c>
      <c r="DE19" s="177" t="str">
        <f t="shared" si="9"/>
        <v>HS-</v>
      </c>
      <c r="DK19" s="136" t="str">
        <f t="shared" si="10"/>
        <v>EGCDI</v>
      </c>
      <c r="DN19" t="str">
        <f t="shared" si="17"/>
        <v>EG</v>
      </c>
      <c r="DO19" t="str">
        <f t="shared" si="14"/>
        <v>CDI</v>
      </c>
      <c r="DP19" t="str">
        <f t="shared" si="11"/>
        <v>EG</v>
      </c>
    </row>
    <row r="20" spans="1:120" ht="18" customHeight="1" x14ac:dyDescent="0.3">
      <c r="A20" s="81">
        <v>0.22916666666667401</v>
      </c>
      <c r="B20" s="166" t="s">
        <v>10</v>
      </c>
      <c r="C20" s="130" t="s">
        <v>120</v>
      </c>
      <c r="D20" s="169" t="s">
        <v>10</v>
      </c>
      <c r="E20" s="130" t="s">
        <v>120</v>
      </c>
      <c r="F20" s="169" t="s">
        <v>10</v>
      </c>
      <c r="G20" s="130" t="s">
        <v>120</v>
      </c>
      <c r="H20" s="169" t="s">
        <v>10</v>
      </c>
      <c r="I20" s="130" t="s">
        <v>120</v>
      </c>
      <c r="J20" s="169" t="s">
        <v>10</v>
      </c>
      <c r="K20" s="130" t="s">
        <v>120</v>
      </c>
      <c r="L20" s="169" t="s">
        <v>10</v>
      </c>
      <c r="M20" s="130" t="s">
        <v>120</v>
      </c>
      <c r="N20" s="169" t="s">
        <v>10</v>
      </c>
      <c r="O20" s="154" t="s">
        <v>120</v>
      </c>
      <c r="P20" s="6">
        <v>0</v>
      </c>
      <c r="Q20" s="109" t="str">
        <f>IF('INFO BASE'!$C$17="","",'INFO BASE'!$C$17)</f>
        <v>Estudo Autónomo</v>
      </c>
      <c r="R20" s="82" t="str">
        <f>IFERROR(VLOOKUP(Q20,'INFO BASE'!$C$17:$D$29,2,0),"")</f>
        <v>EA</v>
      </c>
      <c r="S20" s="83">
        <f t="shared" ref="S20:S33" si="20">IFERROR((U20/T20)-1,"-")</f>
        <v>-0.89473684210526316</v>
      </c>
      <c r="T20" s="84">
        <f>IF(VLOOKUP(Q20,'INFO BASE'!$B$40:$I$54,IF(R20='INFO BASE'!$B$32,3,IF(R20='INFO BASE'!$B$33,4,IF(R20='INFO BASE'!$B$34,5,IF(R20='INFO BASE'!$B$35,6,IF(R20='INFO BASE'!$B$36,7,IF(R20='INFO BASE'!$B$37,8,2)))))),0)=0,"",VLOOKUP(Q20,'INFO BASE'!$B$40:$I$54,IF(R20='INFO BASE'!$B$32,3,IF(R20='INFO BASE'!$B$33,4,IF(R20='INFO BASE'!$B$34,5,IF(R20='INFO BASE'!$B$35,6,IF(R20='INFO BASE'!$B$36,7,IF(R20='INFO BASE'!$B$37,8,2)))))),0))</f>
        <v>19</v>
      </c>
      <c r="U20" s="84">
        <f>IF(R20="","",COUNTIFS(SEMANA1,R20)*0.5)</f>
        <v>2</v>
      </c>
      <c r="V20" s="84">
        <f>IF(R20="","",COUNTIFS(AI9:AV56,R20)*0.5)</f>
        <v>3.5</v>
      </c>
      <c r="W20" s="85">
        <f>IF(AH5="","-",IF(V20=0,U20,IFERROR((U20/V20)-1,"-")))</f>
        <v>-0.4285714285714286</v>
      </c>
      <c r="X20" s="200">
        <f t="shared" ref="X20:X56" si="21">IFERROR(IF(ABS(W20)&gt;P20,1,0),0)</f>
        <v>1</v>
      </c>
      <c r="Y20" s="296" t="s">
        <v>236</v>
      </c>
      <c r="Z20" s="297"/>
      <c r="AA20" s="297"/>
      <c r="AB20" s="297"/>
      <c r="AC20" s="297"/>
      <c r="AD20" s="297"/>
      <c r="AE20" s="297"/>
      <c r="AF20" s="298"/>
      <c r="AH20" s="136">
        <v>0.22916666666667401</v>
      </c>
      <c r="AI20" s="136" t="s">
        <v>10</v>
      </c>
      <c r="AJ20" s="136" t="s">
        <v>120</v>
      </c>
      <c r="AK20" s="136" t="s">
        <v>10</v>
      </c>
      <c r="AL20" s="136" t="s">
        <v>120</v>
      </c>
      <c r="AM20" s="136" t="s">
        <v>10</v>
      </c>
      <c r="AN20" s="136" t="s">
        <v>120</v>
      </c>
      <c r="AO20" s="136" t="s">
        <v>10</v>
      </c>
      <c r="AP20" s="136" t="s">
        <v>120</v>
      </c>
      <c r="AQ20" s="136" t="s">
        <v>10</v>
      </c>
      <c r="AR20" s="136" t="s">
        <v>120</v>
      </c>
      <c r="AS20" s="136" t="s">
        <v>10</v>
      </c>
      <c r="AT20" s="136" t="s">
        <v>120</v>
      </c>
      <c r="AU20" s="136" t="s">
        <v>10</v>
      </c>
      <c r="AV20" s="136" t="s">
        <v>120</v>
      </c>
      <c r="AX20" s="136" t="str">
        <f>IF(AI5="","",IF(B20="","",B20))</f>
        <v>HS</v>
      </c>
      <c r="AY20" s="136" t="str">
        <f>IF(AI5="","",IF(C20="","",C20))</f>
        <v>-</v>
      </c>
      <c r="AZ20" s="136" t="str">
        <f>IF(AI5="","",IF(D20="","",D20))</f>
        <v>HS</v>
      </c>
      <c r="BA20" s="136" t="str">
        <f>IF(AI5="","",IF(E20="","",E20))</f>
        <v>-</v>
      </c>
      <c r="BB20" s="136" t="str">
        <f>IF(AI5="","",IF(F20="","",F20))</f>
        <v>HS</v>
      </c>
      <c r="BC20" s="136" t="str">
        <f>IF(AI5="","",IF(G20="","",G20))</f>
        <v>-</v>
      </c>
      <c r="BD20" s="136" t="str">
        <f>IF(AI5="","",IF(H20="","",H20))</f>
        <v>HS</v>
      </c>
      <c r="BE20" s="136" t="str">
        <f>IF(AI5="","",IF(I20="","",I20))</f>
        <v>-</v>
      </c>
      <c r="BF20" s="136" t="str">
        <f>IF(AI5="","",IF(J20="","",J20))</f>
        <v>HS</v>
      </c>
      <c r="BG20" s="136" t="str">
        <f>IF(AI5="","",IF(K20="","",K20))</f>
        <v>-</v>
      </c>
      <c r="BH20" s="136" t="str">
        <f>IF(AI5="","",IF(L20="","",L20))</f>
        <v>HS</v>
      </c>
      <c r="BI20" s="136" t="str">
        <f>IF(AI5="","",IF(M20="","",M20))</f>
        <v>-</v>
      </c>
      <c r="BJ20" s="136" t="str">
        <f>IF(AI5="","",IF(N20="","",N20))</f>
        <v>HS</v>
      </c>
      <c r="BK20" s="136" t="str">
        <f>IF(AI5="","",IF(O20="","",O20))</f>
        <v>-</v>
      </c>
      <c r="BM20" s="136" t="str">
        <f t="shared" si="19"/>
        <v>EA</v>
      </c>
      <c r="BN20" s="136" t="str">
        <f t="shared" si="15"/>
        <v>Estudo Autónomo</v>
      </c>
      <c r="BO20" s="136" t="str">
        <f t="shared" si="15"/>
        <v>IAC</v>
      </c>
      <c r="BP20" s="136">
        <f>(COUNTIFS(AX9:AX56,BM20,AY9:AY56,BO20)+COUNTIFS(AZ9:AZ56,BM20,BA9:BA56,BO20)+COUNTIFS(BB9:BB56,BM20,BC9:BC56,BO20)+COUNTIFS(BD9:BD56,BM20,BE9:BE56,BO20)+COUNTIFS(BF9:BF56,BM20,BG9:BG56,BO20)+COUNTIFS(BH9:BH56,BM20,BI9:BI56,BO20)+COUNTIFS(BJ9:BJ56,BM20,BK9:BK56,BO20))*0.5</f>
        <v>0</v>
      </c>
      <c r="BQ20" s="136" t="str">
        <f t="shared" si="16"/>
        <v>Estudo Autónomo</v>
      </c>
      <c r="BR20" s="136" t="str">
        <f t="shared" si="16"/>
        <v>IAC</v>
      </c>
      <c r="BS20" s="136" t="str">
        <f t="shared" si="18"/>
        <v>Estudo Autónomo</v>
      </c>
      <c r="BT20" s="136">
        <f>SUMIFS(V:V,Q:Q,BQ20,R:R,BO18)</f>
        <v>28</v>
      </c>
      <c r="BU20" s="136">
        <f>SUMIFS(BP:BP,BN:BN,BQ20,BO:BO,BO18)</f>
        <v>22.5</v>
      </c>
      <c r="BZ20" s="280"/>
      <c r="CA20" s="183" t="str">
        <f>'INFO BASE'!L83</f>
        <v>-</v>
      </c>
      <c r="CB20" s="183" t="str">
        <f>'INFO BASE'!M83</f>
        <v/>
      </c>
      <c r="CD20" s="136" t="str">
        <f>IF('INFO BASE'!E33="","",'INFO BASE'!E33)</f>
        <v/>
      </c>
      <c r="CR20" s="177" t="str">
        <f t="shared" si="1"/>
        <v>HS</v>
      </c>
      <c r="CS20" s="177" t="str">
        <f t="shared" si="2"/>
        <v>HS-</v>
      </c>
      <c r="CT20" s="177" t="str">
        <f t="shared" si="1"/>
        <v>HS</v>
      </c>
      <c r="CU20" s="177" t="str">
        <f t="shared" si="3"/>
        <v>HS-</v>
      </c>
      <c r="CV20" s="177" t="str">
        <f t="shared" si="1"/>
        <v>HS</v>
      </c>
      <c r="CW20" s="177" t="str">
        <f t="shared" si="4"/>
        <v>HS-</v>
      </c>
      <c r="CX20" s="177" t="str">
        <f t="shared" si="1"/>
        <v>HS</v>
      </c>
      <c r="CY20" s="177" t="str">
        <f t="shared" si="5"/>
        <v>HS-</v>
      </c>
      <c r="CZ20" s="177" t="str">
        <f t="shared" si="1"/>
        <v>HS</v>
      </c>
      <c r="DA20" s="177" t="str">
        <f t="shared" si="6"/>
        <v>HS-</v>
      </c>
      <c r="DB20" s="177" t="str">
        <f t="shared" si="1"/>
        <v>HS</v>
      </c>
      <c r="DC20" s="177" t="str">
        <f t="shared" si="7"/>
        <v>HS-</v>
      </c>
      <c r="DD20" s="177" t="str">
        <f t="shared" si="8"/>
        <v>HS</v>
      </c>
      <c r="DE20" s="177" t="str">
        <f t="shared" si="9"/>
        <v>HS-</v>
      </c>
      <c r="DK20" s="136" t="str">
        <f t="shared" si="10"/>
        <v>EG0</v>
      </c>
      <c r="DN20" t="str">
        <f t="shared" si="17"/>
        <v>EG</v>
      </c>
      <c r="DO20">
        <f t="shared" si="14"/>
        <v>0</v>
      </c>
      <c r="DP20" t="str">
        <f t="shared" si="11"/>
        <v>EG</v>
      </c>
    </row>
    <row r="21" spans="1:120" ht="18" customHeight="1" x14ac:dyDescent="0.3">
      <c r="A21" s="81">
        <v>0.25000000000000799</v>
      </c>
      <c r="B21" s="166" t="s">
        <v>10</v>
      </c>
      <c r="C21" s="130" t="s">
        <v>120</v>
      </c>
      <c r="D21" s="169" t="s">
        <v>10</v>
      </c>
      <c r="E21" s="130" t="s">
        <v>120</v>
      </c>
      <c r="F21" s="169" t="s">
        <v>10</v>
      </c>
      <c r="G21" s="130" t="s">
        <v>120</v>
      </c>
      <c r="H21" s="169" t="s">
        <v>10</v>
      </c>
      <c r="I21" s="130" t="s">
        <v>120</v>
      </c>
      <c r="J21" s="169" t="s">
        <v>10</v>
      </c>
      <c r="K21" s="130" t="s">
        <v>120</v>
      </c>
      <c r="L21" s="169" t="s">
        <v>10</v>
      </c>
      <c r="M21" s="130" t="s">
        <v>120</v>
      </c>
      <c r="N21" s="169" t="s">
        <v>10</v>
      </c>
      <c r="O21" s="154" t="s">
        <v>120</v>
      </c>
      <c r="P21" s="6">
        <v>0</v>
      </c>
      <c r="Q21" s="110" t="str">
        <f t="shared" ref="Q21:Q26" si="22">Q20</f>
        <v>Estudo Autónomo</v>
      </c>
      <c r="R21" s="105" t="str">
        <f>IF('INFO BASE'!$B$32="","",'INFO BASE'!$B$32)</f>
        <v>FP</v>
      </c>
      <c r="S21" s="88">
        <f t="shared" si="20"/>
        <v>-0.7</v>
      </c>
      <c r="T21" s="89">
        <f>IF(VLOOKUP(Q21,'INFO BASE'!$B$40:$I$54,IF(R21='INFO BASE'!$B$32,3,IF(R21='INFO BASE'!$B$33,4,IF(R21='INFO BASE'!$B$34,5,IF(R21='INFO BASE'!$B$35,6,IF(R21='INFO BASE'!$B$36,7,IF(R21='INFO BASE'!$B$37,8,2)))))),0)=0,"",VLOOKUP(Q21,'INFO BASE'!$B$40:$I$54,IF(R21='INFO BASE'!$B$32,3,IF(R21='INFO BASE'!$B$33,4,IF(R21='INFO BASE'!$B$34,5,IF(R21='INFO BASE'!$B$35,6,IF(R21='INFO BASE'!$B$36,7,IF(R21='INFO BASE'!$B$37,8,2)))))),0))</f>
        <v>5</v>
      </c>
      <c r="U21" s="89">
        <f>(COUNTIFS(C9:C56,R21,B9:B56,R20)+COUNTIFS(E9:E56,R21,D9:D56,R20)+COUNTIFS(G9:G56,R21,F9:F56,R20)+COUNTIFS(I9:I56,R21,H9:H56,R20)+COUNTIFS(K9:K56,R21,J9:J56,R20)+COUNTIFS(M9:M56,R21,L9:L56,R20)+COUNTIFS(O9:O56,R21,N9:N56,R20))*0.5</f>
        <v>1.5</v>
      </c>
      <c r="V21" s="89">
        <f>(COUNTIFS(AI9:AI56,R20,AJ9:AJ56,R21)+COUNTIFS(AK9:AK56,R20,AL9:AL56,R21)+COUNTIFS(AM9:AM56,R20,AN9:AN56,R21)+COUNTIFS(AO9:AO56,R20,AP9:AP56,R21)+COUNTIFS(AQ9:AQ56,R20,AR9:AR56,R21)+COUNTIFS(AS9:AS56,R20,AT9:AT56,R21)+COUNTIFS(AU9:AU56,R20,AV9:AV56,R21))*0.5</f>
        <v>1.5</v>
      </c>
      <c r="W21" s="90">
        <f>IF(AH5="","-",IF(V21=0,U21,IFERROR((U21/V21)-1,"-")))</f>
        <v>0</v>
      </c>
      <c r="X21" s="200">
        <f t="shared" si="21"/>
        <v>0</v>
      </c>
      <c r="Y21" s="299"/>
      <c r="Z21" s="300"/>
      <c r="AA21" s="300"/>
      <c r="AB21" s="300"/>
      <c r="AC21" s="300"/>
      <c r="AD21" s="300"/>
      <c r="AE21" s="300"/>
      <c r="AF21" s="301"/>
      <c r="AH21" s="136">
        <v>0.25000000000000799</v>
      </c>
      <c r="AI21" s="136" t="s">
        <v>10</v>
      </c>
      <c r="AJ21" s="136" t="s">
        <v>120</v>
      </c>
      <c r="AK21" s="136" t="s">
        <v>10</v>
      </c>
      <c r="AL21" s="136" t="s">
        <v>120</v>
      </c>
      <c r="AM21" s="136" t="s">
        <v>10</v>
      </c>
      <c r="AN21" s="136" t="s">
        <v>120</v>
      </c>
      <c r="AO21" s="136" t="s">
        <v>10</v>
      </c>
      <c r="AP21" s="136" t="s">
        <v>120</v>
      </c>
      <c r="AQ21" s="136" t="s">
        <v>10</v>
      </c>
      <c r="AR21" s="136" t="s">
        <v>120</v>
      </c>
      <c r="AS21" s="136" t="s">
        <v>10</v>
      </c>
      <c r="AT21" s="136" t="s">
        <v>120</v>
      </c>
      <c r="AU21" s="136" t="s">
        <v>10</v>
      </c>
      <c r="AV21" s="136" t="s">
        <v>120</v>
      </c>
      <c r="AX21" s="136" t="str">
        <f>IF(AI5="","",IF(B21="","",B21))</f>
        <v>HS</v>
      </c>
      <c r="AY21" s="136" t="str">
        <f>IF(AI5="","",IF(C21="","",C21))</f>
        <v>-</v>
      </c>
      <c r="AZ21" s="136" t="str">
        <f>IF(AI5="","",IF(D21="","",D21))</f>
        <v>HS</v>
      </c>
      <c r="BA21" s="136" t="str">
        <f>IF(AI5="","",IF(E21="","",E21))</f>
        <v>-</v>
      </c>
      <c r="BB21" s="136" t="str">
        <f>IF(AI5="","",IF(F21="","",F21))</f>
        <v>HS</v>
      </c>
      <c r="BC21" s="136" t="str">
        <f>IF(AI5="","",IF(G21="","",G21))</f>
        <v>-</v>
      </c>
      <c r="BD21" s="136" t="str">
        <f>IF(AI5="","",IF(H21="","",H21))</f>
        <v>HS</v>
      </c>
      <c r="BE21" s="136" t="str">
        <f>IF(AI5="","",IF(I21="","",I21))</f>
        <v>-</v>
      </c>
      <c r="BF21" s="136" t="str">
        <f>IF(AI5="","",IF(J21="","",J21))</f>
        <v>HS</v>
      </c>
      <c r="BG21" s="136" t="str">
        <f>IF(AI5="","",IF(K21="","",K21))</f>
        <v>-</v>
      </c>
      <c r="BH21" s="136" t="str">
        <f>IF(AI5="","",IF(L21="","",L21))</f>
        <v>HS</v>
      </c>
      <c r="BI21" s="136" t="str">
        <f>IF(AI5="","",IF(M21="","",M21))</f>
        <v>-</v>
      </c>
      <c r="BJ21" s="136" t="str">
        <f>IF(AI5="","",IF(N21="","",N21))</f>
        <v>HS</v>
      </c>
      <c r="BK21" s="136" t="str">
        <f>IF(AI5="","",IF(O21="","",O21))</f>
        <v>-</v>
      </c>
      <c r="BM21" s="136" t="str">
        <f t="shared" si="19"/>
        <v>EA</v>
      </c>
      <c r="BN21" s="136" t="str">
        <f t="shared" si="15"/>
        <v>Estudo Autónomo</v>
      </c>
      <c r="BO21" s="136" t="str">
        <f t="shared" si="15"/>
        <v>AL</v>
      </c>
      <c r="BP21" s="136">
        <f>(COUNTIFS(AX9:AX56,BM21,AY9:AY56,BO21)+COUNTIFS(AZ9:AZ56,BM21,BA9:BA56,BO21)+COUNTIFS(BB9:BB56,BM21,BC9:BC56,BO21)+COUNTIFS(BD9:BD56,BM21,BE9:BE56,BO21)+COUNTIFS(BF9:BF56,BM21,BG9:BG56,BO21)+COUNTIFS(BH9:BH56,BM21,BI9:BI56,BO21)+COUNTIFS(BJ9:BJ56,BM21,BK9:BK56,BO21))*0.5</f>
        <v>0.5</v>
      </c>
      <c r="BQ21" s="136" t="str">
        <f t="shared" si="16"/>
        <v>Estudo Autónomo</v>
      </c>
      <c r="BR21" s="136" t="str">
        <f t="shared" si="16"/>
        <v>AL</v>
      </c>
      <c r="BS21" s="136" t="str">
        <f t="shared" si="18"/>
        <v>Estudo Autónomo</v>
      </c>
      <c r="BT21" s="136">
        <f t="shared" ref="BT21:BT53" si="23">SUMIFS(V:V,Q:Q,BQ21,R:R,BR21)</f>
        <v>24</v>
      </c>
      <c r="BU21" s="136">
        <f t="shared" ref="BU21:BU53" si="24">SUMIFS(BP:BP,BN:BN,BQ21,BO:BO,BR21)</f>
        <v>25.5</v>
      </c>
      <c r="BZ21" s="280"/>
      <c r="CA21" s="183" t="str">
        <f>'INFO BASE'!L84</f>
        <v>-</v>
      </c>
      <c r="CB21" s="183" t="str">
        <f>'INFO BASE'!M84</f>
        <v/>
      </c>
      <c r="CD21" s="136" t="str">
        <f>IF('INFO BASE'!E34="","",'INFO BASE'!E34)</f>
        <v/>
      </c>
      <c r="CR21" s="177" t="str">
        <f t="shared" si="1"/>
        <v>HS</v>
      </c>
      <c r="CS21" s="177" t="str">
        <f t="shared" si="2"/>
        <v>HS-</v>
      </c>
      <c r="CT21" s="177" t="str">
        <f t="shared" si="1"/>
        <v>HS</v>
      </c>
      <c r="CU21" s="177" t="str">
        <f t="shared" si="3"/>
        <v>HS-</v>
      </c>
      <c r="CV21" s="177" t="str">
        <f t="shared" si="1"/>
        <v>HS</v>
      </c>
      <c r="CW21" s="177" t="str">
        <f t="shared" si="4"/>
        <v>HS-</v>
      </c>
      <c r="CX21" s="177" t="str">
        <f t="shared" si="1"/>
        <v>HS</v>
      </c>
      <c r="CY21" s="177" t="str">
        <f t="shared" si="5"/>
        <v>HS-</v>
      </c>
      <c r="CZ21" s="177" t="str">
        <f t="shared" si="1"/>
        <v>HS</v>
      </c>
      <c r="DA21" s="177" t="str">
        <f t="shared" si="6"/>
        <v>HS-</v>
      </c>
      <c r="DB21" s="177" t="str">
        <f t="shared" si="1"/>
        <v>HS</v>
      </c>
      <c r="DC21" s="177" t="str">
        <f t="shared" si="7"/>
        <v>HS-</v>
      </c>
      <c r="DD21" s="177" t="str">
        <f t="shared" si="8"/>
        <v>HS</v>
      </c>
      <c r="DE21" s="177" t="str">
        <f t="shared" si="9"/>
        <v>HS-</v>
      </c>
      <c r="DK21" s="136" t="str">
        <f t="shared" si="10"/>
        <v>TGFP</v>
      </c>
      <c r="DN21" t="str">
        <f>'INFO BASE'!B19</f>
        <v>TG</v>
      </c>
      <c r="DO21" t="str">
        <f>DO15</f>
        <v>FP</v>
      </c>
      <c r="DP21" t="str">
        <f t="shared" si="11"/>
        <v>TG</v>
      </c>
    </row>
    <row r="22" spans="1:120" ht="18" customHeight="1" x14ac:dyDescent="0.3">
      <c r="A22" s="81">
        <v>0.27083333333334197</v>
      </c>
      <c r="B22" s="166" t="s">
        <v>116</v>
      </c>
      <c r="C22" s="130"/>
      <c r="D22" s="169" t="s">
        <v>116</v>
      </c>
      <c r="E22" s="130"/>
      <c r="F22" s="169" t="s">
        <v>116</v>
      </c>
      <c r="G22" s="130"/>
      <c r="H22" s="169" t="s">
        <v>116</v>
      </c>
      <c r="I22" s="130"/>
      <c r="J22" s="169" t="s">
        <v>116</v>
      </c>
      <c r="K22" s="130"/>
      <c r="L22" s="169" t="s">
        <v>10</v>
      </c>
      <c r="M22" s="130" t="s">
        <v>120</v>
      </c>
      <c r="N22" s="169" t="s">
        <v>10</v>
      </c>
      <c r="O22" s="154" t="s">
        <v>120</v>
      </c>
      <c r="P22" s="6">
        <v>0</v>
      </c>
      <c r="Q22" s="110" t="str">
        <f t="shared" si="22"/>
        <v>Estudo Autónomo</v>
      </c>
      <c r="R22" s="105" t="str">
        <f>IF('INFO BASE'!$B33="","",'INFO BASE'!$B33)</f>
        <v>IEI</v>
      </c>
      <c r="S22" s="88">
        <f t="shared" si="20"/>
        <v>-1</v>
      </c>
      <c r="T22" s="89">
        <f>IF(VLOOKUP(Q22,'INFO BASE'!$B$40:$I$54,IF(R22='INFO BASE'!$B$32,3,IF(R22='INFO BASE'!$B$33,4,IF(R22='INFO BASE'!$B$34,5,IF(R22='INFO BASE'!$B$35,6,IF(R22='INFO BASE'!$B$36,7,IF(R22='INFO BASE'!$B$37,8,2)))))),0)=0,"",VLOOKUP(Q22,'INFO BASE'!$B$40:$I$54,IF(R22='INFO BASE'!$B$32,3,IF(R22='INFO BASE'!$B$33,4,IF(R22='INFO BASE'!$B$34,5,IF(R22='INFO BASE'!$B$35,6,IF(R22='INFO BASE'!$B$36,7,IF(R22='INFO BASE'!$B$37,8,2)))))),0))</f>
        <v>2</v>
      </c>
      <c r="U22" s="89">
        <f>(COUNTIFS(C9:C56,R22,B9:B56,R20)+COUNTIFS(E9:E56,R22,D9:D56,R20)+COUNTIFS(G9:G56,R22,F9:F56,R20)+COUNTIFS(I9:I56,R22,H9:H56,R20)+COUNTIFS(K9:K56,R22,J9:J56,R20)+COUNTIFS(M9:M56,R22,L9:L56,R20)+COUNTIFS(O9:O56,R22,N9:N56,R20))*0.5</f>
        <v>0</v>
      </c>
      <c r="V22" s="89">
        <f>(COUNTIFS(AI9:AI56,R20,AJ9:AJ56,R22)+COUNTIFS(AK9:AK56,R20,AL9:AL56,R22)+COUNTIFS(AM9:AM56,R20,AN9:AN56,R22)+COUNTIFS(AO9:AO56,R20,AP9:AP56,R22)+COUNTIFS(AQ9:AQ56,R20,AR9:AR56,R22)+COUNTIFS(AS9:AS56,R20,AT9:AT56,R22)+COUNTIFS(AU9:AU56,R20,AV9:AV56,R22))*0.5</f>
        <v>0</v>
      </c>
      <c r="W22" s="90">
        <f>IF(AH5="","-",IF(V22=0,U22,IFERROR((U22/V22)-1,"-")))</f>
        <v>0</v>
      </c>
      <c r="X22" s="200">
        <f t="shared" si="21"/>
        <v>0</v>
      </c>
      <c r="Y22" s="299"/>
      <c r="Z22" s="300"/>
      <c r="AA22" s="300"/>
      <c r="AB22" s="300"/>
      <c r="AC22" s="300"/>
      <c r="AD22" s="300"/>
      <c r="AE22" s="300"/>
      <c r="AF22" s="301"/>
      <c r="AH22" s="136">
        <v>0.27083333333334197</v>
      </c>
      <c r="AI22" s="136" t="s">
        <v>116</v>
      </c>
      <c r="AJ22" s="136" t="s">
        <v>235</v>
      </c>
      <c r="AK22" s="136" t="s">
        <v>116</v>
      </c>
      <c r="AL22" s="136" t="s">
        <v>235</v>
      </c>
      <c r="AM22" s="136" t="s">
        <v>116</v>
      </c>
      <c r="AN22" s="136" t="s">
        <v>235</v>
      </c>
      <c r="AO22" s="136" t="s">
        <v>116</v>
      </c>
      <c r="AP22" s="136" t="s">
        <v>235</v>
      </c>
      <c r="AQ22" s="136" t="s">
        <v>116</v>
      </c>
      <c r="AR22" s="136" t="s">
        <v>235</v>
      </c>
      <c r="AS22" s="136" t="s">
        <v>10</v>
      </c>
      <c r="AT22" s="136" t="s">
        <v>120</v>
      </c>
      <c r="AU22" s="136" t="s">
        <v>10</v>
      </c>
      <c r="AV22" s="136" t="s">
        <v>120</v>
      </c>
      <c r="AX22" s="136" t="str">
        <f>IF(AI5="","",IF(B22="","",B22))</f>
        <v>PV</v>
      </c>
      <c r="AY22" s="136" t="str">
        <f>IF(AI5="","",IF(C22="","",C22))</f>
        <v/>
      </c>
      <c r="AZ22" s="136" t="str">
        <f>IF(AI5="","",IF(D22="","",D22))</f>
        <v>PV</v>
      </c>
      <c r="BA22" s="136" t="str">
        <f>IF(AI5="","",IF(E22="","",E22))</f>
        <v/>
      </c>
      <c r="BB22" s="136" t="str">
        <f>IF(AI5="","",IF(F22="","",F22))</f>
        <v>PV</v>
      </c>
      <c r="BC22" s="136" t="str">
        <f>IF(AI5="","",IF(G22="","",G22))</f>
        <v/>
      </c>
      <c r="BD22" s="136" t="str">
        <f>IF(AI5="","",IF(H22="","",H22))</f>
        <v>PV</v>
      </c>
      <c r="BE22" s="136" t="str">
        <f>IF(AI5="","",IF(I22="","",I22))</f>
        <v/>
      </c>
      <c r="BF22" s="136" t="str">
        <f>IF(AI5="","",IF(J22="","",J22))</f>
        <v>PV</v>
      </c>
      <c r="BG22" s="136" t="str">
        <f>IF(AI5="","",IF(K22="","",K22))</f>
        <v/>
      </c>
      <c r="BH22" s="136" t="str">
        <f>IF(AI5="","",IF(L22="","",L22))</f>
        <v>HS</v>
      </c>
      <c r="BI22" s="136" t="str">
        <f>IF(AI5="","",IF(M22="","",M22))</f>
        <v>-</v>
      </c>
      <c r="BJ22" s="136" t="str">
        <f>IF(AI5="","",IF(N22="","",N22))</f>
        <v>HS</v>
      </c>
      <c r="BK22" s="136" t="str">
        <f>IF(AI5="","",IF(O22="","",O22))</f>
        <v>-</v>
      </c>
      <c r="BM22" s="136" t="str">
        <f t="shared" si="19"/>
        <v>EA</v>
      </c>
      <c r="BN22" s="136" t="str">
        <f t="shared" si="15"/>
        <v>Estudo Autónomo</v>
      </c>
      <c r="BO22" s="136" t="str">
        <f t="shared" si="15"/>
        <v>CDI</v>
      </c>
      <c r="BP22" s="136">
        <f>(COUNTIFS(AX9:AX56,BM22,AY9:AY56,BO22)+COUNTIFS(AZ9:AZ56,BM22,BA9:BA56,BO22)+COUNTIFS(BB9:BB56,BM22,BC9:BC56,BO22)+COUNTIFS(BD9:BD56,BM22,BE9:BE56,BO22)+COUNTIFS(BF9:BF56,BM22,BG9:BG56,BO22)+COUNTIFS(BH9:BH56,BM22,BI9:BI56,BO22)+COUNTIFS(BJ9:BJ56,BM22,BK9:BK56,BO22))*0.5</f>
        <v>0</v>
      </c>
      <c r="BQ22" s="136" t="str">
        <f t="shared" si="16"/>
        <v>Estudo Autónomo</v>
      </c>
      <c r="BR22" s="136" t="str">
        <f t="shared" si="16"/>
        <v>CDI</v>
      </c>
      <c r="BS22" s="136" t="str">
        <f t="shared" si="18"/>
        <v>Estudo Autónomo</v>
      </c>
      <c r="BT22" s="136">
        <f t="shared" si="23"/>
        <v>9.5</v>
      </c>
      <c r="BU22" s="136">
        <f t="shared" si="24"/>
        <v>7.5</v>
      </c>
      <c r="BZ22" s="280"/>
      <c r="CA22" s="183" t="str">
        <f>'INFO BASE'!L85</f>
        <v>-</v>
      </c>
      <c r="CB22" s="183" t="str">
        <f>'INFO BASE'!M85</f>
        <v/>
      </c>
      <c r="CD22" s="136" t="str">
        <f>IF('INFO BASE'!E35="","",'INFO BASE'!E35)</f>
        <v/>
      </c>
      <c r="CR22" s="177" t="str">
        <f t="shared" si="1"/>
        <v>PV</v>
      </c>
      <c r="CS22" s="177">
        <f t="shared" si="2"/>
        <v>0</v>
      </c>
      <c r="CT22" s="177" t="str">
        <f t="shared" si="1"/>
        <v>PV</v>
      </c>
      <c r="CU22" s="177">
        <f t="shared" si="3"/>
        <v>0</v>
      </c>
      <c r="CV22" s="177" t="str">
        <f t="shared" si="1"/>
        <v>PV</v>
      </c>
      <c r="CW22" s="177">
        <f t="shared" si="4"/>
        <v>0</v>
      </c>
      <c r="CX22" s="177" t="str">
        <f t="shared" si="1"/>
        <v>PV</v>
      </c>
      <c r="CY22" s="177">
        <f t="shared" si="5"/>
        <v>0</v>
      </c>
      <c r="CZ22" s="177" t="str">
        <f t="shared" si="1"/>
        <v>PV</v>
      </c>
      <c r="DA22" s="177">
        <f t="shared" si="6"/>
        <v>0</v>
      </c>
      <c r="DB22" s="177" t="str">
        <f t="shared" si="1"/>
        <v>HS</v>
      </c>
      <c r="DC22" s="177" t="str">
        <f t="shared" si="7"/>
        <v>HS-</v>
      </c>
      <c r="DD22" s="177" t="str">
        <f t="shared" si="8"/>
        <v>HS</v>
      </c>
      <c r="DE22" s="177" t="str">
        <f t="shared" si="9"/>
        <v>HS-</v>
      </c>
      <c r="DK22" s="136" t="str">
        <f t="shared" si="10"/>
        <v>TGIEI</v>
      </c>
      <c r="DN22" t="str">
        <f>DN21</f>
        <v>TG</v>
      </c>
      <c r="DO22" t="str">
        <f t="shared" ref="DO22:DO26" si="25">DO16</f>
        <v>IEI</v>
      </c>
      <c r="DP22" t="str">
        <f t="shared" si="11"/>
        <v>TG</v>
      </c>
    </row>
    <row r="23" spans="1:120" ht="18" customHeight="1" x14ac:dyDescent="0.3">
      <c r="A23" s="81">
        <v>0.29166666666667601</v>
      </c>
      <c r="B23" s="166" t="s">
        <v>116</v>
      </c>
      <c r="C23" s="130"/>
      <c r="D23" s="169" t="s">
        <v>116</v>
      </c>
      <c r="E23" s="130"/>
      <c r="F23" s="169" t="s">
        <v>116</v>
      </c>
      <c r="G23" s="130"/>
      <c r="H23" s="169" t="s">
        <v>116</v>
      </c>
      <c r="I23" s="130"/>
      <c r="J23" s="169" t="s">
        <v>116</v>
      </c>
      <c r="K23" s="130"/>
      <c r="L23" s="169" t="s">
        <v>10</v>
      </c>
      <c r="M23" s="130" t="s">
        <v>120</v>
      </c>
      <c r="N23" s="169" t="s">
        <v>10</v>
      </c>
      <c r="O23" s="154" t="s">
        <v>120</v>
      </c>
      <c r="P23" s="6">
        <v>0</v>
      </c>
      <c r="Q23" s="111" t="str">
        <f t="shared" si="22"/>
        <v>Estudo Autónomo</v>
      </c>
      <c r="R23" s="105" t="str">
        <f>IF('INFO BASE'!$B34="","",'INFO BASE'!$B34)</f>
        <v>IAC</v>
      </c>
      <c r="S23" s="88">
        <f t="shared" si="20"/>
        <v>-1</v>
      </c>
      <c r="T23" s="89">
        <f>IF(VLOOKUP(Q23,'INFO BASE'!$B$40:$I$54,IF(R23='INFO BASE'!$B$32,3,IF(R23='INFO BASE'!$B$33,4,IF(R23='INFO BASE'!$B$34,5,IF(R23='INFO BASE'!$B$35,6,IF(R23='INFO BASE'!$B$36,7,IF(R23='INFO BASE'!$B$37,8,2)))))),0)=0,"",VLOOKUP(Q23,'INFO BASE'!$B$40:$I$54,IF(R23='INFO BASE'!$B$32,3,IF(R23='INFO BASE'!$B$33,4,IF(R23='INFO BASE'!$B$34,5,IF(R23='INFO BASE'!$B$35,6,IF(R23='INFO BASE'!$B$36,7,IF(R23='INFO BASE'!$B$37,8,2)))))),0))</f>
        <v>2</v>
      </c>
      <c r="U23" s="89">
        <f>(COUNTIFS(C9:C56,R23,B9:B56,R20)+COUNTIFS(E9:E56,R23,D9:D56,R20)+COUNTIFS(G9:G56,R23,F9:F56,R20)+COUNTIFS(I9:I56,R23,H9:H56,R20)+COUNTIFS(K9:K56,R23,J9:J56,R20)+COUNTIFS(M9:M56,R23,L9:L56,R20)+COUNTIFS(O9:O56,R23,N9:N56,R20))*0.5</f>
        <v>0</v>
      </c>
      <c r="V23" s="89">
        <f>(COUNTIFS(AI9:AI56,R20,AJ9:AJ56,R23)+COUNTIFS(AK9:AK56,R20,AL9:AL56,R23)+COUNTIFS(AM9:AM56,R20,AN9:AN56,R23)+COUNTIFS(AO9:AO56,R20,AP9:AP56,R23)+COUNTIFS(AQ9:AQ56,R20,AR9:AR56,R23)+COUNTIFS(AS9:AS56,R20,AT9:AT56,R23)+COUNTIFS(AU9:AU56,R20,AV9:AV56,R23))*0.5</f>
        <v>0</v>
      </c>
      <c r="W23" s="90">
        <f>IF(AH5="","-",IF(V23=0,U23,IFERROR((U23/V23)-1,"-")))</f>
        <v>0</v>
      </c>
      <c r="X23" s="200">
        <f t="shared" si="21"/>
        <v>0</v>
      </c>
      <c r="Y23" s="299"/>
      <c r="Z23" s="300"/>
      <c r="AA23" s="300"/>
      <c r="AB23" s="300"/>
      <c r="AC23" s="300"/>
      <c r="AD23" s="300"/>
      <c r="AE23" s="300"/>
      <c r="AF23" s="301"/>
      <c r="AH23" s="136">
        <v>0.29166666666667601</v>
      </c>
      <c r="AI23" s="136" t="s">
        <v>116</v>
      </c>
      <c r="AJ23" s="136" t="s">
        <v>235</v>
      </c>
      <c r="AK23" s="136" t="s">
        <v>116</v>
      </c>
      <c r="AL23" s="136" t="s">
        <v>235</v>
      </c>
      <c r="AM23" s="136" t="s">
        <v>116</v>
      </c>
      <c r="AN23" s="136" t="s">
        <v>235</v>
      </c>
      <c r="AO23" s="136" t="s">
        <v>116</v>
      </c>
      <c r="AP23" s="136" t="s">
        <v>235</v>
      </c>
      <c r="AQ23" s="136" t="s">
        <v>116</v>
      </c>
      <c r="AR23" s="136" t="s">
        <v>235</v>
      </c>
      <c r="AS23" s="136" t="s">
        <v>10</v>
      </c>
      <c r="AT23" s="136" t="s">
        <v>120</v>
      </c>
      <c r="AU23" s="136" t="s">
        <v>10</v>
      </c>
      <c r="AV23" s="136" t="s">
        <v>120</v>
      </c>
      <c r="AX23" s="136" t="str">
        <f>IF(AI5="","",IF(B23="","",B23))</f>
        <v>PV</v>
      </c>
      <c r="AY23" s="136" t="str">
        <f>IF(AI5="","",IF(C23="","",C23))</f>
        <v/>
      </c>
      <c r="AZ23" s="136" t="str">
        <f>IF(AI5="","",IF(D23="","",D23))</f>
        <v>PV</v>
      </c>
      <c r="BA23" s="136" t="str">
        <f>IF(AI5="","",IF(E23="","",E23))</f>
        <v/>
      </c>
      <c r="BB23" s="136" t="str">
        <f>IF(AI5="","",IF(F23="","",F23))</f>
        <v>PV</v>
      </c>
      <c r="BC23" s="136" t="str">
        <f>IF(AI5="","",IF(G23="","",G23))</f>
        <v/>
      </c>
      <c r="BD23" s="136" t="str">
        <f>IF(AI5="","",IF(H23="","",H23))</f>
        <v>PV</v>
      </c>
      <c r="BE23" s="136" t="str">
        <f>IF(AI5="","",IF(I23="","",I23))</f>
        <v/>
      </c>
      <c r="BF23" s="136" t="str">
        <f>IF(AI5="","",IF(J23="","",J23))</f>
        <v>PV</v>
      </c>
      <c r="BG23" s="136" t="str">
        <f>IF(AI5="","",IF(K23="","",K23))</f>
        <v/>
      </c>
      <c r="BH23" s="136" t="str">
        <f>IF(AI5="","",IF(L23="","",L23))</f>
        <v>HS</v>
      </c>
      <c r="BI23" s="136" t="str">
        <f>IF(AI5="","",IF(M23="","",M23))</f>
        <v>-</v>
      </c>
      <c r="BJ23" s="136" t="str">
        <f>IF(AI5="","",IF(N23="","",N23))</f>
        <v>HS</v>
      </c>
      <c r="BK23" s="136" t="str">
        <f>IF(AI5="","",IF(O23="","",O23))</f>
        <v>-</v>
      </c>
      <c r="BM23" s="136" t="str">
        <f t="shared" si="19"/>
        <v>EA</v>
      </c>
      <c r="BN23" s="136" t="str">
        <f t="shared" si="15"/>
        <v>Estudo Autónomo</v>
      </c>
      <c r="BO23" s="136" t="str">
        <f t="shared" si="15"/>
        <v/>
      </c>
      <c r="BP23" s="136">
        <f>(COUNTIFS(AX9:AX56,BM23,AY9:AY56,BO23)+COUNTIFS(AZ9:AZ56,BM23,BA9:BA56,BO23)+COUNTIFS(BB9:BB56,BM23,BC9:BC56,BO23)+COUNTIFS(BD9:BD56,BM23,BE9:BE56,BO23)+COUNTIFS(BF9:BF56,BM23,BG9:BG56,BO23)+COUNTIFS(BH9:BH56,BM23,BI9:BI56,BO23)+COUNTIFS(BJ9:BJ56,BM23,BK9:BK56,BO23))*0.5</f>
        <v>0</v>
      </c>
      <c r="BQ23" s="136" t="str">
        <f t="shared" si="16"/>
        <v>Estudo Autónomo</v>
      </c>
      <c r="BR23" s="136" t="str">
        <f t="shared" si="16"/>
        <v/>
      </c>
      <c r="BS23" s="136" t="str">
        <f t="shared" si="18"/>
        <v>Estudo Autónomo</v>
      </c>
      <c r="BT23" s="136">
        <f t="shared" si="23"/>
        <v>0</v>
      </c>
      <c r="BU23" s="136">
        <f t="shared" si="24"/>
        <v>0</v>
      </c>
      <c r="BZ23" s="280"/>
      <c r="CA23" s="183" t="str">
        <f>'INFO BASE'!L86</f>
        <v>-</v>
      </c>
      <c r="CB23" s="183" t="str">
        <f>'INFO BASE'!M86</f>
        <v/>
      </c>
      <c r="CD23" s="136" t="str">
        <f>IF('INFO BASE'!E36="","",'INFO BASE'!E36)</f>
        <v/>
      </c>
      <c r="CR23" s="177" t="str">
        <f t="shared" si="1"/>
        <v>PV</v>
      </c>
      <c r="CS23" s="177">
        <f t="shared" si="2"/>
        <v>0</v>
      </c>
      <c r="CT23" s="177" t="str">
        <f t="shared" si="1"/>
        <v>PV</v>
      </c>
      <c r="CU23" s="177">
        <f t="shared" si="3"/>
        <v>0</v>
      </c>
      <c r="CV23" s="177" t="str">
        <f t="shared" si="1"/>
        <v>PV</v>
      </c>
      <c r="CW23" s="177">
        <f t="shared" si="4"/>
        <v>0</v>
      </c>
      <c r="CX23" s="177" t="str">
        <f t="shared" si="1"/>
        <v>PV</v>
      </c>
      <c r="CY23" s="177">
        <f t="shared" si="5"/>
        <v>0</v>
      </c>
      <c r="CZ23" s="177" t="str">
        <f t="shared" si="1"/>
        <v>PV</v>
      </c>
      <c r="DA23" s="177">
        <f t="shared" si="6"/>
        <v>0</v>
      </c>
      <c r="DB23" s="177" t="str">
        <f t="shared" si="1"/>
        <v>HS</v>
      </c>
      <c r="DC23" s="177" t="str">
        <f t="shared" si="7"/>
        <v>HS-</v>
      </c>
      <c r="DD23" s="177" t="str">
        <f t="shared" si="8"/>
        <v>HS</v>
      </c>
      <c r="DE23" s="177" t="str">
        <f t="shared" si="9"/>
        <v>HS-</v>
      </c>
      <c r="DK23" s="136" t="str">
        <f t="shared" si="10"/>
        <v>TGIAC</v>
      </c>
      <c r="DN23" t="str">
        <f t="shared" ref="DN23:DN26" si="26">DN22</f>
        <v>TG</v>
      </c>
      <c r="DO23" t="str">
        <f t="shared" si="25"/>
        <v>IAC</v>
      </c>
      <c r="DP23" t="str">
        <f t="shared" si="11"/>
        <v>TG</v>
      </c>
    </row>
    <row r="24" spans="1:120" ht="18" customHeight="1" x14ac:dyDescent="0.3">
      <c r="A24" s="81">
        <v>0.31250000000000999</v>
      </c>
      <c r="B24" s="166" t="s">
        <v>11</v>
      </c>
      <c r="C24" s="130" t="s">
        <v>120</v>
      </c>
      <c r="D24" s="169" t="s">
        <v>11</v>
      </c>
      <c r="E24" s="130" t="s">
        <v>120</v>
      </c>
      <c r="F24" s="169" t="s">
        <v>11</v>
      </c>
      <c r="G24" s="130" t="s">
        <v>120</v>
      </c>
      <c r="H24" s="169" t="s">
        <v>11</v>
      </c>
      <c r="I24" s="130" t="s">
        <v>120</v>
      </c>
      <c r="J24" s="169" t="s">
        <v>11</v>
      </c>
      <c r="K24" s="130" t="s">
        <v>120</v>
      </c>
      <c r="L24" s="169" t="s">
        <v>10</v>
      </c>
      <c r="M24" s="130" t="s">
        <v>120</v>
      </c>
      <c r="N24" s="169" t="s">
        <v>10</v>
      </c>
      <c r="O24" s="154" t="s">
        <v>120</v>
      </c>
      <c r="P24" s="6">
        <v>0</v>
      </c>
      <c r="Q24" s="110" t="str">
        <f t="shared" si="22"/>
        <v>Estudo Autónomo</v>
      </c>
      <c r="R24" s="105" t="str">
        <f>IF('INFO BASE'!$B35="","",'INFO BASE'!$B35)</f>
        <v>AL</v>
      </c>
      <c r="S24" s="88">
        <f t="shared" si="20"/>
        <v>-0.9</v>
      </c>
      <c r="T24" s="89">
        <f>IF(VLOOKUP(Q24,'INFO BASE'!$B$40:$I$54,IF(R24='INFO BASE'!$B$32,3,IF(R24='INFO BASE'!$B$33,4,IF(R24='INFO BASE'!$B$34,5,IF(R24='INFO BASE'!$B$35,6,IF(R24='INFO BASE'!$B$36,7,IF(R24='INFO BASE'!$B$37,8,2)))))),0)=0,"",VLOOKUP(Q24,'INFO BASE'!$B$40:$I$54,IF(R24='INFO BASE'!$B$32,3,IF(R24='INFO BASE'!$B$33,4,IF(R24='INFO BASE'!$B$34,5,IF(R24='INFO BASE'!$B$35,6,IF(R24='INFO BASE'!$B$36,7,IF(R24='INFO BASE'!$B$37,8,2)))))),0))</f>
        <v>5</v>
      </c>
      <c r="U24" s="89">
        <f>(COUNTIFS(C9:C56,R24,B9:B56,R20)+COUNTIFS(E9:E56,R24,D9:D56,R20)+COUNTIFS(G9:G56,R24,F9:F56,R20)+COUNTIFS(I9:I56,R24,H9:H56,R20)+COUNTIFS(K9:K56,R24,J9:J56,R20)+COUNTIFS(M9:M56,R24,L9:L56,R20)+COUNTIFS(O9:O56,R24,N9:N56,R20))*0.5</f>
        <v>0.5</v>
      </c>
      <c r="V24" s="89">
        <f>(COUNTIFS(AI9:AI56,R20,AJ9:AJ56,R24)+COUNTIFS(AK9:AK56,R20,AL9:AL56,R24)+COUNTIFS(AM9:AM56,R20,AN9:AN56,R24)+COUNTIFS(AO9:AO56,R20,AP9:AP56,R24)+COUNTIFS(AQ9:AQ56,R20,AR9:AR56,R24)+COUNTIFS(AS9:AS56,R20,AT9:AT56,R24)+COUNTIFS(AU9:AU56,R20,AV9:AV56,R24))*0.5</f>
        <v>1.5</v>
      </c>
      <c r="W24" s="90">
        <f>IF(AH5="","-",IF(V24=0,U24,IFERROR((U24/V24)-1,"-")))</f>
        <v>-0.66666666666666674</v>
      </c>
      <c r="X24" s="200">
        <f t="shared" si="21"/>
        <v>1</v>
      </c>
      <c r="Y24" s="299" t="s">
        <v>236</v>
      </c>
      <c r="Z24" s="300"/>
      <c r="AA24" s="300"/>
      <c r="AB24" s="300"/>
      <c r="AC24" s="300"/>
      <c r="AD24" s="300"/>
      <c r="AE24" s="300"/>
      <c r="AF24" s="301"/>
      <c r="AH24" s="136">
        <v>0.31250000000000999</v>
      </c>
      <c r="AI24" s="136" t="s">
        <v>11</v>
      </c>
      <c r="AJ24" s="136" t="s">
        <v>120</v>
      </c>
      <c r="AK24" s="136" t="s">
        <v>11</v>
      </c>
      <c r="AL24" s="136" t="s">
        <v>120</v>
      </c>
      <c r="AM24" s="136" t="s">
        <v>11</v>
      </c>
      <c r="AN24" s="136" t="s">
        <v>120</v>
      </c>
      <c r="AO24" s="136" t="s">
        <v>11</v>
      </c>
      <c r="AP24" s="136" t="s">
        <v>120</v>
      </c>
      <c r="AQ24" s="136" t="s">
        <v>11</v>
      </c>
      <c r="AR24" s="136" t="s">
        <v>120</v>
      </c>
      <c r="AS24" s="136" t="s">
        <v>10</v>
      </c>
      <c r="AT24" s="136" t="s">
        <v>120</v>
      </c>
      <c r="AU24" s="136" t="s">
        <v>10</v>
      </c>
      <c r="AV24" s="136" t="s">
        <v>120</v>
      </c>
      <c r="AX24" s="136" t="str">
        <f>IF(AI5="","",IF(B24="","",B24))</f>
        <v>HD</v>
      </c>
      <c r="AY24" s="136" t="str">
        <f>IF(AI5="","",IF(C24="","",C24))</f>
        <v>-</v>
      </c>
      <c r="AZ24" s="136" t="str">
        <f>IF(AI5="","",IF(D24="","",D24))</f>
        <v>HD</v>
      </c>
      <c r="BA24" s="136" t="str">
        <f>IF(AI5="","",IF(E24="","",E24))</f>
        <v>-</v>
      </c>
      <c r="BB24" s="136" t="str">
        <f>IF(AI5="","",IF(F24="","",F24))</f>
        <v>HD</v>
      </c>
      <c r="BC24" s="136" t="str">
        <f>IF(AI5="","",IF(G24="","",G24))</f>
        <v>-</v>
      </c>
      <c r="BD24" s="136" t="str">
        <f>IF(AI5="","",IF(H24="","",H24))</f>
        <v>HD</v>
      </c>
      <c r="BE24" s="136" t="str">
        <f>IF(AI5="","",IF(I24="","",I24))</f>
        <v>-</v>
      </c>
      <c r="BF24" s="136" t="str">
        <f>IF(AI5="","",IF(J24="","",J24))</f>
        <v>HD</v>
      </c>
      <c r="BG24" s="136" t="str">
        <f>IF(AI5="","",IF(K24="","",K24))</f>
        <v>-</v>
      </c>
      <c r="BH24" s="136" t="str">
        <f>IF(AI5="","",IF(L24="","",L24))</f>
        <v>HS</v>
      </c>
      <c r="BI24" s="136" t="str">
        <f>IF(AI5="","",IF(M24="","",M24))</f>
        <v>-</v>
      </c>
      <c r="BJ24" s="136" t="str">
        <f>IF(AI5="","",IF(N24="","",N24))</f>
        <v>HS</v>
      </c>
      <c r="BK24" s="136" t="str">
        <f>IF(AI5="","",IF(O24="","",O24))</f>
        <v>-</v>
      </c>
      <c r="BM24" s="136" t="str">
        <f>BO24</f>
        <v>EG</v>
      </c>
      <c r="BN24" s="136" t="str">
        <f t="shared" si="15"/>
        <v>Estudo em Grupo</v>
      </c>
      <c r="BO24" s="136" t="str">
        <f t="shared" si="15"/>
        <v>EG</v>
      </c>
      <c r="BP24" s="136">
        <f>COUNTIFS(AX9:BK56,BO24)*0.5</f>
        <v>3</v>
      </c>
      <c r="BQ24" s="136" t="str">
        <f t="shared" si="16"/>
        <v>Estudo em Grupo</v>
      </c>
      <c r="BR24" s="136" t="str">
        <f t="shared" si="16"/>
        <v>EG</v>
      </c>
      <c r="BS24" s="136" t="str">
        <f t="shared" si="18"/>
        <v>Estudo em Grupo</v>
      </c>
      <c r="BT24" s="136">
        <f t="shared" si="23"/>
        <v>46.5</v>
      </c>
      <c r="BU24" s="136">
        <f t="shared" si="24"/>
        <v>55.5</v>
      </c>
      <c r="BZ24" s="280"/>
      <c r="CA24" s="183" t="str">
        <f>'INFO BASE'!L87</f>
        <v>-</v>
      </c>
      <c r="CB24" s="183" t="str">
        <f>'INFO BASE'!M87</f>
        <v/>
      </c>
      <c r="CD24" s="136" t="str">
        <f>IF('INFO BASE'!E37="","",'INFO BASE'!E37)</f>
        <v/>
      </c>
      <c r="CR24" s="177" t="str">
        <f t="shared" si="1"/>
        <v>HD</v>
      </c>
      <c r="CS24" s="177" t="str">
        <f t="shared" si="2"/>
        <v>HD-</v>
      </c>
      <c r="CT24" s="177" t="str">
        <f t="shared" si="1"/>
        <v>HD</v>
      </c>
      <c r="CU24" s="177" t="str">
        <f t="shared" si="3"/>
        <v>HD-</v>
      </c>
      <c r="CV24" s="177" t="str">
        <f t="shared" si="1"/>
        <v>HD</v>
      </c>
      <c r="CW24" s="177" t="str">
        <f t="shared" si="4"/>
        <v>HD-</v>
      </c>
      <c r="CX24" s="177" t="str">
        <f t="shared" si="1"/>
        <v>HD</v>
      </c>
      <c r="CY24" s="177" t="str">
        <f t="shared" si="5"/>
        <v>HD-</v>
      </c>
      <c r="CZ24" s="177" t="str">
        <f t="shared" si="1"/>
        <v>HD</v>
      </c>
      <c r="DA24" s="177" t="str">
        <f t="shared" si="6"/>
        <v>HD-</v>
      </c>
      <c r="DB24" s="177" t="str">
        <f t="shared" si="1"/>
        <v>HS</v>
      </c>
      <c r="DC24" s="177" t="str">
        <f t="shared" si="7"/>
        <v>HS-</v>
      </c>
      <c r="DD24" s="177" t="str">
        <f t="shared" si="8"/>
        <v>HS</v>
      </c>
      <c r="DE24" s="177" t="str">
        <f t="shared" si="9"/>
        <v>HS-</v>
      </c>
      <c r="DK24" s="136" t="str">
        <f t="shared" si="10"/>
        <v>TGAL</v>
      </c>
      <c r="DN24" t="str">
        <f t="shared" si="26"/>
        <v>TG</v>
      </c>
      <c r="DO24" t="str">
        <f t="shared" si="25"/>
        <v>AL</v>
      </c>
      <c r="DP24" t="str">
        <f t="shared" si="11"/>
        <v>TG</v>
      </c>
    </row>
    <row r="25" spans="1:120" ht="18" customHeight="1" x14ac:dyDescent="0.3">
      <c r="A25" s="81">
        <v>0.33333333333334397</v>
      </c>
      <c r="B25" s="166" t="s">
        <v>11</v>
      </c>
      <c r="C25" s="130" t="s">
        <v>120</v>
      </c>
      <c r="D25" s="169" t="s">
        <v>11</v>
      </c>
      <c r="E25" s="130" t="s">
        <v>120</v>
      </c>
      <c r="F25" s="169" t="s">
        <v>11</v>
      </c>
      <c r="G25" s="130" t="s">
        <v>120</v>
      </c>
      <c r="H25" s="169" t="s">
        <v>11</v>
      </c>
      <c r="I25" s="130" t="s">
        <v>120</v>
      </c>
      <c r="J25" s="169" t="s">
        <v>11</v>
      </c>
      <c r="K25" s="130" t="s">
        <v>120</v>
      </c>
      <c r="L25" s="169" t="s">
        <v>10</v>
      </c>
      <c r="M25" s="130" t="s">
        <v>120</v>
      </c>
      <c r="N25" s="169" t="s">
        <v>10</v>
      </c>
      <c r="O25" s="154" t="s">
        <v>120</v>
      </c>
      <c r="P25" s="6">
        <v>0</v>
      </c>
      <c r="Q25" s="110" t="str">
        <f t="shared" si="22"/>
        <v>Estudo Autónomo</v>
      </c>
      <c r="R25" s="105" t="str">
        <f>IF('INFO BASE'!$B36="","",'INFO BASE'!$B36)</f>
        <v>CDI</v>
      </c>
      <c r="S25" s="88">
        <f t="shared" si="20"/>
        <v>-1</v>
      </c>
      <c r="T25" s="89">
        <f>IF(VLOOKUP(Q25,'INFO BASE'!$B$40:$I$54,IF(R25='INFO BASE'!$B$32,3,IF(R25='INFO BASE'!$B$33,4,IF(R25='INFO BASE'!$B$34,5,IF(R25='INFO BASE'!$B$35,6,IF(R25='INFO BASE'!$B$36,7,IF(R25='INFO BASE'!$B$37,8,2)))))),0)=0,"",VLOOKUP(Q25,'INFO BASE'!$B$40:$I$54,IF(R25='INFO BASE'!$B$32,3,IF(R25='INFO BASE'!$B$33,4,IF(R25='INFO BASE'!$B$34,5,IF(R25='INFO BASE'!$B$35,6,IF(R25='INFO BASE'!$B$36,7,IF(R25='INFO BASE'!$B$37,8,2)))))),0))</f>
        <v>5</v>
      </c>
      <c r="U25" s="89">
        <f>(COUNTIFS(C9:C56,R25,B9:B56,R20)+COUNTIFS(E9:E56,R25,D9:D56,R20)+COUNTIFS(G9:G56,R25,F9:F56,R20)+COUNTIFS(I9:I56,R25,H9:H56,R20)+COUNTIFS(K9:K56,R25,J9:J56,R20)+COUNTIFS(M9:M56,R25,L9:L56,R20)+COUNTIFS(O9:O56,R25,N9:N56,R20))*0.5</f>
        <v>0</v>
      </c>
      <c r="V25" s="89">
        <f>(COUNTIFS(AI9:AI56,R20,AJ9:AJ56,R25)+COUNTIFS(AK9:AK56,R20,AL9:AL56,R25)+COUNTIFS(AM9:AM56,R20,AN9:AN56,R25)+COUNTIFS(AO9:AO56,R20,AP9:AP56,R25)+COUNTIFS(AQ9:AQ56,R20,AR9:AR56,R25)+COUNTIFS(AS9:AS56,R20,AT9:AT56,R25)+COUNTIFS(AU9:AU56,R20,AV9:AV56,R25))*0.5</f>
        <v>0.5</v>
      </c>
      <c r="W25" s="90">
        <f>IF(AH5="","-",IF(V25=0,U25,IFERROR((U25/V25)-1,"-")))</f>
        <v>-1</v>
      </c>
      <c r="X25" s="200">
        <f t="shared" si="21"/>
        <v>1</v>
      </c>
      <c r="Y25" s="299" t="s">
        <v>236</v>
      </c>
      <c r="Z25" s="300"/>
      <c r="AA25" s="300"/>
      <c r="AB25" s="300"/>
      <c r="AC25" s="300"/>
      <c r="AD25" s="300"/>
      <c r="AE25" s="300"/>
      <c r="AF25" s="301"/>
      <c r="AH25" s="136">
        <v>0.33333333333334397</v>
      </c>
      <c r="AI25" s="136" t="s">
        <v>11</v>
      </c>
      <c r="AJ25" s="136" t="s">
        <v>120</v>
      </c>
      <c r="AK25" s="136" t="s">
        <v>11</v>
      </c>
      <c r="AL25" s="136" t="s">
        <v>120</v>
      </c>
      <c r="AM25" s="136" t="s">
        <v>11</v>
      </c>
      <c r="AN25" s="136" t="s">
        <v>120</v>
      </c>
      <c r="AO25" s="136" t="s">
        <v>11</v>
      </c>
      <c r="AP25" s="136" t="s">
        <v>120</v>
      </c>
      <c r="AQ25" s="136" t="s">
        <v>11</v>
      </c>
      <c r="AR25" s="136" t="s">
        <v>120</v>
      </c>
      <c r="AS25" s="136" t="s">
        <v>10</v>
      </c>
      <c r="AT25" s="136" t="s">
        <v>120</v>
      </c>
      <c r="AU25" s="136" t="s">
        <v>10</v>
      </c>
      <c r="AV25" s="136" t="s">
        <v>120</v>
      </c>
      <c r="AX25" s="136" t="str">
        <f>IF(AI5="","",IF(B25="","",B25))</f>
        <v>HD</v>
      </c>
      <c r="AY25" s="136" t="str">
        <f>IF(AI5="","",IF(C25="","",C25))</f>
        <v>-</v>
      </c>
      <c r="AZ25" s="136" t="str">
        <f>IF(AI5="","",IF(D25="","",D25))</f>
        <v>HD</v>
      </c>
      <c r="BA25" s="136" t="str">
        <f>IF(AI5="","",IF(E25="","",E25))</f>
        <v>-</v>
      </c>
      <c r="BB25" s="136" t="str">
        <f>IF(AI5="","",IF(F25="","",F25))</f>
        <v>HD</v>
      </c>
      <c r="BC25" s="136" t="str">
        <f>IF(AI5="","",IF(G25="","",G25))</f>
        <v>-</v>
      </c>
      <c r="BD25" s="136" t="str">
        <f>IF(AI5="","",IF(H25="","",H25))</f>
        <v>HD</v>
      </c>
      <c r="BE25" s="136" t="str">
        <f>IF(AI5="","",IF(I25="","",I25))</f>
        <v>-</v>
      </c>
      <c r="BF25" s="136" t="str">
        <f>IF(AI5="","",IF(J25="","",J25))</f>
        <v>HD</v>
      </c>
      <c r="BG25" s="136" t="str">
        <f>IF(AI5="","",IF(K25="","",K25))</f>
        <v>-</v>
      </c>
      <c r="BH25" s="136" t="str">
        <f>IF(AI5="","",IF(L25="","",L25))</f>
        <v>HS</v>
      </c>
      <c r="BI25" s="136" t="str">
        <f>IF(AI5="","",IF(M25="","",M25))</f>
        <v>-</v>
      </c>
      <c r="BJ25" s="136" t="str">
        <f>IF(AI5="","",IF(N25="","",N25))</f>
        <v>HS</v>
      </c>
      <c r="BK25" s="136" t="str">
        <f>IF(AI5="","",IF(O25="","",O25))</f>
        <v>-</v>
      </c>
      <c r="BM25" s="136" t="str">
        <f>BM24</f>
        <v>EG</v>
      </c>
      <c r="BN25" s="136" t="str">
        <f t="shared" si="15"/>
        <v>Estudo em Grupo</v>
      </c>
      <c r="BO25" s="136" t="str">
        <f t="shared" si="15"/>
        <v>FP</v>
      </c>
      <c r="BP25" s="136">
        <f>(COUNTIFS(AX9:AX56,BM25,AY9:AY56,BO25)+COUNTIFS(AZ9:AZ56,BM25,BA9:BA56,BO25)+COUNTIFS(BB9:BB56,BM25,BC9:BC56,BO25)+COUNTIFS(BD9:BD56,BM25,BE9:BE56,BO25)+COUNTIFS(BF9:BF56,BM25,BG9:BG56,BO25)+COUNTIFS(BH9:BH56,BM25,BI9:BI56,BO25)+COUNTIFS(BJ9:BJ56,BM25,BK9:BK56,BO25))*0.5</f>
        <v>1</v>
      </c>
      <c r="BQ25" s="136" t="str">
        <f t="shared" si="16"/>
        <v>Estudo em Grupo</v>
      </c>
      <c r="BR25" s="136" t="str">
        <f t="shared" si="16"/>
        <v>FP</v>
      </c>
      <c r="BS25" s="136" t="str">
        <f t="shared" si="18"/>
        <v>Estudo em Grupo</v>
      </c>
      <c r="BT25" s="136">
        <f t="shared" si="23"/>
        <v>11</v>
      </c>
      <c r="BU25" s="136">
        <f t="shared" si="24"/>
        <v>12</v>
      </c>
      <c r="BZ25" s="280"/>
      <c r="CA25" s="183" t="str">
        <f>'INFO BASE'!L88</f>
        <v>-</v>
      </c>
      <c r="CB25" s="183" t="str">
        <f>'INFO BASE'!M88</f>
        <v/>
      </c>
      <c r="CD25" s="136" t="str">
        <f>IF('INFO BASE'!F38="","",'INFO BASE'!F38)</f>
        <v/>
      </c>
      <c r="CR25" s="177" t="str">
        <f t="shared" si="1"/>
        <v>HD</v>
      </c>
      <c r="CS25" s="177" t="str">
        <f t="shared" si="2"/>
        <v>HD-</v>
      </c>
      <c r="CT25" s="177" t="str">
        <f t="shared" si="1"/>
        <v>HD</v>
      </c>
      <c r="CU25" s="177" t="str">
        <f t="shared" si="3"/>
        <v>HD-</v>
      </c>
      <c r="CV25" s="177" t="str">
        <f t="shared" si="1"/>
        <v>HD</v>
      </c>
      <c r="CW25" s="177" t="str">
        <f t="shared" si="4"/>
        <v>HD-</v>
      </c>
      <c r="CX25" s="177" t="str">
        <f t="shared" si="1"/>
        <v>HD</v>
      </c>
      <c r="CY25" s="177" t="str">
        <f t="shared" si="5"/>
        <v>HD-</v>
      </c>
      <c r="CZ25" s="177" t="str">
        <f t="shared" si="1"/>
        <v>HD</v>
      </c>
      <c r="DA25" s="177" t="str">
        <f t="shared" si="6"/>
        <v>HD-</v>
      </c>
      <c r="DB25" s="177" t="str">
        <f t="shared" si="1"/>
        <v>HS</v>
      </c>
      <c r="DC25" s="177" t="str">
        <f t="shared" si="7"/>
        <v>HS-</v>
      </c>
      <c r="DD25" s="177" t="str">
        <f t="shared" si="8"/>
        <v>HS</v>
      </c>
      <c r="DE25" s="177" t="str">
        <f t="shared" si="9"/>
        <v>HS-</v>
      </c>
      <c r="DK25" s="136" t="str">
        <f t="shared" si="10"/>
        <v>TGCDI</v>
      </c>
      <c r="DN25" t="str">
        <f t="shared" si="26"/>
        <v>TG</v>
      </c>
      <c r="DO25" t="str">
        <f t="shared" si="25"/>
        <v>CDI</v>
      </c>
      <c r="DP25" t="str">
        <f t="shared" si="11"/>
        <v>TG</v>
      </c>
    </row>
    <row r="26" spans="1:120" ht="18" customHeight="1" thickBot="1" x14ac:dyDescent="0.35">
      <c r="A26" s="81">
        <v>0.35416666666667801</v>
      </c>
      <c r="B26" s="166" t="s">
        <v>11</v>
      </c>
      <c r="C26" s="130" t="s">
        <v>120</v>
      </c>
      <c r="D26" s="169" t="s">
        <v>11</v>
      </c>
      <c r="E26" s="130" t="s">
        <v>120</v>
      </c>
      <c r="F26" s="169" t="s">
        <v>130</v>
      </c>
      <c r="G26" s="130" t="s">
        <v>231</v>
      </c>
      <c r="H26" s="169" t="s">
        <v>11</v>
      </c>
      <c r="I26" s="130" t="s">
        <v>120</v>
      </c>
      <c r="J26" s="169" t="s">
        <v>11</v>
      </c>
      <c r="K26" s="130" t="s">
        <v>120</v>
      </c>
      <c r="L26" s="169" t="s">
        <v>116</v>
      </c>
      <c r="M26" s="130"/>
      <c r="N26" s="169" t="s">
        <v>116</v>
      </c>
      <c r="O26" s="154"/>
      <c r="P26" s="6">
        <v>0</v>
      </c>
      <c r="Q26" s="112" t="str">
        <f t="shared" si="22"/>
        <v>Estudo Autónomo</v>
      </c>
      <c r="R26" s="105" t="str">
        <f>IF('INFO BASE'!$B37="","",'INFO BASE'!$B37)</f>
        <v/>
      </c>
      <c r="S26" s="94" t="str">
        <f t="shared" si="20"/>
        <v>-</v>
      </c>
      <c r="T26" s="95" t="str">
        <f>IF(VLOOKUP(Q26,'INFO BASE'!$B$40:$I$54,IF(R26='INFO BASE'!$B$32,3,IF(R26='INFO BASE'!$B$33,4,IF(R26='INFO BASE'!$B$34,5,IF(R26='INFO BASE'!$B$35,6,IF(R26='INFO BASE'!$B$36,7,IF(R26='INFO BASE'!$B$37,8,2)))))),0)=0,"",VLOOKUP(Q26,'INFO BASE'!$B$40:$I$54,IF(R26='INFO BASE'!$B$32,3,IF(R26='INFO BASE'!$B$33,4,IF(R26='INFO BASE'!$B$34,5,IF(R26='INFO BASE'!$B$35,6,IF(R26='INFO BASE'!$B$36,7,IF(R26='INFO BASE'!$B$37,8,2)))))),0))</f>
        <v/>
      </c>
      <c r="U26" s="95">
        <f>(COUNTIFS(C9:C56,R26,B9:B56,R20)+COUNTIFS(E9:E56,R26,D9:D56,R20)+COUNTIFS(G9:G56,R26,F9:F56,R20)+COUNTIFS(I9:I56,R26,H9:H56,R20)+COUNTIFS(K9:K56,R26,J9:J56,R20)+COUNTIFS(M9:M56,R26,L9:L56,R20)+COUNTIFS(O9:O56,R26,N9:N56,R20))*0.5</f>
        <v>0</v>
      </c>
      <c r="V26" s="95">
        <f>(COUNTIFS(AI9:AI56,R20,AJ9:AJ56,R26)+COUNTIFS(AK9:AK56,R20,AL9:AL56,R26)+COUNTIFS(AM9:AM56,R20,AN9:AN56,R26)+COUNTIFS(AO9:AO56,R20,AP9:AP56,R26)+COUNTIFS(AQ9:AQ56,R20,AR9:AR56,R26)+COUNTIFS(AS9:AS56,R20,AT9:AT56,R26)+COUNTIFS(AU9:AU56,R20,AV9:AV56,R26))*0.5</f>
        <v>0</v>
      </c>
      <c r="W26" s="96">
        <f>IF(AH5="","-",IF(V26=0,U26,IFERROR((U26/V26)-1,"-")))</f>
        <v>0</v>
      </c>
      <c r="X26" s="201">
        <f t="shared" si="21"/>
        <v>0</v>
      </c>
      <c r="Y26" s="274"/>
      <c r="Z26" s="275"/>
      <c r="AA26" s="275"/>
      <c r="AB26" s="275"/>
      <c r="AC26" s="275"/>
      <c r="AD26" s="275"/>
      <c r="AE26" s="275"/>
      <c r="AF26" s="276"/>
      <c r="AH26" s="136">
        <v>0.35416666666667801</v>
      </c>
      <c r="AI26" s="136" t="s">
        <v>11</v>
      </c>
      <c r="AJ26" s="136" t="s">
        <v>120</v>
      </c>
      <c r="AK26" s="136" t="s">
        <v>11</v>
      </c>
      <c r="AL26" s="136" t="s">
        <v>120</v>
      </c>
      <c r="AM26" s="136" t="s">
        <v>130</v>
      </c>
      <c r="AN26" s="136" t="s">
        <v>231</v>
      </c>
      <c r="AO26" s="136" t="s">
        <v>11</v>
      </c>
      <c r="AP26" s="136" t="s">
        <v>120</v>
      </c>
      <c r="AQ26" s="136" t="s">
        <v>11</v>
      </c>
      <c r="AR26" s="136" t="s">
        <v>120</v>
      </c>
      <c r="AS26" s="136" t="s">
        <v>116</v>
      </c>
      <c r="AT26" s="136" t="s">
        <v>235</v>
      </c>
      <c r="AU26" s="136" t="s">
        <v>116</v>
      </c>
      <c r="AV26" s="136" t="s">
        <v>235</v>
      </c>
      <c r="AX26" s="136" t="str">
        <f>IF(AI5="","",IF(B26="","",B26))</f>
        <v>HD</v>
      </c>
      <c r="AY26" s="136" t="str">
        <f>IF(AI5="","",IF(C26="","",C26))</f>
        <v>-</v>
      </c>
      <c r="AZ26" s="136" t="str">
        <f>IF(AI5="","",IF(D26="","",D26))</f>
        <v>HD</v>
      </c>
      <c r="BA26" s="136" t="str">
        <f>IF(AI5="","",IF(E26="","",E26))</f>
        <v>-</v>
      </c>
      <c r="BB26" s="136" t="str">
        <f>IF(AI5="","",IF(F26="","",F26))</f>
        <v>APB</v>
      </c>
      <c r="BC26" s="136" t="str">
        <f>IF(AI5="","",IF(G26="","",G26))</f>
        <v>CDI</v>
      </c>
      <c r="BD26" s="136" t="str">
        <f>IF(AI5="","",IF(H26="","",H26))</f>
        <v>HD</v>
      </c>
      <c r="BE26" s="136" t="str">
        <f>IF(AI5="","",IF(I26="","",I26))</f>
        <v>-</v>
      </c>
      <c r="BF26" s="136" t="str">
        <f>IF(AI5="","",IF(J26="","",J26))</f>
        <v>HD</v>
      </c>
      <c r="BG26" s="136" t="str">
        <f>IF(AI5="","",IF(K26="","",K26))</f>
        <v>-</v>
      </c>
      <c r="BH26" s="136" t="str">
        <f>IF(AI5="","",IF(L26="","",L26))</f>
        <v>PV</v>
      </c>
      <c r="BI26" s="136" t="str">
        <f>IF(AI5="","",IF(M26="","",M26))</f>
        <v/>
      </c>
      <c r="BJ26" s="136" t="str">
        <f>IF(AI5="","",IF(N26="","",N26))</f>
        <v>PV</v>
      </c>
      <c r="BK26" s="136" t="str">
        <f>IF(AI5="","",IF(O26="","",O26))</f>
        <v/>
      </c>
      <c r="BM26" s="136" t="str">
        <f t="shared" ref="BM26:BM30" si="27">BM25</f>
        <v>EG</v>
      </c>
      <c r="BN26" s="136" t="str">
        <f t="shared" si="15"/>
        <v>Estudo em Grupo</v>
      </c>
      <c r="BO26" s="136" t="str">
        <f t="shared" si="15"/>
        <v>IEI</v>
      </c>
      <c r="BP26" s="136">
        <f>(COUNTIFS(AX9:AX56,BM26,AY9:AY56,BO26)+COUNTIFS(AZ9:AZ56,BM26,BA9:BA56,BO26)+COUNTIFS(BB9:BB56,BM26,BC9:BC56,BO26)+COUNTIFS(BD9:BD56,BM26,BE9:BE56,BO26)+COUNTIFS(BF9:BF56,BM26,BG9:BG56,BO26)+COUNTIFS(BH9:BH56,BM26,BI9:BI56,BO26)+COUNTIFS(BJ9:BJ56,BM26,BK9:BK56,BO26))*0.5</f>
        <v>0</v>
      </c>
      <c r="BQ26" s="136" t="str">
        <f t="shared" si="16"/>
        <v>Estudo em Grupo</v>
      </c>
      <c r="BR26" s="136" t="str">
        <f t="shared" si="16"/>
        <v>IEI</v>
      </c>
      <c r="BS26" s="136" t="str">
        <f t="shared" si="18"/>
        <v>Estudo em Grupo</v>
      </c>
      <c r="BT26" s="136">
        <f t="shared" si="23"/>
        <v>2.5</v>
      </c>
      <c r="BU26" s="136">
        <f t="shared" si="24"/>
        <v>7</v>
      </c>
      <c r="BZ26" s="280"/>
      <c r="CA26" s="183" t="str">
        <f>'INFO BASE'!L89</f>
        <v>-</v>
      </c>
      <c r="CB26" s="183" t="str">
        <f>'INFO BASE'!M89</f>
        <v/>
      </c>
      <c r="CR26" s="177" t="str">
        <f t="shared" si="1"/>
        <v>HD</v>
      </c>
      <c r="CS26" s="177" t="str">
        <f t="shared" si="2"/>
        <v>HD-</v>
      </c>
      <c r="CT26" s="177" t="str">
        <f t="shared" si="1"/>
        <v>HD</v>
      </c>
      <c r="CU26" s="177" t="str">
        <f t="shared" si="3"/>
        <v>HD-</v>
      </c>
      <c r="CV26" s="177" t="str">
        <f t="shared" si="1"/>
        <v>APB</v>
      </c>
      <c r="CW26" s="177" t="str">
        <f t="shared" si="4"/>
        <v>APBCDI</v>
      </c>
      <c r="CX26" s="177" t="str">
        <f t="shared" si="1"/>
        <v>HD</v>
      </c>
      <c r="CY26" s="177" t="str">
        <f t="shared" si="5"/>
        <v>HD-</v>
      </c>
      <c r="CZ26" s="177" t="str">
        <f t="shared" si="1"/>
        <v>HD</v>
      </c>
      <c r="DA26" s="177" t="str">
        <f t="shared" si="6"/>
        <v>HD-</v>
      </c>
      <c r="DB26" s="177" t="str">
        <f t="shared" si="1"/>
        <v>PV</v>
      </c>
      <c r="DC26" s="177">
        <f t="shared" si="7"/>
        <v>0</v>
      </c>
      <c r="DD26" s="177" t="str">
        <f t="shared" si="8"/>
        <v>PV</v>
      </c>
      <c r="DE26" s="177">
        <f t="shared" si="9"/>
        <v>0</v>
      </c>
      <c r="DK26" s="136" t="str">
        <f t="shared" si="10"/>
        <v>TG0</v>
      </c>
      <c r="DN26" t="str">
        <f t="shared" si="26"/>
        <v>TG</v>
      </c>
      <c r="DO26">
        <f t="shared" si="25"/>
        <v>0</v>
      </c>
      <c r="DP26" t="str">
        <f t="shared" si="11"/>
        <v>TG</v>
      </c>
    </row>
    <row r="27" spans="1:120" ht="18" customHeight="1" x14ac:dyDescent="0.3">
      <c r="A27" s="81">
        <v>0.37500000000001199</v>
      </c>
      <c r="B27" s="166" t="s">
        <v>9</v>
      </c>
      <c r="C27" s="130" t="s">
        <v>228</v>
      </c>
      <c r="D27" s="169" t="s">
        <v>9</v>
      </c>
      <c r="E27" s="130" t="s">
        <v>226</v>
      </c>
      <c r="F27" s="169" t="s">
        <v>130</v>
      </c>
      <c r="G27" s="130" t="s">
        <v>231</v>
      </c>
      <c r="H27" s="169" t="s">
        <v>9</v>
      </c>
      <c r="I27" s="130" t="s">
        <v>228</v>
      </c>
      <c r="J27" s="169" t="s">
        <v>9</v>
      </c>
      <c r="K27" s="130" t="s">
        <v>224</v>
      </c>
      <c r="L27" s="169" t="s">
        <v>116</v>
      </c>
      <c r="M27" s="130"/>
      <c r="N27" s="169" t="s">
        <v>116</v>
      </c>
      <c r="O27" s="154"/>
      <c r="P27" s="6">
        <v>0</v>
      </c>
      <c r="Q27" s="113" t="str">
        <f>IF('INFO BASE'!$C$18="","",'INFO BASE'!$C$18)</f>
        <v>Estudo em Grupo</v>
      </c>
      <c r="R27" s="82" t="str">
        <f>IFERROR(VLOOKUP(Q27,'INFO BASE'!$C$17:$D$29,2,0),"")</f>
        <v>EG</v>
      </c>
      <c r="S27" s="83">
        <f t="shared" si="20"/>
        <v>-0.625</v>
      </c>
      <c r="T27" s="84">
        <f>IF(VLOOKUP(Q27,'INFO BASE'!$B$40:$I$54,IF(R27='INFO BASE'!$B$32,3,IF(R27='INFO BASE'!$B$33,4,IF(R27='INFO BASE'!$B$34,5,IF(R27='INFO BASE'!$B$35,6,IF(R27='INFO BASE'!$B$36,7,IF(R27='INFO BASE'!$B$37,8,2)))))),0)=0,"",VLOOKUP(Q27,'INFO BASE'!$B$40:$I$54,IF(R27='INFO BASE'!$B$32,3,IF(R27='INFO BASE'!$B$33,4,IF(R27='INFO BASE'!$B$34,5,IF(R27='INFO BASE'!$B$35,6,IF(R27='INFO BASE'!$B$36,7,IF(R27='INFO BASE'!$B$37,8,2)))))),0))</f>
        <v>8</v>
      </c>
      <c r="U27" s="84">
        <f>IF(R27="","",COUNTIFS(SEMANA1,R27)*0.5)</f>
        <v>3</v>
      </c>
      <c r="V27" s="84">
        <f>IF(R27="","",COUNTIFS(AI9:AV56,R27)*0.5)</f>
        <v>5</v>
      </c>
      <c r="W27" s="85">
        <f>IF(AH5="","-",IF(V27=0,U27,IFERROR((U27/V27)-1,"-")))</f>
        <v>-0.4</v>
      </c>
      <c r="X27" s="201">
        <f t="shared" si="21"/>
        <v>1</v>
      </c>
      <c r="Y27" s="277" t="s">
        <v>236</v>
      </c>
      <c r="Z27" s="278"/>
      <c r="AA27" s="278"/>
      <c r="AB27" s="278"/>
      <c r="AC27" s="278"/>
      <c r="AD27" s="278"/>
      <c r="AE27" s="278"/>
      <c r="AF27" s="279"/>
      <c r="AH27" s="136">
        <v>0.37500000000001199</v>
      </c>
      <c r="AI27" s="136" t="s">
        <v>9</v>
      </c>
      <c r="AJ27" s="136" t="s">
        <v>228</v>
      </c>
      <c r="AK27" s="136" t="s">
        <v>9</v>
      </c>
      <c r="AL27" s="136" t="s">
        <v>226</v>
      </c>
      <c r="AM27" s="136" t="s">
        <v>130</v>
      </c>
      <c r="AN27" s="136" t="s">
        <v>231</v>
      </c>
      <c r="AO27" s="136" t="s">
        <v>9</v>
      </c>
      <c r="AP27" s="136" t="s">
        <v>228</v>
      </c>
      <c r="AQ27" s="136" t="s">
        <v>9</v>
      </c>
      <c r="AR27" s="136" t="s">
        <v>224</v>
      </c>
      <c r="AS27" s="136" t="s">
        <v>116</v>
      </c>
      <c r="AT27" s="136" t="s">
        <v>235</v>
      </c>
      <c r="AU27" s="136" t="s">
        <v>116</v>
      </c>
      <c r="AV27" s="136" t="s">
        <v>235</v>
      </c>
      <c r="AX27" s="136" t="str">
        <f>IF(AI5="","",IF(B27="","",B27))</f>
        <v>AT</v>
      </c>
      <c r="AY27" s="136" t="str">
        <f>IF(AI5="","",IF(C27="","",C27))</f>
        <v>IAC</v>
      </c>
      <c r="AZ27" s="136" t="str">
        <f>IF(AI5="","",IF(D27="","",D27))</f>
        <v>AT</v>
      </c>
      <c r="BA27" s="136" t="str">
        <f>IF(AI5="","",IF(E27="","",E27))</f>
        <v>IEI</v>
      </c>
      <c r="BB27" s="136" t="str">
        <f>IF(AI5="","",IF(F27="","",F27))</f>
        <v>APB</v>
      </c>
      <c r="BC27" s="136" t="str">
        <f>IF(AI5="","",IF(G27="","",G27))</f>
        <v>CDI</v>
      </c>
      <c r="BD27" s="136" t="str">
        <f>IF(AI5="","",IF(H27="","",H27))</f>
        <v>AT</v>
      </c>
      <c r="BE27" s="136" t="str">
        <f>IF(AI5="","",IF(I27="","",I27))</f>
        <v>IAC</v>
      </c>
      <c r="BF27" s="136" t="str">
        <f>IF(AI5="","",IF(J27="","",J27))</f>
        <v>AT</v>
      </c>
      <c r="BG27" s="136" t="str">
        <f>IF(AI5="","",IF(K27="","",K27))</f>
        <v>FP</v>
      </c>
      <c r="BH27" s="136" t="str">
        <f>IF(AI5="","",IF(L27="","",L27))</f>
        <v>PV</v>
      </c>
      <c r="BI27" s="136" t="str">
        <f>IF(AI5="","",IF(M27="","",M27))</f>
        <v/>
      </c>
      <c r="BJ27" s="136" t="str">
        <f>IF(AI5="","",IF(N27="","",N27))</f>
        <v>PV</v>
      </c>
      <c r="BK27" s="136" t="str">
        <f>IF(AI5="","",IF(O27="","",O27))</f>
        <v/>
      </c>
      <c r="BM27" s="136" t="str">
        <f t="shared" si="27"/>
        <v>EG</v>
      </c>
      <c r="BN27" s="136" t="str">
        <f t="shared" si="15"/>
        <v>Estudo em Grupo</v>
      </c>
      <c r="BO27" s="136" t="str">
        <f t="shared" si="15"/>
        <v>IAC</v>
      </c>
      <c r="BP27" s="136">
        <f>(COUNTIFS(AX9:AX56,BM27,AY9:AY56,BO27)+COUNTIFS(AZ9:AZ56,BM27,BA9:BA56,BO27)+COUNTIFS(BB9:BB56,BM27,BC9:BC56,BO27)+COUNTIFS(BD9:BD56,BM27,BE9:BE56,BO27)+COUNTIFS(BF9:BF56,BM27,BG9:BG56,BO27)+COUNTIFS(BH9:BH56,BM27,BI9:BI56,BO27)+COUNTIFS(BJ9:BJ56,BM27,BK9:BK56,BO27))*0.5</f>
        <v>1</v>
      </c>
      <c r="BQ27" s="136" t="str">
        <f t="shared" si="16"/>
        <v>Estudo em Grupo</v>
      </c>
      <c r="BR27" s="136" t="str">
        <f t="shared" si="16"/>
        <v>IAC</v>
      </c>
      <c r="BS27" s="136" t="str">
        <f t="shared" si="18"/>
        <v>Estudo em Grupo</v>
      </c>
      <c r="BT27" s="136">
        <f t="shared" si="23"/>
        <v>6</v>
      </c>
      <c r="BU27" s="136">
        <f t="shared" si="24"/>
        <v>10.5</v>
      </c>
      <c r="BZ27" s="280"/>
      <c r="CA27" s="183" t="str">
        <f>'INFO BASE'!L90</f>
        <v>-</v>
      </c>
      <c r="CB27" s="183" t="str">
        <f>'INFO BASE'!M90</f>
        <v/>
      </c>
      <c r="CR27" s="177" t="str">
        <f t="shared" si="1"/>
        <v>AT</v>
      </c>
      <c r="CS27" s="177" t="str">
        <f t="shared" si="2"/>
        <v>ATIAC</v>
      </c>
      <c r="CT27" s="177" t="str">
        <f t="shared" si="1"/>
        <v>AT</v>
      </c>
      <c r="CU27" s="177" t="str">
        <f t="shared" si="3"/>
        <v>ATIEI</v>
      </c>
      <c r="CV27" s="177" t="str">
        <f t="shared" si="1"/>
        <v>APB</v>
      </c>
      <c r="CW27" s="177" t="str">
        <f t="shared" si="4"/>
        <v>APBCDI</v>
      </c>
      <c r="CX27" s="177" t="str">
        <f t="shared" si="1"/>
        <v>AT</v>
      </c>
      <c r="CY27" s="177" t="str">
        <f t="shared" si="5"/>
        <v>ATIAC</v>
      </c>
      <c r="CZ27" s="177" t="str">
        <f t="shared" si="1"/>
        <v>AT</v>
      </c>
      <c r="DA27" s="177" t="str">
        <f t="shared" si="6"/>
        <v>ATFP</v>
      </c>
      <c r="DB27" s="177" t="str">
        <f t="shared" si="1"/>
        <v>PV</v>
      </c>
      <c r="DC27" s="177">
        <f t="shared" si="7"/>
        <v>0</v>
      </c>
      <c r="DD27" s="177" t="str">
        <f t="shared" si="8"/>
        <v>PV</v>
      </c>
      <c r="DE27" s="177">
        <f t="shared" si="9"/>
        <v>0</v>
      </c>
      <c r="DK27" s="136" t="str">
        <f t="shared" si="10"/>
        <v>ATFP</v>
      </c>
      <c r="DN27" t="str">
        <f>'INFO BASE'!B20</f>
        <v>AT</v>
      </c>
      <c r="DO27" t="str">
        <f>DO21</f>
        <v>FP</v>
      </c>
      <c r="DP27" t="str">
        <f t="shared" si="11"/>
        <v>AT</v>
      </c>
    </row>
    <row r="28" spans="1:120" ht="18" customHeight="1" x14ac:dyDescent="0.3">
      <c r="A28" s="81">
        <v>0.39583333333334603</v>
      </c>
      <c r="B28" s="166" t="s">
        <v>9</v>
      </c>
      <c r="C28" s="130" t="s">
        <v>228</v>
      </c>
      <c r="D28" s="169" t="s">
        <v>9</v>
      </c>
      <c r="E28" s="130" t="s">
        <v>226</v>
      </c>
      <c r="F28" s="169" t="s">
        <v>130</v>
      </c>
      <c r="G28" s="130" t="s">
        <v>231</v>
      </c>
      <c r="H28" s="169" t="s">
        <v>9</v>
      </c>
      <c r="I28" s="130" t="s">
        <v>228</v>
      </c>
      <c r="J28" s="169" t="s">
        <v>9</v>
      </c>
      <c r="K28" s="130" t="s">
        <v>224</v>
      </c>
      <c r="L28" s="169" t="s">
        <v>116</v>
      </c>
      <c r="M28" s="130"/>
      <c r="N28" s="169" t="s">
        <v>116</v>
      </c>
      <c r="O28" s="154"/>
      <c r="P28" s="6">
        <v>0</v>
      </c>
      <c r="Q28" s="114" t="str">
        <f t="shared" ref="Q28:Q33" si="28">Q27</f>
        <v>Estudo em Grupo</v>
      </c>
      <c r="R28" s="105" t="str">
        <f>R21</f>
        <v>FP</v>
      </c>
      <c r="S28" s="88">
        <f t="shared" si="20"/>
        <v>-0.5</v>
      </c>
      <c r="T28" s="89">
        <f>IF(VLOOKUP(Q28,'INFO BASE'!$B$40:$I$54,IF(R28='INFO BASE'!$B$32,3,IF(R28='INFO BASE'!$B$33,4,IF(R28='INFO BASE'!$B$34,5,IF(R28='INFO BASE'!$B$35,6,IF(R28='INFO BASE'!$B$36,7,IF(R28='INFO BASE'!$B$37,8,2)))))),0)=0,"",VLOOKUP(Q28,'INFO BASE'!$B$40:$I$54,IF(R28='INFO BASE'!$B$32,3,IF(R28='INFO BASE'!$B$33,4,IF(R28='INFO BASE'!$B$34,5,IF(R28='INFO BASE'!$B$35,6,IF(R28='INFO BASE'!$B$36,7,IF(R28='INFO BASE'!$B$37,8,2)))))),0))</f>
        <v>2</v>
      </c>
      <c r="U28" s="89">
        <f>(COUNTIFS(C9:C56,R28,B9:B56,R27)+COUNTIFS(E9:E56,R28,D9:D56,R27)+COUNTIFS(G9:G56,R28,F9:F56,R27)+COUNTIFS(I9:I56,R28,H9:H56,R27)+COUNTIFS(K9:K56,R28,J9:J56,R27)+COUNTIFS(M9:M56,R28,L9:L56,R27)+COUNTIFS(O9:O56,R28,N9:N56,R27))*0.5</f>
        <v>1</v>
      </c>
      <c r="V28" s="89">
        <f>(COUNTIFS(AI9:AI56,R27,AJ9:AJ56,R21)+COUNTIFS(AK9:AK56,R27,AL9:AL56,R21)+COUNTIFS(AM9:AM56,R27,AN9:AN56,R21)+COUNTIFS(AO9:AO56,R27,AP9:AP56,R21)+COUNTIFS(AQ9:AQ56,R27,AR9:AR56,R21)+COUNTIFS(AS9:AS56,R27,AT9:AT56,R21)+COUNTIFS(AU9:AU56,R27,AV9:AV56,R21))*0.5</f>
        <v>1</v>
      </c>
      <c r="W28" s="90">
        <f>IF(AH5="","-",IF(V28=0,U28,IFERROR((U28/V28)-1,"-")))</f>
        <v>0</v>
      </c>
      <c r="X28" s="201">
        <f t="shared" si="21"/>
        <v>0</v>
      </c>
      <c r="Y28" s="271"/>
      <c r="Z28" s="272"/>
      <c r="AA28" s="272"/>
      <c r="AB28" s="272"/>
      <c r="AC28" s="272"/>
      <c r="AD28" s="272"/>
      <c r="AE28" s="272"/>
      <c r="AF28" s="273"/>
      <c r="AH28" s="136">
        <v>0.39583333333334603</v>
      </c>
      <c r="AI28" s="136" t="s">
        <v>9</v>
      </c>
      <c r="AJ28" s="136" t="s">
        <v>228</v>
      </c>
      <c r="AK28" s="136" t="s">
        <v>9</v>
      </c>
      <c r="AL28" s="136" t="s">
        <v>226</v>
      </c>
      <c r="AM28" s="136" t="s">
        <v>130</v>
      </c>
      <c r="AN28" s="136" t="s">
        <v>231</v>
      </c>
      <c r="AO28" s="136" t="s">
        <v>9</v>
      </c>
      <c r="AP28" s="136" t="s">
        <v>228</v>
      </c>
      <c r="AQ28" s="136" t="s">
        <v>9</v>
      </c>
      <c r="AR28" s="136" t="s">
        <v>224</v>
      </c>
      <c r="AS28" s="136" t="s">
        <v>116</v>
      </c>
      <c r="AT28" s="136" t="s">
        <v>235</v>
      </c>
      <c r="AU28" s="136" t="s">
        <v>116</v>
      </c>
      <c r="AV28" s="136" t="s">
        <v>235</v>
      </c>
      <c r="AX28" s="136" t="str">
        <f>IF(AI5="","",IF(B28="","",B28))</f>
        <v>AT</v>
      </c>
      <c r="AY28" s="136" t="str">
        <f>IF(AI5="","",IF(C28="","",C28))</f>
        <v>IAC</v>
      </c>
      <c r="AZ28" s="136" t="str">
        <f>IF(AI5="","",IF(D28="","",D28))</f>
        <v>AT</v>
      </c>
      <c r="BA28" s="136" t="str">
        <f>IF(AI5="","",IF(E28="","",E28))</f>
        <v>IEI</v>
      </c>
      <c r="BB28" s="136" t="str">
        <f>IF(AI5="","",IF(F28="","",F28))</f>
        <v>APB</v>
      </c>
      <c r="BC28" s="136" t="str">
        <f>IF(AI5="","",IF(G28="","",G28))</f>
        <v>CDI</v>
      </c>
      <c r="BD28" s="136" t="str">
        <f>IF(AI5="","",IF(H28="","",H28))</f>
        <v>AT</v>
      </c>
      <c r="BE28" s="136" t="str">
        <f>IF(AI5="","",IF(I28="","",I28))</f>
        <v>IAC</v>
      </c>
      <c r="BF28" s="136" t="str">
        <f>IF(AI5="","",IF(J28="","",J28))</f>
        <v>AT</v>
      </c>
      <c r="BG28" s="136" t="str">
        <f>IF(AI5="","",IF(K28="","",K28))</f>
        <v>FP</v>
      </c>
      <c r="BH28" s="136" t="str">
        <f>IF(AI5="","",IF(L28="","",L28))</f>
        <v>PV</v>
      </c>
      <c r="BI28" s="136" t="str">
        <f>IF(AI5="","",IF(M28="","",M28))</f>
        <v/>
      </c>
      <c r="BJ28" s="136" t="str">
        <f>IF(AI5="","",IF(N28="","",N28))</f>
        <v>PV</v>
      </c>
      <c r="BK28" s="136" t="str">
        <f>IF(AI5="","",IF(O28="","",O28))</f>
        <v/>
      </c>
      <c r="BM28" s="136" t="str">
        <f t="shared" si="27"/>
        <v>EG</v>
      </c>
      <c r="BN28" s="136" t="str">
        <f t="shared" si="15"/>
        <v>Estudo em Grupo</v>
      </c>
      <c r="BO28" s="136" t="str">
        <f t="shared" si="15"/>
        <v>AL</v>
      </c>
      <c r="BP28" s="136">
        <f>(COUNTIFS(AX9:AX56,BM28,AY9:AY56,BO28)+COUNTIFS(AZ9:AZ56,BM28,BA9:BA56,BO28)+COUNTIFS(BB9:BB56,BM28,BC9:BC56,BO28)+COUNTIFS(BD9:BD56,BM28,BE9:BE56,BO28)+COUNTIFS(BF9:BF56,BM28,BG9:BG56,BO28)+COUNTIFS(BH9:BH56,BM28,BI9:BI56,BO28)+COUNTIFS(BJ9:BJ56,BM28,BK9:BK56,BO28))*0.5</f>
        <v>1</v>
      </c>
      <c r="BQ28" s="136" t="str">
        <f t="shared" si="16"/>
        <v>Estudo em Grupo</v>
      </c>
      <c r="BR28" s="136" t="str">
        <f t="shared" si="16"/>
        <v>AL</v>
      </c>
      <c r="BS28" s="136" t="str">
        <f t="shared" si="18"/>
        <v>Estudo em Grupo</v>
      </c>
      <c r="BT28" s="136">
        <f t="shared" si="23"/>
        <v>16.5</v>
      </c>
      <c r="BU28" s="136">
        <f t="shared" si="24"/>
        <v>17.5</v>
      </c>
      <c r="BZ28" s="280"/>
      <c r="CA28" s="183" t="str">
        <f>'INFO BASE'!L91</f>
        <v>-</v>
      </c>
      <c r="CB28" s="183" t="str">
        <f>'INFO BASE'!M91</f>
        <v/>
      </c>
      <c r="CR28" s="177" t="str">
        <f t="shared" si="1"/>
        <v>AT</v>
      </c>
      <c r="CS28" s="177" t="str">
        <f t="shared" si="2"/>
        <v>ATIAC</v>
      </c>
      <c r="CT28" s="177" t="str">
        <f t="shared" si="1"/>
        <v>AT</v>
      </c>
      <c r="CU28" s="177" t="str">
        <f t="shared" si="3"/>
        <v>ATIEI</v>
      </c>
      <c r="CV28" s="177" t="str">
        <f t="shared" si="1"/>
        <v>APB</v>
      </c>
      <c r="CW28" s="177" t="str">
        <f t="shared" si="4"/>
        <v>APBCDI</v>
      </c>
      <c r="CX28" s="177" t="str">
        <f t="shared" si="1"/>
        <v>AT</v>
      </c>
      <c r="CY28" s="177" t="str">
        <f t="shared" si="5"/>
        <v>ATIAC</v>
      </c>
      <c r="CZ28" s="177" t="str">
        <f t="shared" si="1"/>
        <v>AT</v>
      </c>
      <c r="DA28" s="177" t="str">
        <f t="shared" si="6"/>
        <v>ATFP</v>
      </c>
      <c r="DB28" s="177" t="str">
        <f t="shared" si="1"/>
        <v>PV</v>
      </c>
      <c r="DC28" s="177">
        <f t="shared" si="7"/>
        <v>0</v>
      </c>
      <c r="DD28" s="177" t="str">
        <f t="shared" si="8"/>
        <v>PV</v>
      </c>
      <c r="DE28" s="177">
        <f t="shared" si="9"/>
        <v>0</v>
      </c>
      <c r="DK28" s="136" t="str">
        <f t="shared" si="10"/>
        <v>ATIEI</v>
      </c>
      <c r="DN28" t="str">
        <f>DN27</f>
        <v>AT</v>
      </c>
      <c r="DO28" t="str">
        <f t="shared" ref="DO28:DO32" si="29">DO22</f>
        <v>IEI</v>
      </c>
      <c r="DP28" t="str">
        <f t="shared" si="11"/>
        <v>AT</v>
      </c>
    </row>
    <row r="29" spans="1:120" ht="18" customHeight="1" x14ac:dyDescent="0.3">
      <c r="A29" s="81">
        <v>0.41666666666668001</v>
      </c>
      <c r="B29" s="166" t="s">
        <v>9</v>
      </c>
      <c r="C29" s="130" t="s">
        <v>228</v>
      </c>
      <c r="D29" s="169" t="s">
        <v>9</v>
      </c>
      <c r="E29" s="130" t="s">
        <v>226</v>
      </c>
      <c r="F29" s="169" t="s">
        <v>9</v>
      </c>
      <c r="G29" s="130" t="s">
        <v>224</v>
      </c>
      <c r="H29" s="169" t="s">
        <v>9</v>
      </c>
      <c r="I29" s="130" t="s">
        <v>228</v>
      </c>
      <c r="J29" s="169" t="s">
        <v>9</v>
      </c>
      <c r="K29" s="130" t="s">
        <v>224</v>
      </c>
      <c r="L29" s="169" t="s">
        <v>116</v>
      </c>
      <c r="M29" s="130"/>
      <c r="N29" s="169" t="s">
        <v>116</v>
      </c>
      <c r="O29" s="154"/>
      <c r="P29" s="6">
        <v>0</v>
      </c>
      <c r="Q29" s="114" t="str">
        <f t="shared" si="28"/>
        <v>Estudo em Grupo</v>
      </c>
      <c r="R29" s="105" t="str">
        <f t="shared" ref="R29:R33" si="30">R22</f>
        <v>IEI</v>
      </c>
      <c r="S29" s="88" t="str">
        <f t="shared" si="20"/>
        <v>-</v>
      </c>
      <c r="T29" s="89" t="str">
        <f>IF(VLOOKUP(Q29,'INFO BASE'!$B$40:$I$54,IF(R29='INFO BASE'!$B$32,3,IF(R29='INFO BASE'!$B$33,4,IF(R29='INFO BASE'!$B$34,5,IF(R29='INFO BASE'!$B$35,6,IF(R29='INFO BASE'!$B$36,7,IF(R29='INFO BASE'!$B$37,8,2)))))),0)=0,"",VLOOKUP(Q29,'INFO BASE'!$B$40:$I$54,IF(R29='INFO BASE'!$B$32,3,IF(R29='INFO BASE'!$B$33,4,IF(R29='INFO BASE'!$B$34,5,IF(R29='INFO BASE'!$B$35,6,IF(R29='INFO BASE'!$B$36,7,IF(R29='INFO BASE'!$B$37,8,2)))))),0))</f>
        <v/>
      </c>
      <c r="U29" s="89">
        <f>(COUNTIFS(C9:C56,R29,B9:B56,R27)+COUNTIFS(E9:E56,R29,D9:D56,R27)+COUNTIFS(G9:G56,R29,F9:F56,R27)+COUNTIFS(I9:I56,R29,H9:H56,R27)+COUNTIFS(K9:K56,R29,J9:J56,R27)+COUNTIFS(M9:M56,R29,L9:L56,R27)+COUNTIFS(O9:O56,R29,N9:N56,R27))*0.5</f>
        <v>0</v>
      </c>
      <c r="V29" s="89">
        <f>(COUNTIFS(AI9:AI56,R27,AJ9:AJ56,R22)+COUNTIFS(AK9:AK56,R27,AL9:AL56,R22)+COUNTIFS(AM9:AM56,R27,AN9:AN56,R22)+COUNTIFS(AO9:AO56,R27,AP9:AP56,R22)+COUNTIFS(AQ9:AQ56,R27,AR9:AR56,R22)+COUNTIFS(AS9:AS56,R27,AT9:AT56,R22)+COUNTIFS(AU9:AU56,R27,AV9:AV56,R22))*0.5</f>
        <v>0</v>
      </c>
      <c r="W29" s="90">
        <f>IF(AH5="","-",IF(V29=0,U29,IFERROR((U29/V29)-1,"-")))</f>
        <v>0</v>
      </c>
      <c r="X29" s="201">
        <f t="shared" si="21"/>
        <v>0</v>
      </c>
      <c r="Y29" s="271"/>
      <c r="Z29" s="272"/>
      <c r="AA29" s="272"/>
      <c r="AB29" s="272"/>
      <c r="AC29" s="272"/>
      <c r="AD29" s="272"/>
      <c r="AE29" s="272"/>
      <c r="AF29" s="273"/>
      <c r="AH29" s="136">
        <v>0.41666666666668001</v>
      </c>
      <c r="AI29" s="136" t="s">
        <v>9</v>
      </c>
      <c r="AJ29" s="136" t="s">
        <v>228</v>
      </c>
      <c r="AK29" s="136" t="s">
        <v>9</v>
      </c>
      <c r="AL29" s="136" t="s">
        <v>226</v>
      </c>
      <c r="AM29" s="136" t="s">
        <v>9</v>
      </c>
      <c r="AN29" s="136" t="s">
        <v>224</v>
      </c>
      <c r="AO29" s="136" t="s">
        <v>9</v>
      </c>
      <c r="AP29" s="136" t="s">
        <v>228</v>
      </c>
      <c r="AQ29" s="136" t="s">
        <v>9</v>
      </c>
      <c r="AR29" s="136" t="s">
        <v>224</v>
      </c>
      <c r="AS29" s="136" t="s">
        <v>116</v>
      </c>
      <c r="AT29" s="136" t="s">
        <v>235</v>
      </c>
      <c r="AU29" s="136" t="s">
        <v>116</v>
      </c>
      <c r="AV29" s="136" t="s">
        <v>235</v>
      </c>
      <c r="AX29" s="136" t="str">
        <f>IF(AI5="","",IF(B29="","",B29))</f>
        <v>AT</v>
      </c>
      <c r="AY29" s="136" t="str">
        <f>IF(AI5="","",IF(C29="","",C29))</f>
        <v>IAC</v>
      </c>
      <c r="AZ29" s="136" t="str">
        <f>IF(AI5="","",IF(D29="","",D29))</f>
        <v>AT</v>
      </c>
      <c r="BA29" s="136" t="str">
        <f>IF(AI5="","",IF(E29="","",E29))</f>
        <v>IEI</v>
      </c>
      <c r="BB29" s="136" t="str">
        <f>IF(AI5="","",IF(F29="","",F29))</f>
        <v>AT</v>
      </c>
      <c r="BC29" s="136" t="str">
        <f>IF(AI5="","",IF(G29="","",G29))</f>
        <v>FP</v>
      </c>
      <c r="BD29" s="136" t="str">
        <f>IF(AI5="","",IF(H29="","",H29))</f>
        <v>AT</v>
      </c>
      <c r="BE29" s="136" t="str">
        <f>IF(AI5="","",IF(I29="","",I29))</f>
        <v>IAC</v>
      </c>
      <c r="BF29" s="136" t="str">
        <f>IF(AI5="","",IF(J29="","",J29))</f>
        <v>AT</v>
      </c>
      <c r="BG29" s="136" t="str">
        <f>IF(AI5="","",IF(K29="","",K29))</f>
        <v>FP</v>
      </c>
      <c r="BH29" s="136" t="str">
        <f>IF(AI5="","",IF(L29="","",L29))</f>
        <v>PV</v>
      </c>
      <c r="BI29" s="136" t="str">
        <f>IF(AI5="","",IF(M29="","",M29))</f>
        <v/>
      </c>
      <c r="BJ29" s="136" t="str">
        <f>IF(AI5="","",IF(N29="","",N29))</f>
        <v>PV</v>
      </c>
      <c r="BK29" s="136" t="str">
        <f>IF(AI5="","",IF(O29="","",O29))</f>
        <v/>
      </c>
      <c r="BM29" s="136" t="str">
        <f t="shared" si="27"/>
        <v>EG</v>
      </c>
      <c r="BN29" s="136" t="str">
        <f t="shared" si="15"/>
        <v>Estudo em Grupo</v>
      </c>
      <c r="BO29" s="136" t="str">
        <f t="shared" si="15"/>
        <v>CDI</v>
      </c>
      <c r="BP29" s="136">
        <f>(COUNTIFS(AX9:AX56,BM29,AY9:AY56,BO29)+COUNTIFS(AZ9:AZ56,BM29,BA9:BA56,BO29)+COUNTIFS(BB9:BB56,BM29,BC9:BC56,BO29)+COUNTIFS(BD9:BD56,BM29,BE9:BE56,BO29)+COUNTIFS(BF9:BF56,BM29,BG9:BG56,BO29)+COUNTIFS(BH9:BH56,BM29,BI9:BI56,BO29)+COUNTIFS(BJ9:BJ56,BM29,BK9:BK56,BO29))*0.5</f>
        <v>0</v>
      </c>
      <c r="BQ29" s="136" t="str">
        <f t="shared" si="16"/>
        <v>Estudo em Grupo</v>
      </c>
      <c r="BR29" s="136" t="str">
        <f t="shared" si="16"/>
        <v>CDI</v>
      </c>
      <c r="BS29" s="136" t="str">
        <f t="shared" si="18"/>
        <v>Estudo em Grupo</v>
      </c>
      <c r="BT29" s="136">
        <f t="shared" si="23"/>
        <v>10.5</v>
      </c>
      <c r="BU29" s="136">
        <f t="shared" si="24"/>
        <v>8.5</v>
      </c>
      <c r="BZ29" s="280"/>
      <c r="CA29" s="183" t="str">
        <f>'INFO BASE'!L92</f>
        <v>-</v>
      </c>
      <c r="CB29" s="183" t="str">
        <f>'INFO BASE'!M92</f>
        <v/>
      </c>
      <c r="CR29" s="177" t="str">
        <f t="shared" si="1"/>
        <v>AT</v>
      </c>
      <c r="CS29" s="177" t="str">
        <f t="shared" si="2"/>
        <v>ATIAC</v>
      </c>
      <c r="CT29" s="177" t="str">
        <f t="shared" si="1"/>
        <v>AT</v>
      </c>
      <c r="CU29" s="177" t="str">
        <f t="shared" si="3"/>
        <v>ATIEI</v>
      </c>
      <c r="CV29" s="177" t="str">
        <f t="shared" si="1"/>
        <v>AT</v>
      </c>
      <c r="CW29" s="177" t="str">
        <f t="shared" si="4"/>
        <v>ATFP</v>
      </c>
      <c r="CX29" s="177" t="str">
        <f t="shared" si="1"/>
        <v>AT</v>
      </c>
      <c r="CY29" s="177" t="str">
        <f t="shared" si="5"/>
        <v>ATIAC</v>
      </c>
      <c r="CZ29" s="177" t="str">
        <f t="shared" si="1"/>
        <v>AT</v>
      </c>
      <c r="DA29" s="177" t="str">
        <f t="shared" si="6"/>
        <v>ATFP</v>
      </c>
      <c r="DB29" s="177" t="str">
        <f t="shared" si="1"/>
        <v>PV</v>
      </c>
      <c r="DC29" s="177">
        <f t="shared" si="7"/>
        <v>0</v>
      </c>
      <c r="DD29" s="177" t="str">
        <f t="shared" si="8"/>
        <v>PV</v>
      </c>
      <c r="DE29" s="177">
        <f t="shared" si="9"/>
        <v>0</v>
      </c>
      <c r="DK29" s="136" t="str">
        <f t="shared" si="10"/>
        <v>ATIAC</v>
      </c>
      <c r="DN29" t="str">
        <f t="shared" ref="DN29:DN32" si="31">DN28</f>
        <v>AT</v>
      </c>
      <c r="DO29" t="str">
        <f t="shared" si="29"/>
        <v>IAC</v>
      </c>
      <c r="DP29" t="str">
        <f t="shared" si="11"/>
        <v>AT</v>
      </c>
    </row>
    <row r="30" spans="1:120" ht="18" customHeight="1" x14ac:dyDescent="0.3">
      <c r="A30" s="81">
        <v>0.43750000000001399</v>
      </c>
      <c r="B30" s="166" t="s">
        <v>116</v>
      </c>
      <c r="C30" s="130"/>
      <c r="D30" s="169" t="s">
        <v>9</v>
      </c>
      <c r="E30" s="130" t="s">
        <v>226</v>
      </c>
      <c r="F30" s="169" t="s">
        <v>9</v>
      </c>
      <c r="G30" s="130" t="s">
        <v>224</v>
      </c>
      <c r="H30" s="169" t="s">
        <v>116</v>
      </c>
      <c r="I30" s="130"/>
      <c r="J30" s="169" t="s">
        <v>9</v>
      </c>
      <c r="K30" s="130" t="s">
        <v>230</v>
      </c>
      <c r="L30" s="169" t="s">
        <v>116</v>
      </c>
      <c r="M30" s="130"/>
      <c r="N30" s="169" t="s">
        <v>116</v>
      </c>
      <c r="O30" s="154"/>
      <c r="P30" s="6">
        <v>0</v>
      </c>
      <c r="Q30" s="115" t="str">
        <f t="shared" si="28"/>
        <v>Estudo em Grupo</v>
      </c>
      <c r="R30" s="105" t="str">
        <f t="shared" si="30"/>
        <v>IAC</v>
      </c>
      <c r="S30" s="88">
        <f t="shared" si="20"/>
        <v>-0.5</v>
      </c>
      <c r="T30" s="89">
        <f>IF(VLOOKUP(Q30,'INFO BASE'!$B$40:$I$54,IF(R30='INFO BASE'!$B$32,3,IF(R30='INFO BASE'!$B$33,4,IF(R30='INFO BASE'!$B$34,5,IF(R30='INFO BASE'!$B$35,6,IF(R30='INFO BASE'!$B$36,7,IF(R30='INFO BASE'!$B$37,8,2)))))),0)=0,"",VLOOKUP(Q30,'INFO BASE'!$B$40:$I$54,IF(R30='INFO BASE'!$B$32,3,IF(R30='INFO BASE'!$B$33,4,IF(R30='INFO BASE'!$B$34,5,IF(R30='INFO BASE'!$B$35,6,IF(R30='INFO BASE'!$B$36,7,IF(R30='INFO BASE'!$B$37,8,2)))))),0))</f>
        <v>2</v>
      </c>
      <c r="U30" s="89">
        <f>(COUNTIFS(C9:C56,R30,B9:B56,R27)+COUNTIFS(E9:E56,R30,D9:D56,R27)+COUNTIFS(G9:G56,R30,F9:F56,R27)+COUNTIFS(I9:I56,R30,H9:H56,R27)+COUNTIFS(K9:K56,R30,J9:J56,R27)+COUNTIFS(M9:M56,R30,L9:L56,R27)+COUNTIFS(O9:O56,R30,N9:N56,R27))*0.5</f>
        <v>1</v>
      </c>
      <c r="V30" s="89">
        <f>(COUNTIFS(AI9:AI56,R27,AJ9:AJ56,R23)+COUNTIFS(AK9:AK56,R27,AL9:AL56,R23)+COUNTIFS(AM9:AM56,R27,AN9:AN56,R23)+COUNTIFS(AO9:AO56,R27,AP9:AP56,R23)+COUNTIFS(AQ9:AQ56,R27,AR9:AR56,R23)+COUNTIFS(AS9:AS56,R27,AT9:AT56,R23)+COUNTIFS(AU9:AU56,R27,AV9:AV56,R23))*0.5</f>
        <v>1</v>
      </c>
      <c r="W30" s="90">
        <f>IF(AH5="","-",IF(V30=0,U30,IFERROR((U30/V30)-1,"-")))</f>
        <v>0</v>
      </c>
      <c r="X30" s="201">
        <f t="shared" si="21"/>
        <v>0</v>
      </c>
      <c r="Y30" s="271"/>
      <c r="Z30" s="272"/>
      <c r="AA30" s="272"/>
      <c r="AB30" s="272"/>
      <c r="AC30" s="272"/>
      <c r="AD30" s="272"/>
      <c r="AE30" s="272"/>
      <c r="AF30" s="273"/>
      <c r="AH30" s="136">
        <v>0.43750000000001399</v>
      </c>
      <c r="AI30" s="136" t="s">
        <v>116</v>
      </c>
      <c r="AJ30" s="136" t="s">
        <v>235</v>
      </c>
      <c r="AK30" s="136" t="s">
        <v>9</v>
      </c>
      <c r="AL30" s="136" t="s">
        <v>226</v>
      </c>
      <c r="AM30" s="136" t="s">
        <v>9</v>
      </c>
      <c r="AN30" s="136" t="s">
        <v>224</v>
      </c>
      <c r="AO30" s="136" t="s">
        <v>116</v>
      </c>
      <c r="AP30" s="136" t="s">
        <v>235</v>
      </c>
      <c r="AQ30" s="136" t="s">
        <v>9</v>
      </c>
      <c r="AR30" s="136" t="s">
        <v>230</v>
      </c>
      <c r="AS30" s="136" t="s">
        <v>116</v>
      </c>
      <c r="AT30" s="136" t="s">
        <v>235</v>
      </c>
      <c r="AU30" s="136" t="s">
        <v>116</v>
      </c>
      <c r="AV30" s="136" t="s">
        <v>235</v>
      </c>
      <c r="AX30" s="136" t="str">
        <f>IF(AI5="","",IF(B30="","",B30))</f>
        <v>PV</v>
      </c>
      <c r="AY30" s="136" t="str">
        <f>IF(AI5="","",IF(C30="","",C30))</f>
        <v/>
      </c>
      <c r="AZ30" s="136" t="str">
        <f>IF(AI5="","",IF(D30="","",D30))</f>
        <v>AT</v>
      </c>
      <c r="BA30" s="136" t="str">
        <f>IF(AI5="","",IF(E30="","",E30))</f>
        <v>IEI</v>
      </c>
      <c r="BB30" s="136" t="str">
        <f>IF(AI5="","",IF(F30="","",F30))</f>
        <v>AT</v>
      </c>
      <c r="BC30" s="136" t="str">
        <f>IF(AI5="","",IF(G30="","",G30))</f>
        <v>FP</v>
      </c>
      <c r="BD30" s="136" t="str">
        <f>IF(AI5="","",IF(H30="","",H30))</f>
        <v>PV</v>
      </c>
      <c r="BE30" s="136" t="str">
        <f>IF(AI5="","",IF(I30="","",I30))</f>
        <v/>
      </c>
      <c r="BF30" s="136" t="str">
        <f>IF(AI5="","",IF(J30="","",J30))</f>
        <v>AT</v>
      </c>
      <c r="BG30" s="136" t="str">
        <f>IF(AI5="","",IF(K30="","",K30))</f>
        <v>AL</v>
      </c>
      <c r="BH30" s="136" t="str">
        <f>IF(AI5="","",IF(L30="","",L30))</f>
        <v>PV</v>
      </c>
      <c r="BI30" s="136" t="str">
        <f>IF(AI5="","",IF(M30="","",M30))</f>
        <v/>
      </c>
      <c r="BJ30" s="136" t="str">
        <f>IF(AI5="","",IF(N30="","",N30))</f>
        <v>PV</v>
      </c>
      <c r="BK30" s="136" t="str">
        <f>IF(AI5="","",IF(O30="","",O30))</f>
        <v/>
      </c>
      <c r="BM30" s="136" t="str">
        <f t="shared" si="27"/>
        <v>EG</v>
      </c>
      <c r="BN30" s="136" t="str">
        <f t="shared" si="15"/>
        <v>Estudo em Grupo</v>
      </c>
      <c r="BO30" s="136" t="str">
        <f t="shared" si="15"/>
        <v/>
      </c>
      <c r="BP30" s="136">
        <f>(COUNTIFS(AX9:AX56,BM30,AY9:AY56,BO30)+COUNTIFS(AZ9:AZ56,BM30,BA9:BA56,BO30)+COUNTIFS(BB9:BB56,BM30,BC9:BC56,BO30)+COUNTIFS(BD9:BD56,BM30,BE9:BE56,BO30)+COUNTIFS(BF9:BF56,BM30,BG9:BG56,BO30)+COUNTIFS(BH9:BH56,BM30,BI9:BI56,BO30)+COUNTIFS(BJ9:BJ56,BM30,BK9:BK56,BO30))*0.5</f>
        <v>0</v>
      </c>
      <c r="BQ30" s="136" t="str">
        <f t="shared" si="16"/>
        <v>Estudo em Grupo</v>
      </c>
      <c r="BR30" s="136" t="str">
        <f t="shared" si="16"/>
        <v/>
      </c>
      <c r="BS30" s="136" t="str">
        <f t="shared" si="18"/>
        <v>Estudo em Grupo</v>
      </c>
      <c r="BT30" s="136">
        <f t="shared" si="23"/>
        <v>0</v>
      </c>
      <c r="BU30" s="136">
        <f t="shared" si="24"/>
        <v>0</v>
      </c>
      <c r="BZ30" s="280"/>
      <c r="CA30" s="183" t="str">
        <f>'INFO BASE'!L93</f>
        <v>-</v>
      </c>
      <c r="CB30" s="183" t="str">
        <f>'INFO BASE'!M93</f>
        <v/>
      </c>
      <c r="CR30" s="177" t="str">
        <f t="shared" si="1"/>
        <v>PV</v>
      </c>
      <c r="CS30" s="177">
        <f t="shared" si="2"/>
        <v>0</v>
      </c>
      <c r="CT30" s="177" t="str">
        <f t="shared" si="1"/>
        <v>AT</v>
      </c>
      <c r="CU30" s="177" t="str">
        <f t="shared" si="3"/>
        <v>ATIEI</v>
      </c>
      <c r="CV30" s="177" t="str">
        <f t="shared" si="1"/>
        <v>AT</v>
      </c>
      <c r="CW30" s="177" t="str">
        <f t="shared" si="4"/>
        <v>ATFP</v>
      </c>
      <c r="CX30" s="177" t="str">
        <f t="shared" si="1"/>
        <v>PV</v>
      </c>
      <c r="CY30" s="177">
        <f t="shared" si="5"/>
        <v>0</v>
      </c>
      <c r="CZ30" s="177" t="str">
        <f t="shared" si="1"/>
        <v>AT</v>
      </c>
      <c r="DA30" s="177" t="str">
        <f t="shared" si="6"/>
        <v>ATAL</v>
      </c>
      <c r="DB30" s="177" t="str">
        <f t="shared" ref="DB30:DB56" si="32">IF(L30="",1,L30)</f>
        <v>PV</v>
      </c>
      <c r="DC30" s="177">
        <f t="shared" si="7"/>
        <v>0</v>
      </c>
      <c r="DD30" s="177" t="str">
        <f t="shared" si="8"/>
        <v>PV</v>
      </c>
      <c r="DE30" s="177">
        <f t="shared" si="9"/>
        <v>0</v>
      </c>
      <c r="DK30" s="136" t="str">
        <f t="shared" si="10"/>
        <v>ATAL</v>
      </c>
      <c r="DN30" t="str">
        <f t="shared" si="31"/>
        <v>AT</v>
      </c>
      <c r="DO30" t="str">
        <f t="shared" si="29"/>
        <v>AL</v>
      </c>
      <c r="DP30" t="str">
        <f t="shared" si="11"/>
        <v>AT</v>
      </c>
    </row>
    <row r="31" spans="1:120" ht="18" customHeight="1" x14ac:dyDescent="0.3">
      <c r="A31" s="81">
        <v>0.45833333333334803</v>
      </c>
      <c r="B31" s="166" t="s">
        <v>8</v>
      </c>
      <c r="C31" s="130" t="s">
        <v>230</v>
      </c>
      <c r="D31" s="169" t="s">
        <v>9</v>
      </c>
      <c r="E31" s="130" t="s">
        <v>226</v>
      </c>
      <c r="F31" s="169" t="s">
        <v>9</v>
      </c>
      <c r="G31" s="130" t="s">
        <v>224</v>
      </c>
      <c r="H31" s="169" t="s">
        <v>116</v>
      </c>
      <c r="I31" s="130"/>
      <c r="J31" s="169" t="s">
        <v>9</v>
      </c>
      <c r="K31" s="130" t="s">
        <v>230</v>
      </c>
      <c r="L31" s="169" t="s">
        <v>116</v>
      </c>
      <c r="M31" s="130"/>
      <c r="N31" s="169" t="s">
        <v>116</v>
      </c>
      <c r="O31" s="154"/>
      <c r="P31" s="6">
        <v>0</v>
      </c>
      <c r="Q31" s="114" t="str">
        <f t="shared" si="28"/>
        <v>Estudo em Grupo</v>
      </c>
      <c r="R31" s="105" t="str">
        <f t="shared" si="30"/>
        <v>AL</v>
      </c>
      <c r="S31" s="88">
        <f t="shared" si="20"/>
        <v>-0.5</v>
      </c>
      <c r="T31" s="89">
        <f>IF(VLOOKUP(Q31,'INFO BASE'!$B$40:$I$54,IF(R31='INFO BASE'!$B$32,3,IF(R31='INFO BASE'!$B$33,4,IF(R31='INFO BASE'!$B$34,5,IF(R31='INFO BASE'!$B$35,6,IF(R31='INFO BASE'!$B$36,7,IF(R31='INFO BASE'!$B$37,8,2)))))),0)=0,"",VLOOKUP(Q31,'INFO BASE'!$B$40:$I$54,IF(R31='INFO BASE'!$B$32,3,IF(R31='INFO BASE'!$B$33,4,IF(R31='INFO BASE'!$B$34,5,IF(R31='INFO BASE'!$B$35,6,IF(R31='INFO BASE'!$B$36,7,IF(R31='INFO BASE'!$B$37,8,2)))))),0))</f>
        <v>2</v>
      </c>
      <c r="U31" s="89">
        <f>(COUNTIFS(C9:C56,R31,B9:B56,R27)+COUNTIFS(E9:E56,R31,D9:D56,R27)+COUNTIFS(G9:G56,R31,F9:F56,R27)+COUNTIFS(I9:I56,R31,H9:H56,R27)+COUNTIFS(K9:K56,R31,J9:J56,R27)+COUNTIFS(M9:M56,R31,L9:L56,R27)+COUNTIFS(O9:O56,R31,N9:N56,R27))*0.5</f>
        <v>1</v>
      </c>
      <c r="V31" s="89">
        <f>(COUNTIFS(AI9:AI56,R27,AJ9:AJ56,R24)+COUNTIFS(AK9:AK56,R27,AL9:AL56,R24)+COUNTIFS(AM9:AM56,R27,AN9:AN56,R24)+COUNTIFS(AO9:AO56,R27,AP9:AP56,R24)+COUNTIFS(AQ9:AQ56,R27,AR9:AR56,R24)+COUNTIFS(AS9:AS56,R27,AT9:AT56,R24)+COUNTIFS(AU9:AU56,R27,AV9:AV56,R24))*0.5</f>
        <v>2</v>
      </c>
      <c r="W31" s="90">
        <f>IF(AH5="","-",IF(V31=0,U31,IFERROR((U31/V31)-1,"-")))</f>
        <v>-0.5</v>
      </c>
      <c r="X31" s="201">
        <f t="shared" si="21"/>
        <v>1</v>
      </c>
      <c r="Y31" s="271" t="s">
        <v>236</v>
      </c>
      <c r="Z31" s="272"/>
      <c r="AA31" s="272"/>
      <c r="AB31" s="272"/>
      <c r="AC31" s="272"/>
      <c r="AD31" s="272"/>
      <c r="AE31" s="272"/>
      <c r="AF31" s="273"/>
      <c r="AH31" s="136">
        <v>0.45833333333334803</v>
      </c>
      <c r="AI31" s="136" t="s">
        <v>8</v>
      </c>
      <c r="AJ31" s="136" t="s">
        <v>230</v>
      </c>
      <c r="AK31" s="136" t="s">
        <v>9</v>
      </c>
      <c r="AL31" s="136" t="s">
        <v>226</v>
      </c>
      <c r="AM31" s="136" t="s">
        <v>9</v>
      </c>
      <c r="AN31" s="136" t="s">
        <v>224</v>
      </c>
      <c r="AO31" s="136" t="s">
        <v>116</v>
      </c>
      <c r="AP31" s="136" t="s">
        <v>235</v>
      </c>
      <c r="AQ31" s="136" t="s">
        <v>9</v>
      </c>
      <c r="AR31" s="136" t="s">
        <v>230</v>
      </c>
      <c r="AS31" s="136" t="s">
        <v>116</v>
      </c>
      <c r="AT31" s="136" t="s">
        <v>235</v>
      </c>
      <c r="AU31" s="136" t="s">
        <v>116</v>
      </c>
      <c r="AV31" s="136" t="s">
        <v>235</v>
      </c>
      <c r="AX31" s="136" t="str">
        <f>IF(AI5="","",IF(B31="","",B31))</f>
        <v>EA</v>
      </c>
      <c r="AY31" s="136" t="str">
        <f>IF(AI5="","",IF(C31="","",C31))</f>
        <v>AL</v>
      </c>
      <c r="AZ31" s="136" t="str">
        <f>IF(AI5="","",IF(D31="","",D31))</f>
        <v>AT</v>
      </c>
      <c r="BA31" s="136" t="str">
        <f>IF(AI5="","",IF(E31="","",E31))</f>
        <v>IEI</v>
      </c>
      <c r="BB31" s="136" t="str">
        <f>IF(AI5="","",IF(F31="","",F31))</f>
        <v>AT</v>
      </c>
      <c r="BC31" s="136" t="str">
        <f>IF(AI5="","",IF(G31="","",G31))</f>
        <v>FP</v>
      </c>
      <c r="BD31" s="136" t="str">
        <f>IF(AI5="","",IF(H31="","",H31))</f>
        <v>PV</v>
      </c>
      <c r="BE31" s="136" t="str">
        <f>IF(AI5="","",IF(I31="","",I31))</f>
        <v/>
      </c>
      <c r="BF31" s="136" t="str">
        <f>IF(AI5="","",IF(J31="","",J31))</f>
        <v>AT</v>
      </c>
      <c r="BG31" s="136" t="str">
        <f>IF(AI5="","",IF(K31="","",K31))</f>
        <v>AL</v>
      </c>
      <c r="BH31" s="136" t="str">
        <f>IF(AI5="","",IF(L31="","",L31))</f>
        <v>PV</v>
      </c>
      <c r="BI31" s="136" t="str">
        <f>IF(AI5="","",IF(M31="","",M31))</f>
        <v/>
      </c>
      <c r="BJ31" s="136" t="str">
        <f>IF(AI5="","",IF(N31="","",N31))</f>
        <v>PV</v>
      </c>
      <c r="BK31" s="136" t="str">
        <f>IF(AI5="","",IF(O31="","",O31))</f>
        <v/>
      </c>
      <c r="BM31" s="136" t="str">
        <f>BO31</f>
        <v>TG</v>
      </c>
      <c r="BN31" s="136" t="str">
        <f t="shared" si="15"/>
        <v>Trabalho de Grupo</v>
      </c>
      <c r="BO31" s="136" t="str">
        <f t="shared" si="15"/>
        <v>TG</v>
      </c>
      <c r="BP31" s="136">
        <f>COUNTIFS(AX9:BK56,BO31)*0.5</f>
        <v>0</v>
      </c>
      <c r="BQ31" s="136" t="str">
        <f t="shared" si="16"/>
        <v>Trabalho de Grupo</v>
      </c>
      <c r="BR31" s="136" t="str">
        <f t="shared" si="16"/>
        <v>TG</v>
      </c>
      <c r="BS31" s="136" t="str">
        <f t="shared" si="18"/>
        <v>Trabalho de Grupo</v>
      </c>
      <c r="BT31" s="136">
        <f t="shared" si="23"/>
        <v>0</v>
      </c>
      <c r="BU31" s="136">
        <f t="shared" si="24"/>
        <v>0</v>
      </c>
      <c r="BZ31" s="280"/>
      <c r="CA31" s="183" t="str">
        <f>'INFO BASE'!L94</f>
        <v>-</v>
      </c>
      <c r="CB31" s="183" t="str">
        <f>'INFO BASE'!M94</f>
        <v/>
      </c>
      <c r="CR31" s="177" t="str">
        <f t="shared" si="1"/>
        <v>EA</v>
      </c>
      <c r="CS31" s="177" t="str">
        <f t="shared" si="2"/>
        <v>EAAL</v>
      </c>
      <c r="CT31" s="177" t="str">
        <f t="shared" si="1"/>
        <v>AT</v>
      </c>
      <c r="CU31" s="177" t="str">
        <f t="shared" si="3"/>
        <v>ATIEI</v>
      </c>
      <c r="CV31" s="177" t="str">
        <f t="shared" si="1"/>
        <v>AT</v>
      </c>
      <c r="CW31" s="177" t="str">
        <f t="shared" si="4"/>
        <v>ATFP</v>
      </c>
      <c r="CX31" s="177" t="str">
        <f t="shared" si="1"/>
        <v>PV</v>
      </c>
      <c r="CY31" s="177">
        <f t="shared" si="5"/>
        <v>0</v>
      </c>
      <c r="CZ31" s="177" t="str">
        <f t="shared" si="1"/>
        <v>AT</v>
      </c>
      <c r="DA31" s="177" t="str">
        <f t="shared" si="6"/>
        <v>ATAL</v>
      </c>
      <c r="DB31" s="177" t="str">
        <f t="shared" si="32"/>
        <v>PV</v>
      </c>
      <c r="DC31" s="177">
        <f t="shared" si="7"/>
        <v>0</v>
      </c>
      <c r="DD31" s="177" t="str">
        <f t="shared" si="8"/>
        <v>PV</v>
      </c>
      <c r="DE31" s="177">
        <f t="shared" si="9"/>
        <v>0</v>
      </c>
      <c r="DK31" s="136" t="str">
        <f t="shared" si="10"/>
        <v>ATCDI</v>
      </c>
      <c r="DN31" t="str">
        <f t="shared" si="31"/>
        <v>AT</v>
      </c>
      <c r="DO31" t="str">
        <f t="shared" si="29"/>
        <v>CDI</v>
      </c>
      <c r="DP31" t="str">
        <f t="shared" si="11"/>
        <v>AT</v>
      </c>
    </row>
    <row r="32" spans="1:120" ht="18" customHeight="1" x14ac:dyDescent="0.3">
      <c r="A32" s="81">
        <v>0.47916666666668201</v>
      </c>
      <c r="B32" s="166" t="s">
        <v>116</v>
      </c>
      <c r="C32" s="130"/>
      <c r="D32" s="169" t="s">
        <v>9</v>
      </c>
      <c r="E32" s="130" t="s">
        <v>226</v>
      </c>
      <c r="F32" s="169" t="s">
        <v>9</v>
      </c>
      <c r="G32" s="130" t="s">
        <v>231</v>
      </c>
      <c r="H32" s="169" t="s">
        <v>116</v>
      </c>
      <c r="I32" s="130"/>
      <c r="J32" s="169" t="s">
        <v>9</v>
      </c>
      <c r="K32" s="130" t="s">
        <v>231</v>
      </c>
      <c r="L32" s="169" t="s">
        <v>116</v>
      </c>
      <c r="M32" s="130"/>
      <c r="N32" s="169" t="s">
        <v>116</v>
      </c>
      <c r="O32" s="154"/>
      <c r="P32" s="6">
        <v>0</v>
      </c>
      <c r="Q32" s="114" t="str">
        <f t="shared" si="28"/>
        <v>Estudo em Grupo</v>
      </c>
      <c r="R32" s="105" t="str">
        <f t="shared" si="30"/>
        <v>CDI</v>
      </c>
      <c r="S32" s="88">
        <f t="shared" si="20"/>
        <v>-1</v>
      </c>
      <c r="T32" s="89">
        <f>IF(VLOOKUP(Q32,'INFO BASE'!$B$40:$I$54,IF(R32='INFO BASE'!$B$32,3,IF(R32='INFO BASE'!$B$33,4,IF(R32='INFO BASE'!$B$34,5,IF(R32='INFO BASE'!$B$35,6,IF(R32='INFO BASE'!$B$36,7,IF(R32='INFO BASE'!$B$37,8,2)))))),0)=0,"",VLOOKUP(Q32,'INFO BASE'!$B$40:$I$54,IF(R32='INFO BASE'!$B$32,3,IF(R32='INFO BASE'!$B$33,4,IF(R32='INFO BASE'!$B$34,5,IF(R32='INFO BASE'!$B$35,6,IF(R32='INFO BASE'!$B$36,7,IF(R32='INFO BASE'!$B$37,8,2)))))),0))</f>
        <v>2</v>
      </c>
      <c r="U32" s="89">
        <f>(COUNTIFS(C9:C56,R32,B9:B56,R27)+COUNTIFS(E9:E56,R32,D9:D56,R27)+COUNTIFS(G9:G56,R32,F9:F56,R27)+COUNTIFS(I9:I56,R32,H9:H56,R27)+COUNTIFS(K9:K56,R32,J9:J56,R27)+COUNTIFS(M9:M56,R32,L9:L56,R27)+COUNTIFS(O9:O56,R32,N9:N56,R27))*0.5</f>
        <v>0</v>
      </c>
      <c r="V32" s="89">
        <f>(COUNTIFS(AI9:AI56,R27,AJ9:AJ56,R25)+COUNTIFS(AK9:AK56,R27,AL9:AL56,R25)+COUNTIFS(AM9:AM56,R27,AN9:AN56,R25)+COUNTIFS(AO9:AO56,R27,AP9:AP56,R25)+COUNTIFS(AQ9:AQ56,R27,AR9:AR56,R25)+COUNTIFS(AS9:AS56,R27,AT9:AT56,R25)+COUNTIFS(AU9:AU56,R27,AV9:AV56,R25))*0.5</f>
        <v>1</v>
      </c>
      <c r="W32" s="90">
        <f>IF(AH5="","-",IF(V32=0,U32,IFERROR((U32/V32)-1,"-")))</f>
        <v>-1</v>
      </c>
      <c r="X32" s="201">
        <f t="shared" si="21"/>
        <v>1</v>
      </c>
      <c r="Y32" s="271" t="s">
        <v>236</v>
      </c>
      <c r="Z32" s="272"/>
      <c r="AA32" s="272"/>
      <c r="AB32" s="272"/>
      <c r="AC32" s="272"/>
      <c r="AD32" s="272"/>
      <c r="AE32" s="272"/>
      <c r="AF32" s="273"/>
      <c r="AH32" s="136">
        <v>0.47916666666668201</v>
      </c>
      <c r="AI32" s="136" t="s">
        <v>116</v>
      </c>
      <c r="AJ32" s="136" t="s">
        <v>235</v>
      </c>
      <c r="AK32" s="136" t="s">
        <v>9</v>
      </c>
      <c r="AL32" s="136" t="s">
        <v>226</v>
      </c>
      <c r="AM32" s="136" t="s">
        <v>9</v>
      </c>
      <c r="AN32" s="136" t="s">
        <v>231</v>
      </c>
      <c r="AO32" s="136" t="s">
        <v>116</v>
      </c>
      <c r="AP32" s="136" t="s">
        <v>235</v>
      </c>
      <c r="AQ32" s="136" t="s">
        <v>9</v>
      </c>
      <c r="AR32" s="136" t="s">
        <v>231</v>
      </c>
      <c r="AS32" s="136" t="s">
        <v>116</v>
      </c>
      <c r="AT32" s="136" t="s">
        <v>235</v>
      </c>
      <c r="AU32" s="136" t="s">
        <v>116</v>
      </c>
      <c r="AV32" s="136" t="s">
        <v>235</v>
      </c>
      <c r="AX32" s="136" t="str">
        <f>IF(AI5="","",IF(B32="","",B32))</f>
        <v>PV</v>
      </c>
      <c r="AY32" s="136" t="str">
        <f>IF(AI5="","",IF(C32="","",C32))</f>
        <v/>
      </c>
      <c r="AZ32" s="136" t="str">
        <f>IF(AI5="","",IF(D32="","",D32))</f>
        <v>AT</v>
      </c>
      <c r="BA32" s="136" t="str">
        <f>IF(AI5="","",IF(E32="","",E32))</f>
        <v>IEI</v>
      </c>
      <c r="BB32" s="136" t="str">
        <f>IF(AI5="","",IF(F32="","",F32))</f>
        <v>AT</v>
      </c>
      <c r="BC32" s="136" t="str">
        <f>IF(AI5="","",IF(G32="","",G32))</f>
        <v>CDI</v>
      </c>
      <c r="BD32" s="136" t="str">
        <f>IF(AI5="","",IF(H32="","",H32))</f>
        <v>PV</v>
      </c>
      <c r="BE32" s="136" t="str">
        <f>IF(AI5="","",IF(I32="","",I32))</f>
        <v/>
      </c>
      <c r="BF32" s="136" t="str">
        <f>IF(AI5="","",IF(J32="","",J32))</f>
        <v>AT</v>
      </c>
      <c r="BG32" s="136" t="str">
        <f>IF(AI5="","",IF(K32="","",K32))</f>
        <v>CDI</v>
      </c>
      <c r="BH32" s="136" t="str">
        <f>IF(AI5="","",IF(L32="","",L32))</f>
        <v>PV</v>
      </c>
      <c r="BI32" s="136" t="str">
        <f>IF(AI5="","",IF(M32="","",M32))</f>
        <v/>
      </c>
      <c r="BJ32" s="136" t="str">
        <f>IF(AI5="","",IF(N32="","",N32))</f>
        <v>PV</v>
      </c>
      <c r="BK32" s="136" t="str">
        <f>IF(AI5="","",IF(O32="","",O32))</f>
        <v/>
      </c>
      <c r="BM32" s="136" t="str">
        <f>BM31</f>
        <v>TG</v>
      </c>
      <c r="BN32" s="136" t="str">
        <f t="shared" si="15"/>
        <v>Trabalho de Grupo</v>
      </c>
      <c r="BO32" s="136" t="str">
        <f t="shared" si="15"/>
        <v>FP</v>
      </c>
      <c r="BP32" s="136">
        <f>(COUNTIFS(AX9:AX56,BM32,AY9:AY56,BO32)+COUNTIFS(AZ9:AZ56,BM32,BA9:BA56,BO32)+COUNTIFS(BB9:BB56,BM32,BC9:BC56,BO32)+COUNTIFS(BD9:BD56,BM32,BE9:BE56,BO32)+COUNTIFS(BF9:BF56,BM32,BG9:BG56,BO32)+COUNTIFS(BH9:BH56,BM32,BI9:BI56,BO32)+COUNTIFS(BJ9:BJ56,BM32,BK9:BK56,BO32))*0.5</f>
        <v>0</v>
      </c>
      <c r="BQ32" s="136" t="str">
        <f t="shared" si="16"/>
        <v>Trabalho de Grupo</v>
      </c>
      <c r="BR32" s="136" t="str">
        <f t="shared" si="16"/>
        <v>FP</v>
      </c>
      <c r="BS32" s="136" t="str">
        <f t="shared" si="18"/>
        <v>Trabalho de Grupo</v>
      </c>
      <c r="BT32" s="136">
        <f t="shared" si="23"/>
        <v>0</v>
      </c>
      <c r="BU32" s="136">
        <f t="shared" si="24"/>
        <v>0</v>
      </c>
      <c r="BZ32" s="280"/>
      <c r="CA32" s="183" t="str">
        <f>'INFO BASE'!L95</f>
        <v>-</v>
      </c>
      <c r="CB32" s="183" t="str">
        <f>'INFO BASE'!M95</f>
        <v/>
      </c>
      <c r="CR32" s="177" t="str">
        <f t="shared" si="1"/>
        <v>PV</v>
      </c>
      <c r="CS32" s="177">
        <f t="shared" si="2"/>
        <v>0</v>
      </c>
      <c r="CT32" s="177" t="str">
        <f t="shared" si="1"/>
        <v>AT</v>
      </c>
      <c r="CU32" s="177" t="str">
        <f t="shared" si="3"/>
        <v>ATIEI</v>
      </c>
      <c r="CV32" s="177" t="str">
        <f t="shared" si="1"/>
        <v>AT</v>
      </c>
      <c r="CW32" s="177" t="str">
        <f t="shared" si="4"/>
        <v>ATCDI</v>
      </c>
      <c r="CX32" s="177" t="str">
        <f t="shared" si="1"/>
        <v>PV</v>
      </c>
      <c r="CY32" s="177">
        <f t="shared" si="5"/>
        <v>0</v>
      </c>
      <c r="CZ32" s="177" t="str">
        <f t="shared" si="1"/>
        <v>AT</v>
      </c>
      <c r="DA32" s="177" t="str">
        <f t="shared" si="6"/>
        <v>ATCDI</v>
      </c>
      <c r="DB32" s="177" t="str">
        <f t="shared" si="32"/>
        <v>PV</v>
      </c>
      <c r="DC32" s="177">
        <f t="shared" si="7"/>
        <v>0</v>
      </c>
      <c r="DD32" s="177" t="str">
        <f t="shared" si="8"/>
        <v>PV</v>
      </c>
      <c r="DE32" s="177">
        <f t="shared" si="9"/>
        <v>0</v>
      </c>
      <c r="DK32" s="136" t="str">
        <f t="shared" si="10"/>
        <v>AT0</v>
      </c>
      <c r="DN32" t="str">
        <f t="shared" si="31"/>
        <v>AT</v>
      </c>
      <c r="DO32">
        <f t="shared" si="29"/>
        <v>0</v>
      </c>
      <c r="DP32" t="str">
        <f t="shared" si="11"/>
        <v>AT</v>
      </c>
    </row>
    <row r="33" spans="1:120" ht="18" customHeight="1" thickBot="1" x14ac:dyDescent="0.35">
      <c r="A33" s="81">
        <v>0.50000000000001599</v>
      </c>
      <c r="B33" s="166" t="s">
        <v>9</v>
      </c>
      <c r="C33" s="130" t="s">
        <v>230</v>
      </c>
      <c r="D33" s="169" t="s">
        <v>116</v>
      </c>
      <c r="E33" s="130" t="s">
        <v>116</v>
      </c>
      <c r="F33" s="169" t="s">
        <v>9</v>
      </c>
      <c r="G33" s="130" t="s">
        <v>231</v>
      </c>
      <c r="H33" s="169" t="s">
        <v>130</v>
      </c>
      <c r="I33" s="130" t="s">
        <v>224</v>
      </c>
      <c r="J33" s="169" t="s">
        <v>9</v>
      </c>
      <c r="K33" s="130" t="s">
        <v>231</v>
      </c>
      <c r="L33" s="169" t="s">
        <v>116</v>
      </c>
      <c r="M33" s="130"/>
      <c r="N33" s="169" t="s">
        <v>116</v>
      </c>
      <c r="O33" s="154"/>
      <c r="P33" s="6">
        <v>0</v>
      </c>
      <c r="Q33" s="116" t="str">
        <f t="shared" si="28"/>
        <v>Estudo em Grupo</v>
      </c>
      <c r="R33" s="105" t="str">
        <f t="shared" si="30"/>
        <v/>
      </c>
      <c r="S33" s="94" t="str">
        <f t="shared" si="20"/>
        <v>-</v>
      </c>
      <c r="T33" s="95" t="str">
        <f>IF(VLOOKUP(Q33,'INFO BASE'!$B$40:$I$54,IF(R33='INFO BASE'!$B$32,3,IF(R33='INFO BASE'!$B$33,4,IF(R33='INFO BASE'!$B$34,5,IF(R33='INFO BASE'!$B$35,6,IF(R33='INFO BASE'!$B$36,7,IF(R33='INFO BASE'!$B$37,8,2)))))),0)=0,"",VLOOKUP(Q33,'INFO BASE'!$B$40:$I$54,IF(R33='INFO BASE'!$B$32,3,IF(R33='INFO BASE'!$B$33,4,IF(R33='INFO BASE'!$B$34,5,IF(R33='INFO BASE'!$B$35,6,IF(R33='INFO BASE'!$B$36,7,IF(R33='INFO BASE'!$B$37,8,2)))))),0))</f>
        <v/>
      </c>
      <c r="U33" s="95">
        <f>(COUNTIFS(C9:C56,R33,B9:B56,R27)+COUNTIFS(E9:E56,R33,D9:D56,R27)+COUNTIFS(G9:G56,R33,F9:F56,R27)+COUNTIFS(I9:I56,R33,H9:H56,R27)+COUNTIFS(K9:K56,R33,J9:J56,R27)+COUNTIFS(M9:M56,R33,L9:L56,R27)+COUNTIFS(O9:O56,R33,N9:N56,R27))*0.5</f>
        <v>0</v>
      </c>
      <c r="V33" s="95">
        <f>(COUNTIFS(AI9:AI56,R27,AJ9:AJ56,R26)+COUNTIFS(AK9:AK56,R27,AL9:AL56,R26)+COUNTIFS(AM9:AM56,R27,AN9:AN56,R26)+COUNTIFS(AO9:AO56,R27,AP9:AP56,R26)+COUNTIFS(AQ9:AQ56,R27,AR9:AR56,R26)+COUNTIFS(AS9:AS56,R27,AT9:AT56,R26)+COUNTIFS(AU9:AU56,R27,AV9:AV56,R26))*0.5</f>
        <v>0</v>
      </c>
      <c r="W33" s="96">
        <f>IF(AH5="","-",IF(V33=0,U33,IFERROR((U33/V33)-1,"-")))</f>
        <v>0</v>
      </c>
      <c r="X33" s="201">
        <f t="shared" si="21"/>
        <v>0</v>
      </c>
      <c r="Y33" s="274"/>
      <c r="Z33" s="275"/>
      <c r="AA33" s="275"/>
      <c r="AB33" s="275"/>
      <c r="AC33" s="275"/>
      <c r="AD33" s="275"/>
      <c r="AE33" s="275"/>
      <c r="AF33" s="276"/>
      <c r="AH33" s="136">
        <v>0.50000000000001599</v>
      </c>
      <c r="AI33" s="136" t="s">
        <v>9</v>
      </c>
      <c r="AJ33" s="136" t="s">
        <v>230</v>
      </c>
      <c r="AK33" s="136" t="s">
        <v>116</v>
      </c>
      <c r="AL33" s="136" t="s">
        <v>116</v>
      </c>
      <c r="AM33" s="136" t="s">
        <v>9</v>
      </c>
      <c r="AN33" s="136" t="s">
        <v>231</v>
      </c>
      <c r="AO33" s="136" t="s">
        <v>130</v>
      </c>
      <c r="AP33" s="136" t="s">
        <v>224</v>
      </c>
      <c r="AQ33" s="136" t="s">
        <v>9</v>
      </c>
      <c r="AR33" s="136" t="s">
        <v>231</v>
      </c>
      <c r="AS33" s="136" t="s">
        <v>116</v>
      </c>
      <c r="AT33" s="136" t="s">
        <v>235</v>
      </c>
      <c r="AU33" s="136" t="s">
        <v>116</v>
      </c>
      <c r="AV33" s="136" t="s">
        <v>235</v>
      </c>
      <c r="AX33" s="136" t="str">
        <f>IF(AI5="","",IF(B33="","",B33))</f>
        <v>AT</v>
      </c>
      <c r="AY33" s="136" t="str">
        <f>IF(AI5="","",IF(C33="","",C33))</f>
        <v>AL</v>
      </c>
      <c r="AZ33" s="136" t="str">
        <f>IF(AI5="","",IF(D33="","",D33))</f>
        <v>PV</v>
      </c>
      <c r="BA33" s="136" t="str">
        <f>IF(AI5="","",IF(E33="","",E33))</f>
        <v>PV</v>
      </c>
      <c r="BB33" s="136" t="str">
        <f>IF(AI5="","",IF(F33="","",F33))</f>
        <v>AT</v>
      </c>
      <c r="BC33" s="136" t="str">
        <f>IF(AI5="","",IF(G33="","",G33))</f>
        <v>CDI</v>
      </c>
      <c r="BD33" s="136" t="str">
        <f>IF(AI5="","",IF(H33="","",H33))</f>
        <v>APB</v>
      </c>
      <c r="BE33" s="136" t="str">
        <f>IF(AI5="","",IF(I33="","",I33))</f>
        <v>FP</v>
      </c>
      <c r="BF33" s="136" t="str">
        <f>IF(AI5="","",IF(J33="","",J33))</f>
        <v>AT</v>
      </c>
      <c r="BG33" s="136" t="str">
        <f>IF(AI5="","",IF(K33="","",K33))</f>
        <v>CDI</v>
      </c>
      <c r="BH33" s="136" t="str">
        <f>IF(AI5="","",IF(L33="","",L33))</f>
        <v>PV</v>
      </c>
      <c r="BI33" s="136" t="str">
        <f>IF(AI5="","",IF(M33="","",M33))</f>
        <v/>
      </c>
      <c r="BJ33" s="136" t="str">
        <f>IF(AI5="","",IF(N33="","",N33))</f>
        <v>PV</v>
      </c>
      <c r="BK33" s="136" t="str">
        <f>IF(AI5="","",IF(O33="","",O33))</f>
        <v/>
      </c>
      <c r="BM33" s="136" t="str">
        <f t="shared" ref="BM33:BM37" si="33">BM32</f>
        <v>TG</v>
      </c>
      <c r="BN33" s="136" t="str">
        <f t="shared" si="15"/>
        <v>Trabalho de Grupo</v>
      </c>
      <c r="BO33" s="136" t="str">
        <f t="shared" si="15"/>
        <v>IEI</v>
      </c>
      <c r="BP33" s="136">
        <f>(COUNTIFS(AX9:AX56,BM33,AY9:AY56,BO33)+COUNTIFS(AZ9:AZ56,BM33,BA9:BA56,BO33)+COUNTIFS(BB9:BB56,BM33,BC9:BC56,BO33)+COUNTIFS(BD9:BD56,BM33,BE9:BE56,BO33)+COUNTIFS(BF9:BF56,BM33,BG9:BG56,BO33)+COUNTIFS(BH9:BH56,BM33,BI9:BI56,BO33)+COUNTIFS(BJ9:BJ56,BM33,BK9:BK56,BO33))*0.5</f>
        <v>0</v>
      </c>
      <c r="BQ33" s="136" t="str">
        <f t="shared" ref="BQ33:BR53" si="34">BN33</f>
        <v>Trabalho de Grupo</v>
      </c>
      <c r="BR33" s="136" t="str">
        <f t="shared" si="34"/>
        <v>IEI</v>
      </c>
      <c r="BS33" s="136" t="str">
        <f t="shared" si="18"/>
        <v>Trabalho de Grupo</v>
      </c>
      <c r="BT33" s="136">
        <f t="shared" si="23"/>
        <v>0</v>
      </c>
      <c r="BU33" s="136">
        <f t="shared" si="24"/>
        <v>0</v>
      </c>
      <c r="BZ33" s="280"/>
      <c r="CA33" s="183" t="str">
        <f>'INFO BASE'!L96</f>
        <v>-</v>
      </c>
      <c r="CB33" s="183" t="str">
        <f>'INFO BASE'!M96</f>
        <v/>
      </c>
      <c r="CR33" s="177" t="str">
        <f t="shared" si="1"/>
        <v>AT</v>
      </c>
      <c r="CS33" s="177" t="str">
        <f t="shared" si="2"/>
        <v>ATAL</v>
      </c>
      <c r="CT33" s="177" t="str">
        <f t="shared" si="1"/>
        <v>PV</v>
      </c>
      <c r="CU33" s="177">
        <f t="shared" si="3"/>
        <v>0</v>
      </c>
      <c r="CV33" s="177" t="str">
        <f t="shared" si="1"/>
        <v>AT</v>
      </c>
      <c r="CW33" s="177" t="str">
        <f t="shared" si="4"/>
        <v>ATCDI</v>
      </c>
      <c r="CX33" s="177" t="str">
        <f t="shared" si="1"/>
        <v>APB</v>
      </c>
      <c r="CY33" s="177" t="str">
        <f t="shared" si="5"/>
        <v>APBFP</v>
      </c>
      <c r="CZ33" s="177" t="str">
        <f t="shared" si="1"/>
        <v>AT</v>
      </c>
      <c r="DA33" s="177" t="str">
        <f t="shared" si="6"/>
        <v>ATCDI</v>
      </c>
      <c r="DB33" s="177" t="str">
        <f t="shared" si="32"/>
        <v>PV</v>
      </c>
      <c r="DC33" s="177">
        <f t="shared" si="7"/>
        <v>0</v>
      </c>
      <c r="DD33" s="177" t="str">
        <f t="shared" si="8"/>
        <v>PV</v>
      </c>
      <c r="DE33" s="177">
        <f t="shared" si="9"/>
        <v>0</v>
      </c>
      <c r="DK33" s="136" t="str">
        <f t="shared" si="10"/>
        <v>APAFP</v>
      </c>
      <c r="DN33" t="str">
        <f>'INFO BASE'!B21</f>
        <v>APA</v>
      </c>
      <c r="DO33" t="str">
        <f>DO27</f>
        <v>FP</v>
      </c>
      <c r="DP33" t="str">
        <f t="shared" si="11"/>
        <v>APA</v>
      </c>
    </row>
    <row r="34" spans="1:120" ht="18" customHeight="1" x14ac:dyDescent="0.3">
      <c r="A34" s="81">
        <v>0.52083333333335002</v>
      </c>
      <c r="B34" s="166" t="s">
        <v>9</v>
      </c>
      <c r="C34" s="130" t="s">
        <v>230</v>
      </c>
      <c r="D34" s="169" t="s">
        <v>116</v>
      </c>
      <c r="E34" s="130"/>
      <c r="F34" s="169" t="s">
        <v>9</v>
      </c>
      <c r="G34" s="130" t="s">
        <v>230</v>
      </c>
      <c r="H34" s="169" t="s">
        <v>130</v>
      </c>
      <c r="I34" s="130" t="s">
        <v>224</v>
      </c>
      <c r="J34" s="169" t="s">
        <v>130</v>
      </c>
      <c r="K34" s="130" t="s">
        <v>230</v>
      </c>
      <c r="L34" s="169" t="s">
        <v>116</v>
      </c>
      <c r="M34" s="130"/>
      <c r="N34" s="169" t="s">
        <v>116</v>
      </c>
      <c r="O34" s="154"/>
      <c r="P34" s="6">
        <v>0</v>
      </c>
      <c r="Q34" s="117" t="str">
        <f>IF('INFO BASE'!$C$19="","",'INFO BASE'!$C$19)</f>
        <v>Trabalho de Grupo</v>
      </c>
      <c r="R34" s="82" t="str">
        <f>IFERROR(VLOOKUP(Q34,'INFO BASE'!$C$17:$D$29,2,0),"")</f>
        <v>TG</v>
      </c>
      <c r="S34" s="83">
        <f t="shared" ref="S34:S47" si="35">IFERROR((U34/T34)-1,"-")</f>
        <v>-1</v>
      </c>
      <c r="T34" s="84">
        <f>IF(VLOOKUP(Q34,'INFO BASE'!$B$40:$I$54,IF(R34='INFO BASE'!$B$32,3,IF(R34='INFO BASE'!$B$33,4,IF(R34='INFO BASE'!$B$34,5,IF(R34='INFO BASE'!$B$35,6,IF(R34='INFO BASE'!$B$36,7,IF(R34='INFO BASE'!$B$37,8,2)))))),0)=0,"",VLOOKUP(Q34,'INFO BASE'!$B$40:$I$54,IF(R34='INFO BASE'!$B$32,3,IF(R34='INFO BASE'!$B$33,4,IF(R34='INFO BASE'!$B$34,5,IF(R34='INFO BASE'!$B$35,6,IF(R34='INFO BASE'!$B$36,7,IF(R34='INFO BASE'!$B$37,8,2)))))),0))</f>
        <v>15</v>
      </c>
      <c r="U34" s="84">
        <f>IF(R34="","",COUNTIFS(SEMANA1,R34)*0.5)</f>
        <v>0</v>
      </c>
      <c r="V34" s="84">
        <f>IF(R34="","",COUNTIFS(AI9:AV56,R34)*0.5)</f>
        <v>0</v>
      </c>
      <c r="W34" s="85">
        <f>IF(AH5="","-",IF(V34=0,U34,IFERROR((U34/V34)-1,"-")))</f>
        <v>0</v>
      </c>
      <c r="X34" s="201">
        <f t="shared" si="21"/>
        <v>0</v>
      </c>
      <c r="Y34" s="277"/>
      <c r="Z34" s="278"/>
      <c r="AA34" s="278"/>
      <c r="AB34" s="278"/>
      <c r="AC34" s="278"/>
      <c r="AD34" s="278"/>
      <c r="AE34" s="278"/>
      <c r="AF34" s="279"/>
      <c r="AH34" s="136">
        <v>0.52083333333335002</v>
      </c>
      <c r="AI34" s="136" t="s">
        <v>9</v>
      </c>
      <c r="AJ34" s="136" t="s">
        <v>230</v>
      </c>
      <c r="AK34" s="136" t="s">
        <v>116</v>
      </c>
      <c r="AL34" s="136" t="s">
        <v>235</v>
      </c>
      <c r="AM34" s="136" t="s">
        <v>9</v>
      </c>
      <c r="AN34" s="136" t="s">
        <v>230</v>
      </c>
      <c r="AO34" s="136" t="s">
        <v>130</v>
      </c>
      <c r="AP34" s="136" t="s">
        <v>224</v>
      </c>
      <c r="AQ34" s="136" t="s">
        <v>130</v>
      </c>
      <c r="AR34" s="136" t="s">
        <v>230</v>
      </c>
      <c r="AS34" s="136" t="s">
        <v>116</v>
      </c>
      <c r="AT34" s="136" t="s">
        <v>235</v>
      </c>
      <c r="AU34" s="136" t="s">
        <v>116</v>
      </c>
      <c r="AV34" s="136" t="s">
        <v>235</v>
      </c>
      <c r="AX34" s="136" t="str">
        <f>IF(AI5="","",IF(B34="","",B34))</f>
        <v>AT</v>
      </c>
      <c r="AY34" s="136" t="str">
        <f>IF(AI5="","",IF(C34="","",C34))</f>
        <v>AL</v>
      </c>
      <c r="AZ34" s="136" t="str">
        <f>IF(AI5="","",IF(D34="","",D34))</f>
        <v>PV</v>
      </c>
      <c r="BA34" s="136" t="str">
        <f>IF(AI5="","",IF(E34="","",E34))</f>
        <v/>
      </c>
      <c r="BB34" s="136" t="str">
        <f>IF(AI5="","",IF(F34="","",F34))</f>
        <v>AT</v>
      </c>
      <c r="BC34" s="136" t="str">
        <f>IF(AI5="","",IF(G34="","",G34))</f>
        <v>AL</v>
      </c>
      <c r="BD34" s="136" t="str">
        <f>IF(AI5="","",IF(H34="","",H34))</f>
        <v>APB</v>
      </c>
      <c r="BE34" s="136" t="str">
        <f>IF(AI5="","",IF(I34="","",I34))</f>
        <v>FP</v>
      </c>
      <c r="BF34" s="136" t="str">
        <f>IF(AI5="","",IF(J34="","",J34))</f>
        <v>APB</v>
      </c>
      <c r="BG34" s="136" t="str">
        <f>IF(AI5="","",IF(K34="","",K34))</f>
        <v>AL</v>
      </c>
      <c r="BH34" s="136" t="str">
        <f>IF(AI5="","",IF(L34="","",L34))</f>
        <v>PV</v>
      </c>
      <c r="BI34" s="136" t="str">
        <f>IF(AI5="","",IF(M34="","",M34))</f>
        <v/>
      </c>
      <c r="BJ34" s="136" t="str">
        <f>IF(AI5="","",IF(N34="","",N34))</f>
        <v>PV</v>
      </c>
      <c r="BK34" s="136" t="str">
        <f>IF(AI5="","",IF(O34="","",O34))</f>
        <v/>
      </c>
      <c r="BM34" s="136" t="str">
        <f t="shared" si="33"/>
        <v>TG</v>
      </c>
      <c r="BN34" s="136" t="str">
        <f t="shared" si="15"/>
        <v>Trabalho de Grupo</v>
      </c>
      <c r="BO34" s="136" t="str">
        <f t="shared" si="15"/>
        <v>IAC</v>
      </c>
      <c r="BP34" s="136">
        <f>(COUNTIFS(AX9:AX56,BM34,AY9:AY56,BO34)+COUNTIFS(AZ9:AZ56,BM34,BA9:BA56,BO34)+COUNTIFS(BB9:BB56,BM34,BC9:BC56,BO34)+COUNTIFS(BD9:BD56,BM34,BE9:BE56,BO34)+COUNTIFS(BF9:BF56,BM34,BG9:BG56,BO34)+COUNTIFS(BH9:BH56,BM34,BI9:BI56,BO34)+COUNTIFS(BJ9:BJ56,BM34,BK9:BK56,BO34))*0.5</f>
        <v>0</v>
      </c>
      <c r="BQ34" s="136" t="str">
        <f t="shared" si="34"/>
        <v>Trabalho de Grupo</v>
      </c>
      <c r="BR34" s="136" t="str">
        <f t="shared" si="34"/>
        <v>IAC</v>
      </c>
      <c r="BS34" s="136" t="str">
        <f t="shared" si="18"/>
        <v>Trabalho de Grupo</v>
      </c>
      <c r="BT34" s="136">
        <f t="shared" si="23"/>
        <v>0</v>
      </c>
      <c r="BU34" s="136">
        <f t="shared" si="24"/>
        <v>0</v>
      </c>
      <c r="BZ34" s="280"/>
      <c r="CA34" s="183" t="str">
        <f>'INFO BASE'!L97</f>
        <v>-</v>
      </c>
      <c r="CB34" s="183" t="str">
        <f>'INFO BASE'!M97</f>
        <v/>
      </c>
      <c r="CR34" s="177" t="str">
        <f t="shared" si="1"/>
        <v>AT</v>
      </c>
      <c r="CS34" s="177" t="str">
        <f t="shared" si="2"/>
        <v>ATAL</v>
      </c>
      <c r="CT34" s="177" t="str">
        <f t="shared" si="1"/>
        <v>PV</v>
      </c>
      <c r="CU34" s="177">
        <f t="shared" si="3"/>
        <v>0</v>
      </c>
      <c r="CV34" s="177" t="str">
        <f t="shared" si="1"/>
        <v>AT</v>
      </c>
      <c r="CW34" s="177" t="str">
        <f t="shared" si="4"/>
        <v>ATAL</v>
      </c>
      <c r="CX34" s="177" t="str">
        <f t="shared" si="1"/>
        <v>APB</v>
      </c>
      <c r="CY34" s="177" t="str">
        <f t="shared" si="5"/>
        <v>APBFP</v>
      </c>
      <c r="CZ34" s="177" t="str">
        <f t="shared" si="1"/>
        <v>APB</v>
      </c>
      <c r="DA34" s="177" t="str">
        <f t="shared" si="6"/>
        <v>APBAL</v>
      </c>
      <c r="DB34" s="177" t="str">
        <f t="shared" si="32"/>
        <v>PV</v>
      </c>
      <c r="DC34" s="177">
        <f t="shared" si="7"/>
        <v>0</v>
      </c>
      <c r="DD34" s="177" t="str">
        <f t="shared" si="8"/>
        <v>PV</v>
      </c>
      <c r="DE34" s="177">
        <f t="shared" si="9"/>
        <v>0</v>
      </c>
      <c r="DK34" s="136" t="str">
        <f t="shared" si="10"/>
        <v>APAIEI</v>
      </c>
      <c r="DN34" t="str">
        <f>DN33</f>
        <v>APA</v>
      </c>
      <c r="DO34" t="str">
        <f t="shared" ref="DO34:DO38" si="36">DO28</f>
        <v>IEI</v>
      </c>
      <c r="DP34" t="str">
        <f t="shared" si="11"/>
        <v>APA</v>
      </c>
    </row>
    <row r="35" spans="1:120" ht="18" customHeight="1" x14ac:dyDescent="0.3">
      <c r="A35" s="81">
        <v>0.54166666666668395</v>
      </c>
      <c r="B35" s="166" t="s">
        <v>9</v>
      </c>
      <c r="C35" s="130" t="s">
        <v>231</v>
      </c>
      <c r="D35" s="169" t="s">
        <v>116</v>
      </c>
      <c r="E35" s="130"/>
      <c r="F35" s="169" t="s">
        <v>9</v>
      </c>
      <c r="G35" s="130" t="s">
        <v>230</v>
      </c>
      <c r="H35" s="169" t="s">
        <v>130</v>
      </c>
      <c r="I35" s="130" t="s">
        <v>224</v>
      </c>
      <c r="J35" s="169" t="s">
        <v>130</v>
      </c>
      <c r="K35" s="130" t="s">
        <v>230</v>
      </c>
      <c r="L35" s="169" t="s">
        <v>12</v>
      </c>
      <c r="M35" s="130" t="s">
        <v>120</v>
      </c>
      <c r="N35" s="169" t="s">
        <v>116</v>
      </c>
      <c r="O35" s="154"/>
      <c r="P35" s="6">
        <v>0</v>
      </c>
      <c r="Q35" s="118" t="str">
        <f t="shared" ref="Q35:Q40" si="37">Q34</f>
        <v>Trabalho de Grupo</v>
      </c>
      <c r="R35" s="105" t="str">
        <f>R28</f>
        <v>FP</v>
      </c>
      <c r="S35" s="88">
        <f t="shared" si="35"/>
        <v>-1</v>
      </c>
      <c r="T35" s="89">
        <f>IF(VLOOKUP(Q35,'INFO BASE'!$B$40:$I$54,IF(R35='INFO BASE'!$B$32,3,IF(R35='INFO BASE'!$B$33,4,IF(R35='INFO BASE'!$B$34,5,IF(R35='INFO BASE'!$B$35,6,IF(R35='INFO BASE'!$B$36,7,IF(R35='INFO BASE'!$B$37,8,2)))))),0)=0,"",VLOOKUP(Q35,'INFO BASE'!$B$40:$I$54,IF(R35='INFO BASE'!$B$32,3,IF(R35='INFO BASE'!$B$33,4,IF(R35='INFO BASE'!$B$34,5,IF(R35='INFO BASE'!$B$35,6,IF(R35='INFO BASE'!$B$36,7,IF(R35='INFO BASE'!$B$37,8,2)))))),0))</f>
        <v>3</v>
      </c>
      <c r="U35" s="89">
        <f>(COUNTIFS(C9:C56,R35,B9:B56,R34)+COUNTIFS(E9:E56,R35,D9:D56,R34)+COUNTIFS(G9:G56,R35,F9:F56,R34)+COUNTIFS(I9:I56,R35,H9:H56,R34)+COUNTIFS(K9:K56,R35,J9:J56,R34)+COUNTIFS(M9:M56,R35,L9:L56,R34)+COUNTIFS(O9:O56,R35,N9:N56,R34))*0.5</f>
        <v>0</v>
      </c>
      <c r="V35" s="89">
        <f>(COUNTIFS(AI9:AI56,R34,AJ9:AJ56,R28)+COUNTIFS(AK9:AK56,R34,AL9:AL56,R28)+COUNTIFS(AM9:AM56,R34,AN9:AN56,R28)+COUNTIFS(AO9:AO56,R34,AP9:AP56,R28)+COUNTIFS(AQ9:AQ56,R34,AR9:AR56,R28)+COUNTIFS(AS9:AS56,R34,AT9:AT56,R28)+COUNTIFS(AU9:AU56,R34,AV9:AV56,R28))*0.5</f>
        <v>0</v>
      </c>
      <c r="W35" s="90">
        <f>IF(AH5="","-",IF(V35=0,U35,IFERROR((U35/V35)-1,"-")))</f>
        <v>0</v>
      </c>
      <c r="X35" s="201">
        <f t="shared" si="21"/>
        <v>0</v>
      </c>
      <c r="Y35" s="271"/>
      <c r="Z35" s="272"/>
      <c r="AA35" s="272"/>
      <c r="AB35" s="272"/>
      <c r="AC35" s="272"/>
      <c r="AD35" s="272"/>
      <c r="AE35" s="272"/>
      <c r="AF35" s="273"/>
      <c r="AH35" s="136">
        <v>0.54166666666668395</v>
      </c>
      <c r="AI35" s="136" t="s">
        <v>9</v>
      </c>
      <c r="AJ35" s="136" t="s">
        <v>231</v>
      </c>
      <c r="AK35" s="136" t="s">
        <v>116</v>
      </c>
      <c r="AL35" s="136" t="s">
        <v>235</v>
      </c>
      <c r="AM35" s="136" t="s">
        <v>9</v>
      </c>
      <c r="AN35" s="136" t="s">
        <v>230</v>
      </c>
      <c r="AO35" s="136" t="s">
        <v>130</v>
      </c>
      <c r="AP35" s="136" t="s">
        <v>224</v>
      </c>
      <c r="AQ35" s="136" t="s">
        <v>130</v>
      </c>
      <c r="AR35" s="136" t="s">
        <v>230</v>
      </c>
      <c r="AS35" s="136" t="s">
        <v>12</v>
      </c>
      <c r="AT35" s="136" t="s">
        <v>120</v>
      </c>
      <c r="AU35" s="136" t="s">
        <v>116</v>
      </c>
      <c r="AV35" s="136" t="s">
        <v>235</v>
      </c>
      <c r="AX35" s="136" t="str">
        <f>IF(AI5="","",IF(B35="","",B35))</f>
        <v>AT</v>
      </c>
      <c r="AY35" s="136" t="str">
        <f>IF(AI5="","",IF(C35="","",C35))</f>
        <v>CDI</v>
      </c>
      <c r="AZ35" s="136" t="str">
        <f>IF(AI5="","",IF(D35="","",D35))</f>
        <v>PV</v>
      </c>
      <c r="BA35" s="136" t="str">
        <f>IF(AI5="","",IF(E35="","",E35))</f>
        <v/>
      </c>
      <c r="BB35" s="136" t="str">
        <f>IF(AI5="","",IF(F35="","",F35))</f>
        <v>AT</v>
      </c>
      <c r="BC35" s="136" t="str">
        <f>IF(AI5="","",IF(G35="","",G35))</f>
        <v>AL</v>
      </c>
      <c r="BD35" s="136" t="str">
        <f>IF(AI5="","",IF(H35="","",H35))</f>
        <v>APB</v>
      </c>
      <c r="BE35" s="136" t="str">
        <f>IF(AI5="","",IF(I35="","",I35))</f>
        <v>FP</v>
      </c>
      <c r="BF35" s="136" t="str">
        <f>IF(AI5="","",IF(J35="","",J35))</f>
        <v>APB</v>
      </c>
      <c r="BG35" s="136" t="str">
        <f>IF(AI5="","",IF(K35="","",K35))</f>
        <v>AL</v>
      </c>
      <c r="BH35" s="136" t="str">
        <f>IF(AI5="","",IF(L35="","",L35))</f>
        <v>HR</v>
      </c>
      <c r="BI35" s="136" t="str">
        <f>IF(AI5="","",IF(M35="","",M35))</f>
        <v>-</v>
      </c>
      <c r="BJ35" s="136" t="str">
        <f>IF(AI5="","",IF(N35="","",N35))</f>
        <v>PV</v>
      </c>
      <c r="BK35" s="136" t="str">
        <f>IF(AI5="","",IF(O35="","",O35))</f>
        <v/>
      </c>
      <c r="BM35" s="136" t="str">
        <f t="shared" si="33"/>
        <v>TG</v>
      </c>
      <c r="BN35" s="136" t="str">
        <f t="shared" si="15"/>
        <v>Trabalho de Grupo</v>
      </c>
      <c r="BO35" s="136" t="str">
        <f t="shared" si="15"/>
        <v>AL</v>
      </c>
      <c r="BP35" s="136">
        <f>(COUNTIFS(AX9:AX56,BM35,AY9:AY56,BO35)+COUNTIFS(AZ9:AZ56,BM35,BA9:BA56,BO35)+COUNTIFS(BB9:BB56,BM35,BC9:BC56,BO35)+COUNTIFS(BD9:BD56,BM35,BE9:BE56,BO35)+COUNTIFS(BF9:BF56,BM35,BG9:BG56,BO35)+COUNTIFS(BH9:BH56,BM35,BI9:BI56,BO35)+COUNTIFS(BJ9:BJ56,BM35,BK9:BK56,BO35))*0.5</f>
        <v>0</v>
      </c>
      <c r="BQ35" s="136" t="str">
        <f t="shared" si="34"/>
        <v>Trabalho de Grupo</v>
      </c>
      <c r="BR35" s="136" t="str">
        <f t="shared" si="34"/>
        <v>AL</v>
      </c>
      <c r="BS35" s="136" t="str">
        <f t="shared" si="18"/>
        <v>Trabalho de Grupo</v>
      </c>
      <c r="BT35" s="136">
        <f t="shared" si="23"/>
        <v>0</v>
      </c>
      <c r="BU35" s="136">
        <f t="shared" si="24"/>
        <v>0</v>
      </c>
      <c r="BZ35" s="280" t="s">
        <v>122</v>
      </c>
      <c r="CA35" s="183" t="str">
        <f>'INFO BASE'!L98</f>
        <v>-</v>
      </c>
      <c r="CB35" s="183" t="str">
        <f>'INFO BASE'!M98</f>
        <v/>
      </c>
      <c r="CR35" s="177" t="str">
        <f t="shared" si="1"/>
        <v>AT</v>
      </c>
      <c r="CS35" s="177" t="str">
        <f t="shared" si="2"/>
        <v>ATCDI</v>
      </c>
      <c r="CT35" s="177" t="str">
        <f t="shared" si="1"/>
        <v>PV</v>
      </c>
      <c r="CU35" s="177">
        <f t="shared" si="3"/>
        <v>0</v>
      </c>
      <c r="CV35" s="177" t="str">
        <f t="shared" si="1"/>
        <v>AT</v>
      </c>
      <c r="CW35" s="177" t="str">
        <f t="shared" si="4"/>
        <v>ATAL</v>
      </c>
      <c r="CX35" s="177" t="str">
        <f t="shared" si="1"/>
        <v>APB</v>
      </c>
      <c r="CY35" s="177" t="str">
        <f t="shared" si="5"/>
        <v>APBFP</v>
      </c>
      <c r="CZ35" s="177" t="str">
        <f t="shared" si="1"/>
        <v>APB</v>
      </c>
      <c r="DA35" s="177" t="str">
        <f t="shared" si="6"/>
        <v>APBAL</v>
      </c>
      <c r="DB35" s="177" t="str">
        <f t="shared" si="32"/>
        <v>HR</v>
      </c>
      <c r="DC35" s="177" t="str">
        <f t="shared" si="7"/>
        <v>HR-</v>
      </c>
      <c r="DD35" s="177" t="str">
        <f t="shared" si="8"/>
        <v>PV</v>
      </c>
      <c r="DE35" s="177">
        <f t="shared" si="9"/>
        <v>0</v>
      </c>
      <c r="DK35" s="136" t="str">
        <f t="shared" si="10"/>
        <v>APAIAC</v>
      </c>
      <c r="DN35" t="str">
        <f t="shared" ref="DN35:DN38" si="38">DN34</f>
        <v>APA</v>
      </c>
      <c r="DO35" t="str">
        <f t="shared" si="36"/>
        <v>IAC</v>
      </c>
      <c r="DP35" t="str">
        <f t="shared" si="11"/>
        <v>APA</v>
      </c>
    </row>
    <row r="36" spans="1:120" ht="18" customHeight="1" x14ac:dyDescent="0.3">
      <c r="A36" s="81">
        <v>0.56250000000001799</v>
      </c>
      <c r="B36" s="166" t="s">
        <v>9</v>
      </c>
      <c r="C36" s="130" t="s">
        <v>231</v>
      </c>
      <c r="D36" s="169" t="s">
        <v>116</v>
      </c>
      <c r="E36" s="130"/>
      <c r="F36" s="169" t="s">
        <v>116</v>
      </c>
      <c r="G36" s="130"/>
      <c r="H36" s="169" t="s">
        <v>116</v>
      </c>
      <c r="I36" s="130"/>
      <c r="J36" s="169" t="s">
        <v>130</v>
      </c>
      <c r="K36" s="130" t="s">
        <v>230</v>
      </c>
      <c r="L36" s="169" t="s">
        <v>12</v>
      </c>
      <c r="M36" s="130" t="s">
        <v>120</v>
      </c>
      <c r="N36" s="169" t="s">
        <v>116</v>
      </c>
      <c r="O36" s="154"/>
      <c r="P36" s="6">
        <v>0</v>
      </c>
      <c r="Q36" s="118" t="str">
        <f t="shared" si="37"/>
        <v>Trabalho de Grupo</v>
      </c>
      <c r="R36" s="105" t="str">
        <f t="shared" ref="R36:R40" si="39">R29</f>
        <v>IEI</v>
      </c>
      <c r="S36" s="88">
        <f t="shared" si="35"/>
        <v>-1</v>
      </c>
      <c r="T36" s="89">
        <f>IF(VLOOKUP(Q36,'INFO BASE'!$B$40:$I$54,IF(R36='INFO BASE'!$B$32,3,IF(R36='INFO BASE'!$B$33,4,IF(R36='INFO BASE'!$B$34,5,IF(R36='INFO BASE'!$B$35,6,IF(R36='INFO BASE'!$B$36,7,IF(R36='INFO BASE'!$B$37,8,2)))))),0)=0,"",VLOOKUP(Q36,'INFO BASE'!$B$40:$I$54,IF(R36='INFO BASE'!$B$32,3,IF(R36='INFO BASE'!$B$33,4,IF(R36='INFO BASE'!$B$34,5,IF(R36='INFO BASE'!$B$35,6,IF(R36='INFO BASE'!$B$36,7,IF(R36='INFO BASE'!$B$37,8,2)))))),0))</f>
        <v>3</v>
      </c>
      <c r="U36" s="89">
        <f>(COUNTIFS(C9:C56,R36,B9:B56,R34)+COUNTIFS(E9:E56,R36,D9:D56,R34)+COUNTIFS(G9:G56,R36,F9:F56,R34)+COUNTIFS(I9:I56,R36,H9:H56,R34)+COUNTIFS(K9:K56,R36,J9:J56,R34)+COUNTIFS(M9:M56,R36,L9:L56,R34)+COUNTIFS(O9:O56,R36,N9:N56,R34))*0.5</f>
        <v>0</v>
      </c>
      <c r="V36" s="89">
        <f>(COUNTIFS(AI9:AI56,R34,AJ9:AJ56,R29)+COUNTIFS(AK9:AK56,R34,AL9:AL56,R29)+COUNTIFS(AM9:AM56,R34,AN9:AN56,R29)+COUNTIFS(AO9:AO56,R34,AP9:AP56,R29)+COUNTIFS(AQ9:AQ56,R34,AR9:AR56,R29)+COUNTIFS(AS9:AS56,R34,AT9:AT56,R29)+COUNTIFS(AU9:AU56,R34,AV9:AV56,R29))*0.5</f>
        <v>0</v>
      </c>
      <c r="W36" s="90">
        <f>IF(AH5="","-",IF(V36=0,U36,IFERROR((U36/V36)-1,"-")))</f>
        <v>0</v>
      </c>
      <c r="X36" s="201">
        <f t="shared" si="21"/>
        <v>0</v>
      </c>
      <c r="Y36" s="271"/>
      <c r="Z36" s="272"/>
      <c r="AA36" s="272"/>
      <c r="AB36" s="272"/>
      <c r="AC36" s="272"/>
      <c r="AD36" s="272"/>
      <c r="AE36" s="272"/>
      <c r="AF36" s="273"/>
      <c r="AH36" s="136">
        <v>0.56250000000001799</v>
      </c>
      <c r="AI36" s="136" t="s">
        <v>9</v>
      </c>
      <c r="AJ36" s="136" t="s">
        <v>231</v>
      </c>
      <c r="AK36" s="136" t="s">
        <v>116</v>
      </c>
      <c r="AL36" s="136" t="s">
        <v>235</v>
      </c>
      <c r="AM36" s="136" t="s">
        <v>116</v>
      </c>
      <c r="AN36" s="136" t="s">
        <v>235</v>
      </c>
      <c r="AO36" s="136" t="s">
        <v>116</v>
      </c>
      <c r="AP36" s="136" t="s">
        <v>235</v>
      </c>
      <c r="AQ36" s="136" t="s">
        <v>130</v>
      </c>
      <c r="AR36" s="136" t="s">
        <v>230</v>
      </c>
      <c r="AS36" s="136" t="s">
        <v>12</v>
      </c>
      <c r="AT36" s="136" t="s">
        <v>120</v>
      </c>
      <c r="AU36" s="136" t="s">
        <v>116</v>
      </c>
      <c r="AV36" s="136" t="s">
        <v>235</v>
      </c>
      <c r="AX36" s="136" t="str">
        <f>IF(AI5="","",IF(B36="","",B36))</f>
        <v>AT</v>
      </c>
      <c r="AY36" s="136" t="str">
        <f>IF(AI5="","",IF(C36="","",C36))</f>
        <v>CDI</v>
      </c>
      <c r="AZ36" s="136" t="str">
        <f>IF(AI5="","",IF(D36="","",D36))</f>
        <v>PV</v>
      </c>
      <c r="BA36" s="136" t="str">
        <f>IF(AI5="","",IF(E36="","",E36))</f>
        <v/>
      </c>
      <c r="BB36" s="136" t="str">
        <f>IF(AI5="","",IF(F36="","",F36))</f>
        <v>PV</v>
      </c>
      <c r="BC36" s="136" t="str">
        <f>IF(AI5="","",IF(G36="","",G36))</f>
        <v/>
      </c>
      <c r="BD36" s="136" t="str">
        <f>IF(AI5="","",IF(H36="","",H36))</f>
        <v>PV</v>
      </c>
      <c r="BE36" s="136" t="str">
        <f>IF(AI5="","",IF(I36="","",I36))</f>
        <v/>
      </c>
      <c r="BF36" s="136" t="str">
        <f>IF(AI5="","",IF(J36="","",J36))</f>
        <v>APB</v>
      </c>
      <c r="BG36" s="136" t="str">
        <f>IF(AI5="","",IF(K36="","",K36))</f>
        <v>AL</v>
      </c>
      <c r="BH36" s="136" t="str">
        <f>IF(AI5="","",IF(L36="","",L36))</f>
        <v>HR</v>
      </c>
      <c r="BI36" s="136" t="str">
        <f>IF(AI5="","",IF(M36="","",M36))</f>
        <v>-</v>
      </c>
      <c r="BJ36" s="136" t="str">
        <f>IF(AI5="","",IF(N36="","",N36))</f>
        <v>PV</v>
      </c>
      <c r="BK36" s="136" t="str">
        <f>IF(AI5="","",IF(O36="","",O36))</f>
        <v/>
      </c>
      <c r="BM36" s="136" t="str">
        <f t="shared" si="33"/>
        <v>TG</v>
      </c>
      <c r="BN36" s="136" t="str">
        <f t="shared" si="15"/>
        <v>Trabalho de Grupo</v>
      </c>
      <c r="BO36" s="136" t="str">
        <f t="shared" si="15"/>
        <v>CDI</v>
      </c>
      <c r="BP36" s="136">
        <f>(COUNTIFS(AX9:AX56,BM36,AY9:AY56,BO36)+COUNTIFS(AZ9:AZ56,BM36,BA9:BA56,BO36)+COUNTIFS(BB9:BB56,BM36,BC9:BC56,BO36)+COUNTIFS(BD9:BD56,BM36,BE9:BE56,BO36)+COUNTIFS(BF9:BF56,BM36,BG9:BG56,BO36)+COUNTIFS(BH9:BH56,BM36,BI9:BI56,BO36)+COUNTIFS(BJ9:BJ56,BM36,BK9:BK56,BO36))*0.5</f>
        <v>0</v>
      </c>
      <c r="BQ36" s="136" t="str">
        <f t="shared" si="34"/>
        <v>Trabalho de Grupo</v>
      </c>
      <c r="BR36" s="136" t="str">
        <f t="shared" si="34"/>
        <v>CDI</v>
      </c>
      <c r="BS36" s="136" t="str">
        <f t="shared" si="18"/>
        <v>Trabalho de Grupo</v>
      </c>
      <c r="BT36" s="136">
        <f t="shared" si="23"/>
        <v>0</v>
      </c>
      <c r="BU36" s="136">
        <f t="shared" si="24"/>
        <v>0</v>
      </c>
      <c r="BZ36" s="280"/>
      <c r="CA36" s="183" t="str">
        <f>'INFO BASE'!L99</f>
        <v>-</v>
      </c>
      <c r="CB36" s="183" t="str">
        <f>'INFO BASE'!M99</f>
        <v/>
      </c>
      <c r="CR36" s="177" t="str">
        <f t="shared" si="1"/>
        <v>AT</v>
      </c>
      <c r="CS36" s="177" t="str">
        <f t="shared" si="2"/>
        <v>ATCDI</v>
      </c>
      <c r="CT36" s="177" t="str">
        <f t="shared" si="1"/>
        <v>PV</v>
      </c>
      <c r="CU36" s="177">
        <f t="shared" si="3"/>
        <v>0</v>
      </c>
      <c r="CV36" s="177" t="str">
        <f t="shared" si="1"/>
        <v>PV</v>
      </c>
      <c r="CW36" s="177">
        <f t="shared" si="4"/>
        <v>0</v>
      </c>
      <c r="CX36" s="177" t="str">
        <f t="shared" si="1"/>
        <v>PV</v>
      </c>
      <c r="CY36" s="177">
        <f t="shared" si="5"/>
        <v>0</v>
      </c>
      <c r="CZ36" s="177" t="str">
        <f t="shared" si="1"/>
        <v>APB</v>
      </c>
      <c r="DA36" s="177" t="str">
        <f t="shared" si="6"/>
        <v>APBAL</v>
      </c>
      <c r="DB36" s="177" t="str">
        <f t="shared" si="32"/>
        <v>HR</v>
      </c>
      <c r="DC36" s="177" t="str">
        <f t="shared" si="7"/>
        <v>HR-</v>
      </c>
      <c r="DD36" s="177" t="str">
        <f t="shared" si="8"/>
        <v>PV</v>
      </c>
      <c r="DE36" s="177">
        <f t="shared" si="9"/>
        <v>0</v>
      </c>
      <c r="DK36" s="136" t="str">
        <f t="shared" si="10"/>
        <v>APAAL</v>
      </c>
      <c r="DN36" t="str">
        <f t="shared" si="38"/>
        <v>APA</v>
      </c>
      <c r="DO36" t="str">
        <f t="shared" si="36"/>
        <v>AL</v>
      </c>
      <c r="DP36" t="str">
        <f t="shared" si="11"/>
        <v>APA</v>
      </c>
    </row>
    <row r="37" spans="1:120" ht="18" customHeight="1" x14ac:dyDescent="0.3">
      <c r="A37" s="81">
        <v>0.58333333333335202</v>
      </c>
      <c r="B37" s="166" t="s">
        <v>12</v>
      </c>
      <c r="C37" s="130" t="s">
        <v>120</v>
      </c>
      <c r="D37" s="169" t="s">
        <v>12</v>
      </c>
      <c r="E37" s="130" t="s">
        <v>120</v>
      </c>
      <c r="F37" s="169" t="s">
        <v>12</v>
      </c>
      <c r="G37" s="130" t="s">
        <v>120</v>
      </c>
      <c r="H37" s="169" t="s">
        <v>12</v>
      </c>
      <c r="I37" s="130" t="s">
        <v>120</v>
      </c>
      <c r="J37" s="169" t="s">
        <v>12</v>
      </c>
      <c r="K37" s="130" t="s">
        <v>120</v>
      </c>
      <c r="L37" s="169" t="s">
        <v>12</v>
      </c>
      <c r="M37" s="130" t="s">
        <v>120</v>
      </c>
      <c r="N37" s="169" t="s">
        <v>116</v>
      </c>
      <c r="O37" s="154"/>
      <c r="P37" s="6">
        <v>0</v>
      </c>
      <c r="Q37" s="119" t="str">
        <f t="shared" si="37"/>
        <v>Trabalho de Grupo</v>
      </c>
      <c r="R37" s="105" t="str">
        <f t="shared" si="39"/>
        <v>IAC</v>
      </c>
      <c r="S37" s="88">
        <f t="shared" si="35"/>
        <v>-1</v>
      </c>
      <c r="T37" s="89">
        <f>IF(VLOOKUP(Q37,'INFO BASE'!$B$40:$I$54,IF(R37='INFO BASE'!$B$32,3,IF(R37='INFO BASE'!$B$33,4,IF(R37='INFO BASE'!$B$34,5,IF(R37='INFO BASE'!$B$35,6,IF(R37='INFO BASE'!$B$36,7,IF(R37='INFO BASE'!$B$37,8,2)))))),0)=0,"",VLOOKUP(Q37,'INFO BASE'!$B$40:$I$54,IF(R37='INFO BASE'!$B$32,3,IF(R37='INFO BASE'!$B$33,4,IF(R37='INFO BASE'!$B$34,5,IF(R37='INFO BASE'!$B$35,6,IF(R37='INFO BASE'!$B$36,7,IF(R37='INFO BASE'!$B$37,8,2)))))),0))</f>
        <v>3</v>
      </c>
      <c r="U37" s="89">
        <f>(COUNTIFS(C9:C56,R37,B9:B56,R34)+COUNTIFS(E9:E56,R37,D9:D56,R34)+COUNTIFS(G9:G56,R37,F9:F56,R34)+COUNTIFS(I9:I56,R37,H9:H56,R34)+COUNTIFS(K9:K56,R37,J9:J56,R34)+COUNTIFS(M9:M56,R37,L9:L56,R34)+COUNTIFS(O9:O56,R37,N9:N56,R34))*0.5</f>
        <v>0</v>
      </c>
      <c r="V37" s="89">
        <f>(COUNTIFS(AI9:AI56,R34,AJ9:AJ56,R30)+COUNTIFS(AK9:AK56,R34,AL9:AL56,R30)+COUNTIFS(AM9:AM56,R34,AN9:AN56,R30)+COUNTIFS(AO9:AO56,R34,AP9:AP56,R30)+COUNTIFS(AQ9:AQ56,R34,AR9:AR56,R30)+COUNTIFS(AS9:AS56,R34,AT9:AT56,R30)+COUNTIFS(AU9:AU56,R34,AV9:AV56,R30))*0.5</f>
        <v>0</v>
      </c>
      <c r="W37" s="90">
        <f>IF(AH5="","-",IF(V37=0,U37,IFERROR((U37/V37)-1,"-")))</f>
        <v>0</v>
      </c>
      <c r="X37" s="201">
        <f t="shared" si="21"/>
        <v>0</v>
      </c>
      <c r="Y37" s="271"/>
      <c r="Z37" s="272"/>
      <c r="AA37" s="272"/>
      <c r="AB37" s="272"/>
      <c r="AC37" s="272"/>
      <c r="AD37" s="272"/>
      <c r="AE37" s="272"/>
      <c r="AF37" s="273"/>
      <c r="AH37" s="136">
        <v>0.58333333333335202</v>
      </c>
      <c r="AI37" s="136" t="s">
        <v>12</v>
      </c>
      <c r="AJ37" s="136" t="s">
        <v>120</v>
      </c>
      <c r="AK37" s="136" t="s">
        <v>12</v>
      </c>
      <c r="AL37" s="136" t="s">
        <v>120</v>
      </c>
      <c r="AM37" s="136" t="s">
        <v>12</v>
      </c>
      <c r="AN37" s="136" t="s">
        <v>120</v>
      </c>
      <c r="AO37" s="136" t="s">
        <v>12</v>
      </c>
      <c r="AP37" s="136" t="s">
        <v>120</v>
      </c>
      <c r="AQ37" s="136" t="s">
        <v>12</v>
      </c>
      <c r="AR37" s="136" t="s">
        <v>120</v>
      </c>
      <c r="AS37" s="136" t="s">
        <v>12</v>
      </c>
      <c r="AT37" s="136" t="s">
        <v>120</v>
      </c>
      <c r="AU37" s="136" t="s">
        <v>116</v>
      </c>
      <c r="AV37" s="136" t="s">
        <v>235</v>
      </c>
      <c r="AX37" s="136" t="str">
        <f>IF(AI5="","",IF(B37="","",B37))</f>
        <v>HR</v>
      </c>
      <c r="AY37" s="136" t="str">
        <f>IF(AI5="","",IF(C37="","",C37))</f>
        <v>-</v>
      </c>
      <c r="AZ37" s="136" t="str">
        <f>IF(AI5="","",IF(D37="","",D37))</f>
        <v>HR</v>
      </c>
      <c r="BA37" s="136" t="str">
        <f>IF(AI5="","",IF(E37="","",E37))</f>
        <v>-</v>
      </c>
      <c r="BB37" s="136" t="str">
        <f>IF(AI5="","",IF(F37="","",F37))</f>
        <v>HR</v>
      </c>
      <c r="BC37" s="136" t="str">
        <f>IF(AI5="","",IF(G37="","",G37))</f>
        <v>-</v>
      </c>
      <c r="BD37" s="136" t="str">
        <f>IF(AI5="","",IF(H37="","",H37))</f>
        <v>HR</v>
      </c>
      <c r="BE37" s="136" t="str">
        <f>IF(AI5="","",IF(I37="","",I37))</f>
        <v>-</v>
      </c>
      <c r="BF37" s="136" t="str">
        <f>IF(AI5="","",IF(J37="","",J37))</f>
        <v>HR</v>
      </c>
      <c r="BG37" s="136" t="str">
        <f>IF(AI5="","",IF(K37="","",K37))</f>
        <v>-</v>
      </c>
      <c r="BH37" s="136" t="str">
        <f>IF(AI5="","",IF(L37="","",L37))</f>
        <v>HR</v>
      </c>
      <c r="BI37" s="136" t="str">
        <f>IF(AI5="","",IF(M37="","",M37))</f>
        <v>-</v>
      </c>
      <c r="BJ37" s="136" t="str">
        <f>IF(AI5="","",IF(N37="","",N37))</f>
        <v>PV</v>
      </c>
      <c r="BK37" s="136" t="str">
        <f>IF(AI5="","",IF(O37="","",O37))</f>
        <v/>
      </c>
      <c r="BM37" s="136" t="str">
        <f t="shared" si="33"/>
        <v>TG</v>
      </c>
      <c r="BN37" s="136" t="str">
        <f t="shared" si="15"/>
        <v>Trabalho de Grupo</v>
      </c>
      <c r="BO37" s="136" t="str">
        <f t="shared" si="15"/>
        <v/>
      </c>
      <c r="BP37" s="136">
        <f>(COUNTIFS(AX9:AX56,BM37,AY9:AY56,BO37)+COUNTIFS(AZ9:AZ56,BM37,BA9:BA56,BO37)+COUNTIFS(BB9:BB56,BM37,BC9:BC56,BO37)+COUNTIFS(BD9:BD56,BM37,BE9:BE56,BO37)+COUNTIFS(BF9:BF56,BM37,BG9:BG56,BO37)+COUNTIFS(BH9:BH56,BM37,BI9:BI56,BO37)+COUNTIFS(BJ9:BJ56,BM37,BK9:BK56,BO37))*0.5</f>
        <v>0</v>
      </c>
      <c r="BQ37" s="136" t="str">
        <f t="shared" si="34"/>
        <v>Trabalho de Grupo</v>
      </c>
      <c r="BR37" s="136" t="str">
        <f t="shared" si="34"/>
        <v/>
      </c>
      <c r="BS37" s="136" t="str">
        <f t="shared" si="18"/>
        <v>Trabalho de Grupo</v>
      </c>
      <c r="BT37" s="136">
        <f t="shared" si="23"/>
        <v>0</v>
      </c>
      <c r="BU37" s="136">
        <f t="shared" si="24"/>
        <v>0</v>
      </c>
      <c r="BZ37" s="280"/>
      <c r="CA37" s="183" t="str">
        <f>'INFO BASE'!L100</f>
        <v>-</v>
      </c>
      <c r="CB37" s="183" t="str">
        <f>'INFO BASE'!M100</f>
        <v/>
      </c>
      <c r="CR37" s="177" t="str">
        <f t="shared" si="1"/>
        <v>HR</v>
      </c>
      <c r="CS37" s="177" t="str">
        <f t="shared" si="2"/>
        <v>HR-</v>
      </c>
      <c r="CT37" s="177" t="str">
        <f t="shared" si="1"/>
        <v>HR</v>
      </c>
      <c r="CU37" s="177" t="str">
        <f t="shared" si="3"/>
        <v>HR-</v>
      </c>
      <c r="CV37" s="177" t="str">
        <f t="shared" si="1"/>
        <v>HR</v>
      </c>
      <c r="CW37" s="177" t="str">
        <f t="shared" si="4"/>
        <v>HR-</v>
      </c>
      <c r="CX37" s="177" t="str">
        <f t="shared" si="1"/>
        <v>HR</v>
      </c>
      <c r="CY37" s="177" t="str">
        <f t="shared" si="5"/>
        <v>HR-</v>
      </c>
      <c r="CZ37" s="177" t="str">
        <f t="shared" si="1"/>
        <v>HR</v>
      </c>
      <c r="DA37" s="177" t="str">
        <f t="shared" si="6"/>
        <v>HR-</v>
      </c>
      <c r="DB37" s="177" t="str">
        <f t="shared" si="32"/>
        <v>HR</v>
      </c>
      <c r="DC37" s="177" t="str">
        <f t="shared" si="7"/>
        <v>HR-</v>
      </c>
      <c r="DD37" s="177" t="str">
        <f t="shared" si="8"/>
        <v>PV</v>
      </c>
      <c r="DE37" s="177">
        <f t="shared" si="9"/>
        <v>0</v>
      </c>
      <c r="DK37" s="136" t="str">
        <f t="shared" si="10"/>
        <v>APACDI</v>
      </c>
      <c r="DN37" t="str">
        <f t="shared" si="38"/>
        <v>APA</v>
      </c>
      <c r="DO37" t="str">
        <f t="shared" si="36"/>
        <v>CDI</v>
      </c>
      <c r="DP37" t="str">
        <f t="shared" si="11"/>
        <v>APA</v>
      </c>
    </row>
    <row r="38" spans="1:120" ht="18" customHeight="1" x14ac:dyDescent="0.3">
      <c r="A38" s="81">
        <v>0.60416666666668595</v>
      </c>
      <c r="B38" s="166" t="s">
        <v>12</v>
      </c>
      <c r="C38" s="130" t="s">
        <v>120</v>
      </c>
      <c r="D38" s="169" t="s">
        <v>12</v>
      </c>
      <c r="E38" s="130" t="s">
        <v>120</v>
      </c>
      <c r="F38" s="169" t="s">
        <v>12</v>
      </c>
      <c r="G38" s="130" t="s">
        <v>120</v>
      </c>
      <c r="H38" s="169" t="s">
        <v>12</v>
      </c>
      <c r="I38" s="130" t="s">
        <v>120</v>
      </c>
      <c r="J38" s="169" t="s">
        <v>12</v>
      </c>
      <c r="K38" s="130" t="s">
        <v>120</v>
      </c>
      <c r="L38" s="169" t="s">
        <v>116</v>
      </c>
      <c r="M38" s="130"/>
      <c r="N38" s="169" t="s">
        <v>12</v>
      </c>
      <c r="O38" s="154" t="s">
        <v>120</v>
      </c>
      <c r="P38" s="6">
        <v>0</v>
      </c>
      <c r="Q38" s="118" t="str">
        <f t="shared" si="37"/>
        <v>Trabalho de Grupo</v>
      </c>
      <c r="R38" s="105" t="str">
        <f t="shared" si="39"/>
        <v>AL</v>
      </c>
      <c r="S38" s="88">
        <f t="shared" si="35"/>
        <v>-1</v>
      </c>
      <c r="T38" s="89">
        <f>IF(VLOOKUP(Q38,'INFO BASE'!$B$40:$I$54,IF(R38='INFO BASE'!$B$32,3,IF(R38='INFO BASE'!$B$33,4,IF(R38='INFO BASE'!$B$34,5,IF(R38='INFO BASE'!$B$35,6,IF(R38='INFO BASE'!$B$36,7,IF(R38='INFO BASE'!$B$37,8,2)))))),0)=0,"",VLOOKUP(Q38,'INFO BASE'!$B$40:$I$54,IF(R38='INFO BASE'!$B$32,3,IF(R38='INFO BASE'!$B$33,4,IF(R38='INFO BASE'!$B$34,5,IF(R38='INFO BASE'!$B$35,6,IF(R38='INFO BASE'!$B$36,7,IF(R38='INFO BASE'!$B$37,8,2)))))),0))</f>
        <v>3</v>
      </c>
      <c r="U38" s="89">
        <f>(COUNTIFS(C9:C56,R38,B9:B56,R34)+COUNTIFS(E9:E56,R38,D9:D56,R34)+COUNTIFS(G9:G56,R38,F9:F56,R34)+COUNTIFS(I9:I56,R38,H9:H56,R34)+COUNTIFS(K9:K56,R38,J9:J56,R34)+COUNTIFS(M9:M56,R38,L9:L56,R34)+COUNTIFS(O9:O56,R38,N9:N56,R34))*0.5</f>
        <v>0</v>
      </c>
      <c r="V38" s="89">
        <f>(COUNTIFS(AI9:AI56,R34,AJ9:AJ56,R31)+COUNTIFS(AK9:AK56,R34,AL9:AL56,R31)+COUNTIFS(AM9:AM56,R34,AN9:AN56,R31)+COUNTIFS(AO9:AO56,R34,AP9:AP56,R31)+COUNTIFS(AQ9:AQ56,R34,AR9:AR56,R31)+COUNTIFS(AS9:AS56,R34,AT9:AT56,R31)+COUNTIFS(AU9:AU56,R34,AV9:AV56,R31))*0.5</f>
        <v>0</v>
      </c>
      <c r="W38" s="90">
        <f>IF(AH5="","-",IF(V38=0,U38,IFERROR((U38/V38)-1,"-")))</f>
        <v>0</v>
      </c>
      <c r="X38" s="201">
        <f t="shared" si="21"/>
        <v>0</v>
      </c>
      <c r="Y38" s="271"/>
      <c r="Z38" s="272"/>
      <c r="AA38" s="272"/>
      <c r="AB38" s="272"/>
      <c r="AC38" s="272"/>
      <c r="AD38" s="272"/>
      <c r="AE38" s="272"/>
      <c r="AF38" s="273"/>
      <c r="AH38" s="136">
        <v>0.60416666666668595</v>
      </c>
      <c r="AI38" s="136" t="s">
        <v>12</v>
      </c>
      <c r="AJ38" s="136" t="s">
        <v>120</v>
      </c>
      <c r="AK38" s="136" t="s">
        <v>12</v>
      </c>
      <c r="AL38" s="136" t="s">
        <v>120</v>
      </c>
      <c r="AM38" s="136" t="s">
        <v>12</v>
      </c>
      <c r="AN38" s="136" t="s">
        <v>120</v>
      </c>
      <c r="AO38" s="136" t="s">
        <v>12</v>
      </c>
      <c r="AP38" s="136" t="s">
        <v>120</v>
      </c>
      <c r="AQ38" s="136" t="s">
        <v>12</v>
      </c>
      <c r="AR38" s="136" t="s">
        <v>120</v>
      </c>
      <c r="AS38" s="136" t="s">
        <v>116</v>
      </c>
      <c r="AT38" s="136" t="s">
        <v>235</v>
      </c>
      <c r="AU38" s="136" t="s">
        <v>12</v>
      </c>
      <c r="AV38" s="136" t="s">
        <v>120</v>
      </c>
      <c r="AX38" s="136" t="str">
        <f>IF(AI5="","",IF(B38="","",B38))</f>
        <v>HR</v>
      </c>
      <c r="AY38" s="136" t="str">
        <f>IF(AI5="","",IF(C38="","",C38))</f>
        <v>-</v>
      </c>
      <c r="AZ38" s="136" t="str">
        <f>IF(AI5="","",IF(D38="","",D38))</f>
        <v>HR</v>
      </c>
      <c r="BA38" s="136" t="str">
        <f>IF(AI5="","",IF(E38="","",E38))</f>
        <v>-</v>
      </c>
      <c r="BB38" s="136" t="str">
        <f>IF(AI5="","",IF(F38="","",F38))</f>
        <v>HR</v>
      </c>
      <c r="BC38" s="136" t="str">
        <f>IF(AI5="","",IF(G38="","",G38))</f>
        <v>-</v>
      </c>
      <c r="BD38" s="136" t="str">
        <f>IF(AI5="","",IF(H38="","",H38))</f>
        <v>HR</v>
      </c>
      <c r="BE38" s="136" t="str">
        <f>IF(AI5="","",IF(I38="","",I38))</f>
        <v>-</v>
      </c>
      <c r="BF38" s="136" t="str">
        <f>IF(AI5="","",IF(J38="","",J38))</f>
        <v>HR</v>
      </c>
      <c r="BG38" s="136" t="str">
        <f>IF(AI5="","",IF(K38="","",K38))</f>
        <v>-</v>
      </c>
      <c r="BH38" s="136" t="str">
        <f>IF(AI5="","",IF(L38="","",L38))</f>
        <v>PV</v>
      </c>
      <c r="BI38" s="136" t="str">
        <f>IF(AI5="","",IF(M38="","",M38))</f>
        <v/>
      </c>
      <c r="BJ38" s="136" t="str">
        <f>IF(AI5="","",IF(N38="","",N38))</f>
        <v>HR</v>
      </c>
      <c r="BK38" s="136" t="str">
        <f>IF(AI5="","",IF(O38="","",O38))</f>
        <v>-</v>
      </c>
      <c r="BM38" s="136" t="str">
        <f>BO38</f>
        <v>AT</v>
      </c>
      <c r="BN38" s="136" t="str">
        <f t="shared" si="15"/>
        <v>Aulas Teóricas</v>
      </c>
      <c r="BO38" s="136" t="str">
        <f t="shared" si="15"/>
        <v>AT</v>
      </c>
      <c r="BP38" s="136">
        <f>COUNTIFS(AX9:BK56,BO38)*0.5</f>
        <v>15</v>
      </c>
      <c r="BQ38" s="136" t="str">
        <f t="shared" si="34"/>
        <v>Aulas Teóricas</v>
      </c>
      <c r="BR38" s="136" t="str">
        <f t="shared" si="34"/>
        <v>AT</v>
      </c>
      <c r="BS38" s="136" t="str">
        <f t="shared" si="18"/>
        <v>Aulas Teóricas</v>
      </c>
      <c r="BT38" s="136">
        <f t="shared" si="23"/>
        <v>120</v>
      </c>
      <c r="BU38" s="136">
        <f t="shared" si="24"/>
        <v>120</v>
      </c>
      <c r="BZ38" s="280"/>
      <c r="CA38" s="183" t="str">
        <f>'INFO BASE'!L101</f>
        <v>-</v>
      </c>
      <c r="CB38" s="183" t="str">
        <f>'INFO BASE'!M101</f>
        <v/>
      </c>
      <c r="CR38" s="177" t="str">
        <f t="shared" si="1"/>
        <v>HR</v>
      </c>
      <c r="CS38" s="177" t="str">
        <f t="shared" si="2"/>
        <v>HR-</v>
      </c>
      <c r="CT38" s="177" t="str">
        <f t="shared" si="1"/>
        <v>HR</v>
      </c>
      <c r="CU38" s="177" t="str">
        <f t="shared" si="3"/>
        <v>HR-</v>
      </c>
      <c r="CV38" s="177" t="str">
        <f t="shared" si="1"/>
        <v>HR</v>
      </c>
      <c r="CW38" s="177" t="str">
        <f t="shared" si="4"/>
        <v>HR-</v>
      </c>
      <c r="CX38" s="177" t="str">
        <f t="shared" si="1"/>
        <v>HR</v>
      </c>
      <c r="CY38" s="177" t="str">
        <f t="shared" si="5"/>
        <v>HR-</v>
      </c>
      <c r="CZ38" s="177" t="str">
        <f t="shared" si="1"/>
        <v>HR</v>
      </c>
      <c r="DA38" s="177" t="str">
        <f t="shared" si="6"/>
        <v>HR-</v>
      </c>
      <c r="DB38" s="177" t="str">
        <f t="shared" si="32"/>
        <v>PV</v>
      </c>
      <c r="DC38" s="177">
        <f t="shared" si="7"/>
        <v>0</v>
      </c>
      <c r="DD38" s="177" t="str">
        <f t="shared" si="8"/>
        <v>HR</v>
      </c>
      <c r="DE38" s="177" t="str">
        <f t="shared" si="9"/>
        <v>HR-</v>
      </c>
      <c r="DK38" s="136" t="str">
        <f t="shared" si="10"/>
        <v>APA0</v>
      </c>
      <c r="DN38" t="str">
        <f t="shared" si="38"/>
        <v>APA</v>
      </c>
      <c r="DO38">
        <f t="shared" si="36"/>
        <v>0</v>
      </c>
      <c r="DP38" t="str">
        <f t="shared" si="11"/>
        <v>APA</v>
      </c>
    </row>
    <row r="39" spans="1:120" ht="18" customHeight="1" x14ac:dyDescent="0.3">
      <c r="A39" s="81">
        <v>0.62500000000001998</v>
      </c>
      <c r="B39" s="166" t="s">
        <v>128</v>
      </c>
      <c r="C39" s="130" t="s">
        <v>230</v>
      </c>
      <c r="D39" s="169" t="s">
        <v>128</v>
      </c>
      <c r="E39" s="130" t="s">
        <v>228</v>
      </c>
      <c r="F39" s="169" t="s">
        <v>128</v>
      </c>
      <c r="G39" s="130" t="s">
        <v>224</v>
      </c>
      <c r="H39" s="169" t="s">
        <v>116</v>
      </c>
      <c r="I39" s="130"/>
      <c r="J39" s="169" t="s">
        <v>116</v>
      </c>
      <c r="K39" s="130"/>
      <c r="L39" s="169" t="s">
        <v>116</v>
      </c>
      <c r="M39" s="130"/>
      <c r="N39" s="169" t="s">
        <v>12</v>
      </c>
      <c r="O39" s="154" t="s">
        <v>120</v>
      </c>
      <c r="P39" s="6">
        <v>0</v>
      </c>
      <c r="Q39" s="118" t="str">
        <f t="shared" si="37"/>
        <v>Trabalho de Grupo</v>
      </c>
      <c r="R39" s="105" t="str">
        <f t="shared" si="39"/>
        <v>CDI</v>
      </c>
      <c r="S39" s="88">
        <f t="shared" si="35"/>
        <v>-1</v>
      </c>
      <c r="T39" s="89">
        <f>IF(VLOOKUP(Q39,'INFO BASE'!$B$40:$I$54,IF(R39='INFO BASE'!$B$32,3,IF(R39='INFO BASE'!$B$33,4,IF(R39='INFO BASE'!$B$34,5,IF(R39='INFO BASE'!$B$35,6,IF(R39='INFO BASE'!$B$36,7,IF(R39='INFO BASE'!$B$37,8,2)))))),0)=0,"",VLOOKUP(Q39,'INFO BASE'!$B$40:$I$54,IF(R39='INFO BASE'!$B$32,3,IF(R39='INFO BASE'!$B$33,4,IF(R39='INFO BASE'!$B$34,5,IF(R39='INFO BASE'!$B$35,6,IF(R39='INFO BASE'!$B$36,7,IF(R39='INFO BASE'!$B$37,8,2)))))),0))</f>
        <v>3</v>
      </c>
      <c r="U39" s="89">
        <f>(COUNTIFS(C9:C56,R39,B9:B56,R34)+COUNTIFS(E9:E56,R39,D9:D56,R34)+COUNTIFS(G9:G56,R39,F9:F56,R34)+COUNTIFS(I9:I56,R39,H9:H56,R34)+COUNTIFS(K9:K56,R39,J9:J56,R34)+COUNTIFS(M9:M56,R39,L9:L56,R34)+COUNTIFS(O9:O56,R39,N9:N56,R34))*0.5</f>
        <v>0</v>
      </c>
      <c r="V39" s="89">
        <f>(COUNTIFS(AI9:AI56,R34,AJ9:AJ56,R32)+COUNTIFS(AK9:AK56,R34,AL9:AL56,R32)+COUNTIFS(AM9:AM56,R34,AN9:AN56,R32)+COUNTIFS(AO9:AO56,R34,AP9:AP56,R32)+COUNTIFS(AQ9:AQ56,R34,AR9:AR56,R32)+COUNTIFS(AS9:AS56,R34,AT9:AT56,R32)+COUNTIFS(AU9:AU56,R34,AV9:AV56,R32))*0.5</f>
        <v>0</v>
      </c>
      <c r="W39" s="90">
        <f>IF(AH5="","-",IF(V39=0,U39,IFERROR((U39/V39)-1,"-")))</f>
        <v>0</v>
      </c>
      <c r="X39" s="201">
        <f t="shared" si="21"/>
        <v>0</v>
      </c>
      <c r="Y39" s="271"/>
      <c r="Z39" s="272"/>
      <c r="AA39" s="272"/>
      <c r="AB39" s="272"/>
      <c r="AC39" s="272"/>
      <c r="AD39" s="272"/>
      <c r="AE39" s="272"/>
      <c r="AF39" s="273"/>
      <c r="AH39" s="136">
        <v>0.62500000000001998</v>
      </c>
      <c r="AI39" s="136" t="s">
        <v>128</v>
      </c>
      <c r="AJ39" s="136" t="s">
        <v>230</v>
      </c>
      <c r="AK39" s="136" t="s">
        <v>128</v>
      </c>
      <c r="AL39" s="136" t="s">
        <v>228</v>
      </c>
      <c r="AM39" s="136" t="s">
        <v>128</v>
      </c>
      <c r="AN39" s="136" t="s">
        <v>224</v>
      </c>
      <c r="AO39" s="136" t="s">
        <v>128</v>
      </c>
      <c r="AP39" s="136" t="s">
        <v>231</v>
      </c>
      <c r="AQ39" s="136" t="s">
        <v>128</v>
      </c>
      <c r="AR39" s="136" t="s">
        <v>230</v>
      </c>
      <c r="AS39" s="136" t="s">
        <v>116</v>
      </c>
      <c r="AT39" s="136" t="s">
        <v>235</v>
      </c>
      <c r="AU39" s="136" t="s">
        <v>12</v>
      </c>
      <c r="AV39" s="136" t="s">
        <v>120</v>
      </c>
      <c r="AX39" s="136" t="str">
        <f>IF(AI5="","",IF(B39="","",B39))</f>
        <v>EG</v>
      </c>
      <c r="AY39" s="136" t="str">
        <f>IF(AI5="","",IF(C39="","",C39))</f>
        <v>AL</v>
      </c>
      <c r="AZ39" s="136" t="str">
        <f>IF(AI5="","",IF(D39="","",D39))</f>
        <v>EG</v>
      </c>
      <c r="BA39" s="136" t="str">
        <f>IF(AI5="","",IF(E39="","",E39))</f>
        <v>IAC</v>
      </c>
      <c r="BB39" s="136" t="str">
        <f>IF(AI5="","",IF(F39="","",F39))</f>
        <v>EG</v>
      </c>
      <c r="BC39" s="136" t="str">
        <f>IF(AI5="","",IF(G39="","",G39))</f>
        <v>FP</v>
      </c>
      <c r="BD39" s="136" t="str">
        <f>IF(AI5="","",IF(H39="","",H39))</f>
        <v>PV</v>
      </c>
      <c r="BE39" s="136" t="str">
        <f>IF(AI5="","",IF(I39="","",I39))</f>
        <v/>
      </c>
      <c r="BF39" s="136" t="str">
        <f>IF(AI5="","",IF(J39="","",J39))</f>
        <v>PV</v>
      </c>
      <c r="BG39" s="136" t="str">
        <f>IF(AI5="","",IF(K39="","",K39))</f>
        <v/>
      </c>
      <c r="BH39" s="136" t="str">
        <f>IF(AI5="","",IF(L39="","",L39))</f>
        <v>PV</v>
      </c>
      <c r="BI39" s="136" t="str">
        <f>IF(AI5="","",IF(M39="","",M39))</f>
        <v/>
      </c>
      <c r="BJ39" s="136" t="str">
        <f>IF(AI5="","",IF(N39="","",N39))</f>
        <v>HR</v>
      </c>
      <c r="BK39" s="136" t="str">
        <f>IF(AI5="","",IF(O39="","",O39))</f>
        <v>-</v>
      </c>
      <c r="BM39" s="136" t="str">
        <f>BM38</f>
        <v>AT</v>
      </c>
      <c r="BN39" s="136" t="str">
        <f t="shared" si="15"/>
        <v>Aulas Teóricas</v>
      </c>
      <c r="BO39" s="136" t="str">
        <f t="shared" si="15"/>
        <v>FP</v>
      </c>
      <c r="BP39" s="136">
        <f>(COUNTIFS(AX9:AX56,BM39,AY9:AY56,BO39)+COUNTIFS(AZ9:AZ56,BM39,BA9:BA56,BO39)+COUNTIFS(BB9:BB56,BM39,BC9:BC56,BO39)+COUNTIFS(BD9:BD56,BM39,BE9:BE56,BO39)+COUNTIFS(BF9:BF56,BM39,BG9:BG56,BO39)+COUNTIFS(BH9:BH56,BM39,BI9:BI56,BO39)+COUNTIFS(BJ9:BJ56,BM39,BK9:BK56,BO39))*0.5</f>
        <v>3</v>
      </c>
      <c r="BQ39" s="136" t="str">
        <f t="shared" si="34"/>
        <v>Aulas Teóricas</v>
      </c>
      <c r="BR39" s="136" t="str">
        <f t="shared" si="34"/>
        <v>FP</v>
      </c>
      <c r="BS39" s="136" t="str">
        <f t="shared" si="18"/>
        <v>Aulas Teóricas</v>
      </c>
      <c r="BT39" s="136">
        <f t="shared" si="23"/>
        <v>24</v>
      </c>
      <c r="BU39" s="136">
        <f t="shared" si="24"/>
        <v>24</v>
      </c>
      <c r="BZ39" s="280"/>
      <c r="CA39" s="183" t="str">
        <f>'INFO BASE'!L102</f>
        <v>-</v>
      </c>
      <c r="CB39" s="183" t="str">
        <f>'INFO BASE'!M102</f>
        <v/>
      </c>
      <c r="CR39" s="177" t="str">
        <f t="shared" si="1"/>
        <v>EG</v>
      </c>
      <c r="CS39" s="177" t="str">
        <f t="shared" si="2"/>
        <v>EGAL</v>
      </c>
      <c r="CT39" s="177" t="str">
        <f t="shared" si="1"/>
        <v>EG</v>
      </c>
      <c r="CU39" s="177" t="str">
        <f t="shared" si="3"/>
        <v>EGIAC</v>
      </c>
      <c r="CV39" s="177" t="str">
        <f t="shared" si="1"/>
        <v>EG</v>
      </c>
      <c r="CW39" s="177" t="str">
        <f t="shared" si="4"/>
        <v>EGFP</v>
      </c>
      <c r="CX39" s="177" t="str">
        <f t="shared" si="1"/>
        <v>PV</v>
      </c>
      <c r="CY39" s="177">
        <f t="shared" si="5"/>
        <v>0</v>
      </c>
      <c r="CZ39" s="177" t="str">
        <f t="shared" si="1"/>
        <v>PV</v>
      </c>
      <c r="DA39" s="177">
        <f t="shared" si="6"/>
        <v>0</v>
      </c>
      <c r="DB39" s="177" t="str">
        <f t="shared" si="32"/>
        <v>PV</v>
      </c>
      <c r="DC39" s="177">
        <f t="shared" si="7"/>
        <v>0</v>
      </c>
      <c r="DD39" s="177" t="str">
        <f t="shared" si="8"/>
        <v>HR</v>
      </c>
      <c r="DE39" s="177" t="str">
        <f t="shared" si="9"/>
        <v>HR-</v>
      </c>
      <c r="DK39" s="136" t="str">
        <f t="shared" si="10"/>
        <v>APBFP</v>
      </c>
      <c r="DN39" t="str">
        <f>'INFO BASE'!B22</f>
        <v>APB</v>
      </c>
      <c r="DO39" t="str">
        <f>DO33</f>
        <v>FP</v>
      </c>
      <c r="DP39" t="str">
        <f t="shared" si="11"/>
        <v>APB</v>
      </c>
    </row>
    <row r="40" spans="1:120" ht="18" customHeight="1" thickBot="1" x14ac:dyDescent="0.35">
      <c r="A40" s="81">
        <v>0.64583333333335402</v>
      </c>
      <c r="B40" s="166" t="s">
        <v>128</v>
      </c>
      <c r="C40" s="130" t="s">
        <v>230</v>
      </c>
      <c r="D40" s="169" t="s">
        <v>128</v>
      </c>
      <c r="E40" s="130" t="s">
        <v>228</v>
      </c>
      <c r="F40" s="169" t="s">
        <v>128</v>
      </c>
      <c r="G40" s="130" t="s">
        <v>224</v>
      </c>
      <c r="H40" s="169" t="s">
        <v>116</v>
      </c>
      <c r="I40" s="130"/>
      <c r="J40" s="169" t="s">
        <v>116</v>
      </c>
      <c r="K40" s="130"/>
      <c r="L40" s="169" t="s">
        <v>116</v>
      </c>
      <c r="M40" s="130"/>
      <c r="N40" s="169" t="s">
        <v>12</v>
      </c>
      <c r="O40" s="154" t="s">
        <v>120</v>
      </c>
      <c r="P40" s="6">
        <v>0</v>
      </c>
      <c r="Q40" s="120" t="str">
        <f t="shared" si="37"/>
        <v>Trabalho de Grupo</v>
      </c>
      <c r="R40" s="105" t="str">
        <f t="shared" si="39"/>
        <v/>
      </c>
      <c r="S40" s="94" t="str">
        <f t="shared" si="35"/>
        <v>-</v>
      </c>
      <c r="T40" s="95" t="str">
        <f>IF(VLOOKUP(Q40,'INFO BASE'!$B$40:$I$54,IF(R40='INFO BASE'!$B$32,3,IF(R40='INFO BASE'!$B$33,4,IF(R40='INFO BASE'!$B$34,5,IF(R40='INFO BASE'!$B$35,6,IF(R40='INFO BASE'!$B$36,7,IF(R40='INFO BASE'!$B$37,8,2)))))),0)=0,"",VLOOKUP(Q40,'INFO BASE'!$B$40:$I$54,IF(R40='INFO BASE'!$B$32,3,IF(R40='INFO BASE'!$B$33,4,IF(R40='INFO BASE'!$B$34,5,IF(R40='INFO BASE'!$B$35,6,IF(R40='INFO BASE'!$B$36,7,IF(R40='INFO BASE'!$B$37,8,2)))))),0))</f>
        <v/>
      </c>
      <c r="U40" s="95">
        <f>(COUNTIFS(C9:C56,R40,B9:B56,R34)+COUNTIFS(E9:E56,R40,D9:D56,R34)+COUNTIFS(G9:G56,R40,F9:F56,R34)+COUNTIFS(I9:I56,R40,H9:H56,R34)+COUNTIFS(K9:K56,R40,J9:J56,R34)+COUNTIFS(M9:M56,R40,L9:L56,R34)+COUNTIFS(O9:O56,R40,N9:N56,R34))*0.5</f>
        <v>0</v>
      </c>
      <c r="V40" s="95">
        <f>(COUNTIFS(AI9:AI56,R34,AJ9:AJ56,R33)+COUNTIFS(AK9:AK56,R34,AL9:AL56,R33)+COUNTIFS(AM9:AM56,R34,AN9:AN56,R33)+COUNTIFS(AO9:AO56,R34,AP9:AP56,R33)+COUNTIFS(AQ9:AQ56,R34,AR9:AR56,R33)+COUNTIFS(AS9:AS56,R34,AT9:AT56,R33)+COUNTIFS(AU9:AU56,R34,AV9:AV56,R33))*0.5</f>
        <v>0</v>
      </c>
      <c r="W40" s="96">
        <f>IF(AH5="","-",IF(V40=0,U40,IFERROR((U40/V40)-1,"-")))</f>
        <v>0</v>
      </c>
      <c r="X40" s="201">
        <f t="shared" si="21"/>
        <v>0</v>
      </c>
      <c r="Y40" s="274"/>
      <c r="Z40" s="275"/>
      <c r="AA40" s="275"/>
      <c r="AB40" s="275"/>
      <c r="AC40" s="275"/>
      <c r="AD40" s="275"/>
      <c r="AE40" s="275"/>
      <c r="AF40" s="276"/>
      <c r="AH40" s="136">
        <v>0.64583333333335402</v>
      </c>
      <c r="AI40" s="136" t="s">
        <v>128</v>
      </c>
      <c r="AJ40" s="136" t="s">
        <v>230</v>
      </c>
      <c r="AK40" s="136" t="s">
        <v>128</v>
      </c>
      <c r="AL40" s="136" t="s">
        <v>228</v>
      </c>
      <c r="AM40" s="136" t="s">
        <v>128</v>
      </c>
      <c r="AN40" s="136" t="s">
        <v>224</v>
      </c>
      <c r="AO40" s="136" t="s">
        <v>128</v>
      </c>
      <c r="AP40" s="136" t="s">
        <v>231</v>
      </c>
      <c r="AQ40" s="136" t="s">
        <v>128</v>
      </c>
      <c r="AR40" s="136" t="s">
        <v>230</v>
      </c>
      <c r="AS40" s="136" t="s">
        <v>116</v>
      </c>
      <c r="AT40" s="136" t="s">
        <v>235</v>
      </c>
      <c r="AU40" s="136" t="s">
        <v>12</v>
      </c>
      <c r="AV40" s="136" t="s">
        <v>120</v>
      </c>
      <c r="AX40" s="136" t="str">
        <f>IF(AI5="","",IF(B40="","",B40))</f>
        <v>EG</v>
      </c>
      <c r="AY40" s="136" t="str">
        <f>IF(AI5="","",IF(C40="","",C40))</f>
        <v>AL</v>
      </c>
      <c r="AZ40" s="136" t="str">
        <f>IF(AI5="","",IF(D40="","",D40))</f>
        <v>EG</v>
      </c>
      <c r="BA40" s="136" t="str">
        <f>IF(AI5="","",IF(E40="","",E40))</f>
        <v>IAC</v>
      </c>
      <c r="BB40" s="136" t="str">
        <f>IF(AI5="","",IF(F40="","",F40))</f>
        <v>EG</v>
      </c>
      <c r="BC40" s="136" t="str">
        <f>IF(AI5="","",IF(G40="","",G40))</f>
        <v>FP</v>
      </c>
      <c r="BD40" s="136" t="str">
        <f>IF(AI5="","",IF(H40="","",H40))</f>
        <v>PV</v>
      </c>
      <c r="BE40" s="136" t="str">
        <f>IF(AI5="","",IF(I40="","",I40))</f>
        <v/>
      </c>
      <c r="BF40" s="136" t="str">
        <f>IF(AI5="","",IF(J40="","",J40))</f>
        <v>PV</v>
      </c>
      <c r="BG40" s="136" t="str">
        <f>IF(AI5="","",IF(K40="","",K40))</f>
        <v/>
      </c>
      <c r="BH40" s="136" t="str">
        <f>IF(AI5="","",IF(L40="","",L40))</f>
        <v>PV</v>
      </c>
      <c r="BI40" s="136" t="str">
        <f>IF(AI5="","",IF(M40="","",M40))</f>
        <v/>
      </c>
      <c r="BJ40" s="136" t="str">
        <f>IF(AI5="","",IF(N40="","",N40))</f>
        <v>HR</v>
      </c>
      <c r="BK40" s="136" t="str">
        <f>IF(AI5="","",IF(O40="","",O40))</f>
        <v>-</v>
      </c>
      <c r="BM40" s="136" t="str">
        <f t="shared" ref="BM40:BM44" si="40">BM39</f>
        <v>AT</v>
      </c>
      <c r="BN40" s="136" t="str">
        <f t="shared" si="15"/>
        <v>Aulas Teóricas</v>
      </c>
      <c r="BO40" s="136" t="str">
        <f t="shared" si="15"/>
        <v>IEI</v>
      </c>
      <c r="BP40" s="136">
        <f>(COUNTIFS(AX9:AX56,BM40,AY9:AY56,BO40)+COUNTIFS(AZ9:AZ56,BM40,BA9:BA56,BO40)+COUNTIFS(BB9:BB56,BM40,BC9:BC56,BO40)+COUNTIFS(BD9:BD56,BM40,BE9:BE56,BO40)+COUNTIFS(BF9:BF56,BM40,BG9:BG56,BO40)+COUNTIFS(BH9:BH56,BM40,BI9:BI56,BO40)+COUNTIFS(BJ9:BJ56,BM40,BK9:BK56,BO40))*0.5</f>
        <v>3</v>
      </c>
      <c r="BQ40" s="136" t="str">
        <f t="shared" si="34"/>
        <v>Aulas Teóricas</v>
      </c>
      <c r="BR40" s="136" t="str">
        <f t="shared" si="34"/>
        <v>IEI</v>
      </c>
      <c r="BS40" s="136" t="str">
        <f t="shared" si="18"/>
        <v>Aulas Teóricas</v>
      </c>
      <c r="BT40" s="136">
        <f t="shared" si="23"/>
        <v>24</v>
      </c>
      <c r="BU40" s="136">
        <f t="shared" si="24"/>
        <v>24</v>
      </c>
      <c r="BZ40" s="280"/>
      <c r="CA40" s="183" t="str">
        <f>'INFO BASE'!L103</f>
        <v>-</v>
      </c>
      <c r="CB40" s="183" t="str">
        <f>'INFO BASE'!M103</f>
        <v/>
      </c>
      <c r="CR40" s="177" t="str">
        <f t="shared" si="1"/>
        <v>EG</v>
      </c>
      <c r="CS40" s="177" t="str">
        <f t="shared" si="2"/>
        <v>EGAL</v>
      </c>
      <c r="CT40" s="177" t="str">
        <f t="shared" si="1"/>
        <v>EG</v>
      </c>
      <c r="CU40" s="177" t="str">
        <f t="shared" si="3"/>
        <v>EGIAC</v>
      </c>
      <c r="CV40" s="177" t="str">
        <f t="shared" si="1"/>
        <v>EG</v>
      </c>
      <c r="CW40" s="177" t="str">
        <f t="shared" si="4"/>
        <v>EGFP</v>
      </c>
      <c r="CX40" s="177" t="str">
        <f t="shared" si="1"/>
        <v>PV</v>
      </c>
      <c r="CY40" s="177">
        <f t="shared" si="5"/>
        <v>0</v>
      </c>
      <c r="CZ40" s="177" t="str">
        <f t="shared" si="1"/>
        <v>PV</v>
      </c>
      <c r="DA40" s="177">
        <f t="shared" si="6"/>
        <v>0</v>
      </c>
      <c r="DB40" s="177" t="str">
        <f t="shared" si="32"/>
        <v>PV</v>
      </c>
      <c r="DC40" s="177">
        <f t="shared" si="7"/>
        <v>0</v>
      </c>
      <c r="DD40" s="177" t="str">
        <f t="shared" si="8"/>
        <v>HR</v>
      </c>
      <c r="DE40" s="177" t="str">
        <f t="shared" si="9"/>
        <v>HR-</v>
      </c>
      <c r="DK40" s="136" t="str">
        <f t="shared" si="10"/>
        <v>APBIEI</v>
      </c>
      <c r="DN40" t="str">
        <f>DN39</f>
        <v>APB</v>
      </c>
      <c r="DO40" t="str">
        <f t="shared" ref="DO40:DO44" si="41">DO34</f>
        <v>IEI</v>
      </c>
      <c r="DP40" t="str">
        <f t="shared" si="11"/>
        <v>APB</v>
      </c>
    </row>
    <row r="41" spans="1:120" ht="18" customHeight="1" x14ac:dyDescent="0.3">
      <c r="A41" s="81">
        <v>0.66666666666668795</v>
      </c>
      <c r="B41" s="166" t="s">
        <v>116</v>
      </c>
      <c r="C41" s="130"/>
      <c r="D41" s="169" t="s">
        <v>116</v>
      </c>
      <c r="E41" s="130"/>
      <c r="F41" s="169" t="s">
        <v>116</v>
      </c>
      <c r="G41" s="130"/>
      <c r="H41" s="169" t="s">
        <v>116</v>
      </c>
      <c r="I41" s="130"/>
      <c r="J41" s="169" t="s">
        <v>116</v>
      </c>
      <c r="K41" s="130"/>
      <c r="L41" s="169" t="s">
        <v>116</v>
      </c>
      <c r="M41" s="130"/>
      <c r="N41" s="169" t="s">
        <v>116</v>
      </c>
      <c r="O41" s="154"/>
      <c r="P41" s="6">
        <v>0</v>
      </c>
      <c r="Q41" s="121" t="str">
        <f>IF('INFO BASE'!$C$20="","",'INFO BASE'!$C$20)</f>
        <v>Aulas Teóricas</v>
      </c>
      <c r="R41" s="82" t="str">
        <f>IFERROR(VLOOKUP(Q41,'INFO BASE'!$C$17:$D$29,2,0),"")</f>
        <v>AT</v>
      </c>
      <c r="S41" s="83">
        <f t="shared" si="35"/>
        <v>0</v>
      </c>
      <c r="T41" s="84">
        <f>IF(VLOOKUP(Q41,'INFO BASE'!$B$40:$I$54,IF(R41='INFO BASE'!$B$32,3,IF(R41='INFO BASE'!$B$33,4,IF(R41='INFO BASE'!$B$34,5,IF(R41='INFO BASE'!$B$35,6,IF(R41='INFO BASE'!$B$36,7,IF(R41='INFO BASE'!$B$37,8,2)))))),0)=0,"",VLOOKUP(Q41,'INFO BASE'!$B$40:$I$54,IF(R41='INFO BASE'!$B$32,3,IF(R41='INFO BASE'!$B$33,4,IF(R41='INFO BASE'!$B$34,5,IF(R41='INFO BASE'!$B$35,6,IF(R41='INFO BASE'!$B$36,7,IF(R41='INFO BASE'!$B$37,8,2)))))),0))</f>
        <v>15</v>
      </c>
      <c r="U41" s="84">
        <f>IF(R41="","",COUNTIFS(SEMANA1,R41)*0.5)</f>
        <v>15</v>
      </c>
      <c r="V41" s="84">
        <f>IF(R41="","",COUNTIFS(AI9:AV56,R41)*0.5)</f>
        <v>15</v>
      </c>
      <c r="W41" s="85">
        <f>IF(AH5="","-",IF(V41=0,U41,IFERROR((U41/V41)-1,"-")))</f>
        <v>0</v>
      </c>
      <c r="X41" s="201">
        <f t="shared" si="21"/>
        <v>0</v>
      </c>
      <c r="Y41" s="277"/>
      <c r="Z41" s="278"/>
      <c r="AA41" s="278"/>
      <c r="AB41" s="278"/>
      <c r="AC41" s="278"/>
      <c r="AD41" s="278"/>
      <c r="AE41" s="278"/>
      <c r="AF41" s="279"/>
      <c r="AH41" s="136">
        <v>0.66666666666668795</v>
      </c>
      <c r="AI41" s="136" t="s">
        <v>116</v>
      </c>
      <c r="AJ41" s="136" t="s">
        <v>235</v>
      </c>
      <c r="AK41" s="136" t="s">
        <v>116</v>
      </c>
      <c r="AL41" s="136" t="s">
        <v>235</v>
      </c>
      <c r="AM41" s="136" t="s">
        <v>116</v>
      </c>
      <c r="AN41" s="136" t="s">
        <v>235</v>
      </c>
      <c r="AO41" s="136" t="s">
        <v>116</v>
      </c>
      <c r="AP41" s="136" t="s">
        <v>235</v>
      </c>
      <c r="AQ41" s="136" t="s">
        <v>116</v>
      </c>
      <c r="AR41" s="136" t="s">
        <v>235</v>
      </c>
      <c r="AS41" s="136" t="s">
        <v>116</v>
      </c>
      <c r="AT41" s="136" t="s">
        <v>235</v>
      </c>
      <c r="AU41" s="136" t="s">
        <v>116</v>
      </c>
      <c r="AV41" s="136" t="s">
        <v>235</v>
      </c>
      <c r="AX41" s="136" t="str">
        <f>IF(AI5="","",IF(B41="","",B41))</f>
        <v>PV</v>
      </c>
      <c r="AY41" s="136" t="str">
        <f>IF(AI5="","",IF(C41="","",C41))</f>
        <v/>
      </c>
      <c r="AZ41" s="136" t="str">
        <f>IF(AI5="","",IF(D41="","",D41))</f>
        <v>PV</v>
      </c>
      <c r="BA41" s="136" t="str">
        <f>IF(AI5="","",IF(E41="","",E41))</f>
        <v/>
      </c>
      <c r="BB41" s="136" t="str">
        <f>IF(AI5="","",IF(F41="","",F41))</f>
        <v>PV</v>
      </c>
      <c r="BC41" s="136" t="str">
        <f>IF(AI5="","",IF(G41="","",G41))</f>
        <v/>
      </c>
      <c r="BD41" s="136" t="str">
        <f>IF(AI5="","",IF(H41="","",H41))</f>
        <v>PV</v>
      </c>
      <c r="BE41" s="136" t="str">
        <f>IF(AI5="","",IF(I41="","",I41))</f>
        <v/>
      </c>
      <c r="BF41" s="136" t="str">
        <f>IF(AI5="","",IF(J41="","",J41))</f>
        <v>PV</v>
      </c>
      <c r="BG41" s="136" t="str">
        <f>IF(AI5="","",IF(K41="","",K41))</f>
        <v/>
      </c>
      <c r="BH41" s="136" t="str">
        <f>IF(AI5="","",IF(L41="","",L41))</f>
        <v>PV</v>
      </c>
      <c r="BI41" s="136" t="str">
        <f>IF(AI5="","",IF(M41="","",M41))</f>
        <v/>
      </c>
      <c r="BJ41" s="136" t="str">
        <f>IF(AI5="","",IF(N41="","",N41))</f>
        <v>PV</v>
      </c>
      <c r="BK41" s="136" t="str">
        <f>IF(AI5="","",IF(O41="","",O41))</f>
        <v/>
      </c>
      <c r="BM41" s="136" t="str">
        <f t="shared" si="40"/>
        <v>AT</v>
      </c>
      <c r="BN41" s="136" t="str">
        <f t="shared" si="15"/>
        <v>Aulas Teóricas</v>
      </c>
      <c r="BO41" s="136" t="str">
        <f t="shared" si="15"/>
        <v>IAC</v>
      </c>
      <c r="BP41" s="136">
        <f>(COUNTIFS(AX9:AX56,BM41,AY9:AY56,BO41)+COUNTIFS(AZ9:AZ56,BM41,BA9:BA56,BO41)+COUNTIFS(BB9:BB56,BM41,BC9:BC56,BO41)+COUNTIFS(BD9:BD56,BM41,BE9:BE56,BO41)+COUNTIFS(BF9:BF56,BM41,BG9:BG56,BO41)+COUNTIFS(BH9:BH56,BM41,BI9:BI56,BO41)+COUNTIFS(BJ9:BJ56,BM41,BK9:BK56,BO41))*0.5</f>
        <v>3</v>
      </c>
      <c r="BQ41" s="136" t="str">
        <f t="shared" si="34"/>
        <v>Aulas Teóricas</v>
      </c>
      <c r="BR41" s="136" t="str">
        <f t="shared" si="34"/>
        <v>IAC</v>
      </c>
      <c r="BS41" s="136" t="str">
        <f t="shared" si="18"/>
        <v>Aulas Teóricas</v>
      </c>
      <c r="BT41" s="136">
        <f t="shared" si="23"/>
        <v>24</v>
      </c>
      <c r="BU41" s="136">
        <f t="shared" si="24"/>
        <v>24</v>
      </c>
      <c r="BZ41" s="280"/>
      <c r="CA41" s="183" t="str">
        <f>'INFO BASE'!L104</f>
        <v>-</v>
      </c>
      <c r="CB41" s="183" t="str">
        <f>'INFO BASE'!M104</f>
        <v/>
      </c>
      <c r="CR41" s="177" t="str">
        <f t="shared" si="1"/>
        <v>PV</v>
      </c>
      <c r="CS41" s="177">
        <f t="shared" si="2"/>
        <v>0</v>
      </c>
      <c r="CT41" s="177" t="str">
        <f t="shared" si="1"/>
        <v>PV</v>
      </c>
      <c r="CU41" s="177">
        <f t="shared" si="3"/>
        <v>0</v>
      </c>
      <c r="CV41" s="177" t="str">
        <f t="shared" si="1"/>
        <v>PV</v>
      </c>
      <c r="CW41" s="177">
        <f t="shared" si="4"/>
        <v>0</v>
      </c>
      <c r="CX41" s="177" t="str">
        <f t="shared" si="1"/>
        <v>PV</v>
      </c>
      <c r="CY41" s="177">
        <f t="shared" si="5"/>
        <v>0</v>
      </c>
      <c r="CZ41" s="177" t="str">
        <f t="shared" si="1"/>
        <v>PV</v>
      </c>
      <c r="DA41" s="177">
        <f t="shared" si="6"/>
        <v>0</v>
      </c>
      <c r="DB41" s="177" t="str">
        <f t="shared" si="32"/>
        <v>PV</v>
      </c>
      <c r="DC41" s="177">
        <f t="shared" si="7"/>
        <v>0</v>
      </c>
      <c r="DD41" s="177" t="str">
        <f t="shared" si="8"/>
        <v>PV</v>
      </c>
      <c r="DE41" s="177">
        <f t="shared" si="9"/>
        <v>0</v>
      </c>
      <c r="DK41" s="136" t="str">
        <f t="shared" si="10"/>
        <v>APBIAC</v>
      </c>
      <c r="DN41" t="str">
        <f t="shared" ref="DN41:DN44" si="42">DN40</f>
        <v>APB</v>
      </c>
      <c r="DO41" t="str">
        <f t="shared" si="41"/>
        <v>IAC</v>
      </c>
      <c r="DP41" t="str">
        <f t="shared" si="11"/>
        <v>APB</v>
      </c>
    </row>
    <row r="42" spans="1:120" ht="18" customHeight="1" x14ac:dyDescent="0.3">
      <c r="A42" s="81">
        <v>0.68750000000002198</v>
      </c>
      <c r="B42" s="166" t="s">
        <v>116</v>
      </c>
      <c r="C42" s="130"/>
      <c r="D42" s="169" t="s">
        <v>116</v>
      </c>
      <c r="E42" s="130"/>
      <c r="F42" s="169" t="s">
        <v>116</v>
      </c>
      <c r="G42" s="130"/>
      <c r="H42" s="169" t="s">
        <v>116</v>
      </c>
      <c r="I42" s="130"/>
      <c r="J42" s="169" t="s">
        <v>116</v>
      </c>
      <c r="K42" s="130"/>
      <c r="L42" s="169" t="s">
        <v>116</v>
      </c>
      <c r="M42" s="130"/>
      <c r="N42" s="169" t="s">
        <v>116</v>
      </c>
      <c r="O42" s="154"/>
      <c r="P42" s="6">
        <v>0</v>
      </c>
      <c r="Q42" s="122" t="str">
        <f t="shared" ref="Q42:Q47" si="43">Q41</f>
        <v>Aulas Teóricas</v>
      </c>
      <c r="R42" s="105" t="str">
        <f>R35</f>
        <v>FP</v>
      </c>
      <c r="S42" s="88">
        <f t="shared" si="35"/>
        <v>0</v>
      </c>
      <c r="T42" s="89">
        <f>IF(VLOOKUP(Q42,'INFO BASE'!$B$40:$I$54,IF(R42='INFO BASE'!$B$32,3,IF(R42='INFO BASE'!$B$33,4,IF(R42='INFO BASE'!$B$34,5,IF(R42='INFO BASE'!$B$35,6,IF(R42='INFO BASE'!$B$36,7,IF(R42='INFO BASE'!$B$37,8,2)))))),0)=0,"",VLOOKUP(Q42,'INFO BASE'!$B$40:$I$54,IF(R42='INFO BASE'!$B$32,3,IF(R42='INFO BASE'!$B$33,4,IF(R42='INFO BASE'!$B$34,5,IF(R42='INFO BASE'!$B$35,6,IF(R42='INFO BASE'!$B$36,7,IF(R42='INFO BASE'!$B$37,8,2)))))),0))</f>
        <v>3</v>
      </c>
      <c r="U42" s="89">
        <f>(COUNTIFS(C9:C56,R42,B9:B56,R41)+COUNTIFS(E9:E56,R42,D9:D56,R41)+COUNTIFS(G9:G56,R42,F9:F56,R41)+COUNTIFS(I9:I56,R42,H9:H56,R41)+COUNTIFS(K9:K56,R42,J9:J56,R41)+COUNTIFS(M9:M56,R42,L9:L56,R41)+COUNTIFS(O9:O56,R42,N9:N56,R41))*0.5</f>
        <v>3</v>
      </c>
      <c r="V42" s="89">
        <f>(COUNTIFS(AI9:AI56,R41,AJ9:AJ56,R35)+COUNTIFS(AK9:AK56,R41,AL9:AL56,R35)+COUNTIFS(AM9:AM56,R41,AN9:AN56,R35)+COUNTIFS(AO9:AO56,R41,AP9:AP56,R35)+COUNTIFS(AQ9:AQ56,R41,AR9:AR56,R35)+COUNTIFS(AS9:AS56,R41,AT9:AT56,R35)+COUNTIFS(AU9:AU56,R41,AV9:AV56,R35))*0.5</f>
        <v>3</v>
      </c>
      <c r="W42" s="90">
        <f>IF(AH5="","-",IF(V42=0,U42,IFERROR((U42/V42)-1,"-")))</f>
        <v>0</v>
      </c>
      <c r="X42" s="201">
        <f t="shared" si="21"/>
        <v>0</v>
      </c>
      <c r="Y42" s="271"/>
      <c r="Z42" s="272"/>
      <c r="AA42" s="272"/>
      <c r="AB42" s="272"/>
      <c r="AC42" s="272"/>
      <c r="AD42" s="272"/>
      <c r="AE42" s="272"/>
      <c r="AF42" s="273"/>
      <c r="AH42" s="136">
        <v>0.68750000000002198</v>
      </c>
      <c r="AI42" s="136" t="s">
        <v>116</v>
      </c>
      <c r="AJ42" s="136" t="s">
        <v>235</v>
      </c>
      <c r="AK42" s="136" t="s">
        <v>116</v>
      </c>
      <c r="AL42" s="136" t="s">
        <v>235</v>
      </c>
      <c r="AM42" s="136" t="s">
        <v>116</v>
      </c>
      <c r="AN42" s="136" t="s">
        <v>235</v>
      </c>
      <c r="AO42" s="136" t="s">
        <v>116</v>
      </c>
      <c r="AP42" s="136" t="s">
        <v>235</v>
      </c>
      <c r="AQ42" s="136" t="s">
        <v>116</v>
      </c>
      <c r="AR42" s="136" t="s">
        <v>235</v>
      </c>
      <c r="AS42" s="136" t="s">
        <v>116</v>
      </c>
      <c r="AT42" s="136" t="s">
        <v>235</v>
      </c>
      <c r="AU42" s="136" t="s">
        <v>8</v>
      </c>
      <c r="AV42" s="136" t="s">
        <v>230</v>
      </c>
      <c r="AX42" s="136" t="str">
        <f>IF(AI5="","",IF(B42="","",B42))</f>
        <v>PV</v>
      </c>
      <c r="AY42" s="136" t="str">
        <f>IF(AI5="","",IF(C42="","",C42))</f>
        <v/>
      </c>
      <c r="AZ42" s="136" t="str">
        <f>IF(AI5="","",IF(D42="","",D42))</f>
        <v>PV</v>
      </c>
      <c r="BA42" s="136" t="str">
        <f>IF(AI5="","",IF(E42="","",E42))</f>
        <v/>
      </c>
      <c r="BB42" s="136" t="str">
        <f>IF(AI5="","",IF(F42="","",F42))</f>
        <v>PV</v>
      </c>
      <c r="BC42" s="136" t="str">
        <f>IF(AI5="","",IF(G42="","",G42))</f>
        <v/>
      </c>
      <c r="BD42" s="136" t="str">
        <f>IF(AI5="","",IF(H42="","",H42))</f>
        <v>PV</v>
      </c>
      <c r="BE42" s="136" t="str">
        <f>IF(AI5="","",IF(I42="","",I42))</f>
        <v/>
      </c>
      <c r="BF42" s="136" t="str">
        <f>IF(AI5="","",IF(J42="","",J42))</f>
        <v>PV</v>
      </c>
      <c r="BG42" s="136" t="str">
        <f>IF(AI5="","",IF(K42="","",K42))</f>
        <v/>
      </c>
      <c r="BH42" s="136" t="str">
        <f>IF(AI5="","",IF(L42="","",L42))</f>
        <v>PV</v>
      </c>
      <c r="BI42" s="136" t="str">
        <f>IF(AI5="","",IF(M42="","",M42))</f>
        <v/>
      </c>
      <c r="BJ42" s="136" t="str">
        <f>IF(AI5="","",IF(N42="","",N42))</f>
        <v>PV</v>
      </c>
      <c r="BK42" s="136" t="str">
        <f>IF(AI5="","",IF(O42="","",O42))</f>
        <v/>
      </c>
      <c r="BM42" s="136" t="str">
        <f t="shared" si="40"/>
        <v>AT</v>
      </c>
      <c r="BN42" s="136" t="str">
        <f t="shared" si="15"/>
        <v>Aulas Teóricas</v>
      </c>
      <c r="BO42" s="136" t="str">
        <f t="shared" si="15"/>
        <v>AL</v>
      </c>
      <c r="BP42" s="136">
        <f>(COUNTIFS(AX9:AX56,BM42,AY9:AY56,BO42)+COUNTIFS(AZ9:AZ56,BM42,BA9:BA56,BO42)+COUNTIFS(BB9:BB56,BM42,BC9:BC56,BO42)+COUNTIFS(BD9:BD56,BM42,BE9:BE56,BO42)+COUNTIFS(BF9:BF56,BM42,BG9:BG56,BO42)+COUNTIFS(BH9:BH56,BM42,BI9:BI56,BO42)+COUNTIFS(BJ9:BJ56,BM42,BK9:BK56,BO42))*0.5</f>
        <v>3</v>
      </c>
      <c r="BQ42" s="136" t="str">
        <f t="shared" si="34"/>
        <v>Aulas Teóricas</v>
      </c>
      <c r="BR42" s="136" t="str">
        <f t="shared" si="34"/>
        <v>AL</v>
      </c>
      <c r="BS42" s="136" t="str">
        <f t="shared" si="18"/>
        <v>Aulas Teóricas</v>
      </c>
      <c r="BT42" s="136">
        <f t="shared" si="23"/>
        <v>24</v>
      </c>
      <c r="BU42" s="136">
        <f t="shared" si="24"/>
        <v>24</v>
      </c>
      <c r="BZ42" s="280"/>
      <c r="CA42" s="183" t="str">
        <f>'INFO BASE'!L105</f>
        <v>-</v>
      </c>
      <c r="CB42" s="183" t="str">
        <f>'INFO BASE'!M105</f>
        <v/>
      </c>
      <c r="CR42" s="177" t="str">
        <f t="shared" si="1"/>
        <v>PV</v>
      </c>
      <c r="CS42" s="177">
        <f t="shared" si="2"/>
        <v>0</v>
      </c>
      <c r="CT42" s="177" t="str">
        <f t="shared" si="1"/>
        <v>PV</v>
      </c>
      <c r="CU42" s="177">
        <f t="shared" si="3"/>
        <v>0</v>
      </c>
      <c r="CV42" s="177" t="str">
        <f t="shared" si="1"/>
        <v>PV</v>
      </c>
      <c r="CW42" s="177">
        <f t="shared" si="4"/>
        <v>0</v>
      </c>
      <c r="CX42" s="177" t="str">
        <f t="shared" si="1"/>
        <v>PV</v>
      </c>
      <c r="CY42" s="177">
        <f t="shared" si="5"/>
        <v>0</v>
      </c>
      <c r="CZ42" s="177" t="str">
        <f t="shared" si="1"/>
        <v>PV</v>
      </c>
      <c r="DA42" s="177">
        <f t="shared" si="6"/>
        <v>0</v>
      </c>
      <c r="DB42" s="177" t="str">
        <f t="shared" si="32"/>
        <v>PV</v>
      </c>
      <c r="DC42" s="177">
        <f t="shared" si="7"/>
        <v>0</v>
      </c>
      <c r="DD42" s="177" t="str">
        <f t="shared" si="8"/>
        <v>PV</v>
      </c>
      <c r="DE42" s="177">
        <f t="shared" si="9"/>
        <v>0</v>
      </c>
      <c r="DK42" s="136" t="str">
        <f t="shared" si="10"/>
        <v>APBAL</v>
      </c>
      <c r="DN42" t="str">
        <f t="shared" si="42"/>
        <v>APB</v>
      </c>
      <c r="DO42" t="str">
        <f t="shared" si="41"/>
        <v>AL</v>
      </c>
      <c r="DP42" t="str">
        <f t="shared" si="11"/>
        <v>APB</v>
      </c>
    </row>
    <row r="43" spans="1:120" ht="18" customHeight="1" x14ac:dyDescent="0.3">
      <c r="A43" s="81">
        <v>0.70833333333335602</v>
      </c>
      <c r="B43" s="166" t="s">
        <v>11</v>
      </c>
      <c r="C43" s="130" t="s">
        <v>120</v>
      </c>
      <c r="D43" s="169" t="s">
        <v>11</v>
      </c>
      <c r="E43" s="130" t="s">
        <v>120</v>
      </c>
      <c r="F43" s="169" t="s">
        <v>11</v>
      </c>
      <c r="G43" s="130" t="s">
        <v>120</v>
      </c>
      <c r="H43" s="169" t="s">
        <v>116</v>
      </c>
      <c r="I43" s="130"/>
      <c r="J43" s="169" t="s">
        <v>11</v>
      </c>
      <c r="K43" s="130" t="s">
        <v>120</v>
      </c>
      <c r="L43" s="169" t="s">
        <v>116</v>
      </c>
      <c r="M43" s="130"/>
      <c r="N43" s="169" t="s">
        <v>116</v>
      </c>
      <c r="O43" s="154"/>
      <c r="P43" s="6">
        <v>0</v>
      </c>
      <c r="Q43" s="122" t="str">
        <f t="shared" si="43"/>
        <v>Aulas Teóricas</v>
      </c>
      <c r="R43" s="105" t="str">
        <f t="shared" ref="R43:R47" si="44">R36</f>
        <v>IEI</v>
      </c>
      <c r="S43" s="88">
        <f t="shared" si="35"/>
        <v>0</v>
      </c>
      <c r="T43" s="106">
        <f>IF(VLOOKUP(Q43,'INFO BASE'!$B$40:$I$54,IF(R43='INFO BASE'!$B$32,3,IF(R43='INFO BASE'!$B$33,4,IF(R43='INFO BASE'!$B$34,5,IF(R43='INFO BASE'!$B$35,6,IF(R43='INFO BASE'!$B$36,7,IF(R43='INFO BASE'!$B$37,8,2)))))),0)=0,"",VLOOKUP(Q43,'INFO BASE'!$B$40:$I$54,IF(R43='INFO BASE'!$B$32,3,IF(R43='INFO BASE'!$B$33,4,IF(R43='INFO BASE'!$B$34,5,IF(R43='INFO BASE'!$B$35,6,IF(R43='INFO BASE'!$B$36,7,IF(R43='INFO BASE'!$B$37,8,2)))))),0))</f>
        <v>3</v>
      </c>
      <c r="U43" s="106">
        <f>(COUNTIFS(C9:C56,R43,B9:B56,R41)+COUNTIFS(E9:E56,R43,D9:D56,R41)+COUNTIFS(G9:G56,R43,F9:F56,R41)+COUNTIFS(I9:I56,R43,H9:H56,R41)+COUNTIFS(K9:K56,R43,J9:J56,R41)+COUNTIFS(M9:M56,R43,L9:L56,R41)+COUNTIFS(O9:O56,R43,N9:N56,R41))*0.5</f>
        <v>3</v>
      </c>
      <c r="V43" s="89">
        <f>(COUNTIFS(AI9:AI56,R41,AJ9:AJ56,R36)+COUNTIFS(AK9:AK56,R41,AL9:AL56,R36)+COUNTIFS(AM9:AM56,R41,AN9:AN56,R36)+COUNTIFS(AO9:AO56,R41,AP9:AP56,R36)+COUNTIFS(AQ9:AQ56,R41,AR9:AR56,R36)+COUNTIFS(AS9:AS56,R41,AT9:AT56,R36)+COUNTIFS(AU9:AU56,R41,AV9:AV56,R36))*0.5</f>
        <v>3</v>
      </c>
      <c r="W43" s="90">
        <f>IF(AH5="","-",IF(V43=0,U43,IFERROR((U43/V43)-1,"-")))</f>
        <v>0</v>
      </c>
      <c r="X43" s="201">
        <f t="shared" si="21"/>
        <v>0</v>
      </c>
      <c r="Y43" s="271"/>
      <c r="Z43" s="272"/>
      <c r="AA43" s="272"/>
      <c r="AB43" s="272"/>
      <c r="AC43" s="272"/>
      <c r="AD43" s="272"/>
      <c r="AE43" s="272"/>
      <c r="AF43" s="273"/>
      <c r="AH43" s="136">
        <v>0.70833333333335602</v>
      </c>
      <c r="AI43" s="136" t="s">
        <v>11</v>
      </c>
      <c r="AJ43" s="136" t="s">
        <v>120</v>
      </c>
      <c r="AK43" s="136" t="s">
        <v>11</v>
      </c>
      <c r="AL43" s="136" t="s">
        <v>120</v>
      </c>
      <c r="AM43" s="136" t="s">
        <v>11</v>
      </c>
      <c r="AN43" s="136" t="s">
        <v>120</v>
      </c>
      <c r="AO43" s="136" t="s">
        <v>11</v>
      </c>
      <c r="AP43" s="136" t="s">
        <v>120</v>
      </c>
      <c r="AQ43" s="136" t="s">
        <v>11</v>
      </c>
      <c r="AR43" s="136" t="s">
        <v>120</v>
      </c>
      <c r="AS43" s="136" t="s">
        <v>116</v>
      </c>
      <c r="AT43" s="136" t="s">
        <v>235</v>
      </c>
      <c r="AU43" s="136" t="s">
        <v>8</v>
      </c>
      <c r="AV43" s="136" t="s">
        <v>230</v>
      </c>
      <c r="AX43" s="136" t="str">
        <f>IF(AI5="","",IF(B43="","",B43))</f>
        <v>HD</v>
      </c>
      <c r="AY43" s="136" t="str">
        <f>IF(AI5="","",IF(C43="","",C43))</f>
        <v>-</v>
      </c>
      <c r="AZ43" s="136" t="str">
        <f>IF(AI5="","",IF(D43="","",D43))</f>
        <v>HD</v>
      </c>
      <c r="BA43" s="136" t="str">
        <f>IF(AI5="","",IF(E43="","",E43))</f>
        <v>-</v>
      </c>
      <c r="BB43" s="136" t="str">
        <f>IF(AI5="","",IF(F43="","",F43))</f>
        <v>HD</v>
      </c>
      <c r="BC43" s="136" t="str">
        <f>IF(AI5="","",IF(G43="","",G43))</f>
        <v>-</v>
      </c>
      <c r="BD43" s="136" t="str">
        <f>IF(AI5="","",IF(H43="","",H43))</f>
        <v>PV</v>
      </c>
      <c r="BE43" s="136" t="str">
        <f>IF(AI5="","",IF(I43="","",I43))</f>
        <v/>
      </c>
      <c r="BF43" s="136" t="str">
        <f>IF(AI5="","",IF(J43="","",J43))</f>
        <v>HD</v>
      </c>
      <c r="BG43" s="136" t="str">
        <f>IF(AI5="","",IF(K43="","",K43))</f>
        <v>-</v>
      </c>
      <c r="BH43" s="136" t="str">
        <f>IF(AI5="","",IF(L43="","",L43))</f>
        <v>PV</v>
      </c>
      <c r="BI43" s="136" t="str">
        <f>IF(AI5="","",IF(M43="","",M43))</f>
        <v/>
      </c>
      <c r="BJ43" s="136" t="str">
        <f>IF(AI5="","",IF(N43="","",N43))</f>
        <v>PV</v>
      </c>
      <c r="BK43" s="136" t="str">
        <f>IF(AI5="","",IF(O43="","",O43))</f>
        <v/>
      </c>
      <c r="BM43" s="136" t="str">
        <f t="shared" si="40"/>
        <v>AT</v>
      </c>
      <c r="BN43" s="136" t="str">
        <f t="shared" si="15"/>
        <v>Aulas Teóricas</v>
      </c>
      <c r="BO43" s="136" t="str">
        <f t="shared" si="15"/>
        <v>CDI</v>
      </c>
      <c r="BP43" s="136">
        <f>(COUNTIFS(AX9:AX56,BM43,AY9:AY56,BO43)+COUNTIFS(AZ9:AZ56,BM43,BA9:BA56,BO43)+COUNTIFS(BB9:BB56,BM43,BC9:BC56,BO43)+COUNTIFS(BD9:BD56,BM43,BE9:BE56,BO43)+COUNTIFS(BF9:BF56,BM43,BG9:BG56,BO43)+COUNTIFS(BH9:BH56,BM43,BI9:BI56,BO43)+COUNTIFS(BJ9:BJ56,BM43,BK9:BK56,BO43))*0.5</f>
        <v>3</v>
      </c>
      <c r="BQ43" s="136" t="str">
        <f t="shared" si="34"/>
        <v>Aulas Teóricas</v>
      </c>
      <c r="BR43" s="136" t="str">
        <f t="shared" si="34"/>
        <v>CDI</v>
      </c>
      <c r="BS43" s="136" t="str">
        <f t="shared" si="18"/>
        <v>Aulas Teóricas</v>
      </c>
      <c r="BT43" s="136">
        <f t="shared" si="23"/>
        <v>24</v>
      </c>
      <c r="BU43" s="136">
        <f t="shared" si="24"/>
        <v>24</v>
      </c>
      <c r="BZ43" s="280"/>
      <c r="CA43" s="183" t="str">
        <f>'INFO BASE'!L106</f>
        <v>-</v>
      </c>
      <c r="CB43" s="183" t="str">
        <f>'INFO BASE'!M106</f>
        <v/>
      </c>
      <c r="CR43" s="177" t="str">
        <f t="shared" si="1"/>
        <v>HD</v>
      </c>
      <c r="CS43" s="177" t="str">
        <f t="shared" si="2"/>
        <v>HD-</v>
      </c>
      <c r="CT43" s="177" t="str">
        <f t="shared" si="1"/>
        <v>HD</v>
      </c>
      <c r="CU43" s="177" t="str">
        <f t="shared" si="3"/>
        <v>HD-</v>
      </c>
      <c r="CV43" s="177" t="str">
        <f t="shared" si="1"/>
        <v>HD</v>
      </c>
      <c r="CW43" s="177" t="str">
        <f t="shared" si="4"/>
        <v>HD-</v>
      </c>
      <c r="CX43" s="177" t="str">
        <f t="shared" si="1"/>
        <v>PV</v>
      </c>
      <c r="CY43" s="177">
        <f t="shared" si="5"/>
        <v>0</v>
      </c>
      <c r="CZ43" s="177" t="str">
        <f t="shared" si="1"/>
        <v>HD</v>
      </c>
      <c r="DA43" s="177" t="str">
        <f t="shared" si="6"/>
        <v>HD-</v>
      </c>
      <c r="DB43" s="177" t="str">
        <f t="shared" si="32"/>
        <v>PV</v>
      </c>
      <c r="DC43" s="177">
        <f t="shared" si="7"/>
        <v>0</v>
      </c>
      <c r="DD43" s="177" t="str">
        <f t="shared" si="8"/>
        <v>PV</v>
      </c>
      <c r="DE43" s="177">
        <f t="shared" si="9"/>
        <v>0</v>
      </c>
      <c r="DK43" s="136" t="str">
        <f t="shared" si="10"/>
        <v>APBCDI</v>
      </c>
      <c r="DN43" t="str">
        <f t="shared" si="42"/>
        <v>APB</v>
      </c>
      <c r="DO43" t="str">
        <f t="shared" si="41"/>
        <v>CDI</v>
      </c>
      <c r="DP43" t="str">
        <f t="shared" si="11"/>
        <v>APB</v>
      </c>
    </row>
    <row r="44" spans="1:120" ht="18" customHeight="1" x14ac:dyDescent="0.3">
      <c r="A44" s="81">
        <v>0.72916666666669006</v>
      </c>
      <c r="B44" s="166" t="s">
        <v>11</v>
      </c>
      <c r="C44" s="130" t="s">
        <v>120</v>
      </c>
      <c r="D44" s="169" t="s">
        <v>11</v>
      </c>
      <c r="E44" s="130" t="s">
        <v>120</v>
      </c>
      <c r="F44" s="169" t="s">
        <v>11</v>
      </c>
      <c r="G44" s="130" t="s">
        <v>120</v>
      </c>
      <c r="H44" s="169" t="s">
        <v>116</v>
      </c>
      <c r="I44" s="130"/>
      <c r="J44" s="169" t="s">
        <v>11</v>
      </c>
      <c r="K44" s="130" t="s">
        <v>120</v>
      </c>
      <c r="L44" s="169" t="s">
        <v>116</v>
      </c>
      <c r="M44" s="130"/>
      <c r="N44" s="169" t="s">
        <v>116</v>
      </c>
      <c r="O44" s="154"/>
      <c r="P44" s="6">
        <v>0</v>
      </c>
      <c r="Q44" s="123" t="str">
        <f t="shared" si="43"/>
        <v>Aulas Teóricas</v>
      </c>
      <c r="R44" s="105" t="str">
        <f t="shared" si="44"/>
        <v>IAC</v>
      </c>
      <c r="S44" s="88">
        <f t="shared" si="35"/>
        <v>0</v>
      </c>
      <c r="T44" s="106">
        <f>IF(VLOOKUP(Q44,'INFO BASE'!$B$40:$I$54,IF(R44='INFO BASE'!$B$32,3,IF(R44='INFO BASE'!$B$33,4,IF(R44='INFO BASE'!$B$34,5,IF(R44='INFO BASE'!$B$35,6,IF(R44='INFO BASE'!$B$36,7,IF(R44='INFO BASE'!$B$37,8,2)))))),0)=0,"",VLOOKUP(Q44,'INFO BASE'!$B$40:$I$54,IF(R44='INFO BASE'!$B$32,3,IF(R44='INFO BASE'!$B$33,4,IF(R44='INFO BASE'!$B$34,5,IF(R44='INFO BASE'!$B$35,6,IF(R44='INFO BASE'!$B$36,7,IF(R44='INFO BASE'!$B$37,8,2)))))),0))</f>
        <v>3</v>
      </c>
      <c r="U44" s="106">
        <f>(COUNTIFS(C9:C56,R44,B9:B56,R41)+COUNTIFS(E9:E56,R44,D9:D56,R41)+COUNTIFS(G9:G56,R44,F9:F56,R41)+COUNTIFS(I9:I56,R44,H9:H56,R41)+COUNTIFS(K9:K56,R44,J9:J56,R41)+COUNTIFS(M9:M56,R44,L9:L56,R41)+COUNTIFS(O9:O56,R44,N9:N56,R41))*0.5</f>
        <v>3</v>
      </c>
      <c r="V44" s="89">
        <f>(COUNTIFS(AI9:AI56,R41,AJ9:AJ56,R37)+COUNTIFS(AK9:AK56,R41,AL9:AL56,R37)+COUNTIFS(AM9:AM56,R41,AN9:AN56,R37)+COUNTIFS(AO9:AO56,R41,AP9:AP56,R37)+COUNTIFS(AQ9:AQ56,R41,AR9:AR56,R37)+COUNTIFS(AS9:AS56,R41,AT9:AT56,R37)+COUNTIFS(AU9:AU56,R41,AV9:AV56,R37))*0.5</f>
        <v>3</v>
      </c>
      <c r="W44" s="90">
        <f>IF(AH5="","-",IF(V44=0,U44,IFERROR((U44/V44)-1,"-")))</f>
        <v>0</v>
      </c>
      <c r="X44" s="201">
        <f t="shared" si="21"/>
        <v>0</v>
      </c>
      <c r="Y44" s="271"/>
      <c r="Z44" s="272"/>
      <c r="AA44" s="272"/>
      <c r="AB44" s="272"/>
      <c r="AC44" s="272"/>
      <c r="AD44" s="272"/>
      <c r="AE44" s="272"/>
      <c r="AF44" s="273"/>
      <c r="AH44" s="136">
        <v>0.72916666666669006</v>
      </c>
      <c r="AI44" s="136" t="s">
        <v>11</v>
      </c>
      <c r="AJ44" s="136" t="s">
        <v>120</v>
      </c>
      <c r="AK44" s="136" t="s">
        <v>11</v>
      </c>
      <c r="AL44" s="136" t="s">
        <v>120</v>
      </c>
      <c r="AM44" s="136" t="s">
        <v>11</v>
      </c>
      <c r="AN44" s="136" t="s">
        <v>120</v>
      </c>
      <c r="AO44" s="136" t="s">
        <v>11</v>
      </c>
      <c r="AP44" s="136" t="s">
        <v>120</v>
      </c>
      <c r="AQ44" s="136" t="s">
        <v>11</v>
      </c>
      <c r="AR44" s="136" t="s">
        <v>120</v>
      </c>
      <c r="AS44" s="136" t="s">
        <v>116</v>
      </c>
      <c r="AT44" s="136" t="s">
        <v>235</v>
      </c>
      <c r="AU44" s="136" t="s">
        <v>8</v>
      </c>
      <c r="AV44" s="136" t="s">
        <v>231</v>
      </c>
      <c r="AX44" s="136" t="str">
        <f>IF(AI5="","",IF(B44="","",B44))</f>
        <v>HD</v>
      </c>
      <c r="AY44" s="136" t="str">
        <f>IF(AI5="","",IF(C44="","",C44))</f>
        <v>-</v>
      </c>
      <c r="AZ44" s="136" t="str">
        <f>IF(AI5="","",IF(D44="","",D44))</f>
        <v>HD</v>
      </c>
      <c r="BA44" s="136" t="str">
        <f>IF(AI5="","",IF(E44="","",E44))</f>
        <v>-</v>
      </c>
      <c r="BB44" s="136" t="str">
        <f>IF(AI5="","",IF(F44="","",F44))</f>
        <v>HD</v>
      </c>
      <c r="BC44" s="136" t="str">
        <f>IF(AI5="","",IF(G44="","",G44))</f>
        <v>-</v>
      </c>
      <c r="BD44" s="136" t="str">
        <f>IF(AI5="","",IF(H44="","",H44))</f>
        <v>PV</v>
      </c>
      <c r="BE44" s="136" t="str">
        <f>IF(AI5="","",IF(I44="","",I44))</f>
        <v/>
      </c>
      <c r="BF44" s="136" t="str">
        <f>IF(AI5="","",IF(J44="","",J44))</f>
        <v>HD</v>
      </c>
      <c r="BG44" s="136" t="str">
        <f>IF(AI5="","",IF(K44="","",K44))</f>
        <v>-</v>
      </c>
      <c r="BH44" s="136" t="str">
        <f>IF(AI5="","",IF(L44="","",L44))</f>
        <v>PV</v>
      </c>
      <c r="BI44" s="136" t="str">
        <f>IF(AI5="","",IF(M44="","",M44))</f>
        <v/>
      </c>
      <c r="BJ44" s="136" t="str">
        <f>IF(AI5="","",IF(N44="","",N44))</f>
        <v>PV</v>
      </c>
      <c r="BK44" s="136" t="str">
        <f>IF(AI5="","",IF(O44="","",O44))</f>
        <v/>
      </c>
      <c r="BM44" s="136" t="str">
        <f t="shared" si="40"/>
        <v>AT</v>
      </c>
      <c r="BN44" s="136" t="str">
        <f t="shared" si="15"/>
        <v>Aulas Teóricas</v>
      </c>
      <c r="BO44" s="136" t="str">
        <f t="shared" si="15"/>
        <v/>
      </c>
      <c r="BP44" s="136">
        <f>(COUNTIFS(AX9:AX56,BM44,AY9:AY56,BO44)+COUNTIFS(AZ9:AZ56,BM44,BA9:BA56,BO44)+COUNTIFS(BB9:BB56,BM44,BC9:BC56,BO44)+COUNTIFS(BD9:BD56,BM44,BE9:BE56,BO44)+COUNTIFS(BF9:BF56,BM44,BG9:BG56,BO44)+COUNTIFS(BH9:BH56,BM44,BI9:BI56,BO44)+COUNTIFS(BJ9:BJ56,BM44,BK9:BK56,BO44))*0.5</f>
        <v>0</v>
      </c>
      <c r="BQ44" s="136" t="str">
        <f t="shared" si="34"/>
        <v>Aulas Teóricas</v>
      </c>
      <c r="BR44" s="136" t="str">
        <f t="shared" si="34"/>
        <v/>
      </c>
      <c r="BS44" s="136" t="str">
        <f t="shared" si="18"/>
        <v>Aulas Teóricas</v>
      </c>
      <c r="BT44" s="136">
        <f t="shared" si="23"/>
        <v>0</v>
      </c>
      <c r="BU44" s="136">
        <f t="shared" si="24"/>
        <v>0</v>
      </c>
      <c r="BZ44" s="280"/>
      <c r="CA44" s="183" t="str">
        <f>'INFO BASE'!L107</f>
        <v>-</v>
      </c>
      <c r="CB44" s="183" t="str">
        <f>'INFO BASE'!M107</f>
        <v/>
      </c>
      <c r="CR44" s="177" t="str">
        <f t="shared" si="1"/>
        <v>HD</v>
      </c>
      <c r="CS44" s="177" t="str">
        <f t="shared" si="2"/>
        <v>HD-</v>
      </c>
      <c r="CT44" s="177" t="str">
        <f t="shared" si="1"/>
        <v>HD</v>
      </c>
      <c r="CU44" s="177" t="str">
        <f t="shared" si="3"/>
        <v>HD-</v>
      </c>
      <c r="CV44" s="177" t="str">
        <f t="shared" si="1"/>
        <v>HD</v>
      </c>
      <c r="CW44" s="177" t="str">
        <f t="shared" si="4"/>
        <v>HD-</v>
      </c>
      <c r="CX44" s="177" t="str">
        <f t="shared" si="1"/>
        <v>PV</v>
      </c>
      <c r="CY44" s="177">
        <f t="shared" si="5"/>
        <v>0</v>
      </c>
      <c r="CZ44" s="177" t="str">
        <f t="shared" si="1"/>
        <v>HD</v>
      </c>
      <c r="DA44" s="177" t="str">
        <f t="shared" si="6"/>
        <v>HD-</v>
      </c>
      <c r="DB44" s="177" t="str">
        <f t="shared" si="32"/>
        <v>PV</v>
      </c>
      <c r="DC44" s="177">
        <f t="shared" si="7"/>
        <v>0</v>
      </c>
      <c r="DD44" s="177" t="str">
        <f t="shared" si="8"/>
        <v>PV</v>
      </c>
      <c r="DE44" s="177">
        <f t="shared" si="9"/>
        <v>0</v>
      </c>
      <c r="DK44" s="136" t="str">
        <f t="shared" si="10"/>
        <v>APB0</v>
      </c>
      <c r="DN44" t="str">
        <f t="shared" si="42"/>
        <v>APB</v>
      </c>
      <c r="DO44">
        <f t="shared" si="41"/>
        <v>0</v>
      </c>
      <c r="DP44" t="str">
        <f t="shared" si="11"/>
        <v>APB</v>
      </c>
    </row>
    <row r="45" spans="1:120" ht="18" customHeight="1" x14ac:dyDescent="0.3">
      <c r="A45" s="81">
        <v>0.75000000000002398</v>
      </c>
      <c r="B45" s="166" t="s">
        <v>11</v>
      </c>
      <c r="C45" s="130" t="s">
        <v>120</v>
      </c>
      <c r="D45" s="169" t="s">
        <v>11</v>
      </c>
      <c r="E45" s="130" t="s">
        <v>120</v>
      </c>
      <c r="F45" s="169" t="s">
        <v>11</v>
      </c>
      <c r="G45" s="130" t="s">
        <v>120</v>
      </c>
      <c r="H45" s="169" t="s">
        <v>116</v>
      </c>
      <c r="I45" s="130"/>
      <c r="J45" s="169" t="s">
        <v>11</v>
      </c>
      <c r="K45" s="130" t="s">
        <v>120</v>
      </c>
      <c r="L45" s="169" t="s">
        <v>116</v>
      </c>
      <c r="M45" s="130"/>
      <c r="N45" s="169" t="s">
        <v>116</v>
      </c>
      <c r="O45" s="154"/>
      <c r="P45" s="6">
        <v>0</v>
      </c>
      <c r="Q45" s="122" t="str">
        <f t="shared" si="43"/>
        <v>Aulas Teóricas</v>
      </c>
      <c r="R45" s="105" t="str">
        <f t="shared" si="44"/>
        <v>AL</v>
      </c>
      <c r="S45" s="88">
        <f t="shared" si="35"/>
        <v>0</v>
      </c>
      <c r="T45" s="106">
        <f>IF(VLOOKUP(Q45,'INFO BASE'!$B$40:$I$54,IF(R45='INFO BASE'!$B$32,3,IF(R45='INFO BASE'!$B$33,4,IF(R45='INFO BASE'!$B$34,5,IF(R45='INFO BASE'!$B$35,6,IF(R45='INFO BASE'!$B$36,7,IF(R45='INFO BASE'!$B$37,8,2)))))),0)=0,"",VLOOKUP(Q45,'INFO BASE'!$B$40:$I$54,IF(R45='INFO BASE'!$B$32,3,IF(R45='INFO BASE'!$B$33,4,IF(R45='INFO BASE'!$B$34,5,IF(R45='INFO BASE'!$B$35,6,IF(R45='INFO BASE'!$B$36,7,IF(R45='INFO BASE'!$B$37,8,2)))))),0))</f>
        <v>3</v>
      </c>
      <c r="U45" s="106">
        <f>(COUNTIFS(C9:C56,R45,B9:B56,R41)+COUNTIFS(E9:E56,R45,D9:D56,R41)+COUNTIFS(G9:G56,R45,F9:F56,R41)+COUNTIFS(I9:I56,R45,H9:H56,R41)+COUNTIFS(K9:K56,R45,J9:J56,R41)+COUNTIFS(M9:M56,R45,L9:L56,R41)+COUNTIFS(O9:O56,R45,N9:N56,R41))*0.5</f>
        <v>3</v>
      </c>
      <c r="V45" s="89">
        <f>(COUNTIFS(AI9:AI56,R41,AJ9:AJ56,R38)+COUNTIFS(AK9:AK56,R41,AL9:AL56,R38)+COUNTIFS(AM9:AM56,R41,AN9:AN56,R38)+COUNTIFS(AO9:AO56,R41,AP9:AP56,R38)+COUNTIFS(AQ9:AQ56,R41,AR9:AR56,R38)+COUNTIFS(AS9:AS56,R41,AT9:AT56,R38)+COUNTIFS(AU9:AU56,R41,AV9:AV56,R38))*0.5</f>
        <v>3</v>
      </c>
      <c r="W45" s="90">
        <f>IF(AH5="","-",IF(V45=0,U45,IFERROR((U45/V45)-1,"-")))</f>
        <v>0</v>
      </c>
      <c r="X45" s="201">
        <f t="shared" si="21"/>
        <v>0</v>
      </c>
      <c r="Y45" s="271"/>
      <c r="Z45" s="272"/>
      <c r="AA45" s="272"/>
      <c r="AB45" s="272"/>
      <c r="AC45" s="272"/>
      <c r="AD45" s="272"/>
      <c r="AE45" s="272"/>
      <c r="AF45" s="273"/>
      <c r="AH45" s="136">
        <v>0.75000000000002398</v>
      </c>
      <c r="AI45" s="136" t="s">
        <v>11</v>
      </c>
      <c r="AJ45" s="136" t="s">
        <v>120</v>
      </c>
      <c r="AK45" s="136" t="s">
        <v>11</v>
      </c>
      <c r="AL45" s="136" t="s">
        <v>120</v>
      </c>
      <c r="AM45" s="136" t="s">
        <v>11</v>
      </c>
      <c r="AN45" s="136" t="s">
        <v>120</v>
      </c>
      <c r="AO45" s="136" t="s">
        <v>11</v>
      </c>
      <c r="AP45" s="136" t="s">
        <v>120</v>
      </c>
      <c r="AQ45" s="136" t="s">
        <v>11</v>
      </c>
      <c r="AR45" s="136" t="s">
        <v>120</v>
      </c>
      <c r="AS45" s="136" t="s">
        <v>116</v>
      </c>
      <c r="AT45" s="136" t="s">
        <v>235</v>
      </c>
      <c r="AU45" s="136" t="s">
        <v>116</v>
      </c>
      <c r="AV45" s="136" t="s">
        <v>235</v>
      </c>
      <c r="AX45" s="136" t="str">
        <f>IF(AI5="","",IF(B45="","",B45))</f>
        <v>HD</v>
      </c>
      <c r="AY45" s="136" t="str">
        <f>IF(AI5="","",IF(C45="","",C45))</f>
        <v>-</v>
      </c>
      <c r="AZ45" s="136" t="str">
        <f>IF(AI5="","",IF(D45="","",D45))</f>
        <v>HD</v>
      </c>
      <c r="BA45" s="136" t="str">
        <f>IF(AI5="","",IF(E45="","",E45))</f>
        <v>-</v>
      </c>
      <c r="BB45" s="136" t="str">
        <f>IF(AI5="","",IF(F45="","",F45))</f>
        <v>HD</v>
      </c>
      <c r="BC45" s="136" t="str">
        <f>IF(AI5="","",IF(G45="","",G45))</f>
        <v>-</v>
      </c>
      <c r="BD45" s="136" t="str">
        <f>IF(AI5="","",IF(H45="","",H45))</f>
        <v>PV</v>
      </c>
      <c r="BE45" s="136" t="str">
        <f>IF(AI5="","",IF(I45="","",I45))</f>
        <v/>
      </c>
      <c r="BF45" s="136" t="str">
        <f>IF(AI5="","",IF(J45="","",J45))</f>
        <v>HD</v>
      </c>
      <c r="BG45" s="136" t="str">
        <f>IF(AI5="","",IF(K45="","",K45))</f>
        <v>-</v>
      </c>
      <c r="BH45" s="136" t="str">
        <f>IF(AI5="","",IF(L45="","",L45))</f>
        <v>PV</v>
      </c>
      <c r="BI45" s="136" t="str">
        <f>IF(AI5="","",IF(M45="","",M45))</f>
        <v/>
      </c>
      <c r="BJ45" s="136" t="str">
        <f>IF(AI5="","",IF(N45="","",N45))</f>
        <v>PV</v>
      </c>
      <c r="BK45" s="136" t="str">
        <f>IF(AI5="","",IF(O45="","",O45))</f>
        <v/>
      </c>
      <c r="BN45" s="136" t="str">
        <f t="shared" si="15"/>
        <v>Aulas Práticas</v>
      </c>
      <c r="BO45" s="136" t="str">
        <f t="shared" si="15"/>
        <v>APA</v>
      </c>
      <c r="BP45" s="136">
        <f>IF(BO45="","",COUNTIFS(AX9:BK56,BO45)*0.5)</f>
        <v>0</v>
      </c>
      <c r="BQ45" s="136" t="str">
        <f t="shared" si="34"/>
        <v>Aulas Práticas</v>
      </c>
      <c r="BR45" s="136" t="str">
        <f t="shared" si="34"/>
        <v>APA</v>
      </c>
      <c r="BS45" s="136" t="str">
        <f t="shared" si="18"/>
        <v>Aulas Práticas</v>
      </c>
      <c r="BT45" s="136">
        <f t="shared" si="23"/>
        <v>0</v>
      </c>
      <c r="BU45" s="136">
        <f t="shared" si="24"/>
        <v>0</v>
      </c>
      <c r="BZ45" s="280"/>
      <c r="CA45" s="183" t="str">
        <f>'INFO BASE'!L108</f>
        <v>-</v>
      </c>
      <c r="CB45" s="183" t="str">
        <f>'INFO BASE'!M108</f>
        <v/>
      </c>
      <c r="CR45" s="177" t="str">
        <f t="shared" si="1"/>
        <v>HD</v>
      </c>
      <c r="CS45" s="177" t="str">
        <f t="shared" si="2"/>
        <v>HD-</v>
      </c>
      <c r="CT45" s="177" t="str">
        <f t="shared" si="1"/>
        <v>HD</v>
      </c>
      <c r="CU45" s="177" t="str">
        <f t="shared" si="3"/>
        <v>HD-</v>
      </c>
      <c r="CV45" s="177" t="str">
        <f t="shared" si="1"/>
        <v>HD</v>
      </c>
      <c r="CW45" s="177" t="str">
        <f t="shared" si="4"/>
        <v>HD-</v>
      </c>
      <c r="CX45" s="177" t="str">
        <f t="shared" si="1"/>
        <v>PV</v>
      </c>
      <c r="CY45" s="177">
        <f t="shared" si="5"/>
        <v>0</v>
      </c>
      <c r="CZ45" s="177" t="str">
        <f t="shared" si="1"/>
        <v>HD</v>
      </c>
      <c r="DA45" s="177" t="str">
        <f t="shared" si="6"/>
        <v>HD-</v>
      </c>
      <c r="DB45" s="177" t="str">
        <f t="shared" si="32"/>
        <v>PV</v>
      </c>
      <c r="DC45" s="177">
        <f t="shared" si="7"/>
        <v>0</v>
      </c>
      <c r="DD45" s="177" t="str">
        <f t="shared" si="8"/>
        <v>PV</v>
      </c>
      <c r="DE45" s="177">
        <f t="shared" si="9"/>
        <v>0</v>
      </c>
      <c r="DK45" s="136" t="str">
        <f t="shared" si="10"/>
        <v>LABFP</v>
      </c>
      <c r="DN45" t="str">
        <f>'INFO BASE'!B23</f>
        <v>LAB</v>
      </c>
      <c r="DO45" t="str">
        <f>DO39</f>
        <v>FP</v>
      </c>
      <c r="DP45" t="str">
        <f t="shared" si="11"/>
        <v>LAB</v>
      </c>
    </row>
    <row r="46" spans="1:120" ht="18" customHeight="1" x14ac:dyDescent="0.3">
      <c r="A46" s="81">
        <v>0.77083333333335802</v>
      </c>
      <c r="B46" s="166" t="s">
        <v>116</v>
      </c>
      <c r="C46" s="130"/>
      <c r="D46" s="169" t="s">
        <v>116</v>
      </c>
      <c r="E46" s="130"/>
      <c r="F46" s="169" t="s">
        <v>116</v>
      </c>
      <c r="G46" s="130"/>
      <c r="H46" s="169" t="s">
        <v>116</v>
      </c>
      <c r="I46" s="130"/>
      <c r="J46" s="169" t="s">
        <v>116</v>
      </c>
      <c r="K46" s="130"/>
      <c r="L46" s="169" t="s">
        <v>116</v>
      </c>
      <c r="M46" s="130"/>
      <c r="N46" s="169" t="s">
        <v>116</v>
      </c>
      <c r="O46" s="154"/>
      <c r="P46" s="6">
        <v>0</v>
      </c>
      <c r="Q46" s="122" t="str">
        <f t="shared" si="43"/>
        <v>Aulas Teóricas</v>
      </c>
      <c r="R46" s="105" t="str">
        <f t="shared" si="44"/>
        <v>CDI</v>
      </c>
      <c r="S46" s="88">
        <f t="shared" si="35"/>
        <v>0</v>
      </c>
      <c r="T46" s="106">
        <f>IF(VLOOKUP(Q46,'INFO BASE'!$B$40:$I$54,IF(R46='INFO BASE'!$B$32,3,IF(R46='INFO BASE'!$B$33,4,IF(R46='INFO BASE'!$B$34,5,IF(R46='INFO BASE'!$B$35,6,IF(R46='INFO BASE'!$B$36,7,IF(R46='INFO BASE'!$B$37,8,2)))))),0)=0,"",VLOOKUP(Q46,'INFO BASE'!$B$40:$I$54,IF(R46='INFO BASE'!$B$32,3,IF(R46='INFO BASE'!$B$33,4,IF(R46='INFO BASE'!$B$34,5,IF(R46='INFO BASE'!$B$35,6,IF(R46='INFO BASE'!$B$36,7,IF(R46='INFO BASE'!$B$37,8,2)))))),0))</f>
        <v>3</v>
      </c>
      <c r="U46" s="106">
        <f>(COUNTIFS(C9:C56,R46,B9:B56,R41)+COUNTIFS(E9:E56,R46,D9:D56,R41)+COUNTIFS(G9:G56,R46,F9:F56,R41)+COUNTIFS(I9:I56,R46,H9:H56,R41)+COUNTIFS(K9:K56,R46,J9:J56,R41)+COUNTIFS(M9:M56,R46,L9:L56,R41)+COUNTIFS(O9:O56,R46,N9:N56,R41))*0.5</f>
        <v>3</v>
      </c>
      <c r="V46" s="89">
        <f>(COUNTIFS(AI9:AI56,R41,AJ9:AJ56,R39)+COUNTIFS(AK9:AK56,R41,AL9:AL56,R39)+COUNTIFS(AM9:AM56,R41,AN9:AN56,R39)+COUNTIFS(AO9:AO56,R41,AP9:AP56,R39)+COUNTIFS(AQ9:AQ56,R41,AR9:AR56,R39)+COUNTIFS(AS9:AS56,R41,AT9:AT56,R39)+COUNTIFS(AU9:AU56,R41,AV9:AV56,R39))*0.5</f>
        <v>3</v>
      </c>
      <c r="W46" s="90">
        <f>IF(AH5="","-",IF(V46=0,U46,IFERROR((U46/V46)-1,"-")))</f>
        <v>0</v>
      </c>
      <c r="X46" s="201">
        <f t="shared" si="21"/>
        <v>0</v>
      </c>
      <c r="Y46" s="271"/>
      <c r="Z46" s="272"/>
      <c r="AA46" s="272"/>
      <c r="AB46" s="272"/>
      <c r="AC46" s="272"/>
      <c r="AD46" s="272"/>
      <c r="AE46" s="272"/>
      <c r="AF46" s="273"/>
      <c r="AH46" s="136">
        <v>0.77083333333335802</v>
      </c>
      <c r="AI46" s="136" t="s">
        <v>116</v>
      </c>
      <c r="AJ46" s="136" t="s">
        <v>235</v>
      </c>
      <c r="AK46" s="136" t="s">
        <v>116</v>
      </c>
      <c r="AL46" s="136" t="s">
        <v>235</v>
      </c>
      <c r="AM46" s="136" t="s">
        <v>116</v>
      </c>
      <c r="AN46" s="136" t="s">
        <v>235</v>
      </c>
      <c r="AO46" s="136" t="s">
        <v>116</v>
      </c>
      <c r="AP46" s="136" t="s">
        <v>235</v>
      </c>
      <c r="AQ46" s="136" t="s">
        <v>116</v>
      </c>
      <c r="AR46" s="136" t="s">
        <v>235</v>
      </c>
      <c r="AS46" s="136" t="s">
        <v>116</v>
      </c>
      <c r="AT46" s="136" t="s">
        <v>235</v>
      </c>
      <c r="AU46" s="136" t="s">
        <v>116</v>
      </c>
      <c r="AV46" s="136" t="s">
        <v>235</v>
      </c>
      <c r="AX46" s="136" t="str">
        <f>IF(AI5="","",IF(B46="","",B46))</f>
        <v>PV</v>
      </c>
      <c r="AY46" s="136" t="str">
        <f>IF(AI5="","",IF(C46="","",C46))</f>
        <v/>
      </c>
      <c r="AZ46" s="136" t="str">
        <f>IF(AI5="","",IF(D46="","",D46))</f>
        <v>PV</v>
      </c>
      <c r="BA46" s="136" t="str">
        <f>IF(AI5="","",IF(E46="","",E46))</f>
        <v/>
      </c>
      <c r="BB46" s="136" t="str">
        <f>IF(AI5="","",IF(F46="","",F46))</f>
        <v>PV</v>
      </c>
      <c r="BC46" s="136" t="str">
        <f>IF(AI5="","",IF(G46="","",G46))</f>
        <v/>
      </c>
      <c r="BD46" s="136" t="str">
        <f>IF(AI5="","",IF(H46="","",H46))</f>
        <v>PV</v>
      </c>
      <c r="BE46" s="136" t="str">
        <f>IF(AI5="","",IF(I46="","",I46))</f>
        <v/>
      </c>
      <c r="BF46" s="136" t="str">
        <f>IF(AI5="","",IF(J46="","",J46))</f>
        <v>PV</v>
      </c>
      <c r="BG46" s="136" t="str">
        <f>IF(AI5="","",IF(K46="","",K46))</f>
        <v/>
      </c>
      <c r="BH46" s="136" t="str">
        <f>IF(AI5="","",IF(L46="","",L46))</f>
        <v>PV</v>
      </c>
      <c r="BI46" s="136" t="str">
        <f>IF(AI5="","",IF(M46="","",M46))</f>
        <v/>
      </c>
      <c r="BJ46" s="136" t="str">
        <f>IF(AI5="","",IF(N46="","",N46))</f>
        <v>PV</v>
      </c>
      <c r="BK46" s="136" t="str">
        <f>IF(AI5="","",IF(O46="","",O46))</f>
        <v/>
      </c>
      <c r="BN46" s="136" t="str">
        <f t="shared" si="15"/>
        <v>Aulas Problemas</v>
      </c>
      <c r="BO46" s="136" t="str">
        <f t="shared" si="15"/>
        <v>APB</v>
      </c>
      <c r="BP46" s="136">
        <f>IF(BO46="","",COUNTIFS(AX9:BK56,BO46)*0.5)</f>
        <v>4.5</v>
      </c>
      <c r="BQ46" s="136" t="str">
        <f t="shared" si="34"/>
        <v>Aulas Problemas</v>
      </c>
      <c r="BR46" s="136" t="str">
        <f t="shared" si="34"/>
        <v>APB</v>
      </c>
      <c r="BS46" s="136" t="str">
        <f t="shared" si="18"/>
        <v>Aulas Problemas</v>
      </c>
      <c r="BT46" s="136">
        <f t="shared" si="23"/>
        <v>36</v>
      </c>
      <c r="BU46" s="136">
        <f t="shared" si="24"/>
        <v>36</v>
      </c>
      <c r="BZ46" s="280"/>
      <c r="CA46" s="183" t="str">
        <f>'INFO BASE'!L109</f>
        <v>-</v>
      </c>
      <c r="CB46" s="183" t="str">
        <f>'INFO BASE'!M109</f>
        <v/>
      </c>
      <c r="CR46" s="177" t="str">
        <f t="shared" si="1"/>
        <v>PV</v>
      </c>
      <c r="CS46" s="177">
        <f t="shared" si="2"/>
        <v>0</v>
      </c>
      <c r="CT46" s="177" t="str">
        <f t="shared" si="1"/>
        <v>PV</v>
      </c>
      <c r="CU46" s="177">
        <f t="shared" si="3"/>
        <v>0</v>
      </c>
      <c r="CV46" s="177" t="str">
        <f t="shared" si="1"/>
        <v>PV</v>
      </c>
      <c r="CW46" s="177">
        <f t="shared" si="4"/>
        <v>0</v>
      </c>
      <c r="CX46" s="177" t="str">
        <f t="shared" si="1"/>
        <v>PV</v>
      </c>
      <c r="CY46" s="177">
        <f t="shared" si="5"/>
        <v>0</v>
      </c>
      <c r="CZ46" s="177" t="str">
        <f t="shared" si="1"/>
        <v>PV</v>
      </c>
      <c r="DA46" s="177">
        <f t="shared" si="6"/>
        <v>0</v>
      </c>
      <c r="DB46" s="177" t="str">
        <f t="shared" si="32"/>
        <v>PV</v>
      </c>
      <c r="DC46" s="177">
        <f t="shared" si="7"/>
        <v>0</v>
      </c>
      <c r="DD46" s="177" t="str">
        <f t="shared" si="8"/>
        <v>PV</v>
      </c>
      <c r="DE46" s="177">
        <f t="shared" si="9"/>
        <v>0</v>
      </c>
      <c r="DK46" s="136" t="str">
        <f t="shared" si="10"/>
        <v>LABIEI</v>
      </c>
      <c r="DN46" t="str">
        <f>DN45</f>
        <v>LAB</v>
      </c>
      <c r="DO46" t="str">
        <f t="shared" ref="DO46:DO50" si="45">DO40</f>
        <v>IEI</v>
      </c>
      <c r="DP46" t="str">
        <f t="shared" si="11"/>
        <v>LAB</v>
      </c>
    </row>
    <row r="47" spans="1:120" ht="18" customHeight="1" thickBot="1" x14ac:dyDescent="0.35">
      <c r="A47" s="81">
        <v>0.79166666666669205</v>
      </c>
      <c r="B47" s="166" t="s">
        <v>116</v>
      </c>
      <c r="C47" s="130"/>
      <c r="D47" s="169" t="s">
        <v>116</v>
      </c>
      <c r="E47" s="130"/>
      <c r="F47" s="169" t="s">
        <v>116</v>
      </c>
      <c r="G47" s="130"/>
      <c r="H47" s="169" t="s">
        <v>116</v>
      </c>
      <c r="I47" s="130"/>
      <c r="J47" s="169" t="s">
        <v>116</v>
      </c>
      <c r="K47" s="130"/>
      <c r="L47" s="169" t="s">
        <v>116</v>
      </c>
      <c r="M47" s="130"/>
      <c r="N47" s="169" t="s">
        <v>8</v>
      </c>
      <c r="O47" s="154" t="s">
        <v>224</v>
      </c>
      <c r="P47" s="6">
        <v>0</v>
      </c>
      <c r="Q47" s="124" t="str">
        <f t="shared" si="43"/>
        <v>Aulas Teóricas</v>
      </c>
      <c r="R47" s="105" t="str">
        <f t="shared" si="44"/>
        <v/>
      </c>
      <c r="S47" s="94" t="str">
        <f t="shared" si="35"/>
        <v>-</v>
      </c>
      <c r="T47" s="108" t="str">
        <f>IF(VLOOKUP(Q47,'INFO BASE'!$B$40:$I$54,IF(R47='INFO BASE'!$B$32,3,IF(R47='INFO BASE'!$B$33,4,IF(R47='INFO BASE'!$B$34,5,IF(R47='INFO BASE'!$B$35,6,IF(R47='INFO BASE'!$B$36,7,IF(R47='INFO BASE'!$B$37,8,2)))))),0)=0,"",VLOOKUP(Q47,'INFO BASE'!$B$40:$I$54,IF(R47='INFO BASE'!$B$32,3,IF(R47='INFO BASE'!$B$33,4,IF(R47='INFO BASE'!$B$34,5,IF(R47='INFO BASE'!$B$35,6,IF(R47='INFO BASE'!$B$36,7,IF(R47='INFO BASE'!$B$37,8,2)))))),0))</f>
        <v/>
      </c>
      <c r="U47" s="108">
        <f>(COUNTIFS(C9:C56,R47,B9:B56,R41)+COUNTIFS(E9:E56,R47,D9:D56,R41)+COUNTIFS(G9:G56,R47,F9:F56,R41)+COUNTIFS(I9:I56,R47,H9:H56,R41)+COUNTIFS(K9:K56,R47,J9:J56,R41)+COUNTIFS(M9:M56,R47,L9:L56,R41)+COUNTIFS(O9:O56,R47,N9:N56,R41))*0.5</f>
        <v>0</v>
      </c>
      <c r="V47" s="95">
        <f>(COUNTIFS(AI9:AI56,R41,AJ9:AJ56,R40)+COUNTIFS(AK9:AK56,R41,AL9:AL56,R40)+COUNTIFS(AM9:AM56,R41,AN9:AN56,R40)+COUNTIFS(AO9:AO56,R41,AP9:AP56,R40)+COUNTIFS(AQ9:AQ56,R41,AR9:AR56,R40)+COUNTIFS(AS9:AS56,R41,AT9:AT56,R40)+COUNTIFS(AU9:AU56,R41,AV9:AV56,R40))*0.5</f>
        <v>0</v>
      </c>
      <c r="W47" s="96">
        <f>IF(AH5="","-",IF(V47=0,U47,IFERROR((U47/V47)-1,"-")))</f>
        <v>0</v>
      </c>
      <c r="X47" s="201">
        <f t="shared" si="21"/>
        <v>0</v>
      </c>
      <c r="Y47" s="274"/>
      <c r="Z47" s="275"/>
      <c r="AA47" s="275"/>
      <c r="AB47" s="275"/>
      <c r="AC47" s="275"/>
      <c r="AD47" s="275"/>
      <c r="AE47" s="275"/>
      <c r="AF47" s="276"/>
      <c r="AH47" s="136">
        <v>0.79166666666669205</v>
      </c>
      <c r="AI47" s="136" t="s">
        <v>116</v>
      </c>
      <c r="AJ47" s="136" t="s">
        <v>235</v>
      </c>
      <c r="AK47" s="136" t="s">
        <v>116</v>
      </c>
      <c r="AL47" s="136" t="s">
        <v>235</v>
      </c>
      <c r="AM47" s="136" t="s">
        <v>116</v>
      </c>
      <c r="AN47" s="136" t="s">
        <v>235</v>
      </c>
      <c r="AO47" s="136" t="s">
        <v>116</v>
      </c>
      <c r="AP47" s="136" t="s">
        <v>235</v>
      </c>
      <c r="AQ47" s="136" t="s">
        <v>116</v>
      </c>
      <c r="AR47" s="136" t="s">
        <v>235</v>
      </c>
      <c r="AS47" s="136" t="s">
        <v>116</v>
      </c>
      <c r="AT47" s="136" t="s">
        <v>235</v>
      </c>
      <c r="AU47" s="136" t="s">
        <v>8</v>
      </c>
      <c r="AV47" s="136" t="s">
        <v>224</v>
      </c>
      <c r="AX47" s="136" t="str">
        <f>IF(AI5="","",IF(B47="","",B47))</f>
        <v>PV</v>
      </c>
      <c r="AY47" s="136" t="str">
        <f>IF(AI5="","",IF(C47="","",C47))</f>
        <v/>
      </c>
      <c r="AZ47" s="136" t="str">
        <f>IF(AI5="","",IF(D47="","",D47))</f>
        <v>PV</v>
      </c>
      <c r="BA47" s="136" t="str">
        <f>IF(AI5="","",IF(E47="","",E47))</f>
        <v/>
      </c>
      <c r="BB47" s="136" t="str">
        <f>IF(AI5="","",IF(F47="","",F47))</f>
        <v>PV</v>
      </c>
      <c r="BC47" s="136" t="str">
        <f>IF(AI5="","",IF(G47="","",G47))</f>
        <v/>
      </c>
      <c r="BD47" s="136" t="str">
        <f>IF(AI5="","",IF(H47="","",H47))</f>
        <v>PV</v>
      </c>
      <c r="BE47" s="136" t="str">
        <f>IF(AI5="","",IF(I47="","",I47))</f>
        <v/>
      </c>
      <c r="BF47" s="136" t="str">
        <f>IF(AI5="","",IF(J47="","",J47))</f>
        <v>PV</v>
      </c>
      <c r="BG47" s="136" t="str">
        <f>IF(AI5="","",IF(K47="","",K47))</f>
        <v/>
      </c>
      <c r="BH47" s="136" t="str">
        <f>IF(AI5="","",IF(L47="","",L47))</f>
        <v>PV</v>
      </c>
      <c r="BI47" s="136" t="str">
        <f>IF(AI5="","",IF(M47="","",M47))</f>
        <v/>
      </c>
      <c r="BJ47" s="136" t="str">
        <f>IF(AI5="","",IF(N47="","",N47))</f>
        <v>EA</v>
      </c>
      <c r="BK47" s="136" t="str">
        <f>IF(AI5="","",IF(O47="","",O47))</f>
        <v>FP</v>
      </c>
      <c r="BN47" s="136" t="str">
        <f t="shared" si="15"/>
        <v>Laboratórios</v>
      </c>
      <c r="BO47" s="136" t="str">
        <f t="shared" si="15"/>
        <v>LAB</v>
      </c>
      <c r="BP47" s="136">
        <f>IF(BO47="","",COUNTIFS(AX9:BK56,BO47)*0.5)</f>
        <v>0</v>
      </c>
      <c r="BQ47" s="136" t="str">
        <f t="shared" si="34"/>
        <v>Laboratórios</v>
      </c>
      <c r="BR47" s="136" t="str">
        <f t="shared" si="34"/>
        <v>LAB</v>
      </c>
      <c r="BS47" s="136" t="str">
        <f t="shared" si="18"/>
        <v>Laboratórios</v>
      </c>
      <c r="BT47" s="136">
        <f t="shared" si="23"/>
        <v>10.5</v>
      </c>
      <c r="BU47" s="136">
        <f t="shared" si="24"/>
        <v>10.5</v>
      </c>
      <c r="BZ47" s="280"/>
      <c r="CA47" s="183" t="str">
        <f>'INFO BASE'!L110</f>
        <v>-</v>
      </c>
      <c r="CB47" s="183" t="str">
        <f>'INFO BASE'!M110</f>
        <v/>
      </c>
      <c r="CR47" s="177" t="str">
        <f t="shared" si="1"/>
        <v>PV</v>
      </c>
      <c r="CS47" s="177">
        <f t="shared" si="2"/>
        <v>0</v>
      </c>
      <c r="CT47" s="177" t="str">
        <f t="shared" si="1"/>
        <v>PV</v>
      </c>
      <c r="CU47" s="177">
        <f t="shared" si="3"/>
        <v>0</v>
      </c>
      <c r="CV47" s="177" t="str">
        <f t="shared" si="1"/>
        <v>PV</v>
      </c>
      <c r="CW47" s="177">
        <f t="shared" si="4"/>
        <v>0</v>
      </c>
      <c r="CX47" s="177" t="str">
        <f t="shared" si="1"/>
        <v>PV</v>
      </c>
      <c r="CY47" s="177">
        <f t="shared" si="5"/>
        <v>0</v>
      </c>
      <c r="CZ47" s="177" t="str">
        <f t="shared" si="1"/>
        <v>PV</v>
      </c>
      <c r="DA47" s="177">
        <f t="shared" si="6"/>
        <v>0</v>
      </c>
      <c r="DB47" s="177" t="str">
        <f t="shared" si="32"/>
        <v>PV</v>
      </c>
      <c r="DC47" s="177">
        <f t="shared" si="7"/>
        <v>0</v>
      </c>
      <c r="DD47" s="177" t="str">
        <f t="shared" si="8"/>
        <v>EA</v>
      </c>
      <c r="DE47" s="177" t="str">
        <f t="shared" si="9"/>
        <v>EAFP</v>
      </c>
      <c r="DK47" s="136" t="str">
        <f t="shared" si="10"/>
        <v>LABIAC</v>
      </c>
      <c r="DN47" t="str">
        <f t="shared" ref="DN47:DN50" si="46">DN46</f>
        <v>LAB</v>
      </c>
      <c r="DO47" t="str">
        <f t="shared" si="45"/>
        <v>IAC</v>
      </c>
      <c r="DP47" t="str">
        <f t="shared" si="11"/>
        <v>LAB</v>
      </c>
    </row>
    <row r="48" spans="1:120" ht="18" customHeight="1" x14ac:dyDescent="0.3">
      <c r="A48" s="81">
        <v>0.81250000000002598</v>
      </c>
      <c r="B48" s="166" t="s">
        <v>116</v>
      </c>
      <c r="C48" s="130"/>
      <c r="D48" s="169" t="s">
        <v>116</v>
      </c>
      <c r="E48" s="130"/>
      <c r="F48" s="169" t="s">
        <v>116</v>
      </c>
      <c r="G48" s="130"/>
      <c r="H48" s="169" t="s">
        <v>116</v>
      </c>
      <c r="I48" s="130"/>
      <c r="J48" s="169" t="s">
        <v>116</v>
      </c>
      <c r="K48" s="130"/>
      <c r="L48" s="169" t="s">
        <v>116</v>
      </c>
      <c r="M48" s="130"/>
      <c r="N48" s="169" t="s">
        <v>8</v>
      </c>
      <c r="O48" s="154" t="s">
        <v>224</v>
      </c>
      <c r="P48" s="6">
        <v>0</v>
      </c>
      <c r="Q48" s="97" t="str">
        <f>IF('INFO BASE'!$C$21="","",'INFO BASE'!$C$21)</f>
        <v>Aulas Práticas</v>
      </c>
      <c r="R48" s="82" t="str">
        <f>IFERROR(VLOOKUP(Q48,'INFO BASE'!$C$17:$D$29,2,0),"")</f>
        <v>APA</v>
      </c>
      <c r="S48" s="83" t="str">
        <f t="shared" ref="S48:S56" si="47">IFERROR((U48/T48)-1,"-")</f>
        <v>-</v>
      </c>
      <c r="T48" s="98" t="str">
        <f>IF(VLOOKUP(Q48,'INFO BASE'!$B$40:$I$54,IF(R48='INFO BASE'!$B$32,3,IF(R48='INFO BASE'!$B$33,4,IF(R48='INFO BASE'!$B$34,5,IF(R48='INFO BASE'!$B$35,6,IF(R48='INFO BASE'!$B$36,7,IF(R48='INFO BASE'!$B$37,8,2)))))),0)=0,"",VLOOKUP(Q48,'INFO BASE'!$B$40:$I$54,IF(R48='INFO BASE'!$B$32,3,IF(R48='INFO BASE'!$B$33,4,IF(R48='INFO BASE'!$B$34,5,IF(R48='INFO BASE'!$B$35,6,IF(R48='INFO BASE'!$B$36,7,IF(R48='INFO BASE'!$B$37,8,2)))))),0))</f>
        <v/>
      </c>
      <c r="U48" s="84">
        <f t="shared" ref="U48:U56" si="48">IF(R48="","",COUNTIFS(SEMANA1,R48)*0.5)</f>
        <v>0</v>
      </c>
      <c r="V48" s="84">
        <f>IF(R48="","",COUNTIFS(AI9:AV56,R48)*0.5)</f>
        <v>0</v>
      </c>
      <c r="W48" s="85">
        <f>IF(AH5="","-",IF(V48=0,U48,IFERROR((U48/V48)-1,"-")))</f>
        <v>0</v>
      </c>
      <c r="X48" s="201">
        <f t="shared" si="21"/>
        <v>0</v>
      </c>
      <c r="Y48" s="277"/>
      <c r="Z48" s="278"/>
      <c r="AA48" s="278"/>
      <c r="AB48" s="278"/>
      <c r="AC48" s="278"/>
      <c r="AD48" s="278"/>
      <c r="AE48" s="278"/>
      <c r="AF48" s="279"/>
      <c r="AH48" s="136">
        <v>0.81250000000002598</v>
      </c>
      <c r="AI48" s="136" t="s">
        <v>116</v>
      </c>
      <c r="AJ48" s="136" t="s">
        <v>235</v>
      </c>
      <c r="AK48" s="136" t="s">
        <v>116</v>
      </c>
      <c r="AL48" s="136" t="s">
        <v>235</v>
      </c>
      <c r="AM48" s="136" t="s">
        <v>116</v>
      </c>
      <c r="AN48" s="136" t="s">
        <v>235</v>
      </c>
      <c r="AO48" s="136" t="s">
        <v>116</v>
      </c>
      <c r="AP48" s="136" t="s">
        <v>235</v>
      </c>
      <c r="AQ48" s="136" t="s">
        <v>116</v>
      </c>
      <c r="AR48" s="136" t="s">
        <v>235</v>
      </c>
      <c r="AS48" s="136" t="s">
        <v>116</v>
      </c>
      <c r="AT48" s="136" t="s">
        <v>235</v>
      </c>
      <c r="AU48" s="136" t="s">
        <v>8</v>
      </c>
      <c r="AV48" s="136" t="s">
        <v>224</v>
      </c>
      <c r="AX48" s="136" t="str">
        <f>IF(AI5="","",IF(B48="","",B48))</f>
        <v>PV</v>
      </c>
      <c r="AY48" s="136" t="str">
        <f>IF(AI5="","",IF(C48="","",C48))</f>
        <v/>
      </c>
      <c r="AZ48" s="136" t="str">
        <f>IF(AI5="","",IF(D48="","",D48))</f>
        <v>PV</v>
      </c>
      <c r="BA48" s="136" t="str">
        <f>IF(AI5="","",IF(E48="","",E48))</f>
        <v/>
      </c>
      <c r="BB48" s="136" t="str">
        <f>IF(AI5="","",IF(F48="","",F48))</f>
        <v>PV</v>
      </c>
      <c r="BC48" s="136" t="str">
        <f>IF(AI5="","",IF(G48="","",G48))</f>
        <v/>
      </c>
      <c r="BD48" s="136" t="str">
        <f>IF(AI5="","",IF(H48="","",H48))</f>
        <v>PV</v>
      </c>
      <c r="BE48" s="136" t="str">
        <f>IF(AI5="","",IF(I48="","",I48))</f>
        <v/>
      </c>
      <c r="BF48" s="136" t="str">
        <f>IF(AI5="","",IF(J48="","",J48))</f>
        <v>PV</v>
      </c>
      <c r="BG48" s="136" t="str">
        <f>IF(AI5="","",IF(K48="","",K48))</f>
        <v/>
      </c>
      <c r="BH48" s="136" t="str">
        <f>IF(AI5="","",IF(L48="","",L48))</f>
        <v>PV</v>
      </c>
      <c r="BI48" s="136" t="str">
        <f>IF(AI5="","",IF(M48="","",M48))</f>
        <v/>
      </c>
      <c r="BJ48" s="136" t="str">
        <f>IF(AI5="","",IF(N48="","",N48))</f>
        <v>EA</v>
      </c>
      <c r="BK48" s="136" t="str">
        <f>IF(AI5="","",IF(O48="","",O48))</f>
        <v>FP</v>
      </c>
      <c r="BN48" s="136" t="str">
        <f t="shared" si="15"/>
        <v>Momento Avaliativo</v>
      </c>
      <c r="BO48" s="136" t="str">
        <f t="shared" si="15"/>
        <v>MA</v>
      </c>
      <c r="BP48" s="136">
        <f>IF(BO48="","",COUNTIFS(AX9:BK56,BO48)*0.5)</f>
        <v>0</v>
      </c>
      <c r="BQ48" s="136" t="str">
        <f t="shared" si="34"/>
        <v>Momento Avaliativo</v>
      </c>
      <c r="BR48" s="136" t="str">
        <f t="shared" si="34"/>
        <v>MA</v>
      </c>
      <c r="BS48" s="136" t="str">
        <f t="shared" si="18"/>
        <v>Momento Avaliativo</v>
      </c>
      <c r="BT48" s="136">
        <f t="shared" si="23"/>
        <v>1.5</v>
      </c>
      <c r="BU48" s="136">
        <f t="shared" si="24"/>
        <v>1.5</v>
      </c>
      <c r="BZ48" s="280"/>
      <c r="CA48" s="183" t="str">
        <f>'INFO BASE'!L111</f>
        <v>-</v>
      </c>
      <c r="CB48" s="183" t="str">
        <f>'INFO BASE'!M111</f>
        <v/>
      </c>
      <c r="CR48" s="177" t="str">
        <f t="shared" si="1"/>
        <v>PV</v>
      </c>
      <c r="CS48" s="177">
        <f t="shared" si="2"/>
        <v>0</v>
      </c>
      <c r="CT48" s="177" t="str">
        <f t="shared" si="1"/>
        <v>PV</v>
      </c>
      <c r="CU48" s="177">
        <f t="shared" si="3"/>
        <v>0</v>
      </c>
      <c r="CV48" s="177" t="str">
        <f t="shared" si="1"/>
        <v>PV</v>
      </c>
      <c r="CW48" s="177">
        <f t="shared" si="4"/>
        <v>0</v>
      </c>
      <c r="CX48" s="177" t="str">
        <f t="shared" si="1"/>
        <v>PV</v>
      </c>
      <c r="CY48" s="177">
        <f t="shared" si="5"/>
        <v>0</v>
      </c>
      <c r="CZ48" s="177" t="str">
        <f t="shared" si="1"/>
        <v>PV</v>
      </c>
      <c r="DA48" s="177">
        <f t="shared" si="6"/>
        <v>0</v>
      </c>
      <c r="DB48" s="177" t="str">
        <f t="shared" si="32"/>
        <v>PV</v>
      </c>
      <c r="DC48" s="177">
        <f t="shared" si="7"/>
        <v>0</v>
      </c>
      <c r="DD48" s="177" t="str">
        <f t="shared" si="8"/>
        <v>EA</v>
      </c>
      <c r="DE48" s="177" t="str">
        <f t="shared" si="9"/>
        <v>EAFP</v>
      </c>
      <c r="DK48" s="136" t="str">
        <f t="shared" si="10"/>
        <v>LABAL</v>
      </c>
      <c r="DN48" t="str">
        <f t="shared" si="46"/>
        <v>LAB</v>
      </c>
      <c r="DO48" t="str">
        <f t="shared" si="45"/>
        <v>AL</v>
      </c>
      <c r="DP48" t="str">
        <f t="shared" si="11"/>
        <v>LAB</v>
      </c>
    </row>
    <row r="49" spans="1:120" ht="18" customHeight="1" x14ac:dyDescent="0.3">
      <c r="A49" s="81">
        <v>0.83333333333336002</v>
      </c>
      <c r="B49" s="166" t="s">
        <v>116</v>
      </c>
      <c r="C49" s="130"/>
      <c r="D49" s="169" t="s">
        <v>116</v>
      </c>
      <c r="E49" s="130"/>
      <c r="F49" s="169" t="s">
        <v>116</v>
      </c>
      <c r="G49" s="130"/>
      <c r="H49" s="169" t="s">
        <v>116</v>
      </c>
      <c r="I49" s="130"/>
      <c r="J49" s="169" t="s">
        <v>116</v>
      </c>
      <c r="K49" s="130"/>
      <c r="L49" s="169" t="s">
        <v>116</v>
      </c>
      <c r="M49" s="130"/>
      <c r="N49" s="169" t="s">
        <v>8</v>
      </c>
      <c r="O49" s="154" t="s">
        <v>224</v>
      </c>
      <c r="P49" s="6">
        <v>0</v>
      </c>
      <c r="Q49" s="99" t="str">
        <f>IF('INFO BASE'!$C$22="","",'INFO BASE'!$C$22)</f>
        <v>Aulas Problemas</v>
      </c>
      <c r="R49" s="87" t="str">
        <f>IFERROR(VLOOKUP(Q49,'INFO BASE'!$C$17:$D$29,2,0),"")</f>
        <v>APB</v>
      </c>
      <c r="S49" s="88">
        <f t="shared" si="47"/>
        <v>-0.25</v>
      </c>
      <c r="T49" s="100">
        <f>IF(VLOOKUP(Q49,'INFO BASE'!$B$40:$I$54,IF(R49='INFO BASE'!$B$32,3,IF(R49='INFO BASE'!$B$33,4,IF(R49='INFO BASE'!$B$34,5,IF(R49='INFO BASE'!$B$35,6,IF(R49='INFO BASE'!$B$36,7,IF(R49='INFO BASE'!$B$37,8,2)))))),0)=0,"",VLOOKUP(Q49,'INFO BASE'!$B$40:$I$54,IF(R49='INFO BASE'!$B$32,3,IF(R49='INFO BASE'!$B$33,4,IF(R49='INFO BASE'!$B$34,5,IF(R49='INFO BASE'!$B$35,6,IF(R49='INFO BASE'!$B$36,7,IF(R49='INFO BASE'!$B$37,8,2)))))),0))</f>
        <v>6</v>
      </c>
      <c r="U49" s="89">
        <f t="shared" si="48"/>
        <v>4.5</v>
      </c>
      <c r="V49" s="100">
        <f>IF(R49="","",COUNTIFS(AI9:AV56,R49)*0.5)</f>
        <v>4.5</v>
      </c>
      <c r="W49" s="90">
        <f>IF(AH5="","-",IF(V49=0,U49,IFERROR((U49/V49)-1,"-")))</f>
        <v>0</v>
      </c>
      <c r="X49" s="201">
        <f t="shared" si="21"/>
        <v>0</v>
      </c>
      <c r="Y49" s="271"/>
      <c r="Z49" s="272"/>
      <c r="AA49" s="272"/>
      <c r="AB49" s="272"/>
      <c r="AC49" s="272"/>
      <c r="AD49" s="272"/>
      <c r="AE49" s="272"/>
      <c r="AF49" s="273"/>
      <c r="AH49" s="136">
        <v>0.83333333333336002</v>
      </c>
      <c r="AI49" s="136" t="s">
        <v>116</v>
      </c>
      <c r="AJ49" s="136" t="s">
        <v>235</v>
      </c>
      <c r="AK49" s="136" t="s">
        <v>116</v>
      </c>
      <c r="AL49" s="136" t="s">
        <v>235</v>
      </c>
      <c r="AM49" s="136" t="s">
        <v>116</v>
      </c>
      <c r="AN49" s="136" t="s">
        <v>235</v>
      </c>
      <c r="AO49" s="136" t="s">
        <v>116</v>
      </c>
      <c r="AP49" s="136" t="s">
        <v>235</v>
      </c>
      <c r="AQ49" s="136" t="s">
        <v>116</v>
      </c>
      <c r="AR49" s="136" t="s">
        <v>235</v>
      </c>
      <c r="AS49" s="136" t="s">
        <v>116</v>
      </c>
      <c r="AT49" s="136" t="s">
        <v>235</v>
      </c>
      <c r="AU49" s="136" t="s">
        <v>8</v>
      </c>
      <c r="AV49" s="136" t="s">
        <v>224</v>
      </c>
      <c r="AX49" s="136" t="str">
        <f>IF(AI5="","",IF(B49="","",B49))</f>
        <v>PV</v>
      </c>
      <c r="AY49" s="136" t="str">
        <f>IF(AI5="","",IF(C49="","",C49))</f>
        <v/>
      </c>
      <c r="AZ49" s="136" t="str">
        <f>IF(AI5="","",IF(D49="","",D49))</f>
        <v>PV</v>
      </c>
      <c r="BA49" s="136" t="str">
        <f>IF(AI5="","",IF(E49="","",E49))</f>
        <v/>
      </c>
      <c r="BB49" s="136" t="str">
        <f>IF(AI5="","",IF(F49="","",F49))</f>
        <v>PV</v>
      </c>
      <c r="BC49" s="136" t="str">
        <f>IF(AI5="","",IF(G49="","",G49))</f>
        <v/>
      </c>
      <c r="BD49" s="136" t="str">
        <f>IF(AI5="","",IF(H49="","",H49))</f>
        <v>PV</v>
      </c>
      <c r="BE49" s="136" t="str">
        <f>IF(AI5="","",IF(I49="","",I49))</f>
        <v/>
      </c>
      <c r="BF49" s="136" t="str">
        <f>IF(AI5="","",IF(J49="","",J49))</f>
        <v>PV</v>
      </c>
      <c r="BG49" s="136" t="str">
        <f>IF(AI5="","",IF(K49="","",K49))</f>
        <v/>
      </c>
      <c r="BH49" s="136" t="str">
        <f>IF(AI5="","",IF(L49="","",L49))</f>
        <v>PV</v>
      </c>
      <c r="BI49" s="136" t="str">
        <f>IF(AI5="","",IF(M49="","",M49))</f>
        <v/>
      </c>
      <c r="BJ49" s="136" t="str">
        <f>IF(AI5="","",IF(N49="","",N49))</f>
        <v>EA</v>
      </c>
      <c r="BK49" s="136" t="str">
        <f>IF(AI5="","",IF(O49="","",O49))</f>
        <v>FP</v>
      </c>
      <c r="BN49" s="136" t="str">
        <f t="shared" si="15"/>
        <v>Horário de Dúvidas</v>
      </c>
      <c r="BO49" s="136" t="str">
        <f t="shared" si="15"/>
        <v>HDV</v>
      </c>
      <c r="BP49" s="136">
        <f>IF(BO49="","",COUNTIFS(AX9:BK56,BO49)*0.5)</f>
        <v>0</v>
      </c>
      <c r="BQ49" s="136" t="str">
        <f t="shared" si="34"/>
        <v>Horário de Dúvidas</v>
      </c>
      <c r="BR49" s="136" t="str">
        <f t="shared" si="34"/>
        <v>HDV</v>
      </c>
      <c r="BS49" s="136" t="str">
        <f t="shared" si="18"/>
        <v>Horário de Dúvidas</v>
      </c>
      <c r="BT49" s="136">
        <f t="shared" si="23"/>
        <v>0</v>
      </c>
      <c r="BU49" s="136">
        <f t="shared" si="24"/>
        <v>0</v>
      </c>
      <c r="BZ49" s="280"/>
      <c r="CA49" s="183" t="str">
        <f>'INFO BASE'!L112</f>
        <v>-</v>
      </c>
      <c r="CB49" s="183" t="str">
        <f>'INFO BASE'!M112</f>
        <v/>
      </c>
      <c r="CR49" s="177" t="str">
        <f t="shared" si="1"/>
        <v>PV</v>
      </c>
      <c r="CS49" s="177">
        <f t="shared" si="2"/>
        <v>0</v>
      </c>
      <c r="CT49" s="177" t="str">
        <f t="shared" si="1"/>
        <v>PV</v>
      </c>
      <c r="CU49" s="177">
        <f t="shared" si="3"/>
        <v>0</v>
      </c>
      <c r="CV49" s="177" t="str">
        <f t="shared" si="1"/>
        <v>PV</v>
      </c>
      <c r="CW49" s="177">
        <f t="shared" si="4"/>
        <v>0</v>
      </c>
      <c r="CX49" s="177" t="str">
        <f t="shared" si="1"/>
        <v>PV</v>
      </c>
      <c r="CY49" s="177">
        <f t="shared" si="5"/>
        <v>0</v>
      </c>
      <c r="CZ49" s="177" t="str">
        <f t="shared" si="1"/>
        <v>PV</v>
      </c>
      <c r="DA49" s="177">
        <f t="shared" si="6"/>
        <v>0</v>
      </c>
      <c r="DB49" s="177" t="str">
        <f t="shared" si="32"/>
        <v>PV</v>
      </c>
      <c r="DC49" s="177">
        <f t="shared" si="7"/>
        <v>0</v>
      </c>
      <c r="DD49" s="177" t="str">
        <f t="shared" si="8"/>
        <v>EA</v>
      </c>
      <c r="DE49" s="177" t="str">
        <f t="shared" si="9"/>
        <v>EAFP</v>
      </c>
      <c r="DK49" s="136" t="str">
        <f t="shared" si="10"/>
        <v>LABCDI</v>
      </c>
      <c r="DN49" t="str">
        <f t="shared" si="46"/>
        <v>LAB</v>
      </c>
      <c r="DO49" t="str">
        <f t="shared" si="45"/>
        <v>CDI</v>
      </c>
      <c r="DP49" t="str">
        <f t="shared" si="11"/>
        <v>LAB</v>
      </c>
    </row>
    <row r="50" spans="1:120" ht="18" customHeight="1" thickBot="1" x14ac:dyDescent="0.35">
      <c r="A50" s="81">
        <v>0.85416666666669405</v>
      </c>
      <c r="B50" s="166" t="s">
        <v>116</v>
      </c>
      <c r="C50" s="130"/>
      <c r="D50" s="169" t="s">
        <v>116</v>
      </c>
      <c r="E50" s="130"/>
      <c r="F50" s="169" t="s">
        <v>116</v>
      </c>
      <c r="G50" s="130"/>
      <c r="H50" s="169" t="s">
        <v>116</v>
      </c>
      <c r="I50" s="130"/>
      <c r="J50" s="169" t="s">
        <v>116</v>
      </c>
      <c r="K50" s="130"/>
      <c r="L50" s="169" t="s">
        <v>116</v>
      </c>
      <c r="M50" s="130"/>
      <c r="N50" s="169" t="s">
        <v>116</v>
      </c>
      <c r="O50" s="154"/>
      <c r="P50" s="6">
        <v>0</v>
      </c>
      <c r="Q50" s="101" t="str">
        <f>IF('INFO BASE'!$C$23="","",'INFO BASE'!$C$23)</f>
        <v>Laboratórios</v>
      </c>
      <c r="R50" s="93" t="str">
        <f>IFERROR(VLOOKUP(Q50,'INFO BASE'!$C$17:$D$29,2,0),"")</f>
        <v>LAB</v>
      </c>
      <c r="S50" s="94">
        <f t="shared" si="47"/>
        <v>-1</v>
      </c>
      <c r="T50" s="95">
        <f>IF(VLOOKUP(Q50,'INFO BASE'!$B$40:$I$54,IF(R50='INFO BASE'!$B$32,3,IF(R50='INFO BASE'!$B$33,4,IF(R50='INFO BASE'!$B$34,5,IF(R50='INFO BASE'!$B$35,6,IF(R50='INFO BASE'!$B$36,7,IF(R50='INFO BASE'!$B$37,8,2)))))),0)=0,"",VLOOKUP(Q50,'INFO BASE'!$B$40:$I$54,IF(R50='INFO BASE'!$B$32,3,IF(R50='INFO BASE'!$B$33,4,IF(R50='INFO BASE'!$B$34,5,IF(R50='INFO BASE'!$B$35,6,IF(R50='INFO BASE'!$B$36,7,IF(R50='INFO BASE'!$B$37,8,2)))))),0))</f>
        <v>1.5</v>
      </c>
      <c r="U50" s="95">
        <f t="shared" si="48"/>
        <v>0</v>
      </c>
      <c r="V50" s="95">
        <f>IF(R50="","",COUNTIFS(AI9:AV56,R50)*0.5)</f>
        <v>0</v>
      </c>
      <c r="W50" s="96">
        <f>IF(AH5="","-",IF(V50=0,U50,IFERROR((U50/V50)-1,"-")))</f>
        <v>0</v>
      </c>
      <c r="X50" s="201">
        <f t="shared" si="21"/>
        <v>0</v>
      </c>
      <c r="Y50" s="308"/>
      <c r="Z50" s="309"/>
      <c r="AA50" s="309"/>
      <c r="AB50" s="309"/>
      <c r="AC50" s="309"/>
      <c r="AD50" s="309"/>
      <c r="AE50" s="309"/>
      <c r="AF50" s="310"/>
      <c r="AH50" s="136">
        <v>0.85416666666669405</v>
      </c>
      <c r="AI50" s="136" t="s">
        <v>116</v>
      </c>
      <c r="AJ50" s="136" t="s">
        <v>235</v>
      </c>
      <c r="AK50" s="136" t="s">
        <v>116</v>
      </c>
      <c r="AL50" s="136" t="s">
        <v>235</v>
      </c>
      <c r="AM50" s="136" t="s">
        <v>116</v>
      </c>
      <c r="AN50" s="136" t="s">
        <v>235</v>
      </c>
      <c r="AO50" s="136" t="s">
        <v>116</v>
      </c>
      <c r="AP50" s="136" t="s">
        <v>235</v>
      </c>
      <c r="AQ50" s="136" t="s">
        <v>116</v>
      </c>
      <c r="AR50" s="136" t="s">
        <v>235</v>
      </c>
      <c r="AS50" s="136" t="s">
        <v>116</v>
      </c>
      <c r="AT50" s="136" t="s">
        <v>235</v>
      </c>
      <c r="AU50" s="136" t="s">
        <v>116</v>
      </c>
      <c r="AV50" s="136" t="s">
        <v>235</v>
      </c>
      <c r="AX50" s="136" t="str">
        <f>IF(AI5="","",IF(B50="","",B50))</f>
        <v>PV</v>
      </c>
      <c r="AY50" s="136" t="str">
        <f>IF(AI5="","",IF(C50="","",C50))</f>
        <v/>
      </c>
      <c r="AZ50" s="136" t="str">
        <f>IF(AI5="","",IF(D50="","",D50))</f>
        <v>PV</v>
      </c>
      <c r="BA50" s="136" t="str">
        <f>IF(AI5="","",IF(E50="","",E50))</f>
        <v/>
      </c>
      <c r="BB50" s="136" t="str">
        <f>IF(AI5="","",IF(F50="","",F50))</f>
        <v>PV</v>
      </c>
      <c r="BC50" s="136" t="str">
        <f>IF(AI5="","",IF(G50="","",G50))</f>
        <v/>
      </c>
      <c r="BD50" s="136" t="str">
        <f>IF(AI5="","",IF(H50="","",H50))</f>
        <v>PV</v>
      </c>
      <c r="BE50" s="136" t="str">
        <f>IF(AI5="","",IF(I50="","",I50))</f>
        <v/>
      </c>
      <c r="BF50" s="136" t="str">
        <f>IF(AI5="","",IF(J50="","",J50))</f>
        <v>PV</v>
      </c>
      <c r="BG50" s="136" t="str">
        <f>IF(AI5="","",IF(K50="","",K50))</f>
        <v/>
      </c>
      <c r="BH50" s="136" t="str">
        <f>IF(AI5="","",IF(L50="","",L50))</f>
        <v>PV</v>
      </c>
      <c r="BI50" s="136" t="str">
        <f>IF(AI5="","",IF(M50="","",M50))</f>
        <v/>
      </c>
      <c r="BJ50" s="136" t="str">
        <f>IF(AI5="","",IF(N50="","",N50))</f>
        <v>PV</v>
      </c>
      <c r="BK50" s="136" t="str">
        <f>IF(AI5="","",IF(O50="","",O50))</f>
        <v/>
      </c>
      <c r="BN50" s="136" t="str">
        <f t="shared" si="15"/>
        <v>Privado</v>
      </c>
      <c r="BO50" s="136" t="str">
        <f t="shared" si="15"/>
        <v>PV</v>
      </c>
      <c r="BP50" s="136">
        <f>IF(BO50="","",COUNTIFS(AX9:BK56,BO50)*0.5)</f>
        <v>63.5</v>
      </c>
      <c r="BQ50" s="136" t="str">
        <f t="shared" si="34"/>
        <v>Privado</v>
      </c>
      <c r="BR50" s="136" t="str">
        <f t="shared" si="34"/>
        <v>PV</v>
      </c>
      <c r="BS50" s="136" t="str">
        <f t="shared" si="18"/>
        <v>Privado</v>
      </c>
      <c r="BT50" s="136">
        <f t="shared" si="23"/>
        <v>384</v>
      </c>
      <c r="BU50" s="136">
        <f t="shared" si="24"/>
        <v>369</v>
      </c>
      <c r="BZ50" s="280"/>
      <c r="CA50" s="183" t="str">
        <f>'INFO BASE'!L113</f>
        <v>-</v>
      </c>
      <c r="CB50" s="183" t="str">
        <f>'INFO BASE'!M113</f>
        <v/>
      </c>
      <c r="CR50" s="177" t="str">
        <f t="shared" si="1"/>
        <v>PV</v>
      </c>
      <c r="CS50" s="177">
        <f t="shared" si="2"/>
        <v>0</v>
      </c>
      <c r="CT50" s="177" t="str">
        <f t="shared" si="1"/>
        <v>PV</v>
      </c>
      <c r="CU50" s="177">
        <f t="shared" si="3"/>
        <v>0</v>
      </c>
      <c r="CV50" s="177" t="str">
        <f t="shared" si="1"/>
        <v>PV</v>
      </c>
      <c r="CW50" s="177">
        <f t="shared" si="4"/>
        <v>0</v>
      </c>
      <c r="CX50" s="177" t="str">
        <f t="shared" si="1"/>
        <v>PV</v>
      </c>
      <c r="CY50" s="177">
        <f t="shared" si="5"/>
        <v>0</v>
      </c>
      <c r="CZ50" s="177" t="str">
        <f t="shared" si="1"/>
        <v>PV</v>
      </c>
      <c r="DA50" s="177">
        <f t="shared" si="6"/>
        <v>0</v>
      </c>
      <c r="DB50" s="177" t="str">
        <f t="shared" si="32"/>
        <v>PV</v>
      </c>
      <c r="DC50" s="177">
        <f t="shared" si="7"/>
        <v>0</v>
      </c>
      <c r="DD50" s="177" t="str">
        <f t="shared" si="8"/>
        <v>PV</v>
      </c>
      <c r="DE50" s="177">
        <f t="shared" si="9"/>
        <v>0</v>
      </c>
      <c r="DK50" s="136" t="str">
        <f t="shared" si="10"/>
        <v>LAB0</v>
      </c>
      <c r="DN50" t="str">
        <f t="shared" si="46"/>
        <v>LAB</v>
      </c>
      <c r="DO50">
        <f t="shared" si="45"/>
        <v>0</v>
      </c>
      <c r="DP50" t="str">
        <f t="shared" si="11"/>
        <v>LAB</v>
      </c>
    </row>
    <row r="51" spans="1:120" ht="18" customHeight="1" x14ac:dyDescent="0.3">
      <c r="A51" s="81">
        <v>0.87500000000002798</v>
      </c>
      <c r="B51" s="166" t="s">
        <v>12</v>
      </c>
      <c r="C51" s="130" t="s">
        <v>120</v>
      </c>
      <c r="D51" s="169" t="s">
        <v>12</v>
      </c>
      <c r="E51" s="130" t="s">
        <v>120</v>
      </c>
      <c r="F51" s="169" t="s">
        <v>12</v>
      </c>
      <c r="G51" s="130" t="s">
        <v>120</v>
      </c>
      <c r="H51" s="169" t="s">
        <v>12</v>
      </c>
      <c r="I51" s="130" t="s">
        <v>120</v>
      </c>
      <c r="J51" s="169" t="s">
        <v>12</v>
      </c>
      <c r="K51" s="130" t="s">
        <v>120</v>
      </c>
      <c r="L51" s="169" t="s">
        <v>116</v>
      </c>
      <c r="M51" s="130"/>
      <c r="N51" s="169" t="s">
        <v>12</v>
      </c>
      <c r="O51" s="154" t="s">
        <v>120</v>
      </c>
      <c r="P51" s="6">
        <v>0</v>
      </c>
      <c r="Q51" s="102" t="str">
        <f>IF('INFO BASE'!$C$24="","",'INFO BASE'!$C$24)</f>
        <v>Momento Avaliativo</v>
      </c>
      <c r="R51" s="82" t="str">
        <f>IFERROR(VLOOKUP(Q51,'INFO BASE'!$C$17:$D$29,2,0),"")</f>
        <v>MA</v>
      </c>
      <c r="S51" s="83" t="str">
        <f t="shared" si="47"/>
        <v>-</v>
      </c>
      <c r="T51" s="84" t="str">
        <f>IF(VLOOKUP(Q51,'INFO BASE'!$B$40:$I$54,IF(R51='INFO BASE'!$B$32,3,IF(R51='INFO BASE'!$B$33,4,IF(R51='INFO BASE'!$B$34,5,IF(R51='INFO BASE'!$B$35,6,IF(R51='INFO BASE'!$B$36,7,IF(R51='INFO BASE'!$B$37,8,2)))))),0)=0,"",VLOOKUP(Q51,'INFO BASE'!$B$40:$I$54,IF(R51='INFO BASE'!$B$32,3,IF(R51='INFO BASE'!$B$33,4,IF(R51='INFO BASE'!$B$34,5,IF(R51='INFO BASE'!$B$35,6,IF(R51='INFO BASE'!$B$36,7,IF(R51='INFO BASE'!$B$37,8,2)))))),0))</f>
        <v/>
      </c>
      <c r="U51" s="84">
        <f t="shared" si="48"/>
        <v>0</v>
      </c>
      <c r="V51" s="84">
        <f>IF(R51="","",COUNTIFS(AI9:AV56,R51)*0.5)</f>
        <v>0</v>
      </c>
      <c r="W51" s="85">
        <f>IF(AH5="","-",IF(V51=0,U51,IFERROR((U51/V51)-1,"-")))</f>
        <v>0</v>
      </c>
      <c r="X51" s="201">
        <f t="shared" si="21"/>
        <v>0</v>
      </c>
      <c r="Y51" s="277"/>
      <c r="Z51" s="278"/>
      <c r="AA51" s="278"/>
      <c r="AB51" s="278"/>
      <c r="AC51" s="278"/>
      <c r="AD51" s="278"/>
      <c r="AE51" s="278"/>
      <c r="AF51" s="279"/>
      <c r="AH51" s="136">
        <v>0.87500000000002798</v>
      </c>
      <c r="AI51" s="136" t="s">
        <v>12</v>
      </c>
      <c r="AJ51" s="136" t="s">
        <v>120</v>
      </c>
      <c r="AK51" s="136" t="s">
        <v>12</v>
      </c>
      <c r="AL51" s="136" t="s">
        <v>120</v>
      </c>
      <c r="AM51" s="136" t="s">
        <v>12</v>
      </c>
      <c r="AN51" s="136" t="s">
        <v>120</v>
      </c>
      <c r="AO51" s="136" t="s">
        <v>12</v>
      </c>
      <c r="AP51" s="136" t="s">
        <v>120</v>
      </c>
      <c r="AQ51" s="136" t="s">
        <v>12</v>
      </c>
      <c r="AR51" s="136" t="s">
        <v>120</v>
      </c>
      <c r="AS51" s="136" t="s">
        <v>116</v>
      </c>
      <c r="AT51" s="136" t="s">
        <v>235</v>
      </c>
      <c r="AU51" s="136" t="s">
        <v>12</v>
      </c>
      <c r="AV51" s="136" t="s">
        <v>120</v>
      </c>
      <c r="AX51" s="136" t="str">
        <f>IF(AI5="","",IF(B51="","",B51))</f>
        <v>HR</v>
      </c>
      <c r="AY51" s="136" t="str">
        <f>IF(AI5="","",IF(C51="","",C51))</f>
        <v>-</v>
      </c>
      <c r="AZ51" s="136" t="str">
        <f>IF(AI5="","",IF(D51="","",D51))</f>
        <v>HR</v>
      </c>
      <c r="BA51" s="136" t="str">
        <f>IF(AI5="","",IF(E51="","",E51))</f>
        <v>-</v>
      </c>
      <c r="BB51" s="136" t="str">
        <f>IF(AI5="","",IF(F51="","",F51))</f>
        <v>HR</v>
      </c>
      <c r="BC51" s="136" t="str">
        <f>IF(AI5="","",IF(G51="","",G51))</f>
        <v>-</v>
      </c>
      <c r="BD51" s="136" t="str">
        <f>IF(AI5="","",IF(H51="","",H51))</f>
        <v>HR</v>
      </c>
      <c r="BE51" s="136" t="str">
        <f>IF(AI5="","",IF(I51="","",I51))</f>
        <v>-</v>
      </c>
      <c r="BF51" s="136" t="str">
        <f>IF(AI5="","",IF(J51="","",J51))</f>
        <v>HR</v>
      </c>
      <c r="BG51" s="136" t="str">
        <f>IF(AI5="","",IF(K51="","",K51))</f>
        <v>-</v>
      </c>
      <c r="BH51" s="136" t="str">
        <f>IF(AI5="","",IF(L51="","",L51))</f>
        <v>PV</v>
      </c>
      <c r="BI51" s="136" t="str">
        <f>IF(AI5="","",IF(M51="","",M51))</f>
        <v/>
      </c>
      <c r="BJ51" s="136" t="str">
        <f>IF(AI5="","",IF(N51="","",N51))</f>
        <v>HR</v>
      </c>
      <c r="BK51" s="136" t="str">
        <f>IF(AI5="","",IF(O51="","",O51))</f>
        <v>-</v>
      </c>
      <c r="BN51" s="136" t="str">
        <f t="shared" si="15"/>
        <v>Deslocação</v>
      </c>
      <c r="BO51" s="136" t="str">
        <f t="shared" si="15"/>
        <v>HD</v>
      </c>
      <c r="BP51" s="136">
        <f>IF(BO51="","",COUNTIFS(AX9:BK56,BO51)*0.5)</f>
        <v>13</v>
      </c>
      <c r="BQ51" s="136" t="str">
        <f t="shared" si="34"/>
        <v>Deslocação</v>
      </c>
      <c r="BR51" s="136" t="str">
        <f t="shared" si="34"/>
        <v>HD</v>
      </c>
      <c r="BS51" s="136" t="str">
        <f t="shared" si="18"/>
        <v>Deslocação</v>
      </c>
      <c r="BT51" s="136">
        <f t="shared" si="23"/>
        <v>116.5</v>
      </c>
      <c r="BU51" s="136">
        <f t="shared" si="24"/>
        <v>115</v>
      </c>
      <c r="BZ51" s="280"/>
      <c r="CA51" s="183" t="str">
        <f>'INFO BASE'!L114</f>
        <v>-</v>
      </c>
      <c r="CB51" s="183" t="str">
        <f>'INFO BASE'!M114</f>
        <v/>
      </c>
      <c r="CR51" s="177" t="str">
        <f t="shared" si="1"/>
        <v>HR</v>
      </c>
      <c r="CS51" s="177" t="str">
        <f t="shared" si="2"/>
        <v>HR-</v>
      </c>
      <c r="CT51" s="177" t="str">
        <f t="shared" si="1"/>
        <v>HR</v>
      </c>
      <c r="CU51" s="177" t="str">
        <f t="shared" si="3"/>
        <v>HR-</v>
      </c>
      <c r="CV51" s="177" t="str">
        <f t="shared" si="1"/>
        <v>HR</v>
      </c>
      <c r="CW51" s="177" t="str">
        <f t="shared" si="4"/>
        <v>HR-</v>
      </c>
      <c r="CX51" s="177" t="str">
        <f t="shared" si="1"/>
        <v>HR</v>
      </c>
      <c r="CY51" s="177" t="str">
        <f t="shared" si="5"/>
        <v>HR-</v>
      </c>
      <c r="CZ51" s="177" t="str">
        <f t="shared" si="1"/>
        <v>HR</v>
      </c>
      <c r="DA51" s="177" t="str">
        <f t="shared" si="6"/>
        <v>HR-</v>
      </c>
      <c r="DB51" s="177" t="str">
        <f t="shared" si="32"/>
        <v>PV</v>
      </c>
      <c r="DC51" s="177">
        <f t="shared" si="7"/>
        <v>0</v>
      </c>
      <c r="DD51" s="177" t="str">
        <f t="shared" si="8"/>
        <v>HR</v>
      </c>
      <c r="DE51" s="177" t="str">
        <f t="shared" si="9"/>
        <v>HR-</v>
      </c>
      <c r="DK51" s="136" t="str">
        <f t="shared" si="10"/>
        <v>MAFP</v>
      </c>
      <c r="DN51" t="str">
        <f>'INFO BASE'!B24</f>
        <v>MA</v>
      </c>
      <c r="DO51" t="str">
        <f>DO45</f>
        <v>FP</v>
      </c>
      <c r="DP51" t="str">
        <f t="shared" si="11"/>
        <v>MA</v>
      </c>
    </row>
    <row r="52" spans="1:120" ht="18" customHeight="1" x14ac:dyDescent="0.3">
      <c r="A52" s="81">
        <v>0.89583333333336201</v>
      </c>
      <c r="B52" s="166" t="s">
        <v>12</v>
      </c>
      <c r="C52" s="130" t="s">
        <v>120</v>
      </c>
      <c r="D52" s="169" t="s">
        <v>12</v>
      </c>
      <c r="E52" s="130" t="s">
        <v>120</v>
      </c>
      <c r="F52" s="169" t="s">
        <v>12</v>
      </c>
      <c r="G52" s="130" t="s">
        <v>120</v>
      </c>
      <c r="H52" s="169" t="s">
        <v>12</v>
      </c>
      <c r="I52" s="130" t="s">
        <v>120</v>
      </c>
      <c r="J52" s="169" t="s">
        <v>12</v>
      </c>
      <c r="K52" s="130" t="s">
        <v>120</v>
      </c>
      <c r="L52" s="169" t="s">
        <v>116</v>
      </c>
      <c r="M52" s="130"/>
      <c r="N52" s="169" t="s">
        <v>12</v>
      </c>
      <c r="O52" s="154" t="s">
        <v>120</v>
      </c>
      <c r="P52" s="6">
        <v>0</v>
      </c>
      <c r="Q52" s="103" t="str">
        <f>IF('INFO BASE'!$C$25="","",'INFO BASE'!$C$25)</f>
        <v>Horário de Dúvidas</v>
      </c>
      <c r="R52" s="87" t="str">
        <f>IFERROR(VLOOKUP(Q52,'INFO BASE'!$C$17:$D$29,2,0),"")</f>
        <v>HDV</v>
      </c>
      <c r="S52" s="88">
        <f t="shared" si="47"/>
        <v>-1</v>
      </c>
      <c r="T52" s="89">
        <f>IF(VLOOKUP(Q52,'INFO BASE'!$B$40:$I$54,IF(R52='INFO BASE'!$B$32,3,IF(R52='INFO BASE'!$B$33,4,IF(R52='INFO BASE'!$B$34,5,IF(R52='INFO BASE'!$B$35,6,IF(R52='INFO BASE'!$B$36,7,IF(R52='INFO BASE'!$B$37,8,2)))))),0)=0,"",VLOOKUP(Q52,'INFO BASE'!$B$40:$I$54,IF(R52='INFO BASE'!$B$32,3,IF(R52='INFO BASE'!$B$33,4,IF(R52='INFO BASE'!$B$34,5,IF(R52='INFO BASE'!$B$35,6,IF(R52='INFO BASE'!$B$36,7,IF(R52='INFO BASE'!$B$37,8,2)))))),0))</f>
        <v>3</v>
      </c>
      <c r="U52" s="89">
        <f t="shared" si="48"/>
        <v>0</v>
      </c>
      <c r="V52" s="89">
        <f>IF(R52="","",COUNTIFS(AI9:AV56,R52)*0.5)</f>
        <v>0</v>
      </c>
      <c r="W52" s="90">
        <f>IF(AH5="","-",IF(V52=0,U52,IFERROR((U52/V52)-1,"-")))</f>
        <v>0</v>
      </c>
      <c r="X52" s="201">
        <f t="shared" si="21"/>
        <v>0</v>
      </c>
      <c r="Y52" s="271"/>
      <c r="Z52" s="272"/>
      <c r="AA52" s="272"/>
      <c r="AB52" s="272"/>
      <c r="AC52" s="272"/>
      <c r="AD52" s="272"/>
      <c r="AE52" s="272"/>
      <c r="AF52" s="273"/>
      <c r="AH52" s="136">
        <v>0.89583333333336201</v>
      </c>
      <c r="AI52" s="136" t="s">
        <v>12</v>
      </c>
      <c r="AJ52" s="136" t="s">
        <v>120</v>
      </c>
      <c r="AK52" s="136" t="s">
        <v>12</v>
      </c>
      <c r="AL52" s="136" t="s">
        <v>120</v>
      </c>
      <c r="AM52" s="136" t="s">
        <v>12</v>
      </c>
      <c r="AN52" s="136" t="s">
        <v>120</v>
      </c>
      <c r="AO52" s="136" t="s">
        <v>12</v>
      </c>
      <c r="AP52" s="136" t="s">
        <v>120</v>
      </c>
      <c r="AQ52" s="136" t="s">
        <v>12</v>
      </c>
      <c r="AR52" s="136" t="s">
        <v>120</v>
      </c>
      <c r="AS52" s="136" t="s">
        <v>116</v>
      </c>
      <c r="AT52" s="136" t="s">
        <v>235</v>
      </c>
      <c r="AU52" s="136" t="s">
        <v>12</v>
      </c>
      <c r="AV52" s="136" t="s">
        <v>120</v>
      </c>
      <c r="AX52" s="136" t="str">
        <f>IF(AI5="","",IF(B52="","",B52))</f>
        <v>HR</v>
      </c>
      <c r="AY52" s="136" t="str">
        <f>IF(AI5="","",IF(C52="","",C52))</f>
        <v>-</v>
      </c>
      <c r="AZ52" s="136" t="str">
        <f>IF(AI5="","",IF(D52="","",D52))</f>
        <v>HR</v>
      </c>
      <c r="BA52" s="136" t="str">
        <f>IF(AI5="","",IF(E52="","",E52))</f>
        <v>-</v>
      </c>
      <c r="BB52" s="136" t="str">
        <f>IF(AI5="","",IF(F52="","",F52))</f>
        <v>HR</v>
      </c>
      <c r="BC52" s="136" t="str">
        <f>IF(AI5="","",IF(G52="","",G52))</f>
        <v>-</v>
      </c>
      <c r="BD52" s="136" t="str">
        <f>IF(AI5="","",IF(H52="","",H52))</f>
        <v>HR</v>
      </c>
      <c r="BE52" s="136" t="str">
        <f>IF(AI5="","",IF(I52="","",I52))</f>
        <v>-</v>
      </c>
      <c r="BF52" s="136" t="str">
        <f>IF(AI5="","",IF(J52="","",J52))</f>
        <v>HR</v>
      </c>
      <c r="BG52" s="136" t="str">
        <f>IF(AI5="","",IF(K52="","",K52))</f>
        <v>-</v>
      </c>
      <c r="BH52" s="136" t="str">
        <f>IF(AI5="","",IF(L52="","",L52))</f>
        <v>PV</v>
      </c>
      <c r="BI52" s="136" t="str">
        <f>IF(AI5="","",IF(M52="","",M52))</f>
        <v/>
      </c>
      <c r="BJ52" s="136" t="str">
        <f>IF(AI5="","",IF(N52="","",N52))</f>
        <v>HR</v>
      </c>
      <c r="BK52" s="136" t="str">
        <f>IF(AI5="","",IF(O52="","",O52))</f>
        <v>-</v>
      </c>
      <c r="BN52" s="136" t="str">
        <f t="shared" si="15"/>
        <v>Refeição</v>
      </c>
      <c r="BO52" s="136" t="str">
        <f t="shared" si="15"/>
        <v>HR</v>
      </c>
      <c r="BP52" s="136">
        <f>IF(BO52="","",COUNTIFS(AX9:BK56,BO52)*0.5)</f>
        <v>16</v>
      </c>
      <c r="BQ52" s="136" t="str">
        <f t="shared" si="34"/>
        <v>Refeição</v>
      </c>
      <c r="BR52" s="136" t="str">
        <f t="shared" si="34"/>
        <v>HR</v>
      </c>
      <c r="BS52" s="136" t="str">
        <f t="shared" si="18"/>
        <v>Refeição</v>
      </c>
      <c r="BT52" s="136">
        <f t="shared" si="23"/>
        <v>126</v>
      </c>
      <c r="BU52" s="136">
        <f t="shared" si="24"/>
        <v>124</v>
      </c>
      <c r="BZ52" s="280"/>
      <c r="CA52" s="183" t="str">
        <f>'INFO BASE'!L115</f>
        <v>-</v>
      </c>
      <c r="CB52" s="183" t="str">
        <f>'INFO BASE'!M115</f>
        <v/>
      </c>
      <c r="CR52" s="177" t="str">
        <f t="shared" si="1"/>
        <v>HR</v>
      </c>
      <c r="CS52" s="177" t="str">
        <f t="shared" si="2"/>
        <v>HR-</v>
      </c>
      <c r="CT52" s="177" t="str">
        <f t="shared" si="1"/>
        <v>HR</v>
      </c>
      <c r="CU52" s="177" t="str">
        <f t="shared" si="3"/>
        <v>HR-</v>
      </c>
      <c r="CV52" s="177" t="str">
        <f t="shared" si="1"/>
        <v>HR</v>
      </c>
      <c r="CW52" s="177" t="str">
        <f t="shared" si="4"/>
        <v>HR-</v>
      </c>
      <c r="CX52" s="177" t="str">
        <f t="shared" si="1"/>
        <v>HR</v>
      </c>
      <c r="CY52" s="177" t="str">
        <f t="shared" si="5"/>
        <v>HR-</v>
      </c>
      <c r="CZ52" s="177" t="str">
        <f t="shared" si="1"/>
        <v>HR</v>
      </c>
      <c r="DA52" s="177" t="str">
        <f t="shared" si="6"/>
        <v>HR-</v>
      </c>
      <c r="DB52" s="177" t="str">
        <f t="shared" si="32"/>
        <v>PV</v>
      </c>
      <c r="DC52" s="177">
        <f t="shared" si="7"/>
        <v>0</v>
      </c>
      <c r="DD52" s="177" t="str">
        <f t="shared" si="8"/>
        <v>HR</v>
      </c>
      <c r="DE52" s="177" t="str">
        <f t="shared" si="9"/>
        <v>HR-</v>
      </c>
      <c r="DK52" s="136" t="str">
        <f t="shared" si="10"/>
        <v>MAIEI</v>
      </c>
      <c r="DN52" t="str">
        <f>DN51</f>
        <v>MA</v>
      </c>
      <c r="DO52" t="str">
        <f t="shared" ref="DO52:DO62" si="49">DO46</f>
        <v>IEI</v>
      </c>
      <c r="DP52" t="str">
        <f t="shared" si="11"/>
        <v>MA</v>
      </c>
    </row>
    <row r="53" spans="1:120" ht="18" customHeight="1" x14ac:dyDescent="0.3">
      <c r="A53" s="81">
        <v>0.91666666666669605</v>
      </c>
      <c r="B53" s="166" t="s">
        <v>116</v>
      </c>
      <c r="C53" s="130"/>
      <c r="D53" s="169" t="s">
        <v>116</v>
      </c>
      <c r="E53" s="130"/>
      <c r="F53" s="169" t="s">
        <v>116</v>
      </c>
      <c r="G53" s="130"/>
      <c r="H53" s="169" t="s">
        <v>116</v>
      </c>
      <c r="I53" s="130"/>
      <c r="J53" s="169" t="s">
        <v>116</v>
      </c>
      <c r="K53" s="130"/>
      <c r="L53" s="169" t="s">
        <v>12</v>
      </c>
      <c r="M53" s="130" t="s">
        <v>120</v>
      </c>
      <c r="N53" s="169" t="s">
        <v>116</v>
      </c>
      <c r="O53" s="154"/>
      <c r="P53" s="6">
        <v>0.2</v>
      </c>
      <c r="Q53" s="104" t="str">
        <f>IF('INFO BASE'!$C$26="","",'INFO BASE'!$C$26)</f>
        <v>Privado</v>
      </c>
      <c r="R53" s="87" t="str">
        <f>IFERROR(VLOOKUP(Q53,'INFO BASE'!$C$17:$D$29,2,0),"")</f>
        <v>PV</v>
      </c>
      <c r="S53" s="88">
        <f t="shared" si="47"/>
        <v>1.3962264150943398</v>
      </c>
      <c r="T53" s="89">
        <f>IF(VLOOKUP(Q53,'INFO BASE'!$B$40:$I$54,IF(R53='INFO BASE'!$B$32,3,IF(R53='INFO BASE'!$B$33,4,IF(R53='INFO BASE'!$B$34,5,IF(R53='INFO BASE'!$B$35,6,IF(R53='INFO BASE'!$B$36,7,IF(R53='INFO BASE'!$B$37,8,2)))))),0)=0,"",VLOOKUP(Q53,'INFO BASE'!$B$40:$I$54,IF(R53='INFO BASE'!$B$32,3,IF(R53='INFO BASE'!$B$33,4,IF(R53='INFO BASE'!$B$34,5,IF(R53='INFO BASE'!$B$35,6,IF(R53='INFO BASE'!$B$36,7,IF(R53='INFO BASE'!$B$37,8,2)))))),0))</f>
        <v>26.5</v>
      </c>
      <c r="U53" s="89">
        <f t="shared" si="48"/>
        <v>63.5</v>
      </c>
      <c r="V53" s="89">
        <f>IF(R53="","",COUNTIFS(AI9:AV56,R53)*0.5)</f>
        <v>58.5</v>
      </c>
      <c r="W53" s="90">
        <f>IF(AH5="","-",IF(V53=0,U53,IFERROR((U53/V53)-1,"-")))</f>
        <v>8.5470085470085388E-2</v>
      </c>
      <c r="X53" s="202">
        <f t="shared" si="21"/>
        <v>0</v>
      </c>
      <c r="Y53" s="271"/>
      <c r="Z53" s="272"/>
      <c r="AA53" s="272"/>
      <c r="AB53" s="272"/>
      <c r="AC53" s="272"/>
      <c r="AD53" s="272"/>
      <c r="AE53" s="272"/>
      <c r="AF53" s="273"/>
      <c r="AH53" s="136">
        <v>0.91666666666669605</v>
      </c>
      <c r="AI53" s="136" t="s">
        <v>116</v>
      </c>
      <c r="AJ53" s="136" t="s">
        <v>235</v>
      </c>
      <c r="AK53" s="136" t="s">
        <v>116</v>
      </c>
      <c r="AL53" s="136" t="s">
        <v>235</v>
      </c>
      <c r="AM53" s="136" t="s">
        <v>116</v>
      </c>
      <c r="AN53" s="136" t="s">
        <v>235</v>
      </c>
      <c r="AO53" s="136" t="s">
        <v>116</v>
      </c>
      <c r="AP53" s="136" t="s">
        <v>235</v>
      </c>
      <c r="AQ53" s="136" t="s">
        <v>116</v>
      </c>
      <c r="AR53" s="136" t="s">
        <v>235</v>
      </c>
      <c r="AS53" s="136" t="s">
        <v>12</v>
      </c>
      <c r="AT53" s="136" t="s">
        <v>120</v>
      </c>
      <c r="AU53" s="136" t="s">
        <v>116</v>
      </c>
      <c r="AV53" s="136" t="s">
        <v>235</v>
      </c>
      <c r="AX53" s="136" t="str">
        <f>IF(AI5="","",IF(B53="","",B53))</f>
        <v>PV</v>
      </c>
      <c r="AY53" s="136" t="str">
        <f>IF(AI5="","",IF(C53="","",C53))</f>
        <v/>
      </c>
      <c r="AZ53" s="136" t="str">
        <f>IF(AI5="","",IF(D53="","",D53))</f>
        <v>PV</v>
      </c>
      <c r="BA53" s="136" t="str">
        <f>IF(AI5="","",IF(E53="","",E53))</f>
        <v/>
      </c>
      <c r="BB53" s="136" t="str">
        <f>IF(AI5="","",IF(F53="","",F53))</f>
        <v>PV</v>
      </c>
      <c r="BC53" s="136" t="str">
        <f>IF(AI5="","",IF(G53="","",G53))</f>
        <v/>
      </c>
      <c r="BD53" s="136" t="str">
        <f>IF(AI5="","",IF(H53="","",H53))</f>
        <v>PV</v>
      </c>
      <c r="BE53" s="136" t="str">
        <f>IF(AI5="","",IF(I53="","",I53))</f>
        <v/>
      </c>
      <c r="BF53" s="136" t="str">
        <f>IF(AI5="","",IF(J53="","",J53))</f>
        <v>PV</v>
      </c>
      <c r="BG53" s="136" t="str">
        <f>IF(AI5="","",IF(K53="","",K53))</f>
        <v/>
      </c>
      <c r="BH53" s="136" t="str">
        <f>IF(AI5="","",IF(L53="","",L53))</f>
        <v>HR</v>
      </c>
      <c r="BI53" s="136" t="str">
        <f>IF(AI5="","",IF(M53="","",M53))</f>
        <v>-</v>
      </c>
      <c r="BJ53" s="136" t="str">
        <f>IF(AI5="","",IF(N53="","",N53))</f>
        <v>PV</v>
      </c>
      <c r="BK53" s="136" t="str">
        <f>IF(AI5="","",IF(O53="","",O53))</f>
        <v/>
      </c>
      <c r="BN53" s="136" t="str">
        <f t="shared" si="15"/>
        <v>Sono</v>
      </c>
      <c r="BO53" s="136" t="str">
        <f t="shared" si="15"/>
        <v>HS</v>
      </c>
      <c r="BP53" s="136">
        <f>IF(BO53="","",COUNTIFS(AX9:BK56,BO53)*0.5)</f>
        <v>51.5</v>
      </c>
      <c r="BQ53" s="136" t="str">
        <f t="shared" si="34"/>
        <v>Sono</v>
      </c>
      <c r="BR53" s="136" t="str">
        <f t="shared" si="34"/>
        <v>HS</v>
      </c>
      <c r="BS53" s="136" t="str">
        <f t="shared" si="18"/>
        <v>Sono</v>
      </c>
      <c r="BT53" s="136">
        <f t="shared" si="23"/>
        <v>417</v>
      </c>
      <c r="BU53" s="136">
        <f t="shared" si="24"/>
        <v>417.5</v>
      </c>
      <c r="BZ53" s="280"/>
      <c r="CA53" s="183" t="str">
        <f>'INFO BASE'!L116</f>
        <v>-</v>
      </c>
      <c r="CB53" s="183" t="str">
        <f>'INFO BASE'!M116</f>
        <v/>
      </c>
      <c r="CR53" s="177" t="str">
        <f t="shared" si="1"/>
        <v>PV</v>
      </c>
      <c r="CS53" s="177">
        <f t="shared" si="2"/>
        <v>0</v>
      </c>
      <c r="CT53" s="177" t="str">
        <f t="shared" si="1"/>
        <v>PV</v>
      </c>
      <c r="CU53" s="177">
        <f t="shared" si="3"/>
        <v>0</v>
      </c>
      <c r="CV53" s="177" t="str">
        <f t="shared" si="1"/>
        <v>PV</v>
      </c>
      <c r="CW53" s="177">
        <f t="shared" si="4"/>
        <v>0</v>
      </c>
      <c r="CX53" s="177" t="str">
        <f t="shared" si="1"/>
        <v>PV</v>
      </c>
      <c r="CY53" s="177">
        <f t="shared" si="5"/>
        <v>0</v>
      </c>
      <c r="CZ53" s="177" t="str">
        <f t="shared" si="1"/>
        <v>PV</v>
      </c>
      <c r="DA53" s="177">
        <f t="shared" si="6"/>
        <v>0</v>
      </c>
      <c r="DB53" s="177" t="str">
        <f t="shared" si="32"/>
        <v>HR</v>
      </c>
      <c r="DC53" s="177" t="str">
        <f t="shared" si="7"/>
        <v>HR-</v>
      </c>
      <c r="DD53" s="177" t="str">
        <f t="shared" si="8"/>
        <v>PV</v>
      </c>
      <c r="DE53" s="177">
        <f t="shared" si="9"/>
        <v>0</v>
      </c>
      <c r="DK53" s="136" t="str">
        <f t="shared" si="10"/>
        <v>MAIAC</v>
      </c>
      <c r="DN53" t="str">
        <f t="shared" ref="DN53:DN56" si="50">DN52</f>
        <v>MA</v>
      </c>
      <c r="DO53" t="str">
        <f t="shared" si="49"/>
        <v>IAC</v>
      </c>
      <c r="DP53" t="str">
        <f t="shared" si="11"/>
        <v>MA</v>
      </c>
    </row>
    <row r="54" spans="1:120" ht="18" customHeight="1" x14ac:dyDescent="0.3">
      <c r="A54" s="81">
        <v>0.93750000000002998</v>
      </c>
      <c r="B54" s="166" t="s">
        <v>116</v>
      </c>
      <c r="C54" s="130"/>
      <c r="D54" s="169" t="s">
        <v>116</v>
      </c>
      <c r="E54" s="130"/>
      <c r="F54" s="169" t="s">
        <v>116</v>
      </c>
      <c r="G54" s="130"/>
      <c r="H54" s="169" t="s">
        <v>116</v>
      </c>
      <c r="I54" s="130"/>
      <c r="J54" s="169" t="s">
        <v>116</v>
      </c>
      <c r="K54" s="130"/>
      <c r="L54" s="169" t="s">
        <v>12</v>
      </c>
      <c r="M54" s="130" t="s">
        <v>120</v>
      </c>
      <c r="N54" s="169" t="s">
        <v>116</v>
      </c>
      <c r="O54" s="154"/>
      <c r="P54" s="6">
        <v>0.2</v>
      </c>
      <c r="Q54" s="86" t="str">
        <f>IF('INFO BASE'!$C$27="","",'INFO BASE'!$C$27)</f>
        <v>Deslocação</v>
      </c>
      <c r="R54" s="87" t="str">
        <f>IFERROR(VLOOKUP(Q54,'INFO BASE'!$C$17:$D$29,2,0),"")</f>
        <v>HD</v>
      </c>
      <c r="S54" s="88">
        <f t="shared" si="47"/>
        <v>0.30000000000000004</v>
      </c>
      <c r="T54" s="89">
        <f>IF(VLOOKUP(Q54,'INFO BASE'!$B$40:$I$54,IF(R54='INFO BASE'!$B$32,3,IF(R54='INFO BASE'!$B$33,4,IF(R54='INFO BASE'!$B$34,5,IF(R54='INFO BASE'!$B$35,6,IF(R54='INFO BASE'!$B$36,7,IF(R54='INFO BASE'!$B$37,8,2)))))),0)=0,"",VLOOKUP(Q54,'INFO BASE'!$B$40:$I$54,IF(R54='INFO BASE'!$B$32,3,IF(R54='INFO BASE'!$B$33,4,IF(R54='INFO BASE'!$B$34,5,IF(R54='INFO BASE'!$B$35,6,IF(R54='INFO BASE'!$B$36,7,IF(R54='INFO BASE'!$B$37,8,2)))))),0))</f>
        <v>10</v>
      </c>
      <c r="U54" s="89">
        <f t="shared" si="48"/>
        <v>13</v>
      </c>
      <c r="V54" s="89">
        <f>IF(R54="","",COUNTIFS(AI9:AV56,R54)*0.5)</f>
        <v>14.5</v>
      </c>
      <c r="W54" s="90">
        <f>IF(AH5="","-",IF(V54=0,U54,IFERROR((U54/V54)-1,"-")))</f>
        <v>-0.10344827586206895</v>
      </c>
      <c r="X54" s="203">
        <f t="shared" si="21"/>
        <v>0</v>
      </c>
      <c r="Y54" s="271"/>
      <c r="Z54" s="272"/>
      <c r="AA54" s="272"/>
      <c r="AB54" s="272"/>
      <c r="AC54" s="272"/>
      <c r="AD54" s="272"/>
      <c r="AE54" s="272"/>
      <c r="AF54" s="273"/>
      <c r="AH54" s="136">
        <v>0.93750000000002998</v>
      </c>
      <c r="AI54" s="136" t="s">
        <v>116</v>
      </c>
      <c r="AJ54" s="136" t="s">
        <v>235</v>
      </c>
      <c r="AK54" s="136" t="s">
        <v>116</v>
      </c>
      <c r="AL54" s="136" t="s">
        <v>235</v>
      </c>
      <c r="AM54" s="136" t="s">
        <v>116</v>
      </c>
      <c r="AN54" s="136" t="s">
        <v>235</v>
      </c>
      <c r="AO54" s="136" t="s">
        <v>116</v>
      </c>
      <c r="AP54" s="136" t="s">
        <v>235</v>
      </c>
      <c r="AQ54" s="136" t="s">
        <v>116</v>
      </c>
      <c r="AR54" s="136" t="s">
        <v>235</v>
      </c>
      <c r="AS54" s="136" t="s">
        <v>12</v>
      </c>
      <c r="AT54" s="136" t="s">
        <v>120</v>
      </c>
      <c r="AU54" s="136" t="s">
        <v>116</v>
      </c>
      <c r="AV54" s="136" t="s">
        <v>235</v>
      </c>
      <c r="AX54" s="136" t="str">
        <f>IF(AI5="","",IF(B54="","",B54))</f>
        <v>PV</v>
      </c>
      <c r="AY54" s="136" t="str">
        <f>IF(AI5="","",IF(C54="","",C54))</f>
        <v/>
      </c>
      <c r="AZ54" s="136" t="str">
        <f>IF(AI5="","",IF(D54="","",D54))</f>
        <v>PV</v>
      </c>
      <c r="BA54" s="136" t="str">
        <f>IF(AI5="","",IF(E54="","",E54))</f>
        <v/>
      </c>
      <c r="BB54" s="136" t="str">
        <f>IF(AI5="","",IF(F54="","",F54))</f>
        <v>PV</v>
      </c>
      <c r="BC54" s="136" t="str">
        <f>IF(AI5="","",IF(G54="","",G54))</f>
        <v/>
      </c>
      <c r="BD54" s="136" t="str">
        <f>IF(AI5="","",IF(H54="","",H54))</f>
        <v>PV</v>
      </c>
      <c r="BE54" s="136" t="str">
        <f>IF(AI5="","",IF(I54="","",I54))</f>
        <v/>
      </c>
      <c r="BF54" s="136" t="str">
        <f>IF(AI5="","",IF(J54="","",J54))</f>
        <v>PV</v>
      </c>
      <c r="BG54" s="136" t="str">
        <f>IF(AI5="","",IF(K54="","",K54))</f>
        <v/>
      </c>
      <c r="BH54" s="136" t="str">
        <f>IF(AI5="","",IF(L54="","",L54))</f>
        <v>HR</v>
      </c>
      <c r="BI54" s="136" t="str">
        <f>IF(AI5="","",IF(M54="","",M54))</f>
        <v>-</v>
      </c>
      <c r="BJ54" s="136" t="str">
        <f>IF(AI5="","",IF(N54="","",N54))</f>
        <v>PV</v>
      </c>
      <c r="BK54" s="136" t="str">
        <f>IF(AI5="","",IF(O54="","",O54))</f>
        <v/>
      </c>
      <c r="BP54" s="136" t="str">
        <f>IF(BO54="","",COUNTIFS(AX9:BK56,BO54)*0.5)</f>
        <v/>
      </c>
      <c r="BZ54" s="280"/>
      <c r="CA54" s="183" t="str">
        <f>'INFO BASE'!L117</f>
        <v>-</v>
      </c>
      <c r="CB54" s="183" t="str">
        <f>'INFO BASE'!M117</f>
        <v/>
      </c>
      <c r="CR54" s="177" t="str">
        <f t="shared" si="1"/>
        <v>PV</v>
      </c>
      <c r="CS54" s="177">
        <f t="shared" si="2"/>
        <v>0</v>
      </c>
      <c r="CT54" s="177" t="str">
        <f t="shared" si="1"/>
        <v>PV</v>
      </c>
      <c r="CU54" s="177">
        <f t="shared" si="3"/>
        <v>0</v>
      </c>
      <c r="CV54" s="177" t="str">
        <f t="shared" si="1"/>
        <v>PV</v>
      </c>
      <c r="CW54" s="177">
        <f t="shared" si="4"/>
        <v>0</v>
      </c>
      <c r="CX54" s="177" t="str">
        <f t="shared" si="1"/>
        <v>PV</v>
      </c>
      <c r="CY54" s="177">
        <f t="shared" si="5"/>
        <v>0</v>
      </c>
      <c r="CZ54" s="177" t="str">
        <f t="shared" si="1"/>
        <v>PV</v>
      </c>
      <c r="DA54" s="177">
        <f t="shared" si="6"/>
        <v>0</v>
      </c>
      <c r="DB54" s="177" t="str">
        <f t="shared" si="32"/>
        <v>HR</v>
      </c>
      <c r="DC54" s="177" t="str">
        <f t="shared" si="7"/>
        <v>HR-</v>
      </c>
      <c r="DD54" s="177" t="str">
        <f t="shared" si="8"/>
        <v>PV</v>
      </c>
      <c r="DE54" s="177">
        <f t="shared" si="9"/>
        <v>0</v>
      </c>
      <c r="DK54" s="136" t="str">
        <f t="shared" si="10"/>
        <v>MAAL</v>
      </c>
      <c r="DN54" t="str">
        <f t="shared" si="50"/>
        <v>MA</v>
      </c>
      <c r="DO54" t="str">
        <f t="shared" si="49"/>
        <v>AL</v>
      </c>
      <c r="DP54" t="str">
        <f t="shared" si="11"/>
        <v>MA</v>
      </c>
    </row>
    <row r="55" spans="1:120" ht="18" customHeight="1" x14ac:dyDescent="0.3">
      <c r="A55" s="81">
        <v>0.95833333333336401</v>
      </c>
      <c r="B55" s="166" t="s">
        <v>10</v>
      </c>
      <c r="C55" s="130" t="s">
        <v>120</v>
      </c>
      <c r="D55" s="169" t="s">
        <v>10</v>
      </c>
      <c r="E55" s="130" t="s">
        <v>120</v>
      </c>
      <c r="F55" s="169" t="s">
        <v>10</v>
      </c>
      <c r="G55" s="130" t="s">
        <v>120</v>
      </c>
      <c r="H55" s="169" t="s">
        <v>10</v>
      </c>
      <c r="I55" s="130" t="s">
        <v>120</v>
      </c>
      <c r="J55" s="169" t="s">
        <v>116</v>
      </c>
      <c r="K55" s="130"/>
      <c r="L55" s="169" t="s">
        <v>12</v>
      </c>
      <c r="M55" s="130" t="s">
        <v>120</v>
      </c>
      <c r="N55" s="169" t="s">
        <v>10</v>
      </c>
      <c r="O55" s="154" t="s">
        <v>120</v>
      </c>
      <c r="P55" s="6">
        <v>0.2</v>
      </c>
      <c r="Q55" s="91" t="str">
        <f>IF('INFO BASE'!$C$28="","",'INFO BASE'!$C$28)</f>
        <v>Refeição</v>
      </c>
      <c r="R55" s="87" t="str">
        <f>IFERROR(VLOOKUP(Q55,'INFO BASE'!$C$17:$D$29,2,0),"")</f>
        <v>HR</v>
      </c>
      <c r="S55" s="88">
        <f t="shared" si="47"/>
        <v>6.6666666666666652E-2</v>
      </c>
      <c r="T55" s="89">
        <f>IF(VLOOKUP(Q55,'INFO BASE'!$B$40:$I$54,IF(R55='INFO BASE'!$B$32,3,IF(R55='INFO BASE'!$B$33,4,IF(R55='INFO BASE'!$B$34,5,IF(R55='INFO BASE'!$B$35,6,IF(R55='INFO BASE'!$B$36,7,IF(R55='INFO BASE'!$B$37,8,2)))))),0)=0,"",VLOOKUP(Q55,'INFO BASE'!$B$40:$I$54,IF(R55='INFO BASE'!$B$32,3,IF(R55='INFO BASE'!$B$33,4,IF(R55='INFO BASE'!$B$34,5,IF(R55='INFO BASE'!$B$35,6,IF(R55='INFO BASE'!$B$36,7,IF(R55='INFO BASE'!$B$37,8,2)))))),0))</f>
        <v>15</v>
      </c>
      <c r="U55" s="89">
        <f t="shared" si="48"/>
        <v>16</v>
      </c>
      <c r="V55" s="89">
        <f>IF(R55="","",COUNTIFS(AI9:AV56,R55)*0.5)</f>
        <v>16</v>
      </c>
      <c r="W55" s="90">
        <f>IF(AH5="","-",IF(V55=0,U55,IFERROR((U55/V55)-1,"-")))</f>
        <v>0</v>
      </c>
      <c r="X55" s="204">
        <f t="shared" si="21"/>
        <v>0</v>
      </c>
      <c r="Y55" s="271"/>
      <c r="Z55" s="272"/>
      <c r="AA55" s="272"/>
      <c r="AB55" s="272"/>
      <c r="AC55" s="272"/>
      <c r="AD55" s="272"/>
      <c r="AE55" s="272"/>
      <c r="AF55" s="273"/>
      <c r="AH55" s="136">
        <v>0.95833333333336401</v>
      </c>
      <c r="AI55" s="136" t="s">
        <v>10</v>
      </c>
      <c r="AJ55" s="136" t="s">
        <v>120</v>
      </c>
      <c r="AK55" s="136" t="s">
        <v>10</v>
      </c>
      <c r="AL55" s="136" t="s">
        <v>120</v>
      </c>
      <c r="AM55" s="136" t="s">
        <v>10</v>
      </c>
      <c r="AN55" s="136" t="s">
        <v>120</v>
      </c>
      <c r="AO55" s="136" t="s">
        <v>10</v>
      </c>
      <c r="AP55" s="136" t="s">
        <v>120</v>
      </c>
      <c r="AQ55" s="136" t="s">
        <v>116</v>
      </c>
      <c r="AR55" s="136" t="s">
        <v>235</v>
      </c>
      <c r="AS55" s="136" t="s">
        <v>12</v>
      </c>
      <c r="AT55" s="136" t="s">
        <v>120</v>
      </c>
      <c r="AU55" s="136" t="s">
        <v>10</v>
      </c>
      <c r="AV55" s="136" t="s">
        <v>120</v>
      </c>
      <c r="AX55" s="136" t="str">
        <f>IF(AI5="","",IF(B55="","",B55))</f>
        <v>HS</v>
      </c>
      <c r="AY55" s="136" t="str">
        <f>IF(AI5="","",IF(C55="","",C55))</f>
        <v>-</v>
      </c>
      <c r="AZ55" s="136" t="str">
        <f>IF(AI5="","",IF(D55="","",D55))</f>
        <v>HS</v>
      </c>
      <c r="BA55" s="136" t="str">
        <f>IF(AI5="","",IF(E55="","",E55))</f>
        <v>-</v>
      </c>
      <c r="BB55" s="136" t="str">
        <f>IF(AI5="","",IF(F55="","",F55))</f>
        <v>HS</v>
      </c>
      <c r="BC55" s="136" t="str">
        <f>IF(AI5="","",IF(G55="","",G55))</f>
        <v>-</v>
      </c>
      <c r="BD55" s="136" t="str">
        <f>IF(AI5="","",IF(H55="","",H55))</f>
        <v>HS</v>
      </c>
      <c r="BE55" s="136" t="str">
        <f>IF(AI5="","",IF(I55="","",I55))</f>
        <v>-</v>
      </c>
      <c r="BF55" s="136" t="str">
        <f>IF(AI5="","",IF(J55="","",J55))</f>
        <v>PV</v>
      </c>
      <c r="BG55" s="136" t="str">
        <f>IF(AI5="","",IF(K55="","",K55))</f>
        <v/>
      </c>
      <c r="BH55" s="136" t="str">
        <f>IF(AI5="","",IF(L55="","",L55))</f>
        <v>HR</v>
      </c>
      <c r="BI55" s="136" t="str">
        <f>IF(AI5="","",IF(M55="","",M55))</f>
        <v>-</v>
      </c>
      <c r="BJ55" s="136" t="str">
        <f>IF(AI5="","",IF(N55="","",N55))</f>
        <v>HS</v>
      </c>
      <c r="BK55" s="136" t="str">
        <f>IF(AI5="","",IF(O55="","",O55))</f>
        <v>-</v>
      </c>
      <c r="BP55" s="136" t="str">
        <f>IF(BO55="","",COUNTIFS(AX9:BK56,BO55)*0.5)</f>
        <v/>
      </c>
      <c r="BZ55" s="280"/>
      <c r="CA55" s="183" t="str">
        <f>'INFO BASE'!L118</f>
        <v>-</v>
      </c>
      <c r="CB55" s="183" t="str">
        <f>'INFO BASE'!M118</f>
        <v/>
      </c>
      <c r="CR55" s="177" t="str">
        <f t="shared" si="1"/>
        <v>HS</v>
      </c>
      <c r="CS55" s="177" t="str">
        <f t="shared" si="2"/>
        <v>HS-</v>
      </c>
      <c r="CT55" s="177" t="str">
        <f t="shared" si="1"/>
        <v>HS</v>
      </c>
      <c r="CU55" s="177" t="str">
        <f t="shared" si="3"/>
        <v>HS-</v>
      </c>
      <c r="CV55" s="177" t="str">
        <f t="shared" si="1"/>
        <v>HS</v>
      </c>
      <c r="CW55" s="177" t="str">
        <f t="shared" si="4"/>
        <v>HS-</v>
      </c>
      <c r="CX55" s="177" t="str">
        <f t="shared" si="1"/>
        <v>HS</v>
      </c>
      <c r="CY55" s="177" t="str">
        <f t="shared" si="5"/>
        <v>HS-</v>
      </c>
      <c r="CZ55" s="177" t="str">
        <f t="shared" si="1"/>
        <v>PV</v>
      </c>
      <c r="DA55" s="177">
        <f t="shared" si="6"/>
        <v>0</v>
      </c>
      <c r="DB55" s="177" t="str">
        <f t="shared" si="32"/>
        <v>HR</v>
      </c>
      <c r="DC55" s="177" t="str">
        <f t="shared" si="7"/>
        <v>HR-</v>
      </c>
      <c r="DD55" s="177" t="str">
        <f t="shared" si="8"/>
        <v>HS</v>
      </c>
      <c r="DE55" s="177" t="str">
        <f t="shared" si="9"/>
        <v>HS-</v>
      </c>
      <c r="DK55" s="136" t="str">
        <f t="shared" si="10"/>
        <v>MACDI</v>
      </c>
      <c r="DN55" t="str">
        <f t="shared" si="50"/>
        <v>MA</v>
      </c>
      <c r="DO55" t="str">
        <f t="shared" si="49"/>
        <v>CDI</v>
      </c>
      <c r="DP55" t="str">
        <f t="shared" si="11"/>
        <v>MA</v>
      </c>
    </row>
    <row r="56" spans="1:120" ht="18" customHeight="1" thickBot="1" x14ac:dyDescent="0.35">
      <c r="A56" s="180">
        <v>0.97916666666669805</v>
      </c>
      <c r="B56" s="167" t="s">
        <v>10</v>
      </c>
      <c r="C56" s="156" t="s">
        <v>120</v>
      </c>
      <c r="D56" s="170" t="s">
        <v>10</v>
      </c>
      <c r="E56" s="156" t="s">
        <v>120</v>
      </c>
      <c r="F56" s="170" t="s">
        <v>10</v>
      </c>
      <c r="G56" s="156" t="s">
        <v>120</v>
      </c>
      <c r="H56" s="170" t="s">
        <v>10</v>
      </c>
      <c r="I56" s="156" t="s">
        <v>120</v>
      </c>
      <c r="J56" s="170" t="s">
        <v>116</v>
      </c>
      <c r="K56" s="156"/>
      <c r="L56" s="170" t="s">
        <v>12</v>
      </c>
      <c r="M56" s="156" t="s">
        <v>120</v>
      </c>
      <c r="N56" s="170" t="s">
        <v>10</v>
      </c>
      <c r="O56" s="158" t="s">
        <v>120</v>
      </c>
      <c r="P56" s="6">
        <v>0.2</v>
      </c>
      <c r="Q56" s="92" t="str">
        <f>IF('INFO BASE'!$C$29="","",'INFO BASE'!$C$29)</f>
        <v>Sono</v>
      </c>
      <c r="R56" s="93" t="str">
        <f>IFERROR(VLOOKUP(Q56,'INFO BASE'!$C$17:$D$29,2,0),"")</f>
        <v>HS</v>
      </c>
      <c r="S56" s="94">
        <f t="shared" si="47"/>
        <v>5.1020408163265252E-2</v>
      </c>
      <c r="T56" s="95">
        <f>IF(VLOOKUP(Q56,'INFO BASE'!$B$40:$I$54,IF(R56='INFO BASE'!$B$32,3,IF(R56='INFO BASE'!$B$33,4,IF(R56='INFO BASE'!$B$34,5,IF(R56='INFO BASE'!$B$35,6,IF(R56='INFO BASE'!$B$36,7,IF(R56='INFO BASE'!$B$37,8,2)))))),0)=0,"",VLOOKUP(Q56,'INFO BASE'!$B$40:$I$54,IF(R56='INFO BASE'!$B$32,3,IF(R56='INFO BASE'!$B$33,4,IF(R56='INFO BASE'!$B$34,5,IF(R56='INFO BASE'!$B$35,6,IF(R56='INFO BASE'!$B$36,7,IF(R56='INFO BASE'!$B$37,8,2)))))),0))</f>
        <v>49</v>
      </c>
      <c r="U56" s="95">
        <f t="shared" si="48"/>
        <v>51.5</v>
      </c>
      <c r="V56" s="95">
        <f>IF(R56="","",COUNTIFS(AI9:AV56,R56)*0.5)</f>
        <v>51.5</v>
      </c>
      <c r="W56" s="96">
        <f>IF(AH5="","-",IF(V56=0,U56,IFERROR((U56/V56)-1,"-")))</f>
        <v>0</v>
      </c>
      <c r="X56" s="204">
        <f t="shared" si="21"/>
        <v>0</v>
      </c>
      <c r="Y56" s="274"/>
      <c r="Z56" s="275"/>
      <c r="AA56" s="275"/>
      <c r="AB56" s="275"/>
      <c r="AC56" s="275"/>
      <c r="AD56" s="275"/>
      <c r="AE56" s="275"/>
      <c r="AF56" s="276"/>
      <c r="AH56" s="136">
        <v>0.97916666666669805</v>
      </c>
      <c r="AI56" s="136" t="s">
        <v>10</v>
      </c>
      <c r="AJ56" s="136" t="s">
        <v>120</v>
      </c>
      <c r="AK56" s="136" t="s">
        <v>10</v>
      </c>
      <c r="AL56" s="136" t="s">
        <v>120</v>
      </c>
      <c r="AM56" s="136" t="s">
        <v>10</v>
      </c>
      <c r="AN56" s="136" t="s">
        <v>120</v>
      </c>
      <c r="AO56" s="136" t="s">
        <v>10</v>
      </c>
      <c r="AP56" s="136" t="s">
        <v>120</v>
      </c>
      <c r="AQ56" s="136" t="s">
        <v>116</v>
      </c>
      <c r="AR56" s="136" t="s">
        <v>235</v>
      </c>
      <c r="AS56" s="136" t="s">
        <v>12</v>
      </c>
      <c r="AT56" s="136" t="s">
        <v>120</v>
      </c>
      <c r="AU56" s="136" t="s">
        <v>10</v>
      </c>
      <c r="AV56" s="136" t="s">
        <v>120</v>
      </c>
      <c r="AX56" s="136" t="str">
        <f>IF(AI5="","",IF(B56="","",B56))</f>
        <v>HS</v>
      </c>
      <c r="AY56" s="136" t="str">
        <f>IF(AI5="","",IF(C56="","",C56))</f>
        <v>-</v>
      </c>
      <c r="AZ56" s="136" t="str">
        <f>IF(AI5="","",IF(D56="","",D56))</f>
        <v>HS</v>
      </c>
      <c r="BA56" s="136" t="str">
        <f>IF(AI5="","",IF(E56="","",E56))</f>
        <v>-</v>
      </c>
      <c r="BB56" s="136" t="str">
        <f>IF(AI5="","",IF(F56="","",F56))</f>
        <v>HS</v>
      </c>
      <c r="BC56" s="136" t="str">
        <f>IF(AI5="","",IF(G56="","",G56))</f>
        <v>-</v>
      </c>
      <c r="BD56" s="136" t="str">
        <f>IF(AI5="","",IF(H56="","",H56))</f>
        <v>HS</v>
      </c>
      <c r="BE56" s="136" t="str">
        <f>IF(AI5="","",IF(I56="","",I56))</f>
        <v>-</v>
      </c>
      <c r="BF56" s="136" t="str">
        <f>IF(AI5="","",IF(J56="","",J56))</f>
        <v>PV</v>
      </c>
      <c r="BG56" s="136" t="str">
        <f>IF(AI5="","",IF(K56="","",K56))</f>
        <v/>
      </c>
      <c r="BH56" s="136" t="str">
        <f>IF(AI5="","",IF(L56="","",L56))</f>
        <v>HR</v>
      </c>
      <c r="BI56" s="136" t="str">
        <f>IF(AI5="","",IF(M56="","",M56))</f>
        <v>-</v>
      </c>
      <c r="BJ56" s="136" t="str">
        <f>IF(AI5="","",IF(N56="","",N56))</f>
        <v>HS</v>
      </c>
      <c r="BK56" s="136" t="str">
        <f>IF(AI5="","",IF(O56="","",O56))</f>
        <v>-</v>
      </c>
      <c r="BP56" s="136" t="str">
        <f>IF(BO56="","",COUNTIFS(AX9:BK56,BO56)*0.5)</f>
        <v/>
      </c>
      <c r="BZ56" s="280"/>
      <c r="CA56" s="183" t="str">
        <f>'INFO BASE'!L119</f>
        <v>-</v>
      </c>
      <c r="CB56" s="183" t="str">
        <f>'INFO BASE'!M119</f>
        <v/>
      </c>
      <c r="CR56" s="177" t="str">
        <f t="shared" si="1"/>
        <v>HS</v>
      </c>
      <c r="CS56" s="177" t="str">
        <f t="shared" si="2"/>
        <v>HS-</v>
      </c>
      <c r="CT56" s="177" t="str">
        <f t="shared" si="1"/>
        <v>HS</v>
      </c>
      <c r="CU56" s="177" t="str">
        <f t="shared" si="3"/>
        <v>HS-</v>
      </c>
      <c r="CV56" s="177" t="str">
        <f t="shared" si="1"/>
        <v>HS</v>
      </c>
      <c r="CW56" s="177" t="str">
        <f t="shared" si="4"/>
        <v>HS-</v>
      </c>
      <c r="CX56" s="177" t="str">
        <f t="shared" si="1"/>
        <v>HS</v>
      </c>
      <c r="CY56" s="177" t="str">
        <f t="shared" si="5"/>
        <v>HS-</v>
      </c>
      <c r="CZ56" s="177" t="str">
        <f t="shared" si="1"/>
        <v>PV</v>
      </c>
      <c r="DA56" s="177">
        <f t="shared" si="6"/>
        <v>0</v>
      </c>
      <c r="DB56" s="177" t="str">
        <f t="shared" si="32"/>
        <v>HR</v>
      </c>
      <c r="DC56" s="177" t="str">
        <f t="shared" si="7"/>
        <v>HR-</v>
      </c>
      <c r="DD56" s="177" t="str">
        <f t="shared" si="8"/>
        <v>HS</v>
      </c>
      <c r="DE56" s="177" t="str">
        <f t="shared" si="9"/>
        <v>HS-</v>
      </c>
      <c r="DK56" s="136" t="str">
        <f t="shared" si="10"/>
        <v>MA0</v>
      </c>
      <c r="DN56" t="str">
        <f t="shared" si="50"/>
        <v>MA</v>
      </c>
      <c r="DO56">
        <f t="shared" si="49"/>
        <v>0</v>
      </c>
      <c r="DP56" t="str">
        <f t="shared" si="11"/>
        <v>MA</v>
      </c>
    </row>
    <row r="57" spans="1:120" s="139" customFormat="1" ht="16.5" customHeight="1" thickTop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207"/>
      <c r="R57" s="207"/>
      <c r="S57" s="207"/>
      <c r="T57" s="207"/>
      <c r="U57" s="6"/>
      <c r="V57" s="6"/>
      <c r="W57" s="6"/>
      <c r="X57" s="7">
        <v>1</v>
      </c>
      <c r="Y57" s="6">
        <f>COUNTA(Y20:AF56)</f>
        <v>6</v>
      </c>
      <c r="Z57" s="6">
        <f>SUM(X20:X56)</f>
        <v>6</v>
      </c>
      <c r="AA57" s="6">
        <f>IF(Z57&gt;Y57,"ERRO",0)</f>
        <v>0</v>
      </c>
      <c r="AB57" s="6"/>
      <c r="AC57" s="6"/>
      <c r="AD57" s="6"/>
      <c r="AE57" s="207"/>
      <c r="AF57" s="207"/>
      <c r="AG57" s="6"/>
      <c r="BM57" s="136"/>
      <c r="BN57" s="136"/>
      <c r="BO57" s="136"/>
      <c r="BP57" s="136"/>
      <c r="BQ57" s="136"/>
      <c r="BR57" s="136"/>
      <c r="BS57" s="136"/>
      <c r="BT57" s="136"/>
      <c r="BU57" s="136"/>
      <c r="BZ57" s="280"/>
      <c r="CA57" s="206" t="str">
        <f>'INFO BASE'!L120</f>
        <v>-</v>
      </c>
      <c r="CB57" s="206" t="str">
        <f>'INFO BASE'!M120</f>
        <v/>
      </c>
      <c r="DK57" s="139" t="str">
        <f t="shared" si="10"/>
        <v>HDVFP</v>
      </c>
      <c r="DN57" s="194" t="str">
        <f>'INFO BASE'!B25</f>
        <v>HDV</v>
      </c>
      <c r="DO57" s="194" t="str">
        <f>DO51</f>
        <v>FP</v>
      </c>
      <c r="DP57" s="194" t="str">
        <f t="shared" si="11"/>
        <v>HDV</v>
      </c>
    </row>
    <row r="58" spans="1:120" s="139" customFormat="1" ht="16.5" customHeight="1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208"/>
      <c r="R58" s="208"/>
      <c r="S58" s="208"/>
      <c r="T58" s="207"/>
      <c r="U58" s="6"/>
      <c r="V58" s="6"/>
      <c r="W58" s="6"/>
      <c r="X58" s="7">
        <v>1</v>
      </c>
      <c r="Y58" s="6" t="s">
        <v>220</v>
      </c>
      <c r="Z58" s="6" t="s">
        <v>219</v>
      </c>
      <c r="AA58" s="6" t="s">
        <v>221</v>
      </c>
      <c r="AB58" s="6"/>
      <c r="AC58" s="6"/>
      <c r="AD58" s="6"/>
      <c r="AE58" s="209"/>
      <c r="AF58" s="209"/>
      <c r="AG58" s="6"/>
      <c r="BM58" s="136"/>
      <c r="BN58" s="136"/>
      <c r="BO58" s="136"/>
      <c r="BP58" s="136"/>
      <c r="BQ58" s="136"/>
      <c r="BR58" s="136"/>
      <c r="BS58" s="136"/>
      <c r="BT58" s="136"/>
      <c r="BU58" s="136"/>
      <c r="BZ58" s="280"/>
      <c r="CA58" s="206" t="str">
        <f>'INFO BASE'!L121</f>
        <v>-</v>
      </c>
      <c r="CB58" s="206" t="str">
        <f>'INFO BASE'!M121</f>
        <v/>
      </c>
      <c r="DK58" s="139" t="str">
        <f t="shared" si="10"/>
        <v>HDVIEI</v>
      </c>
      <c r="DN58" s="194" t="str">
        <f>DN57</f>
        <v>HDV</v>
      </c>
      <c r="DO58" s="194" t="str">
        <f t="shared" si="49"/>
        <v>IEI</v>
      </c>
      <c r="DP58" s="194" t="str">
        <f t="shared" si="11"/>
        <v>HDV</v>
      </c>
    </row>
    <row r="59" spans="1:120" ht="16.5" customHeight="1" x14ac:dyDescent="0.3">
      <c r="A59" s="2"/>
      <c r="Q59" s="147"/>
      <c r="R59" s="147"/>
      <c r="S59" s="147"/>
      <c r="T59" s="59"/>
      <c r="X59" s="7">
        <v>1</v>
      </c>
      <c r="AE59" s="148"/>
      <c r="AF59" s="148"/>
      <c r="BZ59" s="280"/>
      <c r="CA59" s="183" t="str">
        <f>'INFO BASE'!L122</f>
        <v>-</v>
      </c>
      <c r="CB59" s="183" t="str">
        <f>'INFO BASE'!M122</f>
        <v/>
      </c>
      <c r="DK59" s="136" t="str">
        <f t="shared" si="10"/>
        <v>HDVIAC</v>
      </c>
      <c r="DN59" t="str">
        <f t="shared" ref="DN59:DN62" si="51">DN58</f>
        <v>HDV</v>
      </c>
      <c r="DO59" t="str">
        <f t="shared" si="49"/>
        <v>IAC</v>
      </c>
      <c r="DP59" t="str">
        <f t="shared" si="11"/>
        <v>HDV</v>
      </c>
    </row>
    <row r="60" spans="1:120" ht="17.25" customHeight="1" thickBot="1" x14ac:dyDescent="0.35">
      <c r="A60" s="14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97"/>
      <c r="Q60" s="10"/>
      <c r="R60" s="10"/>
      <c r="S60" s="10"/>
      <c r="T60" s="10"/>
      <c r="U60" s="5"/>
      <c r="V60" s="5"/>
      <c r="W60" s="5"/>
      <c r="X60" s="7">
        <v>1</v>
      </c>
      <c r="Y60" s="5"/>
      <c r="Z60" s="5"/>
      <c r="AA60" s="5"/>
      <c r="AB60" s="5"/>
      <c r="AC60" s="5"/>
      <c r="AD60" s="5"/>
      <c r="AE60" s="5"/>
      <c r="AF60" s="5"/>
      <c r="AG60" s="5"/>
      <c r="BZ60" s="280"/>
      <c r="CA60" s="183" t="str">
        <f>'INFO BASE'!L123</f>
        <v>-</v>
      </c>
      <c r="CB60" s="183" t="str">
        <f>'INFO BASE'!M123</f>
        <v/>
      </c>
      <c r="DK60" s="136" t="str">
        <f t="shared" si="10"/>
        <v>HDVAL</v>
      </c>
      <c r="DN60" t="str">
        <f t="shared" si="51"/>
        <v>HDV</v>
      </c>
      <c r="DO60" t="str">
        <f t="shared" si="49"/>
        <v>AL</v>
      </c>
      <c r="DP60" t="str">
        <f t="shared" si="11"/>
        <v>HDV</v>
      </c>
    </row>
    <row r="61" spans="1:120" ht="38.25" customHeight="1" thickTop="1" thickBot="1" x14ac:dyDescent="0.35">
      <c r="A61" s="311" t="str">
        <f>IF(LEN(A4)=8,CONCATENATE("SEMANA ",RIGHT(A4,1)+1),CONCATENATE("SEMANA ",RIGHT(A4,2)+1))</f>
        <v>SEMANA 2</v>
      </c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3"/>
      <c r="AG61" s="12"/>
      <c r="BZ61" s="280"/>
      <c r="CA61" s="183" t="str">
        <f>'INFO BASE'!L124</f>
        <v>-</v>
      </c>
      <c r="CB61" s="183" t="str">
        <f>'INFO BASE'!M124</f>
        <v/>
      </c>
      <c r="DK61" s="136" t="str">
        <f t="shared" si="10"/>
        <v>HDVCDI</v>
      </c>
      <c r="DN61" t="str">
        <f t="shared" si="51"/>
        <v>HDV</v>
      </c>
      <c r="DO61" t="str">
        <f t="shared" si="49"/>
        <v>CDI</v>
      </c>
      <c r="DP61" t="str">
        <f t="shared" si="11"/>
        <v>HDV</v>
      </c>
    </row>
    <row r="62" spans="1:120" ht="9" customHeight="1" thickTop="1" thickBot="1" x14ac:dyDescent="0.35">
      <c r="A62" s="139"/>
      <c r="B62" s="139"/>
      <c r="C62" s="140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41">
        <v>1</v>
      </c>
      <c r="Y62" s="139"/>
      <c r="Z62" s="139"/>
      <c r="AA62" s="139"/>
      <c r="AB62" s="139"/>
      <c r="AC62" s="139"/>
      <c r="AD62" s="139"/>
      <c r="AE62" s="139"/>
      <c r="AF62" s="139"/>
      <c r="AG62" s="139"/>
      <c r="AH62" s="144">
        <v>42274.940394097219</v>
      </c>
      <c r="AI62" s="144">
        <v>42274.944910532409</v>
      </c>
      <c r="BZ62" s="280"/>
      <c r="CA62" s="183" t="str">
        <f>'INFO BASE'!L125</f>
        <v>-</v>
      </c>
      <c r="CB62" s="183" t="str">
        <f>'INFO BASE'!M125</f>
        <v/>
      </c>
      <c r="DK62" s="136" t="str">
        <f t="shared" si="10"/>
        <v>HDV0</v>
      </c>
      <c r="DN62" t="str">
        <f t="shared" si="51"/>
        <v>HDV</v>
      </c>
      <c r="DO62">
        <f t="shared" si="49"/>
        <v>0</v>
      </c>
      <c r="DP62" t="str">
        <f t="shared" si="11"/>
        <v>HDV</v>
      </c>
    </row>
    <row r="63" spans="1:120" ht="30.75" customHeight="1" x14ac:dyDescent="0.3">
      <c r="A63" s="145"/>
      <c r="B63" s="314">
        <f>1-(CR63/673)</f>
        <v>1</v>
      </c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6"/>
      <c r="Q63" s="205">
        <f>IF(OR(Q66="Registe aqui o que considera serem as suas três principais prioridades para a semana
(Dica - para criar paragráfos Alt+Enter)",LEN(Q66)&lt;10),1,0)</f>
        <v>0</v>
      </c>
      <c r="X63" s="7">
        <v>1</v>
      </c>
      <c r="AM63" s="136" t="str">
        <f>CONCATENATE("PLANEAMENTO ",I63)</f>
        <v xml:space="preserve">PLANEAMENTO </v>
      </c>
      <c r="AX63" s="136">
        <f>IF(AI62="","",IF(B63="","",B63))</f>
        <v>1</v>
      </c>
      <c r="AY63" s="136" t="str">
        <f>IF(AI62="","",IF(C63="","",C63))</f>
        <v/>
      </c>
      <c r="AZ63" s="136" t="str">
        <f>IF(AI62="","",IF(D63="","",D63))</f>
        <v/>
      </c>
      <c r="BA63" s="136" t="str">
        <f>IF(AI62="","",IF(E63="","",E63))</f>
        <v/>
      </c>
      <c r="BB63" s="136" t="str">
        <f>IF(AI62="","",IF(F63="","",F63))</f>
        <v/>
      </c>
      <c r="BC63" s="136" t="str">
        <f>IF(AI62="","",IF(G63="","",G63))</f>
        <v/>
      </c>
      <c r="BD63" s="136" t="str">
        <f>IF(AI62="","",IF(H63="","",H63))</f>
        <v/>
      </c>
      <c r="BE63" s="136" t="str">
        <f>IF(AI62="","",IF(I63="","",I63))</f>
        <v/>
      </c>
      <c r="BF63" s="136" t="str">
        <f>IF(AI62="","",IF(J63="","",J63))</f>
        <v/>
      </c>
      <c r="BG63" s="136" t="str">
        <f>IF(AI62="","",IF(K63="","",K63))</f>
        <v/>
      </c>
      <c r="BH63" s="136" t="str">
        <f>IF(AI62="","",IF(L63="","",L63))</f>
        <v/>
      </c>
      <c r="BI63" s="136" t="str">
        <f>IF(AI62="","",IF(M63="","",M63))</f>
        <v/>
      </c>
      <c r="BJ63" s="136" t="str">
        <f>IF(AI62="","",IF(N63="","",N63))</f>
        <v/>
      </c>
      <c r="BK63" s="136" t="str">
        <f>IF(AI62="","",IF(O63="","",O63))</f>
        <v/>
      </c>
      <c r="BZ63" s="280"/>
      <c r="CA63" s="183" t="str">
        <f>'INFO BASE'!L126</f>
        <v>-</v>
      </c>
      <c r="CB63" s="183" t="str">
        <f>'INFO BASE'!M126</f>
        <v/>
      </c>
      <c r="CR63" s="136">
        <f>SUM(CR66:DE113,Q63)</f>
        <v>0</v>
      </c>
      <c r="CT63" s="179"/>
      <c r="DK63" s="136" t="str">
        <f t="shared" si="10"/>
        <v>PV0</v>
      </c>
      <c r="DN63" t="str">
        <f>'INFO BASE'!B26</f>
        <v>PV</v>
      </c>
      <c r="DO63">
        <f>'INFO BASE'!E32</f>
        <v>0</v>
      </c>
      <c r="DP63" t="str">
        <f t="shared" si="11"/>
        <v>PV</v>
      </c>
    </row>
    <row r="64" spans="1:120" ht="37.5" customHeight="1" thickBot="1" x14ac:dyDescent="0.35">
      <c r="A64" s="146"/>
      <c r="B64" s="330" t="str">
        <f>CONCATENATE("Segunda ",CHAR(10),TEXT(B65,"dd-mm-aaaa"))</f>
        <v>Segunda 
21-09-2015</v>
      </c>
      <c r="C64" s="317"/>
      <c r="D64" s="317" t="str">
        <f>CONCATENATE("Terça ",CHAR(10),TEXT(D65,"dd-mm-aaaa"))</f>
        <v>Terça 
22-09-2015</v>
      </c>
      <c r="E64" s="317"/>
      <c r="F64" s="317" t="str">
        <f>CONCATENATE("Quarta ",CHAR(10),TEXT(F65,"dd-mm-aaaa"))</f>
        <v>Quarta 
23-09-2015</v>
      </c>
      <c r="G64" s="317"/>
      <c r="H64" s="317" t="str">
        <f>CONCATENATE("Quinta ",CHAR(10),TEXT(H65,"dd-mm-aaaa"))</f>
        <v>Quinta 
24-09-2015</v>
      </c>
      <c r="I64" s="317"/>
      <c r="J64" s="317" t="str">
        <f>CONCATENATE("Sexta ",CHAR(10),TEXT(J65,"dd-mm-aaaa"))</f>
        <v>Sexta 
25-09-2015</v>
      </c>
      <c r="K64" s="317"/>
      <c r="L64" s="317" t="str">
        <f>CONCATENATE("Sábado ",CHAR(10),TEXT(L65,"dd-mm-aaaa"))</f>
        <v>Sábado 
26-09-2015</v>
      </c>
      <c r="M64" s="317"/>
      <c r="N64" s="317" t="str">
        <f>CONCATENATE("Domingo ",CHAR(10),TEXT(N65,"dd-mm-aaaa"))</f>
        <v>Domingo 
27-09-2015</v>
      </c>
      <c r="O64" s="329"/>
      <c r="Q64" s="55" t="str">
        <f>'INFO BASE'!$L$3</f>
        <v>PRIORIDADES PARA ESTA SEMANA</v>
      </c>
      <c r="R64" s="132"/>
      <c r="S64" s="132"/>
      <c r="T64" s="132"/>
      <c r="U64" s="132"/>
      <c r="V64" s="132"/>
      <c r="W64" s="195" t="str">
        <f>CONCATENATE("HORÁRIO ",'INFO BASE'!$C$6,"_",'INFO BASE'!$C$5,": ",UPPER(A61))</f>
        <v>HORÁRIO André Fonseca_84698: SEMANA 2</v>
      </c>
      <c r="X64" s="198">
        <v>1</v>
      </c>
      <c r="Y64" s="261" t="str">
        <f>'INFO BASE'!$L$1</f>
        <v>MOMENTOS AVALIATIVOS</v>
      </c>
      <c r="Z64" s="261"/>
      <c r="AA64" s="261"/>
      <c r="AB64" s="261"/>
      <c r="AC64" s="261" t="s">
        <v>215</v>
      </c>
      <c r="AD64" s="261"/>
      <c r="AE64" s="261"/>
      <c r="AF64" s="261"/>
      <c r="AI64" s="136" t="str">
        <f>B64</f>
        <v>Segunda 
21-09-2015</v>
      </c>
      <c r="AK64" s="136" t="str">
        <f>D64</f>
        <v>Terça 
22-09-2015</v>
      </c>
      <c r="AM64" s="136" t="str">
        <f>F64</f>
        <v>Quarta 
23-09-2015</v>
      </c>
      <c r="AO64" s="136" t="str">
        <f>H64</f>
        <v>Quinta 
24-09-2015</v>
      </c>
      <c r="AQ64" s="136" t="str">
        <f>J64</f>
        <v>Sexta 
25-09-2015</v>
      </c>
      <c r="AS64" s="136" t="str">
        <f>L64</f>
        <v>Sábado 
26-09-2015</v>
      </c>
      <c r="AU64" s="136" t="str">
        <f>N64</f>
        <v>Domingo 
27-09-2015</v>
      </c>
      <c r="AX64" s="136" t="str">
        <f>IF(AI62="","",IF(B64="","",B64))</f>
        <v>Segunda 
21-09-2015</v>
      </c>
      <c r="AY64" s="136" t="str">
        <f>IF(AI62="","",IF(C64="","",C64))</f>
        <v/>
      </c>
      <c r="AZ64" s="136" t="str">
        <f>IF(AI62="","",IF(D64="","",D64))</f>
        <v>Terça 
22-09-2015</v>
      </c>
      <c r="BA64" s="136" t="str">
        <f>IF(AI62="","",IF(E64="","",E64))</f>
        <v/>
      </c>
      <c r="BB64" s="136" t="str">
        <f>IF(AI62="","",IF(F64="","",F64))</f>
        <v>Quarta 
23-09-2015</v>
      </c>
      <c r="BC64" s="136" t="str">
        <f>IF(AI62="","",IF(G64="","",G64))</f>
        <v/>
      </c>
      <c r="BD64" s="136" t="str">
        <f>IF(AI62="","",IF(H64="","",H64))</f>
        <v>Quinta 
24-09-2015</v>
      </c>
      <c r="BE64" s="136" t="str">
        <f>IF(AI62="","",IF(I64="","",I64))</f>
        <v/>
      </c>
      <c r="BF64" s="136" t="str">
        <f>IF(AI62="","",IF(J64="","",J64))</f>
        <v>Sexta 
25-09-2015</v>
      </c>
      <c r="BG64" s="136" t="str">
        <f>IF(AI62="","",IF(K64="","",K64))</f>
        <v/>
      </c>
      <c r="BH64" s="136" t="str">
        <f>IF(AI62="","",IF(L64="","",L64))</f>
        <v>Sábado 
26-09-2015</v>
      </c>
      <c r="BI64" s="136" t="str">
        <f>IF(AI62="","",IF(M64="","",M64))</f>
        <v/>
      </c>
      <c r="BJ64" s="136" t="str">
        <f>IF(AI62="","",IF(N64="","",N64))</f>
        <v>Domingo 
27-09-2015</v>
      </c>
      <c r="BK64" s="136" t="str">
        <f>IF(AI62="","",IF(O64="","",O64))</f>
        <v/>
      </c>
      <c r="BZ64" s="280"/>
      <c r="CA64" s="183" t="str">
        <f>'INFO BASE'!L127</f>
        <v>-</v>
      </c>
      <c r="CB64" s="183" t="str">
        <f>'INFO BASE'!M127</f>
        <v/>
      </c>
      <c r="DK64" s="136" t="str">
        <f t="shared" si="10"/>
        <v>PV0</v>
      </c>
      <c r="DN64" t="str">
        <f>DN63</f>
        <v>PV</v>
      </c>
      <c r="DO64">
        <f>'INFO BASE'!E33</f>
        <v>0</v>
      </c>
      <c r="DP64" t="str">
        <f t="shared" si="11"/>
        <v>PV</v>
      </c>
    </row>
    <row r="65" spans="1:120" ht="13.95" hidden="1" customHeight="1" thickBot="1" x14ac:dyDescent="0.35">
      <c r="A65" s="142"/>
      <c r="B65" s="333">
        <f>N8+1</f>
        <v>42268</v>
      </c>
      <c r="C65" s="334"/>
      <c r="D65" s="334">
        <f>B65+1</f>
        <v>42269</v>
      </c>
      <c r="E65" s="334"/>
      <c r="F65" s="334">
        <f>D65+1</f>
        <v>42270</v>
      </c>
      <c r="G65" s="334"/>
      <c r="H65" s="334">
        <f>F65+1</f>
        <v>42271</v>
      </c>
      <c r="I65" s="334"/>
      <c r="J65" s="334">
        <f>H65+1</f>
        <v>42272</v>
      </c>
      <c r="K65" s="334"/>
      <c r="L65" s="334">
        <f>J65+1</f>
        <v>42273</v>
      </c>
      <c r="M65" s="334"/>
      <c r="N65" s="334">
        <f>L65+1</f>
        <v>42274</v>
      </c>
      <c r="O65" s="334"/>
      <c r="Q65" s="132"/>
      <c r="R65" s="132"/>
      <c r="S65" s="132"/>
      <c r="T65" s="132"/>
      <c r="U65" s="132"/>
      <c r="V65" s="132"/>
      <c r="W65" s="132"/>
      <c r="X65" s="198">
        <v>1</v>
      </c>
      <c r="Y65" s="132"/>
      <c r="Z65" s="132"/>
      <c r="AA65" s="132"/>
      <c r="AB65" s="131"/>
      <c r="AC65" s="131"/>
      <c r="AD65" s="131"/>
      <c r="AE65" s="131"/>
      <c r="AF65" s="131"/>
      <c r="AI65" s="136">
        <f>B65</f>
        <v>42268</v>
      </c>
      <c r="AK65" s="136">
        <f>D65</f>
        <v>42269</v>
      </c>
      <c r="AM65" s="136">
        <f>F65</f>
        <v>42270</v>
      </c>
      <c r="AO65" s="136">
        <f>H65</f>
        <v>42271</v>
      </c>
      <c r="AQ65" s="136">
        <f>J65</f>
        <v>42272</v>
      </c>
      <c r="AS65" s="136">
        <f>L65</f>
        <v>42273</v>
      </c>
      <c r="AU65" s="136">
        <f>N65</f>
        <v>42274</v>
      </c>
      <c r="AX65" s="136">
        <f>IF(AI62="","",IF(B65="","",B65))</f>
        <v>42268</v>
      </c>
      <c r="AY65" s="136" t="str">
        <f>IF(AI62="","",IF(C65="","",C65))</f>
        <v/>
      </c>
      <c r="AZ65" s="136">
        <f>IF(AI62="","",IF(D65="","",D65))</f>
        <v>42269</v>
      </c>
      <c r="BA65" s="136" t="str">
        <f>IF(AI62="","",IF(E65="","",E65))</f>
        <v/>
      </c>
      <c r="BB65" s="136">
        <f>IF(AI62="","",IF(F65="","",F65))</f>
        <v>42270</v>
      </c>
      <c r="BC65" s="136" t="str">
        <f>IF(AI62="","",IF(G65="","",G65))</f>
        <v/>
      </c>
      <c r="BD65" s="136">
        <f>IF(AI62="","",IF(H65="","",H65))</f>
        <v>42271</v>
      </c>
      <c r="BE65" s="136" t="str">
        <f>IF(AI62="","",IF(I65="","",I65))</f>
        <v/>
      </c>
      <c r="BF65" s="136">
        <f>IF(AI62="","",IF(J65="","",J65))</f>
        <v>42272</v>
      </c>
      <c r="BG65" s="136" t="str">
        <f>IF(AI62="","",IF(K65="","",K65))</f>
        <v/>
      </c>
      <c r="BH65" s="136">
        <f>IF(AI62="","",IF(L65="","",L65))</f>
        <v>42273</v>
      </c>
      <c r="BI65" s="136" t="str">
        <f>IF(AI62="","",IF(M65="","",M65))</f>
        <v/>
      </c>
      <c r="BJ65" s="136">
        <f>IF(AI62="","",IF(N65="","",N65))</f>
        <v>42274</v>
      </c>
      <c r="BK65" s="136" t="str">
        <f>IF(AI62="","",IF(O65="","",O65))</f>
        <v/>
      </c>
      <c r="BZ65" s="280"/>
      <c r="CA65" s="183" t="str">
        <f>'INFO BASE'!L128</f>
        <v>-</v>
      </c>
      <c r="CB65" s="183" t="str">
        <f>'INFO BASE'!M128</f>
        <v/>
      </c>
      <c r="DK65" s="136" t="str">
        <f t="shared" si="10"/>
        <v>PV0</v>
      </c>
      <c r="DN65" t="str">
        <f>DN64</f>
        <v>PV</v>
      </c>
      <c r="DO65">
        <f>'INFO BASE'!E34</f>
        <v>0</v>
      </c>
      <c r="DP65" t="str">
        <f t="shared" ref="DP65" si="52">DN65</f>
        <v>PV</v>
      </c>
    </row>
    <row r="66" spans="1:120" ht="18" customHeight="1" thickTop="1" x14ac:dyDescent="0.3">
      <c r="A66" s="81">
        <v>0</v>
      </c>
      <c r="B66" s="165" t="s">
        <v>10</v>
      </c>
      <c r="C66" s="150" t="s">
        <v>120</v>
      </c>
      <c r="D66" s="168" t="s">
        <v>10</v>
      </c>
      <c r="E66" s="150" t="s">
        <v>120</v>
      </c>
      <c r="F66" s="168" t="s">
        <v>10</v>
      </c>
      <c r="G66" s="150" t="s">
        <v>120</v>
      </c>
      <c r="H66" s="168" t="s">
        <v>10</v>
      </c>
      <c r="I66" s="150" t="s">
        <v>120</v>
      </c>
      <c r="J66" s="168" t="s">
        <v>10</v>
      </c>
      <c r="K66" s="150" t="s">
        <v>120</v>
      </c>
      <c r="L66" s="168" t="s">
        <v>116</v>
      </c>
      <c r="M66" s="150"/>
      <c r="N66" s="168" t="s">
        <v>116</v>
      </c>
      <c r="O66" s="152"/>
      <c r="Q66" s="281" t="s">
        <v>238</v>
      </c>
      <c r="R66" s="282"/>
      <c r="S66" s="282"/>
      <c r="T66" s="282"/>
      <c r="U66" s="282"/>
      <c r="V66" s="282"/>
      <c r="W66" s="283"/>
      <c r="X66" s="199">
        <v>1</v>
      </c>
      <c r="Y66" s="268" t="str">
        <f t="array" ref="Y66">IF(ISERROR(INDEX($CA$2:$CB$200,SMALL(IF($CA$2:$CA$200=$A$61,ROW($CA$2:$CA$200)),ROW(1:1))-1,2)),"",INDEX($CA$2:$CB$200,SMALL(IF($CA$2:$CA$200=$A$61,ROW($CA$2:$CA$200)),ROW(1:1))-1,2))</f>
        <v/>
      </c>
      <c r="Z66" s="269"/>
      <c r="AA66" s="269"/>
      <c r="AB66" s="269"/>
      <c r="AC66" s="269"/>
      <c r="AD66" s="269"/>
      <c r="AE66" s="269"/>
      <c r="AF66" s="270"/>
      <c r="AH66" s="136">
        <v>0</v>
      </c>
      <c r="AI66" s="136" t="s">
        <v>10</v>
      </c>
      <c r="AJ66" s="136" t="s">
        <v>120</v>
      </c>
      <c r="AK66" s="136" t="s">
        <v>10</v>
      </c>
      <c r="AL66" s="136" t="s">
        <v>120</v>
      </c>
      <c r="AM66" s="136" t="s">
        <v>10</v>
      </c>
      <c r="AN66" s="136" t="s">
        <v>120</v>
      </c>
      <c r="AO66" s="136" t="s">
        <v>10</v>
      </c>
      <c r="AP66" s="136" t="s">
        <v>120</v>
      </c>
      <c r="AQ66" s="136" t="s">
        <v>10</v>
      </c>
      <c r="AR66" s="136" t="s">
        <v>120</v>
      </c>
      <c r="AS66" s="136" t="s">
        <v>116</v>
      </c>
      <c r="AT66" s="136" t="s">
        <v>235</v>
      </c>
      <c r="AU66" s="136" t="s">
        <v>116</v>
      </c>
      <c r="AV66" s="136" t="s">
        <v>235</v>
      </c>
      <c r="AX66" s="136" t="str">
        <f>IF(AI62="","",IF(B66="","",B66))</f>
        <v>HS</v>
      </c>
      <c r="AY66" s="136" t="str">
        <f>IF(AI62="","",IF(C66="","",C66))</f>
        <v>-</v>
      </c>
      <c r="AZ66" s="136" t="str">
        <f>IF(AI62="","",IF(D66="","",D66))</f>
        <v>HS</v>
      </c>
      <c r="BA66" s="136" t="str">
        <f>IF(AI62="","",IF(E66="","",E66))</f>
        <v>-</v>
      </c>
      <c r="BB66" s="136" t="str">
        <f>IF(AI62="","",IF(F66="","",F66))</f>
        <v>HS</v>
      </c>
      <c r="BC66" s="136" t="str">
        <f>IF(AI62="","",IF(G66="","",G66))</f>
        <v>-</v>
      </c>
      <c r="BD66" s="136" t="str">
        <f>IF(AI62="","",IF(H66="","",H66))</f>
        <v>HS</v>
      </c>
      <c r="BE66" s="136" t="str">
        <f>IF(AI62="","",IF(I66="","",I66))</f>
        <v>-</v>
      </c>
      <c r="BF66" s="136" t="str">
        <f>IF(AI62="","",IF(J66="","",J66))</f>
        <v>HS</v>
      </c>
      <c r="BG66" s="136" t="str">
        <f>IF(AI62="","",IF(K66="","",K66))</f>
        <v>-</v>
      </c>
      <c r="BH66" s="136" t="str">
        <f>IF(AI62="","",IF(L66="","",L66))</f>
        <v>PV</v>
      </c>
      <c r="BI66" s="136" t="str">
        <f>IF(AI62="","",IF(M66="","",M66))</f>
        <v/>
      </c>
      <c r="BJ66" s="136" t="str">
        <f>IF(AI62="","",IF(N66="","",N66))</f>
        <v>PV</v>
      </c>
      <c r="BK66" s="136" t="str">
        <f>IF(AI62="","",IF(O66="","",O66))</f>
        <v/>
      </c>
      <c r="BZ66" s="280"/>
      <c r="CA66" s="183" t="str">
        <f>'INFO BASE'!L129</f>
        <v>-</v>
      </c>
      <c r="CB66" s="183" t="str">
        <f>'INFO BASE'!M129</f>
        <v/>
      </c>
      <c r="CD66" s="136">
        <f>COUNTA('INFO BASE'!E90:E95)+6</f>
        <v>6</v>
      </c>
      <c r="CR66" s="177" t="str">
        <f>IF(B66="",1,B66)</f>
        <v>HS</v>
      </c>
      <c r="CS66" s="177" t="str">
        <f>IF(B66="PV",0,IFERROR(VLOOKUP(CONCATENATE(B66,C66),$DK$9:$DK$72,1,0),1))</f>
        <v>HS-</v>
      </c>
      <c r="CT66" s="177" t="str">
        <f>IF(D66="",1,D66)</f>
        <v>HS</v>
      </c>
      <c r="CU66" s="177" t="str">
        <f>IF(D66="PV",0,IFERROR(VLOOKUP(CONCATENATE(D66,E66),$DK$9:$DK$72,1,0),1))</f>
        <v>HS-</v>
      </c>
      <c r="CV66" s="177" t="str">
        <f>IF(F66="",1,F66)</f>
        <v>HS</v>
      </c>
      <c r="CW66" s="177" t="str">
        <f>IF(F66="PV",0,IFERROR(VLOOKUP(CONCATENATE(F66,G66),$DK$9:$DK$72,1,0),1))</f>
        <v>HS-</v>
      </c>
      <c r="CX66" s="177" t="str">
        <f>IF(H66="",1,H66)</f>
        <v>HS</v>
      </c>
      <c r="CY66" s="177" t="str">
        <f>IF(H66="PV",0,IFERROR(VLOOKUP(CONCATENATE(H66,I66),$DK$9:$DK$72,1,0),1))</f>
        <v>HS-</v>
      </c>
      <c r="CZ66" s="177" t="str">
        <f>IF(J66="",1,J66)</f>
        <v>HS</v>
      </c>
      <c r="DA66" s="177" t="str">
        <f>IF(J66="PV",0,IFERROR(VLOOKUP(CONCATENATE(J66,K66),$DK$9:$DK$72,1,0),1))</f>
        <v>HS-</v>
      </c>
      <c r="DB66" s="177" t="str">
        <f>IF(L66="",1,L66)</f>
        <v>PV</v>
      </c>
      <c r="DC66" s="177">
        <f>IF(L66="PV",0,IFERROR(VLOOKUP(CONCATENATE(L66,M66),$DK$9:$DK$72,1,0),1))</f>
        <v>0</v>
      </c>
      <c r="DD66" s="177" t="str">
        <f>IF(N66="",1,N66)</f>
        <v>PV</v>
      </c>
      <c r="DE66" s="177">
        <f>IF(N66="PV",0,IFERROR(VLOOKUP(CONCATENATE(N66,O66),$DK$9:$DK$72,1,0),1))</f>
        <v>0</v>
      </c>
      <c r="DK66" s="136" t="str">
        <f t="shared" si="10"/>
        <v>PV0</v>
      </c>
      <c r="DN66" t="str">
        <f>DN64</f>
        <v>PV</v>
      </c>
      <c r="DO66">
        <f>'INFO BASE'!E34</f>
        <v>0</v>
      </c>
      <c r="DP66" t="str">
        <f t="shared" si="11"/>
        <v>PV</v>
      </c>
    </row>
    <row r="67" spans="1:120" ht="18" customHeight="1" x14ac:dyDescent="0.3">
      <c r="A67" s="81">
        <v>2.0833333333333998E-2</v>
      </c>
      <c r="B67" s="166" t="s">
        <v>10</v>
      </c>
      <c r="C67" s="130" t="s">
        <v>120</v>
      </c>
      <c r="D67" s="169" t="s">
        <v>10</v>
      </c>
      <c r="E67" s="130" t="s">
        <v>120</v>
      </c>
      <c r="F67" s="169" t="s">
        <v>10</v>
      </c>
      <c r="G67" s="130" t="s">
        <v>120</v>
      </c>
      <c r="H67" s="169" t="s">
        <v>10</v>
      </c>
      <c r="I67" s="130" t="s">
        <v>120</v>
      </c>
      <c r="J67" s="169" t="s">
        <v>10</v>
      </c>
      <c r="K67" s="130" t="s">
        <v>120</v>
      </c>
      <c r="L67" s="169" t="s">
        <v>116</v>
      </c>
      <c r="M67" s="130"/>
      <c r="N67" s="169" t="s">
        <v>116</v>
      </c>
      <c r="O67" s="154"/>
      <c r="Q67" s="284"/>
      <c r="R67" s="285"/>
      <c r="S67" s="285"/>
      <c r="T67" s="285"/>
      <c r="U67" s="285"/>
      <c r="V67" s="285"/>
      <c r="W67" s="286"/>
      <c r="X67" s="199">
        <v>1</v>
      </c>
      <c r="Y67" s="262" t="str">
        <f t="array" ref="Y67">IF(ISERROR(INDEX($CA$2:$CB$200,SMALL(IF($CA$2:$CA$200=$A$61,ROW($CA$2:$CA$200)),ROW(2:2))-1,2)),"",INDEX($CA$2:$CB$200,SMALL(IF($CA$2:$CA$200=$A$61,ROW($CA$2:$CA$200)),ROW(2:2))-1,2))</f>
        <v/>
      </c>
      <c r="Z67" s="263"/>
      <c r="AA67" s="263"/>
      <c r="AB67" s="263"/>
      <c r="AC67" s="263"/>
      <c r="AD67" s="263"/>
      <c r="AE67" s="263"/>
      <c r="AF67" s="264"/>
      <c r="AH67" s="136">
        <v>2.0833333333333998E-2</v>
      </c>
      <c r="AI67" s="136" t="s">
        <v>10</v>
      </c>
      <c r="AJ67" s="136" t="s">
        <v>120</v>
      </c>
      <c r="AK67" s="136" t="s">
        <v>10</v>
      </c>
      <c r="AL67" s="136" t="s">
        <v>120</v>
      </c>
      <c r="AM67" s="136" t="s">
        <v>10</v>
      </c>
      <c r="AN67" s="136" t="s">
        <v>120</v>
      </c>
      <c r="AO67" s="136" t="s">
        <v>10</v>
      </c>
      <c r="AP67" s="136" t="s">
        <v>120</v>
      </c>
      <c r="AQ67" s="136" t="s">
        <v>10</v>
      </c>
      <c r="AR67" s="136" t="s">
        <v>120</v>
      </c>
      <c r="AS67" s="136" t="s">
        <v>116</v>
      </c>
      <c r="AT67" s="136" t="s">
        <v>235</v>
      </c>
      <c r="AU67" s="136" t="s">
        <v>116</v>
      </c>
      <c r="AV67" s="136" t="s">
        <v>235</v>
      </c>
      <c r="AX67" s="136" t="str">
        <f>IF(AI62="","",IF(B67="","",B67))</f>
        <v>HS</v>
      </c>
      <c r="AY67" s="136" t="str">
        <f>IF(AI62="","",IF(C67="","",C67))</f>
        <v>-</v>
      </c>
      <c r="AZ67" s="136" t="str">
        <f>IF(AI62="","",IF(D67="","",D67))</f>
        <v>HS</v>
      </c>
      <c r="BA67" s="136" t="str">
        <f>IF(AI62="","",IF(E67="","",E67))</f>
        <v>-</v>
      </c>
      <c r="BB67" s="136" t="str">
        <f>IF(AI62="","",IF(F67="","",F67))</f>
        <v>HS</v>
      </c>
      <c r="BC67" s="136" t="str">
        <f>IF(AI62="","",IF(G67="","",G67))</f>
        <v>-</v>
      </c>
      <c r="BD67" s="136" t="str">
        <f>IF(AI62="","",IF(H67="","",H67))</f>
        <v>HS</v>
      </c>
      <c r="BE67" s="136" t="str">
        <f>IF(AI62="","",IF(I67="","",I67))</f>
        <v>-</v>
      </c>
      <c r="BF67" s="136" t="str">
        <f>IF(AI62="","",IF(J67="","",J67))</f>
        <v>HS</v>
      </c>
      <c r="BG67" s="136" t="str">
        <f>IF(AI62="","",IF(K67="","",K67))</f>
        <v>-</v>
      </c>
      <c r="BH67" s="136" t="str">
        <f>IF(AI62="","",IF(L67="","",L67))</f>
        <v>PV</v>
      </c>
      <c r="BI67" s="136" t="str">
        <f>IF(AI62="","",IF(M67="","",M67))</f>
        <v/>
      </c>
      <c r="BJ67" s="136" t="str">
        <f>IF(AI62="","",IF(N67="","",N67))</f>
        <v>PV</v>
      </c>
      <c r="BK67" s="136" t="str">
        <f>IF(AI62="","",IF(O67="","",O67))</f>
        <v/>
      </c>
      <c r="BZ67" s="280" t="s">
        <v>122</v>
      </c>
      <c r="CA67" s="183" t="str">
        <f>'INFO BASE'!L130</f>
        <v>-</v>
      </c>
      <c r="CB67" s="183" t="str">
        <f>'INFO BASE'!M130</f>
        <v/>
      </c>
      <c r="CR67" s="177" t="str">
        <f t="shared" ref="CR67:DB109" si="53">IF(B67="",1,B67)</f>
        <v>HS</v>
      </c>
      <c r="CS67" s="177" t="str">
        <f t="shared" ref="CS67:CS113" si="54">IF(B67="PV",0,IFERROR(VLOOKUP(CONCATENATE(B67,C67),$DK$9:$DK$72,1,0),1))</f>
        <v>HS-</v>
      </c>
      <c r="CT67" s="177" t="str">
        <f t="shared" si="53"/>
        <v>HS</v>
      </c>
      <c r="CU67" s="177" t="str">
        <f t="shared" ref="CU67:CU113" si="55">IF(D67="PV",0,IFERROR(VLOOKUP(CONCATENATE(D67,E67),$DK$9:$DK$72,1,0),1))</f>
        <v>HS-</v>
      </c>
      <c r="CV67" s="177" t="str">
        <f t="shared" si="53"/>
        <v>HS</v>
      </c>
      <c r="CW67" s="177" t="str">
        <f t="shared" ref="CW67:CW113" si="56">IF(F67="PV",0,IFERROR(VLOOKUP(CONCATENATE(F67,G67),$DK$9:$DK$72,1,0),1))</f>
        <v>HS-</v>
      </c>
      <c r="CX67" s="177" t="str">
        <f t="shared" si="53"/>
        <v>HS</v>
      </c>
      <c r="CY67" s="177" t="str">
        <f t="shared" ref="CY67:CY113" si="57">IF(H67="PV",0,IFERROR(VLOOKUP(CONCATENATE(H67,I67),$DK$9:$DK$72,1,0),1))</f>
        <v>HS-</v>
      </c>
      <c r="CZ67" s="177" t="str">
        <f t="shared" si="53"/>
        <v>HS</v>
      </c>
      <c r="DA67" s="177" t="str">
        <f t="shared" ref="DA67:DA113" si="58">IF(J67="PV",0,IFERROR(VLOOKUP(CONCATENATE(J67,K67),$DK$9:$DK$72,1,0),1))</f>
        <v>HS-</v>
      </c>
      <c r="DB67" s="177" t="str">
        <f t="shared" si="53"/>
        <v>PV</v>
      </c>
      <c r="DC67" s="177">
        <f t="shared" ref="DC67:DC113" si="59">IF(L67="PV",0,IFERROR(VLOOKUP(CONCATENATE(L67,M67),$DK$9:$DK$72,1,0),1))</f>
        <v>0</v>
      </c>
      <c r="DD67" s="177" t="str">
        <f t="shared" ref="DD67:DD113" si="60">IF(N67="",1,N67)</f>
        <v>PV</v>
      </c>
      <c r="DE67" s="177">
        <f t="shared" ref="DE67:DE113" si="61">IF(N67="PV",0,IFERROR(VLOOKUP(CONCATENATE(N67,O67),$DK$9:$DK$72,1,0),1))</f>
        <v>0</v>
      </c>
      <c r="DK67" s="136" t="str">
        <f t="shared" si="10"/>
        <v>PV0</v>
      </c>
      <c r="DN67" t="str">
        <f t="shared" ref="DN67:DN69" si="62">DN66</f>
        <v>PV</v>
      </c>
      <c r="DO67">
        <f>'INFO BASE'!E35</f>
        <v>0</v>
      </c>
      <c r="DP67" t="str">
        <f t="shared" si="11"/>
        <v>PV</v>
      </c>
    </row>
    <row r="68" spans="1:120" ht="18" customHeight="1" x14ac:dyDescent="0.3">
      <c r="A68" s="81">
        <v>4.1666666666667997E-2</v>
      </c>
      <c r="B68" s="166" t="s">
        <v>10</v>
      </c>
      <c r="C68" s="130" t="s">
        <v>120</v>
      </c>
      <c r="D68" s="169" t="s">
        <v>10</v>
      </c>
      <c r="E68" s="130" t="s">
        <v>120</v>
      </c>
      <c r="F68" s="169" t="s">
        <v>10</v>
      </c>
      <c r="G68" s="130" t="s">
        <v>120</v>
      </c>
      <c r="H68" s="169" t="s">
        <v>10</v>
      </c>
      <c r="I68" s="130" t="s">
        <v>120</v>
      </c>
      <c r="J68" s="169" t="s">
        <v>10</v>
      </c>
      <c r="K68" s="130" t="s">
        <v>120</v>
      </c>
      <c r="L68" s="169" t="s">
        <v>116</v>
      </c>
      <c r="M68" s="130"/>
      <c r="N68" s="169" t="s">
        <v>116</v>
      </c>
      <c r="O68" s="154"/>
      <c r="Q68" s="284"/>
      <c r="R68" s="285"/>
      <c r="S68" s="285"/>
      <c r="T68" s="285"/>
      <c r="U68" s="285"/>
      <c r="V68" s="285"/>
      <c r="W68" s="286"/>
      <c r="X68" s="199">
        <v>1</v>
      </c>
      <c r="Y68" s="262" t="str">
        <f t="array" ref="Y68">IF(ISERROR(INDEX($CA$2:$CB$200,SMALL(IF($CA$2:$CA$200=$A$61,ROW($CA$2:$CA$200)),ROW(3:3))-1,2)),"",INDEX($CA$2:$CB$200,SMALL(IF($CA$2:$CA$200=$A$61,ROW($CA$2:$CA$200)),ROW(3:3))-1,2))</f>
        <v/>
      </c>
      <c r="Z68" s="263"/>
      <c r="AA68" s="263"/>
      <c r="AB68" s="263"/>
      <c r="AC68" s="263"/>
      <c r="AD68" s="263"/>
      <c r="AE68" s="263"/>
      <c r="AF68" s="264"/>
      <c r="AH68" s="136">
        <v>4.1666666666667997E-2</v>
      </c>
      <c r="AI68" s="136" t="s">
        <v>10</v>
      </c>
      <c r="AJ68" s="136" t="s">
        <v>120</v>
      </c>
      <c r="AK68" s="136" t="s">
        <v>10</v>
      </c>
      <c r="AL68" s="136" t="s">
        <v>120</v>
      </c>
      <c r="AM68" s="136" t="s">
        <v>10</v>
      </c>
      <c r="AN68" s="136" t="s">
        <v>120</v>
      </c>
      <c r="AO68" s="136" t="s">
        <v>10</v>
      </c>
      <c r="AP68" s="136" t="s">
        <v>120</v>
      </c>
      <c r="AQ68" s="136" t="s">
        <v>10</v>
      </c>
      <c r="AR68" s="136" t="s">
        <v>120</v>
      </c>
      <c r="AS68" s="136" t="s">
        <v>116</v>
      </c>
      <c r="AT68" s="136" t="s">
        <v>235</v>
      </c>
      <c r="AU68" s="136" t="s">
        <v>116</v>
      </c>
      <c r="AV68" s="136" t="s">
        <v>235</v>
      </c>
      <c r="AX68" s="136" t="str">
        <f>IF(AI62="","",IF(B68="","",B68))</f>
        <v>HS</v>
      </c>
      <c r="AY68" s="136" t="str">
        <f>IF(AI62="","",IF(C68="","",C68))</f>
        <v>-</v>
      </c>
      <c r="AZ68" s="136" t="str">
        <f>IF(AI62="","",IF(D68="","",D68))</f>
        <v>HS</v>
      </c>
      <c r="BA68" s="136" t="str">
        <f>IF(AI62="","",IF(E68="","",E68))</f>
        <v>-</v>
      </c>
      <c r="BB68" s="136" t="str">
        <f>IF(AI62="","",IF(F68="","",F68))</f>
        <v>HS</v>
      </c>
      <c r="BC68" s="136" t="str">
        <f>IF(AI62="","",IF(G68="","",G68))</f>
        <v>-</v>
      </c>
      <c r="BD68" s="136" t="str">
        <f>IF(AI62="","",IF(H68="","",H68))</f>
        <v>HS</v>
      </c>
      <c r="BE68" s="136" t="str">
        <f>IF(AI62="","",IF(I68="","",I68))</f>
        <v>-</v>
      </c>
      <c r="BF68" s="136" t="str">
        <f>IF(AI62="","",IF(J68="","",J68))</f>
        <v>HS</v>
      </c>
      <c r="BG68" s="136" t="str">
        <f>IF(AI62="","",IF(K68="","",K68))</f>
        <v>-</v>
      </c>
      <c r="BH68" s="136" t="str">
        <f>IF(AI62="","",IF(L68="","",L68))</f>
        <v>PV</v>
      </c>
      <c r="BI68" s="136" t="str">
        <f>IF(AI62="","",IF(M68="","",M68))</f>
        <v/>
      </c>
      <c r="BJ68" s="136" t="str">
        <f>IF(AI62="","",IF(N68="","",N68))</f>
        <v>PV</v>
      </c>
      <c r="BK68" s="136" t="str">
        <f>IF(AI62="","",IF(O68="","",O68))</f>
        <v/>
      </c>
      <c r="BZ68" s="280"/>
      <c r="CA68" s="183" t="str">
        <f>'INFO BASE'!L131</f>
        <v>-</v>
      </c>
      <c r="CB68" s="183" t="str">
        <f>'INFO BASE'!M131</f>
        <v/>
      </c>
      <c r="CR68" s="177" t="str">
        <f t="shared" si="53"/>
        <v>HS</v>
      </c>
      <c r="CS68" s="177" t="str">
        <f t="shared" si="54"/>
        <v>HS-</v>
      </c>
      <c r="CT68" s="177" t="str">
        <f t="shared" si="53"/>
        <v>HS</v>
      </c>
      <c r="CU68" s="177" t="str">
        <f t="shared" si="55"/>
        <v>HS-</v>
      </c>
      <c r="CV68" s="177" t="str">
        <f t="shared" si="53"/>
        <v>HS</v>
      </c>
      <c r="CW68" s="177" t="str">
        <f t="shared" si="56"/>
        <v>HS-</v>
      </c>
      <c r="CX68" s="177" t="str">
        <f t="shared" si="53"/>
        <v>HS</v>
      </c>
      <c r="CY68" s="177" t="str">
        <f t="shared" si="57"/>
        <v>HS-</v>
      </c>
      <c r="CZ68" s="177" t="str">
        <f t="shared" si="53"/>
        <v>HS</v>
      </c>
      <c r="DA68" s="177" t="str">
        <f t="shared" si="58"/>
        <v>HS-</v>
      </c>
      <c r="DB68" s="177" t="str">
        <f t="shared" si="53"/>
        <v>PV</v>
      </c>
      <c r="DC68" s="177">
        <f t="shared" si="59"/>
        <v>0</v>
      </c>
      <c r="DD68" s="177" t="str">
        <f t="shared" si="60"/>
        <v>PV</v>
      </c>
      <c r="DE68" s="177">
        <f t="shared" si="61"/>
        <v>0</v>
      </c>
      <c r="DK68" s="136" t="str">
        <f t="shared" si="10"/>
        <v>PV0</v>
      </c>
      <c r="DN68" t="str">
        <f t="shared" si="62"/>
        <v>PV</v>
      </c>
      <c r="DO68">
        <f>'INFO BASE'!E36</f>
        <v>0</v>
      </c>
      <c r="DP68" t="str">
        <f t="shared" si="11"/>
        <v>PV</v>
      </c>
    </row>
    <row r="69" spans="1:120" ht="18" customHeight="1" x14ac:dyDescent="0.3">
      <c r="A69" s="81">
        <v>6.2500000000001998E-2</v>
      </c>
      <c r="B69" s="166" t="s">
        <v>10</v>
      </c>
      <c r="C69" s="130" t="s">
        <v>120</v>
      </c>
      <c r="D69" s="169" t="s">
        <v>10</v>
      </c>
      <c r="E69" s="130" t="s">
        <v>120</v>
      </c>
      <c r="F69" s="169" t="s">
        <v>10</v>
      </c>
      <c r="G69" s="130" t="s">
        <v>120</v>
      </c>
      <c r="H69" s="169" t="s">
        <v>10</v>
      </c>
      <c r="I69" s="130" t="s">
        <v>120</v>
      </c>
      <c r="J69" s="169" t="s">
        <v>10</v>
      </c>
      <c r="K69" s="130" t="s">
        <v>120</v>
      </c>
      <c r="L69" s="169" t="s">
        <v>10</v>
      </c>
      <c r="M69" s="130" t="s">
        <v>120</v>
      </c>
      <c r="N69" s="169" t="s">
        <v>10</v>
      </c>
      <c r="O69" s="154" t="s">
        <v>120</v>
      </c>
      <c r="Q69" s="284"/>
      <c r="R69" s="285"/>
      <c r="S69" s="285"/>
      <c r="T69" s="285"/>
      <c r="U69" s="285"/>
      <c r="V69" s="285"/>
      <c r="W69" s="286"/>
      <c r="X69" s="199">
        <v>1</v>
      </c>
      <c r="Y69" s="262" t="str">
        <f t="array" ref="Y69">IF(ISERROR(INDEX($CA$2:$CB$200,SMALL(IF($CA$2:$CA$200=$A$61,ROW($CA$2:$CA$200)),ROW(4:4))-1,2)),"",INDEX($CA$2:$CB$200,SMALL(IF($CA$2:$CA$200=$A$61,ROW($CA$2:$CA$200)),ROW(4:4))-1,2))</f>
        <v/>
      </c>
      <c r="Z69" s="263"/>
      <c r="AA69" s="263"/>
      <c r="AB69" s="263"/>
      <c r="AC69" s="263"/>
      <c r="AD69" s="263"/>
      <c r="AE69" s="263"/>
      <c r="AF69" s="264"/>
      <c r="AH69" s="136">
        <v>6.2500000000001998E-2</v>
      </c>
      <c r="AI69" s="136" t="s">
        <v>10</v>
      </c>
      <c r="AJ69" s="136" t="s">
        <v>120</v>
      </c>
      <c r="AK69" s="136" t="s">
        <v>10</v>
      </c>
      <c r="AL69" s="136" t="s">
        <v>120</v>
      </c>
      <c r="AM69" s="136" t="s">
        <v>10</v>
      </c>
      <c r="AN69" s="136" t="s">
        <v>120</v>
      </c>
      <c r="AO69" s="136" t="s">
        <v>10</v>
      </c>
      <c r="AP69" s="136" t="s">
        <v>120</v>
      </c>
      <c r="AQ69" s="136" t="s">
        <v>10</v>
      </c>
      <c r="AR69" s="136" t="s">
        <v>120</v>
      </c>
      <c r="AS69" s="136" t="s">
        <v>10</v>
      </c>
      <c r="AT69" s="136" t="s">
        <v>120</v>
      </c>
      <c r="AU69" s="136" t="s">
        <v>10</v>
      </c>
      <c r="AV69" s="136" t="s">
        <v>120</v>
      </c>
      <c r="AX69" s="136" t="str">
        <f>IF(AI62="","",IF(B69="","",B69))</f>
        <v>HS</v>
      </c>
      <c r="AY69" s="136" t="str">
        <f>IF(AI62="","",IF(C69="","",C69))</f>
        <v>-</v>
      </c>
      <c r="AZ69" s="136" t="str">
        <f>IF(AI62="","",IF(D69="","",D69))</f>
        <v>HS</v>
      </c>
      <c r="BA69" s="136" t="str">
        <f>IF(AI62="","",IF(E69="","",E69))</f>
        <v>-</v>
      </c>
      <c r="BB69" s="136" t="str">
        <f>IF(AI62="","",IF(F69="","",F69))</f>
        <v>HS</v>
      </c>
      <c r="BC69" s="136" t="str">
        <f>IF(AI62="","",IF(G69="","",G69))</f>
        <v>-</v>
      </c>
      <c r="BD69" s="136" t="str">
        <f>IF(AI62="","",IF(H69="","",H69))</f>
        <v>HS</v>
      </c>
      <c r="BE69" s="136" t="str">
        <f>IF(AI62="","",IF(I69="","",I69))</f>
        <v>-</v>
      </c>
      <c r="BF69" s="136" t="str">
        <f>IF(AI62="","",IF(J69="","",J69))</f>
        <v>HS</v>
      </c>
      <c r="BG69" s="136" t="str">
        <f>IF(AI62="","",IF(K69="","",K69))</f>
        <v>-</v>
      </c>
      <c r="BH69" s="136" t="str">
        <f>IF(AI62="","",IF(L69="","",L69))</f>
        <v>HS</v>
      </c>
      <c r="BI69" s="136" t="str">
        <f>IF(AI62="","",IF(M69="","",M69))</f>
        <v>-</v>
      </c>
      <c r="BJ69" s="136" t="str">
        <f>IF(AI62="","",IF(N69="","",N69))</f>
        <v>HS</v>
      </c>
      <c r="BK69" s="136" t="str">
        <f>IF(AI62="","",IF(O69="","",O69))</f>
        <v>-</v>
      </c>
      <c r="BZ69" s="280"/>
      <c r="CA69" s="183" t="str">
        <f>'INFO BASE'!L132</f>
        <v>-</v>
      </c>
      <c r="CB69" s="183" t="str">
        <f>'INFO BASE'!M132</f>
        <v/>
      </c>
      <c r="CR69" s="177" t="str">
        <f t="shared" si="53"/>
        <v>HS</v>
      </c>
      <c r="CS69" s="177" t="str">
        <f t="shared" si="54"/>
        <v>HS-</v>
      </c>
      <c r="CT69" s="177" t="str">
        <f t="shared" si="53"/>
        <v>HS</v>
      </c>
      <c r="CU69" s="177" t="str">
        <f t="shared" si="55"/>
        <v>HS-</v>
      </c>
      <c r="CV69" s="177" t="str">
        <f t="shared" si="53"/>
        <v>HS</v>
      </c>
      <c r="CW69" s="177" t="str">
        <f t="shared" si="56"/>
        <v>HS-</v>
      </c>
      <c r="CX69" s="177" t="str">
        <f t="shared" si="53"/>
        <v>HS</v>
      </c>
      <c r="CY69" s="177" t="str">
        <f t="shared" si="57"/>
        <v>HS-</v>
      </c>
      <c r="CZ69" s="177" t="str">
        <f t="shared" si="53"/>
        <v>HS</v>
      </c>
      <c r="DA69" s="177" t="str">
        <f t="shared" si="58"/>
        <v>HS-</v>
      </c>
      <c r="DB69" s="177" t="str">
        <f t="shared" si="53"/>
        <v>HS</v>
      </c>
      <c r="DC69" s="177" t="str">
        <f t="shared" si="59"/>
        <v>HS-</v>
      </c>
      <c r="DD69" s="177" t="str">
        <f t="shared" si="60"/>
        <v>HS</v>
      </c>
      <c r="DE69" s="177" t="str">
        <f t="shared" si="61"/>
        <v>HS-</v>
      </c>
      <c r="DK69" s="136" t="str">
        <f t="shared" si="10"/>
        <v>PV0</v>
      </c>
      <c r="DN69" t="str">
        <f t="shared" si="62"/>
        <v>PV</v>
      </c>
      <c r="DO69">
        <f>'INFO BASE'!E37</f>
        <v>0</v>
      </c>
      <c r="DP69" t="str">
        <f t="shared" si="11"/>
        <v>PV</v>
      </c>
    </row>
    <row r="70" spans="1:120" ht="18" customHeight="1" x14ac:dyDescent="0.3">
      <c r="A70" s="81">
        <v>8.3333333333335993E-2</v>
      </c>
      <c r="B70" s="166" t="s">
        <v>10</v>
      </c>
      <c r="C70" s="130" t="s">
        <v>120</v>
      </c>
      <c r="D70" s="169" t="s">
        <v>10</v>
      </c>
      <c r="E70" s="130" t="s">
        <v>120</v>
      </c>
      <c r="F70" s="169" t="s">
        <v>10</v>
      </c>
      <c r="G70" s="130" t="s">
        <v>120</v>
      </c>
      <c r="H70" s="169" t="s">
        <v>10</v>
      </c>
      <c r="I70" s="130" t="s">
        <v>120</v>
      </c>
      <c r="J70" s="169" t="s">
        <v>10</v>
      </c>
      <c r="K70" s="130" t="s">
        <v>120</v>
      </c>
      <c r="L70" s="169" t="s">
        <v>10</v>
      </c>
      <c r="M70" s="130" t="s">
        <v>120</v>
      </c>
      <c r="N70" s="169" t="s">
        <v>10</v>
      </c>
      <c r="O70" s="154" t="s">
        <v>120</v>
      </c>
      <c r="Q70" s="284"/>
      <c r="R70" s="285"/>
      <c r="S70" s="285"/>
      <c r="T70" s="285"/>
      <c r="U70" s="285"/>
      <c r="V70" s="285"/>
      <c r="W70" s="286"/>
      <c r="X70" s="199">
        <v>1</v>
      </c>
      <c r="Y70" s="262" t="str">
        <f t="array" ref="Y70">IF(ISERROR(INDEX($CA$2:$CB$200,SMALL(IF($CA$2:$CA$200=$A$61,ROW($CA$2:$CA$200)),ROW(5:5))-1,2)),"",INDEX($CA$2:$CB$200,SMALL(IF($CA$2:$CA$200=$A$61,ROW($CA$2:$CA$200)),ROW(5:5))-1,2))</f>
        <v/>
      </c>
      <c r="Z70" s="263"/>
      <c r="AA70" s="263"/>
      <c r="AB70" s="263"/>
      <c r="AC70" s="263"/>
      <c r="AD70" s="263"/>
      <c r="AE70" s="263"/>
      <c r="AF70" s="264"/>
      <c r="AH70" s="136">
        <v>8.3333333333335993E-2</v>
      </c>
      <c r="AI70" s="136" t="s">
        <v>10</v>
      </c>
      <c r="AJ70" s="136" t="s">
        <v>120</v>
      </c>
      <c r="AK70" s="136" t="s">
        <v>10</v>
      </c>
      <c r="AL70" s="136" t="s">
        <v>120</v>
      </c>
      <c r="AM70" s="136" t="s">
        <v>10</v>
      </c>
      <c r="AN70" s="136" t="s">
        <v>120</v>
      </c>
      <c r="AO70" s="136" t="s">
        <v>10</v>
      </c>
      <c r="AP70" s="136" t="s">
        <v>120</v>
      </c>
      <c r="AQ70" s="136" t="s">
        <v>10</v>
      </c>
      <c r="AR70" s="136" t="s">
        <v>120</v>
      </c>
      <c r="AS70" s="136" t="s">
        <v>10</v>
      </c>
      <c r="AT70" s="136" t="s">
        <v>120</v>
      </c>
      <c r="AU70" s="136" t="s">
        <v>10</v>
      </c>
      <c r="AV70" s="136" t="s">
        <v>120</v>
      </c>
      <c r="AX70" s="136" t="str">
        <f>IF(AI62="","",IF(B70="","",B70))</f>
        <v>HS</v>
      </c>
      <c r="AY70" s="136" t="str">
        <f>IF(AI62="","",IF(C70="","",C70))</f>
        <v>-</v>
      </c>
      <c r="AZ70" s="136" t="str">
        <f>IF(AI62="","",IF(D70="","",D70))</f>
        <v>HS</v>
      </c>
      <c r="BA70" s="136" t="str">
        <f>IF(AI62="","",IF(E70="","",E70))</f>
        <v>-</v>
      </c>
      <c r="BB70" s="136" t="str">
        <f>IF(AI62="","",IF(F70="","",F70))</f>
        <v>HS</v>
      </c>
      <c r="BC70" s="136" t="str">
        <f>IF(AI62="","",IF(G70="","",G70))</f>
        <v>-</v>
      </c>
      <c r="BD70" s="136" t="str">
        <f>IF(AI62="","",IF(H70="","",H70))</f>
        <v>HS</v>
      </c>
      <c r="BE70" s="136" t="str">
        <f>IF(AI62="","",IF(I70="","",I70))</f>
        <v>-</v>
      </c>
      <c r="BF70" s="136" t="str">
        <f>IF(AI62="","",IF(J70="","",J70))</f>
        <v>HS</v>
      </c>
      <c r="BG70" s="136" t="str">
        <f>IF(AI62="","",IF(K70="","",K70))</f>
        <v>-</v>
      </c>
      <c r="BH70" s="136" t="str">
        <f>IF(AI62="","",IF(L70="","",L70))</f>
        <v>HS</v>
      </c>
      <c r="BI70" s="136" t="str">
        <f>IF(AI62="","",IF(M70="","",M70))</f>
        <v>-</v>
      </c>
      <c r="BJ70" s="136" t="str">
        <f>IF(AI62="","",IF(N70="","",N70))</f>
        <v>HS</v>
      </c>
      <c r="BK70" s="136" t="str">
        <f>IF(AI62="","",IF(O70="","",O70))</f>
        <v>-</v>
      </c>
      <c r="BZ70" s="280"/>
      <c r="CA70" s="183" t="str">
        <f>'INFO BASE'!L133</f>
        <v>-</v>
      </c>
      <c r="CB70" s="183" t="str">
        <f>'INFO BASE'!M133</f>
        <v/>
      </c>
      <c r="CD70" s="136" t="str">
        <f t="shared" ref="CD70:CD75" si="63">R78</f>
        <v>FP</v>
      </c>
      <c r="CR70" s="177" t="str">
        <f t="shared" si="53"/>
        <v>HS</v>
      </c>
      <c r="CS70" s="177" t="str">
        <f t="shared" si="54"/>
        <v>HS-</v>
      </c>
      <c r="CT70" s="177" t="str">
        <f t="shared" si="53"/>
        <v>HS</v>
      </c>
      <c r="CU70" s="177" t="str">
        <f t="shared" si="55"/>
        <v>HS-</v>
      </c>
      <c r="CV70" s="177" t="str">
        <f t="shared" si="53"/>
        <v>HS</v>
      </c>
      <c r="CW70" s="177" t="str">
        <f t="shared" si="56"/>
        <v>HS-</v>
      </c>
      <c r="CX70" s="177" t="str">
        <f t="shared" si="53"/>
        <v>HS</v>
      </c>
      <c r="CY70" s="177" t="str">
        <f t="shared" si="57"/>
        <v>HS-</v>
      </c>
      <c r="CZ70" s="177" t="str">
        <f t="shared" si="53"/>
        <v>HS</v>
      </c>
      <c r="DA70" s="177" t="str">
        <f t="shared" si="58"/>
        <v>HS-</v>
      </c>
      <c r="DB70" s="177" t="str">
        <f t="shared" si="53"/>
        <v>HS</v>
      </c>
      <c r="DC70" s="177" t="str">
        <f t="shared" si="59"/>
        <v>HS-</v>
      </c>
      <c r="DD70" s="177" t="str">
        <f t="shared" si="60"/>
        <v>HS</v>
      </c>
      <c r="DE70" s="177" t="str">
        <f t="shared" si="61"/>
        <v>HS-</v>
      </c>
      <c r="DK70" s="136" t="str">
        <f t="shared" si="10"/>
        <v>HD-</v>
      </c>
      <c r="DN70" t="str">
        <f>'INFO BASE'!B27</f>
        <v>HD</v>
      </c>
      <c r="DO70" t="s">
        <v>120</v>
      </c>
      <c r="DP70" t="str">
        <f t="shared" si="11"/>
        <v>HD</v>
      </c>
    </row>
    <row r="71" spans="1:120" ht="18" customHeight="1" x14ac:dyDescent="0.3">
      <c r="A71" s="81">
        <v>0.10416666666667</v>
      </c>
      <c r="B71" s="166" t="s">
        <v>10</v>
      </c>
      <c r="C71" s="130" t="s">
        <v>120</v>
      </c>
      <c r="D71" s="169" t="s">
        <v>10</v>
      </c>
      <c r="E71" s="130" t="s">
        <v>120</v>
      </c>
      <c r="F71" s="169" t="s">
        <v>10</v>
      </c>
      <c r="G71" s="130" t="s">
        <v>120</v>
      </c>
      <c r="H71" s="169" t="s">
        <v>10</v>
      </c>
      <c r="I71" s="130" t="s">
        <v>120</v>
      </c>
      <c r="J71" s="169" t="s">
        <v>10</v>
      </c>
      <c r="K71" s="130" t="s">
        <v>120</v>
      </c>
      <c r="L71" s="169" t="s">
        <v>10</v>
      </c>
      <c r="M71" s="130" t="s">
        <v>120</v>
      </c>
      <c r="N71" s="169" t="s">
        <v>10</v>
      </c>
      <c r="O71" s="154" t="s">
        <v>120</v>
      </c>
      <c r="Q71" s="284"/>
      <c r="R71" s="285"/>
      <c r="S71" s="285"/>
      <c r="T71" s="285"/>
      <c r="U71" s="285"/>
      <c r="V71" s="285"/>
      <c r="W71" s="286"/>
      <c r="X71" s="199">
        <v>1</v>
      </c>
      <c r="Y71" s="262" t="str">
        <f t="array" ref="Y71">IF(ISERROR(INDEX($CA$2:$CB$200,SMALL(IF($CA$2:$CA$200=$A$61,ROW($CA$2:$CA$200)),ROW(6:6))-1,2)),"",INDEX($CA$2:$CB$200,SMALL(IF($CA$2:$CA$200=$A$61,ROW($CA$2:$CA$200)),ROW(6:6))-1,2))</f>
        <v/>
      </c>
      <c r="Z71" s="263"/>
      <c r="AA71" s="263"/>
      <c r="AB71" s="263"/>
      <c r="AC71" s="263"/>
      <c r="AD71" s="263"/>
      <c r="AE71" s="263"/>
      <c r="AF71" s="264"/>
      <c r="AH71" s="136">
        <v>0.10416666666667</v>
      </c>
      <c r="AI71" s="136" t="s">
        <v>10</v>
      </c>
      <c r="AJ71" s="136" t="s">
        <v>120</v>
      </c>
      <c r="AK71" s="136" t="s">
        <v>10</v>
      </c>
      <c r="AL71" s="136" t="s">
        <v>120</v>
      </c>
      <c r="AM71" s="136" t="s">
        <v>10</v>
      </c>
      <c r="AN71" s="136" t="s">
        <v>120</v>
      </c>
      <c r="AO71" s="136" t="s">
        <v>10</v>
      </c>
      <c r="AP71" s="136" t="s">
        <v>120</v>
      </c>
      <c r="AQ71" s="136" t="s">
        <v>10</v>
      </c>
      <c r="AR71" s="136" t="s">
        <v>120</v>
      </c>
      <c r="AS71" s="136" t="s">
        <v>10</v>
      </c>
      <c r="AT71" s="136" t="s">
        <v>120</v>
      </c>
      <c r="AU71" s="136" t="s">
        <v>10</v>
      </c>
      <c r="AV71" s="136" t="s">
        <v>120</v>
      </c>
      <c r="AX71" s="136" t="str">
        <f>IF(AI62="","",IF(B71="","",B71))</f>
        <v>HS</v>
      </c>
      <c r="AY71" s="136" t="str">
        <f>IF(AI62="","",IF(C71="","",C71))</f>
        <v>-</v>
      </c>
      <c r="AZ71" s="136" t="str">
        <f>IF(AI62="","",IF(D71="","",D71))</f>
        <v>HS</v>
      </c>
      <c r="BA71" s="136" t="str">
        <f>IF(AI62="","",IF(E71="","",E71))</f>
        <v>-</v>
      </c>
      <c r="BB71" s="136" t="str">
        <f>IF(AI62="","",IF(F71="","",F71))</f>
        <v>HS</v>
      </c>
      <c r="BC71" s="136" t="str">
        <f>IF(AI62="","",IF(G71="","",G71))</f>
        <v>-</v>
      </c>
      <c r="BD71" s="136" t="str">
        <f>IF(AI62="","",IF(H71="","",H71))</f>
        <v>HS</v>
      </c>
      <c r="BE71" s="136" t="str">
        <f>IF(AI62="","",IF(I71="","",I71))</f>
        <v>-</v>
      </c>
      <c r="BF71" s="136" t="str">
        <f>IF(AI62="","",IF(J71="","",J71))</f>
        <v>HS</v>
      </c>
      <c r="BG71" s="136" t="str">
        <f>IF(AI62="","",IF(K71="","",K71))</f>
        <v>-</v>
      </c>
      <c r="BH71" s="136" t="str">
        <f>IF(AI62="","",IF(L71="","",L71))</f>
        <v>HS</v>
      </c>
      <c r="BI71" s="136" t="str">
        <f>IF(AI62="","",IF(M71="","",M71))</f>
        <v>-</v>
      </c>
      <c r="BJ71" s="136" t="str">
        <f>IF(AI62="","",IF(N71="","",N71))</f>
        <v>HS</v>
      </c>
      <c r="BK71" s="136" t="str">
        <f>IF(AI62="","",IF(O71="","",O71))</f>
        <v>-</v>
      </c>
      <c r="BZ71" s="280"/>
      <c r="CA71" s="183" t="str">
        <f>'INFO BASE'!L134</f>
        <v>-</v>
      </c>
      <c r="CB71" s="183" t="str">
        <f>'INFO BASE'!M134</f>
        <v/>
      </c>
      <c r="CD71" s="136" t="str">
        <f t="shared" si="63"/>
        <v>IEI</v>
      </c>
      <c r="CR71" s="177" t="str">
        <f t="shared" si="53"/>
        <v>HS</v>
      </c>
      <c r="CS71" s="177" t="str">
        <f t="shared" si="54"/>
        <v>HS-</v>
      </c>
      <c r="CT71" s="177" t="str">
        <f t="shared" si="53"/>
        <v>HS</v>
      </c>
      <c r="CU71" s="177" t="str">
        <f t="shared" si="55"/>
        <v>HS-</v>
      </c>
      <c r="CV71" s="177" t="str">
        <f t="shared" si="53"/>
        <v>HS</v>
      </c>
      <c r="CW71" s="177" t="str">
        <f t="shared" si="56"/>
        <v>HS-</v>
      </c>
      <c r="CX71" s="177" t="str">
        <f t="shared" si="53"/>
        <v>HS</v>
      </c>
      <c r="CY71" s="177" t="str">
        <f t="shared" si="57"/>
        <v>HS-</v>
      </c>
      <c r="CZ71" s="177" t="str">
        <f t="shared" si="53"/>
        <v>HS</v>
      </c>
      <c r="DA71" s="177" t="str">
        <f t="shared" si="58"/>
        <v>HS-</v>
      </c>
      <c r="DB71" s="177" t="str">
        <f t="shared" si="53"/>
        <v>HS</v>
      </c>
      <c r="DC71" s="177" t="str">
        <f t="shared" si="59"/>
        <v>HS-</v>
      </c>
      <c r="DD71" s="177" t="str">
        <f t="shared" si="60"/>
        <v>HS</v>
      </c>
      <c r="DE71" s="177" t="str">
        <f t="shared" si="61"/>
        <v>HS-</v>
      </c>
      <c r="DK71" s="136" t="str">
        <f t="shared" si="10"/>
        <v>HR-</v>
      </c>
      <c r="DN71" t="str">
        <f>'INFO BASE'!B28</f>
        <v>HR</v>
      </c>
      <c r="DO71" t="s">
        <v>120</v>
      </c>
      <c r="DP71" t="str">
        <f t="shared" si="11"/>
        <v>HR</v>
      </c>
    </row>
    <row r="72" spans="1:120" ht="18" customHeight="1" x14ac:dyDescent="0.3">
      <c r="A72" s="81">
        <v>0.125000000000004</v>
      </c>
      <c r="B72" s="166" t="s">
        <v>10</v>
      </c>
      <c r="C72" s="130" t="s">
        <v>120</v>
      </c>
      <c r="D72" s="169" t="s">
        <v>10</v>
      </c>
      <c r="E72" s="130" t="s">
        <v>120</v>
      </c>
      <c r="F72" s="169" t="s">
        <v>10</v>
      </c>
      <c r="G72" s="130" t="s">
        <v>120</v>
      </c>
      <c r="H72" s="169" t="s">
        <v>10</v>
      </c>
      <c r="I72" s="130" t="s">
        <v>120</v>
      </c>
      <c r="J72" s="169" t="s">
        <v>10</v>
      </c>
      <c r="K72" s="130" t="s">
        <v>120</v>
      </c>
      <c r="L72" s="169" t="s">
        <v>10</v>
      </c>
      <c r="M72" s="130" t="s">
        <v>120</v>
      </c>
      <c r="N72" s="169" t="s">
        <v>10</v>
      </c>
      <c r="O72" s="154" t="s">
        <v>120</v>
      </c>
      <c r="Q72" s="284"/>
      <c r="R72" s="285"/>
      <c r="S72" s="285"/>
      <c r="T72" s="285"/>
      <c r="U72" s="285"/>
      <c r="V72" s="285"/>
      <c r="W72" s="286"/>
      <c r="X72" s="199">
        <v>1</v>
      </c>
      <c r="Y72" s="262" t="str">
        <f t="array" ref="Y72">IF(ISERROR(INDEX($CA$2:$CB$200,SMALL(IF($CA$2:$CA$200=$A$61,ROW($CA$2:$CA$200)),ROW(7:7))-1,2)),"",INDEX($CA$2:$CB$200,SMALL(IF($CA$2:$CA$200=$A$61,ROW($CA$2:$CA$200)),ROW(7:7))-1,2))</f>
        <v/>
      </c>
      <c r="Z72" s="263"/>
      <c r="AA72" s="263"/>
      <c r="AB72" s="263"/>
      <c r="AC72" s="263"/>
      <c r="AD72" s="263"/>
      <c r="AE72" s="263"/>
      <c r="AF72" s="264"/>
      <c r="AH72" s="136">
        <v>0.125000000000004</v>
      </c>
      <c r="AI72" s="136" t="s">
        <v>10</v>
      </c>
      <c r="AJ72" s="136" t="s">
        <v>120</v>
      </c>
      <c r="AK72" s="136" t="s">
        <v>10</v>
      </c>
      <c r="AL72" s="136" t="s">
        <v>120</v>
      </c>
      <c r="AM72" s="136" t="s">
        <v>10</v>
      </c>
      <c r="AN72" s="136" t="s">
        <v>120</v>
      </c>
      <c r="AO72" s="136" t="s">
        <v>10</v>
      </c>
      <c r="AP72" s="136" t="s">
        <v>120</v>
      </c>
      <c r="AQ72" s="136" t="s">
        <v>10</v>
      </c>
      <c r="AR72" s="136" t="s">
        <v>120</v>
      </c>
      <c r="AS72" s="136" t="s">
        <v>10</v>
      </c>
      <c r="AT72" s="136" t="s">
        <v>120</v>
      </c>
      <c r="AU72" s="136" t="s">
        <v>10</v>
      </c>
      <c r="AV72" s="136" t="s">
        <v>120</v>
      </c>
      <c r="AX72" s="136" t="str">
        <f>IF(AI62="","",IF(B72="","",B72))</f>
        <v>HS</v>
      </c>
      <c r="AY72" s="136" t="str">
        <f>IF(AI62="","",IF(C72="","",C72))</f>
        <v>-</v>
      </c>
      <c r="AZ72" s="136" t="str">
        <f>IF(AI62="","",IF(D72="","",D72))</f>
        <v>HS</v>
      </c>
      <c r="BA72" s="136" t="str">
        <f>IF(AI62="","",IF(E72="","",E72))</f>
        <v>-</v>
      </c>
      <c r="BB72" s="136" t="str">
        <f>IF(AI62="","",IF(F72="","",F72))</f>
        <v>HS</v>
      </c>
      <c r="BC72" s="136" t="str">
        <f>IF(AI62="","",IF(G72="","",G72))</f>
        <v>-</v>
      </c>
      <c r="BD72" s="136" t="str">
        <f>IF(AI62="","",IF(H72="","",H72))</f>
        <v>HS</v>
      </c>
      <c r="BE72" s="136" t="str">
        <f>IF(AI62="","",IF(I72="","",I72))</f>
        <v>-</v>
      </c>
      <c r="BF72" s="136" t="str">
        <f>IF(AI62="","",IF(J72="","",J72))</f>
        <v>HS</v>
      </c>
      <c r="BG72" s="136" t="str">
        <f>IF(AI62="","",IF(K72="","",K72))</f>
        <v>-</v>
      </c>
      <c r="BH72" s="136" t="str">
        <f>IF(AI62="","",IF(L72="","",L72))</f>
        <v>HS</v>
      </c>
      <c r="BI72" s="136" t="str">
        <f>IF(AI62="","",IF(M72="","",M72))</f>
        <v>-</v>
      </c>
      <c r="BJ72" s="136" t="str">
        <f>IF(AI62="","",IF(N72="","",N72))</f>
        <v>HS</v>
      </c>
      <c r="BK72" s="136" t="str">
        <f>IF(AI62="","",IF(O72="","",O72))</f>
        <v>-</v>
      </c>
      <c r="BZ72" s="280"/>
      <c r="CA72" s="183" t="str">
        <f>'INFO BASE'!L135</f>
        <v>-</v>
      </c>
      <c r="CB72" s="183" t="str">
        <f>'INFO BASE'!M135</f>
        <v/>
      </c>
      <c r="CD72" s="136" t="str">
        <f t="shared" si="63"/>
        <v>IAC</v>
      </c>
      <c r="CR72" s="177" t="str">
        <f t="shared" si="53"/>
        <v>HS</v>
      </c>
      <c r="CS72" s="177" t="str">
        <f t="shared" si="54"/>
        <v>HS-</v>
      </c>
      <c r="CT72" s="177" t="str">
        <f t="shared" si="53"/>
        <v>HS</v>
      </c>
      <c r="CU72" s="177" t="str">
        <f t="shared" si="55"/>
        <v>HS-</v>
      </c>
      <c r="CV72" s="177" t="str">
        <f t="shared" si="53"/>
        <v>HS</v>
      </c>
      <c r="CW72" s="177" t="str">
        <f t="shared" si="56"/>
        <v>HS-</v>
      </c>
      <c r="CX72" s="177" t="str">
        <f t="shared" si="53"/>
        <v>HS</v>
      </c>
      <c r="CY72" s="177" t="str">
        <f t="shared" si="57"/>
        <v>HS-</v>
      </c>
      <c r="CZ72" s="177" t="str">
        <f t="shared" si="53"/>
        <v>HS</v>
      </c>
      <c r="DA72" s="177" t="str">
        <f t="shared" si="58"/>
        <v>HS-</v>
      </c>
      <c r="DB72" s="177" t="str">
        <f t="shared" si="53"/>
        <v>HS</v>
      </c>
      <c r="DC72" s="177" t="str">
        <f t="shared" si="59"/>
        <v>HS-</v>
      </c>
      <c r="DD72" s="177" t="str">
        <f t="shared" si="60"/>
        <v>HS</v>
      </c>
      <c r="DE72" s="177" t="str">
        <f t="shared" si="61"/>
        <v>HS-</v>
      </c>
      <c r="DK72" s="136" t="str">
        <f t="shared" si="10"/>
        <v>HS-</v>
      </c>
      <c r="DN72" t="str">
        <f>'INFO BASE'!B29</f>
        <v>HS</v>
      </c>
      <c r="DO72" t="s">
        <v>120</v>
      </c>
      <c r="DP72" t="str">
        <f t="shared" si="11"/>
        <v>HS</v>
      </c>
    </row>
    <row r="73" spans="1:120" ht="18" customHeight="1" thickBot="1" x14ac:dyDescent="0.35">
      <c r="A73" s="81">
        <v>0.14583333333333801</v>
      </c>
      <c r="B73" s="166" t="s">
        <v>10</v>
      </c>
      <c r="C73" s="130" t="s">
        <v>120</v>
      </c>
      <c r="D73" s="169" t="s">
        <v>10</v>
      </c>
      <c r="E73" s="130" t="s">
        <v>120</v>
      </c>
      <c r="F73" s="169" t="s">
        <v>10</v>
      </c>
      <c r="G73" s="130" t="s">
        <v>120</v>
      </c>
      <c r="H73" s="169" t="s">
        <v>10</v>
      </c>
      <c r="I73" s="130" t="s">
        <v>120</v>
      </c>
      <c r="J73" s="169" t="s">
        <v>10</v>
      </c>
      <c r="K73" s="130" t="s">
        <v>120</v>
      </c>
      <c r="L73" s="169" t="s">
        <v>10</v>
      </c>
      <c r="M73" s="130" t="s">
        <v>120</v>
      </c>
      <c r="N73" s="169" t="s">
        <v>10</v>
      </c>
      <c r="O73" s="154" t="s">
        <v>120</v>
      </c>
      <c r="Q73" s="287"/>
      <c r="R73" s="288"/>
      <c r="S73" s="288"/>
      <c r="T73" s="288"/>
      <c r="U73" s="288"/>
      <c r="V73" s="288"/>
      <c r="W73" s="289"/>
      <c r="X73" s="199">
        <v>1</v>
      </c>
      <c r="Y73" s="265" t="str">
        <f t="array" ref="Y73">IF(ISERROR(INDEX($CA$2:$CB$200,SMALL(IF($CA$2:$CA$200=$A$61,ROW($CA$2:$CA$200)),ROW(8:8))-1,2)),"",INDEX($CA$2:$CB$200,SMALL(IF($CA$2:$CA$200=$A$61,ROW($CA$2:$CA$200)),ROW(8:8))-1,2))</f>
        <v/>
      </c>
      <c r="Z73" s="266"/>
      <c r="AA73" s="266"/>
      <c r="AB73" s="266"/>
      <c r="AC73" s="266"/>
      <c r="AD73" s="266"/>
      <c r="AE73" s="266"/>
      <c r="AF73" s="267"/>
      <c r="AH73" s="136">
        <v>0.14583333333333801</v>
      </c>
      <c r="AI73" s="136" t="s">
        <v>10</v>
      </c>
      <c r="AJ73" s="136" t="s">
        <v>120</v>
      </c>
      <c r="AK73" s="136" t="s">
        <v>10</v>
      </c>
      <c r="AL73" s="136" t="s">
        <v>120</v>
      </c>
      <c r="AM73" s="136" t="s">
        <v>10</v>
      </c>
      <c r="AN73" s="136" t="s">
        <v>120</v>
      </c>
      <c r="AO73" s="136" t="s">
        <v>10</v>
      </c>
      <c r="AP73" s="136" t="s">
        <v>120</v>
      </c>
      <c r="AQ73" s="136" t="s">
        <v>10</v>
      </c>
      <c r="AR73" s="136" t="s">
        <v>120</v>
      </c>
      <c r="AS73" s="136" t="s">
        <v>10</v>
      </c>
      <c r="AT73" s="136" t="s">
        <v>120</v>
      </c>
      <c r="AU73" s="136" t="s">
        <v>10</v>
      </c>
      <c r="AV73" s="136" t="s">
        <v>120</v>
      </c>
      <c r="AX73" s="136" t="str">
        <f>IF(AI62="","",IF(B73="","",B73))</f>
        <v>HS</v>
      </c>
      <c r="AY73" s="136" t="str">
        <f>IF(AI62="","",IF(C73="","",C73))</f>
        <v>-</v>
      </c>
      <c r="AZ73" s="136" t="str">
        <f>IF(AI62="","",IF(D73="","",D73))</f>
        <v>HS</v>
      </c>
      <c r="BA73" s="136" t="str">
        <f>IF(AI62="","",IF(E73="","",E73))</f>
        <v>-</v>
      </c>
      <c r="BB73" s="136" t="str">
        <f>IF(AI62="","",IF(F73="","",F73))</f>
        <v>HS</v>
      </c>
      <c r="BC73" s="136" t="str">
        <f>IF(AI62="","",IF(G73="","",G73))</f>
        <v>-</v>
      </c>
      <c r="BD73" s="136" t="str">
        <f>IF(AI62="","",IF(H73="","",H73))</f>
        <v>HS</v>
      </c>
      <c r="BE73" s="136" t="str">
        <f>IF(AI62="","",IF(I73="","",I73))</f>
        <v>-</v>
      </c>
      <c r="BF73" s="136" t="str">
        <f>IF(AI62="","",IF(J73="","",J73))</f>
        <v>HS</v>
      </c>
      <c r="BG73" s="136" t="str">
        <f>IF(AI62="","",IF(K73="","",K73))</f>
        <v>-</v>
      </c>
      <c r="BH73" s="136" t="str">
        <f>IF(AI62="","",IF(L73="","",L73))</f>
        <v>HS</v>
      </c>
      <c r="BI73" s="136" t="str">
        <f>IF(AI62="","",IF(M73="","",M73))</f>
        <v>-</v>
      </c>
      <c r="BJ73" s="136" t="str">
        <f>IF(AI62="","",IF(N73="","",N73))</f>
        <v>HS</v>
      </c>
      <c r="BK73" s="136" t="str">
        <f>IF(AI62="","",IF(O73="","",O73))</f>
        <v>-</v>
      </c>
      <c r="BZ73" s="280"/>
      <c r="CA73" s="183" t="str">
        <f>'INFO BASE'!L136</f>
        <v>-</v>
      </c>
      <c r="CB73" s="183" t="str">
        <f>'INFO BASE'!M136</f>
        <v/>
      </c>
      <c r="CD73" s="136" t="str">
        <f t="shared" si="63"/>
        <v>AL</v>
      </c>
      <c r="CR73" s="177" t="str">
        <f t="shared" si="53"/>
        <v>HS</v>
      </c>
      <c r="CS73" s="177" t="str">
        <f t="shared" si="54"/>
        <v>HS-</v>
      </c>
      <c r="CT73" s="177" t="str">
        <f t="shared" si="53"/>
        <v>HS</v>
      </c>
      <c r="CU73" s="177" t="str">
        <f t="shared" si="55"/>
        <v>HS-</v>
      </c>
      <c r="CV73" s="177" t="str">
        <f t="shared" si="53"/>
        <v>HS</v>
      </c>
      <c r="CW73" s="177" t="str">
        <f t="shared" si="56"/>
        <v>HS-</v>
      </c>
      <c r="CX73" s="177" t="str">
        <f t="shared" si="53"/>
        <v>HS</v>
      </c>
      <c r="CY73" s="177" t="str">
        <f t="shared" si="57"/>
        <v>HS-</v>
      </c>
      <c r="CZ73" s="177" t="str">
        <f t="shared" si="53"/>
        <v>HS</v>
      </c>
      <c r="DA73" s="177" t="str">
        <f t="shared" si="58"/>
        <v>HS-</v>
      </c>
      <c r="DB73" s="177" t="str">
        <f t="shared" si="53"/>
        <v>HS</v>
      </c>
      <c r="DC73" s="177" t="str">
        <f t="shared" si="59"/>
        <v>HS-</v>
      </c>
      <c r="DD73" s="177" t="str">
        <f t="shared" si="60"/>
        <v>HS</v>
      </c>
      <c r="DE73" s="177" t="str">
        <f t="shared" si="61"/>
        <v>HS-</v>
      </c>
    </row>
    <row r="74" spans="1:120" ht="18" customHeight="1" thickBot="1" x14ac:dyDescent="0.35">
      <c r="A74" s="81">
        <v>0.16666666666667199</v>
      </c>
      <c r="B74" s="166" t="s">
        <v>10</v>
      </c>
      <c r="C74" s="130" t="s">
        <v>120</v>
      </c>
      <c r="D74" s="169" t="s">
        <v>10</v>
      </c>
      <c r="E74" s="130" t="s">
        <v>120</v>
      </c>
      <c r="F74" s="169" t="s">
        <v>10</v>
      </c>
      <c r="G74" s="130" t="s">
        <v>120</v>
      </c>
      <c r="H74" s="169" t="s">
        <v>10</v>
      </c>
      <c r="I74" s="130" t="s">
        <v>120</v>
      </c>
      <c r="J74" s="169" t="s">
        <v>10</v>
      </c>
      <c r="K74" s="130" t="s">
        <v>120</v>
      </c>
      <c r="L74" s="169" t="s">
        <v>10</v>
      </c>
      <c r="M74" s="130" t="s">
        <v>120</v>
      </c>
      <c r="N74" s="169" t="s">
        <v>10</v>
      </c>
      <c r="O74" s="154" t="s">
        <v>120</v>
      </c>
      <c r="Q74" s="63"/>
      <c r="R74" s="64"/>
      <c r="S74" s="65"/>
      <c r="T74" s="65"/>
      <c r="U74" s="65"/>
      <c r="V74" s="65"/>
      <c r="W74" s="65"/>
      <c r="X74" s="199">
        <v>1</v>
      </c>
      <c r="Y74" s="59"/>
      <c r="Z74" s="59"/>
      <c r="AA74" s="59"/>
      <c r="AB74" s="59"/>
      <c r="AC74" s="59"/>
      <c r="AD74" s="59"/>
      <c r="AE74" s="59"/>
      <c r="AF74" s="59"/>
      <c r="AH74" s="136">
        <v>0.16666666666667199</v>
      </c>
      <c r="AI74" s="136" t="s">
        <v>10</v>
      </c>
      <c r="AJ74" s="136" t="s">
        <v>120</v>
      </c>
      <c r="AK74" s="136" t="s">
        <v>10</v>
      </c>
      <c r="AL74" s="136" t="s">
        <v>120</v>
      </c>
      <c r="AM74" s="136" t="s">
        <v>10</v>
      </c>
      <c r="AN74" s="136" t="s">
        <v>120</v>
      </c>
      <c r="AO74" s="136" t="s">
        <v>10</v>
      </c>
      <c r="AP74" s="136" t="s">
        <v>120</v>
      </c>
      <c r="AQ74" s="136" t="s">
        <v>10</v>
      </c>
      <c r="AR74" s="136" t="s">
        <v>120</v>
      </c>
      <c r="AS74" s="136" t="s">
        <v>10</v>
      </c>
      <c r="AT74" s="136" t="s">
        <v>120</v>
      </c>
      <c r="AU74" s="136" t="s">
        <v>10</v>
      </c>
      <c r="AV74" s="136" t="s">
        <v>120</v>
      </c>
      <c r="AX74" s="136" t="str">
        <f>IF(AI62="","",IF(B74="","",B74))</f>
        <v>HS</v>
      </c>
      <c r="AY74" s="136" t="str">
        <f>IF(AI62="","",IF(C74="","",C74))</f>
        <v>-</v>
      </c>
      <c r="AZ74" s="136" t="str">
        <f>IF(AI62="","",IF(D74="","",D74))</f>
        <v>HS</v>
      </c>
      <c r="BA74" s="136" t="str">
        <f>IF(AI62="","",IF(E74="","",E74))</f>
        <v>-</v>
      </c>
      <c r="BB74" s="136" t="str">
        <f>IF(AI62="","",IF(F74="","",F74))</f>
        <v>HS</v>
      </c>
      <c r="BC74" s="136" t="str">
        <f>IF(AI62="","",IF(G74="","",G74))</f>
        <v>-</v>
      </c>
      <c r="BD74" s="136" t="str">
        <f>IF(AI62="","",IF(H74="","",H74))</f>
        <v>HS</v>
      </c>
      <c r="BE74" s="136" t="str">
        <f>IF(AI62="","",IF(I74="","",I74))</f>
        <v>-</v>
      </c>
      <c r="BF74" s="136" t="str">
        <f>IF(AI62="","",IF(J74="","",J74))</f>
        <v>HS</v>
      </c>
      <c r="BG74" s="136" t="str">
        <f>IF(AI62="","",IF(K74="","",K74))</f>
        <v>-</v>
      </c>
      <c r="BH74" s="136" t="str">
        <f>IF(AI62="","",IF(L74="","",L74))</f>
        <v>HS</v>
      </c>
      <c r="BI74" s="136" t="str">
        <f>IF(AI62="","",IF(M74="","",M74))</f>
        <v>-</v>
      </c>
      <c r="BJ74" s="136" t="str">
        <f>IF(AI62="","",IF(N74="","",N74))</f>
        <v>HS</v>
      </c>
      <c r="BK74" s="136" t="str">
        <f>IF(AI62="","",IF(O74="","",O74))</f>
        <v>-</v>
      </c>
      <c r="BM74" s="136" t="str">
        <f>BO74</f>
        <v>EA</v>
      </c>
      <c r="BN74" s="136" t="str">
        <f t="shared" ref="BN74:BO110" si="64">Q77</f>
        <v>Estudo Autónomo</v>
      </c>
      <c r="BO74" s="136" t="str">
        <f t="shared" si="64"/>
        <v>EA</v>
      </c>
      <c r="BP74" s="136">
        <f>COUNTIFS(AX66:BK113,BO74)*0.5</f>
        <v>15</v>
      </c>
      <c r="BQ74" s="136" t="str">
        <f t="shared" ref="BQ74:BR110" si="65">BN74</f>
        <v>Estudo Autónomo</v>
      </c>
      <c r="BR74" s="136" t="str">
        <f t="shared" si="65"/>
        <v>EA</v>
      </c>
      <c r="BS74" s="136" t="str">
        <f>BQ74</f>
        <v>Estudo Autónomo</v>
      </c>
      <c r="BT74" s="136">
        <f>SUMIFS(V:V,Q:Q,BQ74,R:R,BR74)</f>
        <v>86.5</v>
      </c>
      <c r="BU74" s="136">
        <f>SUMIFS(BP:BP,BN:BN,BQ74,BO:BO,BR74)</f>
        <v>95.5</v>
      </c>
      <c r="BZ74" s="280"/>
      <c r="CA74" s="183" t="str">
        <f>'INFO BASE'!L137</f>
        <v>-</v>
      </c>
      <c r="CB74" s="183" t="str">
        <f>'INFO BASE'!M137</f>
        <v/>
      </c>
      <c r="CD74" s="136" t="str">
        <f t="shared" si="63"/>
        <v>CDI</v>
      </c>
      <c r="CR74" s="177" t="str">
        <f t="shared" si="53"/>
        <v>HS</v>
      </c>
      <c r="CS74" s="177" t="str">
        <f t="shared" si="54"/>
        <v>HS-</v>
      </c>
      <c r="CT74" s="177" t="str">
        <f t="shared" si="53"/>
        <v>HS</v>
      </c>
      <c r="CU74" s="177" t="str">
        <f t="shared" si="55"/>
        <v>HS-</v>
      </c>
      <c r="CV74" s="177" t="str">
        <f t="shared" si="53"/>
        <v>HS</v>
      </c>
      <c r="CW74" s="177" t="str">
        <f t="shared" si="56"/>
        <v>HS-</v>
      </c>
      <c r="CX74" s="177" t="str">
        <f t="shared" si="53"/>
        <v>HS</v>
      </c>
      <c r="CY74" s="177" t="str">
        <f t="shared" si="57"/>
        <v>HS-</v>
      </c>
      <c r="CZ74" s="177" t="str">
        <f t="shared" si="53"/>
        <v>HS</v>
      </c>
      <c r="DA74" s="177" t="str">
        <f t="shared" si="58"/>
        <v>HS-</v>
      </c>
      <c r="DB74" s="177" t="str">
        <f t="shared" si="53"/>
        <v>HS</v>
      </c>
      <c r="DC74" s="177" t="str">
        <f t="shared" si="59"/>
        <v>HS-</v>
      </c>
      <c r="DD74" s="177" t="str">
        <f t="shared" si="60"/>
        <v>HS</v>
      </c>
      <c r="DE74" s="177" t="str">
        <f t="shared" si="61"/>
        <v>HS-</v>
      </c>
    </row>
    <row r="75" spans="1:120" ht="18" customHeight="1" x14ac:dyDescent="0.3">
      <c r="A75" s="81">
        <v>0.187500000000006</v>
      </c>
      <c r="B75" s="166" t="s">
        <v>10</v>
      </c>
      <c r="C75" s="130" t="s">
        <v>120</v>
      </c>
      <c r="D75" s="169" t="s">
        <v>10</v>
      </c>
      <c r="E75" s="130" t="s">
        <v>120</v>
      </c>
      <c r="F75" s="169" t="s">
        <v>10</v>
      </c>
      <c r="G75" s="130" t="s">
        <v>120</v>
      </c>
      <c r="H75" s="169" t="s">
        <v>10</v>
      </c>
      <c r="I75" s="130" t="s">
        <v>120</v>
      </c>
      <c r="J75" s="169" t="s">
        <v>10</v>
      </c>
      <c r="K75" s="130" t="s">
        <v>120</v>
      </c>
      <c r="L75" s="169" t="s">
        <v>10</v>
      </c>
      <c r="M75" s="130" t="s">
        <v>120</v>
      </c>
      <c r="N75" s="169" t="s">
        <v>10</v>
      </c>
      <c r="O75" s="154" t="s">
        <v>120</v>
      </c>
      <c r="Q75" s="294" t="s">
        <v>14</v>
      </c>
      <c r="R75" s="290" t="s">
        <v>88</v>
      </c>
      <c r="S75" s="290" t="s">
        <v>87</v>
      </c>
      <c r="T75" s="290" t="s">
        <v>89</v>
      </c>
      <c r="U75" s="290" t="s">
        <v>41</v>
      </c>
      <c r="V75" s="290" t="s">
        <v>91</v>
      </c>
      <c r="W75" s="292" t="s">
        <v>90</v>
      </c>
      <c r="X75" s="199">
        <v>1</v>
      </c>
      <c r="Y75" s="302" t="s">
        <v>21</v>
      </c>
      <c r="Z75" s="303"/>
      <c r="AA75" s="303"/>
      <c r="AB75" s="303"/>
      <c r="AC75" s="303"/>
      <c r="AD75" s="303"/>
      <c r="AE75" s="303"/>
      <c r="AF75" s="304"/>
      <c r="AH75" s="136">
        <v>0.187500000000006</v>
      </c>
      <c r="AI75" s="136" t="s">
        <v>10</v>
      </c>
      <c r="AJ75" s="136" t="s">
        <v>120</v>
      </c>
      <c r="AK75" s="136" t="s">
        <v>10</v>
      </c>
      <c r="AL75" s="136" t="s">
        <v>120</v>
      </c>
      <c r="AM75" s="136" t="s">
        <v>10</v>
      </c>
      <c r="AN75" s="136" t="s">
        <v>120</v>
      </c>
      <c r="AO75" s="136" t="s">
        <v>10</v>
      </c>
      <c r="AP75" s="136" t="s">
        <v>120</v>
      </c>
      <c r="AQ75" s="136" t="s">
        <v>10</v>
      </c>
      <c r="AR75" s="136" t="s">
        <v>120</v>
      </c>
      <c r="AS75" s="136" t="s">
        <v>10</v>
      </c>
      <c r="AT75" s="136" t="s">
        <v>120</v>
      </c>
      <c r="AU75" s="136" t="s">
        <v>10</v>
      </c>
      <c r="AV75" s="136" t="s">
        <v>120</v>
      </c>
      <c r="AX75" s="136" t="str">
        <f>IF(AI62="","",IF(B75="","",B75))</f>
        <v>HS</v>
      </c>
      <c r="AY75" s="136" t="str">
        <f>IF(AI62="","",IF(C75="","",C75))</f>
        <v>-</v>
      </c>
      <c r="AZ75" s="136" t="str">
        <f>IF(AI62="","",IF(D75="","",D75))</f>
        <v>HS</v>
      </c>
      <c r="BA75" s="136" t="str">
        <f>IF(AI62="","",IF(E75="","",E75))</f>
        <v>-</v>
      </c>
      <c r="BB75" s="136" t="str">
        <f>IF(AI62="","",IF(F75="","",F75))</f>
        <v>HS</v>
      </c>
      <c r="BC75" s="136" t="str">
        <f>IF(AI62="","",IF(G75="","",G75))</f>
        <v>-</v>
      </c>
      <c r="BD75" s="136" t="str">
        <f>IF(AI62="","",IF(H75="","",H75))</f>
        <v>HS</v>
      </c>
      <c r="BE75" s="136" t="str">
        <f>IF(AI62="","",IF(I75="","",I75))</f>
        <v>-</v>
      </c>
      <c r="BF75" s="136" t="str">
        <f>IF(AI62="","",IF(J75="","",J75))</f>
        <v>HS</v>
      </c>
      <c r="BG75" s="136" t="str">
        <f>IF(AI62="","",IF(K75="","",K75))</f>
        <v>-</v>
      </c>
      <c r="BH75" s="136" t="str">
        <f>IF(AI62="","",IF(L75="","",L75))</f>
        <v>HS</v>
      </c>
      <c r="BI75" s="136" t="str">
        <f>IF(AI62="","",IF(M75="","",M75))</f>
        <v>-</v>
      </c>
      <c r="BJ75" s="136" t="str">
        <f>IF(AI62="","",IF(N75="","",N75))</f>
        <v>HS</v>
      </c>
      <c r="BK75" s="136" t="str">
        <f>IF(AI62="","",IF(O75="","",O75))</f>
        <v>-</v>
      </c>
      <c r="BM75" s="136" t="str">
        <f>BM74</f>
        <v>EA</v>
      </c>
      <c r="BN75" s="136" t="str">
        <f t="shared" si="64"/>
        <v>Estudo Autónomo</v>
      </c>
      <c r="BO75" s="136" t="str">
        <f t="shared" si="64"/>
        <v>FP</v>
      </c>
      <c r="BP75" s="136">
        <f>(COUNTIFS(AX66:AX113,BM75,AY66:AY113,BO75)+COUNTIFS(AZ66:AZ113,BM75,BA66:BA113,BO75)+COUNTIFS(BB66:BB113,BM75,BC66:BC113,BO75)+COUNTIFS(BD66:BD113,BM75,BE66:BE113,BO75)+COUNTIFS(BF66:BF113,BM75,BG66:BG113,BO75)+COUNTIFS(BH66:BH113,BM75,BI66:BI113,BO75)+COUNTIFS(BJ66:BJ113,BM75,BK66:BK113,BO75))*0.5</f>
        <v>2.5</v>
      </c>
      <c r="BQ75" s="136" t="str">
        <f t="shared" si="65"/>
        <v>Estudo Autónomo</v>
      </c>
      <c r="BR75" s="136" t="str">
        <f>$R$20</f>
        <v>EA</v>
      </c>
      <c r="BS75" s="136" t="str">
        <f t="shared" ref="BS75:BS110" si="66">BQ75</f>
        <v>Estudo Autónomo</v>
      </c>
      <c r="BT75" s="136">
        <f>SUMIFS(V:V,Q:Q,BQ75,R:R,BR75)</f>
        <v>86.5</v>
      </c>
      <c r="BU75" s="136">
        <f>SUMIFS(BP:BP,BN:BN,BQ75,BO:BO,BR75)</f>
        <v>95.5</v>
      </c>
      <c r="BZ75" s="280"/>
      <c r="CA75" s="183" t="str">
        <f>'INFO BASE'!L138</f>
        <v>-</v>
      </c>
      <c r="CB75" s="183" t="str">
        <f>'INFO BASE'!M138</f>
        <v/>
      </c>
      <c r="CD75" s="136" t="str">
        <f t="shared" si="63"/>
        <v/>
      </c>
      <c r="CR75" s="177" t="str">
        <f t="shared" si="53"/>
        <v>HS</v>
      </c>
      <c r="CS75" s="177" t="str">
        <f t="shared" si="54"/>
        <v>HS-</v>
      </c>
      <c r="CT75" s="177" t="str">
        <f t="shared" si="53"/>
        <v>HS</v>
      </c>
      <c r="CU75" s="177" t="str">
        <f t="shared" si="55"/>
        <v>HS-</v>
      </c>
      <c r="CV75" s="177" t="str">
        <f t="shared" si="53"/>
        <v>HS</v>
      </c>
      <c r="CW75" s="177" t="str">
        <f t="shared" si="56"/>
        <v>HS-</v>
      </c>
      <c r="CX75" s="177" t="str">
        <f t="shared" si="53"/>
        <v>HS</v>
      </c>
      <c r="CY75" s="177" t="str">
        <f t="shared" si="57"/>
        <v>HS-</v>
      </c>
      <c r="CZ75" s="177" t="str">
        <f t="shared" si="53"/>
        <v>HS</v>
      </c>
      <c r="DA75" s="177" t="str">
        <f t="shared" si="58"/>
        <v>HS-</v>
      </c>
      <c r="DB75" s="177" t="str">
        <f t="shared" si="53"/>
        <v>HS</v>
      </c>
      <c r="DC75" s="177" t="str">
        <f t="shared" si="59"/>
        <v>HS-</v>
      </c>
      <c r="DD75" s="177" t="str">
        <f t="shared" si="60"/>
        <v>HS</v>
      </c>
      <c r="DE75" s="177" t="str">
        <f t="shared" si="61"/>
        <v>HS-</v>
      </c>
    </row>
    <row r="76" spans="1:120" ht="18" customHeight="1" thickBot="1" x14ac:dyDescent="0.35">
      <c r="A76" s="81">
        <v>0.20833333333334</v>
      </c>
      <c r="B76" s="166" t="s">
        <v>10</v>
      </c>
      <c r="C76" s="130" t="s">
        <v>120</v>
      </c>
      <c r="D76" s="169" t="s">
        <v>10</v>
      </c>
      <c r="E76" s="130" t="s">
        <v>120</v>
      </c>
      <c r="F76" s="169" t="s">
        <v>10</v>
      </c>
      <c r="G76" s="130" t="s">
        <v>120</v>
      </c>
      <c r="H76" s="169" t="s">
        <v>10</v>
      </c>
      <c r="I76" s="130" t="s">
        <v>120</v>
      </c>
      <c r="J76" s="169" t="s">
        <v>10</v>
      </c>
      <c r="K76" s="130" t="s">
        <v>120</v>
      </c>
      <c r="L76" s="169" t="s">
        <v>10</v>
      </c>
      <c r="M76" s="130" t="s">
        <v>120</v>
      </c>
      <c r="N76" s="169" t="s">
        <v>10</v>
      </c>
      <c r="O76" s="154" t="s">
        <v>120</v>
      </c>
      <c r="Q76" s="295"/>
      <c r="R76" s="291"/>
      <c r="S76" s="291"/>
      <c r="T76" s="291"/>
      <c r="U76" s="291"/>
      <c r="V76" s="291"/>
      <c r="W76" s="293"/>
      <c r="X76" s="199">
        <v>1</v>
      </c>
      <c r="Y76" s="305"/>
      <c r="Z76" s="306"/>
      <c r="AA76" s="306"/>
      <c r="AB76" s="306"/>
      <c r="AC76" s="306"/>
      <c r="AD76" s="306"/>
      <c r="AE76" s="306"/>
      <c r="AF76" s="307"/>
      <c r="AH76" s="136">
        <v>0.20833333333334</v>
      </c>
      <c r="AI76" s="136" t="s">
        <v>10</v>
      </c>
      <c r="AJ76" s="136" t="s">
        <v>120</v>
      </c>
      <c r="AK76" s="136" t="s">
        <v>10</v>
      </c>
      <c r="AL76" s="136" t="s">
        <v>120</v>
      </c>
      <c r="AM76" s="136" t="s">
        <v>10</v>
      </c>
      <c r="AN76" s="136" t="s">
        <v>120</v>
      </c>
      <c r="AO76" s="136" t="s">
        <v>10</v>
      </c>
      <c r="AP76" s="136" t="s">
        <v>120</v>
      </c>
      <c r="AQ76" s="136" t="s">
        <v>10</v>
      </c>
      <c r="AR76" s="136" t="s">
        <v>120</v>
      </c>
      <c r="AS76" s="136" t="s">
        <v>10</v>
      </c>
      <c r="AT76" s="136" t="s">
        <v>120</v>
      </c>
      <c r="AU76" s="136" t="s">
        <v>10</v>
      </c>
      <c r="AV76" s="136" t="s">
        <v>120</v>
      </c>
      <c r="AX76" s="136" t="str">
        <f>IF(AI62="","",IF(B76="","",B76))</f>
        <v>HS</v>
      </c>
      <c r="AY76" s="136" t="str">
        <f>IF(AI62="","",IF(C76="","",C76))</f>
        <v>-</v>
      </c>
      <c r="AZ76" s="136" t="str">
        <f>IF(AI62="","",IF(D76="","",D76))</f>
        <v>HS</v>
      </c>
      <c r="BA76" s="136" t="str">
        <f>IF(AI62="","",IF(E76="","",E76))</f>
        <v>-</v>
      </c>
      <c r="BB76" s="136" t="str">
        <f>IF(AI62="","",IF(F76="","",F76))</f>
        <v>HS</v>
      </c>
      <c r="BC76" s="136" t="str">
        <f>IF(AI62="","",IF(G76="","",G76))</f>
        <v>-</v>
      </c>
      <c r="BD76" s="136" t="str">
        <f>IF(AI62="","",IF(H76="","",H76))</f>
        <v>HS</v>
      </c>
      <c r="BE76" s="136" t="str">
        <f>IF(AI62="","",IF(I76="","",I76))</f>
        <v>-</v>
      </c>
      <c r="BF76" s="136" t="str">
        <f>IF(AI62="","",IF(J76="","",J76))</f>
        <v>HS</v>
      </c>
      <c r="BG76" s="136" t="str">
        <f>IF(AI62="","",IF(K76="","",K76))</f>
        <v>-</v>
      </c>
      <c r="BH76" s="136" t="str">
        <f>IF(AI62="","",IF(L76="","",L76))</f>
        <v>HS</v>
      </c>
      <c r="BI76" s="136" t="str">
        <f>IF(AI62="","",IF(M76="","",M76))</f>
        <v>-</v>
      </c>
      <c r="BJ76" s="136" t="str">
        <f>IF(AI62="","",IF(N76="","",N76))</f>
        <v>HS</v>
      </c>
      <c r="BK76" s="136" t="str">
        <f>IF(AI62="","",IF(O76="","",O76))</f>
        <v>-</v>
      </c>
      <c r="BM76" s="136" t="str">
        <f t="shared" ref="BM76:BM80" si="67">BM75</f>
        <v>EA</v>
      </c>
      <c r="BN76" s="136" t="str">
        <f t="shared" si="64"/>
        <v>Estudo Autónomo</v>
      </c>
      <c r="BO76" s="136" t="str">
        <f t="shared" si="64"/>
        <v>IEI</v>
      </c>
      <c r="BP76" s="136">
        <f>(COUNTIFS(AX66:AX113,BM76,AY66:AY113,BO76)+COUNTIFS(AZ66:AZ113,BM76,BA66:BA113,BO76)+COUNTIFS(BB66:BB113,BM76,BC66:BC113,BO76)+COUNTIFS(BD66:BD113,BM76,BE66:BE113,BO76)+COUNTIFS(BF66:BF113,BM76,BG66:BG113,BO76)+COUNTIFS(BH66:BH113,BM76,BI66:BI113,BO76)+COUNTIFS(BJ66:BJ113,BM76,BK66:BK113,BO76))*0.5</f>
        <v>1.5</v>
      </c>
      <c r="BQ76" s="136" t="str">
        <f t="shared" si="65"/>
        <v>Estudo Autónomo</v>
      </c>
      <c r="BR76" s="136" t="str">
        <f t="shared" si="65"/>
        <v>IEI</v>
      </c>
      <c r="BS76" s="136" t="str">
        <f t="shared" si="66"/>
        <v>Estudo Autónomo</v>
      </c>
      <c r="BT76" s="136">
        <f>SUMIFS(V:V,Q:Q,BQ76,R:R,BR76)</f>
        <v>20</v>
      </c>
      <c r="BU76" s="136">
        <f>SUMIFS(BP:BP,BN:BN,BQ76,BO:BO,BR76)</f>
        <v>36.5</v>
      </c>
      <c r="BZ76" s="280"/>
      <c r="CA76" s="183" t="str">
        <f>'INFO BASE'!L139</f>
        <v>-</v>
      </c>
      <c r="CB76" s="183" t="str">
        <f>'INFO BASE'!M139</f>
        <v/>
      </c>
      <c r="CD76" s="136" t="str">
        <f>IF('INFO BASE'!E90="","",'INFO BASE'!E90)</f>
        <v/>
      </c>
      <c r="CR76" s="177" t="str">
        <f t="shared" si="53"/>
        <v>HS</v>
      </c>
      <c r="CS76" s="177" t="str">
        <f t="shared" si="54"/>
        <v>HS-</v>
      </c>
      <c r="CT76" s="177" t="str">
        <f t="shared" si="53"/>
        <v>HS</v>
      </c>
      <c r="CU76" s="177" t="str">
        <f t="shared" si="55"/>
        <v>HS-</v>
      </c>
      <c r="CV76" s="177" t="str">
        <f t="shared" si="53"/>
        <v>HS</v>
      </c>
      <c r="CW76" s="177" t="str">
        <f t="shared" si="56"/>
        <v>HS-</v>
      </c>
      <c r="CX76" s="177" t="str">
        <f t="shared" si="53"/>
        <v>HS</v>
      </c>
      <c r="CY76" s="177" t="str">
        <f t="shared" si="57"/>
        <v>HS-</v>
      </c>
      <c r="CZ76" s="177" t="str">
        <f t="shared" si="53"/>
        <v>HS</v>
      </c>
      <c r="DA76" s="177" t="str">
        <f t="shared" si="58"/>
        <v>HS-</v>
      </c>
      <c r="DB76" s="177" t="str">
        <f t="shared" si="53"/>
        <v>HS</v>
      </c>
      <c r="DC76" s="177" t="str">
        <f t="shared" si="59"/>
        <v>HS-</v>
      </c>
      <c r="DD76" s="177" t="str">
        <f t="shared" si="60"/>
        <v>HS</v>
      </c>
      <c r="DE76" s="177" t="str">
        <f t="shared" si="61"/>
        <v>HS-</v>
      </c>
    </row>
    <row r="77" spans="1:120" ht="18" customHeight="1" x14ac:dyDescent="0.3">
      <c r="A77" s="81">
        <v>0.22916666666667401</v>
      </c>
      <c r="B77" s="166" t="s">
        <v>10</v>
      </c>
      <c r="C77" s="130" t="s">
        <v>120</v>
      </c>
      <c r="D77" s="169" t="s">
        <v>10</v>
      </c>
      <c r="E77" s="130" t="s">
        <v>120</v>
      </c>
      <c r="F77" s="169" t="s">
        <v>10</v>
      </c>
      <c r="G77" s="130" t="s">
        <v>120</v>
      </c>
      <c r="H77" s="169" t="s">
        <v>10</v>
      </c>
      <c r="I77" s="130" t="s">
        <v>120</v>
      </c>
      <c r="J77" s="169" t="s">
        <v>10</v>
      </c>
      <c r="K77" s="130" t="s">
        <v>120</v>
      </c>
      <c r="L77" s="169" t="s">
        <v>10</v>
      </c>
      <c r="M77" s="130" t="s">
        <v>120</v>
      </c>
      <c r="N77" s="169" t="s">
        <v>10</v>
      </c>
      <c r="O77" s="154" t="s">
        <v>120</v>
      </c>
      <c r="P77" s="6">
        <v>0</v>
      </c>
      <c r="Q77" s="109" t="str">
        <f>IF('INFO BASE'!$C$17="","",'INFO BASE'!$C$17)</f>
        <v>Estudo Autónomo</v>
      </c>
      <c r="R77" s="82" t="str">
        <f>R20</f>
        <v>EA</v>
      </c>
      <c r="S77" s="83">
        <f t="shared" ref="S77:S113" si="68">IFERROR((U77/T77)-1,"-")</f>
        <v>-0.21052631578947367</v>
      </c>
      <c r="T77" s="84">
        <f>IF(VLOOKUP(Q77,'INFO BASE'!$B$40:$I$54,IF(R77='INFO BASE'!$B$32,3,IF(R77='INFO BASE'!$B$33,4,IF(R77='INFO BASE'!$B$34,5,IF(R77='INFO BASE'!$B$35,6,IF(R77='INFO BASE'!$B$36,7,IF(R77='INFO BASE'!$B$37,8,2)))))),0)=0,"",VLOOKUP(Q77,'INFO BASE'!$B$40:$I$54,IF(R77='INFO BASE'!$B$32,3,IF(R77='INFO BASE'!$B$33,4,IF(R77='INFO BASE'!$B$34,5,IF(R77='INFO BASE'!$B$35,6,IF(R77='INFO BASE'!$B$36,7,IF(R77='INFO BASE'!$B$37,8,2)))))),0))</f>
        <v>19</v>
      </c>
      <c r="U77" s="84">
        <f>IF(R77="","",COUNTIFS(SEMANA2,R77)*0.5)</f>
        <v>15</v>
      </c>
      <c r="V77" s="84">
        <f>IF(R77="","",COUNTIFS(AI66:AV113,R77)*0.5)</f>
        <v>16.5</v>
      </c>
      <c r="W77" s="85">
        <f>IF(AH62="","-",IF(V77=0,U77,IFERROR((U77/V77)-1,"-")))</f>
        <v>-9.0909090909090939E-2</v>
      </c>
      <c r="X77" s="200">
        <f t="shared" ref="X77:X113" si="69">IFERROR(IF(ABS(W77)&gt;P77,1,0),0)</f>
        <v>1</v>
      </c>
      <c r="Y77" s="296" t="s">
        <v>242</v>
      </c>
      <c r="Z77" s="297"/>
      <c r="AA77" s="297"/>
      <c r="AB77" s="297"/>
      <c r="AC77" s="297"/>
      <c r="AD77" s="297"/>
      <c r="AE77" s="297"/>
      <c r="AF77" s="298"/>
      <c r="AH77" s="136">
        <v>0.22916666666667401</v>
      </c>
      <c r="AI77" s="136" t="s">
        <v>10</v>
      </c>
      <c r="AJ77" s="136" t="s">
        <v>120</v>
      </c>
      <c r="AK77" s="136" t="s">
        <v>10</v>
      </c>
      <c r="AL77" s="136" t="s">
        <v>120</v>
      </c>
      <c r="AM77" s="136" t="s">
        <v>10</v>
      </c>
      <c r="AN77" s="136" t="s">
        <v>120</v>
      </c>
      <c r="AO77" s="136" t="s">
        <v>10</v>
      </c>
      <c r="AP77" s="136" t="s">
        <v>120</v>
      </c>
      <c r="AQ77" s="136" t="s">
        <v>10</v>
      </c>
      <c r="AR77" s="136" t="s">
        <v>120</v>
      </c>
      <c r="AS77" s="136" t="s">
        <v>10</v>
      </c>
      <c r="AT77" s="136" t="s">
        <v>120</v>
      </c>
      <c r="AU77" s="136" t="s">
        <v>10</v>
      </c>
      <c r="AV77" s="136" t="s">
        <v>120</v>
      </c>
      <c r="AX77" s="136" t="str">
        <f>IF(AI62="","",IF(B77="","",B77))</f>
        <v>HS</v>
      </c>
      <c r="AY77" s="136" t="str">
        <f>IF(AI62="","",IF(C77="","",C77))</f>
        <v>-</v>
      </c>
      <c r="AZ77" s="136" t="str">
        <f>IF(AI62="","",IF(D77="","",D77))</f>
        <v>HS</v>
      </c>
      <c r="BA77" s="136" t="str">
        <f>IF(AI62="","",IF(E77="","",E77))</f>
        <v>-</v>
      </c>
      <c r="BB77" s="136" t="str">
        <f>IF(AI62="","",IF(F77="","",F77))</f>
        <v>HS</v>
      </c>
      <c r="BC77" s="136" t="str">
        <f>IF(AI62="","",IF(G77="","",G77))</f>
        <v>-</v>
      </c>
      <c r="BD77" s="136" t="str">
        <f>IF(AI62="","",IF(H77="","",H77))</f>
        <v>HS</v>
      </c>
      <c r="BE77" s="136" t="str">
        <f>IF(AI62="","",IF(I77="","",I77))</f>
        <v>-</v>
      </c>
      <c r="BF77" s="136" t="str">
        <f>IF(AI62="","",IF(J77="","",J77))</f>
        <v>HS</v>
      </c>
      <c r="BG77" s="136" t="str">
        <f>IF(AI62="","",IF(K77="","",K77))</f>
        <v>-</v>
      </c>
      <c r="BH77" s="136" t="str">
        <f>IF(AI62="","",IF(L77="","",L77))</f>
        <v>HS</v>
      </c>
      <c r="BI77" s="136" t="str">
        <f>IF(AI62="","",IF(M77="","",M77))</f>
        <v>-</v>
      </c>
      <c r="BJ77" s="136" t="str">
        <f>IF(AI62="","",IF(N77="","",N77))</f>
        <v>HS</v>
      </c>
      <c r="BK77" s="136" t="str">
        <f>IF(AI62="","",IF(O77="","",O77))</f>
        <v>-</v>
      </c>
      <c r="BM77" s="136" t="str">
        <f t="shared" si="67"/>
        <v>EA</v>
      </c>
      <c r="BN77" s="136" t="str">
        <f t="shared" si="64"/>
        <v>Estudo Autónomo</v>
      </c>
      <c r="BO77" s="136" t="str">
        <f t="shared" si="64"/>
        <v>IAC</v>
      </c>
      <c r="BP77" s="136">
        <f>(COUNTIFS(AX66:AX113,BM77,AY66:AY113,BO77)+COUNTIFS(AZ66:AZ113,BM77,BA66:BA113,BO77)+COUNTIFS(BB66:BB113,BM77,BC66:BC113,BO77)+COUNTIFS(BD66:BD113,BM77,BE66:BE113,BO77)+COUNTIFS(BF66:BF113,BM77,BG66:BG113,BO77)+COUNTIFS(BH66:BH113,BM77,BI66:BI113,BO77)+COUNTIFS(BJ66:BJ113,BM77,BK66:BK113,BO77))*0.5</f>
        <v>1.5</v>
      </c>
      <c r="BQ77" s="136" t="str">
        <f t="shared" si="65"/>
        <v>Estudo Autónomo</v>
      </c>
      <c r="BR77" s="136" t="str">
        <f t="shared" si="65"/>
        <v>IAC</v>
      </c>
      <c r="BS77" s="136" t="str">
        <f t="shared" si="66"/>
        <v>Estudo Autónomo</v>
      </c>
      <c r="BT77" s="136">
        <f>SUMIFS(V:V,Q:Q,BQ77,R:R,BBO75)</f>
        <v>0</v>
      </c>
      <c r="BU77" s="136">
        <f>SUMIFS(BP:BP,BN:BN,BQ77,BO:BO,BBO75)</f>
        <v>0</v>
      </c>
      <c r="BZ77" s="280"/>
      <c r="CA77" s="183" t="str">
        <f>'INFO BASE'!L140</f>
        <v>-</v>
      </c>
      <c r="CB77" s="183" t="str">
        <f>'INFO BASE'!M140</f>
        <v/>
      </c>
      <c r="CD77" s="136" t="str">
        <f>IF('INFO BASE'!E91="","",'INFO BASE'!E91)</f>
        <v/>
      </c>
      <c r="CR77" s="177" t="str">
        <f t="shared" si="53"/>
        <v>HS</v>
      </c>
      <c r="CS77" s="177" t="str">
        <f t="shared" si="54"/>
        <v>HS-</v>
      </c>
      <c r="CT77" s="177" t="str">
        <f t="shared" si="53"/>
        <v>HS</v>
      </c>
      <c r="CU77" s="177" t="str">
        <f t="shared" si="55"/>
        <v>HS-</v>
      </c>
      <c r="CV77" s="177" t="str">
        <f t="shared" si="53"/>
        <v>HS</v>
      </c>
      <c r="CW77" s="177" t="str">
        <f t="shared" si="56"/>
        <v>HS-</v>
      </c>
      <c r="CX77" s="177" t="str">
        <f t="shared" si="53"/>
        <v>HS</v>
      </c>
      <c r="CY77" s="177" t="str">
        <f t="shared" si="57"/>
        <v>HS-</v>
      </c>
      <c r="CZ77" s="177" t="str">
        <f t="shared" si="53"/>
        <v>HS</v>
      </c>
      <c r="DA77" s="177" t="str">
        <f t="shared" si="58"/>
        <v>HS-</v>
      </c>
      <c r="DB77" s="177" t="str">
        <f t="shared" si="53"/>
        <v>HS</v>
      </c>
      <c r="DC77" s="177" t="str">
        <f t="shared" si="59"/>
        <v>HS-</v>
      </c>
      <c r="DD77" s="177" t="str">
        <f t="shared" si="60"/>
        <v>HS</v>
      </c>
      <c r="DE77" s="177" t="str">
        <f t="shared" si="61"/>
        <v>HS-</v>
      </c>
    </row>
    <row r="78" spans="1:120" ht="18" customHeight="1" x14ac:dyDescent="0.3">
      <c r="A78" s="81">
        <v>0.25000000000000799</v>
      </c>
      <c r="B78" s="166" t="s">
        <v>10</v>
      </c>
      <c r="C78" s="130" t="s">
        <v>120</v>
      </c>
      <c r="D78" s="169" t="s">
        <v>10</v>
      </c>
      <c r="E78" s="130" t="s">
        <v>120</v>
      </c>
      <c r="F78" s="169" t="s">
        <v>10</v>
      </c>
      <c r="G78" s="130" t="s">
        <v>120</v>
      </c>
      <c r="H78" s="169" t="s">
        <v>10</v>
      </c>
      <c r="I78" s="130" t="s">
        <v>120</v>
      </c>
      <c r="J78" s="169" t="s">
        <v>10</v>
      </c>
      <c r="K78" s="130" t="s">
        <v>120</v>
      </c>
      <c r="L78" s="169" t="s">
        <v>10</v>
      </c>
      <c r="M78" s="130" t="s">
        <v>120</v>
      </c>
      <c r="N78" s="169" t="s">
        <v>10</v>
      </c>
      <c r="O78" s="154" t="s">
        <v>120</v>
      </c>
      <c r="P78" s="6">
        <v>0</v>
      </c>
      <c r="Q78" s="110" t="str">
        <f t="shared" ref="Q78:Q83" si="70">Q77</f>
        <v>Estudo Autónomo</v>
      </c>
      <c r="R78" s="105" t="str">
        <f t="shared" ref="R78:R113" si="71">R21</f>
        <v>FP</v>
      </c>
      <c r="S78" s="88">
        <f t="shared" si="68"/>
        <v>-0.5</v>
      </c>
      <c r="T78" s="89">
        <f>IF(VLOOKUP(Q78,'INFO BASE'!$B$40:$I$54,IF(R78='INFO BASE'!$B$32,3,IF(R78='INFO BASE'!$B$33,4,IF(R78='INFO BASE'!$B$34,5,IF(R78='INFO BASE'!$B$35,6,IF(R78='INFO BASE'!$B$36,7,IF(R78='INFO BASE'!$B$37,8,2)))))),0)=0,"",VLOOKUP(Q78,'INFO BASE'!$B$40:$I$54,IF(R78='INFO BASE'!$B$32,3,IF(R78='INFO BASE'!$B$33,4,IF(R78='INFO BASE'!$B$34,5,IF(R78='INFO BASE'!$B$35,6,IF(R78='INFO BASE'!$B$36,7,IF(R78='INFO BASE'!$B$37,8,2)))))),0))</f>
        <v>5</v>
      </c>
      <c r="U78" s="89">
        <f>(COUNTIFS(C66:C113,R78,B66:B113,R77)+COUNTIFS(E66:E113,R78,D66:D113,R77)+COUNTIFS(G66:G113,R78,F66:F113,R77)+COUNTIFS(I66:I113,R78,H66:H113,R77)+COUNTIFS(K66:K113,R78,J66:J113,R77)+COUNTIFS(M66:M113,R78,L66:L113,R77)+COUNTIFS(O66:O113,R78,N66:N113,R77))*0.5</f>
        <v>2.5</v>
      </c>
      <c r="V78" s="89">
        <f>(COUNTIFS(AI66:AI113,R77,AJ66:AJ113,R78)+COUNTIFS(AK66:AK113,R77,AL66:AL113,R78)+COUNTIFS(AM66:AM113,R77,AN66:AN113,R78)+COUNTIFS(AO66:AO113,R77,AP66:AP113,R78)+COUNTIFS(AQ66:AQ113,R77,AR66:AR113,R78)+COUNTIFS(AS66:AS113,R77,AT66:AT113,R78)+COUNTIFS(AU66:AU113,R77,AV66:AV113,R78))*0.5</f>
        <v>7</v>
      </c>
      <c r="W78" s="90">
        <f>IF(AH62="","-",IF(V78=0,U78,IFERROR((U78/V78)-1,"-")))</f>
        <v>-0.64285714285714279</v>
      </c>
      <c r="X78" s="200">
        <f t="shared" si="69"/>
        <v>1</v>
      </c>
      <c r="Y78" s="299" t="s">
        <v>239</v>
      </c>
      <c r="Z78" s="300"/>
      <c r="AA78" s="300"/>
      <c r="AB78" s="300"/>
      <c r="AC78" s="300"/>
      <c r="AD78" s="300"/>
      <c r="AE78" s="300"/>
      <c r="AF78" s="301"/>
      <c r="AH78" s="136">
        <v>0.25000000000000799</v>
      </c>
      <c r="AI78" s="136" t="s">
        <v>10</v>
      </c>
      <c r="AJ78" s="136" t="s">
        <v>120</v>
      </c>
      <c r="AK78" s="136" t="s">
        <v>10</v>
      </c>
      <c r="AL78" s="136" t="s">
        <v>120</v>
      </c>
      <c r="AM78" s="136" t="s">
        <v>10</v>
      </c>
      <c r="AN78" s="136" t="s">
        <v>120</v>
      </c>
      <c r="AO78" s="136" t="s">
        <v>10</v>
      </c>
      <c r="AP78" s="136" t="s">
        <v>120</v>
      </c>
      <c r="AQ78" s="136" t="s">
        <v>10</v>
      </c>
      <c r="AR78" s="136" t="s">
        <v>120</v>
      </c>
      <c r="AS78" s="136" t="s">
        <v>10</v>
      </c>
      <c r="AT78" s="136" t="s">
        <v>120</v>
      </c>
      <c r="AU78" s="136" t="s">
        <v>10</v>
      </c>
      <c r="AV78" s="136" t="s">
        <v>120</v>
      </c>
      <c r="AX78" s="136" t="str">
        <f>IF(AI62="","",IF(B78="","",B78))</f>
        <v>HS</v>
      </c>
      <c r="AY78" s="136" t="str">
        <f>IF(AI62="","",IF(C78="","",C78))</f>
        <v>-</v>
      </c>
      <c r="AZ78" s="136" t="str">
        <f>IF(AI62="","",IF(D78="","",D78))</f>
        <v>HS</v>
      </c>
      <c r="BA78" s="136" t="str">
        <f>IF(AI62="","",IF(E78="","",E78))</f>
        <v>-</v>
      </c>
      <c r="BB78" s="136" t="str">
        <f>IF(AI62="","",IF(F78="","",F78))</f>
        <v>HS</v>
      </c>
      <c r="BC78" s="136" t="str">
        <f>IF(AI62="","",IF(G78="","",G78))</f>
        <v>-</v>
      </c>
      <c r="BD78" s="136" t="str">
        <f>IF(AI62="","",IF(H78="","",H78))</f>
        <v>HS</v>
      </c>
      <c r="BE78" s="136" t="str">
        <f>IF(AI62="","",IF(I78="","",I78))</f>
        <v>-</v>
      </c>
      <c r="BF78" s="136" t="str">
        <f>IF(AI62="","",IF(J78="","",J78))</f>
        <v>HS</v>
      </c>
      <c r="BG78" s="136" t="str">
        <f>IF(AI62="","",IF(K78="","",K78))</f>
        <v>-</v>
      </c>
      <c r="BH78" s="136" t="str">
        <f>IF(AI62="","",IF(L78="","",L78))</f>
        <v>HS</v>
      </c>
      <c r="BI78" s="136" t="str">
        <f>IF(AI62="","",IF(M78="","",M78))</f>
        <v>-</v>
      </c>
      <c r="BJ78" s="136" t="str">
        <f>IF(AI62="","",IF(N78="","",N78))</f>
        <v>HS</v>
      </c>
      <c r="BK78" s="136" t="str">
        <f>IF(AI62="","",IF(O78="","",O78))</f>
        <v>-</v>
      </c>
      <c r="BM78" s="136" t="str">
        <f t="shared" si="67"/>
        <v>EA</v>
      </c>
      <c r="BN78" s="136" t="str">
        <f t="shared" si="64"/>
        <v>Estudo Autónomo</v>
      </c>
      <c r="BO78" s="136" t="str">
        <f t="shared" si="64"/>
        <v>AL</v>
      </c>
      <c r="BP78" s="136">
        <f>(COUNTIFS(AX66:AX113,BM78,AY66:AY113,BO78)+COUNTIFS(AZ66:AZ113,BM78,BA66:BA113,BO78)+COUNTIFS(BB66:BB113,BM78,BC66:BC113,BO78)+COUNTIFS(BD66:BD113,BM78,BE66:BE113,BO78)+COUNTIFS(BF66:BF113,BM78,BG66:BG113,BO78)+COUNTIFS(BH66:BH113,BM78,BI66:BI113,BO78)+COUNTIFS(BJ66:BJ113,BM78,BK66:BK113,BO78))*0.5</f>
        <v>6.5</v>
      </c>
      <c r="BQ78" s="136" t="str">
        <f t="shared" si="65"/>
        <v>Estudo Autónomo</v>
      </c>
      <c r="BR78" s="136" t="str">
        <f t="shared" si="65"/>
        <v>AL</v>
      </c>
      <c r="BS78" s="136" t="str">
        <f t="shared" si="66"/>
        <v>Estudo Autónomo</v>
      </c>
      <c r="BT78" s="136">
        <f t="shared" ref="BT78:BT110" si="72">SUMIFS(V:V,Q:Q,BQ78,R:R,BR78)</f>
        <v>24</v>
      </c>
      <c r="BU78" s="136">
        <f t="shared" ref="BU78:BU110" si="73">SUMIFS(BP:BP,BN:BN,BQ78,BO:BO,BR78)</f>
        <v>25.5</v>
      </c>
      <c r="BZ78" s="280"/>
      <c r="CA78" s="183" t="str">
        <f>'INFO BASE'!L141</f>
        <v>-</v>
      </c>
      <c r="CB78" s="183" t="str">
        <f>'INFO BASE'!M141</f>
        <v/>
      </c>
      <c r="CD78" s="136" t="str">
        <f>IF('INFO BASE'!E92="","",'INFO BASE'!E92)</f>
        <v/>
      </c>
      <c r="CR78" s="177" t="str">
        <f t="shared" si="53"/>
        <v>HS</v>
      </c>
      <c r="CS78" s="177" t="str">
        <f t="shared" si="54"/>
        <v>HS-</v>
      </c>
      <c r="CT78" s="177" t="str">
        <f t="shared" si="53"/>
        <v>HS</v>
      </c>
      <c r="CU78" s="177" t="str">
        <f t="shared" si="55"/>
        <v>HS-</v>
      </c>
      <c r="CV78" s="177" t="str">
        <f t="shared" si="53"/>
        <v>HS</v>
      </c>
      <c r="CW78" s="177" t="str">
        <f t="shared" si="56"/>
        <v>HS-</v>
      </c>
      <c r="CX78" s="177" t="str">
        <f t="shared" si="53"/>
        <v>HS</v>
      </c>
      <c r="CY78" s="177" t="str">
        <f t="shared" si="57"/>
        <v>HS-</v>
      </c>
      <c r="CZ78" s="177" t="str">
        <f t="shared" si="53"/>
        <v>HS</v>
      </c>
      <c r="DA78" s="177" t="str">
        <f t="shared" si="58"/>
        <v>HS-</v>
      </c>
      <c r="DB78" s="177" t="str">
        <f t="shared" si="53"/>
        <v>HS</v>
      </c>
      <c r="DC78" s="177" t="str">
        <f t="shared" si="59"/>
        <v>HS-</v>
      </c>
      <c r="DD78" s="177" t="str">
        <f t="shared" si="60"/>
        <v>HS</v>
      </c>
      <c r="DE78" s="177" t="str">
        <f t="shared" si="61"/>
        <v>HS-</v>
      </c>
    </row>
    <row r="79" spans="1:120" ht="18" customHeight="1" x14ac:dyDescent="0.3">
      <c r="A79" s="81">
        <v>0.27083333333334197</v>
      </c>
      <c r="B79" s="166" t="s">
        <v>116</v>
      </c>
      <c r="C79" s="130"/>
      <c r="D79" s="169" t="s">
        <v>116</v>
      </c>
      <c r="E79" s="130"/>
      <c r="F79" s="169" t="s">
        <v>116</v>
      </c>
      <c r="G79" s="130"/>
      <c r="H79" s="169" t="s">
        <v>116</v>
      </c>
      <c r="I79" s="130"/>
      <c r="J79" s="169" t="s">
        <v>116</v>
      </c>
      <c r="K79" s="130"/>
      <c r="L79" s="169" t="s">
        <v>10</v>
      </c>
      <c r="M79" s="130" t="s">
        <v>120</v>
      </c>
      <c r="N79" s="169" t="s">
        <v>10</v>
      </c>
      <c r="O79" s="154" t="s">
        <v>120</v>
      </c>
      <c r="P79" s="6">
        <v>0</v>
      </c>
      <c r="Q79" s="110" t="str">
        <f t="shared" si="70"/>
        <v>Estudo Autónomo</v>
      </c>
      <c r="R79" s="105" t="str">
        <f t="shared" si="71"/>
        <v>IEI</v>
      </c>
      <c r="S79" s="88">
        <f t="shared" si="68"/>
        <v>-0.25</v>
      </c>
      <c r="T79" s="89">
        <f>IF(VLOOKUP(Q79,'INFO BASE'!$B$40:$I$54,IF(R79='INFO BASE'!$B$32,3,IF(R79='INFO BASE'!$B$33,4,IF(R79='INFO BASE'!$B$34,5,IF(R79='INFO BASE'!$B$35,6,IF(R79='INFO BASE'!$B$36,7,IF(R79='INFO BASE'!$B$37,8,2)))))),0)=0,"",VLOOKUP(Q79,'INFO BASE'!$B$40:$I$54,IF(R79='INFO BASE'!$B$32,3,IF(R79='INFO BASE'!$B$33,4,IF(R79='INFO BASE'!$B$34,5,IF(R79='INFO BASE'!$B$35,6,IF(R79='INFO BASE'!$B$36,7,IF(R79='INFO BASE'!$B$37,8,2)))))),0))</f>
        <v>2</v>
      </c>
      <c r="U79" s="89">
        <f>(COUNTIFS(C66:C113,R79,B66:B113,R77)+COUNTIFS(E66:E113,R79,D66:D113,R77)+COUNTIFS(G66:G113,R79,F66:F113,R77)+COUNTIFS(I66:I113,R79,H66:H113,R77)+COUNTIFS(K66:K113,R79,J66:J113,R77)+COUNTIFS(M66:M113,R79,L66:L113,R77)+COUNTIFS(O66:O113,R79,N66:N113,R77))*0.5</f>
        <v>1.5</v>
      </c>
      <c r="V79" s="89">
        <f>(COUNTIFS(AI66:AI113,R77,AJ66:AJ113,R79)+COUNTIFS(AK66:AK113,R77,AL66:AL113,R79)+COUNTIFS(AM66:AM113,R77,AN66:AN113,R79)+COUNTIFS(AO66:AO113,R77,AP66:AP113,R79)+COUNTIFS(AQ66:AQ113,R77,AR66:AR113,R79)+COUNTIFS(AS66:AS113,R77,AT66:AT113,R79)+COUNTIFS(AU66:AU113,R77,AV66:AV113,R79))*0.5</f>
        <v>1.5</v>
      </c>
      <c r="W79" s="90">
        <f>IF(AH62="","-",IF(V79=0,U79,IFERROR((U79/V79)-1,"-")))</f>
        <v>0</v>
      </c>
      <c r="X79" s="200">
        <f t="shared" si="69"/>
        <v>0</v>
      </c>
      <c r="Y79" s="299"/>
      <c r="Z79" s="300"/>
      <c r="AA79" s="300"/>
      <c r="AB79" s="300"/>
      <c r="AC79" s="300"/>
      <c r="AD79" s="300"/>
      <c r="AE79" s="300"/>
      <c r="AF79" s="301"/>
      <c r="AH79" s="136">
        <v>0.27083333333334197</v>
      </c>
      <c r="AI79" s="136" t="s">
        <v>116</v>
      </c>
      <c r="AJ79" s="136" t="s">
        <v>235</v>
      </c>
      <c r="AK79" s="136" t="s">
        <v>116</v>
      </c>
      <c r="AL79" s="136" t="s">
        <v>235</v>
      </c>
      <c r="AM79" s="136" t="s">
        <v>116</v>
      </c>
      <c r="AN79" s="136" t="s">
        <v>235</v>
      </c>
      <c r="AO79" s="136" t="s">
        <v>116</v>
      </c>
      <c r="AP79" s="136" t="s">
        <v>235</v>
      </c>
      <c r="AQ79" s="136" t="s">
        <v>116</v>
      </c>
      <c r="AR79" s="136" t="s">
        <v>235</v>
      </c>
      <c r="AS79" s="136" t="s">
        <v>10</v>
      </c>
      <c r="AT79" s="136" t="s">
        <v>120</v>
      </c>
      <c r="AU79" s="136" t="s">
        <v>10</v>
      </c>
      <c r="AV79" s="136" t="s">
        <v>120</v>
      </c>
      <c r="AX79" s="136" t="str">
        <f>IF(AI62="","",IF(B79="","",B79))</f>
        <v>PV</v>
      </c>
      <c r="AY79" s="136" t="str">
        <f>IF(AI62="","",IF(C79="","",C79))</f>
        <v/>
      </c>
      <c r="AZ79" s="136" t="str">
        <f>IF(AI62="","",IF(D79="","",D79))</f>
        <v>PV</v>
      </c>
      <c r="BA79" s="136" t="str">
        <f>IF(AI62="","",IF(E79="","",E79))</f>
        <v/>
      </c>
      <c r="BB79" s="136" t="str">
        <f>IF(AI62="","",IF(F79="","",F79))</f>
        <v>PV</v>
      </c>
      <c r="BC79" s="136" t="str">
        <f>IF(AI62="","",IF(G79="","",G79))</f>
        <v/>
      </c>
      <c r="BD79" s="136" t="str">
        <f>IF(AI62="","",IF(H79="","",H79))</f>
        <v>PV</v>
      </c>
      <c r="BE79" s="136" t="str">
        <f>IF(AI62="","",IF(I79="","",I79))</f>
        <v/>
      </c>
      <c r="BF79" s="136" t="str">
        <f>IF(AI62="","",IF(J79="","",J79))</f>
        <v>PV</v>
      </c>
      <c r="BG79" s="136" t="str">
        <f>IF(AI62="","",IF(K79="","",K79))</f>
        <v/>
      </c>
      <c r="BH79" s="136" t="str">
        <f>IF(AI62="","",IF(L79="","",L79))</f>
        <v>HS</v>
      </c>
      <c r="BI79" s="136" t="str">
        <f>IF(AI62="","",IF(M79="","",M79))</f>
        <v>-</v>
      </c>
      <c r="BJ79" s="136" t="str">
        <f>IF(AI62="","",IF(N79="","",N79))</f>
        <v>HS</v>
      </c>
      <c r="BK79" s="136" t="str">
        <f>IF(AI62="","",IF(O79="","",O79))</f>
        <v>-</v>
      </c>
      <c r="BM79" s="136" t="str">
        <f t="shared" si="67"/>
        <v>EA</v>
      </c>
      <c r="BN79" s="136" t="str">
        <f t="shared" si="64"/>
        <v>Estudo Autónomo</v>
      </c>
      <c r="BO79" s="136" t="str">
        <f t="shared" si="64"/>
        <v>CDI</v>
      </c>
      <c r="BP79" s="136">
        <f>(COUNTIFS(AX66:AX113,BM79,AY66:AY113,BO79)+COUNTIFS(AZ66:AZ113,BM79,BA66:BA113,BO79)+COUNTIFS(BB66:BB113,BM79,BC66:BC113,BO79)+COUNTIFS(BD66:BD113,BM79,BE66:BE113,BO79)+COUNTIFS(BF66:BF113,BM79,BG66:BG113,BO79)+COUNTIFS(BH66:BH113,BM79,BI66:BI113,BO79)+COUNTIFS(BJ66:BJ113,BM79,BK66:BK113,BO79))*0.5</f>
        <v>3</v>
      </c>
      <c r="BQ79" s="136" t="str">
        <f t="shared" si="65"/>
        <v>Estudo Autónomo</v>
      </c>
      <c r="BR79" s="136" t="str">
        <f t="shared" si="65"/>
        <v>CDI</v>
      </c>
      <c r="BS79" s="136" t="str">
        <f t="shared" si="66"/>
        <v>Estudo Autónomo</v>
      </c>
      <c r="BT79" s="136">
        <f t="shared" si="72"/>
        <v>9.5</v>
      </c>
      <c r="BU79" s="136">
        <f t="shared" si="73"/>
        <v>7.5</v>
      </c>
      <c r="BZ79" s="280"/>
      <c r="CA79" s="183" t="str">
        <f>'INFO BASE'!L142</f>
        <v>-</v>
      </c>
      <c r="CB79" s="183" t="str">
        <f>'INFO BASE'!M142</f>
        <v/>
      </c>
      <c r="CD79" s="136" t="str">
        <f>IF('INFO BASE'!E93="","",'INFO BASE'!E93)</f>
        <v/>
      </c>
      <c r="CR79" s="177" t="str">
        <f t="shared" si="53"/>
        <v>PV</v>
      </c>
      <c r="CS79" s="177">
        <f t="shared" si="54"/>
        <v>0</v>
      </c>
      <c r="CT79" s="177" t="str">
        <f t="shared" si="53"/>
        <v>PV</v>
      </c>
      <c r="CU79" s="177">
        <f t="shared" si="55"/>
        <v>0</v>
      </c>
      <c r="CV79" s="177" t="str">
        <f t="shared" si="53"/>
        <v>PV</v>
      </c>
      <c r="CW79" s="177">
        <f t="shared" si="56"/>
        <v>0</v>
      </c>
      <c r="CX79" s="177" t="str">
        <f t="shared" si="53"/>
        <v>PV</v>
      </c>
      <c r="CY79" s="177">
        <f t="shared" si="57"/>
        <v>0</v>
      </c>
      <c r="CZ79" s="177" t="str">
        <f t="shared" si="53"/>
        <v>PV</v>
      </c>
      <c r="DA79" s="177">
        <f t="shared" si="58"/>
        <v>0</v>
      </c>
      <c r="DB79" s="177" t="str">
        <f t="shared" si="53"/>
        <v>HS</v>
      </c>
      <c r="DC79" s="177" t="str">
        <f t="shared" si="59"/>
        <v>HS-</v>
      </c>
      <c r="DD79" s="177" t="str">
        <f t="shared" si="60"/>
        <v>HS</v>
      </c>
      <c r="DE79" s="177" t="str">
        <f t="shared" si="61"/>
        <v>HS-</v>
      </c>
    </row>
    <row r="80" spans="1:120" ht="18" customHeight="1" x14ac:dyDescent="0.3">
      <c r="A80" s="81">
        <v>0.29166666666667601</v>
      </c>
      <c r="B80" s="166" t="s">
        <v>116</v>
      </c>
      <c r="C80" s="130"/>
      <c r="D80" s="169" t="s">
        <v>116</v>
      </c>
      <c r="E80" s="130"/>
      <c r="F80" s="169" t="s">
        <v>116</v>
      </c>
      <c r="G80" s="130"/>
      <c r="H80" s="169" t="s">
        <v>116</v>
      </c>
      <c r="I80" s="130"/>
      <c r="J80" s="169" t="s">
        <v>116</v>
      </c>
      <c r="K80" s="130"/>
      <c r="L80" s="169" t="s">
        <v>10</v>
      </c>
      <c r="M80" s="130" t="s">
        <v>120</v>
      </c>
      <c r="N80" s="169" t="s">
        <v>10</v>
      </c>
      <c r="O80" s="154" t="s">
        <v>120</v>
      </c>
      <c r="P80" s="6">
        <v>0</v>
      </c>
      <c r="Q80" s="111" t="str">
        <f t="shared" si="70"/>
        <v>Estudo Autónomo</v>
      </c>
      <c r="R80" s="105" t="str">
        <f t="shared" si="71"/>
        <v>IAC</v>
      </c>
      <c r="S80" s="88">
        <f t="shared" si="68"/>
        <v>-0.25</v>
      </c>
      <c r="T80" s="89">
        <f>IF(VLOOKUP(Q80,'INFO BASE'!$B$40:$I$54,IF(R80='INFO BASE'!$B$32,3,IF(R80='INFO BASE'!$B$33,4,IF(R80='INFO BASE'!$B$34,5,IF(R80='INFO BASE'!$B$35,6,IF(R80='INFO BASE'!$B$36,7,IF(R80='INFO BASE'!$B$37,8,2)))))),0)=0,"",VLOOKUP(Q80,'INFO BASE'!$B$40:$I$54,IF(R80='INFO BASE'!$B$32,3,IF(R80='INFO BASE'!$B$33,4,IF(R80='INFO BASE'!$B$34,5,IF(R80='INFO BASE'!$B$35,6,IF(R80='INFO BASE'!$B$36,7,IF(R80='INFO BASE'!$B$37,8,2)))))),0))</f>
        <v>2</v>
      </c>
      <c r="U80" s="89">
        <f>(COUNTIFS(C66:C113,R80,B66:B113,R77)+COUNTIFS(E66:E113,R80,D66:D113,R77)+COUNTIFS(G66:G113,R80,F66:F113,R77)+COUNTIFS(I66:I113,R80,H66:H113,R77)+COUNTIFS(K66:K113,R80,J66:J113,R77)+COUNTIFS(M66:M113,R80,L66:L113,R77)+COUNTIFS(O66:O113,R80,N66:N113,R77))*0.5</f>
        <v>1.5</v>
      </c>
      <c r="V80" s="89">
        <f>(COUNTIFS(AI66:AI113,R77,AJ66:AJ113,R80)+COUNTIFS(AK66:AK113,R77,AL66:AL113,R80)+COUNTIFS(AM66:AM113,R77,AN66:AN113,R80)+COUNTIFS(AO66:AO113,R77,AP66:AP113,R80)+COUNTIFS(AQ66:AQ113,R77,AR66:AR113,R80)+COUNTIFS(AS66:AS113,R77,AT66:AT113,R80)+COUNTIFS(AU66:AU113,R77,AV66:AV113,R80))*0.5</f>
        <v>1.5</v>
      </c>
      <c r="W80" s="90">
        <f>IF(AH62="","-",IF(V80=0,U80,IFERROR((U80/V80)-1,"-")))</f>
        <v>0</v>
      </c>
      <c r="X80" s="200">
        <f t="shared" si="69"/>
        <v>0</v>
      </c>
      <c r="Y80" s="299"/>
      <c r="Z80" s="300"/>
      <c r="AA80" s="300"/>
      <c r="AB80" s="300"/>
      <c r="AC80" s="300"/>
      <c r="AD80" s="300"/>
      <c r="AE80" s="300"/>
      <c r="AF80" s="301"/>
      <c r="AH80" s="136">
        <v>0.29166666666667601</v>
      </c>
      <c r="AI80" s="136" t="s">
        <v>116</v>
      </c>
      <c r="AJ80" s="136" t="s">
        <v>235</v>
      </c>
      <c r="AK80" s="136" t="s">
        <v>116</v>
      </c>
      <c r="AL80" s="136" t="s">
        <v>235</v>
      </c>
      <c r="AM80" s="136" t="s">
        <v>116</v>
      </c>
      <c r="AN80" s="136" t="s">
        <v>235</v>
      </c>
      <c r="AO80" s="136" t="s">
        <v>116</v>
      </c>
      <c r="AP80" s="136" t="s">
        <v>235</v>
      </c>
      <c r="AQ80" s="136" t="s">
        <v>116</v>
      </c>
      <c r="AR80" s="136" t="s">
        <v>235</v>
      </c>
      <c r="AS80" s="136" t="s">
        <v>10</v>
      </c>
      <c r="AT80" s="136" t="s">
        <v>120</v>
      </c>
      <c r="AU80" s="136" t="s">
        <v>10</v>
      </c>
      <c r="AV80" s="136" t="s">
        <v>120</v>
      </c>
      <c r="AX80" s="136" t="str">
        <f>IF(AI62="","",IF(B80="","",B80))</f>
        <v>PV</v>
      </c>
      <c r="AY80" s="136" t="str">
        <f>IF(AI62="","",IF(C80="","",C80))</f>
        <v/>
      </c>
      <c r="AZ80" s="136" t="str">
        <f>IF(AI62="","",IF(D80="","",D80))</f>
        <v>PV</v>
      </c>
      <c r="BA80" s="136" t="str">
        <f>IF(AI62="","",IF(E80="","",E80))</f>
        <v/>
      </c>
      <c r="BB80" s="136" t="str">
        <f>IF(AI62="","",IF(F80="","",F80))</f>
        <v>PV</v>
      </c>
      <c r="BC80" s="136" t="str">
        <f>IF(AI62="","",IF(G80="","",G80))</f>
        <v/>
      </c>
      <c r="BD80" s="136" t="str">
        <f>IF(AI62="","",IF(H80="","",H80))</f>
        <v>PV</v>
      </c>
      <c r="BE80" s="136" t="str">
        <f>IF(AI62="","",IF(I80="","",I80))</f>
        <v/>
      </c>
      <c r="BF80" s="136" t="str">
        <f>IF(AI62="","",IF(J80="","",J80))</f>
        <v>PV</v>
      </c>
      <c r="BG80" s="136" t="str">
        <f>IF(AI62="","",IF(K80="","",K80))</f>
        <v/>
      </c>
      <c r="BH80" s="136" t="str">
        <f>IF(AI62="","",IF(L80="","",L80))</f>
        <v>HS</v>
      </c>
      <c r="BI80" s="136" t="str">
        <f>IF(AI62="","",IF(M80="","",M80))</f>
        <v>-</v>
      </c>
      <c r="BJ80" s="136" t="str">
        <f>IF(AI62="","",IF(N80="","",N80))</f>
        <v>HS</v>
      </c>
      <c r="BK80" s="136" t="str">
        <f>IF(AI62="","",IF(O80="","",O80))</f>
        <v>-</v>
      </c>
      <c r="BM80" s="136" t="str">
        <f t="shared" si="67"/>
        <v>EA</v>
      </c>
      <c r="BN80" s="136" t="str">
        <f t="shared" si="64"/>
        <v>Estudo Autónomo</v>
      </c>
      <c r="BO80" s="136" t="str">
        <f t="shared" si="64"/>
        <v/>
      </c>
      <c r="BP80" s="136">
        <f>(COUNTIFS(AX66:AX113,BM80,AY66:AY113,BO80)+COUNTIFS(AZ66:AZ113,BM80,BA66:BA113,BO80)+COUNTIFS(BB66:BB113,BM80,BC66:BC113,BO80)+COUNTIFS(BD66:BD113,BM80,BE66:BE113,BO80)+COUNTIFS(BF66:BF113,BM80,BG66:BG113,BO80)+COUNTIFS(BH66:BH113,BM80,BI66:BI113,BO80)+COUNTIFS(BJ66:BJ113,BM80,BK66:BK113,BO80))*0.5</f>
        <v>0</v>
      </c>
      <c r="BQ80" s="136" t="str">
        <f t="shared" si="65"/>
        <v>Estudo Autónomo</v>
      </c>
      <c r="BR80" s="136" t="str">
        <f t="shared" si="65"/>
        <v/>
      </c>
      <c r="BS80" s="136" t="str">
        <f t="shared" si="66"/>
        <v>Estudo Autónomo</v>
      </c>
      <c r="BT80" s="136">
        <f t="shared" si="72"/>
        <v>0</v>
      </c>
      <c r="BU80" s="136">
        <f t="shared" si="73"/>
        <v>0</v>
      </c>
      <c r="BZ80" s="280"/>
      <c r="CA80" s="183" t="str">
        <f>'INFO BASE'!L143</f>
        <v>-</v>
      </c>
      <c r="CB80" s="183" t="str">
        <f>'INFO BASE'!M143</f>
        <v/>
      </c>
      <c r="CD80" s="136" t="str">
        <f>IF('INFO BASE'!E94="","",'INFO BASE'!E94)</f>
        <v/>
      </c>
      <c r="CR80" s="177" t="str">
        <f t="shared" si="53"/>
        <v>PV</v>
      </c>
      <c r="CS80" s="177">
        <f t="shared" si="54"/>
        <v>0</v>
      </c>
      <c r="CT80" s="177" t="str">
        <f t="shared" si="53"/>
        <v>PV</v>
      </c>
      <c r="CU80" s="177">
        <f t="shared" si="55"/>
        <v>0</v>
      </c>
      <c r="CV80" s="177" t="str">
        <f t="shared" si="53"/>
        <v>PV</v>
      </c>
      <c r="CW80" s="177">
        <f t="shared" si="56"/>
        <v>0</v>
      </c>
      <c r="CX80" s="177" t="str">
        <f t="shared" si="53"/>
        <v>PV</v>
      </c>
      <c r="CY80" s="177">
        <f t="shared" si="57"/>
        <v>0</v>
      </c>
      <c r="CZ80" s="177" t="str">
        <f t="shared" si="53"/>
        <v>PV</v>
      </c>
      <c r="DA80" s="177">
        <f t="shared" si="58"/>
        <v>0</v>
      </c>
      <c r="DB80" s="177" t="str">
        <f t="shared" si="53"/>
        <v>HS</v>
      </c>
      <c r="DC80" s="177" t="str">
        <f t="shared" si="59"/>
        <v>HS-</v>
      </c>
      <c r="DD80" s="177" t="str">
        <f t="shared" si="60"/>
        <v>HS</v>
      </c>
      <c r="DE80" s="177" t="str">
        <f t="shared" si="61"/>
        <v>HS-</v>
      </c>
    </row>
    <row r="81" spans="1:119" ht="18" customHeight="1" x14ac:dyDescent="0.3">
      <c r="A81" s="81">
        <v>0.31250000000000999</v>
      </c>
      <c r="B81" s="166" t="s">
        <v>11</v>
      </c>
      <c r="C81" s="130" t="s">
        <v>120</v>
      </c>
      <c r="D81" s="169" t="s">
        <v>11</v>
      </c>
      <c r="E81" s="130" t="s">
        <v>120</v>
      </c>
      <c r="F81" s="169" t="s">
        <v>11</v>
      </c>
      <c r="G81" s="130" t="s">
        <v>120</v>
      </c>
      <c r="H81" s="169" t="s">
        <v>11</v>
      </c>
      <c r="I81" s="130" t="s">
        <v>120</v>
      </c>
      <c r="J81" s="169" t="s">
        <v>11</v>
      </c>
      <c r="K81" s="130" t="s">
        <v>120</v>
      </c>
      <c r="L81" s="169" t="s">
        <v>10</v>
      </c>
      <c r="M81" s="130" t="s">
        <v>120</v>
      </c>
      <c r="N81" s="169" t="s">
        <v>10</v>
      </c>
      <c r="O81" s="154" t="s">
        <v>120</v>
      </c>
      <c r="P81" s="6">
        <v>0</v>
      </c>
      <c r="Q81" s="110" t="str">
        <f t="shared" si="70"/>
        <v>Estudo Autónomo</v>
      </c>
      <c r="R81" s="105" t="str">
        <f t="shared" si="71"/>
        <v>AL</v>
      </c>
      <c r="S81" s="88">
        <f t="shared" si="68"/>
        <v>0.30000000000000004</v>
      </c>
      <c r="T81" s="89">
        <f>IF(VLOOKUP(Q81,'INFO BASE'!$B$40:$I$54,IF(R81='INFO BASE'!$B$32,3,IF(R81='INFO BASE'!$B$33,4,IF(R81='INFO BASE'!$B$34,5,IF(R81='INFO BASE'!$B$35,6,IF(R81='INFO BASE'!$B$36,7,IF(R81='INFO BASE'!$B$37,8,2)))))),0)=0,"",VLOOKUP(Q81,'INFO BASE'!$B$40:$I$54,IF(R81='INFO BASE'!$B$32,3,IF(R81='INFO BASE'!$B$33,4,IF(R81='INFO BASE'!$B$34,5,IF(R81='INFO BASE'!$B$35,6,IF(R81='INFO BASE'!$B$36,7,IF(R81='INFO BASE'!$B$37,8,2)))))),0))</f>
        <v>5</v>
      </c>
      <c r="U81" s="89">
        <f>(COUNTIFS(C66:C113,R81,B66:B113,R77)+COUNTIFS(E66:E113,R81,D66:D113,R77)+COUNTIFS(G66:G113,R81,F66:F113,R77)+COUNTIFS(I66:I113,R81,H66:H113,R77)+COUNTIFS(K66:K113,R81,J66:J113,R77)+COUNTIFS(M66:M113,R81,L66:L113,R77)+COUNTIFS(O66:O113,R81,N66:N113,R77))*0.5</f>
        <v>6.5</v>
      </c>
      <c r="V81" s="89">
        <f>(COUNTIFS(AI66:AI113,R77,AJ66:AJ113,R81)+COUNTIFS(AK66:AK113,R77,AL66:AL113,R81)+COUNTIFS(AM66:AM113,R77,AN66:AN113,R81)+COUNTIFS(AO66:AO113,R77,AP66:AP113,R81)+COUNTIFS(AQ66:AQ113,R77,AR66:AR113,R81)+COUNTIFS(AS66:AS113,R77,AT66:AT113,R81)+COUNTIFS(AU66:AU113,R77,AV66:AV113,R81))*0.5</f>
        <v>5</v>
      </c>
      <c r="W81" s="90">
        <f>IF(AH62="","-",IF(V81=0,U81,IFERROR((U81/V81)-1,"-")))</f>
        <v>0.30000000000000004</v>
      </c>
      <c r="X81" s="200">
        <f t="shared" si="69"/>
        <v>1</v>
      </c>
      <c r="Y81" s="299" t="s">
        <v>240</v>
      </c>
      <c r="Z81" s="300"/>
      <c r="AA81" s="300"/>
      <c r="AB81" s="300"/>
      <c r="AC81" s="300"/>
      <c r="AD81" s="300"/>
      <c r="AE81" s="300"/>
      <c r="AF81" s="301"/>
      <c r="AH81" s="136">
        <v>0.31250000000000999</v>
      </c>
      <c r="AI81" s="136" t="s">
        <v>11</v>
      </c>
      <c r="AJ81" s="136" t="s">
        <v>120</v>
      </c>
      <c r="AK81" s="136" t="s">
        <v>11</v>
      </c>
      <c r="AL81" s="136" t="s">
        <v>120</v>
      </c>
      <c r="AM81" s="136" t="s">
        <v>11</v>
      </c>
      <c r="AN81" s="136" t="s">
        <v>120</v>
      </c>
      <c r="AO81" s="136" t="s">
        <v>11</v>
      </c>
      <c r="AP81" s="136" t="s">
        <v>120</v>
      </c>
      <c r="AQ81" s="136" t="s">
        <v>11</v>
      </c>
      <c r="AR81" s="136" t="s">
        <v>120</v>
      </c>
      <c r="AS81" s="136" t="s">
        <v>10</v>
      </c>
      <c r="AT81" s="136" t="s">
        <v>120</v>
      </c>
      <c r="AU81" s="136" t="s">
        <v>10</v>
      </c>
      <c r="AV81" s="136" t="s">
        <v>120</v>
      </c>
      <c r="AX81" s="136" t="str">
        <f>IF(AI62="","",IF(B81="","",B81))</f>
        <v>HD</v>
      </c>
      <c r="AY81" s="136" t="str">
        <f>IF(AI62="","",IF(C81="","",C81))</f>
        <v>-</v>
      </c>
      <c r="AZ81" s="136" t="str">
        <f>IF(AI62="","",IF(D81="","",D81))</f>
        <v>HD</v>
      </c>
      <c r="BA81" s="136" t="str">
        <f>IF(AI62="","",IF(E81="","",E81))</f>
        <v>-</v>
      </c>
      <c r="BB81" s="136" t="str">
        <f>IF(AI62="","",IF(F81="","",F81))</f>
        <v>HD</v>
      </c>
      <c r="BC81" s="136" t="str">
        <f>IF(AI62="","",IF(G81="","",G81))</f>
        <v>-</v>
      </c>
      <c r="BD81" s="136" t="str">
        <f>IF(AI62="","",IF(H81="","",H81))</f>
        <v>HD</v>
      </c>
      <c r="BE81" s="136" t="str">
        <f>IF(AI62="","",IF(I81="","",I81))</f>
        <v>-</v>
      </c>
      <c r="BF81" s="136" t="str">
        <f>IF(AI62="","",IF(J81="","",J81))</f>
        <v>HD</v>
      </c>
      <c r="BG81" s="136" t="str">
        <f>IF(AI62="","",IF(K81="","",K81))</f>
        <v>-</v>
      </c>
      <c r="BH81" s="136" t="str">
        <f>IF(AI62="","",IF(L81="","",L81))</f>
        <v>HS</v>
      </c>
      <c r="BI81" s="136" t="str">
        <f>IF(AI62="","",IF(M81="","",M81))</f>
        <v>-</v>
      </c>
      <c r="BJ81" s="136" t="str">
        <f>IF(AI62="","",IF(N81="","",N81))</f>
        <v>HS</v>
      </c>
      <c r="BK81" s="136" t="str">
        <f>IF(AI62="","",IF(O81="","",O81))</f>
        <v>-</v>
      </c>
      <c r="BM81" s="136" t="str">
        <f>BO81</f>
        <v>EG</v>
      </c>
      <c r="BN81" s="136" t="str">
        <f t="shared" si="64"/>
        <v>Estudo em Grupo</v>
      </c>
      <c r="BO81" s="136" t="str">
        <f t="shared" si="64"/>
        <v>EG</v>
      </c>
      <c r="BP81" s="136">
        <f>COUNTIFS(AX66:BK113,BO81)*0.5</f>
        <v>5</v>
      </c>
      <c r="BQ81" s="136" t="str">
        <f t="shared" si="65"/>
        <v>Estudo em Grupo</v>
      </c>
      <c r="BR81" s="136" t="str">
        <f t="shared" si="65"/>
        <v>EG</v>
      </c>
      <c r="BS81" s="136" t="str">
        <f t="shared" si="66"/>
        <v>Estudo em Grupo</v>
      </c>
      <c r="BT81" s="136">
        <f t="shared" si="72"/>
        <v>46.5</v>
      </c>
      <c r="BU81" s="136">
        <f t="shared" si="73"/>
        <v>55.5</v>
      </c>
      <c r="BZ81" s="280"/>
      <c r="CA81" s="183" t="str">
        <f>'INFO BASE'!L144</f>
        <v>-</v>
      </c>
      <c r="CB81" s="183" t="str">
        <f>'INFO BASE'!M144</f>
        <v/>
      </c>
      <c r="CD81" s="136" t="str">
        <f>IF('INFO BASE'!E95="","",'INFO BASE'!E95)</f>
        <v/>
      </c>
      <c r="CR81" s="177" t="str">
        <f t="shared" si="53"/>
        <v>HD</v>
      </c>
      <c r="CS81" s="177" t="str">
        <f t="shared" si="54"/>
        <v>HD-</v>
      </c>
      <c r="CT81" s="177" t="str">
        <f t="shared" si="53"/>
        <v>HD</v>
      </c>
      <c r="CU81" s="177" t="str">
        <f t="shared" si="55"/>
        <v>HD-</v>
      </c>
      <c r="CV81" s="177" t="str">
        <f t="shared" si="53"/>
        <v>HD</v>
      </c>
      <c r="CW81" s="177" t="str">
        <f t="shared" si="56"/>
        <v>HD-</v>
      </c>
      <c r="CX81" s="177" t="str">
        <f t="shared" si="53"/>
        <v>HD</v>
      </c>
      <c r="CY81" s="177" t="str">
        <f t="shared" si="57"/>
        <v>HD-</v>
      </c>
      <c r="CZ81" s="177" t="str">
        <f t="shared" si="53"/>
        <v>HD</v>
      </c>
      <c r="DA81" s="177" t="str">
        <f t="shared" si="58"/>
        <v>HD-</v>
      </c>
      <c r="DB81" s="177" t="str">
        <f t="shared" si="53"/>
        <v>HS</v>
      </c>
      <c r="DC81" s="177" t="str">
        <f t="shared" si="59"/>
        <v>HS-</v>
      </c>
      <c r="DD81" s="177" t="str">
        <f t="shared" si="60"/>
        <v>HS</v>
      </c>
      <c r="DE81" s="177" t="str">
        <f t="shared" si="61"/>
        <v>HS-</v>
      </c>
    </row>
    <row r="82" spans="1:119" ht="18" customHeight="1" x14ac:dyDescent="0.3">
      <c r="A82" s="81">
        <v>0.33333333333334397</v>
      </c>
      <c r="B82" s="166" t="s">
        <v>11</v>
      </c>
      <c r="C82" s="130" t="s">
        <v>120</v>
      </c>
      <c r="D82" s="169" t="s">
        <v>11</v>
      </c>
      <c r="E82" s="130" t="s">
        <v>120</v>
      </c>
      <c r="F82" s="169" t="s">
        <v>11</v>
      </c>
      <c r="G82" s="130" t="s">
        <v>120</v>
      </c>
      <c r="H82" s="169" t="s">
        <v>11</v>
      </c>
      <c r="I82" s="130" t="s">
        <v>120</v>
      </c>
      <c r="J82" s="169" t="s">
        <v>11</v>
      </c>
      <c r="K82" s="130" t="s">
        <v>120</v>
      </c>
      <c r="L82" s="169" t="s">
        <v>10</v>
      </c>
      <c r="M82" s="130" t="s">
        <v>120</v>
      </c>
      <c r="N82" s="169" t="s">
        <v>10</v>
      </c>
      <c r="O82" s="154" t="s">
        <v>120</v>
      </c>
      <c r="P82" s="6">
        <v>0</v>
      </c>
      <c r="Q82" s="110" t="str">
        <f t="shared" si="70"/>
        <v>Estudo Autónomo</v>
      </c>
      <c r="R82" s="105" t="str">
        <f t="shared" si="71"/>
        <v>CDI</v>
      </c>
      <c r="S82" s="88">
        <f t="shared" si="68"/>
        <v>-0.4</v>
      </c>
      <c r="T82" s="89">
        <f>IF(VLOOKUP(Q82,'INFO BASE'!$B$40:$I$54,IF(R82='INFO BASE'!$B$32,3,IF(R82='INFO BASE'!$B$33,4,IF(R82='INFO BASE'!$B$34,5,IF(R82='INFO BASE'!$B$35,6,IF(R82='INFO BASE'!$B$36,7,IF(R82='INFO BASE'!$B$37,8,2)))))),0)=0,"",VLOOKUP(Q82,'INFO BASE'!$B$40:$I$54,IF(R82='INFO BASE'!$B$32,3,IF(R82='INFO BASE'!$B$33,4,IF(R82='INFO BASE'!$B$34,5,IF(R82='INFO BASE'!$B$35,6,IF(R82='INFO BASE'!$B$36,7,IF(R82='INFO BASE'!$B$37,8,2)))))),0))</f>
        <v>5</v>
      </c>
      <c r="U82" s="89">
        <f>(COUNTIFS(C66:C113,R82,B66:B113,R77)+COUNTIFS(E66:E113,R82,D66:D113,R77)+COUNTIFS(G66:G113,R82,F66:F113,R77)+COUNTIFS(I66:I113,R82,H66:H113,R77)+COUNTIFS(K66:K113,R82,J66:J113,R77)+COUNTIFS(M66:M113,R82,L66:L113,R77)+COUNTIFS(O66:O113,R82,N66:N113,R77))*0.5</f>
        <v>3</v>
      </c>
      <c r="V82" s="89">
        <f>(COUNTIFS(AI66:AI113,R77,AJ66:AJ113,R82)+COUNTIFS(AK66:AK113,R77,AL66:AL113,R82)+COUNTIFS(AM66:AM113,R77,AN66:AN113,R82)+COUNTIFS(AO66:AO113,R77,AP66:AP113,R82)+COUNTIFS(AQ66:AQ113,R77,AR66:AR113,R82)+COUNTIFS(AS66:AS113,R77,AT66:AT113,R82)+COUNTIFS(AU66:AU113,R77,AV66:AV113,R82))*0.5</f>
        <v>1.5</v>
      </c>
      <c r="W82" s="90">
        <f>IF(AH62="","-",IF(V82=0,U82,IFERROR((U82/V82)-1,"-")))</f>
        <v>1</v>
      </c>
      <c r="X82" s="200">
        <f t="shared" si="69"/>
        <v>1</v>
      </c>
      <c r="Y82" s="299" t="s">
        <v>241</v>
      </c>
      <c r="Z82" s="300"/>
      <c r="AA82" s="300"/>
      <c r="AB82" s="300"/>
      <c r="AC82" s="300"/>
      <c r="AD82" s="300"/>
      <c r="AE82" s="300"/>
      <c r="AF82" s="301"/>
      <c r="AH82" s="136">
        <v>0.33333333333334397</v>
      </c>
      <c r="AI82" s="136" t="s">
        <v>11</v>
      </c>
      <c r="AJ82" s="136" t="s">
        <v>120</v>
      </c>
      <c r="AK82" s="136" t="s">
        <v>11</v>
      </c>
      <c r="AL82" s="136" t="s">
        <v>120</v>
      </c>
      <c r="AM82" s="136" t="s">
        <v>11</v>
      </c>
      <c r="AN82" s="136" t="s">
        <v>120</v>
      </c>
      <c r="AO82" s="136" t="s">
        <v>11</v>
      </c>
      <c r="AP82" s="136" t="s">
        <v>120</v>
      </c>
      <c r="AQ82" s="136" t="s">
        <v>11</v>
      </c>
      <c r="AR82" s="136" t="s">
        <v>120</v>
      </c>
      <c r="AS82" s="136" t="s">
        <v>10</v>
      </c>
      <c r="AT82" s="136" t="s">
        <v>120</v>
      </c>
      <c r="AU82" s="136" t="s">
        <v>10</v>
      </c>
      <c r="AV82" s="136" t="s">
        <v>120</v>
      </c>
      <c r="AX82" s="136" t="str">
        <f>IF(AI62="","",IF(B82="","",B82))</f>
        <v>HD</v>
      </c>
      <c r="AY82" s="136" t="str">
        <f>IF(AI62="","",IF(C82="","",C82))</f>
        <v>-</v>
      </c>
      <c r="AZ82" s="136" t="str">
        <f>IF(AI62="","",IF(D82="","",D82))</f>
        <v>HD</v>
      </c>
      <c r="BA82" s="136" t="str">
        <f>IF(AI62="","",IF(E82="","",E82))</f>
        <v>-</v>
      </c>
      <c r="BB82" s="136" t="str">
        <f>IF(AI62="","",IF(F82="","",F82))</f>
        <v>HD</v>
      </c>
      <c r="BC82" s="136" t="str">
        <f>IF(AI62="","",IF(G82="","",G82))</f>
        <v>-</v>
      </c>
      <c r="BD82" s="136" t="str">
        <f>IF(AI62="","",IF(H82="","",H82))</f>
        <v>HD</v>
      </c>
      <c r="BE82" s="136" t="str">
        <f>IF(AI62="","",IF(I82="","",I82))</f>
        <v>-</v>
      </c>
      <c r="BF82" s="136" t="str">
        <f>IF(AI62="","",IF(J82="","",J82))</f>
        <v>HD</v>
      </c>
      <c r="BG82" s="136" t="str">
        <f>IF(AI62="","",IF(K82="","",K82))</f>
        <v>-</v>
      </c>
      <c r="BH82" s="136" t="str">
        <f>IF(AI62="","",IF(L82="","",L82))</f>
        <v>HS</v>
      </c>
      <c r="BI82" s="136" t="str">
        <f>IF(AI62="","",IF(M82="","",M82))</f>
        <v>-</v>
      </c>
      <c r="BJ82" s="136" t="str">
        <f>IF(AI62="","",IF(N82="","",N82))</f>
        <v>HS</v>
      </c>
      <c r="BK82" s="136" t="str">
        <f>IF(AI62="","",IF(O82="","",O82))</f>
        <v>-</v>
      </c>
      <c r="BM82" s="136" t="str">
        <f>BM81</f>
        <v>EG</v>
      </c>
      <c r="BN82" s="136" t="str">
        <f t="shared" si="64"/>
        <v>Estudo em Grupo</v>
      </c>
      <c r="BO82" s="136" t="str">
        <f t="shared" si="64"/>
        <v>FP</v>
      </c>
      <c r="BP82" s="136">
        <f>(COUNTIFS(AX66:AX113,BM82,AY66:AY113,BO82)+COUNTIFS(AZ66:AZ113,BM82,BA66:BA113,BO82)+COUNTIFS(BB66:BB113,BM82,BC66:BC113,BO82)+COUNTIFS(BD66:BD113,BM82,BE66:BE113,BO82)+COUNTIFS(BF66:BF113,BM82,BG66:BG113,BO82)+COUNTIFS(BH66:BH113,BM82,BI66:BI113,BO82)+COUNTIFS(BJ66:BJ113,BM82,BK66:BK113,BO82))*0.5</f>
        <v>1</v>
      </c>
      <c r="BQ82" s="136" t="str">
        <f t="shared" si="65"/>
        <v>Estudo em Grupo</v>
      </c>
      <c r="BR82" s="136" t="str">
        <f t="shared" si="65"/>
        <v>FP</v>
      </c>
      <c r="BS82" s="136" t="str">
        <f t="shared" si="66"/>
        <v>Estudo em Grupo</v>
      </c>
      <c r="BT82" s="136">
        <f t="shared" si="72"/>
        <v>11</v>
      </c>
      <c r="BU82" s="136">
        <f t="shared" si="73"/>
        <v>12</v>
      </c>
      <c r="BZ82" s="280"/>
      <c r="CA82" s="183" t="str">
        <f>'INFO BASE'!L145</f>
        <v>-</v>
      </c>
      <c r="CB82" s="183" t="str">
        <f>'INFO BASE'!M145</f>
        <v/>
      </c>
      <c r="CD82" s="136" t="str">
        <f>IF('INFO BASE'!F96="","",'INFO BASE'!F96)</f>
        <v/>
      </c>
      <c r="CR82" s="177" t="str">
        <f t="shared" si="53"/>
        <v>HD</v>
      </c>
      <c r="CS82" s="177" t="str">
        <f t="shared" si="54"/>
        <v>HD-</v>
      </c>
      <c r="CT82" s="177" t="str">
        <f t="shared" si="53"/>
        <v>HD</v>
      </c>
      <c r="CU82" s="177" t="str">
        <f t="shared" si="55"/>
        <v>HD-</v>
      </c>
      <c r="CV82" s="177" t="str">
        <f t="shared" si="53"/>
        <v>HD</v>
      </c>
      <c r="CW82" s="177" t="str">
        <f t="shared" si="56"/>
        <v>HD-</v>
      </c>
      <c r="CX82" s="177" t="str">
        <f t="shared" si="53"/>
        <v>HD</v>
      </c>
      <c r="CY82" s="177" t="str">
        <f t="shared" si="57"/>
        <v>HD-</v>
      </c>
      <c r="CZ82" s="177" t="str">
        <f t="shared" si="53"/>
        <v>HD</v>
      </c>
      <c r="DA82" s="177" t="str">
        <f t="shared" si="58"/>
        <v>HD-</v>
      </c>
      <c r="DB82" s="177" t="str">
        <f t="shared" si="53"/>
        <v>HS</v>
      </c>
      <c r="DC82" s="177" t="str">
        <f t="shared" si="59"/>
        <v>HS-</v>
      </c>
      <c r="DD82" s="177" t="str">
        <f t="shared" si="60"/>
        <v>HS</v>
      </c>
      <c r="DE82" s="177" t="str">
        <f t="shared" si="61"/>
        <v>HS-</v>
      </c>
    </row>
    <row r="83" spans="1:119" ht="18" customHeight="1" thickBot="1" x14ac:dyDescent="0.35">
      <c r="A83" s="81">
        <v>0.35416666666667801</v>
      </c>
      <c r="B83" s="166" t="s">
        <v>11</v>
      </c>
      <c r="C83" s="130" t="s">
        <v>120</v>
      </c>
      <c r="D83" s="169" t="s">
        <v>11</v>
      </c>
      <c r="E83" s="130" t="s">
        <v>120</v>
      </c>
      <c r="F83" s="169" t="s">
        <v>130</v>
      </c>
      <c r="G83" s="130" t="s">
        <v>231</v>
      </c>
      <c r="H83" s="169" t="s">
        <v>11</v>
      </c>
      <c r="I83" s="130" t="s">
        <v>120</v>
      </c>
      <c r="J83" s="169" t="s">
        <v>11</v>
      </c>
      <c r="K83" s="130" t="s">
        <v>120</v>
      </c>
      <c r="L83" s="169" t="s">
        <v>116</v>
      </c>
      <c r="M83" s="130"/>
      <c r="N83" s="169" t="s">
        <v>116</v>
      </c>
      <c r="O83" s="154"/>
      <c r="P83" s="6">
        <v>0</v>
      </c>
      <c r="Q83" s="112" t="str">
        <f t="shared" si="70"/>
        <v>Estudo Autónomo</v>
      </c>
      <c r="R83" s="107" t="str">
        <f t="shared" si="71"/>
        <v/>
      </c>
      <c r="S83" s="94" t="str">
        <f t="shared" si="68"/>
        <v>-</v>
      </c>
      <c r="T83" s="95" t="str">
        <f>IF(VLOOKUP(Q83,'INFO BASE'!$B$40:$I$54,IF(R83='INFO BASE'!$B$32,3,IF(R83='INFO BASE'!$B$33,4,IF(R83='INFO BASE'!$B$34,5,IF(R83='INFO BASE'!$B$35,6,IF(R83='INFO BASE'!$B$36,7,IF(R83='INFO BASE'!$B$37,8,2)))))),0)=0,"",VLOOKUP(Q83,'INFO BASE'!$B$40:$I$54,IF(R83='INFO BASE'!$B$32,3,IF(R83='INFO BASE'!$B$33,4,IF(R83='INFO BASE'!$B$34,5,IF(R83='INFO BASE'!$B$35,6,IF(R83='INFO BASE'!$B$36,7,IF(R83='INFO BASE'!$B$37,8,2)))))),0))</f>
        <v/>
      </c>
      <c r="U83" s="95">
        <f>(COUNTIFS(C66:C113,R83,B66:B113,R77)+COUNTIFS(E66:E113,R83,D66:D113,R77)+COUNTIFS(G66:G113,R83,F66:F113,R77)+COUNTIFS(I66:I113,R83,H66:H113,R77)+COUNTIFS(K66:K113,R83,J66:J113,R77)+COUNTIFS(M66:M113,R83,L66:L113,R77)+COUNTIFS(O66:O113,R83,N66:N113,R77))*0.5</f>
        <v>0</v>
      </c>
      <c r="V83" s="95">
        <f>(COUNTIFS(AI66:AI113,R77,AJ66:AJ113,R83)+COUNTIFS(AK66:AK113,R77,AL66:AL113,R83)+COUNTIFS(AM66:AM113,R77,AN66:AN113,R83)+COUNTIFS(AO66:AO113,R77,AP66:AP113,R83)+COUNTIFS(AQ66:AQ113,R77,AR66:AR113,R83)+COUNTIFS(AS66:AS113,R77,AT66:AT113,R83)+COUNTIFS(AU66:AU113,R77,AV66:AV113,R83))*0.5</f>
        <v>0</v>
      </c>
      <c r="W83" s="96">
        <f>IF(AH62="","-",IF(V83=0,U83,IFERROR((U83/V83)-1,"-")))</f>
        <v>0</v>
      </c>
      <c r="X83" s="201">
        <f t="shared" si="69"/>
        <v>0</v>
      </c>
      <c r="Y83" s="274"/>
      <c r="Z83" s="275"/>
      <c r="AA83" s="275"/>
      <c r="AB83" s="275"/>
      <c r="AC83" s="275"/>
      <c r="AD83" s="275"/>
      <c r="AE83" s="275"/>
      <c r="AF83" s="276"/>
      <c r="AH83" s="136">
        <v>0.35416666666667801</v>
      </c>
      <c r="AI83" s="136" t="s">
        <v>11</v>
      </c>
      <c r="AJ83" s="136" t="s">
        <v>120</v>
      </c>
      <c r="AK83" s="136" t="s">
        <v>11</v>
      </c>
      <c r="AL83" s="136" t="s">
        <v>120</v>
      </c>
      <c r="AM83" s="136" t="s">
        <v>130</v>
      </c>
      <c r="AN83" s="136" t="s">
        <v>231</v>
      </c>
      <c r="AO83" s="136" t="s">
        <v>11</v>
      </c>
      <c r="AP83" s="136" t="s">
        <v>120</v>
      </c>
      <c r="AQ83" s="136" t="s">
        <v>11</v>
      </c>
      <c r="AR83" s="136" t="s">
        <v>120</v>
      </c>
      <c r="AS83" s="136" t="s">
        <v>116</v>
      </c>
      <c r="AT83" s="136" t="s">
        <v>235</v>
      </c>
      <c r="AU83" s="136" t="s">
        <v>116</v>
      </c>
      <c r="AV83" s="136" t="s">
        <v>235</v>
      </c>
      <c r="AX83" s="136" t="str">
        <f>IF(AI62="","",IF(B83="","",B83))</f>
        <v>HD</v>
      </c>
      <c r="AY83" s="136" t="str">
        <f>IF(AI62="","",IF(C83="","",C83))</f>
        <v>-</v>
      </c>
      <c r="AZ83" s="136" t="str">
        <f>IF(AI62="","",IF(D83="","",D83))</f>
        <v>HD</v>
      </c>
      <c r="BA83" s="136" t="str">
        <f>IF(AI62="","",IF(E83="","",E83))</f>
        <v>-</v>
      </c>
      <c r="BB83" s="136" t="str">
        <f>IF(AI62="","",IF(F83="","",F83))</f>
        <v>APB</v>
      </c>
      <c r="BC83" s="136" t="str">
        <f>IF(AI62="","",IF(G83="","",G83))</f>
        <v>CDI</v>
      </c>
      <c r="BD83" s="136" t="str">
        <f>IF(AI62="","",IF(H83="","",H83))</f>
        <v>HD</v>
      </c>
      <c r="BE83" s="136" t="str">
        <f>IF(AI62="","",IF(I83="","",I83))</f>
        <v>-</v>
      </c>
      <c r="BF83" s="136" t="str">
        <f>IF(AI62="","",IF(J83="","",J83))</f>
        <v>HD</v>
      </c>
      <c r="BG83" s="136" t="str">
        <f>IF(AI62="","",IF(K83="","",K83))</f>
        <v>-</v>
      </c>
      <c r="BH83" s="136" t="str">
        <f>IF(AI62="","",IF(L83="","",L83))</f>
        <v>PV</v>
      </c>
      <c r="BI83" s="136" t="str">
        <f>IF(AI62="","",IF(M83="","",M83))</f>
        <v/>
      </c>
      <c r="BJ83" s="136" t="str">
        <f>IF(AI62="","",IF(N83="","",N83))</f>
        <v>PV</v>
      </c>
      <c r="BK83" s="136" t="str">
        <f>IF(AI62="","",IF(O83="","",O83))</f>
        <v/>
      </c>
      <c r="BM83" s="136" t="str">
        <f t="shared" ref="BM83:BM87" si="74">BM82</f>
        <v>EG</v>
      </c>
      <c r="BN83" s="136" t="str">
        <f t="shared" si="64"/>
        <v>Estudo em Grupo</v>
      </c>
      <c r="BO83" s="136" t="str">
        <f t="shared" si="64"/>
        <v>IEI</v>
      </c>
      <c r="BP83" s="136">
        <f>(COUNTIFS(AX66:AX113,BM83,AY66:AY113,BO83)+COUNTIFS(AZ66:AZ113,BM83,BA66:BA113,BO83)+COUNTIFS(BB66:BB113,BM83,BC66:BC113,BO83)+COUNTIFS(BD66:BD113,BM83,BE66:BE113,BO83)+COUNTIFS(BF66:BF113,BM83,BG66:BG113,BO83)+COUNTIFS(BH66:BH113,BM83,BI66:BI113,BO83)+COUNTIFS(BJ66:BJ113,BM83,BK66:BK113,BO83))*0.5</f>
        <v>0</v>
      </c>
      <c r="BQ83" s="136" t="str">
        <f t="shared" si="65"/>
        <v>Estudo em Grupo</v>
      </c>
      <c r="BR83" s="136" t="str">
        <f t="shared" si="65"/>
        <v>IEI</v>
      </c>
      <c r="BS83" s="136" t="str">
        <f t="shared" si="66"/>
        <v>Estudo em Grupo</v>
      </c>
      <c r="BT83" s="136">
        <f t="shared" si="72"/>
        <v>2.5</v>
      </c>
      <c r="BU83" s="136">
        <f t="shared" si="73"/>
        <v>7</v>
      </c>
      <c r="BZ83" s="280"/>
      <c r="CA83" s="183" t="str">
        <f>'INFO BASE'!L146</f>
        <v>-</v>
      </c>
      <c r="CB83" s="183" t="str">
        <f>'INFO BASE'!M146</f>
        <v/>
      </c>
      <c r="CR83" s="177" t="str">
        <f t="shared" si="53"/>
        <v>HD</v>
      </c>
      <c r="CS83" s="177" t="str">
        <f t="shared" si="54"/>
        <v>HD-</v>
      </c>
      <c r="CT83" s="177" t="str">
        <f t="shared" si="53"/>
        <v>HD</v>
      </c>
      <c r="CU83" s="177" t="str">
        <f t="shared" si="55"/>
        <v>HD-</v>
      </c>
      <c r="CV83" s="177" t="str">
        <f t="shared" si="53"/>
        <v>APB</v>
      </c>
      <c r="CW83" s="177" t="str">
        <f t="shared" si="56"/>
        <v>APBCDI</v>
      </c>
      <c r="CX83" s="177" t="str">
        <f t="shared" si="53"/>
        <v>HD</v>
      </c>
      <c r="CY83" s="177" t="str">
        <f t="shared" si="57"/>
        <v>HD-</v>
      </c>
      <c r="CZ83" s="177" t="str">
        <f t="shared" si="53"/>
        <v>HD</v>
      </c>
      <c r="DA83" s="177" t="str">
        <f t="shared" si="58"/>
        <v>HD-</v>
      </c>
      <c r="DB83" s="177" t="str">
        <f t="shared" si="53"/>
        <v>PV</v>
      </c>
      <c r="DC83" s="177">
        <f t="shared" si="59"/>
        <v>0</v>
      </c>
      <c r="DD83" s="177" t="str">
        <f t="shared" si="60"/>
        <v>PV</v>
      </c>
      <c r="DE83" s="177">
        <f t="shared" si="61"/>
        <v>0</v>
      </c>
    </row>
    <row r="84" spans="1:119" ht="18" customHeight="1" x14ac:dyDescent="0.3">
      <c r="A84" s="81">
        <v>0.37500000000001199</v>
      </c>
      <c r="B84" s="166" t="s">
        <v>9</v>
      </c>
      <c r="C84" s="130" t="s">
        <v>228</v>
      </c>
      <c r="D84" s="169" t="s">
        <v>9</v>
      </c>
      <c r="E84" s="130" t="s">
        <v>226</v>
      </c>
      <c r="F84" s="169" t="s">
        <v>130</v>
      </c>
      <c r="G84" s="130" t="s">
        <v>231</v>
      </c>
      <c r="H84" s="169" t="s">
        <v>9</v>
      </c>
      <c r="I84" s="130" t="s">
        <v>228</v>
      </c>
      <c r="J84" s="169" t="s">
        <v>9</v>
      </c>
      <c r="K84" s="130" t="s">
        <v>224</v>
      </c>
      <c r="L84" s="169" t="s">
        <v>8</v>
      </c>
      <c r="M84" s="130" t="s">
        <v>231</v>
      </c>
      <c r="N84" s="169" t="s">
        <v>8</v>
      </c>
      <c r="O84" s="154" t="s">
        <v>230</v>
      </c>
      <c r="P84" s="6">
        <v>0</v>
      </c>
      <c r="Q84" s="113" t="str">
        <f>IF('INFO BASE'!$C$18="","",'INFO BASE'!$C$18)</f>
        <v>Estudo em Grupo</v>
      </c>
      <c r="R84" s="82" t="str">
        <f t="shared" si="71"/>
        <v>EG</v>
      </c>
      <c r="S84" s="83">
        <f t="shared" si="68"/>
        <v>-0.375</v>
      </c>
      <c r="T84" s="84">
        <f>IF(VLOOKUP(Q84,'INFO BASE'!$B$40:$I$54,IF(R84='INFO BASE'!$B$32,3,IF(R84='INFO BASE'!$B$33,4,IF(R84='INFO BASE'!$B$34,5,IF(R84='INFO BASE'!$B$35,6,IF(R84='INFO BASE'!$B$36,7,IF(R84='INFO BASE'!$B$37,8,2)))))),0)=0,"",VLOOKUP(Q84,'INFO BASE'!$B$40:$I$54,IF(R84='INFO BASE'!$B$32,3,IF(R84='INFO BASE'!$B$33,4,IF(R84='INFO BASE'!$B$34,5,IF(R84='INFO BASE'!$B$35,6,IF(R84='INFO BASE'!$B$36,7,IF(R84='INFO BASE'!$B$37,8,2)))))),0))</f>
        <v>8</v>
      </c>
      <c r="U84" s="84">
        <f>IF(R84="","",COUNTIFS(SEMANA2,R84)*0.5)</f>
        <v>5</v>
      </c>
      <c r="V84" s="84">
        <f>IF(R84="","",COUNTIFS(AI66:AV113,R84)*0.5)</f>
        <v>5</v>
      </c>
      <c r="W84" s="85">
        <f>IF(AH62="","-",IF(V84=0,U84,IFERROR((U84/V84)-1,"-")))</f>
        <v>0</v>
      </c>
      <c r="X84" s="201">
        <f t="shared" si="69"/>
        <v>0</v>
      </c>
      <c r="Y84" s="277"/>
      <c r="Z84" s="278"/>
      <c r="AA84" s="278"/>
      <c r="AB84" s="278"/>
      <c r="AC84" s="278"/>
      <c r="AD84" s="278"/>
      <c r="AE84" s="278"/>
      <c r="AF84" s="279"/>
      <c r="AH84" s="136">
        <v>0.37500000000001199</v>
      </c>
      <c r="AI84" s="136" t="s">
        <v>9</v>
      </c>
      <c r="AJ84" s="136" t="s">
        <v>228</v>
      </c>
      <c r="AK84" s="136" t="s">
        <v>9</v>
      </c>
      <c r="AL84" s="136" t="s">
        <v>226</v>
      </c>
      <c r="AM84" s="136" t="s">
        <v>130</v>
      </c>
      <c r="AN84" s="136" t="s">
        <v>231</v>
      </c>
      <c r="AO84" s="136" t="s">
        <v>9</v>
      </c>
      <c r="AP84" s="136" t="s">
        <v>228</v>
      </c>
      <c r="AQ84" s="136" t="s">
        <v>9</v>
      </c>
      <c r="AR84" s="136" t="s">
        <v>224</v>
      </c>
      <c r="AS84" s="136" t="s">
        <v>8</v>
      </c>
      <c r="AT84" s="136" t="s">
        <v>231</v>
      </c>
      <c r="AU84" s="136" t="s">
        <v>8</v>
      </c>
      <c r="AV84" s="136" t="s">
        <v>230</v>
      </c>
      <c r="AX84" s="136" t="str">
        <f>IF(AI62="","",IF(B84="","",B84))</f>
        <v>AT</v>
      </c>
      <c r="AY84" s="136" t="str">
        <f>IF(AI62="","",IF(C84="","",C84))</f>
        <v>IAC</v>
      </c>
      <c r="AZ84" s="136" t="str">
        <f>IF(AI62="","",IF(D84="","",D84))</f>
        <v>AT</v>
      </c>
      <c r="BA84" s="136" t="str">
        <f>IF(AI62="","",IF(E84="","",E84))</f>
        <v>IEI</v>
      </c>
      <c r="BB84" s="136" t="str">
        <f>IF(AI62="","",IF(F84="","",F84))</f>
        <v>APB</v>
      </c>
      <c r="BC84" s="136" t="str">
        <f>IF(AI62="","",IF(G84="","",G84))</f>
        <v>CDI</v>
      </c>
      <c r="BD84" s="136" t="str">
        <f>IF(AI62="","",IF(H84="","",H84))</f>
        <v>AT</v>
      </c>
      <c r="BE84" s="136" t="str">
        <f>IF(AI62="","",IF(I84="","",I84))</f>
        <v>IAC</v>
      </c>
      <c r="BF84" s="136" t="str">
        <f>IF(AI62="","",IF(J84="","",J84))</f>
        <v>AT</v>
      </c>
      <c r="BG84" s="136" t="str">
        <f>IF(AI62="","",IF(K84="","",K84))</f>
        <v>FP</v>
      </c>
      <c r="BH84" s="136" t="str">
        <f>IF(AI62="","",IF(L84="","",L84))</f>
        <v>EA</v>
      </c>
      <c r="BI84" s="136" t="str">
        <f>IF(AI62="","",IF(M84="","",M84))</f>
        <v>CDI</v>
      </c>
      <c r="BJ84" s="136" t="str">
        <f>IF(AI62="","",IF(N84="","",N84))</f>
        <v>EA</v>
      </c>
      <c r="BK84" s="136" t="str">
        <f>IF(AI62="","",IF(O84="","",O84))</f>
        <v>AL</v>
      </c>
      <c r="BM84" s="136" t="str">
        <f t="shared" si="74"/>
        <v>EG</v>
      </c>
      <c r="BN84" s="136" t="str">
        <f t="shared" si="64"/>
        <v>Estudo em Grupo</v>
      </c>
      <c r="BO84" s="136" t="str">
        <f t="shared" si="64"/>
        <v>IAC</v>
      </c>
      <c r="BP84" s="136">
        <f>(COUNTIFS(AX66:AX113,BM84,AY66:AY113,BO84)+COUNTIFS(AZ66:AZ113,BM84,BA66:BA113,BO84)+COUNTIFS(BB66:BB113,BM84,BC66:BC113,BO84)+COUNTIFS(BD66:BD113,BM84,BE66:BE113,BO84)+COUNTIFS(BF66:BF113,BM84,BG66:BG113,BO84)+COUNTIFS(BH66:BH113,BM84,BI66:BI113,BO84)+COUNTIFS(BJ66:BJ113,BM84,BK66:BK113,BO84))*0.5</f>
        <v>0</v>
      </c>
      <c r="BQ84" s="136" t="str">
        <f t="shared" si="65"/>
        <v>Estudo em Grupo</v>
      </c>
      <c r="BR84" s="136" t="str">
        <f t="shared" si="65"/>
        <v>IAC</v>
      </c>
      <c r="BS84" s="136" t="str">
        <f t="shared" si="66"/>
        <v>Estudo em Grupo</v>
      </c>
      <c r="BT84" s="136">
        <f t="shared" si="72"/>
        <v>6</v>
      </c>
      <c r="BU84" s="136">
        <f t="shared" si="73"/>
        <v>10.5</v>
      </c>
      <c r="BZ84" s="280"/>
      <c r="CA84" s="183" t="str">
        <f>'INFO BASE'!L147</f>
        <v>-</v>
      </c>
      <c r="CB84" s="183" t="str">
        <f>'INFO BASE'!M147</f>
        <v/>
      </c>
      <c r="CR84" s="177" t="str">
        <f t="shared" si="53"/>
        <v>AT</v>
      </c>
      <c r="CS84" s="177" t="str">
        <f t="shared" si="54"/>
        <v>ATIAC</v>
      </c>
      <c r="CT84" s="177" t="str">
        <f t="shared" si="53"/>
        <v>AT</v>
      </c>
      <c r="CU84" s="177" t="str">
        <f t="shared" si="55"/>
        <v>ATIEI</v>
      </c>
      <c r="CV84" s="177" t="str">
        <f t="shared" si="53"/>
        <v>APB</v>
      </c>
      <c r="CW84" s="177" t="str">
        <f t="shared" si="56"/>
        <v>APBCDI</v>
      </c>
      <c r="CX84" s="177" t="str">
        <f t="shared" si="53"/>
        <v>AT</v>
      </c>
      <c r="CY84" s="177" t="str">
        <f t="shared" si="57"/>
        <v>ATIAC</v>
      </c>
      <c r="CZ84" s="177" t="str">
        <f t="shared" si="53"/>
        <v>AT</v>
      </c>
      <c r="DA84" s="177" t="str">
        <f t="shared" si="58"/>
        <v>ATFP</v>
      </c>
      <c r="DB84" s="177" t="str">
        <f t="shared" si="53"/>
        <v>EA</v>
      </c>
      <c r="DC84" s="177" t="str">
        <f t="shared" si="59"/>
        <v>EACDI</v>
      </c>
      <c r="DD84" s="177" t="str">
        <f t="shared" si="60"/>
        <v>EA</v>
      </c>
      <c r="DE84" s="177" t="str">
        <f t="shared" si="61"/>
        <v>EAAL</v>
      </c>
    </row>
    <row r="85" spans="1:119" ht="18" customHeight="1" x14ac:dyDescent="0.3">
      <c r="A85" s="81">
        <v>0.39583333333334603</v>
      </c>
      <c r="B85" s="166" t="s">
        <v>9</v>
      </c>
      <c r="C85" s="130" t="s">
        <v>228</v>
      </c>
      <c r="D85" s="169" t="s">
        <v>9</v>
      </c>
      <c r="E85" s="130" t="s">
        <v>226</v>
      </c>
      <c r="F85" s="169" t="s">
        <v>130</v>
      </c>
      <c r="G85" s="130" t="s">
        <v>231</v>
      </c>
      <c r="H85" s="169" t="s">
        <v>9</v>
      </c>
      <c r="I85" s="130" t="s">
        <v>228</v>
      </c>
      <c r="J85" s="169" t="s">
        <v>9</v>
      </c>
      <c r="K85" s="130" t="s">
        <v>224</v>
      </c>
      <c r="L85" s="169" t="s">
        <v>8</v>
      </c>
      <c r="M85" s="130" t="s">
        <v>231</v>
      </c>
      <c r="N85" s="169" t="s">
        <v>8</v>
      </c>
      <c r="O85" s="154" t="s">
        <v>230</v>
      </c>
      <c r="P85" s="6">
        <v>0</v>
      </c>
      <c r="Q85" s="114" t="str">
        <f t="shared" ref="Q85:Q90" si="75">Q84</f>
        <v>Estudo em Grupo</v>
      </c>
      <c r="R85" s="105" t="str">
        <f t="shared" si="71"/>
        <v>FP</v>
      </c>
      <c r="S85" s="88">
        <f t="shared" si="68"/>
        <v>-0.5</v>
      </c>
      <c r="T85" s="89">
        <f>IF(VLOOKUP(Q85,'INFO BASE'!$B$40:$I$54,IF(R85='INFO BASE'!$B$32,3,IF(R85='INFO BASE'!$B$33,4,IF(R85='INFO BASE'!$B$34,5,IF(R85='INFO BASE'!$B$35,6,IF(R85='INFO BASE'!$B$36,7,IF(R85='INFO BASE'!$B$37,8,2)))))),0)=0,"",VLOOKUP(Q85,'INFO BASE'!$B$40:$I$54,IF(R85='INFO BASE'!$B$32,3,IF(R85='INFO BASE'!$B$33,4,IF(R85='INFO BASE'!$B$34,5,IF(R85='INFO BASE'!$B$35,6,IF(R85='INFO BASE'!$B$36,7,IF(R85='INFO BASE'!$B$37,8,2)))))),0))</f>
        <v>2</v>
      </c>
      <c r="U85" s="89">
        <f>(COUNTIFS(C66:C113,R85,B66:B113,R84)+COUNTIFS(E66:E113,R85,D66:D113,R84)+COUNTIFS(G66:G113,R85,F66:F113,R84)+COUNTIFS(I66:I113,R85,H66:H113,R84)+COUNTIFS(K66:K113,R85,J66:J113,R84)+COUNTIFS(M66:M113,R85,L66:L113,R84)+COUNTIFS(O66:O113,R85,N66:N113,R84))*0.5</f>
        <v>1</v>
      </c>
      <c r="V85" s="89">
        <f>(COUNTIFS(AI66:AI113,R84,AJ66:AJ113,R78)+COUNTIFS(AK66:AK113,R84,AL66:AL113,R78)+COUNTIFS(AM66:AM113,R84,AN66:AN113,R78)+COUNTIFS(AO66:AO113,R84,AP66:AP113,R78)+COUNTIFS(AQ66:AQ113,R84,AR66:AR113,R78)+COUNTIFS(AS66:AS113,R84,AT66:AT113,R78)+COUNTIFS(AU66:AU113,R84,AV66:AV113,R78))*0.5</f>
        <v>1</v>
      </c>
      <c r="W85" s="90">
        <f>IF(AH62="","-",IF(V85=0,U85,IFERROR((U85/V85)-1,"-")))</f>
        <v>0</v>
      </c>
      <c r="X85" s="201">
        <f t="shared" si="69"/>
        <v>0</v>
      </c>
      <c r="Y85" s="271"/>
      <c r="Z85" s="272"/>
      <c r="AA85" s="272"/>
      <c r="AB85" s="272"/>
      <c r="AC85" s="272"/>
      <c r="AD85" s="272"/>
      <c r="AE85" s="272"/>
      <c r="AF85" s="273"/>
      <c r="AH85" s="136">
        <v>0.39583333333334603</v>
      </c>
      <c r="AI85" s="136" t="s">
        <v>9</v>
      </c>
      <c r="AJ85" s="136" t="s">
        <v>228</v>
      </c>
      <c r="AK85" s="136" t="s">
        <v>9</v>
      </c>
      <c r="AL85" s="136" t="s">
        <v>226</v>
      </c>
      <c r="AM85" s="136" t="s">
        <v>130</v>
      </c>
      <c r="AN85" s="136" t="s">
        <v>231</v>
      </c>
      <c r="AO85" s="136" t="s">
        <v>9</v>
      </c>
      <c r="AP85" s="136" t="s">
        <v>228</v>
      </c>
      <c r="AQ85" s="136" t="s">
        <v>9</v>
      </c>
      <c r="AR85" s="136" t="s">
        <v>224</v>
      </c>
      <c r="AS85" s="136" t="s">
        <v>8</v>
      </c>
      <c r="AT85" s="136" t="s">
        <v>231</v>
      </c>
      <c r="AU85" s="136" t="s">
        <v>8</v>
      </c>
      <c r="AV85" s="136" t="s">
        <v>230</v>
      </c>
      <c r="AX85" s="136" t="str">
        <f>IF(AI62="","",IF(B85="","",B85))</f>
        <v>AT</v>
      </c>
      <c r="AY85" s="136" t="str">
        <f>IF(AI62="","",IF(C85="","",C85))</f>
        <v>IAC</v>
      </c>
      <c r="AZ85" s="136" t="str">
        <f>IF(AI62="","",IF(D85="","",D85))</f>
        <v>AT</v>
      </c>
      <c r="BA85" s="136" t="str">
        <f>IF(AI62="","",IF(E85="","",E85))</f>
        <v>IEI</v>
      </c>
      <c r="BB85" s="136" t="str">
        <f>IF(AI62="","",IF(F85="","",F85))</f>
        <v>APB</v>
      </c>
      <c r="BC85" s="136" t="str">
        <f>IF(AI62="","",IF(G85="","",G85))</f>
        <v>CDI</v>
      </c>
      <c r="BD85" s="136" t="str">
        <f>IF(AI62="","",IF(H85="","",H85))</f>
        <v>AT</v>
      </c>
      <c r="BE85" s="136" t="str">
        <f>IF(AI62="","",IF(I85="","",I85))</f>
        <v>IAC</v>
      </c>
      <c r="BF85" s="136" t="str">
        <f>IF(AI62="","",IF(J85="","",J85))</f>
        <v>AT</v>
      </c>
      <c r="BG85" s="136" t="str">
        <f>IF(AI62="","",IF(K85="","",K85))</f>
        <v>FP</v>
      </c>
      <c r="BH85" s="136" t="str">
        <f>IF(AI62="","",IF(L85="","",L85))</f>
        <v>EA</v>
      </c>
      <c r="BI85" s="136" t="str">
        <f>IF(AI62="","",IF(M85="","",M85))</f>
        <v>CDI</v>
      </c>
      <c r="BJ85" s="136" t="str">
        <f>IF(AI62="","",IF(N85="","",N85))</f>
        <v>EA</v>
      </c>
      <c r="BK85" s="136" t="str">
        <f>IF(AI62="","",IF(O85="","",O85))</f>
        <v>AL</v>
      </c>
      <c r="BM85" s="136" t="str">
        <f t="shared" si="74"/>
        <v>EG</v>
      </c>
      <c r="BN85" s="136" t="str">
        <f t="shared" si="64"/>
        <v>Estudo em Grupo</v>
      </c>
      <c r="BO85" s="136" t="str">
        <f t="shared" si="64"/>
        <v>AL</v>
      </c>
      <c r="BP85" s="136">
        <f>(COUNTIFS(AX66:AX113,BM85,AY66:AY113,BO85)+COUNTIFS(AZ66:AZ113,BM85,BA66:BA113,BO85)+COUNTIFS(BB66:BB113,BM85,BC66:BC113,BO85)+COUNTIFS(BD66:BD113,BM85,BE66:BE113,BO85)+COUNTIFS(BF66:BF113,BM85,BG66:BG113,BO85)+COUNTIFS(BH66:BH113,BM85,BI66:BI113,BO85)+COUNTIFS(BJ66:BJ113,BM85,BK66:BK113,BO85))*0.5</f>
        <v>2</v>
      </c>
      <c r="BQ85" s="136" t="str">
        <f t="shared" si="65"/>
        <v>Estudo em Grupo</v>
      </c>
      <c r="BR85" s="136" t="str">
        <f t="shared" si="65"/>
        <v>AL</v>
      </c>
      <c r="BS85" s="136" t="str">
        <f t="shared" si="66"/>
        <v>Estudo em Grupo</v>
      </c>
      <c r="BT85" s="136">
        <f t="shared" si="72"/>
        <v>16.5</v>
      </c>
      <c r="BU85" s="136">
        <f t="shared" si="73"/>
        <v>17.5</v>
      </c>
      <c r="BZ85" s="280"/>
      <c r="CA85" s="183" t="str">
        <f>'INFO BASE'!L148</f>
        <v>Semana 7</v>
      </c>
      <c r="CB85" s="183" t="str">
        <f>'INFO BASE'!M148</f>
        <v/>
      </c>
      <c r="CR85" s="177" t="str">
        <f t="shared" si="53"/>
        <v>AT</v>
      </c>
      <c r="CS85" s="177" t="str">
        <f t="shared" si="54"/>
        <v>ATIAC</v>
      </c>
      <c r="CT85" s="177" t="str">
        <f t="shared" si="53"/>
        <v>AT</v>
      </c>
      <c r="CU85" s="177" t="str">
        <f t="shared" si="55"/>
        <v>ATIEI</v>
      </c>
      <c r="CV85" s="177" t="str">
        <f t="shared" si="53"/>
        <v>APB</v>
      </c>
      <c r="CW85" s="177" t="str">
        <f t="shared" si="56"/>
        <v>APBCDI</v>
      </c>
      <c r="CX85" s="177" t="str">
        <f t="shared" si="53"/>
        <v>AT</v>
      </c>
      <c r="CY85" s="177" t="str">
        <f t="shared" si="57"/>
        <v>ATIAC</v>
      </c>
      <c r="CZ85" s="177" t="str">
        <f t="shared" si="53"/>
        <v>AT</v>
      </c>
      <c r="DA85" s="177" t="str">
        <f t="shared" si="58"/>
        <v>ATFP</v>
      </c>
      <c r="DB85" s="177" t="str">
        <f t="shared" si="53"/>
        <v>EA</v>
      </c>
      <c r="DC85" s="177" t="str">
        <f t="shared" si="59"/>
        <v>EACDI</v>
      </c>
      <c r="DD85" s="177" t="str">
        <f t="shared" si="60"/>
        <v>EA</v>
      </c>
      <c r="DE85" s="177" t="str">
        <f t="shared" si="61"/>
        <v>EAAL</v>
      </c>
      <c r="DN85" t="s">
        <v>47</v>
      </c>
      <c r="DO85" t="s">
        <v>49</v>
      </c>
    </row>
    <row r="86" spans="1:119" ht="18" customHeight="1" x14ac:dyDescent="0.3">
      <c r="A86" s="81">
        <v>0.41666666666668001</v>
      </c>
      <c r="B86" s="166" t="s">
        <v>9</v>
      </c>
      <c r="C86" s="130" t="s">
        <v>228</v>
      </c>
      <c r="D86" s="169" t="s">
        <v>9</v>
      </c>
      <c r="E86" s="130" t="s">
        <v>226</v>
      </c>
      <c r="F86" s="169" t="s">
        <v>9</v>
      </c>
      <c r="G86" s="130" t="s">
        <v>224</v>
      </c>
      <c r="H86" s="169" t="s">
        <v>9</v>
      </c>
      <c r="I86" s="130" t="s">
        <v>228</v>
      </c>
      <c r="J86" s="169" t="s">
        <v>9</v>
      </c>
      <c r="K86" s="130" t="s">
        <v>224</v>
      </c>
      <c r="L86" s="169" t="s">
        <v>8</v>
      </c>
      <c r="M86" s="130" t="s">
        <v>231</v>
      </c>
      <c r="N86" s="169" t="s">
        <v>8</v>
      </c>
      <c r="O86" s="154" t="s">
        <v>230</v>
      </c>
      <c r="P86" s="6">
        <v>0</v>
      </c>
      <c r="Q86" s="114" t="str">
        <f t="shared" si="75"/>
        <v>Estudo em Grupo</v>
      </c>
      <c r="R86" s="105" t="str">
        <f t="shared" si="71"/>
        <v>IEI</v>
      </c>
      <c r="S86" s="88" t="str">
        <f t="shared" si="68"/>
        <v>-</v>
      </c>
      <c r="T86" s="89" t="str">
        <f>IF(VLOOKUP(Q86,'INFO BASE'!$B$40:$I$54,IF(R86='INFO BASE'!$B$32,3,IF(R86='INFO BASE'!$B$33,4,IF(R86='INFO BASE'!$B$34,5,IF(R86='INFO BASE'!$B$35,6,IF(R86='INFO BASE'!$B$36,7,IF(R86='INFO BASE'!$B$37,8,2)))))),0)=0,"",VLOOKUP(Q86,'INFO BASE'!$B$40:$I$54,IF(R86='INFO BASE'!$B$32,3,IF(R86='INFO BASE'!$B$33,4,IF(R86='INFO BASE'!$B$34,5,IF(R86='INFO BASE'!$B$35,6,IF(R86='INFO BASE'!$B$36,7,IF(R86='INFO BASE'!$B$37,8,2)))))),0))</f>
        <v/>
      </c>
      <c r="U86" s="89">
        <f>(COUNTIFS(C66:C113,R86,B66:B113,R84)+COUNTIFS(E66:E113,R86,D66:D113,R84)+COUNTIFS(G66:G113,R86,F66:F113,R84)+COUNTIFS(I66:I113,R86,H66:H113,R84)+COUNTIFS(K66:K113,R86,J66:J113,R84)+COUNTIFS(M66:M113,R86,L66:L113,R84)+COUNTIFS(O66:O113,R86,N66:N113,R84))*0.5</f>
        <v>0</v>
      </c>
      <c r="V86" s="89">
        <f>(COUNTIFS(AI66:AI113,R84,AJ66:AJ113,R79)+COUNTIFS(AK66:AK113,R84,AL66:AL113,R79)+COUNTIFS(AM66:AM113,R84,AN66:AN113,R79)+COUNTIFS(AO66:AO113,R84,AP66:AP113,R79)+COUNTIFS(AQ66:AQ113,R84,AR66:AR113,R79)+COUNTIFS(AS66:AS113,R84,AT66:AT113,R79)+COUNTIFS(AU66:AU113,R84,AV66:AV113,R79))*0.5</f>
        <v>0</v>
      </c>
      <c r="W86" s="90">
        <f>IF(AH62="","-",IF(V86=0,U86,IFERROR((U86/V86)-1,"-")))</f>
        <v>0</v>
      </c>
      <c r="X86" s="201">
        <f t="shared" si="69"/>
        <v>0</v>
      </c>
      <c r="Y86" s="271"/>
      <c r="Z86" s="272"/>
      <c r="AA86" s="272"/>
      <c r="AB86" s="272"/>
      <c r="AC86" s="272"/>
      <c r="AD86" s="272"/>
      <c r="AE86" s="272"/>
      <c r="AF86" s="273"/>
      <c r="AH86" s="136">
        <v>0.41666666666668001</v>
      </c>
      <c r="AI86" s="136" t="s">
        <v>9</v>
      </c>
      <c r="AJ86" s="136" t="s">
        <v>228</v>
      </c>
      <c r="AK86" s="136" t="s">
        <v>9</v>
      </c>
      <c r="AL86" s="136" t="s">
        <v>226</v>
      </c>
      <c r="AM86" s="136" t="s">
        <v>9</v>
      </c>
      <c r="AN86" s="136" t="s">
        <v>224</v>
      </c>
      <c r="AO86" s="136" t="s">
        <v>9</v>
      </c>
      <c r="AP86" s="136" t="s">
        <v>228</v>
      </c>
      <c r="AQ86" s="136" t="s">
        <v>9</v>
      </c>
      <c r="AR86" s="136" t="s">
        <v>224</v>
      </c>
      <c r="AS86" s="136" t="s">
        <v>8</v>
      </c>
      <c r="AT86" s="136" t="s">
        <v>231</v>
      </c>
      <c r="AU86" s="136" t="s">
        <v>8</v>
      </c>
      <c r="AV86" s="136" t="s">
        <v>230</v>
      </c>
      <c r="AX86" s="136" t="str">
        <f>IF(AI62="","",IF(B86="","",B86))</f>
        <v>AT</v>
      </c>
      <c r="AY86" s="136" t="str">
        <f>IF(AI62="","",IF(C86="","",C86))</f>
        <v>IAC</v>
      </c>
      <c r="AZ86" s="136" t="str">
        <f>IF(AI62="","",IF(D86="","",D86))</f>
        <v>AT</v>
      </c>
      <c r="BA86" s="136" t="str">
        <f>IF(AI62="","",IF(E86="","",E86))</f>
        <v>IEI</v>
      </c>
      <c r="BB86" s="136" t="str">
        <f>IF(AI62="","",IF(F86="","",F86))</f>
        <v>AT</v>
      </c>
      <c r="BC86" s="136" t="str">
        <f>IF(AI62="","",IF(G86="","",G86))</f>
        <v>FP</v>
      </c>
      <c r="BD86" s="136" t="str">
        <f>IF(AI62="","",IF(H86="","",H86))</f>
        <v>AT</v>
      </c>
      <c r="BE86" s="136" t="str">
        <f>IF(AI62="","",IF(I86="","",I86))</f>
        <v>IAC</v>
      </c>
      <c r="BF86" s="136" t="str">
        <f>IF(AI62="","",IF(J86="","",J86))</f>
        <v>AT</v>
      </c>
      <c r="BG86" s="136" t="str">
        <f>IF(AI62="","",IF(K86="","",K86))</f>
        <v>FP</v>
      </c>
      <c r="BH86" s="136" t="str">
        <f>IF(AI62="","",IF(L86="","",L86))</f>
        <v>EA</v>
      </c>
      <c r="BI86" s="136" t="str">
        <f>IF(AI62="","",IF(M86="","",M86))</f>
        <v>CDI</v>
      </c>
      <c r="BJ86" s="136" t="str">
        <f>IF(AI62="","",IF(N86="","",N86))</f>
        <v>EA</v>
      </c>
      <c r="BK86" s="136" t="str">
        <f>IF(AI62="","",IF(O86="","",O86))</f>
        <v>AL</v>
      </c>
      <c r="BM86" s="136" t="str">
        <f t="shared" si="74"/>
        <v>EG</v>
      </c>
      <c r="BN86" s="136" t="str">
        <f t="shared" si="64"/>
        <v>Estudo em Grupo</v>
      </c>
      <c r="BO86" s="136" t="str">
        <f t="shared" si="64"/>
        <v>CDI</v>
      </c>
      <c r="BP86" s="136">
        <f>(COUNTIFS(AX66:AX113,BM86,AY66:AY113,BO86)+COUNTIFS(AZ66:AZ113,BM86,BA66:BA113,BO86)+COUNTIFS(BB66:BB113,BM86,BC66:BC113,BO86)+COUNTIFS(BD66:BD113,BM86,BE66:BE113,BO86)+COUNTIFS(BF66:BF113,BM86,BG66:BG113,BO86)+COUNTIFS(BH66:BH113,BM86,BI66:BI113,BO86)+COUNTIFS(BJ66:BJ113,BM86,BK66:BK113,BO86))*0.5</f>
        <v>2</v>
      </c>
      <c r="BQ86" s="136" t="str">
        <f t="shared" si="65"/>
        <v>Estudo em Grupo</v>
      </c>
      <c r="BR86" s="136" t="str">
        <f t="shared" si="65"/>
        <v>CDI</v>
      </c>
      <c r="BS86" s="136" t="str">
        <f t="shared" si="66"/>
        <v>Estudo em Grupo</v>
      </c>
      <c r="BT86" s="136">
        <f t="shared" si="72"/>
        <v>10.5</v>
      </c>
      <c r="BU86" s="136">
        <f t="shared" si="73"/>
        <v>8.5</v>
      </c>
      <c r="BZ86" s="280"/>
      <c r="CA86" s="183" t="str">
        <f>'INFO BASE'!L149</f>
        <v>-</v>
      </c>
      <c r="CB86" s="183" t="str">
        <f>'INFO BASE'!M149</f>
        <v/>
      </c>
      <c r="CR86" s="177" t="str">
        <f t="shared" si="53"/>
        <v>AT</v>
      </c>
      <c r="CS86" s="177" t="str">
        <f t="shared" si="54"/>
        <v>ATIAC</v>
      </c>
      <c r="CT86" s="177" t="str">
        <f t="shared" si="53"/>
        <v>AT</v>
      </c>
      <c r="CU86" s="177" t="str">
        <f t="shared" si="55"/>
        <v>ATIEI</v>
      </c>
      <c r="CV86" s="177" t="str">
        <f t="shared" si="53"/>
        <v>AT</v>
      </c>
      <c r="CW86" s="177" t="str">
        <f t="shared" si="56"/>
        <v>ATFP</v>
      </c>
      <c r="CX86" s="177" t="str">
        <f t="shared" si="53"/>
        <v>AT</v>
      </c>
      <c r="CY86" s="177" t="str">
        <f t="shared" si="57"/>
        <v>ATIAC</v>
      </c>
      <c r="CZ86" s="177" t="str">
        <f t="shared" si="53"/>
        <v>AT</v>
      </c>
      <c r="DA86" s="177" t="str">
        <f t="shared" si="58"/>
        <v>ATFP</v>
      </c>
      <c r="DB86" s="177" t="str">
        <f t="shared" si="53"/>
        <v>EA</v>
      </c>
      <c r="DC86" s="177" t="str">
        <f t="shared" si="59"/>
        <v>EACDI</v>
      </c>
      <c r="DD86" s="177" t="str">
        <f t="shared" si="60"/>
        <v>EA</v>
      </c>
      <c r="DE86" s="177" t="str">
        <f t="shared" si="61"/>
        <v>EAAL</v>
      </c>
      <c r="DN86" t="str">
        <f>'INFO BASE'!B32</f>
        <v>FP</v>
      </c>
      <c r="DO86" t="str">
        <f>'INFO BASE'!C32</f>
        <v>Fundamentos de Programação</v>
      </c>
    </row>
    <row r="87" spans="1:119" ht="18" customHeight="1" x14ac:dyDescent="0.3">
      <c r="A87" s="81">
        <v>0.43750000000001399</v>
      </c>
      <c r="B87" s="166" t="s">
        <v>8</v>
      </c>
      <c r="C87" s="130" t="s">
        <v>237</v>
      </c>
      <c r="D87" s="169" t="s">
        <v>9</v>
      </c>
      <c r="E87" s="130" t="s">
        <v>226</v>
      </c>
      <c r="F87" s="169" t="s">
        <v>9</v>
      </c>
      <c r="G87" s="130" t="s">
        <v>224</v>
      </c>
      <c r="H87" s="169" t="s">
        <v>132</v>
      </c>
      <c r="I87" s="130" t="s">
        <v>228</v>
      </c>
      <c r="J87" s="169" t="s">
        <v>9</v>
      </c>
      <c r="K87" s="130" t="s">
        <v>230</v>
      </c>
      <c r="L87" s="169" t="s">
        <v>8</v>
      </c>
      <c r="M87" s="130" t="s">
        <v>224</v>
      </c>
      <c r="N87" s="169" t="s">
        <v>8</v>
      </c>
      <c r="O87" s="154" t="s">
        <v>228</v>
      </c>
      <c r="P87" s="6">
        <v>0</v>
      </c>
      <c r="Q87" s="115" t="str">
        <f t="shared" si="75"/>
        <v>Estudo em Grupo</v>
      </c>
      <c r="R87" s="105" t="str">
        <f t="shared" si="71"/>
        <v>IAC</v>
      </c>
      <c r="S87" s="88">
        <f t="shared" si="68"/>
        <v>-1</v>
      </c>
      <c r="T87" s="89">
        <f>IF(VLOOKUP(Q87,'INFO BASE'!$B$40:$I$54,IF(R87='INFO BASE'!$B$32,3,IF(R87='INFO BASE'!$B$33,4,IF(R87='INFO BASE'!$B$34,5,IF(R87='INFO BASE'!$B$35,6,IF(R87='INFO BASE'!$B$36,7,IF(R87='INFO BASE'!$B$37,8,2)))))),0)=0,"",VLOOKUP(Q87,'INFO BASE'!$B$40:$I$54,IF(R87='INFO BASE'!$B$32,3,IF(R87='INFO BASE'!$B$33,4,IF(R87='INFO BASE'!$B$34,5,IF(R87='INFO BASE'!$B$35,6,IF(R87='INFO BASE'!$B$36,7,IF(R87='INFO BASE'!$B$37,8,2)))))),0))</f>
        <v>2</v>
      </c>
      <c r="U87" s="89">
        <f>(COUNTIFS(C66:C113,R87,B66:B113,R84)+COUNTIFS(E66:E113,R87,D66:D113,R84)+COUNTIFS(G66:G113,R87,F66:F113,R84)+COUNTIFS(I66:I113,R87,H66:H113,R84)+COUNTIFS(K66:K113,R87,J66:J113,R84)+COUNTIFS(M66:M113,R87,L66:L113,R84)+COUNTIFS(O66:O113,R87,N66:N113,R84))*0.5</f>
        <v>0</v>
      </c>
      <c r="V87" s="89">
        <f>(COUNTIFS(AI66:AI113,R84,AJ66:AJ113,R80)+COUNTIFS(AK66:AK113,R84,AL66:AL113,R80)+COUNTIFS(AM66:AM113,R84,AN66:AN113,R80)+COUNTIFS(AO66:AO113,R84,AP66:AP113,R80)+COUNTIFS(AQ66:AQ113,R84,AR66:AR113,R80)+COUNTIFS(AS66:AS113,R84,AT66:AT113,R80)+COUNTIFS(AU66:AU113,R84,AV66:AV113,R80))*0.5</f>
        <v>0</v>
      </c>
      <c r="W87" s="90">
        <f>IF(AH62="","-",IF(V87=0,U87,IFERROR((U87/V87)-1,"-")))</f>
        <v>0</v>
      </c>
      <c r="X87" s="201">
        <f t="shared" si="69"/>
        <v>0</v>
      </c>
      <c r="Y87" s="271"/>
      <c r="Z87" s="272"/>
      <c r="AA87" s="272"/>
      <c r="AB87" s="272"/>
      <c r="AC87" s="272"/>
      <c r="AD87" s="272"/>
      <c r="AE87" s="272"/>
      <c r="AF87" s="273"/>
      <c r="AH87" s="136">
        <v>0.43750000000001399</v>
      </c>
      <c r="AI87" s="136" t="s">
        <v>8</v>
      </c>
      <c r="AJ87" s="136" t="s">
        <v>237</v>
      </c>
      <c r="AK87" s="136" t="s">
        <v>9</v>
      </c>
      <c r="AL87" s="136" t="s">
        <v>226</v>
      </c>
      <c r="AM87" s="136" t="s">
        <v>9</v>
      </c>
      <c r="AN87" s="136" t="s">
        <v>224</v>
      </c>
      <c r="AO87" s="136" t="s">
        <v>132</v>
      </c>
      <c r="AP87" s="136" t="s">
        <v>228</v>
      </c>
      <c r="AQ87" s="136" t="s">
        <v>9</v>
      </c>
      <c r="AR87" s="136" t="s">
        <v>230</v>
      </c>
      <c r="AS87" s="136" t="s">
        <v>8</v>
      </c>
      <c r="AT87" s="136" t="s">
        <v>224</v>
      </c>
      <c r="AU87" s="136" t="s">
        <v>8</v>
      </c>
      <c r="AV87" s="136" t="s">
        <v>228</v>
      </c>
      <c r="AX87" s="136" t="str">
        <f>IF(AI62="","",IF(B87="","",B87))</f>
        <v>EA</v>
      </c>
      <c r="AY87" s="136" t="str">
        <f>IF(AI62="","",IF(C87="","",C87))</f>
        <v>Al</v>
      </c>
      <c r="AZ87" s="136" t="str">
        <f>IF(AI62="","",IF(D87="","",D87))</f>
        <v>AT</v>
      </c>
      <c r="BA87" s="136" t="str">
        <f>IF(AI62="","",IF(E87="","",E87))</f>
        <v>IEI</v>
      </c>
      <c r="BB87" s="136" t="str">
        <f>IF(AI62="","",IF(F87="","",F87))</f>
        <v>AT</v>
      </c>
      <c r="BC87" s="136" t="str">
        <f>IF(AI62="","",IF(G87="","",G87))</f>
        <v>FP</v>
      </c>
      <c r="BD87" s="136" t="str">
        <f>IF(AI62="","",IF(H87="","",H87))</f>
        <v>LAB</v>
      </c>
      <c r="BE87" s="136" t="str">
        <f>IF(AI62="","",IF(I87="","",I87))</f>
        <v>IAC</v>
      </c>
      <c r="BF87" s="136" t="str">
        <f>IF(AI62="","",IF(J87="","",J87))</f>
        <v>AT</v>
      </c>
      <c r="BG87" s="136" t="str">
        <f>IF(AI62="","",IF(K87="","",K87))</f>
        <v>AL</v>
      </c>
      <c r="BH87" s="136" t="str">
        <f>IF(AI62="","",IF(L87="","",L87))</f>
        <v>EA</v>
      </c>
      <c r="BI87" s="136" t="str">
        <f>IF(AI62="","",IF(M87="","",M87))</f>
        <v>FP</v>
      </c>
      <c r="BJ87" s="136" t="str">
        <f>IF(AI62="","",IF(N87="","",N87))</f>
        <v>EA</v>
      </c>
      <c r="BK87" s="136" t="str">
        <f>IF(AI62="","",IF(O87="","",O87))</f>
        <v>IAC</v>
      </c>
      <c r="BM87" s="136" t="str">
        <f t="shared" si="74"/>
        <v>EG</v>
      </c>
      <c r="BN87" s="136" t="str">
        <f t="shared" si="64"/>
        <v>Estudo em Grupo</v>
      </c>
      <c r="BO87" s="136" t="str">
        <f t="shared" si="64"/>
        <v/>
      </c>
      <c r="BP87" s="136">
        <f>(COUNTIFS(AX66:AX113,BM87,AY66:AY113,BO87)+COUNTIFS(AZ66:AZ113,BM87,BA66:BA113,BO87)+COUNTIFS(BB66:BB113,BM87,BC66:BC113,BO87)+COUNTIFS(BD66:BD113,BM87,BE66:BE113,BO87)+COUNTIFS(BF66:BF113,BM87,BG66:BG113,BO87)+COUNTIFS(BH66:BH113,BM87,BI66:BI113,BO87)+COUNTIFS(BJ66:BJ113,BM87,BK66:BK113,BO87))*0.5</f>
        <v>0</v>
      </c>
      <c r="BQ87" s="136" t="str">
        <f t="shared" si="65"/>
        <v>Estudo em Grupo</v>
      </c>
      <c r="BR87" s="136" t="str">
        <f t="shared" si="65"/>
        <v/>
      </c>
      <c r="BS87" s="136" t="str">
        <f t="shared" si="66"/>
        <v>Estudo em Grupo</v>
      </c>
      <c r="BT87" s="136">
        <f t="shared" si="72"/>
        <v>0</v>
      </c>
      <c r="BU87" s="136">
        <f t="shared" si="73"/>
        <v>0</v>
      </c>
      <c r="BZ87" s="280"/>
      <c r="CA87" s="183" t="str">
        <f>'INFO BASE'!L150</f>
        <v>-</v>
      </c>
      <c r="CB87" s="183" t="str">
        <f>'INFO BASE'!M150</f>
        <v/>
      </c>
      <c r="CR87" s="177" t="str">
        <f t="shared" si="53"/>
        <v>EA</v>
      </c>
      <c r="CS87" s="177" t="str">
        <f t="shared" si="54"/>
        <v>EAAL</v>
      </c>
      <c r="CT87" s="177" t="str">
        <f t="shared" si="53"/>
        <v>AT</v>
      </c>
      <c r="CU87" s="177" t="str">
        <f t="shared" si="55"/>
        <v>ATIEI</v>
      </c>
      <c r="CV87" s="177" t="str">
        <f t="shared" si="53"/>
        <v>AT</v>
      </c>
      <c r="CW87" s="177" t="str">
        <f t="shared" si="56"/>
        <v>ATFP</v>
      </c>
      <c r="CX87" s="177" t="str">
        <f t="shared" si="53"/>
        <v>LAB</v>
      </c>
      <c r="CY87" s="177" t="str">
        <f t="shared" si="57"/>
        <v>LABIAC</v>
      </c>
      <c r="CZ87" s="177" t="str">
        <f t="shared" si="53"/>
        <v>AT</v>
      </c>
      <c r="DA87" s="177" t="str">
        <f t="shared" si="58"/>
        <v>ATAL</v>
      </c>
      <c r="DB87" s="177" t="str">
        <f t="shared" si="53"/>
        <v>EA</v>
      </c>
      <c r="DC87" s="177" t="str">
        <f t="shared" si="59"/>
        <v>EAFP</v>
      </c>
      <c r="DD87" s="177" t="str">
        <f t="shared" si="60"/>
        <v>EA</v>
      </c>
      <c r="DE87" s="177" t="str">
        <f t="shared" si="61"/>
        <v>EAIAC</v>
      </c>
      <c r="DN87" t="str">
        <f>'INFO BASE'!B33</f>
        <v>IEI</v>
      </c>
      <c r="DO87" t="str">
        <f>'INFO BASE'!C33</f>
        <v>Introdução à Engenharia Informática</v>
      </c>
    </row>
    <row r="88" spans="1:119" ht="18" customHeight="1" x14ac:dyDescent="0.3">
      <c r="A88" s="81">
        <v>0.45833333333334803</v>
      </c>
      <c r="B88" s="166" t="s">
        <v>8</v>
      </c>
      <c r="C88" s="130" t="s">
        <v>230</v>
      </c>
      <c r="D88" s="169" t="s">
        <v>9</v>
      </c>
      <c r="E88" s="130" t="s">
        <v>226</v>
      </c>
      <c r="F88" s="169" t="s">
        <v>9</v>
      </c>
      <c r="G88" s="130" t="s">
        <v>224</v>
      </c>
      <c r="H88" s="169" t="s">
        <v>132</v>
      </c>
      <c r="I88" s="130" t="s">
        <v>228</v>
      </c>
      <c r="J88" s="169" t="s">
        <v>9</v>
      </c>
      <c r="K88" s="130" t="s">
        <v>230</v>
      </c>
      <c r="L88" s="169" t="s">
        <v>8</v>
      </c>
      <c r="M88" s="130" t="s">
        <v>224</v>
      </c>
      <c r="N88" s="169" t="s">
        <v>8</v>
      </c>
      <c r="O88" s="154" t="s">
        <v>228</v>
      </c>
      <c r="P88" s="6">
        <v>0</v>
      </c>
      <c r="Q88" s="114" t="str">
        <f t="shared" si="75"/>
        <v>Estudo em Grupo</v>
      </c>
      <c r="R88" s="105" t="str">
        <f t="shared" si="71"/>
        <v>AL</v>
      </c>
      <c r="S88" s="88">
        <f t="shared" si="68"/>
        <v>0</v>
      </c>
      <c r="T88" s="89">
        <f>IF(VLOOKUP(Q88,'INFO BASE'!$B$40:$I$54,IF(R88='INFO BASE'!$B$32,3,IF(R88='INFO BASE'!$B$33,4,IF(R88='INFO BASE'!$B$34,5,IF(R88='INFO BASE'!$B$35,6,IF(R88='INFO BASE'!$B$36,7,IF(R88='INFO BASE'!$B$37,8,2)))))),0)=0,"",VLOOKUP(Q88,'INFO BASE'!$B$40:$I$54,IF(R88='INFO BASE'!$B$32,3,IF(R88='INFO BASE'!$B$33,4,IF(R88='INFO BASE'!$B$34,5,IF(R88='INFO BASE'!$B$35,6,IF(R88='INFO BASE'!$B$36,7,IF(R88='INFO BASE'!$B$37,8,2)))))),0))</f>
        <v>2</v>
      </c>
      <c r="U88" s="89">
        <f>(COUNTIFS(C66:C113,R88,B66:B113,R84)+COUNTIFS(E66:E113,R88,D66:D113,R84)+COUNTIFS(G66:G113,R88,F66:F113,R84)+COUNTIFS(I66:I113,R88,H66:H113,R84)+COUNTIFS(K66:K113,R88,J66:J113,R84)+COUNTIFS(M66:M113,R88,L66:L113,R84)+COUNTIFS(O66:O113,R88,N66:N113,R84))*0.5</f>
        <v>2</v>
      </c>
      <c r="V88" s="89">
        <f>(COUNTIFS(AI66:AI113,R84,AJ66:AJ113,R81)+COUNTIFS(AK66:AK113,R84,AL66:AL113,R81)+COUNTIFS(AM66:AM113,R84,AN66:AN113,R81)+COUNTIFS(AO66:AO113,R84,AP66:AP113,R81)+COUNTIFS(AQ66:AQ113,R84,AR66:AR113,R81)+COUNTIFS(AS66:AS113,R84,AT66:AT113,R81)+COUNTIFS(AU66:AU113,R84,AV66:AV113,R81))*0.5</f>
        <v>2</v>
      </c>
      <c r="W88" s="90">
        <f>IF(AH62="","-",IF(V88=0,U88,IFERROR((U88/V88)-1,"-")))</f>
        <v>0</v>
      </c>
      <c r="X88" s="201">
        <f t="shared" si="69"/>
        <v>0</v>
      </c>
      <c r="Y88" s="271"/>
      <c r="Z88" s="272"/>
      <c r="AA88" s="272"/>
      <c r="AB88" s="272"/>
      <c r="AC88" s="272"/>
      <c r="AD88" s="272"/>
      <c r="AE88" s="272"/>
      <c r="AF88" s="273"/>
      <c r="AH88" s="136">
        <v>0.45833333333334803</v>
      </c>
      <c r="AI88" s="136" t="s">
        <v>8</v>
      </c>
      <c r="AJ88" s="136" t="s">
        <v>230</v>
      </c>
      <c r="AK88" s="136" t="s">
        <v>9</v>
      </c>
      <c r="AL88" s="136" t="s">
        <v>226</v>
      </c>
      <c r="AM88" s="136" t="s">
        <v>9</v>
      </c>
      <c r="AN88" s="136" t="s">
        <v>224</v>
      </c>
      <c r="AO88" s="136" t="s">
        <v>132</v>
      </c>
      <c r="AP88" s="136" t="s">
        <v>228</v>
      </c>
      <c r="AQ88" s="136" t="s">
        <v>9</v>
      </c>
      <c r="AR88" s="136" t="s">
        <v>230</v>
      </c>
      <c r="AS88" s="136" t="s">
        <v>8</v>
      </c>
      <c r="AT88" s="136" t="s">
        <v>224</v>
      </c>
      <c r="AU88" s="136" t="s">
        <v>8</v>
      </c>
      <c r="AV88" s="136" t="s">
        <v>228</v>
      </c>
      <c r="AX88" s="136" t="str">
        <f>IF(AI62="","",IF(B88="","",B88))</f>
        <v>EA</v>
      </c>
      <c r="AY88" s="136" t="str">
        <f>IF(AI62="","",IF(C88="","",C88))</f>
        <v>AL</v>
      </c>
      <c r="AZ88" s="136" t="str">
        <f>IF(AI62="","",IF(D88="","",D88))</f>
        <v>AT</v>
      </c>
      <c r="BA88" s="136" t="str">
        <f>IF(AI62="","",IF(E88="","",E88))</f>
        <v>IEI</v>
      </c>
      <c r="BB88" s="136" t="str">
        <f>IF(AI62="","",IF(F88="","",F88))</f>
        <v>AT</v>
      </c>
      <c r="BC88" s="136" t="str">
        <f>IF(AI62="","",IF(G88="","",G88))</f>
        <v>FP</v>
      </c>
      <c r="BD88" s="136" t="str">
        <f>IF(AI62="","",IF(H88="","",H88))</f>
        <v>LAB</v>
      </c>
      <c r="BE88" s="136" t="str">
        <f>IF(AI62="","",IF(I88="","",I88))</f>
        <v>IAC</v>
      </c>
      <c r="BF88" s="136" t="str">
        <f>IF(AI62="","",IF(J88="","",J88))</f>
        <v>AT</v>
      </c>
      <c r="BG88" s="136" t="str">
        <f>IF(AI62="","",IF(K88="","",K88))</f>
        <v>AL</v>
      </c>
      <c r="BH88" s="136" t="str">
        <f>IF(AI62="","",IF(L88="","",L88))</f>
        <v>EA</v>
      </c>
      <c r="BI88" s="136" t="str">
        <f>IF(AI62="","",IF(M88="","",M88))</f>
        <v>FP</v>
      </c>
      <c r="BJ88" s="136" t="str">
        <f>IF(AI62="","",IF(N88="","",N88))</f>
        <v>EA</v>
      </c>
      <c r="BK88" s="136" t="str">
        <f>IF(AI62="","",IF(O88="","",O88))</f>
        <v>IAC</v>
      </c>
      <c r="BM88" s="136" t="str">
        <f>BO88</f>
        <v>TG</v>
      </c>
      <c r="BN88" s="136" t="str">
        <f t="shared" si="64"/>
        <v>Trabalho de Grupo</v>
      </c>
      <c r="BO88" s="136" t="str">
        <f t="shared" si="64"/>
        <v>TG</v>
      </c>
      <c r="BP88" s="136">
        <f>COUNTIFS(AX66:BK113,BO88)*0.5</f>
        <v>0</v>
      </c>
      <c r="BQ88" s="136" t="str">
        <f t="shared" si="65"/>
        <v>Trabalho de Grupo</v>
      </c>
      <c r="BR88" s="136" t="str">
        <f t="shared" si="65"/>
        <v>TG</v>
      </c>
      <c r="BS88" s="136" t="str">
        <f t="shared" si="66"/>
        <v>Trabalho de Grupo</v>
      </c>
      <c r="BT88" s="136">
        <f t="shared" si="72"/>
        <v>0</v>
      </c>
      <c r="BU88" s="136">
        <f t="shared" si="73"/>
        <v>0</v>
      </c>
      <c r="BZ88" s="280"/>
      <c r="CA88" s="183" t="str">
        <f>'INFO BASE'!L151</f>
        <v>-</v>
      </c>
      <c r="CB88" s="183" t="str">
        <f>'INFO BASE'!M151</f>
        <v/>
      </c>
      <c r="CR88" s="177" t="str">
        <f t="shared" si="53"/>
        <v>EA</v>
      </c>
      <c r="CS88" s="177" t="str">
        <f t="shared" si="54"/>
        <v>EAAL</v>
      </c>
      <c r="CT88" s="177" t="str">
        <f t="shared" si="53"/>
        <v>AT</v>
      </c>
      <c r="CU88" s="177" t="str">
        <f t="shared" si="55"/>
        <v>ATIEI</v>
      </c>
      <c r="CV88" s="177" t="str">
        <f t="shared" si="53"/>
        <v>AT</v>
      </c>
      <c r="CW88" s="177" t="str">
        <f t="shared" si="56"/>
        <v>ATFP</v>
      </c>
      <c r="CX88" s="177" t="str">
        <f t="shared" si="53"/>
        <v>LAB</v>
      </c>
      <c r="CY88" s="177" t="str">
        <f t="shared" si="57"/>
        <v>LABIAC</v>
      </c>
      <c r="CZ88" s="177" t="str">
        <f t="shared" si="53"/>
        <v>AT</v>
      </c>
      <c r="DA88" s="177" t="str">
        <f t="shared" si="58"/>
        <v>ATAL</v>
      </c>
      <c r="DB88" s="177" t="str">
        <f t="shared" si="53"/>
        <v>EA</v>
      </c>
      <c r="DC88" s="177" t="str">
        <f t="shared" si="59"/>
        <v>EAFP</v>
      </c>
      <c r="DD88" s="177" t="str">
        <f t="shared" si="60"/>
        <v>EA</v>
      </c>
      <c r="DE88" s="177" t="str">
        <f t="shared" si="61"/>
        <v>EAIAC</v>
      </c>
      <c r="DN88" t="str">
        <f>'INFO BASE'!B34</f>
        <v>IAC</v>
      </c>
      <c r="DO88" t="str">
        <f>'INFO BASE'!C34</f>
        <v>Introdução à Arquitetura de Computadores</v>
      </c>
    </row>
    <row r="89" spans="1:119" ht="18" customHeight="1" x14ac:dyDescent="0.3">
      <c r="A89" s="81">
        <v>0.47916666666668201</v>
      </c>
      <c r="B89" s="166" t="s">
        <v>8</v>
      </c>
      <c r="C89" s="130" t="s">
        <v>230</v>
      </c>
      <c r="D89" s="169" t="s">
        <v>9</v>
      </c>
      <c r="E89" s="130" t="s">
        <v>226</v>
      </c>
      <c r="F89" s="169" t="s">
        <v>9</v>
      </c>
      <c r="G89" s="130" t="s">
        <v>231</v>
      </c>
      <c r="H89" s="169" t="s">
        <v>132</v>
      </c>
      <c r="I89" s="130" t="s">
        <v>228</v>
      </c>
      <c r="J89" s="169" t="s">
        <v>9</v>
      </c>
      <c r="K89" s="130" t="s">
        <v>231</v>
      </c>
      <c r="L89" s="169" t="s">
        <v>8</v>
      </c>
      <c r="M89" s="130" t="s">
        <v>224</v>
      </c>
      <c r="N89" s="169" t="s">
        <v>8</v>
      </c>
      <c r="O89" s="154" t="s">
        <v>228</v>
      </c>
      <c r="P89" s="6">
        <v>0</v>
      </c>
      <c r="Q89" s="114" t="str">
        <f t="shared" si="75"/>
        <v>Estudo em Grupo</v>
      </c>
      <c r="R89" s="105" t="str">
        <f t="shared" si="71"/>
        <v>CDI</v>
      </c>
      <c r="S89" s="88">
        <f t="shared" si="68"/>
        <v>0</v>
      </c>
      <c r="T89" s="89">
        <f>IF(VLOOKUP(Q89,'INFO BASE'!$B$40:$I$54,IF(R89='INFO BASE'!$B$32,3,IF(R89='INFO BASE'!$B$33,4,IF(R89='INFO BASE'!$B$34,5,IF(R89='INFO BASE'!$B$35,6,IF(R89='INFO BASE'!$B$36,7,IF(R89='INFO BASE'!$B$37,8,2)))))),0)=0,"",VLOOKUP(Q89,'INFO BASE'!$B$40:$I$54,IF(R89='INFO BASE'!$B$32,3,IF(R89='INFO BASE'!$B$33,4,IF(R89='INFO BASE'!$B$34,5,IF(R89='INFO BASE'!$B$35,6,IF(R89='INFO BASE'!$B$36,7,IF(R89='INFO BASE'!$B$37,8,2)))))),0))</f>
        <v>2</v>
      </c>
      <c r="U89" s="89">
        <f>(COUNTIFS(C66:C113,R89,B66:B113,R84)+COUNTIFS(E66:E113,R89,D66:D113,R84)+COUNTIFS(G66:G113,R89,F66:F113,R84)+COUNTIFS(I66:I113,R89,H66:H113,R84)+COUNTIFS(K66:K113,R89,J66:J113,R84)+COUNTIFS(M66:M113,R89,L66:L113,R84)+COUNTIFS(O66:O113,R89,N66:N113,R84))*0.5</f>
        <v>2</v>
      </c>
      <c r="V89" s="89">
        <f>(COUNTIFS(AI66:AI113,R84,AJ66:AJ113,R82)+COUNTIFS(AK66:AK113,R84,AL66:AL113,R82)+COUNTIFS(AM66:AM113,R84,AN66:AN113,R82)+COUNTIFS(AO66:AO113,R84,AP66:AP113,R82)+COUNTIFS(AQ66:AQ113,R84,AR66:AR113,R82)+COUNTIFS(AS66:AS113,R84,AT66:AT113,R82)+COUNTIFS(AU66:AU113,R84,AV66:AV113,R82))*0.5</f>
        <v>2</v>
      </c>
      <c r="W89" s="90">
        <f>IF(AH62="","-",IF(V89=0,U89,IFERROR((U89/V89)-1,"-")))</f>
        <v>0</v>
      </c>
      <c r="X89" s="201">
        <f t="shared" si="69"/>
        <v>0</v>
      </c>
      <c r="Y89" s="271"/>
      <c r="Z89" s="272"/>
      <c r="AA89" s="272"/>
      <c r="AB89" s="272"/>
      <c r="AC89" s="272"/>
      <c r="AD89" s="272"/>
      <c r="AE89" s="272"/>
      <c r="AF89" s="273"/>
      <c r="AH89" s="136">
        <v>0.47916666666668201</v>
      </c>
      <c r="AI89" s="136" t="s">
        <v>8</v>
      </c>
      <c r="AJ89" s="136" t="s">
        <v>230</v>
      </c>
      <c r="AK89" s="136" t="s">
        <v>9</v>
      </c>
      <c r="AL89" s="136" t="s">
        <v>226</v>
      </c>
      <c r="AM89" s="136" t="s">
        <v>9</v>
      </c>
      <c r="AN89" s="136" t="s">
        <v>231</v>
      </c>
      <c r="AO89" s="136" t="s">
        <v>132</v>
      </c>
      <c r="AP89" s="136" t="s">
        <v>228</v>
      </c>
      <c r="AQ89" s="136" t="s">
        <v>9</v>
      </c>
      <c r="AR89" s="136" t="s">
        <v>231</v>
      </c>
      <c r="AS89" s="136" t="s">
        <v>8</v>
      </c>
      <c r="AT89" s="136" t="s">
        <v>224</v>
      </c>
      <c r="AU89" s="136" t="s">
        <v>8</v>
      </c>
      <c r="AV89" s="136" t="s">
        <v>228</v>
      </c>
      <c r="AX89" s="136" t="str">
        <f>IF(AI62="","",IF(B89="","",B89))</f>
        <v>EA</v>
      </c>
      <c r="AY89" s="136" t="str">
        <f>IF(AI62="","",IF(C89="","",C89))</f>
        <v>AL</v>
      </c>
      <c r="AZ89" s="136" t="str">
        <f>IF(AI62="","",IF(D89="","",D89))</f>
        <v>AT</v>
      </c>
      <c r="BA89" s="136" t="str">
        <f>IF(AI62="","",IF(E89="","",E89))</f>
        <v>IEI</v>
      </c>
      <c r="BB89" s="136" t="str">
        <f>IF(AI62="","",IF(F89="","",F89))</f>
        <v>AT</v>
      </c>
      <c r="BC89" s="136" t="str">
        <f>IF(AI62="","",IF(G89="","",G89))</f>
        <v>CDI</v>
      </c>
      <c r="BD89" s="136" t="str">
        <f>IF(AI62="","",IF(H89="","",H89))</f>
        <v>LAB</v>
      </c>
      <c r="BE89" s="136" t="str">
        <f>IF(AI62="","",IF(I89="","",I89))</f>
        <v>IAC</v>
      </c>
      <c r="BF89" s="136" t="str">
        <f>IF(AI62="","",IF(J89="","",J89))</f>
        <v>AT</v>
      </c>
      <c r="BG89" s="136" t="str">
        <f>IF(AI62="","",IF(K89="","",K89))</f>
        <v>CDI</v>
      </c>
      <c r="BH89" s="136" t="str">
        <f>IF(AI62="","",IF(L89="","",L89))</f>
        <v>EA</v>
      </c>
      <c r="BI89" s="136" t="str">
        <f>IF(AI62="","",IF(M89="","",M89))</f>
        <v>FP</v>
      </c>
      <c r="BJ89" s="136" t="str">
        <f>IF(AI62="","",IF(N89="","",N89))</f>
        <v>EA</v>
      </c>
      <c r="BK89" s="136" t="str">
        <f>IF(AI62="","",IF(O89="","",O89))</f>
        <v>IAC</v>
      </c>
      <c r="BM89" s="136" t="str">
        <f>BM88</f>
        <v>TG</v>
      </c>
      <c r="BN89" s="136" t="str">
        <f t="shared" si="64"/>
        <v>Trabalho de Grupo</v>
      </c>
      <c r="BO89" s="136" t="str">
        <f t="shared" si="64"/>
        <v>FP</v>
      </c>
      <c r="BP89" s="136">
        <f>(COUNTIFS(AX66:AX113,BM89,AY66:AY113,BO89)+COUNTIFS(AZ66:AZ113,BM89,BA66:BA113,BO89)+COUNTIFS(BB66:BB113,BM89,BC66:BC113,BO89)+COUNTIFS(BD66:BD113,BM89,BE66:BE113,BO89)+COUNTIFS(BF66:BF113,BM89,BG66:BG113,BO89)+COUNTIFS(BH66:BH113,BM89,BI66:BI113,BO89)+COUNTIFS(BJ66:BJ113,BM89,BK66:BK113,BO89))*0.5</f>
        <v>0</v>
      </c>
      <c r="BQ89" s="136" t="str">
        <f t="shared" si="65"/>
        <v>Trabalho de Grupo</v>
      </c>
      <c r="BR89" s="136" t="str">
        <f t="shared" si="65"/>
        <v>FP</v>
      </c>
      <c r="BS89" s="136" t="str">
        <f t="shared" si="66"/>
        <v>Trabalho de Grupo</v>
      </c>
      <c r="BT89" s="136">
        <f t="shared" si="72"/>
        <v>0</v>
      </c>
      <c r="BU89" s="136">
        <f t="shared" si="73"/>
        <v>0</v>
      </c>
      <c r="BZ89" s="280"/>
      <c r="CA89" s="183" t="str">
        <f>'INFO BASE'!L152</f>
        <v>-</v>
      </c>
      <c r="CB89" s="183" t="str">
        <f>'INFO BASE'!M152</f>
        <v/>
      </c>
      <c r="CR89" s="177" t="str">
        <f t="shared" si="53"/>
        <v>EA</v>
      </c>
      <c r="CS89" s="177" t="str">
        <f t="shared" si="54"/>
        <v>EAAL</v>
      </c>
      <c r="CT89" s="177" t="str">
        <f t="shared" si="53"/>
        <v>AT</v>
      </c>
      <c r="CU89" s="177" t="str">
        <f t="shared" si="55"/>
        <v>ATIEI</v>
      </c>
      <c r="CV89" s="177" t="str">
        <f t="shared" si="53"/>
        <v>AT</v>
      </c>
      <c r="CW89" s="177" t="str">
        <f t="shared" si="56"/>
        <v>ATCDI</v>
      </c>
      <c r="CX89" s="177" t="str">
        <f t="shared" si="53"/>
        <v>LAB</v>
      </c>
      <c r="CY89" s="177" t="str">
        <f t="shared" si="57"/>
        <v>LABIAC</v>
      </c>
      <c r="CZ89" s="177" t="str">
        <f t="shared" si="53"/>
        <v>AT</v>
      </c>
      <c r="DA89" s="177" t="str">
        <f t="shared" si="58"/>
        <v>ATCDI</v>
      </c>
      <c r="DB89" s="177" t="str">
        <f t="shared" si="53"/>
        <v>EA</v>
      </c>
      <c r="DC89" s="177" t="str">
        <f t="shared" si="59"/>
        <v>EAFP</v>
      </c>
      <c r="DD89" s="177" t="str">
        <f t="shared" si="60"/>
        <v>EA</v>
      </c>
      <c r="DE89" s="177" t="str">
        <f t="shared" si="61"/>
        <v>EAIAC</v>
      </c>
      <c r="DN89" t="str">
        <f>'INFO BASE'!B35</f>
        <v>AL</v>
      </c>
      <c r="DO89" t="str">
        <f>'INFO BASE'!C35</f>
        <v>Álgebra Linear</v>
      </c>
    </row>
    <row r="90" spans="1:119" ht="18" customHeight="1" thickBot="1" x14ac:dyDescent="0.35">
      <c r="A90" s="81">
        <v>0.50000000000001599</v>
      </c>
      <c r="B90" s="166" t="s">
        <v>9</v>
      </c>
      <c r="C90" s="130" t="s">
        <v>230</v>
      </c>
      <c r="D90" s="169" t="s">
        <v>116</v>
      </c>
      <c r="E90" s="130"/>
      <c r="F90" s="169" t="s">
        <v>9</v>
      </c>
      <c r="G90" s="130" t="s">
        <v>231</v>
      </c>
      <c r="H90" s="169" t="s">
        <v>130</v>
      </c>
      <c r="I90" s="130" t="s">
        <v>224</v>
      </c>
      <c r="J90" s="169" t="s">
        <v>9</v>
      </c>
      <c r="K90" s="130" t="s">
        <v>231</v>
      </c>
      <c r="L90" s="169" t="s">
        <v>116</v>
      </c>
      <c r="M90" s="130"/>
      <c r="N90" s="169" t="s">
        <v>116</v>
      </c>
      <c r="O90" s="154"/>
      <c r="P90" s="6">
        <v>0</v>
      </c>
      <c r="Q90" s="116" t="str">
        <f t="shared" si="75"/>
        <v>Estudo em Grupo</v>
      </c>
      <c r="R90" s="107" t="str">
        <f t="shared" si="71"/>
        <v/>
      </c>
      <c r="S90" s="94" t="str">
        <f t="shared" si="68"/>
        <v>-</v>
      </c>
      <c r="T90" s="95" t="str">
        <f>IF(VLOOKUP(Q90,'INFO BASE'!$B$40:$I$54,IF(R90='INFO BASE'!$B$32,3,IF(R90='INFO BASE'!$B$33,4,IF(R90='INFO BASE'!$B$34,5,IF(R90='INFO BASE'!$B$35,6,IF(R90='INFO BASE'!$B$36,7,IF(R90='INFO BASE'!$B$37,8,2)))))),0)=0,"",VLOOKUP(Q90,'INFO BASE'!$B$40:$I$54,IF(R90='INFO BASE'!$B$32,3,IF(R90='INFO BASE'!$B$33,4,IF(R90='INFO BASE'!$B$34,5,IF(R90='INFO BASE'!$B$35,6,IF(R90='INFO BASE'!$B$36,7,IF(R90='INFO BASE'!$B$37,8,2)))))),0))</f>
        <v/>
      </c>
      <c r="U90" s="95">
        <f>(COUNTIFS(C66:C113,R90,B66:B113,R84)+COUNTIFS(E66:E113,R90,D66:D113,R84)+COUNTIFS(G66:G113,R90,F66:F113,R84)+COUNTIFS(I66:I113,R90,H66:H113,R84)+COUNTIFS(K66:K113,R90,J66:J113,R84)+COUNTIFS(M66:M113,R90,L66:L113,R84)+COUNTIFS(O66:O113,R90,N66:N113,R84))*0.5</f>
        <v>0</v>
      </c>
      <c r="V90" s="95">
        <f>(COUNTIFS(AI66:AI113,R84,AJ66:AJ113,R83)+COUNTIFS(AK66:AK113,R84,AL66:AL113,R83)+COUNTIFS(AM66:AM113,R84,AN66:AN113,R83)+COUNTIFS(AO66:AO113,R84,AP66:AP113,R83)+COUNTIFS(AQ66:AQ113,R84,AR66:AR113,R83)+COUNTIFS(AS66:AS113,R84,AT66:AT113,R83)+COUNTIFS(AU66:AU113,R84,AV66:AV113,R83))*0.5</f>
        <v>0</v>
      </c>
      <c r="W90" s="96">
        <f>IF(AH62="","-",IF(V90=0,U90,IFERROR((U90/V90)-1,"-")))</f>
        <v>0</v>
      </c>
      <c r="X90" s="201">
        <f t="shared" si="69"/>
        <v>0</v>
      </c>
      <c r="Y90" s="274"/>
      <c r="Z90" s="275"/>
      <c r="AA90" s="275"/>
      <c r="AB90" s="275"/>
      <c r="AC90" s="275"/>
      <c r="AD90" s="275"/>
      <c r="AE90" s="275"/>
      <c r="AF90" s="276"/>
      <c r="AH90" s="136">
        <v>0.50000000000001599</v>
      </c>
      <c r="AI90" s="136" t="s">
        <v>9</v>
      </c>
      <c r="AJ90" s="136" t="s">
        <v>230</v>
      </c>
      <c r="AK90" s="136" t="s">
        <v>116</v>
      </c>
      <c r="AL90" s="136" t="s">
        <v>235</v>
      </c>
      <c r="AM90" s="136" t="s">
        <v>9</v>
      </c>
      <c r="AN90" s="136" t="s">
        <v>231</v>
      </c>
      <c r="AO90" s="136" t="s">
        <v>130</v>
      </c>
      <c r="AP90" s="136" t="s">
        <v>224</v>
      </c>
      <c r="AQ90" s="136" t="s">
        <v>9</v>
      </c>
      <c r="AR90" s="136" t="s">
        <v>231</v>
      </c>
      <c r="AS90" s="136" t="s">
        <v>116</v>
      </c>
      <c r="AT90" s="136" t="s">
        <v>235</v>
      </c>
      <c r="AU90" s="136" t="s">
        <v>116</v>
      </c>
      <c r="AV90" s="136" t="s">
        <v>235</v>
      </c>
      <c r="AX90" s="136" t="str">
        <f>IF(AI62="","",IF(B90="","",B90))</f>
        <v>AT</v>
      </c>
      <c r="AY90" s="136" t="str">
        <f>IF(AI62="","",IF(C90="","",C90))</f>
        <v>AL</v>
      </c>
      <c r="AZ90" s="136" t="str">
        <f>IF(AI62="","",IF(D90="","",D90))</f>
        <v>PV</v>
      </c>
      <c r="BA90" s="136" t="str">
        <f>IF(AI62="","",IF(E90="","",E90))</f>
        <v/>
      </c>
      <c r="BB90" s="136" t="str">
        <f>IF(AI62="","",IF(F90="","",F90))</f>
        <v>AT</v>
      </c>
      <c r="BC90" s="136" t="str">
        <f>IF(AI62="","",IF(G90="","",G90))</f>
        <v>CDI</v>
      </c>
      <c r="BD90" s="136" t="str">
        <f>IF(AI62="","",IF(H90="","",H90))</f>
        <v>APB</v>
      </c>
      <c r="BE90" s="136" t="str">
        <f>IF(AI62="","",IF(I90="","",I90))</f>
        <v>FP</v>
      </c>
      <c r="BF90" s="136" t="str">
        <f>IF(AI62="","",IF(J90="","",J90))</f>
        <v>AT</v>
      </c>
      <c r="BG90" s="136" t="str">
        <f>IF(AI62="","",IF(K90="","",K90))</f>
        <v>CDI</v>
      </c>
      <c r="BH90" s="136" t="str">
        <f>IF(AI62="","",IF(L90="","",L90))</f>
        <v>PV</v>
      </c>
      <c r="BI90" s="136" t="str">
        <f>IF(AI62="","",IF(M90="","",M90))</f>
        <v/>
      </c>
      <c r="BJ90" s="136" t="str">
        <f>IF(AI62="","",IF(N90="","",N90))</f>
        <v>PV</v>
      </c>
      <c r="BK90" s="136" t="str">
        <f>IF(AI62="","",IF(O90="","",O90))</f>
        <v/>
      </c>
      <c r="BM90" s="136" t="str">
        <f t="shared" ref="BM90:BM94" si="76">BM89</f>
        <v>TG</v>
      </c>
      <c r="BN90" s="136" t="str">
        <f t="shared" si="64"/>
        <v>Trabalho de Grupo</v>
      </c>
      <c r="BO90" s="136" t="str">
        <f t="shared" si="64"/>
        <v>IEI</v>
      </c>
      <c r="BP90" s="136">
        <f>(COUNTIFS(AX66:AX113,BM90,AY66:AY113,BO90)+COUNTIFS(AZ66:AZ113,BM90,BA66:BA113,BO90)+COUNTIFS(BB66:BB113,BM90,BC66:BC113,BO90)+COUNTIFS(BD66:BD113,BM90,BE66:BE113,BO90)+COUNTIFS(BF66:BF113,BM90,BG66:BG113,BO90)+COUNTIFS(BH66:BH113,BM90,BI66:BI113,BO90)+COUNTIFS(BJ66:BJ113,BM90,BK66:BK113,BO90))*0.5</f>
        <v>0</v>
      </c>
      <c r="BQ90" s="136" t="str">
        <f t="shared" si="65"/>
        <v>Trabalho de Grupo</v>
      </c>
      <c r="BR90" s="136" t="str">
        <f t="shared" si="65"/>
        <v>IEI</v>
      </c>
      <c r="BS90" s="136" t="str">
        <f t="shared" si="66"/>
        <v>Trabalho de Grupo</v>
      </c>
      <c r="BT90" s="136">
        <f t="shared" si="72"/>
        <v>0</v>
      </c>
      <c r="BU90" s="136">
        <f t="shared" si="73"/>
        <v>0</v>
      </c>
      <c r="BZ90" s="280"/>
      <c r="CA90" s="183" t="str">
        <f>'INFO BASE'!L153</f>
        <v>-</v>
      </c>
      <c r="CB90" s="183" t="str">
        <f>'INFO BASE'!M153</f>
        <v/>
      </c>
      <c r="CR90" s="177" t="str">
        <f t="shared" si="53"/>
        <v>AT</v>
      </c>
      <c r="CS90" s="177" t="str">
        <f t="shared" si="54"/>
        <v>ATAL</v>
      </c>
      <c r="CT90" s="177" t="str">
        <f t="shared" si="53"/>
        <v>PV</v>
      </c>
      <c r="CU90" s="177">
        <f t="shared" si="55"/>
        <v>0</v>
      </c>
      <c r="CV90" s="177" t="str">
        <f t="shared" si="53"/>
        <v>AT</v>
      </c>
      <c r="CW90" s="177" t="str">
        <f t="shared" si="56"/>
        <v>ATCDI</v>
      </c>
      <c r="CX90" s="177" t="str">
        <f t="shared" si="53"/>
        <v>APB</v>
      </c>
      <c r="CY90" s="177" t="str">
        <f t="shared" si="57"/>
        <v>APBFP</v>
      </c>
      <c r="CZ90" s="177" t="str">
        <f t="shared" si="53"/>
        <v>AT</v>
      </c>
      <c r="DA90" s="177" t="str">
        <f t="shared" si="58"/>
        <v>ATCDI</v>
      </c>
      <c r="DB90" s="177" t="str">
        <f t="shared" si="53"/>
        <v>PV</v>
      </c>
      <c r="DC90" s="177">
        <f t="shared" si="59"/>
        <v>0</v>
      </c>
      <c r="DD90" s="177" t="str">
        <f t="shared" si="60"/>
        <v>PV</v>
      </c>
      <c r="DE90" s="177">
        <f t="shared" si="61"/>
        <v>0</v>
      </c>
      <c r="DN90" t="str">
        <f>'INFO BASE'!B36</f>
        <v>CDI</v>
      </c>
      <c r="DO90" t="str">
        <f>'INFO BASE'!C36</f>
        <v>Cálculo Diferencial e Integral I</v>
      </c>
    </row>
    <row r="91" spans="1:119" ht="18" customHeight="1" x14ac:dyDescent="0.3">
      <c r="A91" s="81">
        <v>0.52083333333335002</v>
      </c>
      <c r="B91" s="166" t="s">
        <v>9</v>
      </c>
      <c r="C91" s="130" t="s">
        <v>230</v>
      </c>
      <c r="D91" s="169" t="s">
        <v>116</v>
      </c>
      <c r="E91" s="130"/>
      <c r="F91" s="169" t="s">
        <v>9</v>
      </c>
      <c r="G91" s="130" t="s">
        <v>230</v>
      </c>
      <c r="H91" s="169" t="s">
        <v>130</v>
      </c>
      <c r="I91" s="130" t="s">
        <v>224</v>
      </c>
      <c r="J91" s="169" t="s">
        <v>130</v>
      </c>
      <c r="K91" s="130" t="s">
        <v>230</v>
      </c>
      <c r="L91" s="169" t="s">
        <v>116</v>
      </c>
      <c r="M91" s="130"/>
      <c r="N91" s="169" t="s">
        <v>116</v>
      </c>
      <c r="O91" s="154"/>
      <c r="P91" s="6">
        <v>0</v>
      </c>
      <c r="Q91" s="117" t="str">
        <f>IF('INFO BASE'!$C$19="","",'INFO BASE'!$C$19)</f>
        <v>Trabalho de Grupo</v>
      </c>
      <c r="R91" s="82" t="str">
        <f t="shared" si="71"/>
        <v>TG</v>
      </c>
      <c r="S91" s="83">
        <f t="shared" si="68"/>
        <v>-1</v>
      </c>
      <c r="T91" s="84">
        <f>IF(VLOOKUP(Q91,'INFO BASE'!$B$40:$I$54,IF(R91='INFO BASE'!$B$32,3,IF(R91='INFO BASE'!$B$33,4,IF(R91='INFO BASE'!$B$34,5,IF(R91='INFO BASE'!$B$35,6,IF(R91='INFO BASE'!$B$36,7,IF(R91='INFO BASE'!$B$37,8,2)))))),0)=0,"",VLOOKUP(Q91,'INFO BASE'!$B$40:$I$54,IF(R91='INFO BASE'!$B$32,3,IF(R91='INFO BASE'!$B$33,4,IF(R91='INFO BASE'!$B$34,5,IF(R91='INFO BASE'!$B$35,6,IF(R91='INFO BASE'!$B$36,7,IF(R91='INFO BASE'!$B$37,8,2)))))),0))</f>
        <v>15</v>
      </c>
      <c r="U91" s="84">
        <f>IF(R91="","",COUNTIFS(SEMANA2,R91)*0.5)</f>
        <v>0</v>
      </c>
      <c r="V91" s="84">
        <f>IF(R91="","",COUNTIFS(AI66:AV113,R91)*0.5)</f>
        <v>0</v>
      </c>
      <c r="W91" s="85">
        <f>IF(AH62="","-",IF(V91=0,U91,IFERROR((U91/V91)-1,"-")))</f>
        <v>0</v>
      </c>
      <c r="X91" s="201">
        <f t="shared" si="69"/>
        <v>0</v>
      </c>
      <c r="Y91" s="277"/>
      <c r="Z91" s="278"/>
      <c r="AA91" s="278"/>
      <c r="AB91" s="278"/>
      <c r="AC91" s="278"/>
      <c r="AD91" s="278"/>
      <c r="AE91" s="278"/>
      <c r="AF91" s="279"/>
      <c r="AH91" s="136">
        <v>0.52083333333335002</v>
      </c>
      <c r="AI91" s="136" t="s">
        <v>9</v>
      </c>
      <c r="AJ91" s="136" t="s">
        <v>230</v>
      </c>
      <c r="AK91" s="136" t="s">
        <v>116</v>
      </c>
      <c r="AL91" s="136" t="s">
        <v>235</v>
      </c>
      <c r="AM91" s="136" t="s">
        <v>9</v>
      </c>
      <c r="AN91" s="136" t="s">
        <v>230</v>
      </c>
      <c r="AO91" s="136" t="s">
        <v>130</v>
      </c>
      <c r="AP91" s="136" t="s">
        <v>224</v>
      </c>
      <c r="AQ91" s="136" t="s">
        <v>130</v>
      </c>
      <c r="AR91" s="136" t="s">
        <v>230</v>
      </c>
      <c r="AS91" s="136" t="s">
        <v>116</v>
      </c>
      <c r="AT91" s="136" t="s">
        <v>235</v>
      </c>
      <c r="AU91" s="136" t="s">
        <v>116</v>
      </c>
      <c r="AV91" s="136" t="s">
        <v>235</v>
      </c>
      <c r="AX91" s="136" t="str">
        <f>IF(AI62="","",IF(B91="","",B91))</f>
        <v>AT</v>
      </c>
      <c r="AY91" s="136" t="str">
        <f>IF(AI62="","",IF(C91="","",C91))</f>
        <v>AL</v>
      </c>
      <c r="AZ91" s="136" t="str">
        <f>IF(AI62="","",IF(D91="","",D91))</f>
        <v>PV</v>
      </c>
      <c r="BA91" s="136" t="str">
        <f>IF(AI62="","",IF(E91="","",E91))</f>
        <v/>
      </c>
      <c r="BB91" s="136" t="str">
        <f>IF(AI62="","",IF(F91="","",F91))</f>
        <v>AT</v>
      </c>
      <c r="BC91" s="136" t="str">
        <f>IF(AI62="","",IF(G91="","",G91))</f>
        <v>AL</v>
      </c>
      <c r="BD91" s="136" t="str">
        <f>IF(AI62="","",IF(H91="","",H91))</f>
        <v>APB</v>
      </c>
      <c r="BE91" s="136" t="str">
        <f>IF(AI62="","",IF(I91="","",I91))</f>
        <v>FP</v>
      </c>
      <c r="BF91" s="136" t="str">
        <f>IF(AI62="","",IF(J91="","",J91))</f>
        <v>APB</v>
      </c>
      <c r="BG91" s="136" t="str">
        <f>IF(AI62="","",IF(K91="","",K91))</f>
        <v>AL</v>
      </c>
      <c r="BH91" s="136" t="str">
        <f>IF(AI62="","",IF(L91="","",L91))</f>
        <v>PV</v>
      </c>
      <c r="BI91" s="136" t="str">
        <f>IF(AI62="","",IF(M91="","",M91))</f>
        <v/>
      </c>
      <c r="BJ91" s="136" t="str">
        <f>IF(AI62="","",IF(N91="","",N91))</f>
        <v>PV</v>
      </c>
      <c r="BK91" s="136" t="str">
        <f>IF(AI62="","",IF(O91="","",O91))</f>
        <v/>
      </c>
      <c r="BM91" s="136" t="str">
        <f t="shared" si="76"/>
        <v>TG</v>
      </c>
      <c r="BN91" s="136" t="str">
        <f t="shared" si="64"/>
        <v>Trabalho de Grupo</v>
      </c>
      <c r="BO91" s="136" t="str">
        <f t="shared" si="64"/>
        <v>IAC</v>
      </c>
      <c r="BP91" s="136">
        <f>(COUNTIFS(AX66:AX113,BM91,AY66:AY113,BO91)+COUNTIFS(AZ66:AZ113,BM91,BA66:BA113,BO91)+COUNTIFS(BB66:BB113,BM91,BC66:BC113,BO91)+COUNTIFS(BD66:BD113,BM91,BE66:BE113,BO91)+COUNTIFS(BF66:BF113,BM91,BG66:BG113,BO91)+COUNTIFS(BH66:BH113,BM91,BI66:BI113,BO91)+COUNTIFS(BJ66:BJ113,BM91,BK66:BK113,BO91))*0.5</f>
        <v>0</v>
      </c>
      <c r="BQ91" s="136" t="str">
        <f t="shared" si="65"/>
        <v>Trabalho de Grupo</v>
      </c>
      <c r="BR91" s="136" t="str">
        <f t="shared" si="65"/>
        <v>IAC</v>
      </c>
      <c r="BS91" s="136" t="str">
        <f t="shared" si="66"/>
        <v>Trabalho de Grupo</v>
      </c>
      <c r="BT91" s="136">
        <f t="shared" si="72"/>
        <v>0</v>
      </c>
      <c r="BU91" s="136">
        <f t="shared" si="73"/>
        <v>0</v>
      </c>
      <c r="BZ91" s="280"/>
      <c r="CA91" s="183" t="str">
        <f>'INFO BASE'!L154</f>
        <v>-</v>
      </c>
      <c r="CB91" s="183" t="str">
        <f>'INFO BASE'!M154</f>
        <v/>
      </c>
      <c r="CR91" s="177" t="str">
        <f t="shared" si="53"/>
        <v>AT</v>
      </c>
      <c r="CS91" s="177" t="str">
        <f t="shared" si="54"/>
        <v>ATAL</v>
      </c>
      <c r="CT91" s="177" t="str">
        <f t="shared" si="53"/>
        <v>PV</v>
      </c>
      <c r="CU91" s="177">
        <f t="shared" si="55"/>
        <v>0</v>
      </c>
      <c r="CV91" s="177" t="str">
        <f t="shared" si="53"/>
        <v>AT</v>
      </c>
      <c r="CW91" s="177" t="str">
        <f t="shared" si="56"/>
        <v>ATAL</v>
      </c>
      <c r="CX91" s="177" t="str">
        <f t="shared" si="53"/>
        <v>APB</v>
      </c>
      <c r="CY91" s="177" t="str">
        <f t="shared" si="57"/>
        <v>APBFP</v>
      </c>
      <c r="CZ91" s="177" t="str">
        <f t="shared" si="53"/>
        <v>APB</v>
      </c>
      <c r="DA91" s="177" t="str">
        <f t="shared" si="58"/>
        <v>APBAL</v>
      </c>
      <c r="DB91" s="177" t="str">
        <f t="shared" si="53"/>
        <v>PV</v>
      </c>
      <c r="DC91" s="177">
        <f t="shared" si="59"/>
        <v>0</v>
      </c>
      <c r="DD91" s="177" t="str">
        <f t="shared" si="60"/>
        <v>PV</v>
      </c>
      <c r="DE91" s="177">
        <f t="shared" si="61"/>
        <v>0</v>
      </c>
      <c r="DN91">
        <f>'INFO BASE'!B37</f>
        <v>0</v>
      </c>
      <c r="DO91">
        <f>'INFO BASE'!C37</f>
        <v>0</v>
      </c>
    </row>
    <row r="92" spans="1:119" ht="18" customHeight="1" x14ac:dyDescent="0.3">
      <c r="A92" s="81">
        <v>0.54166666666668395</v>
      </c>
      <c r="B92" s="166" t="s">
        <v>9</v>
      </c>
      <c r="C92" s="130" t="s">
        <v>231</v>
      </c>
      <c r="D92" s="169" t="s">
        <v>116</v>
      </c>
      <c r="E92" s="130"/>
      <c r="F92" s="169" t="s">
        <v>9</v>
      </c>
      <c r="G92" s="130" t="s">
        <v>230</v>
      </c>
      <c r="H92" s="169" t="s">
        <v>130</v>
      </c>
      <c r="I92" s="130" t="s">
        <v>224</v>
      </c>
      <c r="J92" s="169" t="s">
        <v>130</v>
      </c>
      <c r="K92" s="130" t="s">
        <v>230</v>
      </c>
      <c r="L92" s="169" t="s">
        <v>12</v>
      </c>
      <c r="M92" s="130" t="s">
        <v>120</v>
      </c>
      <c r="N92" s="169" t="s">
        <v>116</v>
      </c>
      <c r="O92" s="154"/>
      <c r="P92" s="6">
        <v>0</v>
      </c>
      <c r="Q92" s="118" t="str">
        <f t="shared" ref="Q92:Q97" si="77">Q91</f>
        <v>Trabalho de Grupo</v>
      </c>
      <c r="R92" s="105" t="str">
        <f t="shared" si="71"/>
        <v>FP</v>
      </c>
      <c r="S92" s="88">
        <f t="shared" si="68"/>
        <v>-1</v>
      </c>
      <c r="T92" s="89">
        <f>IF(VLOOKUP(Q92,'INFO BASE'!$B$40:$I$54,IF(R92='INFO BASE'!$B$32,3,IF(R92='INFO BASE'!$B$33,4,IF(R92='INFO BASE'!$B$34,5,IF(R92='INFO BASE'!$B$35,6,IF(R92='INFO BASE'!$B$36,7,IF(R92='INFO BASE'!$B$37,8,2)))))),0)=0,"",VLOOKUP(Q92,'INFO BASE'!$B$40:$I$54,IF(R92='INFO BASE'!$B$32,3,IF(R92='INFO BASE'!$B$33,4,IF(R92='INFO BASE'!$B$34,5,IF(R92='INFO BASE'!$B$35,6,IF(R92='INFO BASE'!$B$36,7,IF(R92='INFO BASE'!$B$37,8,2)))))),0))</f>
        <v>3</v>
      </c>
      <c r="U92" s="89">
        <f>(COUNTIFS(C66:C113,R92,B66:B113,R91)+COUNTIFS(E66:E113,R92,D66:D113,R91)+COUNTIFS(G66:G113,R92,F66:F113,R91)+COUNTIFS(I66:I113,R92,H66:H113,R91)+COUNTIFS(K66:K113,R92,J66:J113,R91)+COUNTIFS(M66:M113,R92,L66:L113,R91)+COUNTIFS(O66:O113,R92,N66:N113,R91))*0.5</f>
        <v>0</v>
      </c>
      <c r="V92" s="89">
        <f>(COUNTIFS(AI66:AI113,R91,AJ66:AJ113,R85)+COUNTIFS(AK66:AK113,R91,AL66:AL113,R85)+COUNTIFS(AM66:AM113,R91,AN66:AN113,R85)+COUNTIFS(AO66:AO113,R91,AP66:AP113,R85)+COUNTIFS(AQ66:AQ113,R91,AR66:AR113,R85)+COUNTIFS(AS66:AS113,R91,AT66:AT113,R85)+COUNTIFS(AU66:AU113,R91,AV66:AV113,R85))*0.5</f>
        <v>0</v>
      </c>
      <c r="W92" s="90">
        <f>IF(AH62="","-",IF(V92=0,U92,IFERROR((U92/V92)-1,"-")))</f>
        <v>0</v>
      </c>
      <c r="X92" s="201">
        <f t="shared" si="69"/>
        <v>0</v>
      </c>
      <c r="Y92" s="271"/>
      <c r="Z92" s="272"/>
      <c r="AA92" s="272"/>
      <c r="AB92" s="272"/>
      <c r="AC92" s="272"/>
      <c r="AD92" s="272"/>
      <c r="AE92" s="272"/>
      <c r="AF92" s="273"/>
      <c r="AH92" s="136">
        <v>0.54166666666668395</v>
      </c>
      <c r="AI92" s="136" t="s">
        <v>9</v>
      </c>
      <c r="AJ92" s="136" t="s">
        <v>231</v>
      </c>
      <c r="AK92" s="136" t="s">
        <v>116</v>
      </c>
      <c r="AL92" s="136" t="s">
        <v>235</v>
      </c>
      <c r="AM92" s="136" t="s">
        <v>9</v>
      </c>
      <c r="AN92" s="136" t="s">
        <v>230</v>
      </c>
      <c r="AO92" s="136" t="s">
        <v>130</v>
      </c>
      <c r="AP92" s="136" t="s">
        <v>224</v>
      </c>
      <c r="AQ92" s="136" t="s">
        <v>130</v>
      </c>
      <c r="AR92" s="136" t="s">
        <v>230</v>
      </c>
      <c r="AS92" s="136" t="s">
        <v>12</v>
      </c>
      <c r="AT92" s="136" t="s">
        <v>120</v>
      </c>
      <c r="AU92" s="136" t="s">
        <v>116</v>
      </c>
      <c r="AV92" s="136" t="s">
        <v>235</v>
      </c>
      <c r="AX92" s="136" t="str">
        <f>IF(AI62="","",IF(B92="","",B92))</f>
        <v>AT</v>
      </c>
      <c r="AY92" s="136" t="str">
        <f>IF(AI62="","",IF(C92="","",C92))</f>
        <v>CDI</v>
      </c>
      <c r="AZ92" s="136" t="str">
        <f>IF(AI62="","",IF(D92="","",D92))</f>
        <v>PV</v>
      </c>
      <c r="BA92" s="136" t="str">
        <f>IF(AI62="","",IF(E92="","",E92))</f>
        <v/>
      </c>
      <c r="BB92" s="136" t="str">
        <f>IF(AI62="","",IF(F92="","",F92))</f>
        <v>AT</v>
      </c>
      <c r="BC92" s="136" t="str">
        <f>IF(AI62="","",IF(G92="","",G92))</f>
        <v>AL</v>
      </c>
      <c r="BD92" s="136" t="str">
        <f>IF(AI62="","",IF(H92="","",H92))</f>
        <v>APB</v>
      </c>
      <c r="BE92" s="136" t="str">
        <f>IF(AI62="","",IF(I92="","",I92))</f>
        <v>FP</v>
      </c>
      <c r="BF92" s="136" t="str">
        <f>IF(AI62="","",IF(J92="","",J92))</f>
        <v>APB</v>
      </c>
      <c r="BG92" s="136" t="str">
        <f>IF(AI62="","",IF(K92="","",K92))</f>
        <v>AL</v>
      </c>
      <c r="BH92" s="136" t="str">
        <f>IF(AI62="","",IF(L92="","",L92))</f>
        <v>HR</v>
      </c>
      <c r="BI92" s="136" t="str">
        <f>IF(AI62="","",IF(M92="","",M92))</f>
        <v>-</v>
      </c>
      <c r="BJ92" s="136" t="str">
        <f>IF(AI62="","",IF(N92="","",N92))</f>
        <v>PV</v>
      </c>
      <c r="BK92" s="136" t="str">
        <f>IF(AI62="","",IF(O92="","",O92))</f>
        <v/>
      </c>
      <c r="BM92" s="136" t="str">
        <f t="shared" si="76"/>
        <v>TG</v>
      </c>
      <c r="BN92" s="136" t="str">
        <f t="shared" si="64"/>
        <v>Trabalho de Grupo</v>
      </c>
      <c r="BO92" s="136" t="str">
        <f t="shared" si="64"/>
        <v>AL</v>
      </c>
      <c r="BP92" s="136">
        <f>(COUNTIFS(AX66:AX113,BM92,AY66:AY113,BO92)+COUNTIFS(AZ66:AZ113,BM92,BA66:BA113,BO92)+COUNTIFS(BB66:BB113,BM92,BC66:BC113,BO92)+COUNTIFS(BD66:BD113,BM92,BE66:BE113,BO92)+COUNTIFS(BF66:BF113,BM92,BG66:BG113,BO92)+COUNTIFS(BH66:BH113,BM92,BI66:BI113,BO92)+COUNTIFS(BJ66:BJ113,BM92,BK66:BK113,BO92))*0.5</f>
        <v>0</v>
      </c>
      <c r="BQ92" s="136" t="str">
        <f t="shared" si="65"/>
        <v>Trabalho de Grupo</v>
      </c>
      <c r="BR92" s="136" t="str">
        <f t="shared" si="65"/>
        <v>AL</v>
      </c>
      <c r="BS92" s="136" t="str">
        <f t="shared" si="66"/>
        <v>Trabalho de Grupo</v>
      </c>
      <c r="BT92" s="136">
        <f t="shared" si="72"/>
        <v>0</v>
      </c>
      <c r="BU92" s="136">
        <f t="shared" si="73"/>
        <v>0</v>
      </c>
      <c r="BZ92" s="280"/>
      <c r="CA92" s="183" t="str">
        <f>'INFO BASE'!L155</f>
        <v>-</v>
      </c>
      <c r="CB92" s="183" t="str">
        <f>'INFO BASE'!M155</f>
        <v/>
      </c>
      <c r="CR92" s="177" t="str">
        <f t="shared" si="53"/>
        <v>AT</v>
      </c>
      <c r="CS92" s="177" t="str">
        <f t="shared" si="54"/>
        <v>ATCDI</v>
      </c>
      <c r="CT92" s="177" t="str">
        <f t="shared" si="53"/>
        <v>PV</v>
      </c>
      <c r="CU92" s="177">
        <f t="shared" si="55"/>
        <v>0</v>
      </c>
      <c r="CV92" s="177" t="str">
        <f t="shared" si="53"/>
        <v>AT</v>
      </c>
      <c r="CW92" s="177" t="str">
        <f t="shared" si="56"/>
        <v>ATAL</v>
      </c>
      <c r="CX92" s="177" t="str">
        <f t="shared" si="53"/>
        <v>APB</v>
      </c>
      <c r="CY92" s="177" t="str">
        <f t="shared" si="57"/>
        <v>APBFP</v>
      </c>
      <c r="CZ92" s="177" t="str">
        <f t="shared" si="53"/>
        <v>APB</v>
      </c>
      <c r="DA92" s="177" t="str">
        <f t="shared" si="58"/>
        <v>APBAL</v>
      </c>
      <c r="DB92" s="177" t="str">
        <f t="shared" si="53"/>
        <v>HR</v>
      </c>
      <c r="DC92" s="177" t="str">
        <f t="shared" si="59"/>
        <v>HR-</v>
      </c>
      <c r="DD92" s="177" t="str">
        <f t="shared" si="60"/>
        <v>PV</v>
      </c>
      <c r="DE92" s="177">
        <f t="shared" si="61"/>
        <v>0</v>
      </c>
    </row>
    <row r="93" spans="1:119" ht="18" customHeight="1" x14ac:dyDescent="0.3">
      <c r="A93" s="81">
        <v>0.56250000000001799</v>
      </c>
      <c r="B93" s="166" t="s">
        <v>9</v>
      </c>
      <c r="C93" s="130" t="s">
        <v>231</v>
      </c>
      <c r="D93" s="169" t="s">
        <v>116</v>
      </c>
      <c r="E93" s="130"/>
      <c r="F93" s="169" t="s">
        <v>116</v>
      </c>
      <c r="G93" s="130"/>
      <c r="H93" s="169" t="s">
        <v>116</v>
      </c>
      <c r="I93" s="130"/>
      <c r="J93" s="169" t="s">
        <v>130</v>
      </c>
      <c r="K93" s="130" t="s">
        <v>230</v>
      </c>
      <c r="L93" s="169" t="s">
        <v>12</v>
      </c>
      <c r="M93" s="130" t="s">
        <v>120</v>
      </c>
      <c r="N93" s="169" t="s">
        <v>116</v>
      </c>
      <c r="O93" s="154"/>
      <c r="P93" s="6">
        <v>0</v>
      </c>
      <c r="Q93" s="118" t="str">
        <f t="shared" si="77"/>
        <v>Trabalho de Grupo</v>
      </c>
      <c r="R93" s="105" t="str">
        <f t="shared" si="71"/>
        <v>IEI</v>
      </c>
      <c r="S93" s="88">
        <f t="shared" si="68"/>
        <v>-1</v>
      </c>
      <c r="T93" s="89">
        <f>IF(VLOOKUP(Q93,'INFO BASE'!$B$40:$I$54,IF(R93='INFO BASE'!$B$32,3,IF(R93='INFO BASE'!$B$33,4,IF(R93='INFO BASE'!$B$34,5,IF(R93='INFO BASE'!$B$35,6,IF(R93='INFO BASE'!$B$36,7,IF(R93='INFO BASE'!$B$37,8,2)))))),0)=0,"",VLOOKUP(Q93,'INFO BASE'!$B$40:$I$54,IF(R93='INFO BASE'!$B$32,3,IF(R93='INFO BASE'!$B$33,4,IF(R93='INFO BASE'!$B$34,5,IF(R93='INFO BASE'!$B$35,6,IF(R93='INFO BASE'!$B$36,7,IF(R93='INFO BASE'!$B$37,8,2)))))),0))</f>
        <v>3</v>
      </c>
      <c r="U93" s="89">
        <f>(COUNTIFS(C66:C113,R93,B66:B113,R91)+COUNTIFS(E66:E113,R93,D66:D113,R91)+COUNTIFS(G66:G113,R93,F66:F113,R91)+COUNTIFS(I66:I113,R93,H66:H113,R91)+COUNTIFS(K66:K113,R93,J66:J113,R91)+COUNTIFS(M66:M113,R93,L66:L113,R91)+COUNTIFS(O66:O113,R93,N66:N113,R91))*0.5</f>
        <v>0</v>
      </c>
      <c r="V93" s="89">
        <f>(COUNTIFS(AI66:AI113,R91,AJ66:AJ113,R86)+COUNTIFS(AK66:AK113,R91,AL66:AL113,R86)+COUNTIFS(AM66:AM113,R91,AN66:AN113,R86)+COUNTIFS(AO66:AO113,R91,AP66:AP113,R86)+COUNTIFS(AQ66:AQ113,R91,AR66:AR113,R86)+COUNTIFS(AS66:AS113,R91,AT66:AT113,R86)+COUNTIFS(AU66:AU113,R91,AV66:AV113,R86))*0.5</f>
        <v>0</v>
      </c>
      <c r="W93" s="90">
        <f>IF(AH62="","-",IF(V93=0,U93,IFERROR((U93/V93)-1,"-")))</f>
        <v>0</v>
      </c>
      <c r="X93" s="201">
        <f t="shared" si="69"/>
        <v>0</v>
      </c>
      <c r="Y93" s="271"/>
      <c r="Z93" s="272"/>
      <c r="AA93" s="272"/>
      <c r="AB93" s="272"/>
      <c r="AC93" s="272"/>
      <c r="AD93" s="272"/>
      <c r="AE93" s="272"/>
      <c r="AF93" s="273"/>
      <c r="AH93" s="136">
        <v>0.56250000000001799</v>
      </c>
      <c r="AI93" s="136" t="s">
        <v>9</v>
      </c>
      <c r="AJ93" s="136" t="s">
        <v>231</v>
      </c>
      <c r="AK93" s="136" t="s">
        <v>116</v>
      </c>
      <c r="AL93" s="136" t="s">
        <v>235</v>
      </c>
      <c r="AM93" s="136" t="s">
        <v>116</v>
      </c>
      <c r="AN93" s="136" t="s">
        <v>235</v>
      </c>
      <c r="AO93" s="136" t="s">
        <v>116</v>
      </c>
      <c r="AP93" s="136" t="s">
        <v>235</v>
      </c>
      <c r="AQ93" s="136" t="s">
        <v>130</v>
      </c>
      <c r="AR93" s="136" t="s">
        <v>230</v>
      </c>
      <c r="AS93" s="136" t="s">
        <v>12</v>
      </c>
      <c r="AT93" s="136" t="s">
        <v>120</v>
      </c>
      <c r="AU93" s="136" t="s">
        <v>116</v>
      </c>
      <c r="AV93" s="136" t="s">
        <v>235</v>
      </c>
      <c r="AX93" s="136" t="str">
        <f>IF(AI62="","",IF(B93="","",B93))</f>
        <v>AT</v>
      </c>
      <c r="AY93" s="136" t="str">
        <f>IF(AI62="","",IF(C93="","",C93))</f>
        <v>CDI</v>
      </c>
      <c r="AZ93" s="136" t="str">
        <f>IF(AI62="","",IF(D93="","",D93))</f>
        <v>PV</v>
      </c>
      <c r="BA93" s="136" t="str">
        <f>IF(AI62="","",IF(E93="","",E93))</f>
        <v/>
      </c>
      <c r="BB93" s="136" t="str">
        <f>IF(AI62="","",IF(F93="","",F93))</f>
        <v>PV</v>
      </c>
      <c r="BC93" s="136" t="str">
        <f>IF(AI62="","",IF(G93="","",G93))</f>
        <v/>
      </c>
      <c r="BD93" s="136" t="str">
        <f>IF(AI62="","",IF(H93="","",H93))</f>
        <v>PV</v>
      </c>
      <c r="BE93" s="136" t="str">
        <f>IF(AI62="","",IF(I93="","",I93))</f>
        <v/>
      </c>
      <c r="BF93" s="136" t="str">
        <f>IF(AI62="","",IF(J93="","",J93))</f>
        <v>APB</v>
      </c>
      <c r="BG93" s="136" t="str">
        <f>IF(AI62="","",IF(K93="","",K93))</f>
        <v>AL</v>
      </c>
      <c r="BH93" s="136" t="str">
        <f>IF(AI62="","",IF(L93="","",L93))</f>
        <v>HR</v>
      </c>
      <c r="BI93" s="136" t="str">
        <f>IF(AI62="","",IF(M93="","",M93))</f>
        <v>-</v>
      </c>
      <c r="BJ93" s="136" t="str">
        <f>IF(AI62="","",IF(N93="","",N93))</f>
        <v>PV</v>
      </c>
      <c r="BK93" s="136" t="str">
        <f>IF(AI62="","",IF(O93="","",O93))</f>
        <v/>
      </c>
      <c r="BM93" s="136" t="str">
        <f t="shared" si="76"/>
        <v>TG</v>
      </c>
      <c r="BN93" s="136" t="str">
        <f t="shared" si="64"/>
        <v>Trabalho de Grupo</v>
      </c>
      <c r="BO93" s="136" t="str">
        <f t="shared" si="64"/>
        <v>CDI</v>
      </c>
      <c r="BP93" s="136">
        <f>(COUNTIFS(AX66:AX113,BM93,AY66:AY113,BO93)+COUNTIFS(AZ66:AZ113,BM93,BA66:BA113,BO93)+COUNTIFS(BB66:BB113,BM93,BC66:BC113,BO93)+COUNTIFS(BD66:BD113,BM93,BE66:BE113,BO93)+COUNTIFS(BF66:BF113,BM93,BG66:BG113,BO93)+COUNTIFS(BH66:BH113,BM93,BI66:BI113,BO93)+COUNTIFS(BJ66:BJ113,BM93,BK66:BK113,BO93))*0.5</f>
        <v>0</v>
      </c>
      <c r="BQ93" s="136" t="str">
        <f t="shared" si="65"/>
        <v>Trabalho de Grupo</v>
      </c>
      <c r="BR93" s="136" t="str">
        <f t="shared" si="65"/>
        <v>CDI</v>
      </c>
      <c r="BS93" s="136" t="str">
        <f t="shared" si="66"/>
        <v>Trabalho de Grupo</v>
      </c>
      <c r="BT93" s="136">
        <f t="shared" si="72"/>
        <v>0</v>
      </c>
      <c r="BU93" s="136">
        <f t="shared" si="73"/>
        <v>0</v>
      </c>
      <c r="BZ93" s="280"/>
      <c r="CA93" s="183" t="str">
        <f>'INFO BASE'!L156</f>
        <v>-</v>
      </c>
      <c r="CB93" s="183" t="str">
        <f>'INFO BASE'!M156</f>
        <v/>
      </c>
      <c r="CR93" s="177" t="str">
        <f t="shared" si="53"/>
        <v>AT</v>
      </c>
      <c r="CS93" s="177" t="str">
        <f t="shared" si="54"/>
        <v>ATCDI</v>
      </c>
      <c r="CT93" s="177" t="str">
        <f t="shared" si="53"/>
        <v>PV</v>
      </c>
      <c r="CU93" s="177">
        <f t="shared" si="55"/>
        <v>0</v>
      </c>
      <c r="CV93" s="177" t="str">
        <f t="shared" si="53"/>
        <v>PV</v>
      </c>
      <c r="CW93" s="177">
        <f t="shared" si="56"/>
        <v>0</v>
      </c>
      <c r="CX93" s="177" t="str">
        <f t="shared" si="53"/>
        <v>PV</v>
      </c>
      <c r="CY93" s="177">
        <f t="shared" si="57"/>
        <v>0</v>
      </c>
      <c r="CZ93" s="177" t="str">
        <f t="shared" si="53"/>
        <v>APB</v>
      </c>
      <c r="DA93" s="177" t="str">
        <f t="shared" si="58"/>
        <v>APBAL</v>
      </c>
      <c r="DB93" s="177" t="str">
        <f t="shared" si="53"/>
        <v>HR</v>
      </c>
      <c r="DC93" s="177" t="str">
        <f t="shared" si="59"/>
        <v>HR-</v>
      </c>
      <c r="DD93" s="177" t="str">
        <f t="shared" si="60"/>
        <v>PV</v>
      </c>
      <c r="DE93" s="177">
        <f t="shared" si="61"/>
        <v>0</v>
      </c>
    </row>
    <row r="94" spans="1:119" ht="18" customHeight="1" x14ac:dyDescent="0.3">
      <c r="A94" s="81">
        <v>0.58333333333335202</v>
      </c>
      <c r="B94" s="166" t="s">
        <v>12</v>
      </c>
      <c r="C94" s="130" t="s">
        <v>120</v>
      </c>
      <c r="D94" s="169" t="s">
        <v>12</v>
      </c>
      <c r="E94" s="130" t="s">
        <v>120</v>
      </c>
      <c r="F94" s="169" t="s">
        <v>12</v>
      </c>
      <c r="G94" s="130" t="s">
        <v>120</v>
      </c>
      <c r="H94" s="169" t="s">
        <v>12</v>
      </c>
      <c r="I94" s="130" t="s">
        <v>120</v>
      </c>
      <c r="J94" s="169" t="s">
        <v>12</v>
      </c>
      <c r="K94" s="130" t="s">
        <v>120</v>
      </c>
      <c r="L94" s="169" t="s">
        <v>12</v>
      </c>
      <c r="M94" s="130" t="s">
        <v>120</v>
      </c>
      <c r="N94" s="169" t="s">
        <v>116</v>
      </c>
      <c r="O94" s="154"/>
      <c r="P94" s="6">
        <v>0</v>
      </c>
      <c r="Q94" s="119" t="str">
        <f t="shared" si="77"/>
        <v>Trabalho de Grupo</v>
      </c>
      <c r="R94" s="105" t="str">
        <f t="shared" si="71"/>
        <v>IAC</v>
      </c>
      <c r="S94" s="88">
        <f t="shared" si="68"/>
        <v>-1</v>
      </c>
      <c r="T94" s="89">
        <f>IF(VLOOKUP(Q94,'INFO BASE'!$B$40:$I$54,IF(R94='INFO BASE'!$B$32,3,IF(R94='INFO BASE'!$B$33,4,IF(R94='INFO BASE'!$B$34,5,IF(R94='INFO BASE'!$B$35,6,IF(R94='INFO BASE'!$B$36,7,IF(R94='INFO BASE'!$B$37,8,2)))))),0)=0,"",VLOOKUP(Q94,'INFO BASE'!$B$40:$I$54,IF(R94='INFO BASE'!$B$32,3,IF(R94='INFO BASE'!$B$33,4,IF(R94='INFO BASE'!$B$34,5,IF(R94='INFO BASE'!$B$35,6,IF(R94='INFO BASE'!$B$36,7,IF(R94='INFO BASE'!$B$37,8,2)))))),0))</f>
        <v>3</v>
      </c>
      <c r="U94" s="89">
        <f>(COUNTIFS(C66:C113,R94,B66:B113,R91)+COUNTIFS(E66:E113,R94,D66:D113,R91)+COUNTIFS(G66:G113,R94,F66:F113,R91)+COUNTIFS(I66:I113,R94,H66:H113,R91)+COUNTIFS(K66:K113,R94,J66:J113,R91)+COUNTIFS(M66:M113,R94,L66:L113,R91)+COUNTIFS(O66:O113,R94,N66:N113,R91))*0.5</f>
        <v>0</v>
      </c>
      <c r="V94" s="89">
        <f>(COUNTIFS(AI66:AI113,R91,AJ66:AJ113,R87)+COUNTIFS(AK66:AK113,R91,AL66:AL113,R87)+COUNTIFS(AM66:AM113,R91,AN66:AN113,R87)+COUNTIFS(AO66:AO113,R91,AP66:AP113,R87)+COUNTIFS(AQ66:AQ113,R91,AR66:AR113,R87)+COUNTIFS(AS66:AS113,R91,AT66:AT113,R87)+COUNTIFS(AU66:AU113,R91,AV66:AV113,R87))*0.5</f>
        <v>0</v>
      </c>
      <c r="W94" s="90">
        <f>IF(AH62="","-",IF(V94=0,U94,IFERROR((U94/V94)-1,"-")))</f>
        <v>0</v>
      </c>
      <c r="X94" s="201">
        <f t="shared" si="69"/>
        <v>0</v>
      </c>
      <c r="Y94" s="271"/>
      <c r="Z94" s="272"/>
      <c r="AA94" s="272"/>
      <c r="AB94" s="272"/>
      <c r="AC94" s="272"/>
      <c r="AD94" s="272"/>
      <c r="AE94" s="272"/>
      <c r="AF94" s="273"/>
      <c r="AH94" s="136">
        <v>0.58333333333335202</v>
      </c>
      <c r="AI94" s="136" t="s">
        <v>12</v>
      </c>
      <c r="AJ94" s="136" t="s">
        <v>120</v>
      </c>
      <c r="AK94" s="136" t="s">
        <v>12</v>
      </c>
      <c r="AL94" s="136" t="s">
        <v>120</v>
      </c>
      <c r="AM94" s="136" t="s">
        <v>12</v>
      </c>
      <c r="AN94" s="136" t="s">
        <v>120</v>
      </c>
      <c r="AO94" s="136" t="s">
        <v>12</v>
      </c>
      <c r="AP94" s="136" t="s">
        <v>120</v>
      </c>
      <c r="AQ94" s="136" t="s">
        <v>12</v>
      </c>
      <c r="AR94" s="136" t="s">
        <v>120</v>
      </c>
      <c r="AS94" s="136" t="s">
        <v>12</v>
      </c>
      <c r="AT94" s="136" t="s">
        <v>120</v>
      </c>
      <c r="AU94" s="136" t="s">
        <v>116</v>
      </c>
      <c r="AV94" s="136" t="s">
        <v>235</v>
      </c>
      <c r="AX94" s="136" t="str">
        <f>IF(AI62="","",IF(B94="","",B94))</f>
        <v>HR</v>
      </c>
      <c r="AY94" s="136" t="str">
        <f>IF(AI62="","",IF(C94="","",C94))</f>
        <v>-</v>
      </c>
      <c r="AZ94" s="136" t="str">
        <f>IF(AI62="","",IF(D94="","",D94))</f>
        <v>HR</v>
      </c>
      <c r="BA94" s="136" t="str">
        <f>IF(AI62="","",IF(E94="","",E94))</f>
        <v>-</v>
      </c>
      <c r="BB94" s="136" t="str">
        <f>IF(AI62="","",IF(F94="","",F94))</f>
        <v>HR</v>
      </c>
      <c r="BC94" s="136" t="str">
        <f>IF(AI62="","",IF(G94="","",G94))</f>
        <v>-</v>
      </c>
      <c r="BD94" s="136" t="str">
        <f>IF(AI62="","",IF(H94="","",H94))</f>
        <v>HR</v>
      </c>
      <c r="BE94" s="136" t="str">
        <f>IF(AI62="","",IF(I94="","",I94))</f>
        <v>-</v>
      </c>
      <c r="BF94" s="136" t="str">
        <f>IF(AI62="","",IF(J94="","",J94))</f>
        <v>HR</v>
      </c>
      <c r="BG94" s="136" t="str">
        <f>IF(AI62="","",IF(K94="","",K94))</f>
        <v>-</v>
      </c>
      <c r="BH94" s="136" t="str">
        <f>IF(AI62="","",IF(L94="","",L94))</f>
        <v>HR</v>
      </c>
      <c r="BI94" s="136" t="str">
        <f>IF(AI62="","",IF(M94="","",M94))</f>
        <v>-</v>
      </c>
      <c r="BJ94" s="136" t="str">
        <f>IF(AI62="","",IF(N94="","",N94))</f>
        <v>PV</v>
      </c>
      <c r="BK94" s="136" t="str">
        <f>IF(AI62="","",IF(O94="","",O94))</f>
        <v/>
      </c>
      <c r="BM94" s="136" t="str">
        <f t="shared" si="76"/>
        <v>TG</v>
      </c>
      <c r="BN94" s="136" t="str">
        <f t="shared" si="64"/>
        <v>Trabalho de Grupo</v>
      </c>
      <c r="BO94" s="136" t="str">
        <f t="shared" si="64"/>
        <v/>
      </c>
      <c r="BP94" s="136">
        <f>(COUNTIFS(AX66:AX113,BM94,AY66:AY113,BO94)+COUNTIFS(AZ66:AZ113,BM94,BA66:BA113,BO94)+COUNTIFS(BB66:BB113,BM94,BC66:BC113,BO94)+COUNTIFS(BD66:BD113,BM94,BE66:BE113,BO94)+COUNTIFS(BF66:BF113,BM94,BG66:BG113,BO94)+COUNTIFS(BH66:BH113,BM94,BI66:BI113,BO94)+COUNTIFS(BJ66:BJ113,BM94,BK66:BK113,BO94))*0.5</f>
        <v>0</v>
      </c>
      <c r="BQ94" s="136" t="str">
        <f t="shared" si="65"/>
        <v>Trabalho de Grupo</v>
      </c>
      <c r="BR94" s="136" t="str">
        <f t="shared" si="65"/>
        <v/>
      </c>
      <c r="BS94" s="136" t="str">
        <f t="shared" si="66"/>
        <v>Trabalho de Grupo</v>
      </c>
      <c r="BT94" s="136">
        <f t="shared" si="72"/>
        <v>0</v>
      </c>
      <c r="BU94" s="136">
        <f t="shared" si="73"/>
        <v>0</v>
      </c>
      <c r="BZ94" s="280"/>
      <c r="CA94" s="183" t="str">
        <f>'INFO BASE'!L157</f>
        <v>-</v>
      </c>
      <c r="CB94" s="183" t="str">
        <f>'INFO BASE'!M157</f>
        <v/>
      </c>
      <c r="CR94" s="177" t="str">
        <f t="shared" si="53"/>
        <v>HR</v>
      </c>
      <c r="CS94" s="177" t="str">
        <f t="shared" si="54"/>
        <v>HR-</v>
      </c>
      <c r="CT94" s="177" t="str">
        <f t="shared" si="53"/>
        <v>HR</v>
      </c>
      <c r="CU94" s="177" t="str">
        <f t="shared" si="55"/>
        <v>HR-</v>
      </c>
      <c r="CV94" s="177" t="str">
        <f t="shared" si="53"/>
        <v>HR</v>
      </c>
      <c r="CW94" s="177" t="str">
        <f t="shared" si="56"/>
        <v>HR-</v>
      </c>
      <c r="CX94" s="177" t="str">
        <f t="shared" si="53"/>
        <v>HR</v>
      </c>
      <c r="CY94" s="177" t="str">
        <f t="shared" si="57"/>
        <v>HR-</v>
      </c>
      <c r="CZ94" s="177" t="str">
        <f t="shared" si="53"/>
        <v>HR</v>
      </c>
      <c r="DA94" s="177" t="str">
        <f t="shared" si="58"/>
        <v>HR-</v>
      </c>
      <c r="DB94" s="177" t="str">
        <f t="shared" si="53"/>
        <v>HR</v>
      </c>
      <c r="DC94" s="177" t="str">
        <f t="shared" si="59"/>
        <v>HR-</v>
      </c>
      <c r="DD94" s="177" t="str">
        <f t="shared" si="60"/>
        <v>PV</v>
      </c>
      <c r="DE94" s="177">
        <f t="shared" si="61"/>
        <v>0</v>
      </c>
    </row>
    <row r="95" spans="1:119" ht="18" customHeight="1" x14ac:dyDescent="0.3">
      <c r="A95" s="81">
        <v>0.60416666666668595</v>
      </c>
      <c r="B95" s="166" t="s">
        <v>12</v>
      </c>
      <c r="C95" s="130" t="s">
        <v>120</v>
      </c>
      <c r="D95" s="169" t="s">
        <v>12</v>
      </c>
      <c r="E95" s="130" t="s">
        <v>120</v>
      </c>
      <c r="F95" s="169" t="s">
        <v>12</v>
      </c>
      <c r="G95" s="130" t="s">
        <v>120</v>
      </c>
      <c r="H95" s="169" t="s">
        <v>12</v>
      </c>
      <c r="I95" s="130" t="s">
        <v>120</v>
      </c>
      <c r="J95" s="169" t="s">
        <v>12</v>
      </c>
      <c r="K95" s="130" t="s">
        <v>120</v>
      </c>
      <c r="L95" s="169" t="s">
        <v>116</v>
      </c>
      <c r="M95" s="130"/>
      <c r="N95" s="169" t="s">
        <v>12</v>
      </c>
      <c r="O95" s="154" t="s">
        <v>120</v>
      </c>
      <c r="P95" s="6">
        <v>0</v>
      </c>
      <c r="Q95" s="118" t="str">
        <f t="shared" si="77"/>
        <v>Trabalho de Grupo</v>
      </c>
      <c r="R95" s="105" t="str">
        <f t="shared" si="71"/>
        <v>AL</v>
      </c>
      <c r="S95" s="88">
        <f t="shared" si="68"/>
        <v>-1</v>
      </c>
      <c r="T95" s="89">
        <f>IF(VLOOKUP(Q95,'INFO BASE'!$B$40:$I$54,IF(R95='INFO BASE'!$B$32,3,IF(R95='INFO BASE'!$B$33,4,IF(R95='INFO BASE'!$B$34,5,IF(R95='INFO BASE'!$B$35,6,IF(R95='INFO BASE'!$B$36,7,IF(R95='INFO BASE'!$B$37,8,2)))))),0)=0,"",VLOOKUP(Q95,'INFO BASE'!$B$40:$I$54,IF(R95='INFO BASE'!$B$32,3,IF(R95='INFO BASE'!$B$33,4,IF(R95='INFO BASE'!$B$34,5,IF(R95='INFO BASE'!$B$35,6,IF(R95='INFO BASE'!$B$36,7,IF(R95='INFO BASE'!$B$37,8,2)))))),0))</f>
        <v>3</v>
      </c>
      <c r="U95" s="89">
        <f>(COUNTIFS(C66:C113,R95,B66:B113,R91)+COUNTIFS(E66:E113,R95,D66:D113,R91)+COUNTIFS(G66:G113,R95,F66:F113,R91)+COUNTIFS(I66:I113,R95,H66:H113,R91)+COUNTIFS(K66:K113,R95,J66:J113,R91)+COUNTIFS(M66:M113,R95,L66:L113,R91)+COUNTIFS(O66:O113,R95,N66:N113,R91))*0.5</f>
        <v>0</v>
      </c>
      <c r="V95" s="89">
        <f>(COUNTIFS(AI66:AI113,R91,AJ66:AJ113,R88)+COUNTIFS(AK66:AK113,R91,AL66:AL113,R88)+COUNTIFS(AM66:AM113,R91,AN66:AN113,R88)+COUNTIFS(AO66:AO113,R91,AP66:AP113,R88)+COUNTIFS(AQ66:AQ113,R91,AR66:AR113,R88)+COUNTIFS(AS66:AS113,R91,AT66:AT113,R88)+COUNTIFS(AU66:AU113,R91,AV66:AV113,R88))*0.5</f>
        <v>0</v>
      </c>
      <c r="W95" s="90">
        <f>IF(AH62="","-",IF(V95=0,U95,IFERROR((U95/V95)-1,"-")))</f>
        <v>0</v>
      </c>
      <c r="X95" s="201">
        <f t="shared" si="69"/>
        <v>0</v>
      </c>
      <c r="Y95" s="271"/>
      <c r="Z95" s="272"/>
      <c r="AA95" s="272"/>
      <c r="AB95" s="272"/>
      <c r="AC95" s="272"/>
      <c r="AD95" s="272"/>
      <c r="AE95" s="272"/>
      <c r="AF95" s="273"/>
      <c r="AH95" s="136">
        <v>0.60416666666668595</v>
      </c>
      <c r="AI95" s="136" t="s">
        <v>12</v>
      </c>
      <c r="AJ95" s="136" t="s">
        <v>120</v>
      </c>
      <c r="AK95" s="136" t="s">
        <v>12</v>
      </c>
      <c r="AL95" s="136" t="s">
        <v>120</v>
      </c>
      <c r="AM95" s="136" t="s">
        <v>12</v>
      </c>
      <c r="AN95" s="136" t="s">
        <v>120</v>
      </c>
      <c r="AO95" s="136" t="s">
        <v>12</v>
      </c>
      <c r="AP95" s="136" t="s">
        <v>120</v>
      </c>
      <c r="AQ95" s="136" t="s">
        <v>12</v>
      </c>
      <c r="AR95" s="136" t="s">
        <v>120</v>
      </c>
      <c r="AS95" s="136" t="s">
        <v>116</v>
      </c>
      <c r="AT95" s="136" t="s">
        <v>235</v>
      </c>
      <c r="AU95" s="136" t="s">
        <v>12</v>
      </c>
      <c r="AV95" s="136" t="s">
        <v>120</v>
      </c>
      <c r="AX95" s="136" t="str">
        <f>IF(AI62="","",IF(B95="","",B95))</f>
        <v>HR</v>
      </c>
      <c r="AY95" s="136" t="str">
        <f>IF(AI62="","",IF(C95="","",C95))</f>
        <v>-</v>
      </c>
      <c r="AZ95" s="136" t="str">
        <f>IF(AI62="","",IF(D95="","",D95))</f>
        <v>HR</v>
      </c>
      <c r="BA95" s="136" t="str">
        <f>IF(AI62="","",IF(E95="","",E95))</f>
        <v>-</v>
      </c>
      <c r="BB95" s="136" t="str">
        <f>IF(AI62="","",IF(F95="","",F95))</f>
        <v>HR</v>
      </c>
      <c r="BC95" s="136" t="str">
        <f>IF(AI62="","",IF(G95="","",G95))</f>
        <v>-</v>
      </c>
      <c r="BD95" s="136" t="str">
        <f>IF(AI62="","",IF(H95="","",H95))</f>
        <v>HR</v>
      </c>
      <c r="BE95" s="136" t="str">
        <f>IF(AI62="","",IF(I95="","",I95))</f>
        <v>-</v>
      </c>
      <c r="BF95" s="136" t="str">
        <f>IF(AI62="","",IF(J95="","",J95))</f>
        <v>HR</v>
      </c>
      <c r="BG95" s="136" t="str">
        <f>IF(AI62="","",IF(K95="","",K95))</f>
        <v>-</v>
      </c>
      <c r="BH95" s="136" t="str">
        <f>IF(AI62="","",IF(L95="","",L95))</f>
        <v>PV</v>
      </c>
      <c r="BI95" s="136" t="str">
        <f>IF(AI62="","",IF(M95="","",M95))</f>
        <v/>
      </c>
      <c r="BJ95" s="136" t="str">
        <f>IF(AI62="","",IF(N95="","",N95))</f>
        <v>HR</v>
      </c>
      <c r="BK95" s="136" t="str">
        <f>IF(AI62="","",IF(O95="","",O95))</f>
        <v>-</v>
      </c>
      <c r="BM95" s="136" t="str">
        <f>BO95</f>
        <v>AT</v>
      </c>
      <c r="BN95" s="136" t="str">
        <f t="shared" si="64"/>
        <v>Aulas Teóricas</v>
      </c>
      <c r="BO95" s="136" t="str">
        <f t="shared" si="64"/>
        <v>AT</v>
      </c>
      <c r="BP95" s="136">
        <f>COUNTIFS(AX66:BK113,BO95)*0.5</f>
        <v>15</v>
      </c>
      <c r="BQ95" s="136" t="str">
        <f t="shared" si="65"/>
        <v>Aulas Teóricas</v>
      </c>
      <c r="BR95" s="136" t="str">
        <f t="shared" si="65"/>
        <v>AT</v>
      </c>
      <c r="BS95" s="136" t="str">
        <f t="shared" si="66"/>
        <v>Aulas Teóricas</v>
      </c>
      <c r="BT95" s="136">
        <f t="shared" si="72"/>
        <v>120</v>
      </c>
      <c r="BU95" s="136">
        <f t="shared" si="73"/>
        <v>120</v>
      </c>
      <c r="BZ95" s="280"/>
      <c r="CA95" s="183" t="str">
        <f>'INFO BASE'!L158</f>
        <v>-</v>
      </c>
      <c r="CB95" s="183" t="str">
        <f>'INFO BASE'!M158</f>
        <v/>
      </c>
      <c r="CR95" s="177" t="str">
        <f t="shared" si="53"/>
        <v>HR</v>
      </c>
      <c r="CS95" s="177" t="str">
        <f t="shared" si="54"/>
        <v>HR-</v>
      </c>
      <c r="CT95" s="177" t="str">
        <f t="shared" si="53"/>
        <v>HR</v>
      </c>
      <c r="CU95" s="177" t="str">
        <f t="shared" si="55"/>
        <v>HR-</v>
      </c>
      <c r="CV95" s="177" t="str">
        <f t="shared" si="53"/>
        <v>HR</v>
      </c>
      <c r="CW95" s="177" t="str">
        <f t="shared" si="56"/>
        <v>HR-</v>
      </c>
      <c r="CX95" s="177" t="str">
        <f t="shared" si="53"/>
        <v>HR</v>
      </c>
      <c r="CY95" s="177" t="str">
        <f t="shared" si="57"/>
        <v>HR-</v>
      </c>
      <c r="CZ95" s="177" t="str">
        <f t="shared" si="53"/>
        <v>HR</v>
      </c>
      <c r="DA95" s="177" t="str">
        <f t="shared" si="58"/>
        <v>HR-</v>
      </c>
      <c r="DB95" s="177" t="str">
        <f t="shared" si="53"/>
        <v>PV</v>
      </c>
      <c r="DC95" s="177">
        <f t="shared" si="59"/>
        <v>0</v>
      </c>
      <c r="DD95" s="177" t="str">
        <f t="shared" si="60"/>
        <v>HR</v>
      </c>
      <c r="DE95" s="177" t="str">
        <f t="shared" si="61"/>
        <v>HR-</v>
      </c>
    </row>
    <row r="96" spans="1:119" ht="18" customHeight="1" x14ac:dyDescent="0.3">
      <c r="A96" s="81">
        <v>0.62500000000001998</v>
      </c>
      <c r="B96" s="166" t="s">
        <v>128</v>
      </c>
      <c r="C96" s="130" t="s">
        <v>230</v>
      </c>
      <c r="D96" s="169" t="s">
        <v>128</v>
      </c>
      <c r="E96" s="130" t="s">
        <v>231</v>
      </c>
      <c r="F96" s="169" t="s">
        <v>128</v>
      </c>
      <c r="G96" s="130" t="s">
        <v>224</v>
      </c>
      <c r="H96" s="169" t="s">
        <v>128</v>
      </c>
      <c r="I96" s="130" t="s">
        <v>230</v>
      </c>
      <c r="J96" s="169" t="s">
        <v>128</v>
      </c>
      <c r="K96" s="130" t="s">
        <v>231</v>
      </c>
      <c r="L96" s="169" t="s">
        <v>116</v>
      </c>
      <c r="M96" s="130"/>
      <c r="N96" s="169" t="s">
        <v>12</v>
      </c>
      <c r="O96" s="154" t="s">
        <v>120</v>
      </c>
      <c r="P96" s="6">
        <v>0</v>
      </c>
      <c r="Q96" s="118" t="str">
        <f t="shared" si="77"/>
        <v>Trabalho de Grupo</v>
      </c>
      <c r="R96" s="105" t="str">
        <f t="shared" si="71"/>
        <v>CDI</v>
      </c>
      <c r="S96" s="88">
        <f t="shared" si="68"/>
        <v>-1</v>
      </c>
      <c r="T96" s="89">
        <f>IF(VLOOKUP(Q96,'INFO BASE'!$B$40:$I$54,IF(R96='INFO BASE'!$B$32,3,IF(R96='INFO BASE'!$B$33,4,IF(R96='INFO BASE'!$B$34,5,IF(R96='INFO BASE'!$B$35,6,IF(R96='INFO BASE'!$B$36,7,IF(R96='INFO BASE'!$B$37,8,2)))))),0)=0,"",VLOOKUP(Q96,'INFO BASE'!$B$40:$I$54,IF(R96='INFO BASE'!$B$32,3,IF(R96='INFO BASE'!$B$33,4,IF(R96='INFO BASE'!$B$34,5,IF(R96='INFO BASE'!$B$35,6,IF(R96='INFO BASE'!$B$36,7,IF(R96='INFO BASE'!$B$37,8,2)))))),0))</f>
        <v>3</v>
      </c>
      <c r="U96" s="89">
        <f>(COUNTIFS(C66:C113,R96,B66:B113,R91)+COUNTIFS(E66:E113,R96,D66:D113,R91)+COUNTIFS(G66:G113,R96,F66:F113,R91)+COUNTIFS(I66:I113,R96,H66:H113,R91)+COUNTIFS(K66:K113,R96,J66:J113,R91)+COUNTIFS(M66:M113,R96,L66:L113,R91)+COUNTIFS(O66:O113,R96,N66:N113,R91))*0.5</f>
        <v>0</v>
      </c>
      <c r="V96" s="89">
        <f>(COUNTIFS(AI66:AI113,R91,AJ66:AJ113,R89)+COUNTIFS(AK66:AK113,R91,AL66:AL113,R89)+COUNTIFS(AM66:AM113,R91,AN66:AN113,R89)+COUNTIFS(AO66:AO113,R91,AP66:AP113,R89)+COUNTIFS(AQ66:AQ113,R91,AR66:AR113,R89)+COUNTIFS(AS66:AS113,R91,AT66:AT113,R89)+COUNTIFS(AU66:AU113,R91,AV66:AV113,R89))*0.5</f>
        <v>0</v>
      </c>
      <c r="W96" s="90">
        <f>IF(AH62="","-",IF(V96=0,U96,IFERROR((U96/V96)-1,"-")))</f>
        <v>0</v>
      </c>
      <c r="X96" s="201">
        <f t="shared" si="69"/>
        <v>0</v>
      </c>
      <c r="Y96" s="271"/>
      <c r="Z96" s="272"/>
      <c r="AA96" s="272"/>
      <c r="AB96" s="272"/>
      <c r="AC96" s="272"/>
      <c r="AD96" s="272"/>
      <c r="AE96" s="272"/>
      <c r="AF96" s="273"/>
      <c r="AH96" s="136">
        <v>0.62500000000001998</v>
      </c>
      <c r="AI96" s="136" t="s">
        <v>128</v>
      </c>
      <c r="AJ96" s="136" t="s">
        <v>230</v>
      </c>
      <c r="AK96" s="136" t="s">
        <v>128</v>
      </c>
      <c r="AL96" s="136" t="s">
        <v>231</v>
      </c>
      <c r="AM96" s="136" t="s">
        <v>128</v>
      </c>
      <c r="AN96" s="136" t="s">
        <v>224</v>
      </c>
      <c r="AO96" s="136" t="s">
        <v>128</v>
      </c>
      <c r="AP96" s="136" t="s">
        <v>230</v>
      </c>
      <c r="AQ96" s="136" t="s">
        <v>128</v>
      </c>
      <c r="AR96" s="136" t="s">
        <v>231</v>
      </c>
      <c r="AS96" s="136" t="s">
        <v>116</v>
      </c>
      <c r="AT96" s="136" t="s">
        <v>235</v>
      </c>
      <c r="AU96" s="136" t="s">
        <v>12</v>
      </c>
      <c r="AV96" s="136" t="s">
        <v>120</v>
      </c>
      <c r="AX96" s="136" t="str">
        <f>IF(AI62="","",IF(B96="","",B96))</f>
        <v>EG</v>
      </c>
      <c r="AY96" s="136" t="str">
        <f>IF(AI62="","",IF(C96="","",C96))</f>
        <v>AL</v>
      </c>
      <c r="AZ96" s="136" t="str">
        <f>IF(AI62="","",IF(D96="","",D96))</f>
        <v>EG</v>
      </c>
      <c r="BA96" s="136" t="str">
        <f>IF(AI62="","",IF(E96="","",E96))</f>
        <v>CDI</v>
      </c>
      <c r="BB96" s="136" t="str">
        <f>IF(AI62="","",IF(F96="","",F96))</f>
        <v>EG</v>
      </c>
      <c r="BC96" s="136" t="str">
        <f>IF(AI62="","",IF(G96="","",G96))</f>
        <v>FP</v>
      </c>
      <c r="BD96" s="136" t="str">
        <f>IF(AI62="","",IF(H96="","",H96))</f>
        <v>EG</v>
      </c>
      <c r="BE96" s="136" t="str">
        <f>IF(AI62="","",IF(I96="","",I96))</f>
        <v>AL</v>
      </c>
      <c r="BF96" s="136" t="str">
        <f>IF(AI62="","",IF(J96="","",J96))</f>
        <v>EG</v>
      </c>
      <c r="BG96" s="136" t="str">
        <f>IF(AI62="","",IF(K96="","",K96))</f>
        <v>CDI</v>
      </c>
      <c r="BH96" s="136" t="str">
        <f>IF(AI62="","",IF(L96="","",L96))</f>
        <v>PV</v>
      </c>
      <c r="BI96" s="136" t="str">
        <f>IF(AI62="","",IF(M96="","",M96))</f>
        <v/>
      </c>
      <c r="BJ96" s="136" t="str">
        <f>IF(AI62="","",IF(N96="","",N96))</f>
        <v>HR</v>
      </c>
      <c r="BK96" s="136" t="str">
        <f>IF(AI62="","",IF(O96="","",O96))</f>
        <v>-</v>
      </c>
      <c r="BM96" s="136" t="str">
        <f>BM95</f>
        <v>AT</v>
      </c>
      <c r="BN96" s="136" t="str">
        <f t="shared" si="64"/>
        <v>Aulas Teóricas</v>
      </c>
      <c r="BO96" s="136" t="str">
        <f t="shared" si="64"/>
        <v>FP</v>
      </c>
      <c r="BP96" s="136">
        <f>(COUNTIFS(AX66:AX113,BM96,AY66:AY113,BO96)+COUNTIFS(AZ66:AZ113,BM96,BA66:BA113,BO96)+COUNTIFS(BB66:BB113,BM96,BC66:BC113,BO96)+COUNTIFS(BD66:BD113,BM96,BE66:BE113,BO96)+COUNTIFS(BF66:BF113,BM96,BG66:BG113,BO96)+COUNTIFS(BH66:BH113,BM96,BI66:BI113,BO96)+COUNTIFS(BJ66:BJ113,BM96,BK66:BK113,BO96))*0.5</f>
        <v>3</v>
      </c>
      <c r="BQ96" s="136" t="str">
        <f t="shared" si="65"/>
        <v>Aulas Teóricas</v>
      </c>
      <c r="BR96" s="136" t="str">
        <f t="shared" si="65"/>
        <v>FP</v>
      </c>
      <c r="BS96" s="136" t="str">
        <f t="shared" si="66"/>
        <v>Aulas Teóricas</v>
      </c>
      <c r="BT96" s="136">
        <f t="shared" si="72"/>
        <v>24</v>
      </c>
      <c r="BU96" s="136">
        <f t="shared" si="73"/>
        <v>24</v>
      </c>
      <c r="BZ96" s="280"/>
      <c r="CA96" s="183" t="str">
        <f>'INFO BASE'!L159</f>
        <v>-</v>
      </c>
      <c r="CB96" s="183" t="str">
        <f>'INFO BASE'!M159</f>
        <v/>
      </c>
      <c r="CR96" s="177" t="str">
        <f t="shared" si="53"/>
        <v>EG</v>
      </c>
      <c r="CS96" s="177" t="str">
        <f t="shared" si="54"/>
        <v>EGAL</v>
      </c>
      <c r="CT96" s="177" t="str">
        <f t="shared" si="53"/>
        <v>EG</v>
      </c>
      <c r="CU96" s="177" t="str">
        <f t="shared" si="55"/>
        <v>EGCDI</v>
      </c>
      <c r="CV96" s="177" t="str">
        <f t="shared" si="53"/>
        <v>EG</v>
      </c>
      <c r="CW96" s="177" t="str">
        <f t="shared" si="56"/>
        <v>EGFP</v>
      </c>
      <c r="CX96" s="177" t="str">
        <f t="shared" si="53"/>
        <v>EG</v>
      </c>
      <c r="CY96" s="177" t="str">
        <f t="shared" si="57"/>
        <v>EGAL</v>
      </c>
      <c r="CZ96" s="177" t="str">
        <f t="shared" si="53"/>
        <v>EG</v>
      </c>
      <c r="DA96" s="177" t="str">
        <f t="shared" si="58"/>
        <v>EGCDI</v>
      </c>
      <c r="DB96" s="177" t="str">
        <f t="shared" si="53"/>
        <v>PV</v>
      </c>
      <c r="DC96" s="177">
        <f t="shared" si="59"/>
        <v>0</v>
      </c>
      <c r="DD96" s="177" t="str">
        <f t="shared" si="60"/>
        <v>HR</v>
      </c>
      <c r="DE96" s="177" t="str">
        <f t="shared" si="61"/>
        <v>HR-</v>
      </c>
    </row>
    <row r="97" spans="1:109" ht="18" customHeight="1" thickBot="1" x14ac:dyDescent="0.35">
      <c r="A97" s="81">
        <v>0.64583333333335402</v>
      </c>
      <c r="B97" s="166" t="s">
        <v>128</v>
      </c>
      <c r="C97" s="130" t="s">
        <v>230</v>
      </c>
      <c r="D97" s="169" t="s">
        <v>128</v>
      </c>
      <c r="E97" s="130" t="s">
        <v>231</v>
      </c>
      <c r="F97" s="169" t="s">
        <v>128</v>
      </c>
      <c r="G97" s="130" t="s">
        <v>224</v>
      </c>
      <c r="H97" s="169" t="s">
        <v>128</v>
      </c>
      <c r="I97" s="130" t="s">
        <v>230</v>
      </c>
      <c r="J97" s="169" t="s">
        <v>128</v>
      </c>
      <c r="K97" s="130" t="s">
        <v>231</v>
      </c>
      <c r="L97" s="169" t="s">
        <v>116</v>
      </c>
      <c r="M97" s="130"/>
      <c r="N97" s="169" t="s">
        <v>12</v>
      </c>
      <c r="O97" s="154" t="s">
        <v>120</v>
      </c>
      <c r="P97" s="6">
        <v>0</v>
      </c>
      <c r="Q97" s="120" t="str">
        <f t="shared" si="77"/>
        <v>Trabalho de Grupo</v>
      </c>
      <c r="R97" s="107" t="str">
        <f t="shared" si="71"/>
        <v/>
      </c>
      <c r="S97" s="94" t="str">
        <f t="shared" si="68"/>
        <v>-</v>
      </c>
      <c r="T97" s="95" t="str">
        <f>IF(VLOOKUP(Q97,'INFO BASE'!$B$40:$I$54,IF(R97='INFO BASE'!$B$32,3,IF(R97='INFO BASE'!$B$33,4,IF(R97='INFO BASE'!$B$34,5,IF(R97='INFO BASE'!$B$35,6,IF(R97='INFO BASE'!$B$36,7,IF(R97='INFO BASE'!$B$37,8,2)))))),0)=0,"",VLOOKUP(Q97,'INFO BASE'!$B$40:$I$54,IF(R97='INFO BASE'!$B$32,3,IF(R97='INFO BASE'!$B$33,4,IF(R97='INFO BASE'!$B$34,5,IF(R97='INFO BASE'!$B$35,6,IF(R97='INFO BASE'!$B$36,7,IF(R97='INFO BASE'!$B$37,8,2)))))),0))</f>
        <v/>
      </c>
      <c r="U97" s="95">
        <f>(COUNTIFS(C66:C113,R97,B66:B113,R91)+COUNTIFS(E66:E113,R97,D66:D113,R91)+COUNTIFS(G66:G113,R97,F66:F113,R91)+COUNTIFS(I66:I113,R97,H66:H113,R91)+COUNTIFS(K66:K113,R97,J66:J113,R91)+COUNTIFS(M66:M113,R97,L66:L113,R91)+COUNTIFS(O66:O113,R97,N66:N113,R91))*0.5</f>
        <v>0</v>
      </c>
      <c r="V97" s="95">
        <f>(COUNTIFS(AI66:AI113,R91,AJ66:AJ113,R90)+COUNTIFS(AK66:AK113,R91,AL66:AL113,R90)+COUNTIFS(AM66:AM113,R91,AN66:AN113,R90)+COUNTIFS(AO66:AO113,R91,AP66:AP113,R90)+COUNTIFS(AQ66:AQ113,R91,AR66:AR113,R90)+COUNTIFS(AS66:AS113,R91,AT66:AT113,R90)+COUNTIFS(AU66:AU113,R91,AV66:AV113,R90))*0.5</f>
        <v>0</v>
      </c>
      <c r="W97" s="96">
        <f>IF(AH62="","-",IF(V97=0,U97,IFERROR((U97/V97)-1,"-")))</f>
        <v>0</v>
      </c>
      <c r="X97" s="201">
        <f t="shared" si="69"/>
        <v>0</v>
      </c>
      <c r="Y97" s="274"/>
      <c r="Z97" s="275"/>
      <c r="AA97" s="275"/>
      <c r="AB97" s="275"/>
      <c r="AC97" s="275"/>
      <c r="AD97" s="275"/>
      <c r="AE97" s="275"/>
      <c r="AF97" s="276"/>
      <c r="AH97" s="136">
        <v>0.64583333333335402</v>
      </c>
      <c r="AI97" s="136" t="s">
        <v>128</v>
      </c>
      <c r="AJ97" s="136" t="s">
        <v>230</v>
      </c>
      <c r="AK97" s="136" t="s">
        <v>128</v>
      </c>
      <c r="AL97" s="136" t="s">
        <v>231</v>
      </c>
      <c r="AM97" s="136" t="s">
        <v>128</v>
      </c>
      <c r="AN97" s="136" t="s">
        <v>224</v>
      </c>
      <c r="AO97" s="136" t="s">
        <v>128</v>
      </c>
      <c r="AP97" s="136" t="s">
        <v>230</v>
      </c>
      <c r="AQ97" s="136" t="s">
        <v>128</v>
      </c>
      <c r="AR97" s="136" t="s">
        <v>231</v>
      </c>
      <c r="AS97" s="136" t="s">
        <v>116</v>
      </c>
      <c r="AT97" s="136" t="s">
        <v>235</v>
      </c>
      <c r="AU97" s="136" t="s">
        <v>12</v>
      </c>
      <c r="AV97" s="136" t="s">
        <v>120</v>
      </c>
      <c r="AX97" s="136" t="str">
        <f>IF(AI62="","",IF(B97="","",B97))</f>
        <v>EG</v>
      </c>
      <c r="AY97" s="136" t="str">
        <f>IF(AI62="","",IF(C97="","",C97))</f>
        <v>AL</v>
      </c>
      <c r="AZ97" s="136" t="str">
        <f>IF(AI62="","",IF(D97="","",D97))</f>
        <v>EG</v>
      </c>
      <c r="BA97" s="136" t="str">
        <f>IF(AI62="","",IF(E97="","",E97))</f>
        <v>CDI</v>
      </c>
      <c r="BB97" s="136" t="str">
        <f>IF(AI62="","",IF(F97="","",F97))</f>
        <v>EG</v>
      </c>
      <c r="BC97" s="136" t="str">
        <f>IF(AI62="","",IF(G97="","",G97))</f>
        <v>FP</v>
      </c>
      <c r="BD97" s="136" t="str">
        <f>IF(AI62="","",IF(H97="","",H97))</f>
        <v>EG</v>
      </c>
      <c r="BE97" s="136" t="str">
        <f>IF(AI62="","",IF(I97="","",I97))</f>
        <v>AL</v>
      </c>
      <c r="BF97" s="136" t="str">
        <f>IF(AI62="","",IF(J97="","",J97))</f>
        <v>EG</v>
      </c>
      <c r="BG97" s="136" t="str">
        <f>IF(AI62="","",IF(K97="","",K97))</f>
        <v>CDI</v>
      </c>
      <c r="BH97" s="136" t="str">
        <f>IF(AI62="","",IF(L97="","",L97))</f>
        <v>PV</v>
      </c>
      <c r="BI97" s="136" t="str">
        <f>IF(AI62="","",IF(M97="","",M97))</f>
        <v/>
      </c>
      <c r="BJ97" s="136" t="str">
        <f>IF(AI62="","",IF(N97="","",N97))</f>
        <v>HR</v>
      </c>
      <c r="BK97" s="136" t="str">
        <f>IF(AI62="","",IF(O97="","",O97))</f>
        <v>-</v>
      </c>
      <c r="BM97" s="136" t="str">
        <f t="shared" ref="BM97:BM101" si="78">BM96</f>
        <v>AT</v>
      </c>
      <c r="BN97" s="136" t="str">
        <f t="shared" si="64"/>
        <v>Aulas Teóricas</v>
      </c>
      <c r="BO97" s="136" t="str">
        <f t="shared" si="64"/>
        <v>IEI</v>
      </c>
      <c r="BP97" s="136">
        <f>(COUNTIFS(AX66:AX113,BM97,AY66:AY113,BO97)+COUNTIFS(AZ66:AZ113,BM97,BA66:BA113,BO97)+COUNTIFS(BB66:BB113,BM97,BC66:BC113,BO97)+COUNTIFS(BD66:BD113,BM97,BE66:BE113,BO97)+COUNTIFS(BF66:BF113,BM97,BG66:BG113,BO97)+COUNTIFS(BH66:BH113,BM97,BI66:BI113,BO97)+COUNTIFS(BJ66:BJ113,BM97,BK66:BK113,BO97))*0.5</f>
        <v>3</v>
      </c>
      <c r="BQ97" s="136" t="str">
        <f t="shared" si="65"/>
        <v>Aulas Teóricas</v>
      </c>
      <c r="BR97" s="136" t="str">
        <f t="shared" si="65"/>
        <v>IEI</v>
      </c>
      <c r="BS97" s="136" t="str">
        <f t="shared" si="66"/>
        <v>Aulas Teóricas</v>
      </c>
      <c r="BT97" s="136">
        <f t="shared" si="72"/>
        <v>24</v>
      </c>
      <c r="BU97" s="136">
        <f t="shared" si="73"/>
        <v>24</v>
      </c>
      <c r="BZ97" s="280"/>
      <c r="CA97" s="183" t="str">
        <f>'INFO BASE'!L160</f>
        <v>-</v>
      </c>
      <c r="CB97" s="183" t="str">
        <f>'INFO BASE'!M160</f>
        <v/>
      </c>
      <c r="CR97" s="177" t="str">
        <f t="shared" si="53"/>
        <v>EG</v>
      </c>
      <c r="CS97" s="177" t="str">
        <f t="shared" si="54"/>
        <v>EGAL</v>
      </c>
      <c r="CT97" s="177" t="str">
        <f t="shared" si="53"/>
        <v>EG</v>
      </c>
      <c r="CU97" s="177" t="str">
        <f t="shared" si="55"/>
        <v>EGCDI</v>
      </c>
      <c r="CV97" s="177" t="str">
        <f t="shared" si="53"/>
        <v>EG</v>
      </c>
      <c r="CW97" s="177" t="str">
        <f t="shared" si="56"/>
        <v>EGFP</v>
      </c>
      <c r="CX97" s="177" t="str">
        <f t="shared" si="53"/>
        <v>EG</v>
      </c>
      <c r="CY97" s="177" t="str">
        <f t="shared" si="57"/>
        <v>EGAL</v>
      </c>
      <c r="CZ97" s="177" t="str">
        <f t="shared" si="53"/>
        <v>EG</v>
      </c>
      <c r="DA97" s="177" t="str">
        <f t="shared" si="58"/>
        <v>EGCDI</v>
      </c>
      <c r="DB97" s="177" t="str">
        <f t="shared" si="53"/>
        <v>PV</v>
      </c>
      <c r="DC97" s="177">
        <f t="shared" si="59"/>
        <v>0</v>
      </c>
      <c r="DD97" s="177" t="str">
        <f t="shared" si="60"/>
        <v>HR</v>
      </c>
      <c r="DE97" s="177" t="str">
        <f t="shared" si="61"/>
        <v>HR-</v>
      </c>
    </row>
    <row r="98" spans="1:109" ht="18" customHeight="1" x14ac:dyDescent="0.3">
      <c r="A98" s="81">
        <v>0.66666666666668795</v>
      </c>
      <c r="B98" s="166" t="s">
        <v>116</v>
      </c>
      <c r="C98" s="130"/>
      <c r="D98" s="169" t="s">
        <v>116</v>
      </c>
      <c r="E98" s="130"/>
      <c r="F98" s="169" t="s">
        <v>116</v>
      </c>
      <c r="G98" s="130"/>
      <c r="H98" s="169" t="s">
        <v>116</v>
      </c>
      <c r="I98" s="130"/>
      <c r="J98" s="169" t="s">
        <v>116</v>
      </c>
      <c r="K98" s="130"/>
      <c r="L98" s="169" t="s">
        <v>116</v>
      </c>
      <c r="M98" s="130"/>
      <c r="N98" s="169" t="s">
        <v>116</v>
      </c>
      <c r="O98" s="154"/>
      <c r="P98" s="6">
        <v>0</v>
      </c>
      <c r="Q98" s="121" t="str">
        <f>IF('INFO BASE'!$C$20="","",'INFO BASE'!$C$20)</f>
        <v>Aulas Teóricas</v>
      </c>
      <c r="R98" s="82" t="str">
        <f t="shared" si="71"/>
        <v>AT</v>
      </c>
      <c r="S98" s="83">
        <f t="shared" si="68"/>
        <v>0</v>
      </c>
      <c r="T98" s="84">
        <f>IF(VLOOKUP(Q98,'INFO BASE'!$B$40:$I$54,IF(R98='INFO BASE'!$B$32,3,IF(R98='INFO BASE'!$B$33,4,IF(R98='INFO BASE'!$B$34,5,IF(R98='INFO BASE'!$B$35,6,IF(R98='INFO BASE'!$B$36,7,IF(R98='INFO BASE'!$B$37,8,2)))))),0)=0,"",VLOOKUP(Q98,'INFO BASE'!$B$40:$I$54,IF(R98='INFO BASE'!$B$32,3,IF(R98='INFO BASE'!$B$33,4,IF(R98='INFO BASE'!$B$34,5,IF(R98='INFO BASE'!$B$35,6,IF(R98='INFO BASE'!$B$36,7,IF(R98='INFO BASE'!$B$37,8,2)))))),0))</f>
        <v>15</v>
      </c>
      <c r="U98" s="84">
        <f>IF(R98="","",COUNTIFS(SEMANA2,R98)*0.5)</f>
        <v>15</v>
      </c>
      <c r="V98" s="84">
        <f>IF(R98="","",COUNTIFS(AI66:AV113,R98)*0.5)</f>
        <v>15</v>
      </c>
      <c r="W98" s="85">
        <f>IF(AH62="","-",IF(V98=0,U98,IFERROR((U98/V98)-1,"-")))</f>
        <v>0</v>
      </c>
      <c r="X98" s="201">
        <f t="shared" si="69"/>
        <v>0</v>
      </c>
      <c r="Y98" s="277"/>
      <c r="Z98" s="278"/>
      <c r="AA98" s="278"/>
      <c r="AB98" s="278"/>
      <c r="AC98" s="278"/>
      <c r="AD98" s="278"/>
      <c r="AE98" s="278"/>
      <c r="AF98" s="279"/>
      <c r="AH98" s="136">
        <v>0.66666666666668795</v>
      </c>
      <c r="AI98" s="136" t="s">
        <v>116</v>
      </c>
      <c r="AJ98" s="136" t="s">
        <v>235</v>
      </c>
      <c r="AK98" s="136" t="s">
        <v>116</v>
      </c>
      <c r="AL98" s="136" t="s">
        <v>235</v>
      </c>
      <c r="AM98" s="136" t="s">
        <v>116</v>
      </c>
      <c r="AN98" s="136" t="s">
        <v>235</v>
      </c>
      <c r="AO98" s="136" t="s">
        <v>116</v>
      </c>
      <c r="AP98" s="136" t="s">
        <v>235</v>
      </c>
      <c r="AQ98" s="136" t="s">
        <v>116</v>
      </c>
      <c r="AR98" s="136" t="s">
        <v>235</v>
      </c>
      <c r="AS98" s="136" t="s">
        <v>116</v>
      </c>
      <c r="AT98" s="136" t="s">
        <v>235</v>
      </c>
      <c r="AU98" s="136" t="s">
        <v>116</v>
      </c>
      <c r="AV98" s="136" t="s">
        <v>235</v>
      </c>
      <c r="AX98" s="136" t="str">
        <f>IF(AI62="","",IF(B98="","",B98))</f>
        <v>PV</v>
      </c>
      <c r="AY98" s="136" t="str">
        <f>IF(AI62="","",IF(C98="","",C98))</f>
        <v/>
      </c>
      <c r="AZ98" s="136" t="str">
        <f>IF(AI62="","",IF(D98="","",D98))</f>
        <v>PV</v>
      </c>
      <c r="BA98" s="136" t="str">
        <f>IF(AI62="","",IF(E98="","",E98))</f>
        <v/>
      </c>
      <c r="BB98" s="136" t="str">
        <f>IF(AI62="","",IF(F98="","",F98))</f>
        <v>PV</v>
      </c>
      <c r="BC98" s="136" t="str">
        <f>IF(AI62="","",IF(G98="","",G98))</f>
        <v/>
      </c>
      <c r="BD98" s="136" t="str">
        <f>IF(AI62="","",IF(H98="","",H98))</f>
        <v>PV</v>
      </c>
      <c r="BE98" s="136" t="str">
        <f>IF(AI62="","",IF(I98="","",I98))</f>
        <v/>
      </c>
      <c r="BF98" s="136" t="str">
        <f>IF(AI62="","",IF(J98="","",J98))</f>
        <v>PV</v>
      </c>
      <c r="BG98" s="136" t="str">
        <f>IF(AI62="","",IF(K98="","",K98))</f>
        <v/>
      </c>
      <c r="BH98" s="136" t="str">
        <f>IF(AI62="","",IF(L98="","",L98))</f>
        <v>PV</v>
      </c>
      <c r="BI98" s="136" t="str">
        <f>IF(AI62="","",IF(M98="","",M98))</f>
        <v/>
      </c>
      <c r="BJ98" s="136" t="str">
        <f>IF(AI62="","",IF(N98="","",N98))</f>
        <v>PV</v>
      </c>
      <c r="BK98" s="136" t="str">
        <f>IF(AI62="","",IF(O98="","",O98))</f>
        <v/>
      </c>
      <c r="BM98" s="136" t="str">
        <f t="shared" si="78"/>
        <v>AT</v>
      </c>
      <c r="BN98" s="136" t="str">
        <f t="shared" si="64"/>
        <v>Aulas Teóricas</v>
      </c>
      <c r="BO98" s="136" t="str">
        <f t="shared" si="64"/>
        <v>IAC</v>
      </c>
      <c r="BP98" s="136">
        <f>(COUNTIFS(AX66:AX113,BM98,AY66:AY113,BO98)+COUNTIFS(AZ66:AZ113,BM98,BA66:BA113,BO98)+COUNTIFS(BB66:BB113,BM98,BC66:BC113,BO98)+COUNTIFS(BD66:BD113,BM98,BE66:BE113,BO98)+COUNTIFS(BF66:BF113,BM98,BG66:BG113,BO98)+COUNTIFS(BH66:BH113,BM98,BI66:BI113,BO98)+COUNTIFS(BJ66:BJ113,BM98,BK66:BK113,BO98))*0.5</f>
        <v>3</v>
      </c>
      <c r="BQ98" s="136" t="str">
        <f t="shared" si="65"/>
        <v>Aulas Teóricas</v>
      </c>
      <c r="BR98" s="136" t="str">
        <f t="shared" si="65"/>
        <v>IAC</v>
      </c>
      <c r="BS98" s="136" t="str">
        <f t="shared" si="66"/>
        <v>Aulas Teóricas</v>
      </c>
      <c r="BT98" s="136">
        <f t="shared" si="72"/>
        <v>24</v>
      </c>
      <c r="BU98" s="136">
        <f t="shared" si="73"/>
        <v>24</v>
      </c>
      <c r="BZ98" s="280"/>
      <c r="CA98" s="183" t="str">
        <f>'INFO BASE'!L161</f>
        <v>-</v>
      </c>
      <c r="CB98" s="183" t="str">
        <f>'INFO BASE'!M161</f>
        <v/>
      </c>
      <c r="CR98" s="177" t="str">
        <f t="shared" si="53"/>
        <v>PV</v>
      </c>
      <c r="CS98" s="177">
        <f t="shared" si="54"/>
        <v>0</v>
      </c>
      <c r="CT98" s="177" t="str">
        <f t="shared" si="53"/>
        <v>PV</v>
      </c>
      <c r="CU98" s="177">
        <f t="shared" si="55"/>
        <v>0</v>
      </c>
      <c r="CV98" s="177" t="str">
        <f t="shared" si="53"/>
        <v>PV</v>
      </c>
      <c r="CW98" s="177">
        <f t="shared" si="56"/>
        <v>0</v>
      </c>
      <c r="CX98" s="177" t="str">
        <f t="shared" si="53"/>
        <v>PV</v>
      </c>
      <c r="CY98" s="177">
        <f t="shared" si="57"/>
        <v>0</v>
      </c>
      <c r="CZ98" s="177" t="str">
        <f t="shared" si="53"/>
        <v>PV</v>
      </c>
      <c r="DA98" s="177">
        <f t="shared" si="58"/>
        <v>0</v>
      </c>
      <c r="DB98" s="177" t="str">
        <f t="shared" si="53"/>
        <v>PV</v>
      </c>
      <c r="DC98" s="177">
        <f t="shared" si="59"/>
        <v>0</v>
      </c>
      <c r="DD98" s="177" t="str">
        <f t="shared" si="60"/>
        <v>PV</v>
      </c>
      <c r="DE98" s="177">
        <f t="shared" si="61"/>
        <v>0</v>
      </c>
    </row>
    <row r="99" spans="1:109" ht="18" customHeight="1" x14ac:dyDescent="0.3">
      <c r="A99" s="81">
        <v>0.68750000000002198</v>
      </c>
      <c r="B99" s="166" t="s">
        <v>116</v>
      </c>
      <c r="C99" s="130"/>
      <c r="D99" s="169" t="s">
        <v>116</v>
      </c>
      <c r="E99" s="130"/>
      <c r="F99" s="169" t="s">
        <v>116</v>
      </c>
      <c r="G99" s="130"/>
      <c r="H99" s="169" t="s">
        <v>116</v>
      </c>
      <c r="I99" s="130"/>
      <c r="J99" s="169" t="s">
        <v>116</v>
      </c>
      <c r="K99" s="130"/>
      <c r="L99" s="169" t="s">
        <v>116</v>
      </c>
      <c r="M99" s="130"/>
      <c r="N99" s="169" t="s">
        <v>116</v>
      </c>
      <c r="O99" s="154"/>
      <c r="P99" s="6">
        <v>0</v>
      </c>
      <c r="Q99" s="122" t="str">
        <f t="shared" ref="Q99:Q104" si="79">Q98</f>
        <v>Aulas Teóricas</v>
      </c>
      <c r="R99" s="105" t="str">
        <f t="shared" si="71"/>
        <v>FP</v>
      </c>
      <c r="S99" s="88">
        <f t="shared" si="68"/>
        <v>0</v>
      </c>
      <c r="T99" s="89">
        <f>IF(VLOOKUP(Q99,'INFO BASE'!$B$40:$I$54,IF(R99='INFO BASE'!$B$32,3,IF(R99='INFO BASE'!$B$33,4,IF(R99='INFO BASE'!$B$34,5,IF(R99='INFO BASE'!$B$35,6,IF(R99='INFO BASE'!$B$36,7,IF(R99='INFO BASE'!$B$37,8,2)))))),0)=0,"",VLOOKUP(Q99,'INFO BASE'!$B$40:$I$54,IF(R99='INFO BASE'!$B$32,3,IF(R99='INFO BASE'!$B$33,4,IF(R99='INFO BASE'!$B$34,5,IF(R99='INFO BASE'!$B$35,6,IF(R99='INFO BASE'!$B$36,7,IF(R99='INFO BASE'!$B$37,8,2)))))),0))</f>
        <v>3</v>
      </c>
      <c r="U99" s="89">
        <f>(COUNTIFS(C66:C113,R99,B66:B113,R98)+COUNTIFS(E66:E113,R99,D66:D113,R98)+COUNTIFS(G66:G113,R99,F66:F113,R98)+COUNTIFS(I66:I113,R99,H66:H113,R98)+COUNTIFS(K66:K113,R99,J66:J113,R98)+COUNTIFS(M66:M113,R99,L66:L113,R98)+COUNTIFS(O66:O113,R99,N66:N113,R98))*0.5</f>
        <v>3</v>
      </c>
      <c r="V99" s="89">
        <f>(COUNTIFS(AI66:AI113,R98,AJ66:AJ113,R92)+COUNTIFS(AK66:AK113,R98,AL66:AL113,R92)+COUNTIFS(AM66:AM113,R98,AN66:AN113,R92)+COUNTIFS(AO66:AO113,R98,AP66:AP113,R92)+COUNTIFS(AQ66:AQ113,R98,AR66:AR113,R92)+COUNTIFS(AS66:AS113,R98,AT66:AT113,R92)+COUNTIFS(AU66:AU113,R98,AV66:AV113,R92))*0.5</f>
        <v>3</v>
      </c>
      <c r="W99" s="90">
        <f>IF(AH62="","-",IF(V99=0,U99,IFERROR((U99/V99)-1,"-")))</f>
        <v>0</v>
      </c>
      <c r="X99" s="201">
        <f t="shared" si="69"/>
        <v>0</v>
      </c>
      <c r="Y99" s="271"/>
      <c r="Z99" s="272"/>
      <c r="AA99" s="272"/>
      <c r="AB99" s="272"/>
      <c r="AC99" s="272"/>
      <c r="AD99" s="272"/>
      <c r="AE99" s="272"/>
      <c r="AF99" s="273"/>
      <c r="AH99" s="136">
        <v>0.68750000000002198</v>
      </c>
      <c r="AI99" s="136" t="s">
        <v>116</v>
      </c>
      <c r="AJ99" s="136" t="s">
        <v>235</v>
      </c>
      <c r="AK99" s="136" t="s">
        <v>116</v>
      </c>
      <c r="AL99" s="136" t="s">
        <v>235</v>
      </c>
      <c r="AM99" s="136" t="s">
        <v>116</v>
      </c>
      <c r="AN99" s="136" t="s">
        <v>235</v>
      </c>
      <c r="AO99" s="136" t="s">
        <v>116</v>
      </c>
      <c r="AP99" s="136" t="s">
        <v>235</v>
      </c>
      <c r="AQ99" s="136" t="s">
        <v>116</v>
      </c>
      <c r="AR99" s="136" t="s">
        <v>235</v>
      </c>
      <c r="AS99" s="136" t="s">
        <v>116</v>
      </c>
      <c r="AT99" s="136" t="s">
        <v>235</v>
      </c>
      <c r="AU99" s="136" t="s">
        <v>116</v>
      </c>
      <c r="AV99" s="136" t="s">
        <v>235</v>
      </c>
      <c r="AX99" s="136" t="str">
        <f>IF(AI62="","",IF(B99="","",B99))</f>
        <v>PV</v>
      </c>
      <c r="AY99" s="136" t="str">
        <f>IF(AI62="","",IF(C99="","",C99))</f>
        <v/>
      </c>
      <c r="AZ99" s="136" t="str">
        <f>IF(AI62="","",IF(D99="","",D99))</f>
        <v>PV</v>
      </c>
      <c r="BA99" s="136" t="str">
        <f>IF(AI62="","",IF(E99="","",E99))</f>
        <v/>
      </c>
      <c r="BB99" s="136" t="str">
        <f>IF(AI62="","",IF(F99="","",F99))</f>
        <v>PV</v>
      </c>
      <c r="BC99" s="136" t="str">
        <f>IF(AI62="","",IF(G99="","",G99))</f>
        <v/>
      </c>
      <c r="BD99" s="136" t="str">
        <f>IF(AI62="","",IF(H99="","",H99))</f>
        <v>PV</v>
      </c>
      <c r="BE99" s="136" t="str">
        <f>IF(AI62="","",IF(I99="","",I99))</f>
        <v/>
      </c>
      <c r="BF99" s="136" t="str">
        <f>IF(AI62="","",IF(J99="","",J99))</f>
        <v>PV</v>
      </c>
      <c r="BG99" s="136" t="str">
        <f>IF(AI62="","",IF(K99="","",K99))</f>
        <v/>
      </c>
      <c r="BH99" s="136" t="str">
        <f>IF(AI62="","",IF(L99="","",L99))</f>
        <v>PV</v>
      </c>
      <c r="BI99" s="136" t="str">
        <f>IF(AI62="","",IF(M99="","",M99))</f>
        <v/>
      </c>
      <c r="BJ99" s="136" t="str">
        <f>IF(AI62="","",IF(N99="","",N99))</f>
        <v>PV</v>
      </c>
      <c r="BK99" s="136" t="str">
        <f>IF(AI62="","",IF(O99="","",O99))</f>
        <v/>
      </c>
      <c r="BM99" s="136" t="str">
        <f t="shared" si="78"/>
        <v>AT</v>
      </c>
      <c r="BN99" s="136" t="str">
        <f t="shared" si="64"/>
        <v>Aulas Teóricas</v>
      </c>
      <c r="BO99" s="136" t="str">
        <f t="shared" si="64"/>
        <v>AL</v>
      </c>
      <c r="BP99" s="136">
        <f>(COUNTIFS(AX66:AX113,BM99,AY66:AY113,BO99)+COUNTIFS(AZ66:AZ113,BM99,BA66:BA113,BO99)+COUNTIFS(BB66:BB113,BM99,BC66:BC113,BO99)+COUNTIFS(BD66:BD113,BM99,BE66:BE113,BO99)+COUNTIFS(BF66:BF113,BM99,BG66:BG113,BO99)+COUNTIFS(BH66:BH113,BM99,BI66:BI113,BO99)+COUNTIFS(BJ66:BJ113,BM99,BK66:BK113,BO99))*0.5</f>
        <v>3</v>
      </c>
      <c r="BQ99" s="136" t="str">
        <f t="shared" si="65"/>
        <v>Aulas Teóricas</v>
      </c>
      <c r="BR99" s="136" t="str">
        <f t="shared" si="65"/>
        <v>AL</v>
      </c>
      <c r="BS99" s="136" t="str">
        <f t="shared" si="66"/>
        <v>Aulas Teóricas</v>
      </c>
      <c r="BT99" s="136">
        <f t="shared" si="72"/>
        <v>24</v>
      </c>
      <c r="BU99" s="136">
        <f t="shared" si="73"/>
        <v>24</v>
      </c>
      <c r="BZ99" s="280" t="s">
        <v>122</v>
      </c>
      <c r="CA99" s="183" t="str">
        <f>'INFO BASE'!L162</f>
        <v>-</v>
      </c>
      <c r="CB99" s="183" t="str">
        <f>'INFO BASE'!M162</f>
        <v/>
      </c>
      <c r="CR99" s="177" t="str">
        <f t="shared" si="53"/>
        <v>PV</v>
      </c>
      <c r="CS99" s="177">
        <f t="shared" si="54"/>
        <v>0</v>
      </c>
      <c r="CT99" s="177" t="str">
        <f t="shared" si="53"/>
        <v>PV</v>
      </c>
      <c r="CU99" s="177">
        <f t="shared" si="55"/>
        <v>0</v>
      </c>
      <c r="CV99" s="177" t="str">
        <f t="shared" si="53"/>
        <v>PV</v>
      </c>
      <c r="CW99" s="177">
        <f t="shared" si="56"/>
        <v>0</v>
      </c>
      <c r="CX99" s="177" t="str">
        <f t="shared" si="53"/>
        <v>PV</v>
      </c>
      <c r="CY99" s="177">
        <f t="shared" si="57"/>
        <v>0</v>
      </c>
      <c r="CZ99" s="177" t="str">
        <f t="shared" si="53"/>
        <v>PV</v>
      </c>
      <c r="DA99" s="177">
        <f t="shared" si="58"/>
        <v>0</v>
      </c>
      <c r="DB99" s="177" t="str">
        <f t="shared" si="53"/>
        <v>PV</v>
      </c>
      <c r="DC99" s="177">
        <f t="shared" si="59"/>
        <v>0</v>
      </c>
      <c r="DD99" s="177" t="str">
        <f t="shared" si="60"/>
        <v>PV</v>
      </c>
      <c r="DE99" s="177">
        <f t="shared" si="61"/>
        <v>0</v>
      </c>
    </row>
    <row r="100" spans="1:109" ht="18" customHeight="1" x14ac:dyDescent="0.3">
      <c r="A100" s="81">
        <v>0.70833333333335602</v>
      </c>
      <c r="B100" s="166" t="s">
        <v>11</v>
      </c>
      <c r="C100" s="130" t="s">
        <v>120</v>
      </c>
      <c r="D100" s="169" t="s">
        <v>11</v>
      </c>
      <c r="E100" s="130" t="s">
        <v>120</v>
      </c>
      <c r="F100" s="169" t="s">
        <v>11</v>
      </c>
      <c r="G100" s="130" t="s">
        <v>120</v>
      </c>
      <c r="H100" s="169" t="s">
        <v>11</v>
      </c>
      <c r="I100" s="130" t="s">
        <v>120</v>
      </c>
      <c r="J100" s="169" t="s">
        <v>11</v>
      </c>
      <c r="K100" s="130" t="s">
        <v>120</v>
      </c>
      <c r="L100" s="169" t="s">
        <v>116</v>
      </c>
      <c r="M100" s="130"/>
      <c r="N100" s="169" t="s">
        <v>8</v>
      </c>
      <c r="O100" s="154" t="s">
        <v>231</v>
      </c>
      <c r="P100" s="6">
        <v>0</v>
      </c>
      <c r="Q100" s="122" t="str">
        <f t="shared" si="79"/>
        <v>Aulas Teóricas</v>
      </c>
      <c r="R100" s="105" t="str">
        <f t="shared" si="71"/>
        <v>IEI</v>
      </c>
      <c r="S100" s="88">
        <f t="shared" si="68"/>
        <v>0</v>
      </c>
      <c r="T100" s="106">
        <f>IF(VLOOKUP(Q100,'INFO BASE'!$B$40:$I$54,IF(R100='INFO BASE'!$B$32,3,IF(R100='INFO BASE'!$B$33,4,IF(R100='INFO BASE'!$B$34,5,IF(R100='INFO BASE'!$B$35,6,IF(R100='INFO BASE'!$B$36,7,IF(R100='INFO BASE'!$B$37,8,2)))))),0)=0,"",VLOOKUP(Q100,'INFO BASE'!$B$40:$I$54,IF(R100='INFO BASE'!$B$32,3,IF(R100='INFO BASE'!$B$33,4,IF(R100='INFO BASE'!$B$34,5,IF(R100='INFO BASE'!$B$35,6,IF(R100='INFO BASE'!$B$36,7,IF(R100='INFO BASE'!$B$37,8,2)))))),0))</f>
        <v>3</v>
      </c>
      <c r="U100" s="106">
        <f>(COUNTIFS(C66:C113,R100,B66:B113,R98)+COUNTIFS(E66:E113,R100,D66:D113,R98)+COUNTIFS(G66:G113,R100,F66:F113,R98)+COUNTIFS(I66:I113,R100,H66:H113,R98)+COUNTIFS(K66:K113,R100,J66:J113,R98)+COUNTIFS(M66:M113,R100,L66:L113,R98)+COUNTIFS(O66:O113,R100,N66:N113,R98))*0.5</f>
        <v>3</v>
      </c>
      <c r="V100" s="89">
        <f>(COUNTIFS(AI66:AI113,R98,AJ66:AJ113,R93)+COUNTIFS(AK66:AK113,R98,AL66:AL113,R93)+COUNTIFS(AM66:AM113,R98,AN66:AN113,R93)+COUNTIFS(AO66:AO113,R98,AP66:AP113,R93)+COUNTIFS(AQ66:AQ113,R98,AR66:AR113,R93)+COUNTIFS(AS66:AS113,R98,AT66:AT113,R93)+COUNTIFS(AU66:AU113,R98,AV66:AV113,R93))*0.5</f>
        <v>3</v>
      </c>
      <c r="W100" s="90">
        <f>IF(AH62="","-",IF(V100=0,U100,IFERROR((U100/V100)-1,"-")))</f>
        <v>0</v>
      </c>
      <c r="X100" s="201">
        <f t="shared" si="69"/>
        <v>0</v>
      </c>
      <c r="Y100" s="271"/>
      <c r="Z100" s="272"/>
      <c r="AA100" s="272"/>
      <c r="AB100" s="272"/>
      <c r="AC100" s="272"/>
      <c r="AD100" s="272"/>
      <c r="AE100" s="272"/>
      <c r="AF100" s="273"/>
      <c r="AH100" s="136">
        <v>0.70833333333335602</v>
      </c>
      <c r="AI100" s="136" t="s">
        <v>11</v>
      </c>
      <c r="AJ100" s="136" t="s">
        <v>120</v>
      </c>
      <c r="AK100" s="136" t="s">
        <v>11</v>
      </c>
      <c r="AL100" s="136" t="s">
        <v>120</v>
      </c>
      <c r="AM100" s="136" t="s">
        <v>11</v>
      </c>
      <c r="AN100" s="136" t="s">
        <v>120</v>
      </c>
      <c r="AO100" s="136" t="s">
        <v>11</v>
      </c>
      <c r="AP100" s="136" t="s">
        <v>120</v>
      </c>
      <c r="AQ100" s="136" t="s">
        <v>11</v>
      </c>
      <c r="AR100" s="136" t="s">
        <v>120</v>
      </c>
      <c r="AS100" s="136" t="s">
        <v>116</v>
      </c>
      <c r="AT100" s="136" t="s">
        <v>235</v>
      </c>
      <c r="AU100" s="136" t="s">
        <v>8</v>
      </c>
      <c r="AV100" s="136" t="s">
        <v>226</v>
      </c>
      <c r="AX100" s="136" t="str">
        <f>IF(AI62="","",IF(B100="","",B100))</f>
        <v>HD</v>
      </c>
      <c r="AY100" s="136" t="str">
        <f>IF(AI62="","",IF(C100="","",C100))</f>
        <v>-</v>
      </c>
      <c r="AZ100" s="136" t="str">
        <f>IF(AI62="","",IF(D100="","",D100))</f>
        <v>HD</v>
      </c>
      <c r="BA100" s="136" t="str">
        <f>IF(AI62="","",IF(E100="","",E100))</f>
        <v>-</v>
      </c>
      <c r="BB100" s="136" t="str">
        <f>IF(AI62="","",IF(F100="","",F100))</f>
        <v>HD</v>
      </c>
      <c r="BC100" s="136" t="str">
        <f>IF(AI62="","",IF(G100="","",G100))</f>
        <v>-</v>
      </c>
      <c r="BD100" s="136" t="str">
        <f>IF(AI62="","",IF(H100="","",H100))</f>
        <v>HD</v>
      </c>
      <c r="BE100" s="136" t="str">
        <f>IF(AI62="","",IF(I100="","",I100))</f>
        <v>-</v>
      </c>
      <c r="BF100" s="136" t="str">
        <f>IF(AI62="","",IF(J100="","",J100))</f>
        <v>HD</v>
      </c>
      <c r="BG100" s="136" t="str">
        <f>IF(AI62="","",IF(K100="","",K100))</f>
        <v>-</v>
      </c>
      <c r="BH100" s="136" t="str">
        <f>IF(AI62="","",IF(L100="","",L100))</f>
        <v>PV</v>
      </c>
      <c r="BI100" s="136" t="str">
        <f>IF(AI62="","",IF(M100="","",M100))</f>
        <v/>
      </c>
      <c r="BJ100" s="136" t="str">
        <f>IF(AI62="","",IF(N100="","",N100))</f>
        <v>EA</v>
      </c>
      <c r="BK100" s="136" t="str">
        <f>IF(AI62="","",IF(O100="","",O100))</f>
        <v>CDI</v>
      </c>
      <c r="BM100" s="136" t="str">
        <f t="shared" si="78"/>
        <v>AT</v>
      </c>
      <c r="BN100" s="136" t="str">
        <f t="shared" si="64"/>
        <v>Aulas Teóricas</v>
      </c>
      <c r="BO100" s="136" t="str">
        <f t="shared" si="64"/>
        <v>CDI</v>
      </c>
      <c r="BP100" s="136">
        <f>(COUNTIFS(AX66:AX113,BM100,AY66:AY113,BO100)+COUNTIFS(AZ66:AZ113,BM100,BA66:BA113,BO100)+COUNTIFS(BB66:BB113,BM100,BC66:BC113,BO100)+COUNTIFS(BD66:BD113,BM100,BE66:BE113,BO100)+COUNTIFS(BF66:BF113,BM100,BG66:BG113,BO100)+COUNTIFS(BH66:BH113,BM100,BI66:BI113,BO100)+COUNTIFS(BJ66:BJ113,BM100,BK66:BK113,BO100))*0.5</f>
        <v>3</v>
      </c>
      <c r="BQ100" s="136" t="str">
        <f t="shared" si="65"/>
        <v>Aulas Teóricas</v>
      </c>
      <c r="BR100" s="136" t="str">
        <f t="shared" si="65"/>
        <v>CDI</v>
      </c>
      <c r="BS100" s="136" t="str">
        <f t="shared" si="66"/>
        <v>Aulas Teóricas</v>
      </c>
      <c r="BT100" s="136">
        <f t="shared" si="72"/>
        <v>24</v>
      </c>
      <c r="BU100" s="136">
        <f t="shared" si="73"/>
        <v>24</v>
      </c>
      <c r="BZ100" s="280"/>
      <c r="CA100" s="183" t="str">
        <f>'INFO BASE'!L163</f>
        <v>-</v>
      </c>
      <c r="CB100" s="183" t="str">
        <f>'INFO BASE'!M163</f>
        <v/>
      </c>
      <c r="CR100" s="177" t="str">
        <f t="shared" si="53"/>
        <v>HD</v>
      </c>
      <c r="CS100" s="177" t="str">
        <f t="shared" si="54"/>
        <v>HD-</v>
      </c>
      <c r="CT100" s="177" t="str">
        <f t="shared" si="53"/>
        <v>HD</v>
      </c>
      <c r="CU100" s="177" t="str">
        <f t="shared" si="55"/>
        <v>HD-</v>
      </c>
      <c r="CV100" s="177" t="str">
        <f t="shared" si="53"/>
        <v>HD</v>
      </c>
      <c r="CW100" s="177" t="str">
        <f t="shared" si="56"/>
        <v>HD-</v>
      </c>
      <c r="CX100" s="177" t="str">
        <f t="shared" si="53"/>
        <v>HD</v>
      </c>
      <c r="CY100" s="177" t="str">
        <f t="shared" si="57"/>
        <v>HD-</v>
      </c>
      <c r="CZ100" s="177" t="str">
        <f t="shared" si="53"/>
        <v>HD</v>
      </c>
      <c r="DA100" s="177" t="str">
        <f t="shared" si="58"/>
        <v>HD-</v>
      </c>
      <c r="DB100" s="177" t="str">
        <f t="shared" si="53"/>
        <v>PV</v>
      </c>
      <c r="DC100" s="177">
        <f t="shared" si="59"/>
        <v>0</v>
      </c>
      <c r="DD100" s="177" t="str">
        <f t="shared" si="60"/>
        <v>EA</v>
      </c>
      <c r="DE100" s="177" t="str">
        <f t="shared" si="61"/>
        <v>EACDI</v>
      </c>
    </row>
    <row r="101" spans="1:109" ht="18" customHeight="1" x14ac:dyDescent="0.3">
      <c r="A101" s="81">
        <v>0.72916666666669006</v>
      </c>
      <c r="B101" s="166" t="s">
        <v>11</v>
      </c>
      <c r="C101" s="130" t="s">
        <v>120</v>
      </c>
      <c r="D101" s="169" t="s">
        <v>11</v>
      </c>
      <c r="E101" s="130" t="s">
        <v>120</v>
      </c>
      <c r="F101" s="169" t="s">
        <v>11</v>
      </c>
      <c r="G101" s="130" t="s">
        <v>120</v>
      </c>
      <c r="H101" s="169" t="s">
        <v>11</v>
      </c>
      <c r="I101" s="130" t="s">
        <v>120</v>
      </c>
      <c r="J101" s="169" t="s">
        <v>11</v>
      </c>
      <c r="K101" s="130" t="s">
        <v>120</v>
      </c>
      <c r="L101" s="169" t="s">
        <v>116</v>
      </c>
      <c r="M101" s="130"/>
      <c r="N101" s="169" t="s">
        <v>8</v>
      </c>
      <c r="O101" s="154" t="s">
        <v>231</v>
      </c>
      <c r="P101" s="6">
        <v>0</v>
      </c>
      <c r="Q101" s="123" t="str">
        <f t="shared" si="79"/>
        <v>Aulas Teóricas</v>
      </c>
      <c r="R101" s="105" t="str">
        <f t="shared" si="71"/>
        <v>IAC</v>
      </c>
      <c r="S101" s="88">
        <f t="shared" si="68"/>
        <v>0</v>
      </c>
      <c r="T101" s="106">
        <f>IF(VLOOKUP(Q101,'INFO BASE'!$B$40:$I$54,IF(R101='INFO BASE'!$B$32,3,IF(R101='INFO BASE'!$B$33,4,IF(R101='INFO BASE'!$B$34,5,IF(R101='INFO BASE'!$B$35,6,IF(R101='INFO BASE'!$B$36,7,IF(R101='INFO BASE'!$B$37,8,2)))))),0)=0,"",VLOOKUP(Q101,'INFO BASE'!$B$40:$I$54,IF(R101='INFO BASE'!$B$32,3,IF(R101='INFO BASE'!$B$33,4,IF(R101='INFO BASE'!$B$34,5,IF(R101='INFO BASE'!$B$35,6,IF(R101='INFO BASE'!$B$36,7,IF(R101='INFO BASE'!$B$37,8,2)))))),0))</f>
        <v>3</v>
      </c>
      <c r="U101" s="106">
        <f>(COUNTIFS(C66:C113,R101,B66:B113,R98)+COUNTIFS(E66:E113,R101,D66:D113,R98)+COUNTIFS(G66:G113,R101,F66:F113,R98)+COUNTIFS(I66:I113,R101,H66:H113,R98)+COUNTIFS(K66:K113,R101,J66:J113,R98)+COUNTIFS(M66:M113,R101,L66:L113,R98)+COUNTIFS(O66:O113,R101,N66:N113,R98))*0.5</f>
        <v>3</v>
      </c>
      <c r="V101" s="89">
        <f>(COUNTIFS(AI66:AI113,R98,AJ66:AJ113,R94)+COUNTIFS(AK66:AK113,R98,AL66:AL113,R94)+COUNTIFS(AM66:AM113,R98,AN66:AN113,R94)+COUNTIFS(AO66:AO113,R98,AP66:AP113,R94)+COUNTIFS(AQ66:AQ113,R98,AR66:AR113,R94)+COUNTIFS(AS66:AS113,R98,AT66:AT113,R94)+COUNTIFS(AU66:AU113,R98,AV66:AV113,R94))*0.5</f>
        <v>3</v>
      </c>
      <c r="W101" s="90">
        <f>IF(AH62="","-",IF(V101=0,U101,IFERROR((U101/V101)-1,"-")))</f>
        <v>0</v>
      </c>
      <c r="X101" s="201">
        <f t="shared" si="69"/>
        <v>0</v>
      </c>
      <c r="Y101" s="271"/>
      <c r="Z101" s="272"/>
      <c r="AA101" s="272"/>
      <c r="AB101" s="272"/>
      <c r="AC101" s="272"/>
      <c r="AD101" s="272"/>
      <c r="AE101" s="272"/>
      <c r="AF101" s="273"/>
      <c r="AH101" s="136">
        <v>0.72916666666669006</v>
      </c>
      <c r="AI101" s="136" t="s">
        <v>11</v>
      </c>
      <c r="AJ101" s="136" t="s">
        <v>120</v>
      </c>
      <c r="AK101" s="136" t="s">
        <v>11</v>
      </c>
      <c r="AL101" s="136" t="s">
        <v>120</v>
      </c>
      <c r="AM101" s="136" t="s">
        <v>11</v>
      </c>
      <c r="AN101" s="136" t="s">
        <v>120</v>
      </c>
      <c r="AO101" s="136" t="s">
        <v>11</v>
      </c>
      <c r="AP101" s="136" t="s">
        <v>120</v>
      </c>
      <c r="AQ101" s="136" t="s">
        <v>11</v>
      </c>
      <c r="AR101" s="136" t="s">
        <v>120</v>
      </c>
      <c r="AS101" s="136" t="s">
        <v>116</v>
      </c>
      <c r="AT101" s="136" t="s">
        <v>235</v>
      </c>
      <c r="AU101" s="136" t="s">
        <v>8</v>
      </c>
      <c r="AV101" s="136" t="s">
        <v>226</v>
      </c>
      <c r="AX101" s="136" t="str">
        <f>IF(AI62="","",IF(B101="","",B101))</f>
        <v>HD</v>
      </c>
      <c r="AY101" s="136" t="str">
        <f>IF(AI62="","",IF(C101="","",C101))</f>
        <v>-</v>
      </c>
      <c r="AZ101" s="136" t="str">
        <f>IF(AI62="","",IF(D101="","",D101))</f>
        <v>HD</v>
      </c>
      <c r="BA101" s="136" t="str">
        <f>IF(AI62="","",IF(E101="","",E101))</f>
        <v>-</v>
      </c>
      <c r="BB101" s="136" t="str">
        <f>IF(AI62="","",IF(F101="","",F101))</f>
        <v>HD</v>
      </c>
      <c r="BC101" s="136" t="str">
        <f>IF(AI62="","",IF(G101="","",G101))</f>
        <v>-</v>
      </c>
      <c r="BD101" s="136" t="str">
        <f>IF(AI62="","",IF(H101="","",H101))</f>
        <v>HD</v>
      </c>
      <c r="BE101" s="136" t="str">
        <f>IF(AI62="","",IF(I101="","",I101))</f>
        <v>-</v>
      </c>
      <c r="BF101" s="136" t="str">
        <f>IF(AI62="","",IF(J101="","",J101))</f>
        <v>HD</v>
      </c>
      <c r="BG101" s="136" t="str">
        <f>IF(AI62="","",IF(K101="","",K101))</f>
        <v>-</v>
      </c>
      <c r="BH101" s="136" t="str">
        <f>IF(AI62="","",IF(L101="","",L101))</f>
        <v>PV</v>
      </c>
      <c r="BI101" s="136" t="str">
        <f>IF(AI62="","",IF(M101="","",M101))</f>
        <v/>
      </c>
      <c r="BJ101" s="136" t="str">
        <f>IF(AI62="","",IF(N101="","",N101))</f>
        <v>EA</v>
      </c>
      <c r="BK101" s="136" t="str">
        <f>IF(AI62="","",IF(O101="","",O101))</f>
        <v>CDI</v>
      </c>
      <c r="BM101" s="136" t="str">
        <f t="shared" si="78"/>
        <v>AT</v>
      </c>
      <c r="BN101" s="136" t="str">
        <f t="shared" si="64"/>
        <v>Aulas Teóricas</v>
      </c>
      <c r="BO101" s="136" t="str">
        <f t="shared" si="64"/>
        <v/>
      </c>
      <c r="BP101" s="136">
        <f>(COUNTIFS(AX66:AX113,BM101,AY66:AY113,BO101)+COUNTIFS(AZ66:AZ113,BM101,BA66:BA113,BO101)+COUNTIFS(BB66:BB113,BM101,BC66:BC113,BO101)+COUNTIFS(BD66:BD113,BM101,BE66:BE113,BO101)+COUNTIFS(BF66:BF113,BM101,BG66:BG113,BO101)+COUNTIFS(BH66:BH113,BM101,BI66:BI113,BO101)+COUNTIFS(BJ66:BJ113,BM101,BK66:BK113,BO101))*0.5</f>
        <v>0</v>
      </c>
      <c r="BQ101" s="136" t="str">
        <f t="shared" si="65"/>
        <v>Aulas Teóricas</v>
      </c>
      <c r="BR101" s="136" t="str">
        <f t="shared" si="65"/>
        <v/>
      </c>
      <c r="BS101" s="136" t="str">
        <f t="shared" si="66"/>
        <v>Aulas Teóricas</v>
      </c>
      <c r="BT101" s="136">
        <f t="shared" si="72"/>
        <v>0</v>
      </c>
      <c r="BU101" s="136">
        <f t="shared" si="73"/>
        <v>0</v>
      </c>
      <c r="BZ101" s="280"/>
      <c r="CA101" s="183" t="str">
        <f>'INFO BASE'!L164</f>
        <v>-</v>
      </c>
      <c r="CB101" s="183" t="str">
        <f>'INFO BASE'!M164</f>
        <v/>
      </c>
      <c r="CR101" s="177" t="str">
        <f t="shared" si="53"/>
        <v>HD</v>
      </c>
      <c r="CS101" s="177" t="str">
        <f t="shared" si="54"/>
        <v>HD-</v>
      </c>
      <c r="CT101" s="177" t="str">
        <f t="shared" si="53"/>
        <v>HD</v>
      </c>
      <c r="CU101" s="177" t="str">
        <f t="shared" si="55"/>
        <v>HD-</v>
      </c>
      <c r="CV101" s="177" t="str">
        <f t="shared" si="53"/>
        <v>HD</v>
      </c>
      <c r="CW101" s="177" t="str">
        <f t="shared" si="56"/>
        <v>HD-</v>
      </c>
      <c r="CX101" s="177" t="str">
        <f t="shared" si="53"/>
        <v>HD</v>
      </c>
      <c r="CY101" s="177" t="str">
        <f t="shared" si="57"/>
        <v>HD-</v>
      </c>
      <c r="CZ101" s="177" t="str">
        <f t="shared" si="53"/>
        <v>HD</v>
      </c>
      <c r="DA101" s="177" t="str">
        <f t="shared" si="58"/>
        <v>HD-</v>
      </c>
      <c r="DB101" s="177" t="str">
        <f t="shared" si="53"/>
        <v>PV</v>
      </c>
      <c r="DC101" s="177">
        <f t="shared" si="59"/>
        <v>0</v>
      </c>
      <c r="DD101" s="177" t="str">
        <f t="shared" si="60"/>
        <v>EA</v>
      </c>
      <c r="DE101" s="177" t="str">
        <f t="shared" si="61"/>
        <v>EACDI</v>
      </c>
    </row>
    <row r="102" spans="1:109" ht="18" customHeight="1" x14ac:dyDescent="0.3">
      <c r="A102" s="81">
        <v>0.75000000000002398</v>
      </c>
      <c r="B102" s="166" t="s">
        <v>11</v>
      </c>
      <c r="C102" s="130" t="s">
        <v>120</v>
      </c>
      <c r="D102" s="169" t="s">
        <v>11</v>
      </c>
      <c r="E102" s="130" t="s">
        <v>120</v>
      </c>
      <c r="F102" s="169" t="s">
        <v>11</v>
      </c>
      <c r="G102" s="130" t="s">
        <v>120</v>
      </c>
      <c r="H102" s="169" t="s">
        <v>11</v>
      </c>
      <c r="I102" s="130" t="s">
        <v>120</v>
      </c>
      <c r="J102" s="169" t="s">
        <v>11</v>
      </c>
      <c r="K102" s="130" t="s">
        <v>120</v>
      </c>
      <c r="L102" s="169" t="s">
        <v>116</v>
      </c>
      <c r="M102" s="130"/>
      <c r="N102" s="169" t="s">
        <v>8</v>
      </c>
      <c r="O102" s="154" t="s">
        <v>231</v>
      </c>
      <c r="P102" s="6">
        <v>0</v>
      </c>
      <c r="Q102" s="122" t="str">
        <f t="shared" si="79"/>
        <v>Aulas Teóricas</v>
      </c>
      <c r="R102" s="105" t="str">
        <f t="shared" si="71"/>
        <v>AL</v>
      </c>
      <c r="S102" s="88">
        <f t="shared" si="68"/>
        <v>0</v>
      </c>
      <c r="T102" s="106">
        <f>IF(VLOOKUP(Q102,'INFO BASE'!$B$40:$I$54,IF(R102='INFO BASE'!$B$32,3,IF(R102='INFO BASE'!$B$33,4,IF(R102='INFO BASE'!$B$34,5,IF(R102='INFO BASE'!$B$35,6,IF(R102='INFO BASE'!$B$36,7,IF(R102='INFO BASE'!$B$37,8,2)))))),0)=0,"",VLOOKUP(Q102,'INFO BASE'!$B$40:$I$54,IF(R102='INFO BASE'!$B$32,3,IF(R102='INFO BASE'!$B$33,4,IF(R102='INFO BASE'!$B$34,5,IF(R102='INFO BASE'!$B$35,6,IF(R102='INFO BASE'!$B$36,7,IF(R102='INFO BASE'!$B$37,8,2)))))),0))</f>
        <v>3</v>
      </c>
      <c r="U102" s="106">
        <f>(COUNTIFS(C66:C113,R102,B66:B113,R98)+COUNTIFS(E66:E113,R102,D66:D113,R98)+COUNTIFS(G66:G113,R102,F66:F113,R98)+COUNTIFS(I66:I113,R102,H66:H113,R98)+COUNTIFS(K66:K113,R102,J66:J113,R98)+COUNTIFS(M66:M113,R102,L66:L113,R98)+COUNTIFS(O66:O113,R102,N66:N113,R98))*0.5</f>
        <v>3</v>
      </c>
      <c r="V102" s="89">
        <f>(COUNTIFS(AI66:AI113,R98,AJ66:AJ113,R95)+COUNTIFS(AK66:AK113,R98,AL66:AL113,R95)+COUNTIFS(AM66:AM113,R98,AN66:AN113,R95)+COUNTIFS(AO66:AO113,R98,AP66:AP113,R95)+COUNTIFS(AQ66:AQ113,R98,AR66:AR113,R95)+COUNTIFS(AS66:AS113,R98,AT66:AT113,R95)+COUNTIFS(AU66:AU113,R98,AV66:AV113,R95))*0.5</f>
        <v>3</v>
      </c>
      <c r="W102" s="90">
        <f>IF(AH62="","-",IF(V102=0,U102,IFERROR((U102/V102)-1,"-")))</f>
        <v>0</v>
      </c>
      <c r="X102" s="201">
        <f t="shared" si="69"/>
        <v>0</v>
      </c>
      <c r="Y102" s="271"/>
      <c r="Z102" s="272"/>
      <c r="AA102" s="272"/>
      <c r="AB102" s="272"/>
      <c r="AC102" s="272"/>
      <c r="AD102" s="272"/>
      <c r="AE102" s="272"/>
      <c r="AF102" s="273"/>
      <c r="AH102" s="136">
        <v>0.75000000000002398</v>
      </c>
      <c r="AI102" s="136" t="s">
        <v>11</v>
      </c>
      <c r="AJ102" s="136" t="s">
        <v>120</v>
      </c>
      <c r="AK102" s="136" t="s">
        <v>11</v>
      </c>
      <c r="AL102" s="136" t="s">
        <v>120</v>
      </c>
      <c r="AM102" s="136" t="s">
        <v>11</v>
      </c>
      <c r="AN102" s="136" t="s">
        <v>120</v>
      </c>
      <c r="AO102" s="136" t="s">
        <v>11</v>
      </c>
      <c r="AP102" s="136" t="s">
        <v>120</v>
      </c>
      <c r="AQ102" s="136" t="s">
        <v>11</v>
      </c>
      <c r="AR102" s="136" t="s">
        <v>120</v>
      </c>
      <c r="AS102" s="136" t="s">
        <v>116</v>
      </c>
      <c r="AT102" s="136" t="s">
        <v>235</v>
      </c>
      <c r="AU102" s="136" t="s">
        <v>8</v>
      </c>
      <c r="AV102" s="136" t="s">
        <v>226</v>
      </c>
      <c r="AX102" s="136" t="str">
        <f>IF(AI62="","",IF(B102="","",B102))</f>
        <v>HD</v>
      </c>
      <c r="AY102" s="136" t="str">
        <f>IF(AI62="","",IF(C102="","",C102))</f>
        <v>-</v>
      </c>
      <c r="AZ102" s="136" t="str">
        <f>IF(AI62="","",IF(D102="","",D102))</f>
        <v>HD</v>
      </c>
      <c r="BA102" s="136" t="str">
        <f>IF(AI62="","",IF(E102="","",E102))</f>
        <v>-</v>
      </c>
      <c r="BB102" s="136" t="str">
        <f>IF(AI62="","",IF(F102="","",F102))</f>
        <v>HD</v>
      </c>
      <c r="BC102" s="136" t="str">
        <f>IF(AI62="","",IF(G102="","",G102))</f>
        <v>-</v>
      </c>
      <c r="BD102" s="136" t="str">
        <f>IF(AI62="","",IF(H102="","",H102))</f>
        <v>HD</v>
      </c>
      <c r="BE102" s="136" t="str">
        <f>IF(AI62="","",IF(I102="","",I102))</f>
        <v>-</v>
      </c>
      <c r="BF102" s="136" t="str">
        <f>IF(AI62="","",IF(J102="","",J102))</f>
        <v>HD</v>
      </c>
      <c r="BG102" s="136" t="str">
        <f>IF(AI62="","",IF(K102="","",K102))</f>
        <v>-</v>
      </c>
      <c r="BH102" s="136" t="str">
        <f>IF(AI62="","",IF(L102="","",L102))</f>
        <v>PV</v>
      </c>
      <c r="BI102" s="136" t="str">
        <f>IF(AI62="","",IF(M102="","",M102))</f>
        <v/>
      </c>
      <c r="BJ102" s="136" t="str">
        <f>IF(AI62="","",IF(N102="","",N102))</f>
        <v>EA</v>
      </c>
      <c r="BK102" s="136" t="str">
        <f>IF(AI62="","",IF(O102="","",O102))</f>
        <v>CDI</v>
      </c>
      <c r="BN102" s="136" t="str">
        <f t="shared" si="64"/>
        <v>Aulas Práticas</v>
      </c>
      <c r="BO102" s="136" t="str">
        <f t="shared" si="64"/>
        <v>APA</v>
      </c>
      <c r="BP102" s="136">
        <f>IF(BO102="","",COUNTIFS(AX66:BK113,BO102)*0.5)</f>
        <v>0</v>
      </c>
      <c r="BQ102" s="136" t="str">
        <f t="shared" si="65"/>
        <v>Aulas Práticas</v>
      </c>
      <c r="BR102" s="136" t="str">
        <f t="shared" si="65"/>
        <v>APA</v>
      </c>
      <c r="BS102" s="136" t="str">
        <f t="shared" si="66"/>
        <v>Aulas Práticas</v>
      </c>
      <c r="BT102" s="136">
        <f t="shared" si="72"/>
        <v>0</v>
      </c>
      <c r="BU102" s="136">
        <f t="shared" si="73"/>
        <v>0</v>
      </c>
      <c r="BZ102" s="280"/>
      <c r="CA102" s="183" t="str">
        <f>'INFO BASE'!L165</f>
        <v>-</v>
      </c>
      <c r="CB102" s="183" t="str">
        <f>'INFO BASE'!M165</f>
        <v/>
      </c>
      <c r="CR102" s="177" t="str">
        <f t="shared" si="53"/>
        <v>HD</v>
      </c>
      <c r="CS102" s="177" t="str">
        <f t="shared" si="54"/>
        <v>HD-</v>
      </c>
      <c r="CT102" s="177" t="str">
        <f t="shared" si="53"/>
        <v>HD</v>
      </c>
      <c r="CU102" s="177" t="str">
        <f t="shared" si="55"/>
        <v>HD-</v>
      </c>
      <c r="CV102" s="177" t="str">
        <f t="shared" si="53"/>
        <v>HD</v>
      </c>
      <c r="CW102" s="177" t="str">
        <f t="shared" si="56"/>
        <v>HD-</v>
      </c>
      <c r="CX102" s="177" t="str">
        <f t="shared" si="53"/>
        <v>HD</v>
      </c>
      <c r="CY102" s="177" t="str">
        <f t="shared" si="57"/>
        <v>HD-</v>
      </c>
      <c r="CZ102" s="177" t="str">
        <f t="shared" si="53"/>
        <v>HD</v>
      </c>
      <c r="DA102" s="177" t="str">
        <f t="shared" si="58"/>
        <v>HD-</v>
      </c>
      <c r="DB102" s="177" t="str">
        <f t="shared" si="53"/>
        <v>PV</v>
      </c>
      <c r="DC102" s="177">
        <f t="shared" si="59"/>
        <v>0</v>
      </c>
      <c r="DD102" s="177" t="str">
        <f t="shared" si="60"/>
        <v>EA</v>
      </c>
      <c r="DE102" s="177" t="str">
        <f t="shared" si="61"/>
        <v>EACDI</v>
      </c>
    </row>
    <row r="103" spans="1:109" ht="18" customHeight="1" x14ac:dyDescent="0.3">
      <c r="A103" s="81">
        <v>0.77083333333335802</v>
      </c>
      <c r="B103" s="166" t="s">
        <v>116</v>
      </c>
      <c r="C103" s="130"/>
      <c r="D103" s="169" t="s">
        <v>116</v>
      </c>
      <c r="E103" s="130"/>
      <c r="F103" s="169" t="s">
        <v>116</v>
      </c>
      <c r="G103" s="130"/>
      <c r="H103" s="169" t="s">
        <v>116</v>
      </c>
      <c r="I103" s="130"/>
      <c r="J103" s="169" t="s">
        <v>116</v>
      </c>
      <c r="K103" s="130"/>
      <c r="L103" s="169" t="s">
        <v>116</v>
      </c>
      <c r="M103" s="130"/>
      <c r="N103" s="169" t="s">
        <v>116</v>
      </c>
      <c r="O103" s="154"/>
      <c r="P103" s="6">
        <v>0</v>
      </c>
      <c r="Q103" s="122" t="str">
        <f t="shared" si="79"/>
        <v>Aulas Teóricas</v>
      </c>
      <c r="R103" s="105" t="str">
        <f t="shared" si="71"/>
        <v>CDI</v>
      </c>
      <c r="S103" s="88">
        <f t="shared" si="68"/>
        <v>0</v>
      </c>
      <c r="T103" s="106">
        <f>IF(VLOOKUP(Q103,'INFO BASE'!$B$40:$I$54,IF(R103='INFO BASE'!$B$32,3,IF(R103='INFO BASE'!$B$33,4,IF(R103='INFO BASE'!$B$34,5,IF(R103='INFO BASE'!$B$35,6,IF(R103='INFO BASE'!$B$36,7,IF(R103='INFO BASE'!$B$37,8,2)))))),0)=0,"",VLOOKUP(Q103,'INFO BASE'!$B$40:$I$54,IF(R103='INFO BASE'!$B$32,3,IF(R103='INFO BASE'!$B$33,4,IF(R103='INFO BASE'!$B$34,5,IF(R103='INFO BASE'!$B$35,6,IF(R103='INFO BASE'!$B$36,7,IF(R103='INFO BASE'!$B$37,8,2)))))),0))</f>
        <v>3</v>
      </c>
      <c r="U103" s="106">
        <f>(COUNTIFS(C66:C113,R103,B66:B113,R98)+COUNTIFS(E66:E113,R103,D66:D113,R98)+COUNTIFS(G66:G113,R103,F66:F113,R98)+COUNTIFS(I66:I113,R103,H66:H113,R98)+COUNTIFS(K66:K113,R103,J66:J113,R98)+COUNTIFS(M66:M113,R103,L66:L113,R98)+COUNTIFS(O66:O113,R103,N66:N113,R98))*0.5</f>
        <v>3</v>
      </c>
      <c r="V103" s="89">
        <f>(COUNTIFS(AI66:AI113,R98,AJ66:AJ113,R96)+COUNTIFS(AK66:AK113,R98,AL66:AL113,R96)+COUNTIFS(AM66:AM113,R98,AN66:AN113,R96)+COUNTIFS(AO66:AO113,R98,AP66:AP113,R96)+COUNTIFS(AQ66:AQ113,R98,AR66:AR113,R96)+COUNTIFS(AS66:AS113,R98,AT66:AT113,R96)+COUNTIFS(AU66:AU113,R98,AV66:AV113,R96))*0.5</f>
        <v>3</v>
      </c>
      <c r="W103" s="90">
        <f>IF(AH62="","-",IF(V103=0,U103,IFERROR((U103/V103)-1,"-")))</f>
        <v>0</v>
      </c>
      <c r="X103" s="201">
        <f t="shared" si="69"/>
        <v>0</v>
      </c>
      <c r="Y103" s="271"/>
      <c r="Z103" s="272"/>
      <c r="AA103" s="272"/>
      <c r="AB103" s="272"/>
      <c r="AC103" s="272"/>
      <c r="AD103" s="272"/>
      <c r="AE103" s="272"/>
      <c r="AF103" s="273"/>
      <c r="AH103" s="136">
        <v>0.77083333333335802</v>
      </c>
      <c r="AI103" s="136" t="s">
        <v>116</v>
      </c>
      <c r="AJ103" s="136" t="s">
        <v>235</v>
      </c>
      <c r="AK103" s="136" t="s">
        <v>116</v>
      </c>
      <c r="AL103" s="136" t="s">
        <v>235</v>
      </c>
      <c r="AM103" s="136" t="s">
        <v>116</v>
      </c>
      <c r="AN103" s="136" t="s">
        <v>235</v>
      </c>
      <c r="AO103" s="136" t="s">
        <v>116</v>
      </c>
      <c r="AP103" s="136" t="s">
        <v>235</v>
      </c>
      <c r="AQ103" s="136" t="s">
        <v>116</v>
      </c>
      <c r="AR103" s="136" t="s">
        <v>235</v>
      </c>
      <c r="AS103" s="136" t="s">
        <v>116</v>
      </c>
      <c r="AT103" s="136" t="s">
        <v>235</v>
      </c>
      <c r="AU103" s="136" t="s">
        <v>116</v>
      </c>
      <c r="AV103" s="136" t="s">
        <v>235</v>
      </c>
      <c r="AX103" s="136" t="str">
        <f>IF(AI62="","",IF(B103="","",B103))</f>
        <v>PV</v>
      </c>
      <c r="AY103" s="136" t="str">
        <f>IF(AI62="","",IF(C103="","",C103))</f>
        <v/>
      </c>
      <c r="AZ103" s="136" t="str">
        <f>IF(AI62="","",IF(D103="","",D103))</f>
        <v>PV</v>
      </c>
      <c r="BA103" s="136" t="str">
        <f>IF(AI62="","",IF(E103="","",E103))</f>
        <v/>
      </c>
      <c r="BB103" s="136" t="str">
        <f>IF(AI62="","",IF(F103="","",F103))</f>
        <v>PV</v>
      </c>
      <c r="BC103" s="136" t="str">
        <f>IF(AI62="","",IF(G103="","",G103))</f>
        <v/>
      </c>
      <c r="BD103" s="136" t="str">
        <f>IF(AI62="","",IF(H103="","",H103))</f>
        <v>PV</v>
      </c>
      <c r="BE103" s="136" t="str">
        <f>IF(AI62="","",IF(I103="","",I103))</f>
        <v/>
      </c>
      <c r="BF103" s="136" t="str">
        <f>IF(AI62="","",IF(J103="","",J103))</f>
        <v>PV</v>
      </c>
      <c r="BG103" s="136" t="str">
        <f>IF(AI62="","",IF(K103="","",K103))</f>
        <v/>
      </c>
      <c r="BH103" s="136" t="str">
        <f>IF(AI62="","",IF(L103="","",L103))</f>
        <v>PV</v>
      </c>
      <c r="BI103" s="136" t="str">
        <f>IF(AI62="","",IF(M103="","",M103))</f>
        <v/>
      </c>
      <c r="BJ103" s="136" t="str">
        <f>IF(AI62="","",IF(N103="","",N103))</f>
        <v>PV</v>
      </c>
      <c r="BK103" s="136" t="str">
        <f>IF(AI62="","",IF(O103="","",O103))</f>
        <v/>
      </c>
      <c r="BN103" s="136" t="str">
        <f t="shared" si="64"/>
        <v>Aulas Problemas</v>
      </c>
      <c r="BO103" s="136" t="str">
        <f t="shared" si="64"/>
        <v>APB</v>
      </c>
      <c r="BP103" s="136">
        <f>IF(BO103="","",COUNTIFS(AX66:BK113,BO103)*0.5)</f>
        <v>4.5</v>
      </c>
      <c r="BQ103" s="136" t="str">
        <f t="shared" si="65"/>
        <v>Aulas Problemas</v>
      </c>
      <c r="BR103" s="136" t="str">
        <f t="shared" si="65"/>
        <v>APB</v>
      </c>
      <c r="BS103" s="136" t="str">
        <f t="shared" si="66"/>
        <v>Aulas Problemas</v>
      </c>
      <c r="BT103" s="136">
        <f t="shared" si="72"/>
        <v>36</v>
      </c>
      <c r="BU103" s="136">
        <f t="shared" si="73"/>
        <v>36</v>
      </c>
      <c r="BZ103" s="280"/>
      <c r="CA103" s="183" t="str">
        <f>'INFO BASE'!L166</f>
        <v>-</v>
      </c>
      <c r="CB103" s="183" t="str">
        <f>'INFO BASE'!M166</f>
        <v/>
      </c>
      <c r="CR103" s="177" t="str">
        <f t="shared" si="53"/>
        <v>PV</v>
      </c>
      <c r="CS103" s="177">
        <f t="shared" si="54"/>
        <v>0</v>
      </c>
      <c r="CT103" s="177" t="str">
        <f t="shared" si="53"/>
        <v>PV</v>
      </c>
      <c r="CU103" s="177">
        <f t="shared" si="55"/>
        <v>0</v>
      </c>
      <c r="CV103" s="177" t="str">
        <f t="shared" si="53"/>
        <v>PV</v>
      </c>
      <c r="CW103" s="177">
        <f t="shared" si="56"/>
        <v>0</v>
      </c>
      <c r="CX103" s="177" t="str">
        <f t="shared" si="53"/>
        <v>PV</v>
      </c>
      <c r="CY103" s="177">
        <f t="shared" si="57"/>
        <v>0</v>
      </c>
      <c r="CZ103" s="177" t="str">
        <f t="shared" si="53"/>
        <v>PV</v>
      </c>
      <c r="DA103" s="177">
        <f t="shared" si="58"/>
        <v>0</v>
      </c>
      <c r="DB103" s="177" t="str">
        <f t="shared" si="53"/>
        <v>PV</v>
      </c>
      <c r="DC103" s="177">
        <f t="shared" si="59"/>
        <v>0</v>
      </c>
      <c r="DD103" s="177" t="str">
        <f t="shared" si="60"/>
        <v>PV</v>
      </c>
      <c r="DE103" s="177">
        <f t="shared" si="61"/>
        <v>0</v>
      </c>
    </row>
    <row r="104" spans="1:109" ht="18" customHeight="1" thickBot="1" x14ac:dyDescent="0.35">
      <c r="A104" s="81">
        <v>0.79166666666669205</v>
      </c>
      <c r="B104" s="166" t="s">
        <v>116</v>
      </c>
      <c r="C104" s="130"/>
      <c r="D104" s="169" t="s">
        <v>8</v>
      </c>
      <c r="E104" s="130" t="s">
        <v>224</v>
      </c>
      <c r="F104" s="169" t="s">
        <v>116</v>
      </c>
      <c r="G104" s="130"/>
      <c r="H104" s="169" t="s">
        <v>8</v>
      </c>
      <c r="I104" s="130" t="s">
        <v>230</v>
      </c>
      <c r="J104" s="169" t="s">
        <v>116</v>
      </c>
      <c r="K104" s="130"/>
      <c r="L104" s="169" t="s">
        <v>8</v>
      </c>
      <c r="M104" s="130" t="s">
        <v>226</v>
      </c>
      <c r="N104" s="169" t="s">
        <v>8</v>
      </c>
      <c r="O104" s="154" t="s">
        <v>230</v>
      </c>
      <c r="P104" s="6">
        <v>0</v>
      </c>
      <c r="Q104" s="124" t="str">
        <f t="shared" si="79"/>
        <v>Aulas Teóricas</v>
      </c>
      <c r="R104" s="107" t="str">
        <f t="shared" si="71"/>
        <v/>
      </c>
      <c r="S104" s="94" t="str">
        <f t="shared" si="68"/>
        <v>-</v>
      </c>
      <c r="T104" s="108" t="str">
        <f>IF(VLOOKUP(Q104,'INFO BASE'!$B$40:$I$54,IF(R104='INFO BASE'!$B$32,3,IF(R104='INFO BASE'!$B$33,4,IF(R104='INFO BASE'!$B$34,5,IF(R104='INFO BASE'!$B$35,6,IF(R104='INFO BASE'!$B$36,7,IF(R104='INFO BASE'!$B$37,8,2)))))),0)=0,"",VLOOKUP(Q104,'INFO BASE'!$B$40:$I$54,IF(R104='INFO BASE'!$B$32,3,IF(R104='INFO BASE'!$B$33,4,IF(R104='INFO BASE'!$B$34,5,IF(R104='INFO BASE'!$B$35,6,IF(R104='INFO BASE'!$B$36,7,IF(R104='INFO BASE'!$B$37,8,2)))))),0))</f>
        <v/>
      </c>
      <c r="U104" s="108">
        <f>(COUNTIFS(C66:C113,R104,B66:B113,R98)+COUNTIFS(E66:E113,R104,D66:D113,R98)+COUNTIFS(G66:G113,R104,F66:F113,R98)+COUNTIFS(I66:I113,R104,H66:H113,R98)+COUNTIFS(K66:K113,R104,J66:J113,R98)+COUNTIFS(M66:M113,R104,L66:L113,R98)+COUNTIFS(O66:O113,R104,N66:N113,R98))*0.5</f>
        <v>0</v>
      </c>
      <c r="V104" s="95">
        <f>(COUNTIFS(AI66:AI113,R98,AJ66:AJ113,R97)+COUNTIFS(AK66:AK113,R98,AL66:AL113,R97)+COUNTIFS(AM66:AM113,R98,AN66:AN113,R97)+COUNTIFS(AO66:AO113,R98,AP66:AP113,R97)+COUNTIFS(AQ66:AQ113,R98,AR66:AR113,R97)+COUNTIFS(AS66:AS113,R98,AT66:AT113,R97)+COUNTIFS(AU66:AU113,R98,AV66:AV113,R97))*0.5</f>
        <v>0</v>
      </c>
      <c r="W104" s="96">
        <f>IF(AH62="","-",IF(V104=0,U104,IFERROR((U104/V104)-1,"-")))</f>
        <v>0</v>
      </c>
      <c r="X104" s="201">
        <f t="shared" si="69"/>
        <v>0</v>
      </c>
      <c r="Y104" s="274"/>
      <c r="Z104" s="275"/>
      <c r="AA104" s="275"/>
      <c r="AB104" s="275"/>
      <c r="AC104" s="275"/>
      <c r="AD104" s="275"/>
      <c r="AE104" s="275"/>
      <c r="AF104" s="276"/>
      <c r="AH104" s="136">
        <v>0.79166666666669205</v>
      </c>
      <c r="AI104" s="136" t="s">
        <v>8</v>
      </c>
      <c r="AJ104" s="136" t="s">
        <v>224</v>
      </c>
      <c r="AK104" s="136" t="s">
        <v>8</v>
      </c>
      <c r="AL104" s="136" t="s">
        <v>224</v>
      </c>
      <c r="AM104" s="136" t="s">
        <v>8</v>
      </c>
      <c r="AN104" s="136" t="s">
        <v>224</v>
      </c>
      <c r="AO104" s="136" t="s">
        <v>8</v>
      </c>
      <c r="AP104" s="136" t="s">
        <v>224</v>
      </c>
      <c r="AQ104" s="136" t="s">
        <v>116</v>
      </c>
      <c r="AR104" s="136" t="s">
        <v>235</v>
      </c>
      <c r="AS104" s="136" t="s">
        <v>116</v>
      </c>
      <c r="AT104" s="136" t="s">
        <v>235</v>
      </c>
      <c r="AU104" s="136" t="s">
        <v>8</v>
      </c>
      <c r="AV104" s="136" t="s">
        <v>224</v>
      </c>
      <c r="AX104" s="136" t="str">
        <f>IF(AI62="","",IF(B104="","",B104))</f>
        <v>PV</v>
      </c>
      <c r="AY104" s="136" t="str">
        <f>IF(AI62="","",IF(C104="","",C104))</f>
        <v/>
      </c>
      <c r="AZ104" s="136" t="str">
        <f>IF(AI62="","",IF(D104="","",D104))</f>
        <v>EA</v>
      </c>
      <c r="BA104" s="136" t="str">
        <f>IF(AI62="","",IF(E104="","",E104))</f>
        <v>FP</v>
      </c>
      <c r="BB104" s="136" t="str">
        <f>IF(AI62="","",IF(F104="","",F104))</f>
        <v>PV</v>
      </c>
      <c r="BC104" s="136" t="str">
        <f>IF(AI62="","",IF(G104="","",G104))</f>
        <v/>
      </c>
      <c r="BD104" s="136" t="str">
        <f>IF(AI62="","",IF(H104="","",H104))</f>
        <v>EA</v>
      </c>
      <c r="BE104" s="136" t="str">
        <f>IF(AI62="","",IF(I104="","",I104))</f>
        <v>AL</v>
      </c>
      <c r="BF104" s="136" t="str">
        <f>IF(AI62="","",IF(J104="","",J104))</f>
        <v>PV</v>
      </c>
      <c r="BG104" s="136" t="str">
        <f>IF(AI62="","",IF(K104="","",K104))</f>
        <v/>
      </c>
      <c r="BH104" s="136" t="str">
        <f>IF(AI62="","",IF(L104="","",L104))</f>
        <v>EA</v>
      </c>
      <c r="BI104" s="136" t="str">
        <f>IF(AI62="","",IF(M104="","",M104))</f>
        <v>IEI</v>
      </c>
      <c r="BJ104" s="136" t="str">
        <f>IF(AI62="","",IF(N104="","",N104))</f>
        <v>EA</v>
      </c>
      <c r="BK104" s="136" t="str">
        <f>IF(AI62="","",IF(O104="","",O104))</f>
        <v>AL</v>
      </c>
      <c r="BN104" s="136" t="str">
        <f t="shared" si="64"/>
        <v>Laboratórios</v>
      </c>
      <c r="BO104" s="136" t="str">
        <f t="shared" si="64"/>
        <v>LAB</v>
      </c>
      <c r="BP104" s="136">
        <f>IF(BO104="","",COUNTIFS(AX66:BK113,BO104)*0.5)</f>
        <v>1.5</v>
      </c>
      <c r="BQ104" s="136" t="str">
        <f t="shared" si="65"/>
        <v>Laboratórios</v>
      </c>
      <c r="BR104" s="136" t="str">
        <f t="shared" si="65"/>
        <v>LAB</v>
      </c>
      <c r="BS104" s="136" t="str">
        <f t="shared" si="66"/>
        <v>Laboratórios</v>
      </c>
      <c r="BT104" s="136">
        <f t="shared" si="72"/>
        <v>10.5</v>
      </c>
      <c r="BU104" s="136">
        <f t="shared" si="73"/>
        <v>10.5</v>
      </c>
      <c r="BZ104" s="280"/>
      <c r="CA104" s="183" t="str">
        <f>'INFO BASE'!L167</f>
        <v>-</v>
      </c>
      <c r="CB104" s="183" t="str">
        <f>'INFO BASE'!M167</f>
        <v/>
      </c>
      <c r="CR104" s="177" t="str">
        <f t="shared" si="53"/>
        <v>PV</v>
      </c>
      <c r="CS104" s="177">
        <f t="shared" si="54"/>
        <v>0</v>
      </c>
      <c r="CT104" s="177" t="str">
        <f t="shared" si="53"/>
        <v>EA</v>
      </c>
      <c r="CU104" s="177" t="str">
        <f t="shared" si="55"/>
        <v>EAFP</v>
      </c>
      <c r="CV104" s="177" t="str">
        <f t="shared" si="53"/>
        <v>PV</v>
      </c>
      <c r="CW104" s="177">
        <f t="shared" si="56"/>
        <v>0</v>
      </c>
      <c r="CX104" s="177" t="str">
        <f t="shared" si="53"/>
        <v>EA</v>
      </c>
      <c r="CY104" s="177" t="str">
        <f t="shared" si="57"/>
        <v>EAAL</v>
      </c>
      <c r="CZ104" s="177" t="str">
        <f t="shared" si="53"/>
        <v>PV</v>
      </c>
      <c r="DA104" s="177">
        <f t="shared" si="58"/>
        <v>0</v>
      </c>
      <c r="DB104" s="177" t="str">
        <f t="shared" si="53"/>
        <v>EA</v>
      </c>
      <c r="DC104" s="177" t="str">
        <f t="shared" si="59"/>
        <v>EAIEI</v>
      </c>
      <c r="DD104" s="177" t="str">
        <f t="shared" si="60"/>
        <v>EA</v>
      </c>
      <c r="DE104" s="177" t="str">
        <f t="shared" si="61"/>
        <v>EAAL</v>
      </c>
    </row>
    <row r="105" spans="1:109" ht="18" customHeight="1" x14ac:dyDescent="0.3">
      <c r="A105" s="81">
        <v>0.81250000000002598</v>
      </c>
      <c r="B105" s="166" t="s">
        <v>116</v>
      </c>
      <c r="C105" s="130"/>
      <c r="D105" s="169" t="s">
        <v>8</v>
      </c>
      <c r="E105" s="130" t="s">
        <v>224</v>
      </c>
      <c r="F105" s="169" t="s">
        <v>116</v>
      </c>
      <c r="G105" s="130"/>
      <c r="H105" s="169" t="s">
        <v>8</v>
      </c>
      <c r="I105" s="130" t="s">
        <v>230</v>
      </c>
      <c r="J105" s="169" t="s">
        <v>116</v>
      </c>
      <c r="K105" s="130"/>
      <c r="L105" s="169" t="s">
        <v>8</v>
      </c>
      <c r="M105" s="130" t="s">
        <v>226</v>
      </c>
      <c r="N105" s="169" t="s">
        <v>8</v>
      </c>
      <c r="O105" s="154" t="s">
        <v>230</v>
      </c>
      <c r="P105" s="6">
        <v>0</v>
      </c>
      <c r="Q105" s="97" t="str">
        <f>IF('INFO BASE'!$C$21="","",'INFO BASE'!$C$21)</f>
        <v>Aulas Práticas</v>
      </c>
      <c r="R105" s="82" t="str">
        <f t="shared" si="71"/>
        <v>APA</v>
      </c>
      <c r="S105" s="83" t="str">
        <f t="shared" si="68"/>
        <v>-</v>
      </c>
      <c r="T105" s="98" t="str">
        <f>IF(VLOOKUP(Q105,'INFO BASE'!$B$40:$I$54,IF(R105='INFO BASE'!$B$32,3,IF(R105='INFO BASE'!$B$33,4,IF(R105='INFO BASE'!$B$34,5,IF(R105='INFO BASE'!$B$35,6,IF(R105='INFO BASE'!$B$36,7,IF(R105='INFO BASE'!$B$37,8,2)))))),0)=0,"",VLOOKUP(Q105,'INFO BASE'!$B$40:$I$54,IF(R105='INFO BASE'!$B$32,3,IF(R105='INFO BASE'!$B$33,4,IF(R105='INFO BASE'!$B$34,5,IF(R105='INFO BASE'!$B$35,6,IF(R105='INFO BASE'!$B$36,7,IF(R105='INFO BASE'!$B$37,8,2)))))),0))</f>
        <v/>
      </c>
      <c r="U105" s="84">
        <f t="shared" ref="U105:U113" si="80">IF(R105="","",COUNTIFS(SEMANA2,R105)*0.5)</f>
        <v>0</v>
      </c>
      <c r="V105" s="84">
        <f>IF(R105="","",COUNTIFS(AI66:AV113,R105)*0.5)</f>
        <v>0</v>
      </c>
      <c r="W105" s="85">
        <f>IF(AH62="","-",IF(V105=0,U105,IFERROR((U105/V105)-1,"-")))</f>
        <v>0</v>
      </c>
      <c r="X105" s="201">
        <f t="shared" si="69"/>
        <v>0</v>
      </c>
      <c r="Y105" s="277"/>
      <c r="Z105" s="278"/>
      <c r="AA105" s="278"/>
      <c r="AB105" s="278"/>
      <c r="AC105" s="278"/>
      <c r="AD105" s="278"/>
      <c r="AE105" s="278"/>
      <c r="AF105" s="279"/>
      <c r="AH105" s="136">
        <v>0.81250000000002598</v>
      </c>
      <c r="AI105" s="136" t="s">
        <v>8</v>
      </c>
      <c r="AJ105" s="136" t="s">
        <v>224</v>
      </c>
      <c r="AK105" s="136" t="s">
        <v>8</v>
      </c>
      <c r="AL105" s="136" t="s">
        <v>224</v>
      </c>
      <c r="AM105" s="136" t="s">
        <v>8</v>
      </c>
      <c r="AN105" s="136" t="s">
        <v>224</v>
      </c>
      <c r="AO105" s="136" t="s">
        <v>8</v>
      </c>
      <c r="AP105" s="136" t="s">
        <v>224</v>
      </c>
      <c r="AQ105" s="136" t="s">
        <v>116</v>
      </c>
      <c r="AR105" s="136" t="s">
        <v>235</v>
      </c>
      <c r="AS105" s="136" t="s">
        <v>116</v>
      </c>
      <c r="AT105" s="136" t="s">
        <v>235</v>
      </c>
      <c r="AU105" s="136" t="s">
        <v>8</v>
      </c>
      <c r="AV105" s="136" t="s">
        <v>224</v>
      </c>
      <c r="AX105" s="136" t="str">
        <f>IF(AI62="","",IF(B105="","",B105))</f>
        <v>PV</v>
      </c>
      <c r="AY105" s="136" t="str">
        <f>IF(AI62="","",IF(C105="","",C105))</f>
        <v/>
      </c>
      <c r="AZ105" s="136" t="str">
        <f>IF(AI62="","",IF(D105="","",D105))</f>
        <v>EA</v>
      </c>
      <c r="BA105" s="136" t="str">
        <f>IF(AI62="","",IF(E105="","",E105))</f>
        <v>FP</v>
      </c>
      <c r="BB105" s="136" t="str">
        <f>IF(AI62="","",IF(F105="","",F105))</f>
        <v>PV</v>
      </c>
      <c r="BC105" s="136" t="str">
        <f>IF(AI62="","",IF(G105="","",G105))</f>
        <v/>
      </c>
      <c r="BD105" s="136" t="str">
        <f>IF(AI62="","",IF(H105="","",H105))</f>
        <v>EA</v>
      </c>
      <c r="BE105" s="136" t="str">
        <f>IF(AI62="","",IF(I105="","",I105))</f>
        <v>AL</v>
      </c>
      <c r="BF105" s="136" t="str">
        <f>IF(AI62="","",IF(J105="","",J105))</f>
        <v>PV</v>
      </c>
      <c r="BG105" s="136" t="str">
        <f>IF(AI62="","",IF(K105="","",K105))</f>
        <v/>
      </c>
      <c r="BH105" s="136" t="str">
        <f>IF(AI62="","",IF(L105="","",L105))</f>
        <v>EA</v>
      </c>
      <c r="BI105" s="136" t="str">
        <f>IF(AI62="","",IF(M105="","",M105))</f>
        <v>IEI</v>
      </c>
      <c r="BJ105" s="136" t="str">
        <f>IF(AI62="","",IF(N105="","",N105))</f>
        <v>EA</v>
      </c>
      <c r="BK105" s="136" t="str">
        <f>IF(AI62="","",IF(O105="","",O105))</f>
        <v>AL</v>
      </c>
      <c r="BN105" s="136" t="str">
        <f t="shared" si="64"/>
        <v>Momento Avaliativo</v>
      </c>
      <c r="BO105" s="136" t="str">
        <f t="shared" si="64"/>
        <v>MA</v>
      </c>
      <c r="BP105" s="136">
        <f>IF(BO105="","",COUNTIFS(AX66:BK113,BO105)*0.5)</f>
        <v>0</v>
      </c>
      <c r="BQ105" s="136" t="str">
        <f t="shared" si="65"/>
        <v>Momento Avaliativo</v>
      </c>
      <c r="BR105" s="136" t="str">
        <f t="shared" si="65"/>
        <v>MA</v>
      </c>
      <c r="BS105" s="136" t="str">
        <f t="shared" si="66"/>
        <v>Momento Avaliativo</v>
      </c>
      <c r="BT105" s="136">
        <f t="shared" si="72"/>
        <v>1.5</v>
      </c>
      <c r="BU105" s="136">
        <f t="shared" si="73"/>
        <v>1.5</v>
      </c>
      <c r="BZ105" s="280"/>
      <c r="CA105" s="183" t="str">
        <f>'INFO BASE'!L168</f>
        <v>-</v>
      </c>
      <c r="CB105" s="183" t="str">
        <f>'INFO BASE'!M168</f>
        <v/>
      </c>
      <c r="CR105" s="177" t="str">
        <f t="shared" si="53"/>
        <v>PV</v>
      </c>
      <c r="CS105" s="177">
        <f t="shared" si="54"/>
        <v>0</v>
      </c>
      <c r="CT105" s="177" t="str">
        <f t="shared" si="53"/>
        <v>EA</v>
      </c>
      <c r="CU105" s="177" t="str">
        <f t="shared" si="55"/>
        <v>EAFP</v>
      </c>
      <c r="CV105" s="177" t="str">
        <f t="shared" si="53"/>
        <v>PV</v>
      </c>
      <c r="CW105" s="177">
        <f t="shared" si="56"/>
        <v>0</v>
      </c>
      <c r="CX105" s="177" t="str">
        <f t="shared" si="53"/>
        <v>EA</v>
      </c>
      <c r="CY105" s="177" t="str">
        <f t="shared" si="57"/>
        <v>EAAL</v>
      </c>
      <c r="CZ105" s="177" t="str">
        <f t="shared" si="53"/>
        <v>PV</v>
      </c>
      <c r="DA105" s="177">
        <f t="shared" si="58"/>
        <v>0</v>
      </c>
      <c r="DB105" s="177" t="str">
        <f t="shared" si="53"/>
        <v>EA</v>
      </c>
      <c r="DC105" s="177" t="str">
        <f t="shared" si="59"/>
        <v>EAIEI</v>
      </c>
      <c r="DD105" s="177" t="str">
        <f t="shared" si="60"/>
        <v>EA</v>
      </c>
      <c r="DE105" s="177" t="str">
        <f t="shared" si="61"/>
        <v>EAAL</v>
      </c>
    </row>
    <row r="106" spans="1:109" ht="18" customHeight="1" x14ac:dyDescent="0.3">
      <c r="A106" s="81">
        <v>0.83333333333336002</v>
      </c>
      <c r="B106" s="166" t="s">
        <v>116</v>
      </c>
      <c r="C106" s="130"/>
      <c r="D106" s="169" t="s">
        <v>8</v>
      </c>
      <c r="E106" s="130" t="s">
        <v>230</v>
      </c>
      <c r="F106" s="169" t="s">
        <v>116</v>
      </c>
      <c r="G106" s="130"/>
      <c r="H106" s="169" t="s">
        <v>8</v>
      </c>
      <c r="I106" s="130" t="s">
        <v>230</v>
      </c>
      <c r="J106" s="169" t="s">
        <v>116</v>
      </c>
      <c r="K106" s="130"/>
      <c r="L106" s="169" t="s">
        <v>8</v>
      </c>
      <c r="M106" s="130" t="s">
        <v>226</v>
      </c>
      <c r="N106" s="169" t="s">
        <v>8</v>
      </c>
      <c r="O106" s="154" t="s">
        <v>230</v>
      </c>
      <c r="P106" s="6">
        <v>0</v>
      </c>
      <c r="Q106" s="99" t="str">
        <f>IF('INFO BASE'!$C$22="","",'INFO BASE'!$C$22)</f>
        <v>Aulas Problemas</v>
      </c>
      <c r="R106" s="87" t="str">
        <f t="shared" si="71"/>
        <v>APB</v>
      </c>
      <c r="S106" s="88">
        <f t="shared" si="68"/>
        <v>-0.25</v>
      </c>
      <c r="T106" s="100">
        <f>IF(VLOOKUP(Q106,'INFO BASE'!$B$40:$I$54,IF(R106='INFO BASE'!$B$32,3,IF(R106='INFO BASE'!$B$33,4,IF(R106='INFO BASE'!$B$34,5,IF(R106='INFO BASE'!$B$35,6,IF(R106='INFO BASE'!$B$36,7,IF(R106='INFO BASE'!$B$37,8,2)))))),0)=0,"",VLOOKUP(Q106,'INFO BASE'!$B$40:$I$54,IF(R106='INFO BASE'!$B$32,3,IF(R106='INFO BASE'!$B$33,4,IF(R106='INFO BASE'!$B$34,5,IF(R106='INFO BASE'!$B$35,6,IF(R106='INFO BASE'!$B$36,7,IF(R106='INFO BASE'!$B$37,8,2)))))),0))</f>
        <v>6</v>
      </c>
      <c r="U106" s="89">
        <f t="shared" si="80"/>
        <v>4.5</v>
      </c>
      <c r="V106" s="100">
        <f>IF(R106="","",COUNTIFS(AI66:AV113,R106)*0.5)</f>
        <v>4.5</v>
      </c>
      <c r="W106" s="90">
        <f>IF(AH62="","-",IF(V106=0,U106,IFERROR((U106/V106)-1,"-")))</f>
        <v>0</v>
      </c>
      <c r="X106" s="201">
        <f t="shared" si="69"/>
        <v>0</v>
      </c>
      <c r="Y106" s="271"/>
      <c r="Z106" s="272"/>
      <c r="AA106" s="272"/>
      <c r="AB106" s="272"/>
      <c r="AC106" s="272"/>
      <c r="AD106" s="272"/>
      <c r="AE106" s="272"/>
      <c r="AF106" s="273"/>
      <c r="AH106" s="136">
        <v>0.83333333333336002</v>
      </c>
      <c r="AI106" s="136" t="s">
        <v>8</v>
      </c>
      <c r="AJ106" s="136" t="s">
        <v>230</v>
      </c>
      <c r="AK106" s="136" t="s">
        <v>8</v>
      </c>
      <c r="AL106" s="136" t="s">
        <v>230</v>
      </c>
      <c r="AM106" s="136" t="s">
        <v>8</v>
      </c>
      <c r="AN106" s="136" t="s">
        <v>230</v>
      </c>
      <c r="AO106" s="136" t="s">
        <v>8</v>
      </c>
      <c r="AP106" s="136" t="s">
        <v>230</v>
      </c>
      <c r="AQ106" s="136" t="s">
        <v>116</v>
      </c>
      <c r="AR106" s="136" t="s">
        <v>235</v>
      </c>
      <c r="AS106" s="136" t="s">
        <v>116</v>
      </c>
      <c r="AT106" s="136" t="s">
        <v>235</v>
      </c>
      <c r="AU106" s="136" t="s">
        <v>8</v>
      </c>
      <c r="AV106" s="136" t="s">
        <v>224</v>
      </c>
      <c r="AX106" s="136" t="str">
        <f>IF(AI62="","",IF(B106="","",B106))</f>
        <v>PV</v>
      </c>
      <c r="AY106" s="136" t="str">
        <f>IF(AI62="","",IF(C106="","",C106))</f>
        <v/>
      </c>
      <c r="AZ106" s="136" t="str">
        <f>IF(AI62="","",IF(D106="","",D106))</f>
        <v>EA</v>
      </c>
      <c r="BA106" s="136" t="str">
        <f>IF(AI62="","",IF(E106="","",E106))</f>
        <v>AL</v>
      </c>
      <c r="BB106" s="136" t="str">
        <f>IF(AI62="","",IF(F106="","",F106))</f>
        <v>PV</v>
      </c>
      <c r="BC106" s="136" t="str">
        <f>IF(AI62="","",IF(G106="","",G106))</f>
        <v/>
      </c>
      <c r="BD106" s="136" t="str">
        <f>IF(AI62="","",IF(H106="","",H106))</f>
        <v>EA</v>
      </c>
      <c r="BE106" s="136" t="str">
        <f>IF(AI62="","",IF(I106="","",I106))</f>
        <v>AL</v>
      </c>
      <c r="BF106" s="136" t="str">
        <f>IF(AI62="","",IF(J106="","",J106))</f>
        <v>PV</v>
      </c>
      <c r="BG106" s="136" t="str">
        <f>IF(AI62="","",IF(K106="","",K106))</f>
        <v/>
      </c>
      <c r="BH106" s="136" t="str">
        <f>IF(AI62="","",IF(L106="","",L106))</f>
        <v>EA</v>
      </c>
      <c r="BI106" s="136" t="str">
        <f>IF(AI62="","",IF(M106="","",M106))</f>
        <v>IEI</v>
      </c>
      <c r="BJ106" s="136" t="str">
        <f>IF(AI62="","",IF(N106="","",N106))</f>
        <v>EA</v>
      </c>
      <c r="BK106" s="136" t="str">
        <f>IF(AI62="","",IF(O106="","",O106))</f>
        <v>AL</v>
      </c>
      <c r="BN106" s="136" t="str">
        <f t="shared" si="64"/>
        <v>Horário de Dúvidas</v>
      </c>
      <c r="BO106" s="136" t="str">
        <f t="shared" si="64"/>
        <v>HDV</v>
      </c>
      <c r="BP106" s="136">
        <f>IF(BO106="","",COUNTIFS(AX66:BK113,BO106)*0.5)</f>
        <v>0</v>
      </c>
      <c r="BQ106" s="136" t="str">
        <f t="shared" si="65"/>
        <v>Horário de Dúvidas</v>
      </c>
      <c r="BR106" s="136" t="str">
        <f t="shared" si="65"/>
        <v>HDV</v>
      </c>
      <c r="BS106" s="136" t="str">
        <f t="shared" si="66"/>
        <v>Horário de Dúvidas</v>
      </c>
      <c r="BT106" s="136">
        <f t="shared" si="72"/>
        <v>0</v>
      </c>
      <c r="BU106" s="136">
        <f t="shared" si="73"/>
        <v>0</v>
      </c>
      <c r="BZ106" s="280"/>
      <c r="CA106" s="183" t="str">
        <f>'INFO BASE'!L169</f>
        <v>-</v>
      </c>
      <c r="CB106" s="183" t="str">
        <f>'INFO BASE'!M169</f>
        <v/>
      </c>
      <c r="CR106" s="177" t="str">
        <f t="shared" si="53"/>
        <v>PV</v>
      </c>
      <c r="CS106" s="177">
        <f t="shared" si="54"/>
        <v>0</v>
      </c>
      <c r="CT106" s="177" t="str">
        <f t="shared" si="53"/>
        <v>EA</v>
      </c>
      <c r="CU106" s="177" t="str">
        <f t="shared" si="55"/>
        <v>EAAL</v>
      </c>
      <c r="CV106" s="177" t="str">
        <f t="shared" si="53"/>
        <v>PV</v>
      </c>
      <c r="CW106" s="177">
        <f t="shared" si="56"/>
        <v>0</v>
      </c>
      <c r="CX106" s="177" t="str">
        <f t="shared" si="53"/>
        <v>EA</v>
      </c>
      <c r="CY106" s="177" t="str">
        <f t="shared" si="57"/>
        <v>EAAL</v>
      </c>
      <c r="CZ106" s="177" t="str">
        <f t="shared" si="53"/>
        <v>PV</v>
      </c>
      <c r="DA106" s="177">
        <f t="shared" si="58"/>
        <v>0</v>
      </c>
      <c r="DB106" s="177" t="str">
        <f t="shared" si="53"/>
        <v>EA</v>
      </c>
      <c r="DC106" s="177" t="str">
        <f t="shared" si="59"/>
        <v>EAIEI</v>
      </c>
      <c r="DD106" s="177" t="str">
        <f t="shared" si="60"/>
        <v>EA</v>
      </c>
      <c r="DE106" s="177" t="str">
        <f t="shared" si="61"/>
        <v>EAAL</v>
      </c>
    </row>
    <row r="107" spans="1:109" ht="18" customHeight="1" thickBot="1" x14ac:dyDescent="0.35">
      <c r="A107" s="81">
        <v>0.85416666666669405</v>
      </c>
      <c r="B107" s="166" t="s">
        <v>116</v>
      </c>
      <c r="C107" s="130"/>
      <c r="D107" s="169" t="s">
        <v>116</v>
      </c>
      <c r="E107" s="130"/>
      <c r="F107" s="169" t="s">
        <v>116</v>
      </c>
      <c r="G107" s="130"/>
      <c r="H107" s="169" t="s">
        <v>116</v>
      </c>
      <c r="I107" s="130"/>
      <c r="J107" s="169" t="s">
        <v>116</v>
      </c>
      <c r="K107" s="130"/>
      <c r="L107" s="169" t="s">
        <v>116</v>
      </c>
      <c r="M107" s="130"/>
      <c r="N107" s="169" t="s">
        <v>116</v>
      </c>
      <c r="O107" s="154"/>
      <c r="P107" s="6">
        <v>0</v>
      </c>
      <c r="Q107" s="101" t="str">
        <f>IF('INFO BASE'!$C$23="","",'INFO BASE'!$C$23)</f>
        <v>Laboratórios</v>
      </c>
      <c r="R107" s="93" t="str">
        <f t="shared" si="71"/>
        <v>LAB</v>
      </c>
      <c r="S107" s="94">
        <f t="shared" si="68"/>
        <v>0</v>
      </c>
      <c r="T107" s="95">
        <f>IF(VLOOKUP(Q107,'INFO BASE'!$B$40:$I$54,IF(R107='INFO BASE'!$B$32,3,IF(R107='INFO BASE'!$B$33,4,IF(R107='INFO BASE'!$B$34,5,IF(R107='INFO BASE'!$B$35,6,IF(R107='INFO BASE'!$B$36,7,IF(R107='INFO BASE'!$B$37,8,2)))))),0)=0,"",VLOOKUP(Q107,'INFO BASE'!$B$40:$I$54,IF(R107='INFO BASE'!$B$32,3,IF(R107='INFO BASE'!$B$33,4,IF(R107='INFO BASE'!$B$34,5,IF(R107='INFO BASE'!$B$35,6,IF(R107='INFO BASE'!$B$36,7,IF(R107='INFO BASE'!$B$37,8,2)))))),0))</f>
        <v>1.5</v>
      </c>
      <c r="U107" s="95">
        <f t="shared" si="80"/>
        <v>1.5</v>
      </c>
      <c r="V107" s="95">
        <f>IF(R107="","",COUNTIFS(AI66:AV113,R107)*0.5)</f>
        <v>1.5</v>
      </c>
      <c r="W107" s="96">
        <f>IF(AH62="","-",IF(V107=0,U107,IFERROR((U107/V107)-1,"-")))</f>
        <v>0</v>
      </c>
      <c r="X107" s="201">
        <f t="shared" si="69"/>
        <v>0</v>
      </c>
      <c r="Y107" s="308"/>
      <c r="Z107" s="309"/>
      <c r="AA107" s="309"/>
      <c r="AB107" s="309"/>
      <c r="AC107" s="309"/>
      <c r="AD107" s="309"/>
      <c r="AE107" s="309"/>
      <c r="AF107" s="310"/>
      <c r="AH107" s="136">
        <v>0.85416666666669405</v>
      </c>
      <c r="AI107" s="136" t="s">
        <v>116</v>
      </c>
      <c r="AJ107" s="136" t="s">
        <v>235</v>
      </c>
      <c r="AK107" s="136" t="s">
        <v>116</v>
      </c>
      <c r="AL107" s="136" t="s">
        <v>235</v>
      </c>
      <c r="AM107" s="136" t="s">
        <v>116</v>
      </c>
      <c r="AN107" s="136" t="s">
        <v>235</v>
      </c>
      <c r="AO107" s="136" t="s">
        <v>116</v>
      </c>
      <c r="AP107" s="136" t="s">
        <v>235</v>
      </c>
      <c r="AQ107" s="136" t="s">
        <v>116</v>
      </c>
      <c r="AR107" s="136" t="s">
        <v>235</v>
      </c>
      <c r="AS107" s="136" t="s">
        <v>116</v>
      </c>
      <c r="AT107" s="136" t="s">
        <v>235</v>
      </c>
      <c r="AU107" s="136" t="s">
        <v>116</v>
      </c>
      <c r="AV107" s="136" t="s">
        <v>235</v>
      </c>
      <c r="AX107" s="136" t="str">
        <f>IF(AI62="","",IF(B107="","",B107))</f>
        <v>PV</v>
      </c>
      <c r="AY107" s="136" t="str">
        <f>IF(AI62="","",IF(C107="","",C107))</f>
        <v/>
      </c>
      <c r="AZ107" s="136" t="str">
        <f>IF(AI62="","",IF(D107="","",D107))</f>
        <v>PV</v>
      </c>
      <c r="BA107" s="136" t="str">
        <f>IF(AI62="","",IF(E107="","",E107))</f>
        <v/>
      </c>
      <c r="BB107" s="136" t="str">
        <f>IF(AI62="","",IF(F107="","",F107))</f>
        <v>PV</v>
      </c>
      <c r="BC107" s="136" t="str">
        <f>IF(AI62="","",IF(G107="","",G107))</f>
        <v/>
      </c>
      <c r="BD107" s="136" t="str">
        <f>IF(AI62="","",IF(H107="","",H107))</f>
        <v>PV</v>
      </c>
      <c r="BE107" s="136" t="str">
        <f>IF(AI62="","",IF(I107="","",I107))</f>
        <v/>
      </c>
      <c r="BF107" s="136" t="str">
        <f>IF(AI62="","",IF(J107="","",J107))</f>
        <v>PV</v>
      </c>
      <c r="BG107" s="136" t="str">
        <f>IF(AI62="","",IF(K107="","",K107))</f>
        <v/>
      </c>
      <c r="BH107" s="136" t="str">
        <f>IF(AI62="","",IF(L107="","",L107))</f>
        <v>PV</v>
      </c>
      <c r="BI107" s="136" t="str">
        <f>IF(AI62="","",IF(M107="","",M107))</f>
        <v/>
      </c>
      <c r="BJ107" s="136" t="str">
        <f>IF(AI62="","",IF(N107="","",N107))</f>
        <v>PV</v>
      </c>
      <c r="BK107" s="136" t="str">
        <f>IF(AI62="","",IF(O107="","",O107))</f>
        <v/>
      </c>
      <c r="BN107" s="136" t="str">
        <f t="shared" si="64"/>
        <v>Privado</v>
      </c>
      <c r="BO107" s="136" t="str">
        <f t="shared" si="64"/>
        <v>PV</v>
      </c>
      <c r="BP107" s="136">
        <f>IF(BO107="","",COUNTIFS(AX66:BK113,BO107)*0.5)</f>
        <v>44</v>
      </c>
      <c r="BQ107" s="136" t="str">
        <f t="shared" si="65"/>
        <v>Privado</v>
      </c>
      <c r="BR107" s="136" t="str">
        <f t="shared" si="65"/>
        <v>PV</v>
      </c>
      <c r="BS107" s="136" t="str">
        <f t="shared" si="66"/>
        <v>Privado</v>
      </c>
      <c r="BT107" s="136">
        <f t="shared" si="72"/>
        <v>384</v>
      </c>
      <c r="BU107" s="136">
        <f t="shared" si="73"/>
        <v>369</v>
      </c>
      <c r="BZ107" s="280"/>
      <c r="CA107" s="183" t="str">
        <f>'INFO BASE'!L170</f>
        <v>-</v>
      </c>
      <c r="CB107" s="183" t="str">
        <f>'INFO BASE'!M170</f>
        <v/>
      </c>
      <c r="CR107" s="177" t="str">
        <f t="shared" si="53"/>
        <v>PV</v>
      </c>
      <c r="CS107" s="177">
        <f t="shared" si="54"/>
        <v>0</v>
      </c>
      <c r="CT107" s="177" t="str">
        <f t="shared" si="53"/>
        <v>PV</v>
      </c>
      <c r="CU107" s="177">
        <f t="shared" si="55"/>
        <v>0</v>
      </c>
      <c r="CV107" s="177" t="str">
        <f t="shared" si="53"/>
        <v>PV</v>
      </c>
      <c r="CW107" s="177">
        <f t="shared" si="56"/>
        <v>0</v>
      </c>
      <c r="CX107" s="177" t="str">
        <f t="shared" si="53"/>
        <v>PV</v>
      </c>
      <c r="CY107" s="177">
        <f t="shared" si="57"/>
        <v>0</v>
      </c>
      <c r="CZ107" s="177" t="str">
        <f t="shared" si="53"/>
        <v>PV</v>
      </c>
      <c r="DA107" s="177">
        <f t="shared" si="58"/>
        <v>0</v>
      </c>
      <c r="DB107" s="177" t="str">
        <f t="shared" si="53"/>
        <v>PV</v>
      </c>
      <c r="DC107" s="177">
        <f t="shared" si="59"/>
        <v>0</v>
      </c>
      <c r="DD107" s="177" t="str">
        <f t="shared" si="60"/>
        <v>PV</v>
      </c>
      <c r="DE107" s="177">
        <f t="shared" si="61"/>
        <v>0</v>
      </c>
    </row>
    <row r="108" spans="1:109" ht="18" customHeight="1" x14ac:dyDescent="0.3">
      <c r="A108" s="81">
        <v>0.87500000000002798</v>
      </c>
      <c r="B108" s="166" t="s">
        <v>12</v>
      </c>
      <c r="C108" s="130" t="s">
        <v>120</v>
      </c>
      <c r="D108" s="169" t="s">
        <v>12</v>
      </c>
      <c r="E108" s="130" t="s">
        <v>120</v>
      </c>
      <c r="F108" s="169" t="s">
        <v>12</v>
      </c>
      <c r="G108" s="130" t="s">
        <v>120</v>
      </c>
      <c r="H108" s="169" t="s">
        <v>12</v>
      </c>
      <c r="I108" s="130" t="s">
        <v>120</v>
      </c>
      <c r="J108" s="169" t="s">
        <v>12</v>
      </c>
      <c r="K108" s="130" t="s">
        <v>120</v>
      </c>
      <c r="L108" s="169" t="s">
        <v>116</v>
      </c>
      <c r="M108" s="130"/>
      <c r="N108" s="169" t="s">
        <v>12</v>
      </c>
      <c r="O108" s="154" t="s">
        <v>120</v>
      </c>
      <c r="P108" s="6">
        <v>0</v>
      </c>
      <c r="Q108" s="102" t="str">
        <f>IF('INFO BASE'!$C$24="","",'INFO BASE'!$C$24)</f>
        <v>Momento Avaliativo</v>
      </c>
      <c r="R108" s="82" t="str">
        <f t="shared" si="71"/>
        <v>MA</v>
      </c>
      <c r="S108" s="83" t="str">
        <f t="shared" si="68"/>
        <v>-</v>
      </c>
      <c r="T108" s="84" t="str">
        <f>IF(VLOOKUP(Q108,'INFO BASE'!$B$40:$I$54,IF(R108='INFO BASE'!$B$32,3,IF(R108='INFO BASE'!$B$33,4,IF(R108='INFO BASE'!$B$34,5,IF(R108='INFO BASE'!$B$35,6,IF(R108='INFO BASE'!$B$36,7,IF(R108='INFO BASE'!$B$37,8,2)))))),0)=0,"",VLOOKUP(Q108,'INFO BASE'!$B$40:$I$54,IF(R108='INFO BASE'!$B$32,3,IF(R108='INFO BASE'!$B$33,4,IF(R108='INFO BASE'!$B$34,5,IF(R108='INFO BASE'!$B$35,6,IF(R108='INFO BASE'!$B$36,7,IF(R108='INFO BASE'!$B$37,8,2)))))),0))</f>
        <v/>
      </c>
      <c r="U108" s="84">
        <f t="shared" si="80"/>
        <v>0</v>
      </c>
      <c r="V108" s="84">
        <f>IF(R108="","",COUNTIFS(AI66:AV113,R108)*0.5)</f>
        <v>0</v>
      </c>
      <c r="W108" s="85">
        <f>IF(AH62="","-",IF(V108=0,U108,IFERROR((U108/V108)-1,"-")))</f>
        <v>0</v>
      </c>
      <c r="X108" s="201">
        <f t="shared" si="69"/>
        <v>0</v>
      </c>
      <c r="Y108" s="277"/>
      <c r="Z108" s="278"/>
      <c r="AA108" s="278"/>
      <c r="AB108" s="278"/>
      <c r="AC108" s="278"/>
      <c r="AD108" s="278"/>
      <c r="AE108" s="278"/>
      <c r="AF108" s="279"/>
      <c r="AH108" s="136">
        <v>0.87500000000002798</v>
      </c>
      <c r="AI108" s="136" t="s">
        <v>12</v>
      </c>
      <c r="AJ108" s="136" t="s">
        <v>120</v>
      </c>
      <c r="AK108" s="136" t="s">
        <v>12</v>
      </c>
      <c r="AL108" s="136" t="s">
        <v>120</v>
      </c>
      <c r="AM108" s="136" t="s">
        <v>12</v>
      </c>
      <c r="AN108" s="136" t="s">
        <v>120</v>
      </c>
      <c r="AO108" s="136" t="s">
        <v>12</v>
      </c>
      <c r="AP108" s="136" t="s">
        <v>120</v>
      </c>
      <c r="AQ108" s="136" t="s">
        <v>12</v>
      </c>
      <c r="AR108" s="136" t="s">
        <v>120</v>
      </c>
      <c r="AS108" s="136" t="s">
        <v>116</v>
      </c>
      <c r="AT108" s="136" t="s">
        <v>235</v>
      </c>
      <c r="AU108" s="136" t="s">
        <v>12</v>
      </c>
      <c r="AV108" s="136" t="s">
        <v>120</v>
      </c>
      <c r="AX108" s="136" t="str">
        <f>IF(AI62="","",IF(B108="","",B108))</f>
        <v>HR</v>
      </c>
      <c r="AY108" s="136" t="str">
        <f>IF(AI62="","",IF(C108="","",C108))</f>
        <v>-</v>
      </c>
      <c r="AZ108" s="136" t="str">
        <f>IF(AI62="","",IF(D108="","",D108))</f>
        <v>HR</v>
      </c>
      <c r="BA108" s="136" t="str">
        <f>IF(AI62="","",IF(E108="","",E108))</f>
        <v>-</v>
      </c>
      <c r="BB108" s="136" t="str">
        <f>IF(AI62="","",IF(F108="","",F108))</f>
        <v>HR</v>
      </c>
      <c r="BC108" s="136" t="str">
        <f>IF(AI62="","",IF(G108="","",G108))</f>
        <v>-</v>
      </c>
      <c r="BD108" s="136" t="str">
        <f>IF(AI62="","",IF(H108="","",H108))</f>
        <v>HR</v>
      </c>
      <c r="BE108" s="136" t="str">
        <f>IF(AI62="","",IF(I108="","",I108))</f>
        <v>-</v>
      </c>
      <c r="BF108" s="136" t="str">
        <f>IF(AI62="","",IF(J108="","",J108))</f>
        <v>HR</v>
      </c>
      <c r="BG108" s="136" t="str">
        <f>IF(AI62="","",IF(K108="","",K108))</f>
        <v>-</v>
      </c>
      <c r="BH108" s="136" t="str">
        <f>IF(AI62="","",IF(L108="","",L108))</f>
        <v>PV</v>
      </c>
      <c r="BI108" s="136" t="str">
        <f>IF(AI62="","",IF(M108="","",M108))</f>
        <v/>
      </c>
      <c r="BJ108" s="136" t="str">
        <f>IF(AI62="","",IF(N108="","",N108))</f>
        <v>HR</v>
      </c>
      <c r="BK108" s="136" t="str">
        <f>IF(AI62="","",IF(O108="","",O108))</f>
        <v>-</v>
      </c>
      <c r="BN108" s="136" t="str">
        <f t="shared" si="64"/>
        <v>Deslocação</v>
      </c>
      <c r="BO108" s="136" t="str">
        <f t="shared" si="64"/>
        <v>HD</v>
      </c>
      <c r="BP108" s="136">
        <f>IF(BO108="","",COUNTIFS(AX66:BK113,BO108)*0.5)</f>
        <v>14.5</v>
      </c>
      <c r="BQ108" s="136" t="str">
        <f t="shared" si="65"/>
        <v>Deslocação</v>
      </c>
      <c r="BR108" s="136" t="str">
        <f t="shared" si="65"/>
        <v>HD</v>
      </c>
      <c r="BS108" s="136" t="str">
        <f t="shared" si="66"/>
        <v>Deslocação</v>
      </c>
      <c r="BT108" s="136">
        <f t="shared" si="72"/>
        <v>116.5</v>
      </c>
      <c r="BU108" s="136">
        <f t="shared" si="73"/>
        <v>115</v>
      </c>
      <c r="BZ108" s="280"/>
      <c r="CA108" s="183" t="str">
        <f>'INFO BASE'!L171</f>
        <v>-</v>
      </c>
      <c r="CB108" s="183" t="str">
        <f>'INFO BASE'!M171</f>
        <v/>
      </c>
      <c r="CR108" s="177" t="str">
        <f t="shared" si="53"/>
        <v>HR</v>
      </c>
      <c r="CS108" s="177" t="str">
        <f t="shared" si="54"/>
        <v>HR-</v>
      </c>
      <c r="CT108" s="177" t="str">
        <f t="shared" si="53"/>
        <v>HR</v>
      </c>
      <c r="CU108" s="177" t="str">
        <f t="shared" si="55"/>
        <v>HR-</v>
      </c>
      <c r="CV108" s="177" t="str">
        <f t="shared" si="53"/>
        <v>HR</v>
      </c>
      <c r="CW108" s="177" t="str">
        <f t="shared" si="56"/>
        <v>HR-</v>
      </c>
      <c r="CX108" s="177" t="str">
        <f t="shared" si="53"/>
        <v>HR</v>
      </c>
      <c r="CY108" s="177" t="str">
        <f t="shared" si="57"/>
        <v>HR-</v>
      </c>
      <c r="CZ108" s="177" t="str">
        <f t="shared" si="53"/>
        <v>HR</v>
      </c>
      <c r="DA108" s="177" t="str">
        <f t="shared" si="58"/>
        <v>HR-</v>
      </c>
      <c r="DB108" s="177" t="str">
        <f t="shared" si="53"/>
        <v>PV</v>
      </c>
      <c r="DC108" s="177">
        <f t="shared" si="59"/>
        <v>0</v>
      </c>
      <c r="DD108" s="177" t="str">
        <f t="shared" si="60"/>
        <v>HR</v>
      </c>
      <c r="DE108" s="177" t="str">
        <f t="shared" si="61"/>
        <v>HR-</v>
      </c>
    </row>
    <row r="109" spans="1:109" ht="18" customHeight="1" x14ac:dyDescent="0.3">
      <c r="A109" s="81">
        <v>0.89583333333336201</v>
      </c>
      <c r="B109" s="166" t="s">
        <v>12</v>
      </c>
      <c r="C109" s="130" t="s">
        <v>120</v>
      </c>
      <c r="D109" s="169" t="s">
        <v>12</v>
      </c>
      <c r="E109" s="130" t="s">
        <v>120</v>
      </c>
      <c r="F109" s="169" t="s">
        <v>12</v>
      </c>
      <c r="G109" s="130" t="s">
        <v>120</v>
      </c>
      <c r="H109" s="169" t="s">
        <v>12</v>
      </c>
      <c r="I109" s="130" t="s">
        <v>120</v>
      </c>
      <c r="J109" s="169" t="s">
        <v>12</v>
      </c>
      <c r="K109" s="130" t="s">
        <v>120</v>
      </c>
      <c r="L109" s="169" t="s">
        <v>116</v>
      </c>
      <c r="M109" s="130"/>
      <c r="N109" s="169" t="s">
        <v>12</v>
      </c>
      <c r="O109" s="154" t="s">
        <v>120</v>
      </c>
      <c r="P109" s="6">
        <v>0</v>
      </c>
      <c r="Q109" s="103" t="str">
        <f>IF('INFO BASE'!$C$25="","",'INFO BASE'!$C$25)</f>
        <v>Horário de Dúvidas</v>
      </c>
      <c r="R109" s="87" t="str">
        <f t="shared" si="71"/>
        <v>HDV</v>
      </c>
      <c r="S109" s="88">
        <f t="shared" si="68"/>
        <v>-1</v>
      </c>
      <c r="T109" s="89">
        <f>IF(VLOOKUP(Q109,'INFO BASE'!$B$40:$I$54,IF(R109='INFO BASE'!$B$32,3,IF(R109='INFO BASE'!$B$33,4,IF(R109='INFO BASE'!$B$34,5,IF(R109='INFO BASE'!$B$35,6,IF(R109='INFO BASE'!$B$36,7,IF(R109='INFO BASE'!$B$37,8,2)))))),0)=0,"",VLOOKUP(Q109,'INFO BASE'!$B$40:$I$54,IF(R109='INFO BASE'!$B$32,3,IF(R109='INFO BASE'!$B$33,4,IF(R109='INFO BASE'!$B$34,5,IF(R109='INFO BASE'!$B$35,6,IF(R109='INFO BASE'!$B$36,7,IF(R109='INFO BASE'!$B$37,8,2)))))),0))</f>
        <v>3</v>
      </c>
      <c r="U109" s="89">
        <f t="shared" si="80"/>
        <v>0</v>
      </c>
      <c r="V109" s="89">
        <f>IF(R109="","",COUNTIFS(AI66:AV113,R109)*0.5)</f>
        <v>0</v>
      </c>
      <c r="W109" s="90">
        <f>IF(AH62="","-",IF(V109=0,U109,IFERROR((U109/V109)-1,"-")))</f>
        <v>0</v>
      </c>
      <c r="X109" s="201">
        <f t="shared" si="69"/>
        <v>0</v>
      </c>
      <c r="Y109" s="271"/>
      <c r="Z109" s="272"/>
      <c r="AA109" s="272"/>
      <c r="AB109" s="272"/>
      <c r="AC109" s="272"/>
      <c r="AD109" s="272"/>
      <c r="AE109" s="272"/>
      <c r="AF109" s="273"/>
      <c r="AH109" s="136">
        <v>0.89583333333336201</v>
      </c>
      <c r="AI109" s="136" t="s">
        <v>12</v>
      </c>
      <c r="AJ109" s="136" t="s">
        <v>120</v>
      </c>
      <c r="AK109" s="136" t="s">
        <v>12</v>
      </c>
      <c r="AL109" s="136" t="s">
        <v>120</v>
      </c>
      <c r="AM109" s="136" t="s">
        <v>12</v>
      </c>
      <c r="AN109" s="136" t="s">
        <v>120</v>
      </c>
      <c r="AO109" s="136" t="s">
        <v>12</v>
      </c>
      <c r="AP109" s="136" t="s">
        <v>120</v>
      </c>
      <c r="AQ109" s="136" t="s">
        <v>12</v>
      </c>
      <c r="AR109" s="136" t="s">
        <v>120</v>
      </c>
      <c r="AS109" s="136" t="s">
        <v>116</v>
      </c>
      <c r="AT109" s="136" t="s">
        <v>235</v>
      </c>
      <c r="AU109" s="136" t="s">
        <v>12</v>
      </c>
      <c r="AV109" s="136" t="s">
        <v>120</v>
      </c>
      <c r="AX109" s="136" t="str">
        <f>IF(AI62="","",IF(B109="","",B109))</f>
        <v>HR</v>
      </c>
      <c r="AY109" s="136" t="str">
        <f>IF(AI62="","",IF(C109="","",C109))</f>
        <v>-</v>
      </c>
      <c r="AZ109" s="136" t="str">
        <f>IF(AI62="","",IF(D109="","",D109))</f>
        <v>HR</v>
      </c>
      <c r="BA109" s="136" t="str">
        <f>IF(AI62="","",IF(E109="","",E109))</f>
        <v>-</v>
      </c>
      <c r="BB109" s="136" t="str">
        <f>IF(AI62="","",IF(F109="","",F109))</f>
        <v>HR</v>
      </c>
      <c r="BC109" s="136" t="str">
        <f>IF(AI62="","",IF(G109="","",G109))</f>
        <v>-</v>
      </c>
      <c r="BD109" s="136" t="str">
        <f>IF(AI62="","",IF(H109="","",H109))</f>
        <v>HR</v>
      </c>
      <c r="BE109" s="136" t="str">
        <f>IF(AI62="","",IF(I109="","",I109))</f>
        <v>-</v>
      </c>
      <c r="BF109" s="136" t="str">
        <f>IF(AI62="","",IF(J109="","",J109))</f>
        <v>HR</v>
      </c>
      <c r="BG109" s="136" t="str">
        <f>IF(AI62="","",IF(K109="","",K109))</f>
        <v>-</v>
      </c>
      <c r="BH109" s="136" t="str">
        <f>IF(AI62="","",IF(L109="","",L109))</f>
        <v>PV</v>
      </c>
      <c r="BI109" s="136" t="str">
        <f>IF(AI62="","",IF(M109="","",M109))</f>
        <v/>
      </c>
      <c r="BJ109" s="136" t="str">
        <f>IF(AI62="","",IF(N109="","",N109))</f>
        <v>HR</v>
      </c>
      <c r="BK109" s="136" t="str">
        <f>IF(AI62="","",IF(O109="","",O109))</f>
        <v>-</v>
      </c>
      <c r="BN109" s="136" t="str">
        <f t="shared" si="64"/>
        <v>Refeição</v>
      </c>
      <c r="BO109" s="136" t="str">
        <f t="shared" si="64"/>
        <v>HR</v>
      </c>
      <c r="BP109" s="136">
        <f>IF(BO109="","",COUNTIFS(AX66:BK113,BO109)*0.5)</f>
        <v>17</v>
      </c>
      <c r="BQ109" s="136" t="str">
        <f t="shared" si="65"/>
        <v>Refeição</v>
      </c>
      <c r="BR109" s="136" t="str">
        <f t="shared" si="65"/>
        <v>HR</v>
      </c>
      <c r="BS109" s="136" t="str">
        <f t="shared" si="66"/>
        <v>Refeição</v>
      </c>
      <c r="BT109" s="136">
        <f t="shared" si="72"/>
        <v>126</v>
      </c>
      <c r="BU109" s="136">
        <f t="shared" si="73"/>
        <v>124</v>
      </c>
      <c r="BZ109" s="280"/>
      <c r="CA109" s="183" t="str">
        <f>'INFO BASE'!L172</f>
        <v>-</v>
      </c>
      <c r="CB109" s="183" t="str">
        <f>'INFO BASE'!M172</f>
        <v/>
      </c>
      <c r="CR109" s="177" t="str">
        <f t="shared" si="53"/>
        <v>HR</v>
      </c>
      <c r="CS109" s="177" t="str">
        <f t="shared" si="54"/>
        <v>HR-</v>
      </c>
      <c r="CT109" s="177" t="str">
        <f t="shared" si="53"/>
        <v>HR</v>
      </c>
      <c r="CU109" s="177" t="str">
        <f t="shared" si="55"/>
        <v>HR-</v>
      </c>
      <c r="CV109" s="177" t="str">
        <f t="shared" si="53"/>
        <v>HR</v>
      </c>
      <c r="CW109" s="177" t="str">
        <f t="shared" si="56"/>
        <v>HR-</v>
      </c>
      <c r="CX109" s="177" t="str">
        <f t="shared" ref="CR109:CZ113" si="81">IF(H109="",1,H109)</f>
        <v>HR</v>
      </c>
      <c r="CY109" s="177" t="str">
        <f t="shared" si="57"/>
        <v>HR-</v>
      </c>
      <c r="CZ109" s="177" t="str">
        <f t="shared" si="81"/>
        <v>HR</v>
      </c>
      <c r="DA109" s="177" t="str">
        <f t="shared" si="58"/>
        <v>HR-</v>
      </c>
      <c r="DB109" s="177" t="str">
        <f t="shared" ref="DB109:DB113" si="82">IF(L109="",1,L109)</f>
        <v>PV</v>
      </c>
      <c r="DC109" s="177">
        <f t="shared" si="59"/>
        <v>0</v>
      </c>
      <c r="DD109" s="177" t="str">
        <f t="shared" si="60"/>
        <v>HR</v>
      </c>
      <c r="DE109" s="177" t="str">
        <f t="shared" si="61"/>
        <v>HR-</v>
      </c>
    </row>
    <row r="110" spans="1:109" ht="18" customHeight="1" x14ac:dyDescent="0.3">
      <c r="A110" s="81">
        <v>0.91666666666669605</v>
      </c>
      <c r="B110" s="166" t="s">
        <v>116</v>
      </c>
      <c r="C110" s="130"/>
      <c r="D110" s="169" t="s">
        <v>116</v>
      </c>
      <c r="E110" s="130"/>
      <c r="F110" s="169" t="s">
        <v>116</v>
      </c>
      <c r="G110" s="130"/>
      <c r="H110" s="169" t="s">
        <v>116</v>
      </c>
      <c r="I110" s="130"/>
      <c r="J110" s="169" t="s">
        <v>12</v>
      </c>
      <c r="K110" s="130" t="s">
        <v>120</v>
      </c>
      <c r="L110" s="169" t="s">
        <v>12</v>
      </c>
      <c r="M110" s="130" t="s">
        <v>120</v>
      </c>
      <c r="N110" s="169" t="s">
        <v>116</v>
      </c>
      <c r="O110" s="154"/>
      <c r="P110" s="6">
        <v>0.2</v>
      </c>
      <c r="Q110" s="104" t="str">
        <f>IF('INFO BASE'!$C$26="","",'INFO BASE'!$C$26)</f>
        <v>Privado</v>
      </c>
      <c r="R110" s="87" t="str">
        <f t="shared" si="71"/>
        <v>PV</v>
      </c>
      <c r="S110" s="88">
        <f t="shared" si="68"/>
        <v>0.66037735849056611</v>
      </c>
      <c r="T110" s="89">
        <f>IF(VLOOKUP(Q110,'INFO BASE'!$B$40:$I$54,IF(R110='INFO BASE'!$B$32,3,IF(R110='INFO BASE'!$B$33,4,IF(R110='INFO BASE'!$B$34,5,IF(R110='INFO BASE'!$B$35,6,IF(R110='INFO BASE'!$B$36,7,IF(R110='INFO BASE'!$B$37,8,2)))))),0)=0,"",VLOOKUP(Q110,'INFO BASE'!$B$40:$I$54,IF(R110='INFO BASE'!$B$32,3,IF(R110='INFO BASE'!$B$33,4,IF(R110='INFO BASE'!$B$34,5,IF(R110='INFO BASE'!$B$35,6,IF(R110='INFO BASE'!$B$36,7,IF(R110='INFO BASE'!$B$37,8,2)))))),0))</f>
        <v>26.5</v>
      </c>
      <c r="U110" s="89">
        <f t="shared" si="80"/>
        <v>44</v>
      </c>
      <c r="V110" s="89">
        <f>IF(R110="","",COUNTIFS(AI66:AV113,R110)*0.5)</f>
        <v>42.5</v>
      </c>
      <c r="W110" s="90">
        <f>IF(AH62="","-",IF(V110=0,U110,IFERROR((U110/V110)-1,"-")))</f>
        <v>3.529411764705892E-2</v>
      </c>
      <c r="X110" s="202">
        <f t="shared" si="69"/>
        <v>0</v>
      </c>
      <c r="Y110" s="271"/>
      <c r="Z110" s="272"/>
      <c r="AA110" s="272"/>
      <c r="AB110" s="272"/>
      <c r="AC110" s="272"/>
      <c r="AD110" s="272"/>
      <c r="AE110" s="272"/>
      <c r="AF110" s="273"/>
      <c r="AH110" s="136">
        <v>0.91666666666669605</v>
      </c>
      <c r="AI110" s="136" t="s">
        <v>116</v>
      </c>
      <c r="AJ110" s="136" t="s">
        <v>235</v>
      </c>
      <c r="AK110" s="136" t="s">
        <v>116</v>
      </c>
      <c r="AL110" s="136" t="s">
        <v>235</v>
      </c>
      <c r="AM110" s="136" t="s">
        <v>116</v>
      </c>
      <c r="AN110" s="136" t="s">
        <v>235</v>
      </c>
      <c r="AO110" s="136" t="s">
        <v>116</v>
      </c>
      <c r="AP110" s="136" t="s">
        <v>235</v>
      </c>
      <c r="AQ110" s="136" t="s">
        <v>12</v>
      </c>
      <c r="AR110" s="136" t="s">
        <v>120</v>
      </c>
      <c r="AS110" s="136" t="s">
        <v>12</v>
      </c>
      <c r="AT110" s="136" t="s">
        <v>120</v>
      </c>
      <c r="AU110" s="136" t="s">
        <v>116</v>
      </c>
      <c r="AV110" s="136" t="s">
        <v>235</v>
      </c>
      <c r="AX110" s="136" t="str">
        <f>IF(AI62="","",IF(B110="","",B110))</f>
        <v>PV</v>
      </c>
      <c r="AY110" s="136" t="str">
        <f>IF(AI62="","",IF(C110="","",C110))</f>
        <v/>
      </c>
      <c r="AZ110" s="136" t="str">
        <f>IF(AI62="","",IF(D110="","",D110))</f>
        <v>PV</v>
      </c>
      <c r="BA110" s="136" t="str">
        <f>IF(AI62="","",IF(E110="","",E110))</f>
        <v/>
      </c>
      <c r="BB110" s="136" t="str">
        <f>IF(AI62="","",IF(F110="","",F110))</f>
        <v>PV</v>
      </c>
      <c r="BC110" s="136" t="str">
        <f>IF(AI62="","",IF(G110="","",G110))</f>
        <v/>
      </c>
      <c r="BD110" s="136" t="str">
        <f>IF(AI62="","",IF(H110="","",H110))</f>
        <v>PV</v>
      </c>
      <c r="BE110" s="136" t="str">
        <f>IF(AI62="","",IF(I110="","",I110))</f>
        <v/>
      </c>
      <c r="BF110" s="136" t="str">
        <f>IF(AI62="","",IF(J110="","",J110))</f>
        <v>HR</v>
      </c>
      <c r="BG110" s="136" t="str">
        <f>IF(AI62="","",IF(K110="","",K110))</f>
        <v>-</v>
      </c>
      <c r="BH110" s="136" t="str">
        <f>IF(AI62="","",IF(L110="","",L110))</f>
        <v>HR</v>
      </c>
      <c r="BI110" s="136" t="str">
        <f>IF(AI62="","",IF(M110="","",M110))</f>
        <v>-</v>
      </c>
      <c r="BJ110" s="136" t="str">
        <f>IF(AI62="","",IF(N110="","",N110))</f>
        <v>PV</v>
      </c>
      <c r="BK110" s="136" t="str">
        <f>IF(AI62="","",IF(O110="","",O110))</f>
        <v/>
      </c>
      <c r="BN110" s="136" t="str">
        <f t="shared" si="64"/>
        <v>Sono</v>
      </c>
      <c r="BO110" s="136" t="str">
        <f t="shared" si="64"/>
        <v>HS</v>
      </c>
      <c r="BP110" s="136">
        <f>IF(BO110="","",COUNTIFS(AX66:BK113,BO110)*0.5)</f>
        <v>51.5</v>
      </c>
      <c r="BQ110" s="136" t="str">
        <f t="shared" si="65"/>
        <v>Sono</v>
      </c>
      <c r="BR110" s="136" t="str">
        <f t="shared" si="65"/>
        <v>HS</v>
      </c>
      <c r="BS110" s="136" t="str">
        <f t="shared" si="66"/>
        <v>Sono</v>
      </c>
      <c r="BT110" s="136">
        <f t="shared" si="72"/>
        <v>417</v>
      </c>
      <c r="BU110" s="136">
        <f t="shared" si="73"/>
        <v>417.5</v>
      </c>
      <c r="BZ110" s="280"/>
      <c r="CA110" s="183" t="str">
        <f>'INFO BASE'!L173</f>
        <v>-</v>
      </c>
      <c r="CB110" s="183" t="str">
        <f>'INFO BASE'!M173</f>
        <v/>
      </c>
      <c r="CR110" s="177" t="str">
        <f t="shared" si="81"/>
        <v>PV</v>
      </c>
      <c r="CS110" s="177">
        <f t="shared" si="54"/>
        <v>0</v>
      </c>
      <c r="CT110" s="177" t="str">
        <f t="shared" si="81"/>
        <v>PV</v>
      </c>
      <c r="CU110" s="177">
        <f t="shared" si="55"/>
        <v>0</v>
      </c>
      <c r="CV110" s="177" t="str">
        <f t="shared" si="81"/>
        <v>PV</v>
      </c>
      <c r="CW110" s="177">
        <f t="shared" si="56"/>
        <v>0</v>
      </c>
      <c r="CX110" s="177" t="str">
        <f t="shared" si="81"/>
        <v>PV</v>
      </c>
      <c r="CY110" s="177">
        <f t="shared" si="57"/>
        <v>0</v>
      </c>
      <c r="CZ110" s="177" t="str">
        <f t="shared" si="81"/>
        <v>HR</v>
      </c>
      <c r="DA110" s="177" t="str">
        <f t="shared" si="58"/>
        <v>HR-</v>
      </c>
      <c r="DB110" s="177" t="str">
        <f t="shared" si="82"/>
        <v>HR</v>
      </c>
      <c r="DC110" s="177" t="str">
        <f t="shared" si="59"/>
        <v>HR-</v>
      </c>
      <c r="DD110" s="177" t="str">
        <f t="shared" si="60"/>
        <v>PV</v>
      </c>
      <c r="DE110" s="177">
        <f t="shared" si="61"/>
        <v>0</v>
      </c>
    </row>
    <row r="111" spans="1:109" ht="18" customHeight="1" x14ac:dyDescent="0.3">
      <c r="A111" s="81">
        <v>0.93750000000002998</v>
      </c>
      <c r="B111" s="166" t="s">
        <v>116</v>
      </c>
      <c r="C111" s="130"/>
      <c r="D111" s="169" t="s">
        <v>116</v>
      </c>
      <c r="E111" s="130"/>
      <c r="F111" s="169" t="s">
        <v>116</v>
      </c>
      <c r="G111" s="130"/>
      <c r="H111" s="169" t="s">
        <v>116</v>
      </c>
      <c r="I111" s="130"/>
      <c r="J111" s="169" t="s">
        <v>12</v>
      </c>
      <c r="K111" s="130" t="s">
        <v>120</v>
      </c>
      <c r="L111" s="169" t="s">
        <v>12</v>
      </c>
      <c r="M111" s="130" t="s">
        <v>120</v>
      </c>
      <c r="N111" s="169" t="s">
        <v>116</v>
      </c>
      <c r="O111" s="154"/>
      <c r="P111" s="6">
        <v>0.2</v>
      </c>
      <c r="Q111" s="86" t="str">
        <f>IF('INFO BASE'!$C$27="","",'INFO BASE'!$C$27)</f>
        <v>Deslocação</v>
      </c>
      <c r="R111" s="87" t="str">
        <f t="shared" si="71"/>
        <v>HD</v>
      </c>
      <c r="S111" s="88">
        <f t="shared" si="68"/>
        <v>0.44999999999999996</v>
      </c>
      <c r="T111" s="89">
        <f>IF(VLOOKUP(Q111,'INFO BASE'!$B$40:$I$54,IF(R111='INFO BASE'!$B$32,3,IF(R111='INFO BASE'!$B$33,4,IF(R111='INFO BASE'!$B$34,5,IF(R111='INFO BASE'!$B$35,6,IF(R111='INFO BASE'!$B$36,7,IF(R111='INFO BASE'!$B$37,8,2)))))),0)=0,"",VLOOKUP(Q111,'INFO BASE'!$B$40:$I$54,IF(R111='INFO BASE'!$B$32,3,IF(R111='INFO BASE'!$B$33,4,IF(R111='INFO BASE'!$B$34,5,IF(R111='INFO BASE'!$B$35,6,IF(R111='INFO BASE'!$B$36,7,IF(R111='INFO BASE'!$B$37,8,2)))))),0))</f>
        <v>10</v>
      </c>
      <c r="U111" s="89">
        <f t="shared" si="80"/>
        <v>14.5</v>
      </c>
      <c r="V111" s="89">
        <f>IF(R111="","",COUNTIFS(AI66:AV113,R111)*0.5)</f>
        <v>14.5</v>
      </c>
      <c r="W111" s="90">
        <f>IF(AH62="","-",IF(V111=0,U111,IFERROR((U111/V111)-1,"-")))</f>
        <v>0</v>
      </c>
      <c r="X111" s="203">
        <f t="shared" si="69"/>
        <v>0</v>
      </c>
      <c r="Y111" s="271"/>
      <c r="Z111" s="272"/>
      <c r="AA111" s="272"/>
      <c r="AB111" s="272"/>
      <c r="AC111" s="272"/>
      <c r="AD111" s="272"/>
      <c r="AE111" s="272"/>
      <c r="AF111" s="273"/>
      <c r="AH111" s="136">
        <v>0.93750000000002998</v>
      </c>
      <c r="AI111" s="136" t="s">
        <v>116</v>
      </c>
      <c r="AJ111" s="136" t="s">
        <v>235</v>
      </c>
      <c r="AK111" s="136" t="s">
        <v>116</v>
      </c>
      <c r="AL111" s="136" t="s">
        <v>235</v>
      </c>
      <c r="AM111" s="136" t="s">
        <v>116</v>
      </c>
      <c r="AN111" s="136" t="s">
        <v>235</v>
      </c>
      <c r="AO111" s="136" t="s">
        <v>116</v>
      </c>
      <c r="AP111" s="136" t="s">
        <v>235</v>
      </c>
      <c r="AQ111" s="136" t="s">
        <v>12</v>
      </c>
      <c r="AR111" s="136" t="s">
        <v>120</v>
      </c>
      <c r="AS111" s="136" t="s">
        <v>12</v>
      </c>
      <c r="AT111" s="136" t="s">
        <v>120</v>
      </c>
      <c r="AU111" s="136" t="s">
        <v>116</v>
      </c>
      <c r="AV111" s="136" t="s">
        <v>235</v>
      </c>
      <c r="AX111" s="136" t="str">
        <f>IF(AI62="","",IF(B111="","",B111))</f>
        <v>PV</v>
      </c>
      <c r="AY111" s="136" t="str">
        <f>IF(AI62="","",IF(C111="","",C111))</f>
        <v/>
      </c>
      <c r="AZ111" s="136" t="str">
        <f>IF(AI62="","",IF(D111="","",D111))</f>
        <v>PV</v>
      </c>
      <c r="BA111" s="136" t="str">
        <f>IF(AI62="","",IF(E111="","",E111))</f>
        <v/>
      </c>
      <c r="BB111" s="136" t="str">
        <f>IF(AI62="","",IF(F111="","",F111))</f>
        <v>PV</v>
      </c>
      <c r="BC111" s="136" t="str">
        <f>IF(AI62="","",IF(G111="","",G111))</f>
        <v/>
      </c>
      <c r="BD111" s="136" t="str">
        <f>IF(AI62="","",IF(H111="","",H111))</f>
        <v>PV</v>
      </c>
      <c r="BE111" s="136" t="str">
        <f>IF(AI62="","",IF(I111="","",I111))</f>
        <v/>
      </c>
      <c r="BF111" s="136" t="str">
        <f>IF(AI62="","",IF(J111="","",J111))</f>
        <v>HR</v>
      </c>
      <c r="BG111" s="136" t="str">
        <f>IF(AI62="","",IF(K111="","",K111))</f>
        <v>-</v>
      </c>
      <c r="BH111" s="136" t="str">
        <f>IF(AI62="","",IF(L111="","",L111))</f>
        <v>HR</v>
      </c>
      <c r="BI111" s="136" t="str">
        <f>IF(AI62="","",IF(M111="","",M111))</f>
        <v>-</v>
      </c>
      <c r="BJ111" s="136" t="str">
        <f>IF(AI62="","",IF(N111="","",N111))</f>
        <v>PV</v>
      </c>
      <c r="BK111" s="136" t="str">
        <f>IF(AI62="","",IF(O111="","",O111))</f>
        <v/>
      </c>
      <c r="BP111" s="136" t="str">
        <f>IF(BO111="","",COUNTIFS(AX66:BK113,BO111)*0.5)</f>
        <v/>
      </c>
      <c r="BZ111" s="280"/>
      <c r="CA111" s="183" t="str">
        <f>'INFO BASE'!L174</f>
        <v>-</v>
      </c>
      <c r="CB111" s="183" t="str">
        <f>'INFO BASE'!M174</f>
        <v/>
      </c>
      <c r="CR111" s="177" t="str">
        <f t="shared" si="81"/>
        <v>PV</v>
      </c>
      <c r="CS111" s="177">
        <f t="shared" si="54"/>
        <v>0</v>
      </c>
      <c r="CT111" s="177" t="str">
        <f t="shared" si="81"/>
        <v>PV</v>
      </c>
      <c r="CU111" s="177">
        <f t="shared" si="55"/>
        <v>0</v>
      </c>
      <c r="CV111" s="177" t="str">
        <f t="shared" si="81"/>
        <v>PV</v>
      </c>
      <c r="CW111" s="177">
        <f t="shared" si="56"/>
        <v>0</v>
      </c>
      <c r="CX111" s="177" t="str">
        <f t="shared" si="81"/>
        <v>PV</v>
      </c>
      <c r="CY111" s="177">
        <f t="shared" si="57"/>
        <v>0</v>
      </c>
      <c r="CZ111" s="177" t="str">
        <f t="shared" si="81"/>
        <v>HR</v>
      </c>
      <c r="DA111" s="177" t="str">
        <f t="shared" si="58"/>
        <v>HR-</v>
      </c>
      <c r="DB111" s="177" t="str">
        <f t="shared" si="82"/>
        <v>HR</v>
      </c>
      <c r="DC111" s="177" t="str">
        <f t="shared" si="59"/>
        <v>HR-</v>
      </c>
      <c r="DD111" s="177" t="str">
        <f t="shared" si="60"/>
        <v>PV</v>
      </c>
      <c r="DE111" s="177">
        <f t="shared" si="61"/>
        <v>0</v>
      </c>
    </row>
    <row r="112" spans="1:109" ht="18" customHeight="1" x14ac:dyDescent="0.3">
      <c r="A112" s="81">
        <v>0.95833333333336401</v>
      </c>
      <c r="B112" s="166" t="s">
        <v>10</v>
      </c>
      <c r="C112" s="130" t="s">
        <v>120</v>
      </c>
      <c r="D112" s="169" t="s">
        <v>10</v>
      </c>
      <c r="E112" s="130" t="s">
        <v>120</v>
      </c>
      <c r="F112" s="169" t="s">
        <v>10</v>
      </c>
      <c r="G112" s="130" t="s">
        <v>120</v>
      </c>
      <c r="H112" s="169" t="s">
        <v>10</v>
      </c>
      <c r="I112" s="130" t="s">
        <v>120</v>
      </c>
      <c r="J112" s="169" t="s">
        <v>116</v>
      </c>
      <c r="K112" s="130"/>
      <c r="L112" s="169" t="s">
        <v>12</v>
      </c>
      <c r="M112" s="130" t="s">
        <v>120</v>
      </c>
      <c r="N112" s="169" t="s">
        <v>10</v>
      </c>
      <c r="O112" s="154" t="s">
        <v>120</v>
      </c>
      <c r="P112" s="6">
        <v>0.2</v>
      </c>
      <c r="Q112" s="91" t="str">
        <f>IF('INFO BASE'!$C$28="","",'INFO BASE'!$C$28)</f>
        <v>Refeição</v>
      </c>
      <c r="R112" s="87" t="str">
        <f t="shared" si="71"/>
        <v>HR</v>
      </c>
      <c r="S112" s="88">
        <f t="shared" si="68"/>
        <v>0.1333333333333333</v>
      </c>
      <c r="T112" s="89">
        <f>IF(VLOOKUP(Q112,'INFO BASE'!$B$40:$I$54,IF(R112='INFO BASE'!$B$32,3,IF(R112='INFO BASE'!$B$33,4,IF(R112='INFO BASE'!$B$34,5,IF(R112='INFO BASE'!$B$35,6,IF(R112='INFO BASE'!$B$36,7,IF(R112='INFO BASE'!$B$37,8,2)))))),0)=0,"",VLOOKUP(Q112,'INFO BASE'!$B$40:$I$54,IF(R112='INFO BASE'!$B$32,3,IF(R112='INFO BASE'!$B$33,4,IF(R112='INFO BASE'!$B$34,5,IF(R112='INFO BASE'!$B$35,6,IF(R112='INFO BASE'!$B$36,7,IF(R112='INFO BASE'!$B$37,8,2)))))),0))</f>
        <v>15</v>
      </c>
      <c r="U112" s="89">
        <f t="shared" si="80"/>
        <v>17</v>
      </c>
      <c r="V112" s="89">
        <f>IF(R112="","",COUNTIFS(AI66:AV113,R112)*0.5)</f>
        <v>17</v>
      </c>
      <c r="W112" s="90">
        <f>IF(AH62="","-",IF(V112=0,U112,IFERROR((U112/V112)-1,"-")))</f>
        <v>0</v>
      </c>
      <c r="X112" s="204">
        <f t="shared" si="69"/>
        <v>0</v>
      </c>
      <c r="Y112" s="271"/>
      <c r="Z112" s="272"/>
      <c r="AA112" s="272"/>
      <c r="AB112" s="272"/>
      <c r="AC112" s="272"/>
      <c r="AD112" s="272"/>
      <c r="AE112" s="272"/>
      <c r="AF112" s="273"/>
      <c r="AH112" s="136">
        <v>0.95833333333336401</v>
      </c>
      <c r="AI112" s="136" t="s">
        <v>10</v>
      </c>
      <c r="AJ112" s="136" t="s">
        <v>120</v>
      </c>
      <c r="AK112" s="136" t="s">
        <v>10</v>
      </c>
      <c r="AL112" s="136" t="s">
        <v>120</v>
      </c>
      <c r="AM112" s="136" t="s">
        <v>10</v>
      </c>
      <c r="AN112" s="136" t="s">
        <v>120</v>
      </c>
      <c r="AO112" s="136" t="s">
        <v>10</v>
      </c>
      <c r="AP112" s="136" t="s">
        <v>120</v>
      </c>
      <c r="AQ112" s="136" t="s">
        <v>116</v>
      </c>
      <c r="AR112" s="136" t="s">
        <v>235</v>
      </c>
      <c r="AS112" s="136" t="s">
        <v>12</v>
      </c>
      <c r="AT112" s="136" t="s">
        <v>120</v>
      </c>
      <c r="AU112" s="136" t="s">
        <v>10</v>
      </c>
      <c r="AV112" s="136" t="s">
        <v>120</v>
      </c>
      <c r="AX112" s="136" t="str">
        <f>IF(AI62="","",IF(B112="","",B112))</f>
        <v>HS</v>
      </c>
      <c r="AY112" s="136" t="str">
        <f>IF(AI62="","",IF(C112="","",C112))</f>
        <v>-</v>
      </c>
      <c r="AZ112" s="136" t="str">
        <f>IF(AI62="","",IF(D112="","",D112))</f>
        <v>HS</v>
      </c>
      <c r="BA112" s="136" t="str">
        <f>IF(AI62="","",IF(E112="","",E112))</f>
        <v>-</v>
      </c>
      <c r="BB112" s="136" t="str">
        <f>IF(AI62="","",IF(F112="","",F112))</f>
        <v>HS</v>
      </c>
      <c r="BC112" s="136" t="str">
        <f>IF(AI62="","",IF(G112="","",G112))</f>
        <v>-</v>
      </c>
      <c r="BD112" s="136" t="str">
        <f>IF(AI62="","",IF(H112="","",H112))</f>
        <v>HS</v>
      </c>
      <c r="BE112" s="136" t="str">
        <f>IF(AI62="","",IF(I112="","",I112))</f>
        <v>-</v>
      </c>
      <c r="BF112" s="136" t="str">
        <f>IF(AI62="","",IF(J112="","",J112))</f>
        <v>PV</v>
      </c>
      <c r="BG112" s="136" t="str">
        <f>IF(AI62="","",IF(K112="","",K112))</f>
        <v/>
      </c>
      <c r="BH112" s="136" t="str">
        <f>IF(AI62="","",IF(L112="","",L112))</f>
        <v>HR</v>
      </c>
      <c r="BI112" s="136" t="str">
        <f>IF(AI62="","",IF(M112="","",M112))</f>
        <v>-</v>
      </c>
      <c r="BJ112" s="136" t="str">
        <f>IF(AI62="","",IF(N112="","",N112))</f>
        <v>HS</v>
      </c>
      <c r="BK112" s="136" t="str">
        <f>IF(AI62="","",IF(O112="","",O112))</f>
        <v>-</v>
      </c>
      <c r="BP112" s="136" t="str">
        <f>IF(BO112="","",COUNTIFS(AX66:BK113,BO112)*0.5)</f>
        <v/>
      </c>
      <c r="BZ112" s="280"/>
      <c r="CA112" s="183" t="str">
        <f>'INFO BASE'!L175</f>
        <v>-</v>
      </c>
      <c r="CB112" s="183" t="str">
        <f>'INFO BASE'!M175</f>
        <v/>
      </c>
      <c r="CR112" s="177" t="str">
        <f t="shared" si="81"/>
        <v>HS</v>
      </c>
      <c r="CS112" s="177" t="str">
        <f t="shared" si="54"/>
        <v>HS-</v>
      </c>
      <c r="CT112" s="177" t="str">
        <f t="shared" si="81"/>
        <v>HS</v>
      </c>
      <c r="CU112" s="177" t="str">
        <f t="shared" si="55"/>
        <v>HS-</v>
      </c>
      <c r="CV112" s="177" t="str">
        <f t="shared" si="81"/>
        <v>HS</v>
      </c>
      <c r="CW112" s="177" t="str">
        <f t="shared" si="56"/>
        <v>HS-</v>
      </c>
      <c r="CX112" s="177" t="str">
        <f t="shared" si="81"/>
        <v>HS</v>
      </c>
      <c r="CY112" s="177" t="str">
        <f t="shared" si="57"/>
        <v>HS-</v>
      </c>
      <c r="CZ112" s="177" t="str">
        <f t="shared" si="81"/>
        <v>PV</v>
      </c>
      <c r="DA112" s="177">
        <f t="shared" si="58"/>
        <v>0</v>
      </c>
      <c r="DB112" s="177" t="str">
        <f t="shared" si="82"/>
        <v>HR</v>
      </c>
      <c r="DC112" s="177" t="str">
        <f t="shared" si="59"/>
        <v>HR-</v>
      </c>
      <c r="DD112" s="177" t="str">
        <f t="shared" si="60"/>
        <v>HS</v>
      </c>
      <c r="DE112" s="177" t="str">
        <f t="shared" si="61"/>
        <v>HS-</v>
      </c>
    </row>
    <row r="113" spans="1:120" ht="18" customHeight="1" thickBot="1" x14ac:dyDescent="0.35">
      <c r="A113" s="180">
        <v>0.97916666666669805</v>
      </c>
      <c r="B113" s="167" t="s">
        <v>10</v>
      </c>
      <c r="C113" s="156" t="s">
        <v>120</v>
      </c>
      <c r="D113" s="170" t="s">
        <v>10</v>
      </c>
      <c r="E113" s="156" t="s">
        <v>120</v>
      </c>
      <c r="F113" s="170" t="s">
        <v>10</v>
      </c>
      <c r="G113" s="156" t="s">
        <v>120</v>
      </c>
      <c r="H113" s="170" t="s">
        <v>10</v>
      </c>
      <c r="I113" s="156" t="s">
        <v>120</v>
      </c>
      <c r="J113" s="170" t="s">
        <v>116</v>
      </c>
      <c r="K113" s="156"/>
      <c r="L113" s="170" t="s">
        <v>12</v>
      </c>
      <c r="M113" s="156" t="s">
        <v>120</v>
      </c>
      <c r="N113" s="170" t="s">
        <v>10</v>
      </c>
      <c r="O113" s="158" t="s">
        <v>120</v>
      </c>
      <c r="P113" s="6">
        <v>0.2</v>
      </c>
      <c r="Q113" s="92" t="str">
        <f>IF('INFO BASE'!$C$29="","",'INFO BASE'!$C$29)</f>
        <v>Sono</v>
      </c>
      <c r="R113" s="93" t="str">
        <f t="shared" si="71"/>
        <v>HS</v>
      </c>
      <c r="S113" s="94">
        <f t="shared" si="68"/>
        <v>5.1020408163265252E-2</v>
      </c>
      <c r="T113" s="95">
        <f>IF(VLOOKUP(Q113,'INFO BASE'!$B$40:$I$54,IF(R113='INFO BASE'!$B$32,3,IF(R113='INFO BASE'!$B$33,4,IF(R113='INFO BASE'!$B$34,5,IF(R113='INFO BASE'!$B$35,6,IF(R113='INFO BASE'!$B$36,7,IF(R113='INFO BASE'!$B$37,8,2)))))),0)=0,"",VLOOKUP(Q113,'INFO BASE'!$B$40:$I$54,IF(R113='INFO BASE'!$B$32,3,IF(R113='INFO BASE'!$B$33,4,IF(R113='INFO BASE'!$B$34,5,IF(R113='INFO BASE'!$B$35,6,IF(R113='INFO BASE'!$B$36,7,IF(R113='INFO BASE'!$B$37,8,2)))))),0))</f>
        <v>49</v>
      </c>
      <c r="U113" s="95">
        <f t="shared" si="80"/>
        <v>51.5</v>
      </c>
      <c r="V113" s="95">
        <f>IF(R113="","",COUNTIFS(AI66:AV113,R113)*0.5)</f>
        <v>51.5</v>
      </c>
      <c r="W113" s="96">
        <f>IF(AH62="","-",IF(V113=0,U113,IFERROR((U113/V113)-1,"-")))</f>
        <v>0</v>
      </c>
      <c r="X113" s="204">
        <f t="shared" si="69"/>
        <v>0</v>
      </c>
      <c r="Y113" s="274"/>
      <c r="Z113" s="275"/>
      <c r="AA113" s="275"/>
      <c r="AB113" s="275"/>
      <c r="AC113" s="275"/>
      <c r="AD113" s="275"/>
      <c r="AE113" s="275"/>
      <c r="AF113" s="276"/>
      <c r="AH113" s="136">
        <v>0.97916666666669805</v>
      </c>
      <c r="AI113" s="136" t="s">
        <v>10</v>
      </c>
      <c r="AJ113" s="136" t="s">
        <v>120</v>
      </c>
      <c r="AK113" s="136" t="s">
        <v>10</v>
      </c>
      <c r="AL113" s="136" t="s">
        <v>120</v>
      </c>
      <c r="AM113" s="136" t="s">
        <v>10</v>
      </c>
      <c r="AN113" s="136" t="s">
        <v>120</v>
      </c>
      <c r="AO113" s="136" t="s">
        <v>10</v>
      </c>
      <c r="AP113" s="136" t="s">
        <v>120</v>
      </c>
      <c r="AQ113" s="136" t="s">
        <v>116</v>
      </c>
      <c r="AR113" s="136" t="s">
        <v>235</v>
      </c>
      <c r="AS113" s="136" t="s">
        <v>12</v>
      </c>
      <c r="AT113" s="136" t="s">
        <v>120</v>
      </c>
      <c r="AU113" s="136" t="s">
        <v>10</v>
      </c>
      <c r="AV113" s="136" t="s">
        <v>120</v>
      </c>
      <c r="AX113" s="136" t="str">
        <f>IF(AI62="","",IF(B113="","",B113))</f>
        <v>HS</v>
      </c>
      <c r="AY113" s="136" t="str">
        <f>IF(AI62="","",IF(C113="","",C113))</f>
        <v>-</v>
      </c>
      <c r="AZ113" s="136" t="str">
        <f>IF(AI62="","",IF(D113="","",D113))</f>
        <v>HS</v>
      </c>
      <c r="BA113" s="136" t="str">
        <f>IF(AI62="","",IF(E113="","",E113))</f>
        <v>-</v>
      </c>
      <c r="BB113" s="136" t="str">
        <f>IF(AI62="","",IF(F113="","",F113))</f>
        <v>HS</v>
      </c>
      <c r="BC113" s="136" t="str">
        <f>IF(AI62="","",IF(G113="","",G113))</f>
        <v>-</v>
      </c>
      <c r="BD113" s="136" t="str">
        <f>IF(AI62="","",IF(H113="","",H113))</f>
        <v>HS</v>
      </c>
      <c r="BE113" s="136" t="str">
        <f>IF(AI62="","",IF(I113="","",I113))</f>
        <v>-</v>
      </c>
      <c r="BF113" s="136" t="str">
        <f>IF(AI62="","",IF(J113="","",J113))</f>
        <v>PV</v>
      </c>
      <c r="BG113" s="136" t="str">
        <f>IF(AI62="","",IF(K113="","",K113))</f>
        <v/>
      </c>
      <c r="BH113" s="136" t="str">
        <f>IF(AI62="","",IF(L113="","",L113))</f>
        <v>HR</v>
      </c>
      <c r="BI113" s="136" t="str">
        <f>IF(AI62="","",IF(M113="","",M113))</f>
        <v>-</v>
      </c>
      <c r="BJ113" s="136" t="str">
        <f>IF(AI62="","",IF(N113="","",N113))</f>
        <v>HS</v>
      </c>
      <c r="BK113" s="136" t="str">
        <f>IF(AI62="","",IF(O113="","",O113))</f>
        <v>-</v>
      </c>
      <c r="BP113" s="136" t="str">
        <f>IF(BO113="","",COUNTIFS(AX66:BK113,BO113)*0.5)</f>
        <v/>
      </c>
      <c r="BZ113" s="280"/>
      <c r="CA113" s="183" t="str">
        <f>'INFO BASE'!L176</f>
        <v>-</v>
      </c>
      <c r="CB113" s="183" t="str">
        <f>'INFO BASE'!M176</f>
        <v/>
      </c>
      <c r="CR113" s="177" t="str">
        <f t="shared" si="81"/>
        <v>HS</v>
      </c>
      <c r="CS113" s="177" t="str">
        <f t="shared" si="54"/>
        <v>HS-</v>
      </c>
      <c r="CT113" s="177" t="str">
        <f t="shared" si="81"/>
        <v>HS</v>
      </c>
      <c r="CU113" s="177" t="str">
        <f t="shared" si="55"/>
        <v>HS-</v>
      </c>
      <c r="CV113" s="177" t="str">
        <f t="shared" si="81"/>
        <v>HS</v>
      </c>
      <c r="CW113" s="177" t="str">
        <f t="shared" si="56"/>
        <v>HS-</v>
      </c>
      <c r="CX113" s="177" t="str">
        <f t="shared" si="81"/>
        <v>HS</v>
      </c>
      <c r="CY113" s="177" t="str">
        <f t="shared" si="57"/>
        <v>HS-</v>
      </c>
      <c r="CZ113" s="177" t="str">
        <f t="shared" si="81"/>
        <v>PV</v>
      </c>
      <c r="DA113" s="177">
        <f t="shared" si="58"/>
        <v>0</v>
      </c>
      <c r="DB113" s="177" t="str">
        <f t="shared" si="82"/>
        <v>HR</v>
      </c>
      <c r="DC113" s="177" t="str">
        <f t="shared" si="59"/>
        <v>HR-</v>
      </c>
      <c r="DD113" s="177" t="str">
        <f t="shared" si="60"/>
        <v>HS</v>
      </c>
      <c r="DE113" s="177" t="str">
        <f t="shared" si="61"/>
        <v>HS-</v>
      </c>
    </row>
    <row r="114" spans="1:120" s="139" customFormat="1" ht="16.2" thickTop="1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7">
        <v>1</v>
      </c>
      <c r="Y114" s="6">
        <f>COUNTA(Y77:AF113)</f>
        <v>4</v>
      </c>
      <c r="Z114" s="6">
        <f>SUM(X77:X113)</f>
        <v>4</v>
      </c>
      <c r="AA114" s="6">
        <f>IF(Z114&gt;Y114,"ERRO",0)</f>
        <v>0</v>
      </c>
      <c r="AB114" s="6"/>
      <c r="AC114" s="6"/>
      <c r="AD114" s="6"/>
      <c r="AE114" s="6"/>
      <c r="AF114" s="6"/>
      <c r="AG114" s="6"/>
      <c r="BM114" s="136"/>
      <c r="BN114" s="136"/>
      <c r="BO114" s="136"/>
      <c r="BP114" s="136"/>
      <c r="BQ114" s="136"/>
      <c r="BR114" s="136"/>
      <c r="BS114" s="136"/>
      <c r="BT114" s="136"/>
      <c r="BU114" s="136"/>
      <c r="BZ114" s="280"/>
      <c r="CA114" s="206" t="str">
        <f>'INFO BASE'!L177</f>
        <v>-</v>
      </c>
      <c r="CB114" s="206" t="str">
        <f>'INFO BASE'!M177</f>
        <v/>
      </c>
      <c r="DN114" s="194"/>
      <c r="DO114" s="194"/>
      <c r="DP114" s="194"/>
    </row>
    <row r="115" spans="1:120" s="139" customFormat="1" ht="15.6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7">
        <v>1</v>
      </c>
      <c r="Y115" s="6" t="s">
        <v>220</v>
      </c>
      <c r="Z115" s="6" t="s">
        <v>219</v>
      </c>
      <c r="AA115" s="6" t="s">
        <v>221</v>
      </c>
      <c r="AB115" s="6"/>
      <c r="AC115" s="6"/>
      <c r="AD115" s="6"/>
      <c r="AE115" s="6"/>
      <c r="AF115" s="6"/>
      <c r="AG115" s="6"/>
      <c r="BM115" s="136"/>
      <c r="BN115" s="136"/>
      <c r="BO115" s="136"/>
      <c r="BP115" s="136"/>
      <c r="BQ115" s="136"/>
      <c r="BR115" s="136"/>
      <c r="BS115" s="136"/>
      <c r="BT115" s="136"/>
      <c r="BU115" s="136"/>
      <c r="BZ115" s="280"/>
      <c r="CA115" s="206" t="str">
        <f>'INFO BASE'!L178</f>
        <v>-</v>
      </c>
      <c r="CB115" s="206" t="str">
        <f>'INFO BASE'!M178</f>
        <v/>
      </c>
      <c r="DN115" s="194"/>
      <c r="DO115" s="194"/>
      <c r="DP115" s="194"/>
    </row>
    <row r="116" spans="1:120" ht="15.6" x14ac:dyDescent="0.3">
      <c r="X116" s="7">
        <v>1</v>
      </c>
      <c r="BZ116" s="280"/>
      <c r="CA116" s="183" t="str">
        <f>'INFO BASE'!L179</f>
        <v>-</v>
      </c>
      <c r="CB116" s="183" t="str">
        <f>'INFO BASE'!M179</f>
        <v/>
      </c>
    </row>
    <row r="117" spans="1:120" ht="16.2" thickBot="1" x14ac:dyDescent="0.35">
      <c r="X117" s="7">
        <v>1</v>
      </c>
      <c r="BZ117" s="280"/>
      <c r="CA117" s="183" t="str">
        <f>'INFO BASE'!L180</f>
        <v>Semana 5</v>
      </c>
      <c r="CB117" s="183" t="str">
        <f>'INFO BASE'!M180</f>
        <v/>
      </c>
    </row>
    <row r="118" spans="1:120" ht="38.25" customHeight="1" thickTop="1" thickBot="1" x14ac:dyDescent="0.35">
      <c r="A118" s="311" t="str">
        <f>IF(LEN(A61)=8,CONCATENATE("SEMANA ",RIGHT(A61,1)+1),CONCATENATE("SEMANA ",RIGHT(A61,2)+1))</f>
        <v>SEMANA 3</v>
      </c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3"/>
      <c r="AG118" s="12"/>
      <c r="BZ118" s="280"/>
      <c r="CA118" s="183" t="str">
        <f>'INFO BASE'!L181</f>
        <v>-</v>
      </c>
      <c r="CB118" s="183" t="str">
        <f>'INFO BASE'!M181</f>
        <v/>
      </c>
    </row>
    <row r="119" spans="1:120" ht="9" customHeight="1" thickTop="1" thickBot="1" x14ac:dyDescent="0.35">
      <c r="A119" s="139"/>
      <c r="B119" s="139"/>
      <c r="C119" s="140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41">
        <v>1</v>
      </c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44">
        <v>42281.008978124999</v>
      </c>
      <c r="AI119" s="144">
        <v>42282.641272685185</v>
      </c>
      <c r="BZ119" s="280"/>
      <c r="CA119" s="183" t="str">
        <f>'INFO BASE'!L182</f>
        <v>-</v>
      </c>
      <c r="CB119" s="183" t="str">
        <f>'INFO BASE'!M182</f>
        <v/>
      </c>
    </row>
    <row r="120" spans="1:120" ht="30.75" customHeight="1" x14ac:dyDescent="0.3">
      <c r="A120" s="145"/>
      <c r="B120" s="314">
        <f>1-(CR120/673)</f>
        <v>1</v>
      </c>
      <c r="C120" s="315"/>
      <c r="D120" s="315"/>
      <c r="E120" s="315"/>
      <c r="F120" s="315"/>
      <c r="G120" s="315"/>
      <c r="H120" s="315"/>
      <c r="I120" s="315"/>
      <c r="J120" s="315"/>
      <c r="K120" s="315"/>
      <c r="L120" s="315"/>
      <c r="M120" s="315"/>
      <c r="N120" s="315"/>
      <c r="O120" s="316"/>
      <c r="Q120" s="205">
        <f>IF(OR(Q123="Registe aqui o que considera serem as suas três principais prioridades para a semana
(Dica - para criar paragráfos Alt+Enter)",LEN(Q123)&lt;10),1,0)</f>
        <v>0</v>
      </c>
      <c r="X120" s="7">
        <v>1</v>
      </c>
      <c r="AM120" s="136" t="str">
        <f>CONCATENATE("PLANEAMENTO ",I120)</f>
        <v xml:space="preserve">PLANEAMENTO </v>
      </c>
      <c r="AX120" s="136">
        <f>IF(AI119="","",IF(B120="","",B120))</f>
        <v>1</v>
      </c>
      <c r="AY120" s="136" t="str">
        <f>IF(AI119="","",IF(C120="","",C120))</f>
        <v/>
      </c>
      <c r="AZ120" s="136" t="str">
        <f>IF(AI119="","",IF(D120="","",D120))</f>
        <v/>
      </c>
      <c r="BA120" s="136" t="str">
        <f>IF(AI119="","",IF(E120="","",E120))</f>
        <v/>
      </c>
      <c r="BB120" s="136" t="str">
        <f>IF(AI119="","",IF(F120="","",F120))</f>
        <v/>
      </c>
      <c r="BC120" s="136" t="str">
        <f>IF(AI119="","",IF(G120="","",G120))</f>
        <v/>
      </c>
      <c r="BD120" s="136" t="str">
        <f>IF(AI119="","",IF(H120="","",H120))</f>
        <v/>
      </c>
      <c r="BE120" s="136" t="str">
        <f>IF(AI119="","",IF(I120="","",I120))</f>
        <v/>
      </c>
      <c r="BF120" s="136" t="str">
        <f>IF(AI119="","",IF(J120="","",J120))</f>
        <v/>
      </c>
      <c r="BG120" s="136" t="str">
        <f>IF(AI119="","",IF(K120="","",K120))</f>
        <v/>
      </c>
      <c r="BH120" s="136" t="str">
        <f>IF(AI119="","",IF(L120="","",L120))</f>
        <v/>
      </c>
      <c r="BI120" s="136" t="str">
        <f>IF(AI119="","",IF(M120="","",M120))</f>
        <v/>
      </c>
      <c r="BJ120" s="136" t="str">
        <f>IF(AI119="","",IF(N120="","",N120))</f>
        <v/>
      </c>
      <c r="BK120" s="136" t="str">
        <f>IF(AI119="","",IF(O120="","",O120))</f>
        <v/>
      </c>
      <c r="BZ120" s="280"/>
      <c r="CA120" s="183" t="str">
        <f>'INFO BASE'!L183</f>
        <v>-</v>
      </c>
      <c r="CB120" s="183" t="str">
        <f>'INFO BASE'!M183</f>
        <v/>
      </c>
      <c r="CR120" s="136">
        <f>SUM(CR123:DE170,Q120)</f>
        <v>0</v>
      </c>
    </row>
    <row r="121" spans="1:120" ht="37.5" customHeight="1" thickBot="1" x14ac:dyDescent="0.35">
      <c r="A121" s="146"/>
      <c r="B121" s="330" t="str">
        <f>CONCATENATE("Segunda ",CHAR(10),TEXT(B122,"dd-mm-aaaa"))</f>
        <v>Segunda 
28-09-2015</v>
      </c>
      <c r="C121" s="317"/>
      <c r="D121" s="317" t="str">
        <f>CONCATENATE("Terça ",CHAR(10),TEXT(D122,"dd-mm-aaaa"))</f>
        <v>Terça 
29-09-2015</v>
      </c>
      <c r="E121" s="317"/>
      <c r="F121" s="317" t="str">
        <f>CONCATENATE("Quarta ",CHAR(10),TEXT(F122,"dd-mm-aaaa"))</f>
        <v>Quarta 
30-09-2015</v>
      </c>
      <c r="G121" s="317"/>
      <c r="H121" s="317" t="str">
        <f>CONCATENATE("Quinta ",CHAR(10),TEXT(H122,"dd-mm-aaaa"))</f>
        <v>Quinta 
01-10-2015</v>
      </c>
      <c r="I121" s="317"/>
      <c r="J121" s="317" t="str">
        <f>CONCATENATE("Sexta ",CHAR(10),TEXT(J122,"dd-mm-aaaa"))</f>
        <v>Sexta 
02-10-2015</v>
      </c>
      <c r="K121" s="317"/>
      <c r="L121" s="317" t="str">
        <f>CONCATENATE("Sábado ",CHAR(10),TEXT(L122,"dd-mm-aaaa"))</f>
        <v>Sábado 
03-10-2015</v>
      </c>
      <c r="M121" s="317"/>
      <c r="N121" s="317" t="str">
        <f>CONCATENATE("Domingo ",CHAR(10),TEXT(N122,"dd-mm-aaaa"))</f>
        <v>Domingo 
04-10-2015</v>
      </c>
      <c r="O121" s="329"/>
      <c r="Q121" s="55" t="str">
        <f>'INFO BASE'!$L$3</f>
        <v>PRIORIDADES PARA ESTA SEMANA</v>
      </c>
      <c r="R121" s="132"/>
      <c r="S121" s="132"/>
      <c r="T121" s="132"/>
      <c r="U121" s="132"/>
      <c r="V121" s="132"/>
      <c r="W121" s="195" t="str">
        <f>CONCATENATE("HORÁRIO ",'INFO BASE'!$C$6,"_",'INFO BASE'!$C$5,": ",UPPER(A118))</f>
        <v>HORÁRIO André Fonseca_84698: SEMANA 3</v>
      </c>
      <c r="X121" s="198">
        <v>1</v>
      </c>
      <c r="Y121" s="261" t="str">
        <f>'INFO BASE'!$L$1</f>
        <v>MOMENTOS AVALIATIVOS</v>
      </c>
      <c r="Z121" s="261"/>
      <c r="AA121" s="261"/>
      <c r="AB121" s="261"/>
      <c r="AC121" s="261" t="s">
        <v>215</v>
      </c>
      <c r="AD121" s="261"/>
      <c r="AE121" s="261"/>
      <c r="AF121" s="261"/>
      <c r="AI121" s="136" t="str">
        <f>B121</f>
        <v>Segunda 
28-09-2015</v>
      </c>
      <c r="AK121" s="136" t="str">
        <f>D121</f>
        <v>Terça 
29-09-2015</v>
      </c>
      <c r="AM121" s="136" t="str">
        <f>F121</f>
        <v>Quarta 
30-09-2015</v>
      </c>
      <c r="AO121" s="136" t="str">
        <f>H121</f>
        <v>Quinta 
01-10-2015</v>
      </c>
      <c r="AQ121" s="136" t="str">
        <f>J121</f>
        <v>Sexta 
02-10-2015</v>
      </c>
      <c r="AS121" s="136" t="str">
        <f>L121</f>
        <v>Sábado 
03-10-2015</v>
      </c>
      <c r="AU121" s="136" t="str">
        <f>N121</f>
        <v>Domingo 
04-10-2015</v>
      </c>
      <c r="AX121" s="136" t="str">
        <f>IF(AI119="","",IF(B121="","",B121))</f>
        <v>Segunda 
28-09-2015</v>
      </c>
      <c r="AY121" s="136" t="str">
        <f>IF(AI119="","",IF(C121="","",C121))</f>
        <v/>
      </c>
      <c r="AZ121" s="136" t="str">
        <f>IF(AI119="","",IF(D121="","",D121))</f>
        <v>Terça 
29-09-2015</v>
      </c>
      <c r="BA121" s="136" t="str">
        <f>IF(AI119="","",IF(E121="","",E121))</f>
        <v/>
      </c>
      <c r="BB121" s="136" t="str">
        <f>IF(AI119="","",IF(F121="","",F121))</f>
        <v>Quarta 
30-09-2015</v>
      </c>
      <c r="BC121" s="136" t="str">
        <f>IF(AI119="","",IF(G121="","",G121))</f>
        <v/>
      </c>
      <c r="BD121" s="136" t="str">
        <f>IF(AI119="","",IF(H121="","",H121))</f>
        <v>Quinta 
01-10-2015</v>
      </c>
      <c r="BE121" s="136" t="str">
        <f>IF(AI119="","",IF(I121="","",I121))</f>
        <v/>
      </c>
      <c r="BF121" s="136" t="str">
        <f>IF(AI119="","",IF(J121="","",J121))</f>
        <v>Sexta 
02-10-2015</v>
      </c>
      <c r="BG121" s="136" t="str">
        <f>IF(AI119="","",IF(K121="","",K121))</f>
        <v/>
      </c>
      <c r="BH121" s="136" t="str">
        <f>IF(AI119="","",IF(L121="","",L121))</f>
        <v>Sábado 
03-10-2015</v>
      </c>
      <c r="BI121" s="136" t="str">
        <f>IF(AI119="","",IF(M121="","",M121))</f>
        <v/>
      </c>
      <c r="BJ121" s="136" t="str">
        <f>IF(AI119="","",IF(N121="","",N121))</f>
        <v>Domingo 
04-10-2015</v>
      </c>
      <c r="BK121" s="136" t="str">
        <f>IF(AI119="","",IF(O121="","",O121))</f>
        <v/>
      </c>
      <c r="BZ121" s="280"/>
      <c r="CA121" s="183" t="str">
        <f>'INFO BASE'!L184</f>
        <v>-</v>
      </c>
      <c r="CB121" s="183" t="str">
        <f>'INFO BASE'!M184</f>
        <v/>
      </c>
    </row>
    <row r="122" spans="1:120" ht="13.05" hidden="1" customHeight="1" thickBot="1" x14ac:dyDescent="0.35">
      <c r="A122" s="142"/>
      <c r="B122" s="333">
        <f>N65+1</f>
        <v>42275</v>
      </c>
      <c r="C122" s="334"/>
      <c r="D122" s="334">
        <f>B122+1</f>
        <v>42276</v>
      </c>
      <c r="E122" s="334"/>
      <c r="F122" s="334">
        <f>D122+1</f>
        <v>42277</v>
      </c>
      <c r="G122" s="334"/>
      <c r="H122" s="334">
        <f>F122+1</f>
        <v>42278</v>
      </c>
      <c r="I122" s="334"/>
      <c r="J122" s="334">
        <f>H122+1</f>
        <v>42279</v>
      </c>
      <c r="K122" s="334"/>
      <c r="L122" s="334">
        <f>J122+1</f>
        <v>42280</v>
      </c>
      <c r="M122" s="334"/>
      <c r="N122" s="334">
        <f>L122+1</f>
        <v>42281</v>
      </c>
      <c r="O122" s="334"/>
      <c r="Q122" s="132"/>
      <c r="R122" s="132"/>
      <c r="S122" s="132"/>
      <c r="T122" s="132"/>
      <c r="U122" s="132"/>
      <c r="V122" s="132"/>
      <c r="W122" s="132"/>
      <c r="X122" s="198">
        <v>1</v>
      </c>
      <c r="Y122" s="132"/>
      <c r="Z122" s="132"/>
      <c r="AA122" s="132"/>
      <c r="AB122" s="131"/>
      <c r="AC122" s="131"/>
      <c r="AD122" s="131"/>
      <c r="AE122" s="131"/>
      <c r="AF122" s="131"/>
      <c r="AI122" s="136">
        <f>B122</f>
        <v>42275</v>
      </c>
      <c r="AK122" s="136">
        <f>D122</f>
        <v>42276</v>
      </c>
      <c r="AM122" s="136">
        <f>F122</f>
        <v>42277</v>
      </c>
      <c r="AO122" s="136">
        <f>H122</f>
        <v>42278</v>
      </c>
      <c r="AQ122" s="136">
        <f>J122</f>
        <v>42279</v>
      </c>
      <c r="AS122" s="136">
        <f>L122</f>
        <v>42280</v>
      </c>
      <c r="AU122" s="136">
        <f>N122</f>
        <v>42281</v>
      </c>
      <c r="AX122" s="136">
        <f>IF(AI119="","",IF(B122="","",B122))</f>
        <v>42275</v>
      </c>
      <c r="AY122" s="136" t="str">
        <f>IF(AI119="","",IF(C122="","",C122))</f>
        <v/>
      </c>
      <c r="AZ122" s="136">
        <f>IF(AI119="","",IF(D122="","",D122))</f>
        <v>42276</v>
      </c>
      <c r="BA122" s="136" t="str">
        <f>IF(AI119="","",IF(E122="","",E122))</f>
        <v/>
      </c>
      <c r="BB122" s="136">
        <f>IF(AI119="","",IF(F122="","",F122))</f>
        <v>42277</v>
      </c>
      <c r="BC122" s="136" t="str">
        <f>IF(AI119="","",IF(G122="","",G122))</f>
        <v/>
      </c>
      <c r="BD122" s="136">
        <f>IF(AI119="","",IF(H122="","",H122))</f>
        <v>42278</v>
      </c>
      <c r="BE122" s="136" t="str">
        <f>IF(AI119="","",IF(I122="","",I122))</f>
        <v/>
      </c>
      <c r="BF122" s="136">
        <f>IF(AI119="","",IF(J122="","",J122))</f>
        <v>42279</v>
      </c>
      <c r="BG122" s="136" t="str">
        <f>IF(AI119="","",IF(K122="","",K122))</f>
        <v/>
      </c>
      <c r="BH122" s="136">
        <f>IF(AI119="","",IF(L122="","",L122))</f>
        <v>42280</v>
      </c>
      <c r="BI122" s="136" t="str">
        <f>IF(AI119="","",IF(M122="","",M122))</f>
        <v/>
      </c>
      <c r="BJ122" s="136">
        <f>IF(AI119="","",IF(N122="","",N122))</f>
        <v>42281</v>
      </c>
      <c r="BK122" s="136" t="str">
        <f>IF(AI119="","",IF(O122="","",O122))</f>
        <v/>
      </c>
      <c r="BZ122" s="280"/>
      <c r="CA122" s="183" t="str">
        <f>'INFO BASE'!L185</f>
        <v>-</v>
      </c>
      <c r="CB122" s="183" t="str">
        <f>'INFO BASE'!M185</f>
        <v/>
      </c>
    </row>
    <row r="123" spans="1:120" ht="18" customHeight="1" thickTop="1" x14ac:dyDescent="0.3">
      <c r="A123" s="81">
        <v>0</v>
      </c>
      <c r="B123" s="165" t="s">
        <v>10</v>
      </c>
      <c r="C123" s="150" t="s">
        <v>120</v>
      </c>
      <c r="D123" s="168" t="s">
        <v>10</v>
      </c>
      <c r="E123" s="150" t="s">
        <v>120</v>
      </c>
      <c r="F123" s="168" t="s">
        <v>10</v>
      </c>
      <c r="G123" s="150" t="s">
        <v>120</v>
      </c>
      <c r="H123" s="168" t="s">
        <v>10</v>
      </c>
      <c r="I123" s="150" t="s">
        <v>120</v>
      </c>
      <c r="J123" s="168" t="s">
        <v>10</v>
      </c>
      <c r="K123" s="150" t="s">
        <v>120</v>
      </c>
      <c r="L123" s="168" t="s">
        <v>116</v>
      </c>
      <c r="M123" s="150"/>
      <c r="N123" s="168" t="s">
        <v>116</v>
      </c>
      <c r="O123" s="152"/>
      <c r="Q123" s="281" t="s">
        <v>243</v>
      </c>
      <c r="R123" s="282"/>
      <c r="S123" s="282"/>
      <c r="T123" s="282"/>
      <c r="U123" s="282"/>
      <c r="V123" s="282"/>
      <c r="W123" s="283"/>
      <c r="X123" s="199">
        <v>1</v>
      </c>
      <c r="Y123" s="268" t="str">
        <f t="array" ref="Y123">IF(ISERROR(INDEX($CA$2:$CB$200,SMALL(IF($CA$2:$CA$200=$A$118,ROW($CA$2:$CA$200)),ROW(1:1))-1,2)),"",INDEX($CA$2:$CB$200,SMALL(IF($CA$2:$CA$200=$A$118,ROW($CA$2:$CA$200)),ROW(1:1))-1,2))</f>
        <v/>
      </c>
      <c r="Z123" s="269"/>
      <c r="AA123" s="269"/>
      <c r="AB123" s="269"/>
      <c r="AC123" s="269"/>
      <c r="AD123" s="269"/>
      <c r="AE123" s="269"/>
      <c r="AF123" s="270"/>
      <c r="AH123" s="136">
        <v>0</v>
      </c>
      <c r="AI123" s="136" t="s">
        <v>10</v>
      </c>
      <c r="AJ123" s="136" t="s">
        <v>120</v>
      </c>
      <c r="AK123" s="136" t="s">
        <v>10</v>
      </c>
      <c r="AL123" s="136" t="s">
        <v>120</v>
      </c>
      <c r="AM123" s="136" t="s">
        <v>10</v>
      </c>
      <c r="AN123" s="136" t="s">
        <v>120</v>
      </c>
      <c r="AO123" s="136" t="s">
        <v>10</v>
      </c>
      <c r="AP123" s="136" t="s">
        <v>120</v>
      </c>
      <c r="AQ123" s="136" t="s">
        <v>10</v>
      </c>
      <c r="AR123" s="136" t="s">
        <v>120</v>
      </c>
      <c r="AS123" s="136" t="s">
        <v>116</v>
      </c>
      <c r="AT123" s="136" t="s">
        <v>235</v>
      </c>
      <c r="AU123" s="136" t="s">
        <v>116</v>
      </c>
      <c r="AV123" s="136" t="s">
        <v>235</v>
      </c>
      <c r="AX123" s="136" t="str">
        <f>IF(AI119="","",IF(B123="","",B123))</f>
        <v>HS</v>
      </c>
      <c r="AY123" s="136" t="str">
        <f>IF(AI119="","",IF(C123="","",C123))</f>
        <v>-</v>
      </c>
      <c r="AZ123" s="136" t="str">
        <f>IF(AI119="","",IF(D123="","",D123))</f>
        <v>HS</v>
      </c>
      <c r="BA123" s="136" t="str">
        <f>IF(AI119="","",IF(E123="","",E123))</f>
        <v>-</v>
      </c>
      <c r="BB123" s="136" t="str">
        <f>IF(AI119="","",IF(F123="","",F123))</f>
        <v>HS</v>
      </c>
      <c r="BC123" s="136" t="str">
        <f>IF(AI119="","",IF(G123="","",G123))</f>
        <v>-</v>
      </c>
      <c r="BD123" s="136" t="str">
        <f>IF(AI119="","",IF(H123="","",H123))</f>
        <v>HS</v>
      </c>
      <c r="BE123" s="136" t="str">
        <f>IF(AI119="","",IF(I123="","",I123))</f>
        <v>-</v>
      </c>
      <c r="BF123" s="136" t="str">
        <f>IF(AI119="","",IF(J123="","",J123))</f>
        <v>HS</v>
      </c>
      <c r="BG123" s="136" t="str">
        <f>IF(AI119="","",IF(K123="","",K123))</f>
        <v>-</v>
      </c>
      <c r="BH123" s="136" t="str">
        <f>IF(AI119="","",IF(L123="","",L123))</f>
        <v>PV</v>
      </c>
      <c r="BI123" s="136" t="str">
        <f>IF(AI119="","",IF(M123="","",M123))</f>
        <v/>
      </c>
      <c r="BJ123" s="136" t="str">
        <f>IF(AI119="","",IF(N123="","",N123))</f>
        <v>PV</v>
      </c>
      <c r="BK123" s="136" t="str">
        <f>IF(AI119="","",IF(O123="","",O123))</f>
        <v/>
      </c>
      <c r="BZ123" s="280"/>
      <c r="CA123" s="183" t="str">
        <f>'INFO BASE'!L186</f>
        <v>-</v>
      </c>
      <c r="CB123" s="183" t="str">
        <f>'INFO BASE'!M186</f>
        <v/>
      </c>
      <c r="CD123" s="136">
        <f>COUNTA('INFO BASE'!E147:E152)+6</f>
        <v>6</v>
      </c>
      <c r="CR123" s="177" t="str">
        <f>IF(B123="",1,B123)</f>
        <v>HS</v>
      </c>
      <c r="CS123" s="177" t="str">
        <f>IF(B123="PV",0,IFERROR(VLOOKUP(CONCATENATE(B123,C123),$DK$9:$DK$72,1,0),1))</f>
        <v>HS-</v>
      </c>
      <c r="CT123" s="177" t="str">
        <f>IF(D123="",1,D123)</f>
        <v>HS</v>
      </c>
      <c r="CU123" s="177" t="str">
        <f>IF(D123="PV",0,IFERROR(VLOOKUP(CONCATENATE(D123,E123),$DK$9:$DK$72,1,0),1))</f>
        <v>HS-</v>
      </c>
      <c r="CV123" s="177" t="str">
        <f>IF(F123="",1,F123)</f>
        <v>HS</v>
      </c>
      <c r="CW123" s="177" t="str">
        <f>IF(F123="PV",0,IFERROR(VLOOKUP(CONCATENATE(F123,G123),$DK$9:$DK$72,1,0),1))</f>
        <v>HS-</v>
      </c>
      <c r="CX123" s="177" t="str">
        <f>IF(H123="",1,H123)</f>
        <v>HS</v>
      </c>
      <c r="CY123" s="177" t="str">
        <f>IF(H123="PV",0,IFERROR(VLOOKUP(CONCATENATE(H123,I123),$DK$9:$DK$72,1,0),1))</f>
        <v>HS-</v>
      </c>
      <c r="CZ123" s="177" t="str">
        <f>IF(J123="",1,J123)</f>
        <v>HS</v>
      </c>
      <c r="DA123" s="177" t="str">
        <f>IF(J123="PV",0,IFERROR(VLOOKUP(CONCATENATE(J123,K123),$DK$9:$DK$72,1,0),1))</f>
        <v>HS-</v>
      </c>
      <c r="DB123" s="177" t="str">
        <f>IF(L123="",1,L123)</f>
        <v>PV</v>
      </c>
      <c r="DC123" s="177">
        <f>IF(L123="PV",0,IFERROR(VLOOKUP(CONCATENATE(L123,M123),$DK$9:$DK$72,1,0),1))</f>
        <v>0</v>
      </c>
      <c r="DD123" s="177" t="str">
        <f>IF(N123="",1,N123)</f>
        <v>PV</v>
      </c>
      <c r="DE123" s="177">
        <f>IF(N123="PV",0,IFERROR(VLOOKUP(CONCATENATE(N123,O123),$DK$9:$DK$72,1,0),1))</f>
        <v>0</v>
      </c>
    </row>
    <row r="124" spans="1:120" ht="18" customHeight="1" x14ac:dyDescent="0.3">
      <c r="A124" s="81">
        <v>2.0833333333333998E-2</v>
      </c>
      <c r="B124" s="166" t="s">
        <v>10</v>
      </c>
      <c r="C124" s="130" t="s">
        <v>120</v>
      </c>
      <c r="D124" s="169" t="s">
        <v>10</v>
      </c>
      <c r="E124" s="130" t="s">
        <v>120</v>
      </c>
      <c r="F124" s="169" t="s">
        <v>10</v>
      </c>
      <c r="G124" s="130" t="s">
        <v>120</v>
      </c>
      <c r="H124" s="169" t="s">
        <v>10</v>
      </c>
      <c r="I124" s="130" t="s">
        <v>120</v>
      </c>
      <c r="J124" s="169" t="s">
        <v>10</v>
      </c>
      <c r="K124" s="130" t="s">
        <v>120</v>
      </c>
      <c r="L124" s="169" t="s">
        <v>116</v>
      </c>
      <c r="M124" s="130"/>
      <c r="N124" s="169" t="s">
        <v>116</v>
      </c>
      <c r="O124" s="154"/>
      <c r="Q124" s="284"/>
      <c r="R124" s="285"/>
      <c r="S124" s="285"/>
      <c r="T124" s="285"/>
      <c r="U124" s="285"/>
      <c r="V124" s="285"/>
      <c r="W124" s="286"/>
      <c r="X124" s="199">
        <v>1</v>
      </c>
      <c r="Y124" s="262" t="str">
        <f t="array" ref="Y124">IF(ISERROR(INDEX($CA$2:$CB$200,SMALL(IF($CA$2:$CA$200=$A$118,ROW($CA$2:$CA$200)),ROW(2:2))-1,2)),"",INDEX($CA$2:$CB$200,SMALL(IF($CA$2:$CA$200=$A$118,ROW($CA$2:$CA$200)),ROW(2:2))-1,2))</f>
        <v/>
      </c>
      <c r="Z124" s="263"/>
      <c r="AA124" s="263"/>
      <c r="AB124" s="263"/>
      <c r="AC124" s="263"/>
      <c r="AD124" s="263"/>
      <c r="AE124" s="263"/>
      <c r="AF124" s="264"/>
      <c r="AH124" s="136">
        <v>2.0833333333333998E-2</v>
      </c>
      <c r="AI124" s="136" t="s">
        <v>10</v>
      </c>
      <c r="AJ124" s="136" t="s">
        <v>120</v>
      </c>
      <c r="AK124" s="136" t="s">
        <v>10</v>
      </c>
      <c r="AL124" s="136" t="s">
        <v>120</v>
      </c>
      <c r="AM124" s="136" t="s">
        <v>10</v>
      </c>
      <c r="AN124" s="136" t="s">
        <v>120</v>
      </c>
      <c r="AO124" s="136" t="s">
        <v>10</v>
      </c>
      <c r="AP124" s="136" t="s">
        <v>120</v>
      </c>
      <c r="AQ124" s="136" t="s">
        <v>10</v>
      </c>
      <c r="AR124" s="136" t="s">
        <v>120</v>
      </c>
      <c r="AS124" s="136" t="s">
        <v>116</v>
      </c>
      <c r="AT124" s="136" t="s">
        <v>235</v>
      </c>
      <c r="AU124" s="136" t="s">
        <v>116</v>
      </c>
      <c r="AV124" s="136" t="s">
        <v>235</v>
      </c>
      <c r="AX124" s="136" t="str">
        <f>IF(AI119="","",IF(B124="","",B124))</f>
        <v>HS</v>
      </c>
      <c r="AY124" s="136" t="str">
        <f>IF(AI119="","",IF(C124="","",C124))</f>
        <v>-</v>
      </c>
      <c r="AZ124" s="136" t="str">
        <f>IF(AI119="","",IF(D124="","",D124))</f>
        <v>HS</v>
      </c>
      <c r="BA124" s="136" t="str">
        <f>IF(AI119="","",IF(E124="","",E124))</f>
        <v>-</v>
      </c>
      <c r="BB124" s="136" t="str">
        <f>IF(AI119="","",IF(F124="","",F124))</f>
        <v>HS</v>
      </c>
      <c r="BC124" s="136" t="str">
        <f>IF(AI119="","",IF(G124="","",G124))</f>
        <v>-</v>
      </c>
      <c r="BD124" s="136" t="str">
        <f>IF(AI119="","",IF(H124="","",H124))</f>
        <v>HS</v>
      </c>
      <c r="BE124" s="136" t="str">
        <f>IF(AI119="","",IF(I124="","",I124))</f>
        <v>-</v>
      </c>
      <c r="BF124" s="136" t="str">
        <f>IF(AI119="","",IF(J124="","",J124))</f>
        <v>HS</v>
      </c>
      <c r="BG124" s="136" t="str">
        <f>IF(AI119="","",IF(K124="","",K124))</f>
        <v>-</v>
      </c>
      <c r="BH124" s="136" t="str">
        <f>IF(AI119="","",IF(L124="","",L124))</f>
        <v>PV</v>
      </c>
      <c r="BI124" s="136" t="str">
        <f>IF(AI119="","",IF(M124="","",M124))</f>
        <v/>
      </c>
      <c r="BJ124" s="136" t="str">
        <f>IF(AI119="","",IF(N124="","",N124))</f>
        <v>PV</v>
      </c>
      <c r="BK124" s="136" t="str">
        <f>IF(AI119="","",IF(O124="","",O124))</f>
        <v/>
      </c>
      <c r="BZ124" s="280"/>
      <c r="CA124" s="183" t="str">
        <f>'INFO BASE'!L187</f>
        <v>-</v>
      </c>
      <c r="CB124" s="183" t="str">
        <f>'INFO BASE'!M187</f>
        <v/>
      </c>
      <c r="CR124" s="177" t="str">
        <f t="shared" ref="CR124:DB166" si="83">IF(B124="",1,B124)</f>
        <v>HS</v>
      </c>
      <c r="CS124" s="177" t="str">
        <f t="shared" ref="CS124:CS170" si="84">IF(B124="PV",0,IFERROR(VLOOKUP(CONCATENATE(B124,C124),$DK$9:$DK$72,1,0),1))</f>
        <v>HS-</v>
      </c>
      <c r="CT124" s="177" t="str">
        <f t="shared" si="83"/>
        <v>HS</v>
      </c>
      <c r="CU124" s="177" t="str">
        <f t="shared" ref="CU124:CU170" si="85">IF(D124="PV",0,IFERROR(VLOOKUP(CONCATENATE(D124,E124),$DK$9:$DK$72,1,0),1))</f>
        <v>HS-</v>
      </c>
      <c r="CV124" s="177" t="str">
        <f t="shared" si="83"/>
        <v>HS</v>
      </c>
      <c r="CW124" s="177" t="str">
        <f t="shared" ref="CW124:CW170" si="86">IF(F124="PV",0,IFERROR(VLOOKUP(CONCATENATE(F124,G124),$DK$9:$DK$72,1,0),1))</f>
        <v>HS-</v>
      </c>
      <c r="CX124" s="177" t="str">
        <f t="shared" si="83"/>
        <v>HS</v>
      </c>
      <c r="CY124" s="177" t="str">
        <f t="shared" ref="CY124:CY170" si="87">IF(H124="PV",0,IFERROR(VLOOKUP(CONCATENATE(H124,I124),$DK$9:$DK$72,1,0),1))</f>
        <v>HS-</v>
      </c>
      <c r="CZ124" s="177" t="str">
        <f t="shared" si="83"/>
        <v>HS</v>
      </c>
      <c r="DA124" s="177" t="str">
        <f t="shared" ref="DA124:DA170" si="88">IF(J124="PV",0,IFERROR(VLOOKUP(CONCATENATE(J124,K124),$DK$9:$DK$72,1,0),1))</f>
        <v>HS-</v>
      </c>
      <c r="DB124" s="177" t="str">
        <f t="shared" si="83"/>
        <v>PV</v>
      </c>
      <c r="DC124" s="177">
        <f t="shared" ref="DC124:DC170" si="89">IF(L124="PV",0,IFERROR(VLOOKUP(CONCATENATE(L124,M124),$DK$9:$DK$72,1,0),1))</f>
        <v>0</v>
      </c>
      <c r="DD124" s="177" t="str">
        <f t="shared" ref="DD124:DD170" si="90">IF(N124="",1,N124)</f>
        <v>PV</v>
      </c>
      <c r="DE124" s="177">
        <f t="shared" ref="DE124:DE170" si="91">IF(N124="PV",0,IFERROR(VLOOKUP(CONCATENATE(N124,O124),$DK$9:$DK$72,1,0),1))</f>
        <v>0</v>
      </c>
    </row>
    <row r="125" spans="1:120" ht="18" customHeight="1" x14ac:dyDescent="0.3">
      <c r="A125" s="81">
        <v>4.1666666666667997E-2</v>
      </c>
      <c r="B125" s="166" t="s">
        <v>10</v>
      </c>
      <c r="C125" s="130" t="s">
        <v>120</v>
      </c>
      <c r="D125" s="169" t="s">
        <v>10</v>
      </c>
      <c r="E125" s="130" t="s">
        <v>120</v>
      </c>
      <c r="F125" s="169" t="s">
        <v>10</v>
      </c>
      <c r="G125" s="130" t="s">
        <v>120</v>
      </c>
      <c r="H125" s="169" t="s">
        <v>10</v>
      </c>
      <c r="I125" s="130" t="s">
        <v>120</v>
      </c>
      <c r="J125" s="169" t="s">
        <v>10</v>
      </c>
      <c r="K125" s="130" t="s">
        <v>120</v>
      </c>
      <c r="L125" s="169" t="s">
        <v>116</v>
      </c>
      <c r="M125" s="130"/>
      <c r="N125" s="169" t="s">
        <v>116</v>
      </c>
      <c r="O125" s="154"/>
      <c r="Q125" s="284"/>
      <c r="R125" s="285"/>
      <c r="S125" s="285"/>
      <c r="T125" s="285"/>
      <c r="U125" s="285"/>
      <c r="V125" s="285"/>
      <c r="W125" s="286"/>
      <c r="X125" s="199">
        <v>1</v>
      </c>
      <c r="Y125" s="262" t="str">
        <f t="array" ref="Y125">IF(ISERROR(INDEX($CA$2:$CB$200,SMALL(IF($CA$2:$CA$200=$A$118,ROW($CA$2:$CA$200)),ROW(3:3))-1,2)),"",INDEX($CA$2:$CB$200,SMALL(IF($CA$2:$CA$200=$A$118,ROW($CA$2:$CA$200)),ROW(3:3))-1,2))</f>
        <v/>
      </c>
      <c r="Z125" s="263"/>
      <c r="AA125" s="263"/>
      <c r="AB125" s="263"/>
      <c r="AC125" s="263"/>
      <c r="AD125" s="263"/>
      <c r="AE125" s="263"/>
      <c r="AF125" s="264"/>
      <c r="AH125" s="136">
        <v>4.1666666666667997E-2</v>
      </c>
      <c r="AI125" s="136" t="s">
        <v>10</v>
      </c>
      <c r="AJ125" s="136" t="s">
        <v>120</v>
      </c>
      <c r="AK125" s="136" t="s">
        <v>10</v>
      </c>
      <c r="AL125" s="136" t="s">
        <v>120</v>
      </c>
      <c r="AM125" s="136" t="s">
        <v>10</v>
      </c>
      <c r="AN125" s="136" t="s">
        <v>120</v>
      </c>
      <c r="AO125" s="136" t="s">
        <v>10</v>
      </c>
      <c r="AP125" s="136" t="s">
        <v>120</v>
      </c>
      <c r="AQ125" s="136" t="s">
        <v>10</v>
      </c>
      <c r="AR125" s="136" t="s">
        <v>120</v>
      </c>
      <c r="AS125" s="136" t="s">
        <v>116</v>
      </c>
      <c r="AT125" s="136" t="s">
        <v>235</v>
      </c>
      <c r="AU125" s="136" t="s">
        <v>116</v>
      </c>
      <c r="AV125" s="136" t="s">
        <v>235</v>
      </c>
      <c r="AX125" s="136" t="str">
        <f>IF(AI119="","",IF(B125="","",B125))</f>
        <v>HS</v>
      </c>
      <c r="AY125" s="136" t="str">
        <f>IF(AI119="","",IF(C125="","",C125))</f>
        <v>-</v>
      </c>
      <c r="AZ125" s="136" t="str">
        <f>IF(AI119="","",IF(D125="","",D125))</f>
        <v>HS</v>
      </c>
      <c r="BA125" s="136" t="str">
        <f>IF(AI119="","",IF(E125="","",E125))</f>
        <v>-</v>
      </c>
      <c r="BB125" s="136" t="str">
        <f>IF(AI119="","",IF(F125="","",F125))</f>
        <v>HS</v>
      </c>
      <c r="BC125" s="136" t="str">
        <f>IF(AI119="","",IF(G125="","",G125))</f>
        <v>-</v>
      </c>
      <c r="BD125" s="136" t="str">
        <f>IF(AI119="","",IF(H125="","",H125))</f>
        <v>HS</v>
      </c>
      <c r="BE125" s="136" t="str">
        <f>IF(AI119="","",IF(I125="","",I125))</f>
        <v>-</v>
      </c>
      <c r="BF125" s="136" t="str">
        <f>IF(AI119="","",IF(J125="","",J125))</f>
        <v>HS</v>
      </c>
      <c r="BG125" s="136" t="str">
        <f>IF(AI119="","",IF(K125="","",K125))</f>
        <v>-</v>
      </c>
      <c r="BH125" s="136" t="str">
        <f>IF(AI119="","",IF(L125="","",L125))</f>
        <v>PV</v>
      </c>
      <c r="BI125" s="136" t="str">
        <f>IF(AI119="","",IF(M125="","",M125))</f>
        <v/>
      </c>
      <c r="BJ125" s="136" t="str">
        <f>IF(AI119="","",IF(N125="","",N125))</f>
        <v>PV</v>
      </c>
      <c r="BK125" s="136" t="str">
        <f>IF(AI119="","",IF(O125="","",O125))</f>
        <v/>
      </c>
      <c r="BZ125" s="280"/>
      <c r="CA125" s="183" t="str">
        <f>'INFO BASE'!L188</f>
        <v>-</v>
      </c>
      <c r="CB125" s="183" t="str">
        <f>'INFO BASE'!M188</f>
        <v/>
      </c>
      <c r="CR125" s="177" t="str">
        <f t="shared" si="83"/>
        <v>HS</v>
      </c>
      <c r="CS125" s="177" t="str">
        <f t="shared" si="84"/>
        <v>HS-</v>
      </c>
      <c r="CT125" s="177" t="str">
        <f t="shared" si="83"/>
        <v>HS</v>
      </c>
      <c r="CU125" s="177" t="str">
        <f t="shared" si="85"/>
        <v>HS-</v>
      </c>
      <c r="CV125" s="177" t="str">
        <f t="shared" si="83"/>
        <v>HS</v>
      </c>
      <c r="CW125" s="177" t="str">
        <f t="shared" si="86"/>
        <v>HS-</v>
      </c>
      <c r="CX125" s="177" t="str">
        <f t="shared" si="83"/>
        <v>HS</v>
      </c>
      <c r="CY125" s="177" t="str">
        <f t="shared" si="87"/>
        <v>HS-</v>
      </c>
      <c r="CZ125" s="177" t="str">
        <f t="shared" si="83"/>
        <v>HS</v>
      </c>
      <c r="DA125" s="177" t="str">
        <f t="shared" si="88"/>
        <v>HS-</v>
      </c>
      <c r="DB125" s="177" t="str">
        <f t="shared" si="83"/>
        <v>PV</v>
      </c>
      <c r="DC125" s="177">
        <f t="shared" si="89"/>
        <v>0</v>
      </c>
      <c r="DD125" s="177" t="str">
        <f t="shared" si="90"/>
        <v>PV</v>
      </c>
      <c r="DE125" s="177">
        <f t="shared" si="91"/>
        <v>0</v>
      </c>
    </row>
    <row r="126" spans="1:120" ht="18" customHeight="1" x14ac:dyDescent="0.3">
      <c r="A126" s="81">
        <v>6.2500000000001998E-2</v>
      </c>
      <c r="B126" s="166" t="s">
        <v>10</v>
      </c>
      <c r="C126" s="130" t="s">
        <v>120</v>
      </c>
      <c r="D126" s="169" t="s">
        <v>10</v>
      </c>
      <c r="E126" s="130" t="s">
        <v>120</v>
      </c>
      <c r="F126" s="169" t="s">
        <v>10</v>
      </c>
      <c r="G126" s="130" t="s">
        <v>120</v>
      </c>
      <c r="H126" s="169" t="s">
        <v>10</v>
      </c>
      <c r="I126" s="130" t="s">
        <v>120</v>
      </c>
      <c r="J126" s="169" t="s">
        <v>10</v>
      </c>
      <c r="K126" s="130" t="s">
        <v>120</v>
      </c>
      <c r="L126" s="169" t="s">
        <v>10</v>
      </c>
      <c r="M126" s="130" t="s">
        <v>120</v>
      </c>
      <c r="N126" s="169" t="s">
        <v>10</v>
      </c>
      <c r="O126" s="154" t="s">
        <v>120</v>
      </c>
      <c r="Q126" s="284"/>
      <c r="R126" s="285"/>
      <c r="S126" s="285"/>
      <c r="T126" s="285"/>
      <c r="U126" s="285"/>
      <c r="V126" s="285"/>
      <c r="W126" s="286"/>
      <c r="X126" s="199">
        <v>1</v>
      </c>
      <c r="Y126" s="262" t="str">
        <f t="array" ref="Y126">IF(ISERROR(INDEX($CA$2:$CB$200,SMALL(IF($CA$2:$CA$200=$A$118,ROW($CA$2:$CA$200)),ROW(4:4))-1,2)),"",INDEX($CA$2:$CB$200,SMALL(IF($CA$2:$CA$200=$A$118,ROW($CA$2:$CA$200)),ROW(4:4))-1,2))</f>
        <v/>
      </c>
      <c r="Z126" s="263"/>
      <c r="AA126" s="263"/>
      <c r="AB126" s="263"/>
      <c r="AC126" s="263"/>
      <c r="AD126" s="263"/>
      <c r="AE126" s="263"/>
      <c r="AF126" s="264"/>
      <c r="AH126" s="136">
        <v>6.2500000000001998E-2</v>
      </c>
      <c r="AI126" s="136" t="s">
        <v>10</v>
      </c>
      <c r="AJ126" s="136" t="s">
        <v>120</v>
      </c>
      <c r="AK126" s="136" t="s">
        <v>10</v>
      </c>
      <c r="AL126" s="136" t="s">
        <v>120</v>
      </c>
      <c r="AM126" s="136" t="s">
        <v>10</v>
      </c>
      <c r="AN126" s="136" t="s">
        <v>120</v>
      </c>
      <c r="AO126" s="136" t="s">
        <v>10</v>
      </c>
      <c r="AP126" s="136" t="s">
        <v>120</v>
      </c>
      <c r="AQ126" s="136" t="s">
        <v>10</v>
      </c>
      <c r="AR126" s="136" t="s">
        <v>120</v>
      </c>
      <c r="AS126" s="136" t="s">
        <v>10</v>
      </c>
      <c r="AT126" s="136" t="s">
        <v>120</v>
      </c>
      <c r="AU126" s="136" t="s">
        <v>10</v>
      </c>
      <c r="AV126" s="136" t="s">
        <v>120</v>
      </c>
      <c r="AX126" s="136" t="str">
        <f>IF(AI119="","",IF(B126="","",B126))</f>
        <v>HS</v>
      </c>
      <c r="AY126" s="136" t="str">
        <f>IF(AI119="","",IF(C126="","",C126))</f>
        <v>-</v>
      </c>
      <c r="AZ126" s="136" t="str">
        <f>IF(AI119="","",IF(D126="","",D126))</f>
        <v>HS</v>
      </c>
      <c r="BA126" s="136" t="str">
        <f>IF(AI119="","",IF(E126="","",E126))</f>
        <v>-</v>
      </c>
      <c r="BB126" s="136" t="str">
        <f>IF(AI119="","",IF(F126="","",F126))</f>
        <v>HS</v>
      </c>
      <c r="BC126" s="136" t="str">
        <f>IF(AI119="","",IF(G126="","",G126))</f>
        <v>-</v>
      </c>
      <c r="BD126" s="136" t="str">
        <f>IF(AI119="","",IF(H126="","",H126))</f>
        <v>HS</v>
      </c>
      <c r="BE126" s="136" t="str">
        <f>IF(AI119="","",IF(I126="","",I126))</f>
        <v>-</v>
      </c>
      <c r="BF126" s="136" t="str">
        <f>IF(AI119="","",IF(J126="","",J126))</f>
        <v>HS</v>
      </c>
      <c r="BG126" s="136" t="str">
        <f>IF(AI119="","",IF(K126="","",K126))</f>
        <v>-</v>
      </c>
      <c r="BH126" s="136" t="str">
        <f>IF(AI119="","",IF(L126="","",L126))</f>
        <v>HS</v>
      </c>
      <c r="BI126" s="136" t="str">
        <f>IF(AI119="","",IF(M126="","",M126))</f>
        <v>-</v>
      </c>
      <c r="BJ126" s="136" t="str">
        <f>IF(AI119="","",IF(N126="","",N126))</f>
        <v>HS</v>
      </c>
      <c r="BK126" s="136" t="str">
        <f>IF(AI119="","",IF(O126="","",O126))</f>
        <v>-</v>
      </c>
      <c r="BZ126" s="280"/>
      <c r="CA126" s="183" t="str">
        <f>'INFO BASE'!L189</f>
        <v>-</v>
      </c>
      <c r="CB126" s="183" t="str">
        <f>'INFO BASE'!M189</f>
        <v/>
      </c>
      <c r="CR126" s="177" t="str">
        <f t="shared" si="83"/>
        <v>HS</v>
      </c>
      <c r="CS126" s="177" t="str">
        <f t="shared" si="84"/>
        <v>HS-</v>
      </c>
      <c r="CT126" s="177" t="str">
        <f t="shared" si="83"/>
        <v>HS</v>
      </c>
      <c r="CU126" s="177" t="str">
        <f t="shared" si="85"/>
        <v>HS-</v>
      </c>
      <c r="CV126" s="177" t="str">
        <f t="shared" si="83"/>
        <v>HS</v>
      </c>
      <c r="CW126" s="177" t="str">
        <f t="shared" si="86"/>
        <v>HS-</v>
      </c>
      <c r="CX126" s="177" t="str">
        <f t="shared" si="83"/>
        <v>HS</v>
      </c>
      <c r="CY126" s="177" t="str">
        <f t="shared" si="87"/>
        <v>HS-</v>
      </c>
      <c r="CZ126" s="177" t="str">
        <f t="shared" si="83"/>
        <v>HS</v>
      </c>
      <c r="DA126" s="177" t="str">
        <f t="shared" si="88"/>
        <v>HS-</v>
      </c>
      <c r="DB126" s="177" t="str">
        <f t="shared" si="83"/>
        <v>HS</v>
      </c>
      <c r="DC126" s="177" t="str">
        <f t="shared" si="89"/>
        <v>HS-</v>
      </c>
      <c r="DD126" s="177" t="str">
        <f t="shared" si="90"/>
        <v>HS</v>
      </c>
      <c r="DE126" s="177" t="str">
        <f t="shared" si="91"/>
        <v>HS-</v>
      </c>
    </row>
    <row r="127" spans="1:120" ht="18" customHeight="1" x14ac:dyDescent="0.3">
      <c r="A127" s="81">
        <v>8.3333333333335993E-2</v>
      </c>
      <c r="B127" s="166" t="s">
        <v>10</v>
      </c>
      <c r="C127" s="130" t="s">
        <v>120</v>
      </c>
      <c r="D127" s="169" t="s">
        <v>10</v>
      </c>
      <c r="E127" s="130" t="s">
        <v>120</v>
      </c>
      <c r="F127" s="169" t="s">
        <v>10</v>
      </c>
      <c r="G127" s="130" t="s">
        <v>120</v>
      </c>
      <c r="H127" s="169" t="s">
        <v>10</v>
      </c>
      <c r="I127" s="130" t="s">
        <v>120</v>
      </c>
      <c r="J127" s="169" t="s">
        <v>10</v>
      </c>
      <c r="K127" s="130" t="s">
        <v>120</v>
      </c>
      <c r="L127" s="169" t="s">
        <v>10</v>
      </c>
      <c r="M127" s="130" t="s">
        <v>120</v>
      </c>
      <c r="N127" s="169" t="s">
        <v>10</v>
      </c>
      <c r="O127" s="154" t="s">
        <v>120</v>
      </c>
      <c r="Q127" s="284"/>
      <c r="R127" s="285"/>
      <c r="S127" s="285"/>
      <c r="T127" s="285"/>
      <c r="U127" s="285"/>
      <c r="V127" s="285"/>
      <c r="W127" s="286"/>
      <c r="X127" s="199">
        <v>1</v>
      </c>
      <c r="Y127" s="262" t="str">
        <f t="array" ref="Y127">IF(ISERROR(INDEX($CA$2:$CB$200,SMALL(IF($CA$2:$CA$200=$A$118,ROW($CA$2:$CA$200)),ROW(5:5))-1,2)),"",INDEX($CA$2:$CB$200,SMALL(IF($CA$2:$CA$200=$A$118,ROW($CA$2:$CA$200)),ROW(5:5))-1,2))</f>
        <v/>
      </c>
      <c r="Z127" s="263"/>
      <c r="AA127" s="263"/>
      <c r="AB127" s="263"/>
      <c r="AC127" s="263"/>
      <c r="AD127" s="263"/>
      <c r="AE127" s="263"/>
      <c r="AF127" s="264"/>
      <c r="AH127" s="136">
        <v>8.3333333333335993E-2</v>
      </c>
      <c r="AI127" s="136" t="s">
        <v>10</v>
      </c>
      <c r="AJ127" s="136" t="s">
        <v>120</v>
      </c>
      <c r="AK127" s="136" t="s">
        <v>10</v>
      </c>
      <c r="AL127" s="136" t="s">
        <v>120</v>
      </c>
      <c r="AM127" s="136" t="s">
        <v>10</v>
      </c>
      <c r="AN127" s="136" t="s">
        <v>120</v>
      </c>
      <c r="AO127" s="136" t="s">
        <v>10</v>
      </c>
      <c r="AP127" s="136" t="s">
        <v>120</v>
      </c>
      <c r="AQ127" s="136" t="s">
        <v>10</v>
      </c>
      <c r="AR127" s="136" t="s">
        <v>120</v>
      </c>
      <c r="AS127" s="136" t="s">
        <v>10</v>
      </c>
      <c r="AT127" s="136" t="s">
        <v>120</v>
      </c>
      <c r="AU127" s="136" t="s">
        <v>10</v>
      </c>
      <c r="AV127" s="136" t="s">
        <v>120</v>
      </c>
      <c r="AX127" s="136" t="str">
        <f>IF(AI119="","",IF(B127="","",B127))</f>
        <v>HS</v>
      </c>
      <c r="AY127" s="136" t="str">
        <f>IF(AI119="","",IF(C127="","",C127))</f>
        <v>-</v>
      </c>
      <c r="AZ127" s="136" t="str">
        <f>IF(AI119="","",IF(D127="","",D127))</f>
        <v>HS</v>
      </c>
      <c r="BA127" s="136" t="str">
        <f>IF(AI119="","",IF(E127="","",E127))</f>
        <v>-</v>
      </c>
      <c r="BB127" s="136" t="str">
        <f>IF(AI119="","",IF(F127="","",F127))</f>
        <v>HS</v>
      </c>
      <c r="BC127" s="136" t="str">
        <f>IF(AI119="","",IF(G127="","",G127))</f>
        <v>-</v>
      </c>
      <c r="BD127" s="136" t="str">
        <f>IF(AI119="","",IF(H127="","",H127))</f>
        <v>HS</v>
      </c>
      <c r="BE127" s="136" t="str">
        <f>IF(AI119="","",IF(I127="","",I127))</f>
        <v>-</v>
      </c>
      <c r="BF127" s="136" t="str">
        <f>IF(AI119="","",IF(J127="","",J127))</f>
        <v>HS</v>
      </c>
      <c r="BG127" s="136" t="str">
        <f>IF(AI119="","",IF(K127="","",K127))</f>
        <v>-</v>
      </c>
      <c r="BH127" s="136" t="str">
        <f>IF(AI119="","",IF(L127="","",L127))</f>
        <v>HS</v>
      </c>
      <c r="BI127" s="136" t="str">
        <f>IF(AI119="","",IF(M127="","",M127))</f>
        <v>-</v>
      </c>
      <c r="BJ127" s="136" t="str">
        <f>IF(AI119="","",IF(N127="","",N127))</f>
        <v>HS</v>
      </c>
      <c r="BK127" s="136" t="str">
        <f>IF(AI119="","",IF(O127="","",O127))</f>
        <v>-</v>
      </c>
      <c r="BZ127" s="280"/>
      <c r="CA127" s="183" t="str">
        <f>'INFO BASE'!L190</f>
        <v>-</v>
      </c>
      <c r="CB127" s="183" t="str">
        <f>'INFO BASE'!M190</f>
        <v/>
      </c>
      <c r="CD127" s="136" t="str">
        <f t="shared" ref="CD127:CD132" si="92">R135</f>
        <v>FP</v>
      </c>
      <c r="CR127" s="177" t="str">
        <f t="shared" si="83"/>
        <v>HS</v>
      </c>
      <c r="CS127" s="177" t="str">
        <f t="shared" si="84"/>
        <v>HS-</v>
      </c>
      <c r="CT127" s="177" t="str">
        <f t="shared" si="83"/>
        <v>HS</v>
      </c>
      <c r="CU127" s="177" t="str">
        <f t="shared" si="85"/>
        <v>HS-</v>
      </c>
      <c r="CV127" s="177" t="str">
        <f t="shared" si="83"/>
        <v>HS</v>
      </c>
      <c r="CW127" s="177" t="str">
        <f t="shared" si="86"/>
        <v>HS-</v>
      </c>
      <c r="CX127" s="177" t="str">
        <f t="shared" si="83"/>
        <v>HS</v>
      </c>
      <c r="CY127" s="177" t="str">
        <f t="shared" si="87"/>
        <v>HS-</v>
      </c>
      <c r="CZ127" s="177" t="str">
        <f t="shared" si="83"/>
        <v>HS</v>
      </c>
      <c r="DA127" s="177" t="str">
        <f t="shared" si="88"/>
        <v>HS-</v>
      </c>
      <c r="DB127" s="177" t="str">
        <f t="shared" si="83"/>
        <v>HS</v>
      </c>
      <c r="DC127" s="177" t="str">
        <f t="shared" si="89"/>
        <v>HS-</v>
      </c>
      <c r="DD127" s="177" t="str">
        <f t="shared" si="90"/>
        <v>HS</v>
      </c>
      <c r="DE127" s="177" t="str">
        <f t="shared" si="91"/>
        <v>HS-</v>
      </c>
    </row>
    <row r="128" spans="1:120" ht="18" customHeight="1" x14ac:dyDescent="0.3">
      <c r="A128" s="81">
        <v>0.10416666666667</v>
      </c>
      <c r="B128" s="166" t="s">
        <v>10</v>
      </c>
      <c r="C128" s="130" t="s">
        <v>120</v>
      </c>
      <c r="D128" s="169" t="s">
        <v>10</v>
      </c>
      <c r="E128" s="130" t="s">
        <v>120</v>
      </c>
      <c r="F128" s="169" t="s">
        <v>10</v>
      </c>
      <c r="G128" s="130" t="s">
        <v>120</v>
      </c>
      <c r="H128" s="169" t="s">
        <v>10</v>
      </c>
      <c r="I128" s="130" t="s">
        <v>120</v>
      </c>
      <c r="J128" s="169" t="s">
        <v>10</v>
      </c>
      <c r="K128" s="130" t="s">
        <v>120</v>
      </c>
      <c r="L128" s="169" t="s">
        <v>10</v>
      </c>
      <c r="M128" s="130" t="s">
        <v>120</v>
      </c>
      <c r="N128" s="169" t="s">
        <v>10</v>
      </c>
      <c r="O128" s="154" t="s">
        <v>120</v>
      </c>
      <c r="Q128" s="284"/>
      <c r="R128" s="285"/>
      <c r="S128" s="285"/>
      <c r="T128" s="285"/>
      <c r="U128" s="285"/>
      <c r="V128" s="285"/>
      <c r="W128" s="286"/>
      <c r="X128" s="199">
        <v>1</v>
      </c>
      <c r="Y128" s="262" t="str">
        <f t="array" ref="Y128">IF(ISERROR(INDEX($CA$2:$CB$200,SMALL(IF($CA$2:$CA$200=$A$118,ROW($CA$2:$CA$200)),ROW(6:6))-1,2)),"",INDEX($CA$2:$CB$200,SMALL(IF($CA$2:$CA$200=$A$118,ROW($CA$2:$CA$200)),ROW(6:6))-1,2))</f>
        <v/>
      </c>
      <c r="Z128" s="263"/>
      <c r="AA128" s="263"/>
      <c r="AB128" s="263"/>
      <c r="AC128" s="263"/>
      <c r="AD128" s="263"/>
      <c r="AE128" s="263"/>
      <c r="AF128" s="264"/>
      <c r="AH128" s="136">
        <v>0.10416666666667</v>
      </c>
      <c r="AI128" s="136" t="s">
        <v>10</v>
      </c>
      <c r="AJ128" s="136" t="s">
        <v>120</v>
      </c>
      <c r="AK128" s="136" t="s">
        <v>10</v>
      </c>
      <c r="AL128" s="136" t="s">
        <v>120</v>
      </c>
      <c r="AM128" s="136" t="s">
        <v>10</v>
      </c>
      <c r="AN128" s="136" t="s">
        <v>120</v>
      </c>
      <c r="AO128" s="136" t="s">
        <v>10</v>
      </c>
      <c r="AP128" s="136" t="s">
        <v>120</v>
      </c>
      <c r="AQ128" s="136" t="s">
        <v>10</v>
      </c>
      <c r="AR128" s="136" t="s">
        <v>120</v>
      </c>
      <c r="AS128" s="136" t="s">
        <v>10</v>
      </c>
      <c r="AT128" s="136" t="s">
        <v>120</v>
      </c>
      <c r="AU128" s="136" t="s">
        <v>10</v>
      </c>
      <c r="AV128" s="136" t="s">
        <v>120</v>
      </c>
      <c r="AX128" s="136" t="str">
        <f>IF(AI119="","",IF(B128="","",B128))</f>
        <v>HS</v>
      </c>
      <c r="AY128" s="136" t="str">
        <f>IF(AI119="","",IF(C128="","",C128))</f>
        <v>-</v>
      </c>
      <c r="AZ128" s="136" t="str">
        <f>IF(AI119="","",IF(D128="","",D128))</f>
        <v>HS</v>
      </c>
      <c r="BA128" s="136" t="str">
        <f>IF(AI119="","",IF(E128="","",E128))</f>
        <v>-</v>
      </c>
      <c r="BB128" s="136" t="str">
        <f>IF(AI119="","",IF(F128="","",F128))</f>
        <v>HS</v>
      </c>
      <c r="BC128" s="136" t="str">
        <f>IF(AI119="","",IF(G128="","",G128))</f>
        <v>-</v>
      </c>
      <c r="BD128" s="136" t="str">
        <f>IF(AI119="","",IF(H128="","",H128))</f>
        <v>HS</v>
      </c>
      <c r="BE128" s="136" t="str">
        <f>IF(AI119="","",IF(I128="","",I128))</f>
        <v>-</v>
      </c>
      <c r="BF128" s="136" t="str">
        <f>IF(AI119="","",IF(J128="","",J128))</f>
        <v>HS</v>
      </c>
      <c r="BG128" s="136" t="str">
        <f>IF(AI119="","",IF(K128="","",K128))</f>
        <v>-</v>
      </c>
      <c r="BH128" s="136" t="str">
        <f>IF(AI119="","",IF(L128="","",L128))</f>
        <v>HS</v>
      </c>
      <c r="BI128" s="136" t="str">
        <f>IF(AI119="","",IF(M128="","",M128))</f>
        <v>-</v>
      </c>
      <c r="BJ128" s="136" t="str">
        <f>IF(AI119="","",IF(N128="","",N128))</f>
        <v>HS</v>
      </c>
      <c r="BK128" s="136" t="str">
        <f>IF(AI119="","",IF(O128="","",O128))</f>
        <v>-</v>
      </c>
      <c r="BZ128" s="280"/>
      <c r="CA128" s="183" t="str">
        <f>'INFO BASE'!L191</f>
        <v>-</v>
      </c>
      <c r="CB128" s="183" t="str">
        <f>'INFO BASE'!M191</f>
        <v/>
      </c>
      <c r="CD128" s="136" t="str">
        <f t="shared" si="92"/>
        <v>IEI</v>
      </c>
      <c r="CR128" s="177" t="str">
        <f t="shared" si="83"/>
        <v>HS</v>
      </c>
      <c r="CS128" s="177" t="str">
        <f t="shared" si="84"/>
        <v>HS-</v>
      </c>
      <c r="CT128" s="177" t="str">
        <f t="shared" si="83"/>
        <v>HS</v>
      </c>
      <c r="CU128" s="177" t="str">
        <f t="shared" si="85"/>
        <v>HS-</v>
      </c>
      <c r="CV128" s="177" t="str">
        <f t="shared" si="83"/>
        <v>HS</v>
      </c>
      <c r="CW128" s="177" t="str">
        <f t="shared" si="86"/>
        <v>HS-</v>
      </c>
      <c r="CX128" s="177" t="str">
        <f t="shared" si="83"/>
        <v>HS</v>
      </c>
      <c r="CY128" s="177" t="str">
        <f t="shared" si="87"/>
        <v>HS-</v>
      </c>
      <c r="CZ128" s="177" t="str">
        <f t="shared" si="83"/>
        <v>HS</v>
      </c>
      <c r="DA128" s="177" t="str">
        <f t="shared" si="88"/>
        <v>HS-</v>
      </c>
      <c r="DB128" s="177" t="str">
        <f t="shared" si="83"/>
        <v>HS</v>
      </c>
      <c r="DC128" s="177" t="str">
        <f t="shared" si="89"/>
        <v>HS-</v>
      </c>
      <c r="DD128" s="177" t="str">
        <f t="shared" si="90"/>
        <v>HS</v>
      </c>
      <c r="DE128" s="177" t="str">
        <f t="shared" si="91"/>
        <v>HS-</v>
      </c>
    </row>
    <row r="129" spans="1:109" ht="18" customHeight="1" x14ac:dyDescent="0.3">
      <c r="A129" s="81">
        <v>0.125000000000004</v>
      </c>
      <c r="B129" s="166" t="s">
        <v>10</v>
      </c>
      <c r="C129" s="130" t="s">
        <v>120</v>
      </c>
      <c r="D129" s="169" t="s">
        <v>10</v>
      </c>
      <c r="E129" s="130" t="s">
        <v>120</v>
      </c>
      <c r="F129" s="169" t="s">
        <v>10</v>
      </c>
      <c r="G129" s="130" t="s">
        <v>120</v>
      </c>
      <c r="H129" s="169" t="s">
        <v>10</v>
      </c>
      <c r="I129" s="130" t="s">
        <v>120</v>
      </c>
      <c r="J129" s="169" t="s">
        <v>10</v>
      </c>
      <c r="K129" s="130" t="s">
        <v>120</v>
      </c>
      <c r="L129" s="169" t="s">
        <v>10</v>
      </c>
      <c r="M129" s="130" t="s">
        <v>120</v>
      </c>
      <c r="N129" s="169" t="s">
        <v>10</v>
      </c>
      <c r="O129" s="154" t="s">
        <v>120</v>
      </c>
      <c r="Q129" s="284"/>
      <c r="R129" s="285"/>
      <c r="S129" s="285"/>
      <c r="T129" s="285"/>
      <c r="U129" s="285"/>
      <c r="V129" s="285"/>
      <c r="W129" s="286"/>
      <c r="X129" s="199">
        <v>1</v>
      </c>
      <c r="Y129" s="262" t="str">
        <f t="array" ref="Y129">IF(ISERROR(INDEX($CA$2:$CB$200,SMALL(IF($CA$2:$CA$200=$A$118,ROW($CA$2:$CA$200)),ROW(7:7))-1,2)),"",INDEX($CA$2:$CB$200,SMALL(IF($CA$2:$CA$200=$A$118,ROW($CA$2:$CA$200)),ROW(7:7))-1,2))</f>
        <v/>
      </c>
      <c r="Z129" s="263"/>
      <c r="AA129" s="263"/>
      <c r="AB129" s="263"/>
      <c r="AC129" s="263"/>
      <c r="AD129" s="263"/>
      <c r="AE129" s="263"/>
      <c r="AF129" s="264"/>
      <c r="AH129" s="136">
        <v>0.125000000000004</v>
      </c>
      <c r="AI129" s="136" t="s">
        <v>10</v>
      </c>
      <c r="AJ129" s="136" t="s">
        <v>120</v>
      </c>
      <c r="AK129" s="136" t="s">
        <v>10</v>
      </c>
      <c r="AL129" s="136" t="s">
        <v>120</v>
      </c>
      <c r="AM129" s="136" t="s">
        <v>10</v>
      </c>
      <c r="AN129" s="136" t="s">
        <v>120</v>
      </c>
      <c r="AO129" s="136" t="s">
        <v>10</v>
      </c>
      <c r="AP129" s="136" t="s">
        <v>120</v>
      </c>
      <c r="AQ129" s="136" t="s">
        <v>10</v>
      </c>
      <c r="AR129" s="136" t="s">
        <v>120</v>
      </c>
      <c r="AS129" s="136" t="s">
        <v>10</v>
      </c>
      <c r="AT129" s="136" t="s">
        <v>120</v>
      </c>
      <c r="AU129" s="136" t="s">
        <v>10</v>
      </c>
      <c r="AV129" s="136" t="s">
        <v>120</v>
      </c>
      <c r="AX129" s="136" t="str">
        <f>IF(AI119="","",IF(B129="","",B129))</f>
        <v>HS</v>
      </c>
      <c r="AY129" s="136" t="str">
        <f>IF(AI119="","",IF(C129="","",C129))</f>
        <v>-</v>
      </c>
      <c r="AZ129" s="136" t="str">
        <f>IF(AI119="","",IF(D129="","",D129))</f>
        <v>HS</v>
      </c>
      <c r="BA129" s="136" t="str">
        <f>IF(AI119="","",IF(E129="","",E129))</f>
        <v>-</v>
      </c>
      <c r="BB129" s="136" t="str">
        <f>IF(AI119="","",IF(F129="","",F129))</f>
        <v>HS</v>
      </c>
      <c r="BC129" s="136" t="str">
        <f>IF(AI119="","",IF(G129="","",G129))</f>
        <v>-</v>
      </c>
      <c r="BD129" s="136" t="str">
        <f>IF(AI119="","",IF(H129="","",H129))</f>
        <v>HS</v>
      </c>
      <c r="BE129" s="136" t="str">
        <f>IF(AI119="","",IF(I129="","",I129))</f>
        <v>-</v>
      </c>
      <c r="BF129" s="136" t="str">
        <f>IF(AI119="","",IF(J129="","",J129))</f>
        <v>HS</v>
      </c>
      <c r="BG129" s="136" t="str">
        <f>IF(AI119="","",IF(K129="","",K129))</f>
        <v>-</v>
      </c>
      <c r="BH129" s="136" t="str">
        <f>IF(AI119="","",IF(L129="","",L129))</f>
        <v>HS</v>
      </c>
      <c r="BI129" s="136" t="str">
        <f>IF(AI119="","",IF(M129="","",M129))</f>
        <v>-</v>
      </c>
      <c r="BJ129" s="136" t="str">
        <f>IF(AI119="","",IF(N129="","",N129))</f>
        <v>HS</v>
      </c>
      <c r="BK129" s="136" t="str">
        <f>IF(AI119="","",IF(O129="","",O129))</f>
        <v>-</v>
      </c>
      <c r="BZ129" s="280"/>
      <c r="CA129" s="183" t="str">
        <f>'INFO BASE'!L192</f>
        <v>-</v>
      </c>
      <c r="CB129" s="183" t="str">
        <f>'INFO BASE'!M192</f>
        <v/>
      </c>
      <c r="CD129" s="136" t="str">
        <f t="shared" si="92"/>
        <v>IAC</v>
      </c>
      <c r="CR129" s="177" t="str">
        <f t="shared" si="83"/>
        <v>HS</v>
      </c>
      <c r="CS129" s="177" t="str">
        <f t="shared" si="84"/>
        <v>HS-</v>
      </c>
      <c r="CT129" s="177" t="str">
        <f t="shared" si="83"/>
        <v>HS</v>
      </c>
      <c r="CU129" s="177" t="str">
        <f t="shared" si="85"/>
        <v>HS-</v>
      </c>
      <c r="CV129" s="177" t="str">
        <f t="shared" si="83"/>
        <v>HS</v>
      </c>
      <c r="CW129" s="177" t="str">
        <f t="shared" si="86"/>
        <v>HS-</v>
      </c>
      <c r="CX129" s="177" t="str">
        <f t="shared" si="83"/>
        <v>HS</v>
      </c>
      <c r="CY129" s="177" t="str">
        <f t="shared" si="87"/>
        <v>HS-</v>
      </c>
      <c r="CZ129" s="177" t="str">
        <f t="shared" si="83"/>
        <v>HS</v>
      </c>
      <c r="DA129" s="177" t="str">
        <f t="shared" si="88"/>
        <v>HS-</v>
      </c>
      <c r="DB129" s="177" t="str">
        <f t="shared" si="83"/>
        <v>HS</v>
      </c>
      <c r="DC129" s="177" t="str">
        <f t="shared" si="89"/>
        <v>HS-</v>
      </c>
      <c r="DD129" s="177" t="str">
        <f t="shared" si="90"/>
        <v>HS</v>
      </c>
      <c r="DE129" s="177" t="str">
        <f t="shared" si="91"/>
        <v>HS-</v>
      </c>
    </row>
    <row r="130" spans="1:109" ht="18" customHeight="1" thickBot="1" x14ac:dyDescent="0.35">
      <c r="A130" s="81">
        <v>0.14583333333333801</v>
      </c>
      <c r="B130" s="166" t="s">
        <v>10</v>
      </c>
      <c r="C130" s="130" t="s">
        <v>120</v>
      </c>
      <c r="D130" s="169" t="s">
        <v>10</v>
      </c>
      <c r="E130" s="130" t="s">
        <v>120</v>
      </c>
      <c r="F130" s="169" t="s">
        <v>10</v>
      </c>
      <c r="G130" s="130" t="s">
        <v>120</v>
      </c>
      <c r="H130" s="169" t="s">
        <v>10</v>
      </c>
      <c r="I130" s="130" t="s">
        <v>120</v>
      </c>
      <c r="J130" s="169" t="s">
        <v>10</v>
      </c>
      <c r="K130" s="130" t="s">
        <v>120</v>
      </c>
      <c r="L130" s="169" t="s">
        <v>10</v>
      </c>
      <c r="M130" s="130" t="s">
        <v>120</v>
      </c>
      <c r="N130" s="169" t="s">
        <v>10</v>
      </c>
      <c r="O130" s="154" t="s">
        <v>120</v>
      </c>
      <c r="Q130" s="287"/>
      <c r="R130" s="288"/>
      <c r="S130" s="288"/>
      <c r="T130" s="288"/>
      <c r="U130" s="288"/>
      <c r="V130" s="288"/>
      <c r="W130" s="289"/>
      <c r="X130" s="199">
        <v>1</v>
      </c>
      <c r="Y130" s="265" t="str">
        <f t="array" ref="Y130">IF(ISERROR(INDEX($CA$2:$CB$200,SMALL(IF($CA$2:$CA$200=$A$118,ROW($CA$2:$CA$200)),ROW(8:8))-1,2)),"",INDEX($CA$2:$CB$200,SMALL(IF($CA$2:$CA$200=$A$118,ROW($CA$2:$CA$200)),ROW(8:8))-1,2))</f>
        <v/>
      </c>
      <c r="Z130" s="266"/>
      <c r="AA130" s="266"/>
      <c r="AB130" s="266"/>
      <c r="AC130" s="266"/>
      <c r="AD130" s="266"/>
      <c r="AE130" s="266"/>
      <c r="AF130" s="267"/>
      <c r="AH130" s="136">
        <v>0.14583333333333801</v>
      </c>
      <c r="AI130" s="136" t="s">
        <v>10</v>
      </c>
      <c r="AJ130" s="136" t="s">
        <v>120</v>
      </c>
      <c r="AK130" s="136" t="s">
        <v>10</v>
      </c>
      <c r="AL130" s="136" t="s">
        <v>120</v>
      </c>
      <c r="AM130" s="136" t="s">
        <v>10</v>
      </c>
      <c r="AN130" s="136" t="s">
        <v>120</v>
      </c>
      <c r="AO130" s="136" t="s">
        <v>10</v>
      </c>
      <c r="AP130" s="136" t="s">
        <v>120</v>
      </c>
      <c r="AQ130" s="136" t="s">
        <v>10</v>
      </c>
      <c r="AR130" s="136" t="s">
        <v>120</v>
      </c>
      <c r="AS130" s="136" t="s">
        <v>10</v>
      </c>
      <c r="AT130" s="136" t="s">
        <v>120</v>
      </c>
      <c r="AU130" s="136" t="s">
        <v>10</v>
      </c>
      <c r="AV130" s="136" t="s">
        <v>120</v>
      </c>
      <c r="AX130" s="136" t="str">
        <f>IF(AI119="","",IF(B130="","",B130))</f>
        <v>HS</v>
      </c>
      <c r="AY130" s="136" t="str">
        <f>IF(AI119="","",IF(C130="","",C130))</f>
        <v>-</v>
      </c>
      <c r="AZ130" s="136" t="str">
        <f>IF(AI119="","",IF(D130="","",D130))</f>
        <v>HS</v>
      </c>
      <c r="BA130" s="136" t="str">
        <f>IF(AI119="","",IF(E130="","",E130))</f>
        <v>-</v>
      </c>
      <c r="BB130" s="136" t="str">
        <f>IF(AI119="","",IF(F130="","",F130))</f>
        <v>HS</v>
      </c>
      <c r="BC130" s="136" t="str">
        <f>IF(AI119="","",IF(G130="","",G130))</f>
        <v>-</v>
      </c>
      <c r="BD130" s="136" t="str">
        <f>IF(AI119="","",IF(H130="","",H130))</f>
        <v>HS</v>
      </c>
      <c r="BE130" s="136" t="str">
        <f>IF(AI119="","",IF(I130="","",I130))</f>
        <v>-</v>
      </c>
      <c r="BF130" s="136" t="str">
        <f>IF(AI119="","",IF(J130="","",J130))</f>
        <v>HS</v>
      </c>
      <c r="BG130" s="136" t="str">
        <f>IF(AI119="","",IF(K130="","",K130))</f>
        <v>-</v>
      </c>
      <c r="BH130" s="136" t="str">
        <f>IF(AI119="","",IF(L130="","",L130))</f>
        <v>HS</v>
      </c>
      <c r="BI130" s="136" t="str">
        <f>IF(AI119="","",IF(M130="","",M130))</f>
        <v>-</v>
      </c>
      <c r="BJ130" s="136" t="str">
        <f>IF(AI119="","",IF(N130="","",N130))</f>
        <v>HS</v>
      </c>
      <c r="BK130" s="136" t="str">
        <f>IF(AI119="","",IF(O130="","",O130))</f>
        <v>-</v>
      </c>
      <c r="BZ130" s="280"/>
      <c r="CA130" s="183" t="str">
        <f>'INFO BASE'!L193</f>
        <v>-</v>
      </c>
      <c r="CB130" s="183" t="str">
        <f>'INFO BASE'!M193</f>
        <v/>
      </c>
      <c r="CD130" s="136" t="str">
        <f t="shared" si="92"/>
        <v>AL</v>
      </c>
      <c r="CR130" s="177" t="str">
        <f t="shared" si="83"/>
        <v>HS</v>
      </c>
      <c r="CS130" s="177" t="str">
        <f t="shared" si="84"/>
        <v>HS-</v>
      </c>
      <c r="CT130" s="177" t="str">
        <f t="shared" si="83"/>
        <v>HS</v>
      </c>
      <c r="CU130" s="177" t="str">
        <f t="shared" si="85"/>
        <v>HS-</v>
      </c>
      <c r="CV130" s="177" t="str">
        <f t="shared" si="83"/>
        <v>HS</v>
      </c>
      <c r="CW130" s="177" t="str">
        <f t="shared" si="86"/>
        <v>HS-</v>
      </c>
      <c r="CX130" s="177" t="str">
        <f t="shared" si="83"/>
        <v>HS</v>
      </c>
      <c r="CY130" s="177" t="str">
        <f t="shared" si="87"/>
        <v>HS-</v>
      </c>
      <c r="CZ130" s="177" t="str">
        <f t="shared" si="83"/>
        <v>HS</v>
      </c>
      <c r="DA130" s="177" t="str">
        <f t="shared" si="88"/>
        <v>HS-</v>
      </c>
      <c r="DB130" s="177" t="str">
        <f t="shared" si="83"/>
        <v>HS</v>
      </c>
      <c r="DC130" s="177" t="str">
        <f t="shared" si="89"/>
        <v>HS-</v>
      </c>
      <c r="DD130" s="177" t="str">
        <f t="shared" si="90"/>
        <v>HS</v>
      </c>
      <c r="DE130" s="177" t="str">
        <f t="shared" si="91"/>
        <v>HS-</v>
      </c>
    </row>
    <row r="131" spans="1:109" ht="18" customHeight="1" thickBot="1" x14ac:dyDescent="0.35">
      <c r="A131" s="81">
        <v>0.16666666666667199</v>
      </c>
      <c r="B131" s="166" t="s">
        <v>10</v>
      </c>
      <c r="C131" s="130" t="s">
        <v>120</v>
      </c>
      <c r="D131" s="169" t="s">
        <v>10</v>
      </c>
      <c r="E131" s="130" t="s">
        <v>120</v>
      </c>
      <c r="F131" s="169" t="s">
        <v>10</v>
      </c>
      <c r="G131" s="130" t="s">
        <v>120</v>
      </c>
      <c r="H131" s="169" t="s">
        <v>10</v>
      </c>
      <c r="I131" s="130" t="s">
        <v>120</v>
      </c>
      <c r="J131" s="169" t="s">
        <v>10</v>
      </c>
      <c r="K131" s="130" t="s">
        <v>120</v>
      </c>
      <c r="L131" s="169" t="s">
        <v>10</v>
      </c>
      <c r="M131" s="130" t="s">
        <v>120</v>
      </c>
      <c r="N131" s="169" t="s">
        <v>10</v>
      </c>
      <c r="O131" s="154" t="s">
        <v>120</v>
      </c>
      <c r="Q131" s="63"/>
      <c r="R131" s="64"/>
      <c r="S131" s="65"/>
      <c r="T131" s="65"/>
      <c r="U131" s="65"/>
      <c r="V131" s="65"/>
      <c r="W131" s="65"/>
      <c r="X131" s="199">
        <v>1</v>
      </c>
      <c r="Y131" s="59"/>
      <c r="Z131" s="59"/>
      <c r="AA131" s="59"/>
      <c r="AB131" s="59"/>
      <c r="AC131" s="59"/>
      <c r="AD131" s="59"/>
      <c r="AE131" s="59"/>
      <c r="AF131" s="59"/>
      <c r="AH131" s="136">
        <v>0.16666666666667199</v>
      </c>
      <c r="AI131" s="136" t="s">
        <v>10</v>
      </c>
      <c r="AJ131" s="136" t="s">
        <v>120</v>
      </c>
      <c r="AK131" s="136" t="s">
        <v>10</v>
      </c>
      <c r="AL131" s="136" t="s">
        <v>120</v>
      </c>
      <c r="AM131" s="136" t="s">
        <v>10</v>
      </c>
      <c r="AN131" s="136" t="s">
        <v>120</v>
      </c>
      <c r="AO131" s="136" t="s">
        <v>10</v>
      </c>
      <c r="AP131" s="136" t="s">
        <v>120</v>
      </c>
      <c r="AQ131" s="136" t="s">
        <v>10</v>
      </c>
      <c r="AR131" s="136" t="s">
        <v>120</v>
      </c>
      <c r="AS131" s="136" t="s">
        <v>10</v>
      </c>
      <c r="AT131" s="136" t="s">
        <v>120</v>
      </c>
      <c r="AU131" s="136" t="s">
        <v>10</v>
      </c>
      <c r="AV131" s="136" t="s">
        <v>120</v>
      </c>
      <c r="AX131" s="136" t="str">
        <f>IF(AI119="","",IF(B131="","",B131))</f>
        <v>HS</v>
      </c>
      <c r="AY131" s="136" t="str">
        <f>IF(AI119="","",IF(C131="","",C131))</f>
        <v>-</v>
      </c>
      <c r="AZ131" s="136" t="str">
        <f>IF(AI119="","",IF(D131="","",D131))</f>
        <v>HS</v>
      </c>
      <c r="BA131" s="136" t="str">
        <f>IF(AI119="","",IF(E131="","",E131))</f>
        <v>-</v>
      </c>
      <c r="BB131" s="136" t="str">
        <f>IF(AI119="","",IF(F131="","",F131))</f>
        <v>HS</v>
      </c>
      <c r="BC131" s="136" t="str">
        <f>IF(AI119="","",IF(G131="","",G131))</f>
        <v>-</v>
      </c>
      <c r="BD131" s="136" t="str">
        <f>IF(AI119="","",IF(H131="","",H131))</f>
        <v>HS</v>
      </c>
      <c r="BE131" s="136" t="str">
        <f>IF(AI119="","",IF(I131="","",I131))</f>
        <v>-</v>
      </c>
      <c r="BF131" s="136" t="str">
        <f>IF(AI119="","",IF(J131="","",J131))</f>
        <v>HS</v>
      </c>
      <c r="BG131" s="136" t="str">
        <f>IF(AI119="","",IF(K131="","",K131))</f>
        <v>-</v>
      </c>
      <c r="BH131" s="136" t="str">
        <f>IF(AI119="","",IF(L131="","",L131))</f>
        <v>HS</v>
      </c>
      <c r="BI131" s="136" t="str">
        <f>IF(AI119="","",IF(M131="","",M131))</f>
        <v>-</v>
      </c>
      <c r="BJ131" s="136" t="str">
        <f>IF(AI119="","",IF(N131="","",N131))</f>
        <v>HS</v>
      </c>
      <c r="BK131" s="136" t="str">
        <f>IF(AI119="","",IF(O131="","",O131))</f>
        <v>-</v>
      </c>
      <c r="BM131" s="136" t="str">
        <f>BO131</f>
        <v>EA</v>
      </c>
      <c r="BN131" s="136" t="str">
        <f t="shared" ref="BN131:BO167" si="93">Q134</f>
        <v>Estudo Autónomo</v>
      </c>
      <c r="BO131" s="136" t="str">
        <f t="shared" si="93"/>
        <v>EA</v>
      </c>
      <c r="BP131" s="136">
        <f>COUNTIFS(AX123:BK170,BO131)*0.5</f>
        <v>17</v>
      </c>
      <c r="BQ131" s="136" t="str">
        <f t="shared" ref="BQ131:BR167" si="94">BN131</f>
        <v>Estudo Autónomo</v>
      </c>
      <c r="BR131" s="136" t="str">
        <f t="shared" si="94"/>
        <v>EA</v>
      </c>
      <c r="BS131" s="136" t="str">
        <f>BQ131</f>
        <v>Estudo Autónomo</v>
      </c>
      <c r="BT131" s="136">
        <f>SUMIFS(V:V,Q:Q,BQ131,R:R,BR131)</f>
        <v>86.5</v>
      </c>
      <c r="BU131" s="136">
        <f>SUMIFS(BP:BP,BN:BN,BQ131,BO:BO,BR131)</f>
        <v>95.5</v>
      </c>
      <c r="BZ131" s="280" t="s">
        <v>122</v>
      </c>
      <c r="CA131" s="183" t="str">
        <f>'INFO BASE'!L194</f>
        <v>-</v>
      </c>
      <c r="CB131" s="183" t="str">
        <f>'INFO BASE'!M194</f>
        <v/>
      </c>
      <c r="CD131" s="136" t="str">
        <f t="shared" si="92"/>
        <v>CDI</v>
      </c>
      <c r="CR131" s="177" t="str">
        <f t="shared" si="83"/>
        <v>HS</v>
      </c>
      <c r="CS131" s="177" t="str">
        <f t="shared" si="84"/>
        <v>HS-</v>
      </c>
      <c r="CT131" s="177" t="str">
        <f t="shared" si="83"/>
        <v>HS</v>
      </c>
      <c r="CU131" s="177" t="str">
        <f t="shared" si="85"/>
        <v>HS-</v>
      </c>
      <c r="CV131" s="177" t="str">
        <f t="shared" si="83"/>
        <v>HS</v>
      </c>
      <c r="CW131" s="177" t="str">
        <f t="shared" si="86"/>
        <v>HS-</v>
      </c>
      <c r="CX131" s="177" t="str">
        <f t="shared" si="83"/>
        <v>HS</v>
      </c>
      <c r="CY131" s="177" t="str">
        <f t="shared" si="87"/>
        <v>HS-</v>
      </c>
      <c r="CZ131" s="177" t="str">
        <f t="shared" si="83"/>
        <v>HS</v>
      </c>
      <c r="DA131" s="177" t="str">
        <f t="shared" si="88"/>
        <v>HS-</v>
      </c>
      <c r="DB131" s="177" t="str">
        <f t="shared" si="83"/>
        <v>HS</v>
      </c>
      <c r="DC131" s="177" t="str">
        <f t="shared" si="89"/>
        <v>HS-</v>
      </c>
      <c r="DD131" s="177" t="str">
        <f t="shared" si="90"/>
        <v>HS</v>
      </c>
      <c r="DE131" s="177" t="str">
        <f t="shared" si="91"/>
        <v>HS-</v>
      </c>
    </row>
    <row r="132" spans="1:109" ht="18" customHeight="1" x14ac:dyDescent="0.3">
      <c r="A132" s="81">
        <v>0.187500000000006</v>
      </c>
      <c r="B132" s="166" t="s">
        <v>10</v>
      </c>
      <c r="C132" s="130" t="s">
        <v>120</v>
      </c>
      <c r="D132" s="169" t="s">
        <v>10</v>
      </c>
      <c r="E132" s="130" t="s">
        <v>120</v>
      </c>
      <c r="F132" s="169" t="s">
        <v>10</v>
      </c>
      <c r="G132" s="130" t="s">
        <v>120</v>
      </c>
      <c r="H132" s="169" t="s">
        <v>10</v>
      </c>
      <c r="I132" s="130" t="s">
        <v>120</v>
      </c>
      <c r="J132" s="169" t="s">
        <v>10</v>
      </c>
      <c r="K132" s="130" t="s">
        <v>120</v>
      </c>
      <c r="L132" s="169" t="s">
        <v>10</v>
      </c>
      <c r="M132" s="130" t="s">
        <v>120</v>
      </c>
      <c r="N132" s="169" t="s">
        <v>10</v>
      </c>
      <c r="O132" s="154" t="s">
        <v>120</v>
      </c>
      <c r="Q132" s="294" t="s">
        <v>14</v>
      </c>
      <c r="R132" s="290" t="s">
        <v>88</v>
      </c>
      <c r="S132" s="290" t="s">
        <v>87</v>
      </c>
      <c r="T132" s="290" t="s">
        <v>89</v>
      </c>
      <c r="U132" s="290" t="s">
        <v>41</v>
      </c>
      <c r="V132" s="290" t="s">
        <v>91</v>
      </c>
      <c r="W132" s="292" t="s">
        <v>90</v>
      </c>
      <c r="X132" s="199">
        <v>1</v>
      </c>
      <c r="Y132" s="302" t="s">
        <v>21</v>
      </c>
      <c r="Z132" s="303"/>
      <c r="AA132" s="303"/>
      <c r="AB132" s="303"/>
      <c r="AC132" s="303"/>
      <c r="AD132" s="303"/>
      <c r="AE132" s="303"/>
      <c r="AF132" s="304"/>
      <c r="AH132" s="136">
        <v>0.187500000000006</v>
      </c>
      <c r="AI132" s="136" t="s">
        <v>10</v>
      </c>
      <c r="AJ132" s="136" t="s">
        <v>120</v>
      </c>
      <c r="AK132" s="136" t="s">
        <v>10</v>
      </c>
      <c r="AL132" s="136" t="s">
        <v>120</v>
      </c>
      <c r="AM132" s="136" t="s">
        <v>10</v>
      </c>
      <c r="AN132" s="136" t="s">
        <v>120</v>
      </c>
      <c r="AO132" s="136" t="s">
        <v>10</v>
      </c>
      <c r="AP132" s="136" t="s">
        <v>120</v>
      </c>
      <c r="AQ132" s="136" t="s">
        <v>10</v>
      </c>
      <c r="AR132" s="136" t="s">
        <v>120</v>
      </c>
      <c r="AS132" s="136" t="s">
        <v>10</v>
      </c>
      <c r="AT132" s="136" t="s">
        <v>120</v>
      </c>
      <c r="AU132" s="136" t="s">
        <v>10</v>
      </c>
      <c r="AV132" s="136" t="s">
        <v>120</v>
      </c>
      <c r="AX132" s="136" t="str">
        <f>IF(AI119="","",IF(B132="","",B132))</f>
        <v>HS</v>
      </c>
      <c r="AY132" s="136" t="str">
        <f>IF(AI119="","",IF(C132="","",C132))</f>
        <v>-</v>
      </c>
      <c r="AZ132" s="136" t="str">
        <f>IF(AI119="","",IF(D132="","",D132))</f>
        <v>HS</v>
      </c>
      <c r="BA132" s="136" t="str">
        <f>IF(AI119="","",IF(E132="","",E132))</f>
        <v>-</v>
      </c>
      <c r="BB132" s="136" t="str">
        <f>IF(AI119="","",IF(F132="","",F132))</f>
        <v>HS</v>
      </c>
      <c r="BC132" s="136" t="str">
        <f>IF(AI119="","",IF(G132="","",G132))</f>
        <v>-</v>
      </c>
      <c r="BD132" s="136" t="str">
        <f>IF(AI119="","",IF(H132="","",H132))</f>
        <v>HS</v>
      </c>
      <c r="BE132" s="136" t="str">
        <f>IF(AI119="","",IF(I132="","",I132))</f>
        <v>-</v>
      </c>
      <c r="BF132" s="136" t="str">
        <f>IF(AI119="","",IF(J132="","",J132))</f>
        <v>HS</v>
      </c>
      <c r="BG132" s="136" t="str">
        <f>IF(AI119="","",IF(K132="","",K132))</f>
        <v>-</v>
      </c>
      <c r="BH132" s="136" t="str">
        <f>IF(AI119="","",IF(L132="","",L132))</f>
        <v>HS</v>
      </c>
      <c r="BI132" s="136" t="str">
        <f>IF(AI119="","",IF(M132="","",M132))</f>
        <v>-</v>
      </c>
      <c r="BJ132" s="136" t="str">
        <f>IF(AI119="","",IF(N132="","",N132))</f>
        <v>HS</v>
      </c>
      <c r="BK132" s="136" t="str">
        <f>IF(AI119="","",IF(O132="","",O132))</f>
        <v>-</v>
      </c>
      <c r="BM132" s="136" t="str">
        <f>BM131</f>
        <v>EA</v>
      </c>
      <c r="BN132" s="136" t="str">
        <f t="shared" si="93"/>
        <v>Estudo Autónomo</v>
      </c>
      <c r="BO132" s="136" t="str">
        <f t="shared" si="93"/>
        <v>FP</v>
      </c>
      <c r="BP132" s="136">
        <f>(COUNTIFS(AX123:AX170,BM132,AY123:AY170,BO132)+COUNTIFS(AZ123:AZ170,BM132,BA123:BA170,BO132)+COUNTIFS(BB123:BB170,BM132,BC123:BC170,BO132)+COUNTIFS(BD123:BD170,BM132,BE123:BE170,BO132)+COUNTIFS(BF123:BF170,BM132,BG123:BG170,BO132)+COUNTIFS(BH123:BH170,BM132,BI123:BI170,BO132)+COUNTIFS(BJ123:BJ170,BM132,BK123:BK170,BO132))*0.5</f>
        <v>3</v>
      </c>
      <c r="BQ132" s="136" t="str">
        <f t="shared" si="94"/>
        <v>Estudo Autónomo</v>
      </c>
      <c r="BR132" s="136" t="str">
        <f>$R$20</f>
        <v>EA</v>
      </c>
      <c r="BS132" s="136" t="str">
        <f t="shared" ref="BS132:BS167" si="95">BQ132</f>
        <v>Estudo Autónomo</v>
      </c>
      <c r="BT132" s="136">
        <f>SUMIFS(V:V,Q:Q,BQ132,R:R,BR132)</f>
        <v>86.5</v>
      </c>
      <c r="BU132" s="136">
        <f>SUMIFS(BP:BP,BN:BN,BQ132,BO:BO,BR132)</f>
        <v>95.5</v>
      </c>
      <c r="BZ132" s="280"/>
      <c r="CA132" s="183" t="str">
        <f>'INFO BASE'!L195</f>
        <v>-</v>
      </c>
      <c r="CB132" s="183" t="str">
        <f>'INFO BASE'!M195</f>
        <v/>
      </c>
      <c r="CD132" s="136" t="str">
        <f t="shared" si="92"/>
        <v/>
      </c>
      <c r="CR132" s="177" t="str">
        <f t="shared" si="83"/>
        <v>HS</v>
      </c>
      <c r="CS132" s="177" t="str">
        <f t="shared" si="84"/>
        <v>HS-</v>
      </c>
      <c r="CT132" s="177" t="str">
        <f t="shared" si="83"/>
        <v>HS</v>
      </c>
      <c r="CU132" s="177" t="str">
        <f t="shared" si="85"/>
        <v>HS-</v>
      </c>
      <c r="CV132" s="177" t="str">
        <f t="shared" si="83"/>
        <v>HS</v>
      </c>
      <c r="CW132" s="177" t="str">
        <f t="shared" si="86"/>
        <v>HS-</v>
      </c>
      <c r="CX132" s="177" t="str">
        <f t="shared" si="83"/>
        <v>HS</v>
      </c>
      <c r="CY132" s="177" t="str">
        <f t="shared" si="87"/>
        <v>HS-</v>
      </c>
      <c r="CZ132" s="177" t="str">
        <f t="shared" si="83"/>
        <v>HS</v>
      </c>
      <c r="DA132" s="177" t="str">
        <f t="shared" si="88"/>
        <v>HS-</v>
      </c>
      <c r="DB132" s="177" t="str">
        <f t="shared" si="83"/>
        <v>HS</v>
      </c>
      <c r="DC132" s="177" t="str">
        <f t="shared" si="89"/>
        <v>HS-</v>
      </c>
      <c r="DD132" s="177" t="str">
        <f t="shared" si="90"/>
        <v>HS</v>
      </c>
      <c r="DE132" s="177" t="str">
        <f t="shared" si="91"/>
        <v>HS-</v>
      </c>
    </row>
    <row r="133" spans="1:109" ht="18" customHeight="1" thickBot="1" x14ac:dyDescent="0.35">
      <c r="A133" s="81">
        <v>0.20833333333334</v>
      </c>
      <c r="B133" s="166" t="s">
        <v>10</v>
      </c>
      <c r="C133" s="130" t="s">
        <v>120</v>
      </c>
      <c r="D133" s="169" t="s">
        <v>10</v>
      </c>
      <c r="E133" s="130" t="s">
        <v>120</v>
      </c>
      <c r="F133" s="169" t="s">
        <v>10</v>
      </c>
      <c r="G133" s="130" t="s">
        <v>120</v>
      </c>
      <c r="H133" s="169" t="s">
        <v>10</v>
      </c>
      <c r="I133" s="130" t="s">
        <v>120</v>
      </c>
      <c r="J133" s="169" t="s">
        <v>10</v>
      </c>
      <c r="K133" s="130" t="s">
        <v>120</v>
      </c>
      <c r="L133" s="169" t="s">
        <v>10</v>
      </c>
      <c r="M133" s="130" t="s">
        <v>120</v>
      </c>
      <c r="N133" s="169" t="s">
        <v>10</v>
      </c>
      <c r="O133" s="154" t="s">
        <v>120</v>
      </c>
      <c r="Q133" s="295"/>
      <c r="R133" s="291"/>
      <c r="S133" s="291"/>
      <c r="T133" s="291"/>
      <c r="U133" s="291"/>
      <c r="V133" s="291"/>
      <c r="W133" s="293"/>
      <c r="X133" s="199">
        <v>1</v>
      </c>
      <c r="Y133" s="305"/>
      <c r="Z133" s="306"/>
      <c r="AA133" s="306"/>
      <c r="AB133" s="306"/>
      <c r="AC133" s="306"/>
      <c r="AD133" s="306"/>
      <c r="AE133" s="306"/>
      <c r="AF133" s="307"/>
      <c r="AH133" s="136">
        <v>0.20833333333334</v>
      </c>
      <c r="AI133" s="136" t="s">
        <v>10</v>
      </c>
      <c r="AJ133" s="136" t="s">
        <v>120</v>
      </c>
      <c r="AK133" s="136" t="s">
        <v>10</v>
      </c>
      <c r="AL133" s="136" t="s">
        <v>120</v>
      </c>
      <c r="AM133" s="136" t="s">
        <v>10</v>
      </c>
      <c r="AN133" s="136" t="s">
        <v>120</v>
      </c>
      <c r="AO133" s="136" t="s">
        <v>10</v>
      </c>
      <c r="AP133" s="136" t="s">
        <v>120</v>
      </c>
      <c r="AQ133" s="136" t="s">
        <v>10</v>
      </c>
      <c r="AR133" s="136" t="s">
        <v>120</v>
      </c>
      <c r="AS133" s="136" t="s">
        <v>10</v>
      </c>
      <c r="AT133" s="136" t="s">
        <v>120</v>
      </c>
      <c r="AU133" s="136" t="s">
        <v>10</v>
      </c>
      <c r="AV133" s="136" t="s">
        <v>120</v>
      </c>
      <c r="AX133" s="136" t="str">
        <f>IF(AI119="","",IF(B133="","",B133))</f>
        <v>HS</v>
      </c>
      <c r="AY133" s="136" t="str">
        <f>IF(AI119="","",IF(C133="","",C133))</f>
        <v>-</v>
      </c>
      <c r="AZ133" s="136" t="str">
        <f>IF(AI119="","",IF(D133="","",D133))</f>
        <v>HS</v>
      </c>
      <c r="BA133" s="136" t="str">
        <f>IF(AI119="","",IF(E133="","",E133))</f>
        <v>-</v>
      </c>
      <c r="BB133" s="136" t="str">
        <f>IF(AI119="","",IF(F133="","",F133))</f>
        <v>HS</v>
      </c>
      <c r="BC133" s="136" t="str">
        <f>IF(AI119="","",IF(G133="","",G133))</f>
        <v>-</v>
      </c>
      <c r="BD133" s="136" t="str">
        <f>IF(AI119="","",IF(H133="","",H133))</f>
        <v>HS</v>
      </c>
      <c r="BE133" s="136" t="str">
        <f>IF(AI119="","",IF(I133="","",I133))</f>
        <v>-</v>
      </c>
      <c r="BF133" s="136" t="str">
        <f>IF(AI119="","",IF(J133="","",J133))</f>
        <v>HS</v>
      </c>
      <c r="BG133" s="136" t="str">
        <f>IF(AI119="","",IF(K133="","",K133))</f>
        <v>-</v>
      </c>
      <c r="BH133" s="136" t="str">
        <f>IF(AI119="","",IF(L133="","",L133))</f>
        <v>HS</v>
      </c>
      <c r="BI133" s="136" t="str">
        <f>IF(AI119="","",IF(M133="","",M133))</f>
        <v>-</v>
      </c>
      <c r="BJ133" s="136" t="str">
        <f>IF(AI119="","",IF(N133="","",N133))</f>
        <v>HS</v>
      </c>
      <c r="BK133" s="136" t="str">
        <f>IF(AI119="","",IF(O133="","",O133))</f>
        <v>-</v>
      </c>
      <c r="BM133" s="136" t="str">
        <f t="shared" ref="BM133:BM137" si="96">BM132</f>
        <v>EA</v>
      </c>
      <c r="BN133" s="136" t="str">
        <f t="shared" si="93"/>
        <v>Estudo Autónomo</v>
      </c>
      <c r="BO133" s="136" t="str">
        <f t="shared" si="93"/>
        <v>IEI</v>
      </c>
      <c r="BP133" s="136">
        <f>(COUNTIFS(AX123:AX170,BM133,AY123:AY170,BO133)+COUNTIFS(AZ123:AZ170,BM133,BA123:BA170,BO133)+COUNTIFS(BB123:BB170,BM133,BC123:BC170,BO133)+COUNTIFS(BD123:BD170,BM133,BE123:BE170,BO133)+COUNTIFS(BF123:BF170,BM133,BG123:BG170,BO133)+COUNTIFS(BH123:BH170,BM133,BI123:BI170,BO133)+COUNTIFS(BJ123:BJ170,BM133,BK123:BK170,BO133))*0.5</f>
        <v>10.5</v>
      </c>
      <c r="BQ133" s="136" t="str">
        <f t="shared" si="94"/>
        <v>Estudo Autónomo</v>
      </c>
      <c r="BR133" s="136" t="str">
        <f t="shared" si="94"/>
        <v>IEI</v>
      </c>
      <c r="BS133" s="136" t="str">
        <f t="shared" si="95"/>
        <v>Estudo Autónomo</v>
      </c>
      <c r="BT133" s="136">
        <f>SUMIFS(V:V,Q:Q,BQ133,R:R,BR133)</f>
        <v>20</v>
      </c>
      <c r="BU133" s="136">
        <f>SUMIFS(BP:BP,BN:BN,BQ133,BO:BO,BR133)</f>
        <v>36.5</v>
      </c>
      <c r="BZ133" s="280"/>
      <c r="CA133" s="183" t="str">
        <f>'INFO BASE'!L196</f>
        <v>-</v>
      </c>
      <c r="CB133" s="183" t="str">
        <f>'INFO BASE'!M196</f>
        <v/>
      </c>
      <c r="CD133" s="136" t="str">
        <f>IF('INFO BASE'!E147="","",'INFO BASE'!E147)</f>
        <v/>
      </c>
      <c r="CR133" s="177" t="str">
        <f t="shared" si="83"/>
        <v>HS</v>
      </c>
      <c r="CS133" s="177" t="str">
        <f t="shared" si="84"/>
        <v>HS-</v>
      </c>
      <c r="CT133" s="177" t="str">
        <f t="shared" si="83"/>
        <v>HS</v>
      </c>
      <c r="CU133" s="177" t="str">
        <f t="shared" si="85"/>
        <v>HS-</v>
      </c>
      <c r="CV133" s="177" t="str">
        <f t="shared" si="83"/>
        <v>HS</v>
      </c>
      <c r="CW133" s="177" t="str">
        <f t="shared" si="86"/>
        <v>HS-</v>
      </c>
      <c r="CX133" s="177" t="str">
        <f t="shared" si="83"/>
        <v>HS</v>
      </c>
      <c r="CY133" s="177" t="str">
        <f t="shared" si="87"/>
        <v>HS-</v>
      </c>
      <c r="CZ133" s="177" t="str">
        <f t="shared" si="83"/>
        <v>HS</v>
      </c>
      <c r="DA133" s="177" t="str">
        <f t="shared" si="88"/>
        <v>HS-</v>
      </c>
      <c r="DB133" s="177" t="str">
        <f t="shared" si="83"/>
        <v>HS</v>
      </c>
      <c r="DC133" s="177" t="str">
        <f t="shared" si="89"/>
        <v>HS-</v>
      </c>
      <c r="DD133" s="177" t="str">
        <f t="shared" si="90"/>
        <v>HS</v>
      </c>
      <c r="DE133" s="177" t="str">
        <f t="shared" si="91"/>
        <v>HS-</v>
      </c>
    </row>
    <row r="134" spans="1:109" ht="18" customHeight="1" x14ac:dyDescent="0.3">
      <c r="A134" s="81">
        <v>0.22916666666667401</v>
      </c>
      <c r="B134" s="166" t="s">
        <v>10</v>
      </c>
      <c r="C134" s="130" t="s">
        <v>120</v>
      </c>
      <c r="D134" s="169" t="s">
        <v>10</v>
      </c>
      <c r="E134" s="130" t="s">
        <v>120</v>
      </c>
      <c r="F134" s="169" t="s">
        <v>10</v>
      </c>
      <c r="G134" s="130" t="s">
        <v>120</v>
      </c>
      <c r="H134" s="169" t="s">
        <v>10</v>
      </c>
      <c r="I134" s="130" t="s">
        <v>120</v>
      </c>
      <c r="J134" s="169" t="s">
        <v>10</v>
      </c>
      <c r="K134" s="130" t="s">
        <v>120</v>
      </c>
      <c r="L134" s="169" t="s">
        <v>10</v>
      </c>
      <c r="M134" s="130" t="s">
        <v>120</v>
      </c>
      <c r="N134" s="169" t="s">
        <v>10</v>
      </c>
      <c r="O134" s="154" t="s">
        <v>120</v>
      </c>
      <c r="P134" s="6">
        <v>0</v>
      </c>
      <c r="Q134" s="109" t="str">
        <f>IF('INFO BASE'!$C$17="","",'INFO BASE'!$C$17)</f>
        <v>Estudo Autónomo</v>
      </c>
      <c r="R134" s="82" t="str">
        <f>R77</f>
        <v>EA</v>
      </c>
      <c r="S134" s="83">
        <f t="shared" ref="S134:S170" si="97">IFERROR((U134/T134)-1,"-")</f>
        <v>-0.10526315789473684</v>
      </c>
      <c r="T134" s="84">
        <f>IF(VLOOKUP(Q134,'INFO BASE'!$B$40:$I$54,IF(R134='INFO BASE'!$B$32,3,IF(R134='INFO BASE'!$B$33,4,IF(R134='INFO BASE'!$B$34,5,IF(R134='INFO BASE'!$B$35,6,IF(R134='INFO BASE'!$B$36,7,IF(R134='INFO BASE'!$B$37,8,2)))))),0)=0,"",VLOOKUP(Q134,'INFO BASE'!$B$40:$I$54,IF(R134='INFO BASE'!$B$32,3,IF(R134='INFO BASE'!$B$33,4,IF(R134='INFO BASE'!$B$34,5,IF(R134='INFO BASE'!$B$35,6,IF(R134='INFO BASE'!$B$36,7,IF(R134='INFO BASE'!$B$37,8,2)))))),0))</f>
        <v>19</v>
      </c>
      <c r="U134" s="84">
        <f>IF(R134="","",COUNTIFS(SEMANA3,R134)*0.5)</f>
        <v>17</v>
      </c>
      <c r="V134" s="84">
        <f>IF(R134="","",COUNTIFS(AI123:AV170,R134)*0.5)</f>
        <v>18.5</v>
      </c>
      <c r="W134" s="85">
        <f>IF(AH119="","-",IF(V134=0,U134,IFERROR((U134/V134)-1,"-")))</f>
        <v>-8.108108108108103E-2</v>
      </c>
      <c r="X134" s="200">
        <f t="shared" ref="X134:X170" si="98">IFERROR(IF(ABS(W134)&gt;P134,1,0),0)</f>
        <v>1</v>
      </c>
      <c r="Y134" s="299" t="s">
        <v>244</v>
      </c>
      <c r="Z134" s="300"/>
      <c r="AA134" s="300"/>
      <c r="AB134" s="300"/>
      <c r="AC134" s="300"/>
      <c r="AD134" s="300"/>
      <c r="AE134" s="300"/>
      <c r="AF134" s="301"/>
      <c r="AH134" s="136">
        <v>0.22916666666667401</v>
      </c>
      <c r="AI134" s="136" t="s">
        <v>10</v>
      </c>
      <c r="AJ134" s="136" t="s">
        <v>120</v>
      </c>
      <c r="AK134" s="136" t="s">
        <v>10</v>
      </c>
      <c r="AL134" s="136" t="s">
        <v>120</v>
      </c>
      <c r="AM134" s="136" t="s">
        <v>10</v>
      </c>
      <c r="AN134" s="136" t="s">
        <v>120</v>
      </c>
      <c r="AO134" s="136" t="s">
        <v>10</v>
      </c>
      <c r="AP134" s="136" t="s">
        <v>120</v>
      </c>
      <c r="AQ134" s="136" t="s">
        <v>10</v>
      </c>
      <c r="AR134" s="136" t="s">
        <v>120</v>
      </c>
      <c r="AS134" s="136" t="s">
        <v>10</v>
      </c>
      <c r="AT134" s="136" t="s">
        <v>120</v>
      </c>
      <c r="AU134" s="136" t="s">
        <v>10</v>
      </c>
      <c r="AV134" s="136" t="s">
        <v>120</v>
      </c>
      <c r="AX134" s="136" t="str">
        <f>IF(AI119="","",IF(B134="","",B134))</f>
        <v>HS</v>
      </c>
      <c r="AY134" s="136" t="str">
        <f>IF(AI119="","",IF(C134="","",C134))</f>
        <v>-</v>
      </c>
      <c r="AZ134" s="136" t="str">
        <f>IF(AI119="","",IF(D134="","",D134))</f>
        <v>HS</v>
      </c>
      <c r="BA134" s="136" t="str">
        <f>IF(AI119="","",IF(E134="","",E134))</f>
        <v>-</v>
      </c>
      <c r="BB134" s="136" t="str">
        <f>IF(AI119="","",IF(F134="","",F134))</f>
        <v>HS</v>
      </c>
      <c r="BC134" s="136" t="str">
        <f>IF(AI119="","",IF(G134="","",G134))</f>
        <v>-</v>
      </c>
      <c r="BD134" s="136" t="str">
        <f>IF(AI119="","",IF(H134="","",H134))</f>
        <v>HS</v>
      </c>
      <c r="BE134" s="136" t="str">
        <f>IF(AI119="","",IF(I134="","",I134))</f>
        <v>-</v>
      </c>
      <c r="BF134" s="136" t="str">
        <f>IF(AI119="","",IF(J134="","",J134))</f>
        <v>HS</v>
      </c>
      <c r="BG134" s="136" t="str">
        <f>IF(AI119="","",IF(K134="","",K134))</f>
        <v>-</v>
      </c>
      <c r="BH134" s="136" t="str">
        <f>IF(AI119="","",IF(L134="","",L134))</f>
        <v>HS</v>
      </c>
      <c r="BI134" s="136" t="str">
        <f>IF(AI119="","",IF(M134="","",M134))</f>
        <v>-</v>
      </c>
      <c r="BJ134" s="136" t="str">
        <f>IF(AI119="","",IF(N134="","",N134))</f>
        <v>HS</v>
      </c>
      <c r="BK134" s="136" t="str">
        <f>IF(AI119="","",IF(O134="","",O134))</f>
        <v>-</v>
      </c>
      <c r="BM134" s="136" t="str">
        <f t="shared" si="96"/>
        <v>EA</v>
      </c>
      <c r="BN134" s="136" t="str">
        <f t="shared" si="93"/>
        <v>Estudo Autónomo</v>
      </c>
      <c r="BO134" s="136" t="str">
        <f t="shared" si="93"/>
        <v>IAC</v>
      </c>
      <c r="BP134" s="136">
        <f>(COUNTIFS(AX123:AX170,BM134,AY123:AY170,BO134)+COUNTIFS(AZ123:AZ170,BM134,BA123:BA170,BO134)+COUNTIFS(BB123:BB170,BM134,BC123:BC170,BO134)+COUNTIFS(BD123:BD170,BM134,BE123:BE170,BO134)+COUNTIFS(BF123:BF170,BM134,BG123:BG170,BO134)+COUNTIFS(BH123:BH170,BM134,BI123:BI170,BO134)+COUNTIFS(BJ123:BJ170,BM134,BK123:BK170,BO134))*0.5</f>
        <v>0</v>
      </c>
      <c r="BQ134" s="136" t="str">
        <f t="shared" si="94"/>
        <v>Estudo Autónomo</v>
      </c>
      <c r="BR134" s="136" t="str">
        <f t="shared" si="94"/>
        <v>IAC</v>
      </c>
      <c r="BS134" s="136" t="str">
        <f t="shared" si="95"/>
        <v>Estudo Autónomo</v>
      </c>
      <c r="BT134" s="136">
        <f>SUMIFS(V:V,Q:Q,BQ134,R:R,BBO132)</f>
        <v>0</v>
      </c>
      <c r="BU134" s="136">
        <f>SUMIFS(BP:BP,BN:BN,BQ134,BO:BO,BBO132)</f>
        <v>0</v>
      </c>
      <c r="BZ134" s="280"/>
      <c r="CA134" s="183" t="str">
        <f>'INFO BASE'!L197</f>
        <v>-</v>
      </c>
      <c r="CB134" s="183" t="str">
        <f>'INFO BASE'!M197</f>
        <v/>
      </c>
      <c r="CD134" s="136" t="str">
        <f>IF('INFO BASE'!E148="","",'INFO BASE'!E148)</f>
        <v/>
      </c>
      <c r="CR134" s="177" t="str">
        <f t="shared" si="83"/>
        <v>HS</v>
      </c>
      <c r="CS134" s="177" t="str">
        <f t="shared" si="84"/>
        <v>HS-</v>
      </c>
      <c r="CT134" s="177" t="str">
        <f t="shared" si="83"/>
        <v>HS</v>
      </c>
      <c r="CU134" s="177" t="str">
        <f t="shared" si="85"/>
        <v>HS-</v>
      </c>
      <c r="CV134" s="177" t="str">
        <f t="shared" si="83"/>
        <v>HS</v>
      </c>
      <c r="CW134" s="177" t="str">
        <f t="shared" si="86"/>
        <v>HS-</v>
      </c>
      <c r="CX134" s="177" t="str">
        <f t="shared" si="83"/>
        <v>HS</v>
      </c>
      <c r="CY134" s="177" t="str">
        <f t="shared" si="87"/>
        <v>HS-</v>
      </c>
      <c r="CZ134" s="177" t="str">
        <f t="shared" si="83"/>
        <v>HS</v>
      </c>
      <c r="DA134" s="177" t="str">
        <f t="shared" si="88"/>
        <v>HS-</v>
      </c>
      <c r="DB134" s="177" t="str">
        <f t="shared" si="83"/>
        <v>HS</v>
      </c>
      <c r="DC134" s="177" t="str">
        <f t="shared" si="89"/>
        <v>HS-</v>
      </c>
      <c r="DD134" s="177" t="str">
        <f t="shared" si="90"/>
        <v>HS</v>
      </c>
      <c r="DE134" s="177" t="str">
        <f t="shared" si="91"/>
        <v>HS-</v>
      </c>
    </row>
    <row r="135" spans="1:109" ht="18" customHeight="1" x14ac:dyDescent="0.3">
      <c r="A135" s="81">
        <v>0.25000000000000799</v>
      </c>
      <c r="B135" s="166" t="s">
        <v>10</v>
      </c>
      <c r="C135" s="130" t="s">
        <v>120</v>
      </c>
      <c r="D135" s="169" t="s">
        <v>10</v>
      </c>
      <c r="E135" s="130" t="s">
        <v>120</v>
      </c>
      <c r="F135" s="169" t="s">
        <v>10</v>
      </c>
      <c r="G135" s="130" t="s">
        <v>120</v>
      </c>
      <c r="H135" s="169" t="s">
        <v>10</v>
      </c>
      <c r="I135" s="130" t="s">
        <v>120</v>
      </c>
      <c r="J135" s="169" t="s">
        <v>10</v>
      </c>
      <c r="K135" s="130" t="s">
        <v>120</v>
      </c>
      <c r="L135" s="169" t="s">
        <v>10</v>
      </c>
      <c r="M135" s="130" t="s">
        <v>120</v>
      </c>
      <c r="N135" s="169" t="s">
        <v>10</v>
      </c>
      <c r="O135" s="154" t="s">
        <v>120</v>
      </c>
      <c r="P135" s="6">
        <v>0</v>
      </c>
      <c r="Q135" s="110" t="str">
        <f t="shared" ref="Q135:Q140" si="99">Q134</f>
        <v>Estudo Autónomo</v>
      </c>
      <c r="R135" s="105" t="str">
        <f t="shared" ref="R135:R170" si="100">R78</f>
        <v>FP</v>
      </c>
      <c r="S135" s="88">
        <f t="shared" si="97"/>
        <v>-0.4</v>
      </c>
      <c r="T135" s="89">
        <f>IF(VLOOKUP(Q135,'INFO BASE'!$B$40:$I$54,IF(R135='INFO BASE'!$B$32,3,IF(R135='INFO BASE'!$B$33,4,IF(R135='INFO BASE'!$B$34,5,IF(R135='INFO BASE'!$B$35,6,IF(R135='INFO BASE'!$B$36,7,IF(R135='INFO BASE'!$B$37,8,2)))))),0)=0,"",VLOOKUP(Q135,'INFO BASE'!$B$40:$I$54,IF(R135='INFO BASE'!$B$32,3,IF(R135='INFO BASE'!$B$33,4,IF(R135='INFO BASE'!$B$34,5,IF(R135='INFO BASE'!$B$35,6,IF(R135='INFO BASE'!$B$36,7,IF(R135='INFO BASE'!$B$37,8,2)))))),0))</f>
        <v>5</v>
      </c>
      <c r="U135" s="89">
        <f>(COUNTIFS(C123:C170,R135,B123:B170,R134)+COUNTIFS(E123:E170,R135,D123:D170,R134)+COUNTIFS(G123:G170,R135,F123:F170,R134)+COUNTIFS(I123:I170,R135,H123:H170,R134)+COUNTIFS(K123:K170,R135,J123:J170,R134)+COUNTIFS(M123:M170,R135,L123:L170,R134)+COUNTIFS(O123:O170,R135,N123:N170,R134))*0.5</f>
        <v>3</v>
      </c>
      <c r="V135" s="89">
        <f>(COUNTIFS(AI123:AI170,R134,AJ123:AJ170,R135)+COUNTIFS(AK123:AK170,R134,AL123:AL170,R135)+COUNTIFS(AM123:AM170,R134,AN123:AN170,R135)+COUNTIFS(AO123:AO170,R134,AP123:AP170,R135)+COUNTIFS(AQ123:AQ170,R134,AR123:AR170,R135)+COUNTIFS(AS123:AS170,R134,AT123:AT170,R135)+COUNTIFS(AU123:AU170,R134,AV123:AV170,R135))*0.5</f>
        <v>2.5</v>
      </c>
      <c r="W135" s="90">
        <f>IF(AH119="","-",IF(V135=0,U135,IFERROR((U135/V135)-1,"-")))</f>
        <v>0.19999999999999996</v>
      </c>
      <c r="X135" s="200">
        <f t="shared" si="98"/>
        <v>1</v>
      </c>
      <c r="Y135" s="299" t="s">
        <v>244</v>
      </c>
      <c r="Z135" s="300"/>
      <c r="AA135" s="300"/>
      <c r="AB135" s="300"/>
      <c r="AC135" s="300"/>
      <c r="AD135" s="300"/>
      <c r="AE135" s="300"/>
      <c r="AF135" s="301"/>
      <c r="AH135" s="136">
        <v>0.25000000000000799</v>
      </c>
      <c r="AI135" s="136" t="s">
        <v>10</v>
      </c>
      <c r="AJ135" s="136" t="s">
        <v>120</v>
      </c>
      <c r="AK135" s="136" t="s">
        <v>10</v>
      </c>
      <c r="AL135" s="136" t="s">
        <v>120</v>
      </c>
      <c r="AM135" s="136" t="s">
        <v>10</v>
      </c>
      <c r="AN135" s="136" t="s">
        <v>120</v>
      </c>
      <c r="AO135" s="136" t="s">
        <v>10</v>
      </c>
      <c r="AP135" s="136" t="s">
        <v>120</v>
      </c>
      <c r="AQ135" s="136" t="s">
        <v>10</v>
      </c>
      <c r="AR135" s="136" t="s">
        <v>120</v>
      </c>
      <c r="AS135" s="136" t="s">
        <v>10</v>
      </c>
      <c r="AT135" s="136" t="s">
        <v>120</v>
      </c>
      <c r="AU135" s="136" t="s">
        <v>10</v>
      </c>
      <c r="AV135" s="136" t="s">
        <v>120</v>
      </c>
      <c r="AX135" s="136" t="str">
        <f>IF(AI119="","",IF(B135="","",B135))</f>
        <v>HS</v>
      </c>
      <c r="AY135" s="136" t="str">
        <f>IF(AI119="","",IF(C135="","",C135))</f>
        <v>-</v>
      </c>
      <c r="AZ135" s="136" t="str">
        <f>IF(AI119="","",IF(D135="","",D135))</f>
        <v>HS</v>
      </c>
      <c r="BA135" s="136" t="str">
        <f>IF(AI119="","",IF(E135="","",E135))</f>
        <v>-</v>
      </c>
      <c r="BB135" s="136" t="str">
        <f>IF(AI119="","",IF(F135="","",F135))</f>
        <v>HS</v>
      </c>
      <c r="BC135" s="136" t="str">
        <f>IF(AI119="","",IF(G135="","",G135))</f>
        <v>-</v>
      </c>
      <c r="BD135" s="136" t="str">
        <f>IF(AI119="","",IF(H135="","",H135))</f>
        <v>HS</v>
      </c>
      <c r="BE135" s="136" t="str">
        <f>IF(AI119="","",IF(I135="","",I135))</f>
        <v>-</v>
      </c>
      <c r="BF135" s="136" t="str">
        <f>IF(AI119="","",IF(J135="","",J135))</f>
        <v>HS</v>
      </c>
      <c r="BG135" s="136" t="str">
        <f>IF(AI119="","",IF(K135="","",K135))</f>
        <v>-</v>
      </c>
      <c r="BH135" s="136" t="str">
        <f>IF(AI119="","",IF(L135="","",L135))</f>
        <v>HS</v>
      </c>
      <c r="BI135" s="136" t="str">
        <f>IF(AI119="","",IF(M135="","",M135))</f>
        <v>-</v>
      </c>
      <c r="BJ135" s="136" t="str">
        <f>IF(AI119="","",IF(N135="","",N135))</f>
        <v>HS</v>
      </c>
      <c r="BK135" s="136" t="str">
        <f>IF(AI119="","",IF(O135="","",O135))</f>
        <v>-</v>
      </c>
      <c r="BM135" s="136" t="str">
        <f t="shared" si="96"/>
        <v>EA</v>
      </c>
      <c r="BN135" s="136" t="str">
        <f t="shared" si="93"/>
        <v>Estudo Autónomo</v>
      </c>
      <c r="BO135" s="136" t="str">
        <f t="shared" si="93"/>
        <v>AL</v>
      </c>
      <c r="BP135" s="136">
        <f>(COUNTIFS(AX123:AX170,BM135,AY123:AY170,BO135)+COUNTIFS(AZ123:AZ170,BM135,BA123:BA170,BO135)+COUNTIFS(BB123:BB170,BM135,BC123:BC170,BO135)+COUNTIFS(BD123:BD170,BM135,BE123:BE170,BO135)+COUNTIFS(BF123:BF170,BM135,BG123:BG170,BO135)+COUNTIFS(BH123:BH170,BM135,BI123:BI170,BO135)+COUNTIFS(BJ123:BJ170,BM135,BK123:BK170,BO135))*0.5</f>
        <v>3.5</v>
      </c>
      <c r="BQ135" s="136" t="str">
        <f t="shared" si="94"/>
        <v>Estudo Autónomo</v>
      </c>
      <c r="BR135" s="136" t="str">
        <f t="shared" si="94"/>
        <v>AL</v>
      </c>
      <c r="BS135" s="136" t="str">
        <f t="shared" si="95"/>
        <v>Estudo Autónomo</v>
      </c>
      <c r="BT135" s="136">
        <f t="shared" ref="BT135:BT167" si="101">SUMIFS(V:V,Q:Q,BQ135,R:R,BR135)</f>
        <v>24</v>
      </c>
      <c r="BU135" s="136">
        <f t="shared" ref="BU135:BU167" si="102">SUMIFS(BP:BP,BN:BN,BQ135,BO:BO,BR135)</f>
        <v>25.5</v>
      </c>
      <c r="BZ135" s="280"/>
      <c r="CA135" s="183" t="str">
        <f>'INFO BASE'!L198</f>
        <v>-</v>
      </c>
      <c r="CB135" s="183" t="str">
        <f>'INFO BASE'!M198</f>
        <v/>
      </c>
      <c r="CD135" s="136" t="str">
        <f>IF('INFO BASE'!E149="","",'INFO BASE'!E149)</f>
        <v/>
      </c>
      <c r="CR135" s="177" t="str">
        <f t="shared" si="83"/>
        <v>HS</v>
      </c>
      <c r="CS135" s="177" t="str">
        <f t="shared" si="84"/>
        <v>HS-</v>
      </c>
      <c r="CT135" s="177" t="str">
        <f t="shared" si="83"/>
        <v>HS</v>
      </c>
      <c r="CU135" s="177" t="str">
        <f t="shared" si="85"/>
        <v>HS-</v>
      </c>
      <c r="CV135" s="177" t="str">
        <f t="shared" si="83"/>
        <v>HS</v>
      </c>
      <c r="CW135" s="177" t="str">
        <f t="shared" si="86"/>
        <v>HS-</v>
      </c>
      <c r="CX135" s="177" t="str">
        <f t="shared" si="83"/>
        <v>HS</v>
      </c>
      <c r="CY135" s="177" t="str">
        <f t="shared" si="87"/>
        <v>HS-</v>
      </c>
      <c r="CZ135" s="177" t="str">
        <f t="shared" si="83"/>
        <v>HS</v>
      </c>
      <c r="DA135" s="177" t="str">
        <f t="shared" si="88"/>
        <v>HS-</v>
      </c>
      <c r="DB135" s="177" t="str">
        <f t="shared" si="83"/>
        <v>HS</v>
      </c>
      <c r="DC135" s="177" t="str">
        <f t="shared" si="89"/>
        <v>HS-</v>
      </c>
      <c r="DD135" s="177" t="str">
        <f t="shared" si="90"/>
        <v>HS</v>
      </c>
      <c r="DE135" s="177" t="str">
        <f t="shared" si="91"/>
        <v>HS-</v>
      </c>
    </row>
    <row r="136" spans="1:109" ht="18" customHeight="1" x14ac:dyDescent="0.3">
      <c r="A136" s="81">
        <v>0.27083333333334197</v>
      </c>
      <c r="B136" s="166" t="s">
        <v>116</v>
      </c>
      <c r="C136" s="130"/>
      <c r="D136" s="169" t="s">
        <v>116</v>
      </c>
      <c r="E136" s="130"/>
      <c r="F136" s="169" t="s">
        <v>116</v>
      </c>
      <c r="G136" s="130"/>
      <c r="H136" s="169" t="s">
        <v>116</v>
      </c>
      <c r="I136" s="130"/>
      <c r="J136" s="169" t="s">
        <v>116</v>
      </c>
      <c r="K136" s="130"/>
      <c r="L136" s="169" t="s">
        <v>10</v>
      </c>
      <c r="M136" s="130" t="s">
        <v>120</v>
      </c>
      <c r="N136" s="169" t="s">
        <v>10</v>
      </c>
      <c r="O136" s="154" t="s">
        <v>120</v>
      </c>
      <c r="P136" s="6">
        <v>0</v>
      </c>
      <c r="Q136" s="110" t="str">
        <f t="shared" si="99"/>
        <v>Estudo Autónomo</v>
      </c>
      <c r="R136" s="105" t="str">
        <f t="shared" si="100"/>
        <v>IEI</v>
      </c>
      <c r="S136" s="88">
        <f t="shared" si="97"/>
        <v>4.25</v>
      </c>
      <c r="T136" s="89">
        <f>IF(VLOOKUP(Q136,'INFO BASE'!$B$40:$I$54,IF(R136='INFO BASE'!$B$32,3,IF(R136='INFO BASE'!$B$33,4,IF(R136='INFO BASE'!$B$34,5,IF(R136='INFO BASE'!$B$35,6,IF(R136='INFO BASE'!$B$36,7,IF(R136='INFO BASE'!$B$37,8,2)))))),0)=0,"",VLOOKUP(Q136,'INFO BASE'!$B$40:$I$54,IF(R136='INFO BASE'!$B$32,3,IF(R136='INFO BASE'!$B$33,4,IF(R136='INFO BASE'!$B$34,5,IF(R136='INFO BASE'!$B$35,6,IF(R136='INFO BASE'!$B$36,7,IF(R136='INFO BASE'!$B$37,8,2)))))),0))</f>
        <v>2</v>
      </c>
      <c r="U136" s="89">
        <f>(COUNTIFS(C123:C170,R136,B123:B170,R134)+COUNTIFS(E123:E170,R136,D123:D170,R134)+COUNTIFS(G123:G170,R136,F123:F170,R134)+COUNTIFS(I123:I170,R136,H123:H170,R134)+COUNTIFS(K123:K170,R136,J123:J170,R134)+COUNTIFS(M123:M170,R136,L123:L170,R134)+COUNTIFS(O123:O170,R136,N123:N170,R134))*0.5</f>
        <v>10.5</v>
      </c>
      <c r="V136" s="89">
        <f>(COUNTIFS(AI123:AI170,R134,AJ123:AJ170,R136)+COUNTIFS(AK123:AK170,R134,AL123:AL170,R136)+COUNTIFS(AM123:AM170,R134,AN123:AN170,R136)+COUNTIFS(AO123:AO170,R134,AP123:AP170,R136)+COUNTIFS(AQ123:AQ170,R134,AR123:AR170,R136)+COUNTIFS(AS123:AS170,R134,AT123:AT170,R136)+COUNTIFS(AU123:AU170,R134,AV123:AV170,R136))*0.5</f>
        <v>5</v>
      </c>
      <c r="W136" s="90">
        <f>IF(AH119="","-",IF(V136=0,U136,IFERROR((U136/V136)-1,"-")))</f>
        <v>1.1000000000000001</v>
      </c>
      <c r="X136" s="200">
        <f t="shared" si="98"/>
        <v>1</v>
      </c>
      <c r="Y136" s="299" t="s">
        <v>244</v>
      </c>
      <c r="Z136" s="300"/>
      <c r="AA136" s="300"/>
      <c r="AB136" s="300"/>
      <c r="AC136" s="300"/>
      <c r="AD136" s="300"/>
      <c r="AE136" s="300"/>
      <c r="AF136" s="301"/>
      <c r="AH136" s="136">
        <v>0.27083333333334197</v>
      </c>
      <c r="AI136" s="136" t="s">
        <v>116</v>
      </c>
      <c r="AJ136" s="136" t="s">
        <v>235</v>
      </c>
      <c r="AK136" s="136" t="s">
        <v>116</v>
      </c>
      <c r="AL136" s="136" t="s">
        <v>235</v>
      </c>
      <c r="AM136" s="136" t="s">
        <v>116</v>
      </c>
      <c r="AN136" s="136" t="s">
        <v>235</v>
      </c>
      <c r="AO136" s="136" t="s">
        <v>116</v>
      </c>
      <c r="AP136" s="136" t="s">
        <v>235</v>
      </c>
      <c r="AQ136" s="136" t="s">
        <v>116</v>
      </c>
      <c r="AR136" s="136" t="s">
        <v>235</v>
      </c>
      <c r="AS136" s="136" t="s">
        <v>10</v>
      </c>
      <c r="AT136" s="136" t="s">
        <v>120</v>
      </c>
      <c r="AU136" s="136" t="s">
        <v>10</v>
      </c>
      <c r="AV136" s="136" t="s">
        <v>120</v>
      </c>
      <c r="AX136" s="136" t="str">
        <f>IF(AI119="","",IF(B136="","",B136))</f>
        <v>PV</v>
      </c>
      <c r="AY136" s="136" t="str">
        <f>IF(AI119="","",IF(C136="","",C136))</f>
        <v/>
      </c>
      <c r="AZ136" s="136" t="str">
        <f>IF(AI119="","",IF(D136="","",D136))</f>
        <v>PV</v>
      </c>
      <c r="BA136" s="136" t="str">
        <f>IF(AI119="","",IF(E136="","",E136))</f>
        <v/>
      </c>
      <c r="BB136" s="136" t="str">
        <f>IF(AI119="","",IF(F136="","",F136))</f>
        <v>PV</v>
      </c>
      <c r="BC136" s="136" t="str">
        <f>IF(AI119="","",IF(G136="","",G136))</f>
        <v/>
      </c>
      <c r="BD136" s="136" t="str">
        <f>IF(AI119="","",IF(H136="","",H136))</f>
        <v>PV</v>
      </c>
      <c r="BE136" s="136" t="str">
        <f>IF(AI119="","",IF(I136="","",I136))</f>
        <v/>
      </c>
      <c r="BF136" s="136" t="str">
        <f>IF(AI119="","",IF(J136="","",J136))</f>
        <v>PV</v>
      </c>
      <c r="BG136" s="136" t="str">
        <f>IF(AI119="","",IF(K136="","",K136))</f>
        <v/>
      </c>
      <c r="BH136" s="136" t="str">
        <f>IF(AI119="","",IF(L136="","",L136))</f>
        <v>HS</v>
      </c>
      <c r="BI136" s="136" t="str">
        <f>IF(AI119="","",IF(M136="","",M136))</f>
        <v>-</v>
      </c>
      <c r="BJ136" s="136" t="str">
        <f>IF(AI119="","",IF(N136="","",N136))</f>
        <v>HS</v>
      </c>
      <c r="BK136" s="136" t="str">
        <f>IF(AI119="","",IF(O136="","",O136))</f>
        <v>-</v>
      </c>
      <c r="BM136" s="136" t="str">
        <f t="shared" si="96"/>
        <v>EA</v>
      </c>
      <c r="BN136" s="136" t="str">
        <f t="shared" si="93"/>
        <v>Estudo Autónomo</v>
      </c>
      <c r="BO136" s="136" t="str">
        <f t="shared" si="93"/>
        <v>CDI</v>
      </c>
      <c r="BP136" s="136">
        <f>(COUNTIFS(AX123:AX170,BM136,AY123:AY170,BO136)+COUNTIFS(AZ123:AZ170,BM136,BA123:BA170,BO136)+COUNTIFS(BB123:BB170,BM136,BC123:BC170,BO136)+COUNTIFS(BD123:BD170,BM136,BE123:BE170,BO136)+COUNTIFS(BF123:BF170,BM136,BG123:BG170,BO136)+COUNTIFS(BH123:BH170,BM136,BI123:BI170,BO136)+COUNTIFS(BJ123:BJ170,BM136,BK123:BK170,BO136))*0.5</f>
        <v>0</v>
      </c>
      <c r="BQ136" s="136" t="str">
        <f t="shared" si="94"/>
        <v>Estudo Autónomo</v>
      </c>
      <c r="BR136" s="136" t="str">
        <f t="shared" si="94"/>
        <v>CDI</v>
      </c>
      <c r="BS136" s="136" t="str">
        <f t="shared" si="95"/>
        <v>Estudo Autónomo</v>
      </c>
      <c r="BT136" s="136">
        <f t="shared" si="101"/>
        <v>9.5</v>
      </c>
      <c r="BU136" s="136">
        <f t="shared" si="102"/>
        <v>7.5</v>
      </c>
      <c r="BZ136" s="280"/>
      <c r="CA136" s="183" t="str">
        <f>'INFO BASE'!L199</f>
        <v>-</v>
      </c>
      <c r="CB136" s="183" t="str">
        <f>'INFO BASE'!M199</f>
        <v/>
      </c>
      <c r="CD136" s="136" t="str">
        <f>IF('INFO BASE'!E150="","",'INFO BASE'!E150)</f>
        <v/>
      </c>
      <c r="CR136" s="177" t="str">
        <f t="shared" si="83"/>
        <v>PV</v>
      </c>
      <c r="CS136" s="177">
        <f t="shared" si="84"/>
        <v>0</v>
      </c>
      <c r="CT136" s="177" t="str">
        <f t="shared" si="83"/>
        <v>PV</v>
      </c>
      <c r="CU136" s="177">
        <f t="shared" si="85"/>
        <v>0</v>
      </c>
      <c r="CV136" s="177" t="str">
        <f t="shared" si="83"/>
        <v>PV</v>
      </c>
      <c r="CW136" s="177">
        <f t="shared" si="86"/>
        <v>0</v>
      </c>
      <c r="CX136" s="177" t="str">
        <f t="shared" si="83"/>
        <v>PV</v>
      </c>
      <c r="CY136" s="177">
        <f t="shared" si="87"/>
        <v>0</v>
      </c>
      <c r="CZ136" s="177" t="str">
        <f t="shared" si="83"/>
        <v>PV</v>
      </c>
      <c r="DA136" s="177">
        <f t="shared" si="88"/>
        <v>0</v>
      </c>
      <c r="DB136" s="177" t="str">
        <f t="shared" si="83"/>
        <v>HS</v>
      </c>
      <c r="DC136" s="177" t="str">
        <f t="shared" si="89"/>
        <v>HS-</v>
      </c>
      <c r="DD136" s="177" t="str">
        <f t="shared" si="90"/>
        <v>HS</v>
      </c>
      <c r="DE136" s="177" t="str">
        <f t="shared" si="91"/>
        <v>HS-</v>
      </c>
    </row>
    <row r="137" spans="1:109" ht="18" customHeight="1" x14ac:dyDescent="0.3">
      <c r="A137" s="81">
        <v>0.29166666666667601</v>
      </c>
      <c r="B137" s="166" t="s">
        <v>116</v>
      </c>
      <c r="C137" s="130"/>
      <c r="D137" s="169" t="s">
        <v>116</v>
      </c>
      <c r="E137" s="130"/>
      <c r="F137" s="169" t="s">
        <v>116</v>
      </c>
      <c r="G137" s="130"/>
      <c r="H137" s="169" t="s">
        <v>116</v>
      </c>
      <c r="I137" s="130"/>
      <c r="J137" s="169" t="s">
        <v>116</v>
      </c>
      <c r="K137" s="130"/>
      <c r="L137" s="169" t="s">
        <v>10</v>
      </c>
      <c r="M137" s="130" t="s">
        <v>120</v>
      </c>
      <c r="N137" s="169" t="s">
        <v>10</v>
      </c>
      <c r="O137" s="154" t="s">
        <v>120</v>
      </c>
      <c r="P137" s="6">
        <v>0</v>
      </c>
      <c r="Q137" s="111" t="str">
        <f t="shared" si="99"/>
        <v>Estudo Autónomo</v>
      </c>
      <c r="R137" s="105" t="str">
        <f t="shared" si="100"/>
        <v>IAC</v>
      </c>
      <c r="S137" s="88">
        <f t="shared" si="97"/>
        <v>-1</v>
      </c>
      <c r="T137" s="89">
        <f>IF(VLOOKUP(Q137,'INFO BASE'!$B$40:$I$54,IF(R137='INFO BASE'!$B$32,3,IF(R137='INFO BASE'!$B$33,4,IF(R137='INFO BASE'!$B$34,5,IF(R137='INFO BASE'!$B$35,6,IF(R137='INFO BASE'!$B$36,7,IF(R137='INFO BASE'!$B$37,8,2)))))),0)=0,"",VLOOKUP(Q137,'INFO BASE'!$B$40:$I$54,IF(R137='INFO BASE'!$B$32,3,IF(R137='INFO BASE'!$B$33,4,IF(R137='INFO BASE'!$B$34,5,IF(R137='INFO BASE'!$B$35,6,IF(R137='INFO BASE'!$B$36,7,IF(R137='INFO BASE'!$B$37,8,2)))))),0))</f>
        <v>2</v>
      </c>
      <c r="U137" s="89">
        <f>(COUNTIFS(C123:C170,R137,B123:B170,R134)+COUNTIFS(E123:E170,R137,D123:D170,R134)+COUNTIFS(G123:G170,R137,F123:F170,R134)+COUNTIFS(I123:I170,R137,H123:H170,R134)+COUNTIFS(K123:K170,R137,J123:J170,R134)+COUNTIFS(M123:M170,R137,L123:L170,R134)+COUNTIFS(O123:O170,R137,N123:N170,R134))*0.5</f>
        <v>0</v>
      </c>
      <c r="V137" s="89">
        <f>(COUNTIFS(AI123:AI170,R134,AJ123:AJ170,R137)+COUNTIFS(AK123:AK170,R134,AL123:AL170,R137)+COUNTIFS(AM123:AM170,R134,AN123:AN170,R137)+COUNTIFS(AO123:AO170,R134,AP123:AP170,R137)+COUNTIFS(AQ123:AQ170,R134,AR123:AR170,R137)+COUNTIFS(AS123:AS170,R134,AT123:AT170,R137)+COUNTIFS(AU123:AU170,R134,AV123:AV170,R137))*0.5</f>
        <v>1.5</v>
      </c>
      <c r="W137" s="90">
        <f>IF(AH119="","-",IF(V137=0,U137,IFERROR((U137/V137)-1,"-")))</f>
        <v>-1</v>
      </c>
      <c r="X137" s="200">
        <f t="shared" si="98"/>
        <v>1</v>
      </c>
      <c r="Y137" s="299" t="s">
        <v>244</v>
      </c>
      <c r="Z137" s="300"/>
      <c r="AA137" s="300"/>
      <c r="AB137" s="300"/>
      <c r="AC137" s="300"/>
      <c r="AD137" s="300"/>
      <c r="AE137" s="300"/>
      <c r="AF137" s="301"/>
      <c r="AH137" s="136">
        <v>0.29166666666667601</v>
      </c>
      <c r="AI137" s="136" t="s">
        <v>116</v>
      </c>
      <c r="AJ137" s="136" t="s">
        <v>235</v>
      </c>
      <c r="AK137" s="136" t="s">
        <v>116</v>
      </c>
      <c r="AL137" s="136" t="s">
        <v>235</v>
      </c>
      <c r="AM137" s="136" t="s">
        <v>116</v>
      </c>
      <c r="AN137" s="136" t="s">
        <v>235</v>
      </c>
      <c r="AO137" s="136" t="s">
        <v>116</v>
      </c>
      <c r="AP137" s="136" t="s">
        <v>235</v>
      </c>
      <c r="AQ137" s="136" t="s">
        <v>116</v>
      </c>
      <c r="AR137" s="136" t="s">
        <v>235</v>
      </c>
      <c r="AS137" s="136" t="s">
        <v>10</v>
      </c>
      <c r="AT137" s="136" t="s">
        <v>120</v>
      </c>
      <c r="AU137" s="136" t="s">
        <v>10</v>
      </c>
      <c r="AV137" s="136" t="s">
        <v>120</v>
      </c>
      <c r="AX137" s="136" t="str">
        <f>IF(AI119="","",IF(B137="","",B137))</f>
        <v>PV</v>
      </c>
      <c r="AY137" s="136" t="str">
        <f>IF(AI119="","",IF(C137="","",C137))</f>
        <v/>
      </c>
      <c r="AZ137" s="136" t="str">
        <f>IF(AI119="","",IF(D137="","",D137))</f>
        <v>PV</v>
      </c>
      <c r="BA137" s="136" t="str">
        <f>IF(AI119="","",IF(E137="","",E137))</f>
        <v/>
      </c>
      <c r="BB137" s="136" t="str">
        <f>IF(AI119="","",IF(F137="","",F137))</f>
        <v>PV</v>
      </c>
      <c r="BC137" s="136" t="str">
        <f>IF(AI119="","",IF(G137="","",G137))</f>
        <v/>
      </c>
      <c r="BD137" s="136" t="str">
        <f>IF(AI119="","",IF(H137="","",H137))</f>
        <v>PV</v>
      </c>
      <c r="BE137" s="136" t="str">
        <f>IF(AI119="","",IF(I137="","",I137))</f>
        <v/>
      </c>
      <c r="BF137" s="136" t="str">
        <f>IF(AI119="","",IF(J137="","",J137))</f>
        <v>PV</v>
      </c>
      <c r="BG137" s="136" t="str">
        <f>IF(AI119="","",IF(K137="","",K137))</f>
        <v/>
      </c>
      <c r="BH137" s="136" t="str">
        <f>IF(AI119="","",IF(L137="","",L137))</f>
        <v>HS</v>
      </c>
      <c r="BI137" s="136" t="str">
        <f>IF(AI119="","",IF(M137="","",M137))</f>
        <v>-</v>
      </c>
      <c r="BJ137" s="136" t="str">
        <f>IF(AI119="","",IF(N137="","",N137))</f>
        <v>HS</v>
      </c>
      <c r="BK137" s="136" t="str">
        <f>IF(AI119="","",IF(O137="","",O137))</f>
        <v>-</v>
      </c>
      <c r="BM137" s="136" t="str">
        <f t="shared" si="96"/>
        <v>EA</v>
      </c>
      <c r="BN137" s="136" t="str">
        <f t="shared" si="93"/>
        <v>Estudo Autónomo</v>
      </c>
      <c r="BO137" s="136" t="str">
        <f t="shared" si="93"/>
        <v/>
      </c>
      <c r="BP137" s="136">
        <f>(COUNTIFS(AX123:AX170,BM137,AY123:AY170,BO137)+COUNTIFS(AZ123:AZ170,BM137,BA123:BA170,BO137)+COUNTIFS(BB123:BB170,BM137,BC123:BC170,BO137)+COUNTIFS(BD123:BD170,BM137,BE123:BE170,BO137)+COUNTIFS(BF123:BF170,BM137,BG123:BG170,BO137)+COUNTIFS(BH123:BH170,BM137,BI123:BI170,BO137)+COUNTIFS(BJ123:BJ170,BM137,BK123:BK170,BO137))*0.5</f>
        <v>0</v>
      </c>
      <c r="BQ137" s="136" t="str">
        <f t="shared" si="94"/>
        <v>Estudo Autónomo</v>
      </c>
      <c r="BR137" s="136" t="str">
        <f t="shared" si="94"/>
        <v/>
      </c>
      <c r="BS137" s="136" t="str">
        <f t="shared" si="95"/>
        <v>Estudo Autónomo</v>
      </c>
      <c r="BT137" s="136">
        <f t="shared" si="101"/>
        <v>0</v>
      </c>
      <c r="BU137" s="136">
        <f t="shared" si="102"/>
        <v>0</v>
      </c>
      <c r="BZ137" s="280"/>
      <c r="CA137" s="183" t="str">
        <f>'INFO BASE'!L200</f>
        <v>-</v>
      </c>
      <c r="CB137" s="183" t="str">
        <f>'INFO BASE'!M200</f>
        <v/>
      </c>
      <c r="CD137" s="136" t="str">
        <f>IF('INFO BASE'!E151="","",'INFO BASE'!E151)</f>
        <v/>
      </c>
      <c r="CR137" s="177" t="str">
        <f t="shared" si="83"/>
        <v>PV</v>
      </c>
      <c r="CS137" s="177">
        <f t="shared" si="84"/>
        <v>0</v>
      </c>
      <c r="CT137" s="177" t="str">
        <f t="shared" si="83"/>
        <v>PV</v>
      </c>
      <c r="CU137" s="177">
        <f t="shared" si="85"/>
        <v>0</v>
      </c>
      <c r="CV137" s="177" t="str">
        <f t="shared" si="83"/>
        <v>PV</v>
      </c>
      <c r="CW137" s="177">
        <f t="shared" si="86"/>
        <v>0</v>
      </c>
      <c r="CX137" s="177" t="str">
        <f t="shared" si="83"/>
        <v>PV</v>
      </c>
      <c r="CY137" s="177">
        <f t="shared" si="87"/>
        <v>0</v>
      </c>
      <c r="CZ137" s="177" t="str">
        <f t="shared" si="83"/>
        <v>PV</v>
      </c>
      <c r="DA137" s="177">
        <f t="shared" si="88"/>
        <v>0</v>
      </c>
      <c r="DB137" s="177" t="str">
        <f t="shared" si="83"/>
        <v>HS</v>
      </c>
      <c r="DC137" s="177" t="str">
        <f t="shared" si="89"/>
        <v>HS-</v>
      </c>
      <c r="DD137" s="177" t="str">
        <f t="shared" si="90"/>
        <v>HS</v>
      </c>
      <c r="DE137" s="177" t="str">
        <f t="shared" si="91"/>
        <v>HS-</v>
      </c>
    </row>
    <row r="138" spans="1:109" ht="18" customHeight="1" x14ac:dyDescent="0.3">
      <c r="A138" s="81">
        <v>0.31250000000000999</v>
      </c>
      <c r="B138" s="166" t="s">
        <v>11</v>
      </c>
      <c r="C138" s="130" t="s">
        <v>120</v>
      </c>
      <c r="D138" s="169" t="s">
        <v>11</v>
      </c>
      <c r="E138" s="130" t="s">
        <v>120</v>
      </c>
      <c r="F138" s="169" t="s">
        <v>11</v>
      </c>
      <c r="G138" s="130" t="s">
        <v>120</v>
      </c>
      <c r="H138" s="169" t="s">
        <v>11</v>
      </c>
      <c r="I138" s="130" t="s">
        <v>120</v>
      </c>
      <c r="J138" s="169" t="s">
        <v>11</v>
      </c>
      <c r="K138" s="130" t="s">
        <v>120</v>
      </c>
      <c r="L138" s="169" t="s">
        <v>10</v>
      </c>
      <c r="M138" s="130" t="s">
        <v>120</v>
      </c>
      <c r="N138" s="169" t="s">
        <v>10</v>
      </c>
      <c r="O138" s="154" t="s">
        <v>120</v>
      </c>
      <c r="P138" s="6">
        <v>0</v>
      </c>
      <c r="Q138" s="110" t="str">
        <f t="shared" si="99"/>
        <v>Estudo Autónomo</v>
      </c>
      <c r="R138" s="105" t="str">
        <f t="shared" si="100"/>
        <v>AL</v>
      </c>
      <c r="S138" s="88">
        <f t="shared" si="97"/>
        <v>-0.30000000000000004</v>
      </c>
      <c r="T138" s="89">
        <f>IF(VLOOKUP(Q138,'INFO BASE'!$B$40:$I$54,IF(R138='INFO BASE'!$B$32,3,IF(R138='INFO BASE'!$B$33,4,IF(R138='INFO BASE'!$B$34,5,IF(R138='INFO BASE'!$B$35,6,IF(R138='INFO BASE'!$B$36,7,IF(R138='INFO BASE'!$B$37,8,2)))))),0)=0,"",VLOOKUP(Q138,'INFO BASE'!$B$40:$I$54,IF(R138='INFO BASE'!$B$32,3,IF(R138='INFO BASE'!$B$33,4,IF(R138='INFO BASE'!$B$34,5,IF(R138='INFO BASE'!$B$35,6,IF(R138='INFO BASE'!$B$36,7,IF(R138='INFO BASE'!$B$37,8,2)))))),0))</f>
        <v>5</v>
      </c>
      <c r="U138" s="89">
        <f>(COUNTIFS(C123:C170,R138,B123:B170,R134)+COUNTIFS(E123:E170,R138,D123:D170,R134)+COUNTIFS(G123:G170,R138,F123:F170,R134)+COUNTIFS(I123:I170,R138,H123:H170,R134)+COUNTIFS(K123:K170,R138,J123:J170,R134)+COUNTIFS(M123:M170,R138,L123:L170,R134)+COUNTIFS(O123:O170,R138,N123:N170,R134))*0.5</f>
        <v>3.5</v>
      </c>
      <c r="V138" s="89">
        <f>(COUNTIFS(AI123:AI170,R134,AJ123:AJ170,R138)+COUNTIFS(AK123:AK170,R134,AL123:AL170,R138)+COUNTIFS(AM123:AM170,R134,AN123:AN170,R138)+COUNTIFS(AO123:AO170,R134,AP123:AP170,R138)+COUNTIFS(AQ123:AQ170,R134,AR123:AR170,R138)+COUNTIFS(AS123:AS170,R134,AT123:AT170,R138)+COUNTIFS(AU123:AU170,R134,AV123:AV170,R138))*0.5</f>
        <v>6.5</v>
      </c>
      <c r="W138" s="90">
        <f>IF(AH119="","-",IF(V138=0,U138,IFERROR((U138/V138)-1,"-")))</f>
        <v>-0.46153846153846156</v>
      </c>
      <c r="X138" s="200">
        <f t="shared" si="98"/>
        <v>1</v>
      </c>
      <c r="Y138" s="299" t="s">
        <v>244</v>
      </c>
      <c r="Z138" s="300"/>
      <c r="AA138" s="300"/>
      <c r="AB138" s="300"/>
      <c r="AC138" s="300"/>
      <c r="AD138" s="300"/>
      <c r="AE138" s="300"/>
      <c r="AF138" s="301"/>
      <c r="AH138" s="136">
        <v>0.31250000000000999</v>
      </c>
      <c r="AI138" s="136" t="s">
        <v>11</v>
      </c>
      <c r="AJ138" s="136" t="s">
        <v>120</v>
      </c>
      <c r="AK138" s="136" t="s">
        <v>11</v>
      </c>
      <c r="AL138" s="136" t="s">
        <v>120</v>
      </c>
      <c r="AM138" s="136" t="s">
        <v>11</v>
      </c>
      <c r="AN138" s="136" t="s">
        <v>120</v>
      </c>
      <c r="AO138" s="136" t="s">
        <v>11</v>
      </c>
      <c r="AP138" s="136" t="s">
        <v>120</v>
      </c>
      <c r="AQ138" s="136" t="s">
        <v>11</v>
      </c>
      <c r="AR138" s="136" t="s">
        <v>120</v>
      </c>
      <c r="AS138" s="136" t="s">
        <v>10</v>
      </c>
      <c r="AT138" s="136" t="s">
        <v>120</v>
      </c>
      <c r="AU138" s="136" t="s">
        <v>10</v>
      </c>
      <c r="AV138" s="136" t="s">
        <v>120</v>
      </c>
      <c r="AX138" s="136" t="str">
        <f>IF(AI119="","",IF(B138="","",B138))</f>
        <v>HD</v>
      </c>
      <c r="AY138" s="136" t="str">
        <f>IF(AI119="","",IF(C138="","",C138))</f>
        <v>-</v>
      </c>
      <c r="AZ138" s="136" t="str">
        <f>IF(AI119="","",IF(D138="","",D138))</f>
        <v>HD</v>
      </c>
      <c r="BA138" s="136" t="str">
        <f>IF(AI119="","",IF(E138="","",E138))</f>
        <v>-</v>
      </c>
      <c r="BB138" s="136" t="str">
        <f>IF(AI119="","",IF(F138="","",F138))</f>
        <v>HD</v>
      </c>
      <c r="BC138" s="136" t="str">
        <f>IF(AI119="","",IF(G138="","",G138))</f>
        <v>-</v>
      </c>
      <c r="BD138" s="136" t="str">
        <f>IF(AI119="","",IF(H138="","",H138))</f>
        <v>HD</v>
      </c>
      <c r="BE138" s="136" t="str">
        <f>IF(AI119="","",IF(I138="","",I138))</f>
        <v>-</v>
      </c>
      <c r="BF138" s="136" t="str">
        <f>IF(AI119="","",IF(J138="","",J138))</f>
        <v>HD</v>
      </c>
      <c r="BG138" s="136" t="str">
        <f>IF(AI119="","",IF(K138="","",K138))</f>
        <v>-</v>
      </c>
      <c r="BH138" s="136" t="str">
        <f>IF(AI119="","",IF(L138="","",L138))</f>
        <v>HS</v>
      </c>
      <c r="BI138" s="136" t="str">
        <f>IF(AI119="","",IF(M138="","",M138))</f>
        <v>-</v>
      </c>
      <c r="BJ138" s="136" t="str">
        <f>IF(AI119="","",IF(N138="","",N138))</f>
        <v>HS</v>
      </c>
      <c r="BK138" s="136" t="str">
        <f>IF(AI119="","",IF(O138="","",O138))</f>
        <v>-</v>
      </c>
      <c r="BM138" s="136" t="str">
        <f>BO138</f>
        <v>EG</v>
      </c>
      <c r="BN138" s="136" t="str">
        <f t="shared" si="93"/>
        <v>Estudo em Grupo</v>
      </c>
      <c r="BO138" s="136" t="str">
        <f t="shared" si="93"/>
        <v>EG</v>
      </c>
      <c r="BP138" s="136">
        <f>COUNTIFS(AX123:BK170,BO138)*0.5</f>
        <v>5</v>
      </c>
      <c r="BQ138" s="136" t="str">
        <f t="shared" si="94"/>
        <v>Estudo em Grupo</v>
      </c>
      <c r="BR138" s="136" t="str">
        <f t="shared" si="94"/>
        <v>EG</v>
      </c>
      <c r="BS138" s="136" t="str">
        <f t="shared" si="95"/>
        <v>Estudo em Grupo</v>
      </c>
      <c r="BT138" s="136">
        <f t="shared" si="101"/>
        <v>46.5</v>
      </c>
      <c r="BU138" s="136">
        <f t="shared" si="102"/>
        <v>55.5</v>
      </c>
      <c r="BZ138" s="280"/>
      <c r="CA138" s="183" t="str">
        <f>'INFO BASE'!L201</f>
        <v>-</v>
      </c>
      <c r="CB138" s="183" t="str">
        <f>'INFO BASE'!M201</f>
        <v/>
      </c>
      <c r="CD138" s="136" t="str">
        <f>IF('INFO BASE'!E152="","",'INFO BASE'!E152)</f>
        <v/>
      </c>
      <c r="CR138" s="177" t="str">
        <f t="shared" si="83"/>
        <v>HD</v>
      </c>
      <c r="CS138" s="177" t="str">
        <f t="shared" si="84"/>
        <v>HD-</v>
      </c>
      <c r="CT138" s="177" t="str">
        <f t="shared" si="83"/>
        <v>HD</v>
      </c>
      <c r="CU138" s="177" t="str">
        <f t="shared" si="85"/>
        <v>HD-</v>
      </c>
      <c r="CV138" s="177" t="str">
        <f t="shared" si="83"/>
        <v>HD</v>
      </c>
      <c r="CW138" s="177" t="str">
        <f t="shared" si="86"/>
        <v>HD-</v>
      </c>
      <c r="CX138" s="177" t="str">
        <f t="shared" si="83"/>
        <v>HD</v>
      </c>
      <c r="CY138" s="177" t="str">
        <f t="shared" si="87"/>
        <v>HD-</v>
      </c>
      <c r="CZ138" s="177" t="str">
        <f t="shared" si="83"/>
        <v>HD</v>
      </c>
      <c r="DA138" s="177" t="str">
        <f t="shared" si="88"/>
        <v>HD-</v>
      </c>
      <c r="DB138" s="177" t="str">
        <f t="shared" si="83"/>
        <v>HS</v>
      </c>
      <c r="DC138" s="177" t="str">
        <f t="shared" si="89"/>
        <v>HS-</v>
      </c>
      <c r="DD138" s="177" t="str">
        <f t="shared" si="90"/>
        <v>HS</v>
      </c>
      <c r="DE138" s="177" t="str">
        <f t="shared" si="91"/>
        <v>HS-</v>
      </c>
    </row>
    <row r="139" spans="1:109" ht="18" customHeight="1" x14ac:dyDescent="0.3">
      <c r="A139" s="81">
        <v>0.33333333333334397</v>
      </c>
      <c r="B139" s="166" t="s">
        <v>11</v>
      </c>
      <c r="C139" s="130" t="s">
        <v>120</v>
      </c>
      <c r="D139" s="169" t="s">
        <v>11</v>
      </c>
      <c r="E139" s="130" t="s">
        <v>120</v>
      </c>
      <c r="F139" s="169" t="s">
        <v>11</v>
      </c>
      <c r="G139" s="130" t="s">
        <v>120</v>
      </c>
      <c r="H139" s="169" t="s">
        <v>11</v>
      </c>
      <c r="I139" s="130" t="s">
        <v>120</v>
      </c>
      <c r="J139" s="169" t="s">
        <v>11</v>
      </c>
      <c r="K139" s="130" t="s">
        <v>120</v>
      </c>
      <c r="L139" s="169" t="s">
        <v>10</v>
      </c>
      <c r="M139" s="130" t="s">
        <v>120</v>
      </c>
      <c r="N139" s="169" t="s">
        <v>10</v>
      </c>
      <c r="O139" s="154" t="s">
        <v>120</v>
      </c>
      <c r="P139" s="6">
        <v>0</v>
      </c>
      <c r="Q139" s="110" t="str">
        <f t="shared" si="99"/>
        <v>Estudo Autónomo</v>
      </c>
      <c r="R139" s="105" t="str">
        <f t="shared" si="100"/>
        <v>CDI</v>
      </c>
      <c r="S139" s="88">
        <f t="shared" si="97"/>
        <v>-1</v>
      </c>
      <c r="T139" s="89">
        <f>IF(VLOOKUP(Q139,'INFO BASE'!$B$40:$I$54,IF(R139='INFO BASE'!$B$32,3,IF(R139='INFO BASE'!$B$33,4,IF(R139='INFO BASE'!$B$34,5,IF(R139='INFO BASE'!$B$35,6,IF(R139='INFO BASE'!$B$36,7,IF(R139='INFO BASE'!$B$37,8,2)))))),0)=0,"",VLOOKUP(Q139,'INFO BASE'!$B$40:$I$54,IF(R139='INFO BASE'!$B$32,3,IF(R139='INFO BASE'!$B$33,4,IF(R139='INFO BASE'!$B$34,5,IF(R139='INFO BASE'!$B$35,6,IF(R139='INFO BASE'!$B$36,7,IF(R139='INFO BASE'!$B$37,8,2)))))),0))</f>
        <v>5</v>
      </c>
      <c r="U139" s="89">
        <f>(COUNTIFS(C123:C170,R139,B123:B170,R134)+COUNTIFS(E123:E170,R139,D123:D170,R134)+COUNTIFS(G123:G170,R139,F123:F170,R134)+COUNTIFS(I123:I170,R139,H123:H170,R134)+COUNTIFS(K123:K170,R139,J123:J170,R134)+COUNTIFS(M123:M170,R139,L123:L170,R134)+COUNTIFS(O123:O170,R139,N123:N170,R134))*0.5</f>
        <v>0</v>
      </c>
      <c r="V139" s="89">
        <f>(COUNTIFS(AI123:AI170,R134,AJ123:AJ170,R139)+COUNTIFS(AK123:AK170,R134,AL123:AL170,R139)+COUNTIFS(AM123:AM170,R134,AN123:AN170,R139)+COUNTIFS(AO123:AO170,R134,AP123:AP170,R139)+COUNTIFS(AQ123:AQ170,R134,AR123:AR170,R139)+COUNTIFS(AS123:AS170,R134,AT123:AT170,R139)+COUNTIFS(AU123:AU170,R134,AV123:AV170,R139))*0.5</f>
        <v>3</v>
      </c>
      <c r="W139" s="90">
        <f>IF(AH119="","-",IF(V139=0,U139,IFERROR((U139/V139)-1,"-")))</f>
        <v>-1</v>
      </c>
      <c r="X139" s="200">
        <f t="shared" si="98"/>
        <v>1</v>
      </c>
      <c r="Y139" s="299" t="s">
        <v>244</v>
      </c>
      <c r="Z139" s="300"/>
      <c r="AA139" s="300"/>
      <c r="AB139" s="300"/>
      <c r="AC139" s="300"/>
      <c r="AD139" s="300"/>
      <c r="AE139" s="300"/>
      <c r="AF139" s="301"/>
      <c r="AH139" s="136">
        <v>0.33333333333334397</v>
      </c>
      <c r="AI139" s="136" t="s">
        <v>11</v>
      </c>
      <c r="AJ139" s="136" t="s">
        <v>120</v>
      </c>
      <c r="AK139" s="136" t="s">
        <v>11</v>
      </c>
      <c r="AL139" s="136" t="s">
        <v>120</v>
      </c>
      <c r="AM139" s="136" t="s">
        <v>11</v>
      </c>
      <c r="AN139" s="136" t="s">
        <v>120</v>
      </c>
      <c r="AO139" s="136" t="s">
        <v>11</v>
      </c>
      <c r="AP139" s="136" t="s">
        <v>120</v>
      </c>
      <c r="AQ139" s="136" t="s">
        <v>11</v>
      </c>
      <c r="AR139" s="136" t="s">
        <v>120</v>
      </c>
      <c r="AS139" s="136" t="s">
        <v>10</v>
      </c>
      <c r="AT139" s="136" t="s">
        <v>120</v>
      </c>
      <c r="AU139" s="136" t="s">
        <v>10</v>
      </c>
      <c r="AV139" s="136" t="s">
        <v>120</v>
      </c>
      <c r="AX139" s="136" t="str">
        <f>IF(AI119="","",IF(B139="","",B139))</f>
        <v>HD</v>
      </c>
      <c r="AY139" s="136" t="str">
        <f>IF(AI119="","",IF(C139="","",C139))</f>
        <v>-</v>
      </c>
      <c r="AZ139" s="136" t="str">
        <f>IF(AI119="","",IF(D139="","",D139))</f>
        <v>HD</v>
      </c>
      <c r="BA139" s="136" t="str">
        <f>IF(AI119="","",IF(E139="","",E139))</f>
        <v>-</v>
      </c>
      <c r="BB139" s="136" t="str">
        <f>IF(AI119="","",IF(F139="","",F139))</f>
        <v>HD</v>
      </c>
      <c r="BC139" s="136" t="str">
        <f>IF(AI119="","",IF(G139="","",G139))</f>
        <v>-</v>
      </c>
      <c r="BD139" s="136" t="str">
        <f>IF(AI119="","",IF(H139="","",H139))</f>
        <v>HD</v>
      </c>
      <c r="BE139" s="136" t="str">
        <f>IF(AI119="","",IF(I139="","",I139))</f>
        <v>-</v>
      </c>
      <c r="BF139" s="136" t="str">
        <f>IF(AI119="","",IF(J139="","",J139))</f>
        <v>HD</v>
      </c>
      <c r="BG139" s="136" t="str">
        <f>IF(AI119="","",IF(K139="","",K139))</f>
        <v>-</v>
      </c>
      <c r="BH139" s="136" t="str">
        <f>IF(AI119="","",IF(L139="","",L139))</f>
        <v>HS</v>
      </c>
      <c r="BI139" s="136" t="str">
        <f>IF(AI119="","",IF(M139="","",M139))</f>
        <v>-</v>
      </c>
      <c r="BJ139" s="136" t="str">
        <f>IF(AI119="","",IF(N139="","",N139))</f>
        <v>HS</v>
      </c>
      <c r="BK139" s="136" t="str">
        <f>IF(AI119="","",IF(O139="","",O139))</f>
        <v>-</v>
      </c>
      <c r="BM139" s="136" t="str">
        <f>BM138</f>
        <v>EG</v>
      </c>
      <c r="BN139" s="136" t="str">
        <f t="shared" si="93"/>
        <v>Estudo em Grupo</v>
      </c>
      <c r="BO139" s="136" t="str">
        <f t="shared" si="93"/>
        <v>FP</v>
      </c>
      <c r="BP139" s="136">
        <f>(COUNTIFS(AX123:AX170,BM139,AY123:AY170,BO139)+COUNTIFS(AZ123:AZ170,BM139,BA123:BA170,BO139)+COUNTIFS(BB123:BB170,BM139,BC123:BC170,BO139)+COUNTIFS(BD123:BD170,BM139,BE123:BE170,BO139)+COUNTIFS(BF123:BF170,BM139,BG123:BG170,BO139)+COUNTIFS(BH123:BH170,BM139,BI123:BI170,BO139)+COUNTIFS(BJ123:BJ170,BM139,BK123:BK170,BO139))*0.5</f>
        <v>1</v>
      </c>
      <c r="BQ139" s="136" t="str">
        <f t="shared" si="94"/>
        <v>Estudo em Grupo</v>
      </c>
      <c r="BR139" s="136" t="str">
        <f t="shared" si="94"/>
        <v>FP</v>
      </c>
      <c r="BS139" s="136" t="str">
        <f t="shared" si="95"/>
        <v>Estudo em Grupo</v>
      </c>
      <c r="BT139" s="136">
        <f t="shared" si="101"/>
        <v>11</v>
      </c>
      <c r="BU139" s="136">
        <f t="shared" si="102"/>
        <v>12</v>
      </c>
      <c r="BZ139" s="280"/>
      <c r="CA139" s="183" t="str">
        <f>'INFO BASE'!L202</f>
        <v>-</v>
      </c>
      <c r="CB139" s="183" t="str">
        <f>'INFO BASE'!M202</f>
        <v/>
      </c>
      <c r="CD139" s="136" t="str">
        <f>IF('INFO BASE'!F153="","",'INFO BASE'!F153)</f>
        <v/>
      </c>
      <c r="CR139" s="177" t="str">
        <f t="shared" si="83"/>
        <v>HD</v>
      </c>
      <c r="CS139" s="177" t="str">
        <f t="shared" si="84"/>
        <v>HD-</v>
      </c>
      <c r="CT139" s="177" t="str">
        <f t="shared" si="83"/>
        <v>HD</v>
      </c>
      <c r="CU139" s="177" t="str">
        <f t="shared" si="85"/>
        <v>HD-</v>
      </c>
      <c r="CV139" s="177" t="str">
        <f t="shared" si="83"/>
        <v>HD</v>
      </c>
      <c r="CW139" s="177" t="str">
        <f t="shared" si="86"/>
        <v>HD-</v>
      </c>
      <c r="CX139" s="177" t="str">
        <f t="shared" si="83"/>
        <v>HD</v>
      </c>
      <c r="CY139" s="177" t="str">
        <f t="shared" si="87"/>
        <v>HD-</v>
      </c>
      <c r="CZ139" s="177" t="str">
        <f t="shared" si="83"/>
        <v>HD</v>
      </c>
      <c r="DA139" s="177" t="str">
        <f t="shared" si="88"/>
        <v>HD-</v>
      </c>
      <c r="DB139" s="177" t="str">
        <f t="shared" si="83"/>
        <v>HS</v>
      </c>
      <c r="DC139" s="177" t="str">
        <f t="shared" si="89"/>
        <v>HS-</v>
      </c>
      <c r="DD139" s="177" t="str">
        <f t="shared" si="90"/>
        <v>HS</v>
      </c>
      <c r="DE139" s="177" t="str">
        <f t="shared" si="91"/>
        <v>HS-</v>
      </c>
    </row>
    <row r="140" spans="1:109" ht="18" customHeight="1" thickBot="1" x14ac:dyDescent="0.35">
      <c r="A140" s="81">
        <v>0.35416666666667801</v>
      </c>
      <c r="B140" s="166" t="s">
        <v>11</v>
      </c>
      <c r="C140" s="130" t="s">
        <v>120</v>
      </c>
      <c r="D140" s="169" t="s">
        <v>11</v>
      </c>
      <c r="E140" s="130" t="s">
        <v>120</v>
      </c>
      <c r="F140" s="169" t="s">
        <v>130</v>
      </c>
      <c r="G140" s="130" t="s">
        <v>231</v>
      </c>
      <c r="H140" s="169" t="s">
        <v>11</v>
      </c>
      <c r="I140" s="130" t="s">
        <v>120</v>
      </c>
      <c r="J140" s="169" t="s">
        <v>11</v>
      </c>
      <c r="K140" s="130" t="s">
        <v>120</v>
      </c>
      <c r="L140" s="169" t="s">
        <v>10</v>
      </c>
      <c r="M140" s="130" t="s">
        <v>120</v>
      </c>
      <c r="N140" s="169" t="s">
        <v>116</v>
      </c>
      <c r="O140" s="154" t="s">
        <v>120</v>
      </c>
      <c r="P140" s="6">
        <v>0</v>
      </c>
      <c r="Q140" s="112" t="str">
        <f t="shared" si="99"/>
        <v>Estudo Autónomo</v>
      </c>
      <c r="R140" s="107" t="str">
        <f t="shared" si="100"/>
        <v/>
      </c>
      <c r="S140" s="94" t="str">
        <f t="shared" si="97"/>
        <v>-</v>
      </c>
      <c r="T140" s="95" t="str">
        <f>IF(VLOOKUP(Q140,'INFO BASE'!$B$40:$I$54,IF(R140='INFO BASE'!$B$32,3,IF(R140='INFO BASE'!$B$33,4,IF(R140='INFO BASE'!$B$34,5,IF(R140='INFO BASE'!$B$35,6,IF(R140='INFO BASE'!$B$36,7,IF(R140='INFO BASE'!$B$37,8,2)))))),0)=0,"",VLOOKUP(Q140,'INFO BASE'!$B$40:$I$54,IF(R140='INFO BASE'!$B$32,3,IF(R140='INFO BASE'!$B$33,4,IF(R140='INFO BASE'!$B$34,5,IF(R140='INFO BASE'!$B$35,6,IF(R140='INFO BASE'!$B$36,7,IF(R140='INFO BASE'!$B$37,8,2)))))),0))</f>
        <v/>
      </c>
      <c r="U140" s="95">
        <f>(COUNTIFS(C123:C170,R140,B123:B170,R134)+COUNTIFS(E123:E170,R140,D123:D170,R134)+COUNTIFS(G123:G170,R140,F123:F170,R134)+COUNTIFS(I123:I170,R140,H123:H170,R134)+COUNTIFS(K123:K170,R140,J123:J170,R134)+COUNTIFS(M123:M170,R140,L123:L170,R134)+COUNTIFS(O123:O170,R140,N123:N170,R134))*0.5</f>
        <v>0</v>
      </c>
      <c r="V140" s="95">
        <f>(COUNTIFS(AI123:AI170,R134,AJ123:AJ170,R140)+COUNTIFS(AK123:AK170,R134,AL123:AL170,R140)+COUNTIFS(AM123:AM170,R134,AN123:AN170,R140)+COUNTIFS(AO123:AO170,R134,AP123:AP170,R140)+COUNTIFS(AQ123:AQ170,R134,AR123:AR170,R140)+COUNTIFS(AS123:AS170,R134,AT123:AT170,R140)+COUNTIFS(AU123:AU170,R134,AV123:AV170,R140))*0.5</f>
        <v>0</v>
      </c>
      <c r="W140" s="96">
        <f>IF(AH119="","-",IF(V140=0,U140,IFERROR((U140/V140)-1,"-")))</f>
        <v>0</v>
      </c>
      <c r="X140" s="201">
        <f t="shared" si="98"/>
        <v>0</v>
      </c>
      <c r="Y140" s="274"/>
      <c r="Z140" s="275"/>
      <c r="AA140" s="275"/>
      <c r="AB140" s="275"/>
      <c r="AC140" s="275"/>
      <c r="AD140" s="275"/>
      <c r="AE140" s="275"/>
      <c r="AF140" s="276"/>
      <c r="AH140" s="136">
        <v>0.35416666666667801</v>
      </c>
      <c r="AI140" s="136" t="s">
        <v>11</v>
      </c>
      <c r="AJ140" s="136" t="s">
        <v>120</v>
      </c>
      <c r="AK140" s="136" t="s">
        <v>11</v>
      </c>
      <c r="AL140" s="136" t="s">
        <v>120</v>
      </c>
      <c r="AM140" s="136" t="s">
        <v>130</v>
      </c>
      <c r="AN140" s="136" t="s">
        <v>231</v>
      </c>
      <c r="AO140" s="136" t="s">
        <v>11</v>
      </c>
      <c r="AP140" s="136" t="s">
        <v>120</v>
      </c>
      <c r="AQ140" s="136" t="s">
        <v>11</v>
      </c>
      <c r="AR140" s="136" t="s">
        <v>120</v>
      </c>
      <c r="AS140" s="136" t="s">
        <v>116</v>
      </c>
      <c r="AT140" s="136" t="s">
        <v>235</v>
      </c>
      <c r="AU140" s="136" t="s">
        <v>116</v>
      </c>
      <c r="AV140" s="136" t="s">
        <v>235</v>
      </c>
      <c r="AX140" s="136" t="str">
        <f>IF(AI119="","",IF(B140="","",B140))</f>
        <v>HD</v>
      </c>
      <c r="AY140" s="136" t="str">
        <f>IF(AI119="","",IF(C140="","",C140))</f>
        <v>-</v>
      </c>
      <c r="AZ140" s="136" t="str">
        <f>IF(AI119="","",IF(D140="","",D140))</f>
        <v>HD</v>
      </c>
      <c r="BA140" s="136" t="str">
        <f>IF(AI119="","",IF(E140="","",E140))</f>
        <v>-</v>
      </c>
      <c r="BB140" s="136" t="str">
        <f>IF(AI119="","",IF(F140="","",F140))</f>
        <v>APB</v>
      </c>
      <c r="BC140" s="136" t="str">
        <f>IF(AI119="","",IF(G140="","",G140))</f>
        <v>CDI</v>
      </c>
      <c r="BD140" s="136" t="str">
        <f>IF(AI119="","",IF(H140="","",H140))</f>
        <v>HD</v>
      </c>
      <c r="BE140" s="136" t="str">
        <f>IF(AI119="","",IF(I140="","",I140))</f>
        <v>-</v>
      </c>
      <c r="BF140" s="136" t="str">
        <f>IF(AI119="","",IF(J140="","",J140))</f>
        <v>HD</v>
      </c>
      <c r="BG140" s="136" t="str">
        <f>IF(AI119="","",IF(K140="","",K140))</f>
        <v>-</v>
      </c>
      <c r="BH140" s="136" t="str">
        <f>IF(AI119="","",IF(L140="","",L140))</f>
        <v>HS</v>
      </c>
      <c r="BI140" s="136" t="str">
        <f>IF(AI119="","",IF(M140="","",M140))</f>
        <v>-</v>
      </c>
      <c r="BJ140" s="136" t="str">
        <f>IF(AI119="","",IF(N140="","",N140))</f>
        <v>PV</v>
      </c>
      <c r="BK140" s="136" t="str">
        <f>IF(AI119="","",IF(O140="","",O140))</f>
        <v>-</v>
      </c>
      <c r="BM140" s="136" t="str">
        <f t="shared" ref="BM140:BM144" si="103">BM139</f>
        <v>EG</v>
      </c>
      <c r="BN140" s="136" t="str">
        <f t="shared" si="93"/>
        <v>Estudo em Grupo</v>
      </c>
      <c r="BO140" s="136" t="str">
        <f t="shared" si="93"/>
        <v>IEI</v>
      </c>
      <c r="BP140" s="136">
        <f>(COUNTIFS(AX123:AX170,BM140,AY123:AY170,BO140)+COUNTIFS(AZ123:AZ170,BM140,BA123:BA170,BO140)+COUNTIFS(BB123:BB170,BM140,BC123:BC170,BO140)+COUNTIFS(BD123:BD170,BM140,BE123:BE170,BO140)+COUNTIFS(BF123:BF170,BM140,BG123:BG170,BO140)+COUNTIFS(BH123:BH170,BM140,BI123:BI170,BO140)+COUNTIFS(BJ123:BJ170,BM140,BK123:BK170,BO140))*0.5</f>
        <v>0</v>
      </c>
      <c r="BQ140" s="136" t="str">
        <f t="shared" si="94"/>
        <v>Estudo em Grupo</v>
      </c>
      <c r="BR140" s="136" t="str">
        <f t="shared" si="94"/>
        <v>IEI</v>
      </c>
      <c r="BS140" s="136" t="str">
        <f t="shared" si="95"/>
        <v>Estudo em Grupo</v>
      </c>
      <c r="BT140" s="136">
        <f t="shared" si="101"/>
        <v>2.5</v>
      </c>
      <c r="BU140" s="136">
        <f t="shared" si="102"/>
        <v>7</v>
      </c>
      <c r="BZ140" s="280"/>
      <c r="CA140" s="183" t="str">
        <f>'INFO BASE'!L203</f>
        <v>-</v>
      </c>
      <c r="CB140" s="183" t="str">
        <f>'INFO BASE'!M203</f>
        <v/>
      </c>
      <c r="CR140" s="177" t="str">
        <f t="shared" si="83"/>
        <v>HD</v>
      </c>
      <c r="CS140" s="177" t="str">
        <f t="shared" si="84"/>
        <v>HD-</v>
      </c>
      <c r="CT140" s="177" t="str">
        <f t="shared" si="83"/>
        <v>HD</v>
      </c>
      <c r="CU140" s="177" t="str">
        <f t="shared" si="85"/>
        <v>HD-</v>
      </c>
      <c r="CV140" s="177" t="str">
        <f t="shared" si="83"/>
        <v>APB</v>
      </c>
      <c r="CW140" s="177" t="str">
        <f t="shared" si="86"/>
        <v>APBCDI</v>
      </c>
      <c r="CX140" s="177" t="str">
        <f t="shared" si="83"/>
        <v>HD</v>
      </c>
      <c r="CY140" s="177" t="str">
        <f t="shared" si="87"/>
        <v>HD-</v>
      </c>
      <c r="CZ140" s="177" t="str">
        <f t="shared" si="83"/>
        <v>HD</v>
      </c>
      <c r="DA140" s="177" t="str">
        <f t="shared" si="88"/>
        <v>HD-</v>
      </c>
      <c r="DB140" s="177" t="str">
        <f t="shared" si="83"/>
        <v>HS</v>
      </c>
      <c r="DC140" s="177" t="str">
        <f t="shared" si="89"/>
        <v>HS-</v>
      </c>
      <c r="DD140" s="177" t="str">
        <f t="shared" si="90"/>
        <v>PV</v>
      </c>
      <c r="DE140" s="177">
        <f t="shared" si="91"/>
        <v>0</v>
      </c>
    </row>
    <row r="141" spans="1:109" ht="18" customHeight="1" x14ac:dyDescent="0.3">
      <c r="A141" s="81">
        <v>0.37500000000001199</v>
      </c>
      <c r="B141" s="166" t="s">
        <v>9</v>
      </c>
      <c r="C141" s="130" t="s">
        <v>228</v>
      </c>
      <c r="D141" s="169" t="s">
        <v>9</v>
      </c>
      <c r="E141" s="130" t="s">
        <v>226</v>
      </c>
      <c r="F141" s="169" t="s">
        <v>130</v>
      </c>
      <c r="G141" s="130" t="s">
        <v>231</v>
      </c>
      <c r="H141" s="169" t="s">
        <v>9</v>
      </c>
      <c r="I141" s="130" t="s">
        <v>228</v>
      </c>
      <c r="J141" s="169" t="s">
        <v>9</v>
      </c>
      <c r="K141" s="130" t="s">
        <v>224</v>
      </c>
      <c r="L141" s="169" t="s">
        <v>10</v>
      </c>
      <c r="M141" s="130" t="s">
        <v>120</v>
      </c>
      <c r="N141" s="169" t="s">
        <v>116</v>
      </c>
      <c r="O141" s="154" t="s">
        <v>120</v>
      </c>
      <c r="P141" s="6">
        <v>0</v>
      </c>
      <c r="Q141" s="113" t="str">
        <f>IF('INFO BASE'!$C$18="","",'INFO BASE'!$C$18)</f>
        <v>Estudo em Grupo</v>
      </c>
      <c r="R141" s="82" t="str">
        <f t="shared" si="100"/>
        <v>EG</v>
      </c>
      <c r="S141" s="83">
        <f t="shared" si="97"/>
        <v>-0.375</v>
      </c>
      <c r="T141" s="84">
        <f>IF(VLOOKUP(Q141,'INFO BASE'!$B$40:$I$54,IF(R141='INFO BASE'!$B$32,3,IF(R141='INFO BASE'!$B$33,4,IF(R141='INFO BASE'!$B$34,5,IF(R141='INFO BASE'!$B$35,6,IF(R141='INFO BASE'!$B$36,7,IF(R141='INFO BASE'!$B$37,8,2)))))),0)=0,"",VLOOKUP(Q141,'INFO BASE'!$B$40:$I$54,IF(R141='INFO BASE'!$B$32,3,IF(R141='INFO BASE'!$B$33,4,IF(R141='INFO BASE'!$B$34,5,IF(R141='INFO BASE'!$B$35,6,IF(R141='INFO BASE'!$B$36,7,IF(R141='INFO BASE'!$B$37,8,2)))))),0))</f>
        <v>8</v>
      </c>
      <c r="U141" s="84">
        <f>IF(R141="","",COUNTIFS(SEMANA3,R141)*0.5)</f>
        <v>5</v>
      </c>
      <c r="V141" s="84">
        <f>IF(R141="","",COUNTIFS(AI123:AV170,R141)*0.5)</f>
        <v>5</v>
      </c>
      <c r="W141" s="85">
        <f>IF(AH119="","-",IF(V141=0,U141,IFERROR((U141/V141)-1,"-")))</f>
        <v>0</v>
      </c>
      <c r="X141" s="201">
        <f t="shared" si="98"/>
        <v>0</v>
      </c>
      <c r="Y141" s="277"/>
      <c r="Z141" s="278"/>
      <c r="AA141" s="278"/>
      <c r="AB141" s="278"/>
      <c r="AC141" s="278"/>
      <c r="AD141" s="278"/>
      <c r="AE141" s="278"/>
      <c r="AF141" s="279"/>
      <c r="AH141" s="136">
        <v>0.37500000000001199</v>
      </c>
      <c r="AI141" s="136" t="s">
        <v>9</v>
      </c>
      <c r="AJ141" s="136" t="s">
        <v>228</v>
      </c>
      <c r="AK141" s="136" t="s">
        <v>9</v>
      </c>
      <c r="AL141" s="136" t="s">
        <v>226</v>
      </c>
      <c r="AM141" s="136" t="s">
        <v>130</v>
      </c>
      <c r="AN141" s="136" t="s">
        <v>231</v>
      </c>
      <c r="AO141" s="136" t="s">
        <v>9</v>
      </c>
      <c r="AP141" s="136" t="s">
        <v>228</v>
      </c>
      <c r="AQ141" s="136" t="s">
        <v>9</v>
      </c>
      <c r="AR141" s="136" t="s">
        <v>224</v>
      </c>
      <c r="AS141" s="136" t="s">
        <v>8</v>
      </c>
      <c r="AT141" s="136" t="s">
        <v>231</v>
      </c>
      <c r="AU141" s="136" t="s">
        <v>8</v>
      </c>
      <c r="AV141" s="136" t="s">
        <v>230</v>
      </c>
      <c r="AX141" s="136" t="str">
        <f>IF(AI119="","",IF(B141="","",B141))</f>
        <v>AT</v>
      </c>
      <c r="AY141" s="136" t="str">
        <f>IF(AI119="","",IF(C141="","",C141))</f>
        <v>IAC</v>
      </c>
      <c r="AZ141" s="136" t="str">
        <f>IF(AI119="","",IF(D141="","",D141))</f>
        <v>AT</v>
      </c>
      <c r="BA141" s="136" t="str">
        <f>IF(AI119="","",IF(E141="","",E141))</f>
        <v>IEI</v>
      </c>
      <c r="BB141" s="136" t="str">
        <f>IF(AI119="","",IF(F141="","",F141))</f>
        <v>APB</v>
      </c>
      <c r="BC141" s="136" t="str">
        <f>IF(AI119="","",IF(G141="","",G141))</f>
        <v>CDI</v>
      </c>
      <c r="BD141" s="136" t="str">
        <f>IF(AI119="","",IF(H141="","",H141))</f>
        <v>AT</v>
      </c>
      <c r="BE141" s="136" t="str">
        <f>IF(AI119="","",IF(I141="","",I141))</f>
        <v>IAC</v>
      </c>
      <c r="BF141" s="136" t="str">
        <f>IF(AI119="","",IF(J141="","",J141))</f>
        <v>AT</v>
      </c>
      <c r="BG141" s="136" t="str">
        <f>IF(AI119="","",IF(K141="","",K141))</f>
        <v>FP</v>
      </c>
      <c r="BH141" s="136" t="str">
        <f>IF(AI119="","",IF(L141="","",L141))</f>
        <v>HS</v>
      </c>
      <c r="BI141" s="136" t="str">
        <f>IF(AI119="","",IF(M141="","",M141))</f>
        <v>-</v>
      </c>
      <c r="BJ141" s="136" t="str">
        <f>IF(AI119="","",IF(N141="","",N141))</f>
        <v>PV</v>
      </c>
      <c r="BK141" s="136" t="str">
        <f>IF(AI119="","",IF(O141="","",O141))</f>
        <v>-</v>
      </c>
      <c r="BM141" s="136" t="str">
        <f t="shared" si="103"/>
        <v>EG</v>
      </c>
      <c r="BN141" s="136" t="str">
        <f t="shared" si="93"/>
        <v>Estudo em Grupo</v>
      </c>
      <c r="BO141" s="136" t="str">
        <f t="shared" si="93"/>
        <v>IAC</v>
      </c>
      <c r="BP141" s="136">
        <f>(COUNTIFS(AX123:AX170,BM141,AY123:AY170,BO141)+COUNTIFS(AZ123:AZ170,BM141,BA123:BA170,BO141)+COUNTIFS(BB123:BB170,BM141,BC123:BC170,BO141)+COUNTIFS(BD123:BD170,BM141,BE123:BE170,BO141)+COUNTIFS(BF123:BF170,BM141,BG123:BG170,BO141)+COUNTIFS(BH123:BH170,BM141,BI123:BI170,BO141)+COUNTIFS(BJ123:BJ170,BM141,BK123:BK170,BO141))*0.5</f>
        <v>0</v>
      </c>
      <c r="BQ141" s="136" t="str">
        <f t="shared" si="94"/>
        <v>Estudo em Grupo</v>
      </c>
      <c r="BR141" s="136" t="str">
        <f t="shared" si="94"/>
        <v>IAC</v>
      </c>
      <c r="BS141" s="136" t="str">
        <f t="shared" si="95"/>
        <v>Estudo em Grupo</v>
      </c>
      <c r="BT141" s="136">
        <f t="shared" si="101"/>
        <v>6</v>
      </c>
      <c r="BU141" s="136">
        <f t="shared" si="102"/>
        <v>10.5</v>
      </c>
      <c r="BZ141" s="280"/>
      <c r="CA141" s="183" t="str">
        <f>'INFO BASE'!L204</f>
        <v>-</v>
      </c>
      <c r="CB141" s="183" t="str">
        <f>'INFO BASE'!M204</f>
        <v/>
      </c>
      <c r="CR141" s="177" t="str">
        <f t="shared" si="83"/>
        <v>AT</v>
      </c>
      <c r="CS141" s="177" t="str">
        <f t="shared" si="84"/>
        <v>ATIAC</v>
      </c>
      <c r="CT141" s="177" t="str">
        <f t="shared" si="83"/>
        <v>AT</v>
      </c>
      <c r="CU141" s="177" t="str">
        <f t="shared" si="85"/>
        <v>ATIEI</v>
      </c>
      <c r="CV141" s="177" t="str">
        <f t="shared" si="83"/>
        <v>APB</v>
      </c>
      <c r="CW141" s="177" t="str">
        <f t="shared" si="86"/>
        <v>APBCDI</v>
      </c>
      <c r="CX141" s="177" t="str">
        <f t="shared" si="83"/>
        <v>AT</v>
      </c>
      <c r="CY141" s="177" t="str">
        <f t="shared" si="87"/>
        <v>ATIAC</v>
      </c>
      <c r="CZ141" s="177" t="str">
        <f t="shared" si="83"/>
        <v>AT</v>
      </c>
      <c r="DA141" s="177" t="str">
        <f t="shared" si="88"/>
        <v>ATFP</v>
      </c>
      <c r="DB141" s="177" t="str">
        <f t="shared" si="83"/>
        <v>HS</v>
      </c>
      <c r="DC141" s="177" t="str">
        <f t="shared" si="89"/>
        <v>HS-</v>
      </c>
      <c r="DD141" s="177" t="str">
        <f t="shared" si="90"/>
        <v>PV</v>
      </c>
      <c r="DE141" s="177">
        <f t="shared" si="91"/>
        <v>0</v>
      </c>
    </row>
    <row r="142" spans="1:109" ht="18" customHeight="1" x14ac:dyDescent="0.3">
      <c r="A142" s="81">
        <v>0.39583333333334603</v>
      </c>
      <c r="B142" s="166" t="s">
        <v>9</v>
      </c>
      <c r="C142" s="130" t="s">
        <v>228</v>
      </c>
      <c r="D142" s="169" t="s">
        <v>9</v>
      </c>
      <c r="E142" s="130" t="s">
        <v>226</v>
      </c>
      <c r="F142" s="169" t="s">
        <v>130</v>
      </c>
      <c r="G142" s="130" t="s">
        <v>231</v>
      </c>
      <c r="H142" s="169" t="s">
        <v>9</v>
      </c>
      <c r="I142" s="130" t="s">
        <v>228</v>
      </c>
      <c r="J142" s="169" t="s">
        <v>9</v>
      </c>
      <c r="K142" s="130" t="s">
        <v>224</v>
      </c>
      <c r="L142" s="169" t="s">
        <v>10</v>
      </c>
      <c r="M142" s="130" t="s">
        <v>120</v>
      </c>
      <c r="N142" s="169" t="s">
        <v>116</v>
      </c>
      <c r="O142" s="154" t="s">
        <v>120</v>
      </c>
      <c r="P142" s="6">
        <v>0</v>
      </c>
      <c r="Q142" s="114" t="str">
        <f t="shared" ref="Q142:Q147" si="104">Q141</f>
        <v>Estudo em Grupo</v>
      </c>
      <c r="R142" s="105" t="str">
        <f t="shared" si="100"/>
        <v>FP</v>
      </c>
      <c r="S142" s="88">
        <f t="shared" si="97"/>
        <v>-0.5</v>
      </c>
      <c r="T142" s="89">
        <f>IF(VLOOKUP(Q142,'INFO BASE'!$B$40:$I$54,IF(R142='INFO BASE'!$B$32,3,IF(R142='INFO BASE'!$B$33,4,IF(R142='INFO BASE'!$B$34,5,IF(R142='INFO BASE'!$B$35,6,IF(R142='INFO BASE'!$B$36,7,IF(R142='INFO BASE'!$B$37,8,2)))))),0)=0,"",VLOOKUP(Q142,'INFO BASE'!$B$40:$I$54,IF(R142='INFO BASE'!$B$32,3,IF(R142='INFO BASE'!$B$33,4,IF(R142='INFO BASE'!$B$34,5,IF(R142='INFO BASE'!$B$35,6,IF(R142='INFO BASE'!$B$36,7,IF(R142='INFO BASE'!$B$37,8,2)))))),0))</f>
        <v>2</v>
      </c>
      <c r="U142" s="89">
        <f>(COUNTIFS(C123:C170,R142,B123:B170,R141)+COUNTIFS(E123:E170,R142,D123:D170,R141)+COUNTIFS(G123:G170,R142,F123:F170,R141)+COUNTIFS(I123:I170,R142,H123:H170,R141)+COUNTIFS(K123:K170,R142,J123:J170,R141)+COUNTIFS(M123:M170,R142,L123:L170,R141)+COUNTIFS(O123:O170,R142,N123:N170,R141))*0.5</f>
        <v>1</v>
      </c>
      <c r="V142" s="89">
        <f>(COUNTIFS(AI123:AI170,R141,AJ123:AJ170,R135)+COUNTIFS(AK123:AK170,R141,AL123:AL170,R135)+COUNTIFS(AM123:AM170,R141,AN123:AN170,R135)+COUNTIFS(AO123:AO170,R141,AP123:AP170,R135)+COUNTIFS(AQ123:AQ170,R141,AR123:AR170,R135)+COUNTIFS(AS123:AS170,R141,AT123:AT170,R135)+COUNTIFS(AU123:AU170,R141,AV123:AV170,R135))*0.5</f>
        <v>1</v>
      </c>
      <c r="W142" s="90">
        <f>IF(AH119="","-",IF(V142=0,U142,IFERROR((U142/V142)-1,"-")))</f>
        <v>0</v>
      </c>
      <c r="X142" s="201">
        <f t="shared" si="98"/>
        <v>0</v>
      </c>
      <c r="Y142" s="271"/>
      <c r="Z142" s="272"/>
      <c r="AA142" s="272"/>
      <c r="AB142" s="272"/>
      <c r="AC142" s="272"/>
      <c r="AD142" s="272"/>
      <c r="AE142" s="272"/>
      <c r="AF142" s="273"/>
      <c r="AH142" s="136">
        <v>0.39583333333334603</v>
      </c>
      <c r="AI142" s="136" t="s">
        <v>9</v>
      </c>
      <c r="AJ142" s="136" t="s">
        <v>228</v>
      </c>
      <c r="AK142" s="136" t="s">
        <v>9</v>
      </c>
      <c r="AL142" s="136" t="s">
        <v>226</v>
      </c>
      <c r="AM142" s="136" t="s">
        <v>130</v>
      </c>
      <c r="AN142" s="136" t="s">
        <v>231</v>
      </c>
      <c r="AO142" s="136" t="s">
        <v>9</v>
      </c>
      <c r="AP142" s="136" t="s">
        <v>228</v>
      </c>
      <c r="AQ142" s="136" t="s">
        <v>9</v>
      </c>
      <c r="AR142" s="136" t="s">
        <v>224</v>
      </c>
      <c r="AS142" s="136" t="s">
        <v>8</v>
      </c>
      <c r="AT142" s="136" t="s">
        <v>231</v>
      </c>
      <c r="AU142" s="136" t="s">
        <v>8</v>
      </c>
      <c r="AV142" s="136" t="s">
        <v>230</v>
      </c>
      <c r="AX142" s="136" t="str">
        <f>IF(AI119="","",IF(B142="","",B142))</f>
        <v>AT</v>
      </c>
      <c r="AY142" s="136" t="str">
        <f>IF(AI119="","",IF(C142="","",C142))</f>
        <v>IAC</v>
      </c>
      <c r="AZ142" s="136" t="str">
        <f>IF(AI119="","",IF(D142="","",D142))</f>
        <v>AT</v>
      </c>
      <c r="BA142" s="136" t="str">
        <f>IF(AI119="","",IF(E142="","",E142))</f>
        <v>IEI</v>
      </c>
      <c r="BB142" s="136" t="str">
        <f>IF(AI119="","",IF(F142="","",F142))</f>
        <v>APB</v>
      </c>
      <c r="BC142" s="136" t="str">
        <f>IF(AI119="","",IF(G142="","",G142))</f>
        <v>CDI</v>
      </c>
      <c r="BD142" s="136" t="str">
        <f>IF(AI119="","",IF(H142="","",H142))</f>
        <v>AT</v>
      </c>
      <c r="BE142" s="136" t="str">
        <f>IF(AI119="","",IF(I142="","",I142))</f>
        <v>IAC</v>
      </c>
      <c r="BF142" s="136" t="str">
        <f>IF(AI119="","",IF(J142="","",J142))</f>
        <v>AT</v>
      </c>
      <c r="BG142" s="136" t="str">
        <f>IF(AI119="","",IF(K142="","",K142))</f>
        <v>FP</v>
      </c>
      <c r="BH142" s="136" t="str">
        <f>IF(AI119="","",IF(L142="","",L142))</f>
        <v>HS</v>
      </c>
      <c r="BI142" s="136" t="str">
        <f>IF(AI119="","",IF(M142="","",M142))</f>
        <v>-</v>
      </c>
      <c r="BJ142" s="136" t="str">
        <f>IF(AI119="","",IF(N142="","",N142))</f>
        <v>PV</v>
      </c>
      <c r="BK142" s="136" t="str">
        <f>IF(AI119="","",IF(O142="","",O142))</f>
        <v>-</v>
      </c>
      <c r="BM142" s="136" t="str">
        <f t="shared" si="103"/>
        <v>EG</v>
      </c>
      <c r="BN142" s="136" t="str">
        <f t="shared" si="93"/>
        <v>Estudo em Grupo</v>
      </c>
      <c r="BO142" s="136" t="str">
        <f t="shared" si="93"/>
        <v>AL</v>
      </c>
      <c r="BP142" s="136">
        <f>(COUNTIFS(AX123:AX170,BM142,AY123:AY170,BO142)+COUNTIFS(AZ123:AZ170,BM142,BA123:BA170,BO142)+COUNTIFS(BB123:BB170,BM142,BC123:BC170,BO142)+COUNTIFS(BD123:BD170,BM142,BE123:BE170,BO142)+COUNTIFS(BF123:BF170,BM142,BG123:BG170,BO142)+COUNTIFS(BH123:BH170,BM142,BI123:BI170,BO142)+COUNTIFS(BJ123:BJ170,BM142,BK123:BK170,BO142))*0.5</f>
        <v>2</v>
      </c>
      <c r="BQ142" s="136" t="str">
        <f t="shared" si="94"/>
        <v>Estudo em Grupo</v>
      </c>
      <c r="BR142" s="136" t="str">
        <f t="shared" si="94"/>
        <v>AL</v>
      </c>
      <c r="BS142" s="136" t="str">
        <f t="shared" si="95"/>
        <v>Estudo em Grupo</v>
      </c>
      <c r="BT142" s="136">
        <f t="shared" si="101"/>
        <v>16.5</v>
      </c>
      <c r="BU142" s="136">
        <f t="shared" si="102"/>
        <v>17.5</v>
      </c>
      <c r="BZ142" s="280"/>
      <c r="CA142" s="183" t="str">
        <f>'INFO BASE'!L205</f>
        <v>-</v>
      </c>
      <c r="CB142" s="183" t="str">
        <f>'INFO BASE'!M205</f>
        <v/>
      </c>
      <c r="CR142" s="177" t="str">
        <f t="shared" si="83"/>
        <v>AT</v>
      </c>
      <c r="CS142" s="177" t="str">
        <f t="shared" si="84"/>
        <v>ATIAC</v>
      </c>
      <c r="CT142" s="177" t="str">
        <f t="shared" si="83"/>
        <v>AT</v>
      </c>
      <c r="CU142" s="177" t="str">
        <f t="shared" si="85"/>
        <v>ATIEI</v>
      </c>
      <c r="CV142" s="177" t="str">
        <f t="shared" si="83"/>
        <v>APB</v>
      </c>
      <c r="CW142" s="177" t="str">
        <f t="shared" si="86"/>
        <v>APBCDI</v>
      </c>
      <c r="CX142" s="177" t="str">
        <f t="shared" si="83"/>
        <v>AT</v>
      </c>
      <c r="CY142" s="177" t="str">
        <f t="shared" si="87"/>
        <v>ATIAC</v>
      </c>
      <c r="CZ142" s="177" t="str">
        <f t="shared" si="83"/>
        <v>AT</v>
      </c>
      <c r="DA142" s="177" t="str">
        <f t="shared" si="88"/>
        <v>ATFP</v>
      </c>
      <c r="DB142" s="177" t="str">
        <f t="shared" si="83"/>
        <v>HS</v>
      </c>
      <c r="DC142" s="177" t="str">
        <f t="shared" si="89"/>
        <v>HS-</v>
      </c>
      <c r="DD142" s="177" t="str">
        <f t="shared" si="90"/>
        <v>PV</v>
      </c>
      <c r="DE142" s="177">
        <f t="shared" si="91"/>
        <v>0</v>
      </c>
    </row>
    <row r="143" spans="1:109" ht="18" customHeight="1" x14ac:dyDescent="0.3">
      <c r="A143" s="81">
        <v>0.41666666666668001</v>
      </c>
      <c r="B143" s="166" t="s">
        <v>9</v>
      </c>
      <c r="C143" s="130" t="s">
        <v>228</v>
      </c>
      <c r="D143" s="169" t="s">
        <v>9</v>
      </c>
      <c r="E143" s="130" t="s">
        <v>226</v>
      </c>
      <c r="F143" s="169" t="s">
        <v>9</v>
      </c>
      <c r="G143" s="130" t="s">
        <v>224</v>
      </c>
      <c r="H143" s="169" t="s">
        <v>9</v>
      </c>
      <c r="I143" s="130" t="s">
        <v>228</v>
      </c>
      <c r="J143" s="169" t="s">
        <v>9</v>
      </c>
      <c r="K143" s="130" t="s">
        <v>224</v>
      </c>
      <c r="L143" s="169" t="s">
        <v>10</v>
      </c>
      <c r="M143" s="130" t="s">
        <v>120</v>
      </c>
      <c r="N143" s="169" t="s">
        <v>116</v>
      </c>
      <c r="O143" s="154" t="s">
        <v>120</v>
      </c>
      <c r="P143" s="6">
        <v>0</v>
      </c>
      <c r="Q143" s="114" t="str">
        <f t="shared" si="104"/>
        <v>Estudo em Grupo</v>
      </c>
      <c r="R143" s="105" t="str">
        <f t="shared" si="100"/>
        <v>IEI</v>
      </c>
      <c r="S143" s="88" t="str">
        <f t="shared" si="97"/>
        <v>-</v>
      </c>
      <c r="T143" s="89" t="str">
        <f>IF(VLOOKUP(Q143,'INFO BASE'!$B$40:$I$54,IF(R143='INFO BASE'!$B$32,3,IF(R143='INFO BASE'!$B$33,4,IF(R143='INFO BASE'!$B$34,5,IF(R143='INFO BASE'!$B$35,6,IF(R143='INFO BASE'!$B$36,7,IF(R143='INFO BASE'!$B$37,8,2)))))),0)=0,"",VLOOKUP(Q143,'INFO BASE'!$B$40:$I$54,IF(R143='INFO BASE'!$B$32,3,IF(R143='INFO BASE'!$B$33,4,IF(R143='INFO BASE'!$B$34,5,IF(R143='INFO BASE'!$B$35,6,IF(R143='INFO BASE'!$B$36,7,IF(R143='INFO BASE'!$B$37,8,2)))))),0))</f>
        <v/>
      </c>
      <c r="U143" s="89">
        <f>(COUNTIFS(C123:C170,R143,B123:B170,R141)+COUNTIFS(E123:E170,R143,D123:D170,R141)+COUNTIFS(G123:G170,R143,F123:F170,R141)+COUNTIFS(I123:I170,R143,H123:H170,R141)+COUNTIFS(K123:K170,R143,J123:J170,R141)+COUNTIFS(M123:M170,R143,L123:L170,R141)+COUNTIFS(O123:O170,R143,N123:N170,R141))*0.5</f>
        <v>0</v>
      </c>
      <c r="V143" s="89">
        <f>(COUNTIFS(AI123:AI170,R141,AJ123:AJ170,R136)+COUNTIFS(AK123:AK170,R141,AL123:AL170,R136)+COUNTIFS(AM123:AM170,R141,AN123:AN170,R136)+COUNTIFS(AO123:AO170,R141,AP123:AP170,R136)+COUNTIFS(AQ123:AQ170,R141,AR123:AR170,R136)+COUNTIFS(AS123:AS170,R141,AT123:AT170,R136)+COUNTIFS(AU123:AU170,R141,AV123:AV170,R136))*0.5</f>
        <v>0</v>
      </c>
      <c r="W143" s="90">
        <f>IF(AH119="","-",IF(V143=0,U143,IFERROR((U143/V143)-1,"-")))</f>
        <v>0</v>
      </c>
      <c r="X143" s="201">
        <f t="shared" si="98"/>
        <v>0</v>
      </c>
      <c r="Y143" s="271"/>
      <c r="Z143" s="272"/>
      <c r="AA143" s="272"/>
      <c r="AB143" s="272"/>
      <c r="AC143" s="272"/>
      <c r="AD143" s="272"/>
      <c r="AE143" s="272"/>
      <c r="AF143" s="273"/>
      <c r="AH143" s="136">
        <v>0.41666666666668001</v>
      </c>
      <c r="AI143" s="136" t="s">
        <v>9</v>
      </c>
      <c r="AJ143" s="136" t="s">
        <v>228</v>
      </c>
      <c r="AK143" s="136" t="s">
        <v>9</v>
      </c>
      <c r="AL143" s="136" t="s">
        <v>226</v>
      </c>
      <c r="AM143" s="136" t="s">
        <v>9</v>
      </c>
      <c r="AN143" s="136" t="s">
        <v>224</v>
      </c>
      <c r="AO143" s="136" t="s">
        <v>9</v>
      </c>
      <c r="AP143" s="136" t="s">
        <v>228</v>
      </c>
      <c r="AQ143" s="136" t="s">
        <v>9</v>
      </c>
      <c r="AR143" s="136" t="s">
        <v>224</v>
      </c>
      <c r="AS143" s="136" t="s">
        <v>8</v>
      </c>
      <c r="AT143" s="136" t="s">
        <v>231</v>
      </c>
      <c r="AU143" s="136" t="s">
        <v>8</v>
      </c>
      <c r="AV143" s="136" t="s">
        <v>230</v>
      </c>
      <c r="AX143" s="136" t="str">
        <f>IF(AI119="","",IF(B143="","",B143))</f>
        <v>AT</v>
      </c>
      <c r="AY143" s="136" t="str">
        <f>IF(AI119="","",IF(C143="","",C143))</f>
        <v>IAC</v>
      </c>
      <c r="AZ143" s="136" t="str">
        <f>IF(AI119="","",IF(D143="","",D143))</f>
        <v>AT</v>
      </c>
      <c r="BA143" s="136" t="str">
        <f>IF(AI119="","",IF(E143="","",E143))</f>
        <v>IEI</v>
      </c>
      <c r="BB143" s="136" t="str">
        <f>IF(AI119="","",IF(F143="","",F143))</f>
        <v>AT</v>
      </c>
      <c r="BC143" s="136" t="str">
        <f>IF(AI119="","",IF(G143="","",G143))</f>
        <v>FP</v>
      </c>
      <c r="BD143" s="136" t="str">
        <f>IF(AI119="","",IF(H143="","",H143))</f>
        <v>AT</v>
      </c>
      <c r="BE143" s="136" t="str">
        <f>IF(AI119="","",IF(I143="","",I143))</f>
        <v>IAC</v>
      </c>
      <c r="BF143" s="136" t="str">
        <f>IF(AI119="","",IF(J143="","",J143))</f>
        <v>AT</v>
      </c>
      <c r="BG143" s="136" t="str">
        <f>IF(AI119="","",IF(K143="","",K143))</f>
        <v>FP</v>
      </c>
      <c r="BH143" s="136" t="str">
        <f>IF(AI119="","",IF(L143="","",L143))</f>
        <v>HS</v>
      </c>
      <c r="BI143" s="136" t="str">
        <f>IF(AI119="","",IF(M143="","",M143))</f>
        <v>-</v>
      </c>
      <c r="BJ143" s="136" t="str">
        <f>IF(AI119="","",IF(N143="","",N143))</f>
        <v>PV</v>
      </c>
      <c r="BK143" s="136" t="str">
        <f>IF(AI119="","",IF(O143="","",O143))</f>
        <v>-</v>
      </c>
      <c r="BM143" s="136" t="str">
        <f t="shared" si="103"/>
        <v>EG</v>
      </c>
      <c r="BN143" s="136" t="str">
        <f t="shared" si="93"/>
        <v>Estudo em Grupo</v>
      </c>
      <c r="BO143" s="136" t="str">
        <f t="shared" si="93"/>
        <v>CDI</v>
      </c>
      <c r="BP143" s="136">
        <f>(COUNTIFS(AX123:AX170,BM143,AY123:AY170,BO143)+COUNTIFS(AZ123:AZ170,BM143,BA123:BA170,BO143)+COUNTIFS(BB123:BB170,BM143,BC123:BC170,BO143)+COUNTIFS(BD123:BD170,BM143,BE123:BE170,BO143)+COUNTIFS(BF123:BF170,BM143,BG123:BG170,BO143)+COUNTIFS(BH123:BH170,BM143,BI123:BI170,BO143)+COUNTIFS(BJ123:BJ170,BM143,BK123:BK170,BO143))*0.5</f>
        <v>2</v>
      </c>
      <c r="BQ143" s="136" t="str">
        <f t="shared" si="94"/>
        <v>Estudo em Grupo</v>
      </c>
      <c r="BR143" s="136" t="str">
        <f t="shared" si="94"/>
        <v>CDI</v>
      </c>
      <c r="BS143" s="136" t="str">
        <f t="shared" si="95"/>
        <v>Estudo em Grupo</v>
      </c>
      <c r="BT143" s="136">
        <f t="shared" si="101"/>
        <v>10.5</v>
      </c>
      <c r="BU143" s="136">
        <f t="shared" si="102"/>
        <v>8.5</v>
      </c>
      <c r="BZ143" s="280"/>
      <c r="CA143" s="183" t="str">
        <f>'INFO BASE'!L206</f>
        <v>-</v>
      </c>
      <c r="CB143" s="183" t="str">
        <f>'INFO BASE'!M206</f>
        <v/>
      </c>
      <c r="CR143" s="177" t="str">
        <f t="shared" si="83"/>
        <v>AT</v>
      </c>
      <c r="CS143" s="177" t="str">
        <f t="shared" si="84"/>
        <v>ATIAC</v>
      </c>
      <c r="CT143" s="177" t="str">
        <f t="shared" si="83"/>
        <v>AT</v>
      </c>
      <c r="CU143" s="177" t="str">
        <f t="shared" si="85"/>
        <v>ATIEI</v>
      </c>
      <c r="CV143" s="177" t="str">
        <f t="shared" si="83"/>
        <v>AT</v>
      </c>
      <c r="CW143" s="177" t="str">
        <f t="shared" si="86"/>
        <v>ATFP</v>
      </c>
      <c r="CX143" s="177" t="str">
        <f t="shared" si="83"/>
        <v>AT</v>
      </c>
      <c r="CY143" s="177" t="str">
        <f t="shared" si="87"/>
        <v>ATIAC</v>
      </c>
      <c r="CZ143" s="177" t="str">
        <f t="shared" si="83"/>
        <v>AT</v>
      </c>
      <c r="DA143" s="177" t="str">
        <f t="shared" si="88"/>
        <v>ATFP</v>
      </c>
      <c r="DB143" s="177" t="str">
        <f t="shared" si="83"/>
        <v>HS</v>
      </c>
      <c r="DC143" s="177" t="str">
        <f t="shared" si="89"/>
        <v>HS-</v>
      </c>
      <c r="DD143" s="177" t="str">
        <f t="shared" si="90"/>
        <v>PV</v>
      </c>
      <c r="DE143" s="177">
        <f t="shared" si="91"/>
        <v>0</v>
      </c>
    </row>
    <row r="144" spans="1:109" ht="18" customHeight="1" x14ac:dyDescent="0.3">
      <c r="A144" s="81">
        <v>0.43750000000001399</v>
      </c>
      <c r="B144" s="166" t="s">
        <v>8</v>
      </c>
      <c r="C144" s="130" t="s">
        <v>237</v>
      </c>
      <c r="D144" s="169" t="s">
        <v>9</v>
      </c>
      <c r="E144" s="130" t="s">
        <v>226</v>
      </c>
      <c r="F144" s="169" t="s">
        <v>9</v>
      </c>
      <c r="G144" s="130" t="s">
        <v>224</v>
      </c>
      <c r="H144" s="169" t="s">
        <v>132</v>
      </c>
      <c r="I144" s="130" t="s">
        <v>228</v>
      </c>
      <c r="J144" s="169" t="s">
        <v>9</v>
      </c>
      <c r="K144" s="130" t="s">
        <v>230</v>
      </c>
      <c r="L144" s="169" t="s">
        <v>10</v>
      </c>
      <c r="M144" s="130" t="s">
        <v>120</v>
      </c>
      <c r="N144" s="169" t="s">
        <v>116</v>
      </c>
      <c r="O144" s="154" t="s">
        <v>120</v>
      </c>
      <c r="P144" s="6">
        <v>0</v>
      </c>
      <c r="Q144" s="115" t="str">
        <f t="shared" si="104"/>
        <v>Estudo em Grupo</v>
      </c>
      <c r="R144" s="105" t="str">
        <f t="shared" si="100"/>
        <v>IAC</v>
      </c>
      <c r="S144" s="88">
        <f t="shared" si="97"/>
        <v>-1</v>
      </c>
      <c r="T144" s="89">
        <f>IF(VLOOKUP(Q144,'INFO BASE'!$B$40:$I$54,IF(R144='INFO BASE'!$B$32,3,IF(R144='INFO BASE'!$B$33,4,IF(R144='INFO BASE'!$B$34,5,IF(R144='INFO BASE'!$B$35,6,IF(R144='INFO BASE'!$B$36,7,IF(R144='INFO BASE'!$B$37,8,2)))))),0)=0,"",VLOOKUP(Q144,'INFO BASE'!$B$40:$I$54,IF(R144='INFO BASE'!$B$32,3,IF(R144='INFO BASE'!$B$33,4,IF(R144='INFO BASE'!$B$34,5,IF(R144='INFO BASE'!$B$35,6,IF(R144='INFO BASE'!$B$36,7,IF(R144='INFO BASE'!$B$37,8,2)))))),0))</f>
        <v>2</v>
      </c>
      <c r="U144" s="89">
        <f>(COUNTIFS(C123:C170,R144,B123:B170,R141)+COUNTIFS(E123:E170,R144,D123:D170,R141)+COUNTIFS(G123:G170,R144,F123:F170,R141)+COUNTIFS(I123:I170,R144,H123:H170,R141)+COUNTIFS(K123:K170,R144,J123:J170,R141)+COUNTIFS(M123:M170,R144,L123:L170,R141)+COUNTIFS(O123:O170,R144,N123:N170,R141))*0.5</f>
        <v>0</v>
      </c>
      <c r="V144" s="89">
        <f>(COUNTIFS(AI123:AI170,R141,AJ123:AJ170,R137)+COUNTIFS(AK123:AK170,R141,AL123:AL170,R137)+COUNTIFS(AM123:AM170,R141,AN123:AN170,R137)+COUNTIFS(AO123:AO170,R141,AP123:AP170,R137)+COUNTIFS(AQ123:AQ170,R141,AR123:AR170,R137)+COUNTIFS(AS123:AS170,R141,AT123:AT170,R137)+COUNTIFS(AU123:AU170,R141,AV123:AV170,R137))*0.5</f>
        <v>0</v>
      </c>
      <c r="W144" s="90">
        <f>IF(AH119="","-",IF(V144=0,U144,IFERROR((U144/V144)-1,"-")))</f>
        <v>0</v>
      </c>
      <c r="X144" s="201">
        <f t="shared" si="98"/>
        <v>0</v>
      </c>
      <c r="Y144" s="271"/>
      <c r="Z144" s="272"/>
      <c r="AA144" s="272"/>
      <c r="AB144" s="272"/>
      <c r="AC144" s="272"/>
      <c r="AD144" s="272"/>
      <c r="AE144" s="272"/>
      <c r="AF144" s="273"/>
      <c r="AH144" s="136">
        <v>0.43750000000001399</v>
      </c>
      <c r="AI144" s="136" t="s">
        <v>8</v>
      </c>
      <c r="AJ144" s="136" t="s">
        <v>237</v>
      </c>
      <c r="AK144" s="136" t="s">
        <v>9</v>
      </c>
      <c r="AL144" s="136" t="s">
        <v>226</v>
      </c>
      <c r="AM144" s="136" t="s">
        <v>9</v>
      </c>
      <c r="AN144" s="136" t="s">
        <v>224</v>
      </c>
      <c r="AO144" s="136" t="s">
        <v>132</v>
      </c>
      <c r="AP144" s="136" t="s">
        <v>228</v>
      </c>
      <c r="AQ144" s="136" t="s">
        <v>9</v>
      </c>
      <c r="AR144" s="136" t="s">
        <v>230</v>
      </c>
      <c r="AS144" s="136" t="s">
        <v>8</v>
      </c>
      <c r="AT144" s="136" t="s">
        <v>224</v>
      </c>
      <c r="AU144" s="136" t="s">
        <v>8</v>
      </c>
      <c r="AV144" s="136" t="s">
        <v>228</v>
      </c>
      <c r="AX144" s="136" t="str">
        <f>IF(AI119="","",IF(B144="","",B144))</f>
        <v>EA</v>
      </c>
      <c r="AY144" s="136" t="str">
        <f>IF(AI119="","",IF(C144="","",C144))</f>
        <v>Al</v>
      </c>
      <c r="AZ144" s="136" t="str">
        <f>IF(AI119="","",IF(D144="","",D144))</f>
        <v>AT</v>
      </c>
      <c r="BA144" s="136" t="str">
        <f>IF(AI119="","",IF(E144="","",E144))</f>
        <v>IEI</v>
      </c>
      <c r="BB144" s="136" t="str">
        <f>IF(AI119="","",IF(F144="","",F144))</f>
        <v>AT</v>
      </c>
      <c r="BC144" s="136" t="str">
        <f>IF(AI119="","",IF(G144="","",G144))</f>
        <v>FP</v>
      </c>
      <c r="BD144" s="136" t="str">
        <f>IF(AI119="","",IF(H144="","",H144))</f>
        <v>LAB</v>
      </c>
      <c r="BE144" s="136" t="str">
        <f>IF(AI119="","",IF(I144="","",I144))</f>
        <v>IAC</v>
      </c>
      <c r="BF144" s="136" t="str">
        <f>IF(AI119="","",IF(J144="","",J144))</f>
        <v>AT</v>
      </c>
      <c r="BG144" s="136" t="str">
        <f>IF(AI119="","",IF(K144="","",K144))</f>
        <v>AL</v>
      </c>
      <c r="BH144" s="136" t="str">
        <f>IF(AI119="","",IF(L144="","",L144))</f>
        <v>HS</v>
      </c>
      <c r="BI144" s="136" t="str">
        <f>IF(AI119="","",IF(M144="","",M144))</f>
        <v>-</v>
      </c>
      <c r="BJ144" s="136" t="str">
        <f>IF(AI119="","",IF(N144="","",N144))</f>
        <v>PV</v>
      </c>
      <c r="BK144" s="136" t="str">
        <f>IF(AI119="","",IF(O144="","",O144))</f>
        <v>-</v>
      </c>
      <c r="BM144" s="136" t="str">
        <f t="shared" si="103"/>
        <v>EG</v>
      </c>
      <c r="BN144" s="136" t="str">
        <f t="shared" si="93"/>
        <v>Estudo em Grupo</v>
      </c>
      <c r="BO144" s="136" t="str">
        <f t="shared" si="93"/>
        <v/>
      </c>
      <c r="BP144" s="136">
        <f>(COUNTIFS(AX123:AX170,BM144,AY123:AY170,BO144)+COUNTIFS(AZ123:AZ170,BM144,BA123:BA170,BO144)+COUNTIFS(BB123:BB170,BM144,BC123:BC170,BO144)+COUNTIFS(BD123:BD170,BM144,BE123:BE170,BO144)+COUNTIFS(BF123:BF170,BM144,BG123:BG170,BO144)+COUNTIFS(BH123:BH170,BM144,BI123:BI170,BO144)+COUNTIFS(BJ123:BJ170,BM144,BK123:BK170,BO144))*0.5</f>
        <v>0</v>
      </c>
      <c r="BQ144" s="136" t="str">
        <f t="shared" si="94"/>
        <v>Estudo em Grupo</v>
      </c>
      <c r="BR144" s="136" t="str">
        <f t="shared" si="94"/>
        <v/>
      </c>
      <c r="BS144" s="136" t="str">
        <f t="shared" si="95"/>
        <v>Estudo em Grupo</v>
      </c>
      <c r="BT144" s="136">
        <f t="shared" si="101"/>
        <v>0</v>
      </c>
      <c r="BU144" s="136">
        <f t="shared" si="102"/>
        <v>0</v>
      </c>
      <c r="BZ144" s="280"/>
      <c r="CA144" s="183" t="str">
        <f>'INFO BASE'!L207</f>
        <v>-</v>
      </c>
      <c r="CB144" s="183" t="str">
        <f>'INFO BASE'!M207</f>
        <v/>
      </c>
      <c r="CR144" s="177" t="str">
        <f t="shared" si="83"/>
        <v>EA</v>
      </c>
      <c r="CS144" s="177" t="str">
        <f t="shared" si="84"/>
        <v>EAAL</v>
      </c>
      <c r="CT144" s="177" t="str">
        <f t="shared" si="83"/>
        <v>AT</v>
      </c>
      <c r="CU144" s="177" t="str">
        <f t="shared" si="85"/>
        <v>ATIEI</v>
      </c>
      <c r="CV144" s="177" t="str">
        <f t="shared" si="83"/>
        <v>AT</v>
      </c>
      <c r="CW144" s="177" t="str">
        <f t="shared" si="86"/>
        <v>ATFP</v>
      </c>
      <c r="CX144" s="177" t="str">
        <f t="shared" si="83"/>
        <v>LAB</v>
      </c>
      <c r="CY144" s="177" t="str">
        <f t="shared" si="87"/>
        <v>LABIAC</v>
      </c>
      <c r="CZ144" s="177" t="str">
        <f t="shared" si="83"/>
        <v>AT</v>
      </c>
      <c r="DA144" s="177" t="str">
        <f t="shared" si="88"/>
        <v>ATAL</v>
      </c>
      <c r="DB144" s="177" t="str">
        <f t="shared" si="83"/>
        <v>HS</v>
      </c>
      <c r="DC144" s="177" t="str">
        <f t="shared" si="89"/>
        <v>HS-</v>
      </c>
      <c r="DD144" s="177" t="str">
        <f t="shared" si="90"/>
        <v>PV</v>
      </c>
      <c r="DE144" s="177">
        <f t="shared" si="91"/>
        <v>0</v>
      </c>
    </row>
    <row r="145" spans="1:109" ht="18" customHeight="1" x14ac:dyDescent="0.3">
      <c r="A145" s="81">
        <v>0.45833333333334803</v>
      </c>
      <c r="B145" s="166" t="s">
        <v>8</v>
      </c>
      <c r="C145" s="130" t="s">
        <v>230</v>
      </c>
      <c r="D145" s="169" t="s">
        <v>9</v>
      </c>
      <c r="E145" s="130" t="s">
        <v>226</v>
      </c>
      <c r="F145" s="169" t="s">
        <v>9</v>
      </c>
      <c r="G145" s="130" t="s">
        <v>224</v>
      </c>
      <c r="H145" s="169" t="s">
        <v>132</v>
      </c>
      <c r="I145" s="130" t="s">
        <v>228</v>
      </c>
      <c r="J145" s="169" t="s">
        <v>9</v>
      </c>
      <c r="K145" s="130" t="s">
        <v>230</v>
      </c>
      <c r="L145" s="169" t="s">
        <v>10</v>
      </c>
      <c r="M145" s="130" t="s">
        <v>120</v>
      </c>
      <c r="N145" s="169" t="s">
        <v>116</v>
      </c>
      <c r="O145" s="154" t="s">
        <v>120</v>
      </c>
      <c r="P145" s="6">
        <v>0</v>
      </c>
      <c r="Q145" s="114" t="str">
        <f t="shared" si="104"/>
        <v>Estudo em Grupo</v>
      </c>
      <c r="R145" s="105" t="str">
        <f t="shared" si="100"/>
        <v>AL</v>
      </c>
      <c r="S145" s="88">
        <f t="shared" si="97"/>
        <v>0</v>
      </c>
      <c r="T145" s="89">
        <f>IF(VLOOKUP(Q145,'INFO BASE'!$B$40:$I$54,IF(R145='INFO BASE'!$B$32,3,IF(R145='INFO BASE'!$B$33,4,IF(R145='INFO BASE'!$B$34,5,IF(R145='INFO BASE'!$B$35,6,IF(R145='INFO BASE'!$B$36,7,IF(R145='INFO BASE'!$B$37,8,2)))))),0)=0,"",VLOOKUP(Q145,'INFO BASE'!$B$40:$I$54,IF(R145='INFO BASE'!$B$32,3,IF(R145='INFO BASE'!$B$33,4,IF(R145='INFO BASE'!$B$34,5,IF(R145='INFO BASE'!$B$35,6,IF(R145='INFO BASE'!$B$36,7,IF(R145='INFO BASE'!$B$37,8,2)))))),0))</f>
        <v>2</v>
      </c>
      <c r="U145" s="89">
        <f>(COUNTIFS(C123:C170,R145,B123:B170,R141)+COUNTIFS(E123:E170,R145,D123:D170,R141)+COUNTIFS(G123:G170,R145,F123:F170,R141)+COUNTIFS(I123:I170,R145,H123:H170,R141)+COUNTIFS(K123:K170,R145,J123:J170,R141)+COUNTIFS(M123:M170,R145,L123:L170,R141)+COUNTIFS(O123:O170,R145,N123:N170,R141))*0.5</f>
        <v>2</v>
      </c>
      <c r="V145" s="89">
        <f>(COUNTIFS(AI123:AI170,R141,AJ123:AJ170,R138)+COUNTIFS(AK123:AK170,R141,AL123:AL170,R138)+COUNTIFS(AM123:AM170,R141,AN123:AN170,R138)+COUNTIFS(AO123:AO170,R141,AP123:AP170,R138)+COUNTIFS(AQ123:AQ170,R141,AR123:AR170,R138)+COUNTIFS(AS123:AS170,R141,AT123:AT170,R138)+COUNTIFS(AU123:AU170,R141,AV123:AV170,R138))*0.5</f>
        <v>2</v>
      </c>
      <c r="W145" s="90">
        <f>IF(AH119="","-",IF(V145=0,U145,IFERROR((U145/V145)-1,"-")))</f>
        <v>0</v>
      </c>
      <c r="X145" s="201">
        <f t="shared" si="98"/>
        <v>0</v>
      </c>
      <c r="Y145" s="271"/>
      <c r="Z145" s="272"/>
      <c r="AA145" s="272"/>
      <c r="AB145" s="272"/>
      <c r="AC145" s="272"/>
      <c r="AD145" s="272"/>
      <c r="AE145" s="272"/>
      <c r="AF145" s="273"/>
      <c r="AH145" s="136">
        <v>0.45833333333334803</v>
      </c>
      <c r="AI145" s="136" t="s">
        <v>8</v>
      </c>
      <c r="AJ145" s="136" t="s">
        <v>230</v>
      </c>
      <c r="AK145" s="136" t="s">
        <v>9</v>
      </c>
      <c r="AL145" s="136" t="s">
        <v>226</v>
      </c>
      <c r="AM145" s="136" t="s">
        <v>9</v>
      </c>
      <c r="AN145" s="136" t="s">
        <v>224</v>
      </c>
      <c r="AO145" s="136" t="s">
        <v>132</v>
      </c>
      <c r="AP145" s="136" t="s">
        <v>228</v>
      </c>
      <c r="AQ145" s="136" t="s">
        <v>9</v>
      </c>
      <c r="AR145" s="136" t="s">
        <v>230</v>
      </c>
      <c r="AS145" s="136" t="s">
        <v>8</v>
      </c>
      <c r="AT145" s="136" t="s">
        <v>224</v>
      </c>
      <c r="AU145" s="136" t="s">
        <v>8</v>
      </c>
      <c r="AV145" s="136" t="s">
        <v>228</v>
      </c>
      <c r="AX145" s="136" t="str">
        <f>IF(AI119="","",IF(B145="","",B145))</f>
        <v>EA</v>
      </c>
      <c r="AY145" s="136" t="str">
        <f>IF(AI119="","",IF(C145="","",C145))</f>
        <v>AL</v>
      </c>
      <c r="AZ145" s="136" t="str">
        <f>IF(AI119="","",IF(D145="","",D145))</f>
        <v>AT</v>
      </c>
      <c r="BA145" s="136" t="str">
        <f>IF(AI119="","",IF(E145="","",E145))</f>
        <v>IEI</v>
      </c>
      <c r="BB145" s="136" t="str">
        <f>IF(AI119="","",IF(F145="","",F145))</f>
        <v>AT</v>
      </c>
      <c r="BC145" s="136" t="str">
        <f>IF(AI119="","",IF(G145="","",G145))</f>
        <v>FP</v>
      </c>
      <c r="BD145" s="136" t="str">
        <f>IF(AI119="","",IF(H145="","",H145))</f>
        <v>LAB</v>
      </c>
      <c r="BE145" s="136" t="str">
        <f>IF(AI119="","",IF(I145="","",I145))</f>
        <v>IAC</v>
      </c>
      <c r="BF145" s="136" t="str">
        <f>IF(AI119="","",IF(J145="","",J145))</f>
        <v>AT</v>
      </c>
      <c r="BG145" s="136" t="str">
        <f>IF(AI119="","",IF(K145="","",K145))</f>
        <v>AL</v>
      </c>
      <c r="BH145" s="136" t="str">
        <f>IF(AI119="","",IF(L145="","",L145))</f>
        <v>HS</v>
      </c>
      <c r="BI145" s="136" t="str">
        <f>IF(AI119="","",IF(M145="","",M145))</f>
        <v>-</v>
      </c>
      <c r="BJ145" s="136" t="str">
        <f>IF(AI119="","",IF(N145="","",N145))</f>
        <v>PV</v>
      </c>
      <c r="BK145" s="136" t="str">
        <f>IF(AI119="","",IF(O145="","",O145))</f>
        <v>-</v>
      </c>
      <c r="BM145" s="136" t="str">
        <f>BO145</f>
        <v>TG</v>
      </c>
      <c r="BN145" s="136" t="str">
        <f t="shared" si="93"/>
        <v>Trabalho de Grupo</v>
      </c>
      <c r="BO145" s="136" t="str">
        <f t="shared" si="93"/>
        <v>TG</v>
      </c>
      <c r="BP145" s="136">
        <f>COUNTIFS(AX123:BK170,BO145)*0.5</f>
        <v>0</v>
      </c>
      <c r="BQ145" s="136" t="str">
        <f t="shared" si="94"/>
        <v>Trabalho de Grupo</v>
      </c>
      <c r="BR145" s="136" t="str">
        <f t="shared" si="94"/>
        <v>TG</v>
      </c>
      <c r="BS145" s="136" t="str">
        <f t="shared" si="95"/>
        <v>Trabalho de Grupo</v>
      </c>
      <c r="BT145" s="136">
        <f t="shared" si="101"/>
        <v>0</v>
      </c>
      <c r="BU145" s="136">
        <f t="shared" si="102"/>
        <v>0</v>
      </c>
      <c r="BZ145" s="280"/>
      <c r="CA145" s="183" t="str">
        <f>'INFO BASE'!L208</f>
        <v>-</v>
      </c>
      <c r="CB145" s="183" t="str">
        <f>'INFO BASE'!M208</f>
        <v/>
      </c>
      <c r="CR145" s="177" t="str">
        <f t="shared" si="83"/>
        <v>EA</v>
      </c>
      <c r="CS145" s="177" t="str">
        <f t="shared" si="84"/>
        <v>EAAL</v>
      </c>
      <c r="CT145" s="177" t="str">
        <f t="shared" si="83"/>
        <v>AT</v>
      </c>
      <c r="CU145" s="177" t="str">
        <f t="shared" si="85"/>
        <v>ATIEI</v>
      </c>
      <c r="CV145" s="177" t="str">
        <f t="shared" si="83"/>
        <v>AT</v>
      </c>
      <c r="CW145" s="177" t="str">
        <f t="shared" si="86"/>
        <v>ATFP</v>
      </c>
      <c r="CX145" s="177" t="str">
        <f t="shared" si="83"/>
        <v>LAB</v>
      </c>
      <c r="CY145" s="177" t="str">
        <f t="shared" si="87"/>
        <v>LABIAC</v>
      </c>
      <c r="CZ145" s="177" t="str">
        <f t="shared" si="83"/>
        <v>AT</v>
      </c>
      <c r="DA145" s="177" t="str">
        <f t="shared" si="88"/>
        <v>ATAL</v>
      </c>
      <c r="DB145" s="177" t="str">
        <f t="shared" si="83"/>
        <v>HS</v>
      </c>
      <c r="DC145" s="177" t="str">
        <f t="shared" si="89"/>
        <v>HS-</v>
      </c>
      <c r="DD145" s="177" t="str">
        <f t="shared" si="90"/>
        <v>PV</v>
      </c>
      <c r="DE145" s="177">
        <f t="shared" si="91"/>
        <v>0</v>
      </c>
    </row>
    <row r="146" spans="1:109" ht="18" customHeight="1" x14ac:dyDescent="0.3">
      <c r="A146" s="81">
        <v>0.47916666666668201</v>
      </c>
      <c r="B146" s="166" t="s">
        <v>8</v>
      </c>
      <c r="C146" s="130" t="s">
        <v>230</v>
      </c>
      <c r="D146" s="169" t="s">
        <v>9</v>
      </c>
      <c r="E146" s="130" t="s">
        <v>226</v>
      </c>
      <c r="F146" s="169" t="s">
        <v>9</v>
      </c>
      <c r="G146" s="130" t="s">
        <v>231</v>
      </c>
      <c r="H146" s="169" t="s">
        <v>132</v>
      </c>
      <c r="I146" s="130" t="s">
        <v>228</v>
      </c>
      <c r="J146" s="169" t="s">
        <v>9</v>
      </c>
      <c r="K146" s="130" t="s">
        <v>231</v>
      </c>
      <c r="L146" s="169" t="s">
        <v>10</v>
      </c>
      <c r="M146" s="130" t="s">
        <v>120</v>
      </c>
      <c r="N146" s="169" t="s">
        <v>116</v>
      </c>
      <c r="O146" s="154" t="s">
        <v>120</v>
      </c>
      <c r="P146" s="6">
        <v>0</v>
      </c>
      <c r="Q146" s="114" t="str">
        <f t="shared" si="104"/>
        <v>Estudo em Grupo</v>
      </c>
      <c r="R146" s="105" t="str">
        <f t="shared" si="100"/>
        <v>CDI</v>
      </c>
      <c r="S146" s="88">
        <f t="shared" si="97"/>
        <v>0</v>
      </c>
      <c r="T146" s="89">
        <f>IF(VLOOKUP(Q146,'INFO BASE'!$B$40:$I$54,IF(R146='INFO BASE'!$B$32,3,IF(R146='INFO BASE'!$B$33,4,IF(R146='INFO BASE'!$B$34,5,IF(R146='INFO BASE'!$B$35,6,IF(R146='INFO BASE'!$B$36,7,IF(R146='INFO BASE'!$B$37,8,2)))))),0)=0,"",VLOOKUP(Q146,'INFO BASE'!$B$40:$I$54,IF(R146='INFO BASE'!$B$32,3,IF(R146='INFO BASE'!$B$33,4,IF(R146='INFO BASE'!$B$34,5,IF(R146='INFO BASE'!$B$35,6,IF(R146='INFO BASE'!$B$36,7,IF(R146='INFO BASE'!$B$37,8,2)))))),0))</f>
        <v>2</v>
      </c>
      <c r="U146" s="89">
        <f>(COUNTIFS(C123:C170,R146,B123:B170,R141)+COUNTIFS(E123:E170,R146,D123:D170,R141)+COUNTIFS(G123:G170,R146,F123:F170,R141)+COUNTIFS(I123:I170,R146,H123:H170,R141)+COUNTIFS(K123:K170,R146,J123:J170,R141)+COUNTIFS(M123:M170,R146,L123:L170,R141)+COUNTIFS(O123:O170,R146,N123:N170,R141))*0.5</f>
        <v>2</v>
      </c>
      <c r="V146" s="89">
        <f>(COUNTIFS(AI123:AI170,R141,AJ123:AJ170,R139)+COUNTIFS(AK123:AK170,R141,AL123:AL170,R139)+COUNTIFS(AM123:AM170,R141,AN123:AN170,R139)+COUNTIFS(AO123:AO170,R141,AP123:AP170,R139)+COUNTIFS(AQ123:AQ170,R141,AR123:AR170,R139)+COUNTIFS(AS123:AS170,R141,AT123:AT170,R139)+COUNTIFS(AU123:AU170,R141,AV123:AV170,R139))*0.5</f>
        <v>2</v>
      </c>
      <c r="W146" s="90">
        <f>IF(AH119="","-",IF(V146=0,U146,IFERROR((U146/V146)-1,"-")))</f>
        <v>0</v>
      </c>
      <c r="X146" s="201">
        <f t="shared" si="98"/>
        <v>0</v>
      </c>
      <c r="Y146" s="271"/>
      <c r="Z146" s="272"/>
      <c r="AA146" s="272"/>
      <c r="AB146" s="272"/>
      <c r="AC146" s="272"/>
      <c r="AD146" s="272"/>
      <c r="AE146" s="272"/>
      <c r="AF146" s="273"/>
      <c r="AH146" s="136">
        <v>0.47916666666668201</v>
      </c>
      <c r="AI146" s="136" t="s">
        <v>8</v>
      </c>
      <c r="AJ146" s="136" t="s">
        <v>230</v>
      </c>
      <c r="AK146" s="136" t="s">
        <v>9</v>
      </c>
      <c r="AL146" s="136" t="s">
        <v>226</v>
      </c>
      <c r="AM146" s="136" t="s">
        <v>9</v>
      </c>
      <c r="AN146" s="136" t="s">
        <v>231</v>
      </c>
      <c r="AO146" s="136" t="s">
        <v>132</v>
      </c>
      <c r="AP146" s="136" t="s">
        <v>228</v>
      </c>
      <c r="AQ146" s="136" t="s">
        <v>9</v>
      </c>
      <c r="AR146" s="136" t="s">
        <v>231</v>
      </c>
      <c r="AS146" s="136" t="s">
        <v>8</v>
      </c>
      <c r="AT146" s="136" t="s">
        <v>224</v>
      </c>
      <c r="AU146" s="136" t="s">
        <v>8</v>
      </c>
      <c r="AV146" s="136" t="s">
        <v>228</v>
      </c>
      <c r="AX146" s="136" t="str">
        <f>IF(AI119="","",IF(B146="","",B146))</f>
        <v>EA</v>
      </c>
      <c r="AY146" s="136" t="str">
        <f>IF(AI119="","",IF(C146="","",C146))</f>
        <v>AL</v>
      </c>
      <c r="AZ146" s="136" t="str">
        <f>IF(AI119="","",IF(D146="","",D146))</f>
        <v>AT</v>
      </c>
      <c r="BA146" s="136" t="str">
        <f>IF(AI119="","",IF(E146="","",E146))</f>
        <v>IEI</v>
      </c>
      <c r="BB146" s="136" t="str">
        <f>IF(AI119="","",IF(F146="","",F146))</f>
        <v>AT</v>
      </c>
      <c r="BC146" s="136" t="str">
        <f>IF(AI119="","",IF(G146="","",G146))</f>
        <v>CDI</v>
      </c>
      <c r="BD146" s="136" t="str">
        <f>IF(AI119="","",IF(H146="","",H146))</f>
        <v>LAB</v>
      </c>
      <c r="BE146" s="136" t="str">
        <f>IF(AI119="","",IF(I146="","",I146))</f>
        <v>IAC</v>
      </c>
      <c r="BF146" s="136" t="str">
        <f>IF(AI119="","",IF(J146="","",J146))</f>
        <v>AT</v>
      </c>
      <c r="BG146" s="136" t="str">
        <f>IF(AI119="","",IF(K146="","",K146))</f>
        <v>CDI</v>
      </c>
      <c r="BH146" s="136" t="str">
        <f>IF(AI119="","",IF(L146="","",L146))</f>
        <v>HS</v>
      </c>
      <c r="BI146" s="136" t="str">
        <f>IF(AI119="","",IF(M146="","",M146))</f>
        <v>-</v>
      </c>
      <c r="BJ146" s="136" t="str">
        <f>IF(AI119="","",IF(N146="","",N146))</f>
        <v>PV</v>
      </c>
      <c r="BK146" s="136" t="str">
        <f>IF(AI119="","",IF(O146="","",O146))</f>
        <v>-</v>
      </c>
      <c r="BM146" s="136" t="str">
        <f>BM145</f>
        <v>TG</v>
      </c>
      <c r="BN146" s="136" t="str">
        <f t="shared" si="93"/>
        <v>Trabalho de Grupo</v>
      </c>
      <c r="BO146" s="136" t="str">
        <f t="shared" si="93"/>
        <v>FP</v>
      </c>
      <c r="BP146" s="136">
        <f>(COUNTIFS(AX123:AX170,BM146,AY123:AY170,BO146)+COUNTIFS(AZ123:AZ170,BM146,BA123:BA170,BO146)+COUNTIFS(BB123:BB170,BM146,BC123:BC170,BO146)+COUNTIFS(BD123:BD170,BM146,BE123:BE170,BO146)+COUNTIFS(BF123:BF170,BM146,BG123:BG170,BO146)+COUNTIFS(BH123:BH170,BM146,BI123:BI170,BO146)+COUNTIFS(BJ123:BJ170,BM146,BK123:BK170,BO146))*0.5</f>
        <v>0</v>
      </c>
      <c r="BQ146" s="136" t="str">
        <f t="shared" si="94"/>
        <v>Trabalho de Grupo</v>
      </c>
      <c r="BR146" s="136" t="str">
        <f t="shared" si="94"/>
        <v>FP</v>
      </c>
      <c r="BS146" s="136" t="str">
        <f t="shared" si="95"/>
        <v>Trabalho de Grupo</v>
      </c>
      <c r="BT146" s="136">
        <f t="shared" si="101"/>
        <v>0</v>
      </c>
      <c r="BU146" s="136">
        <f t="shared" si="102"/>
        <v>0</v>
      </c>
      <c r="BZ146" s="280"/>
      <c r="CA146" s="183" t="str">
        <f>'INFO BASE'!L209</f>
        <v>-</v>
      </c>
      <c r="CB146" s="183" t="str">
        <f>'INFO BASE'!M209</f>
        <v/>
      </c>
      <c r="CR146" s="177" t="str">
        <f t="shared" si="83"/>
        <v>EA</v>
      </c>
      <c r="CS146" s="177" t="str">
        <f t="shared" si="84"/>
        <v>EAAL</v>
      </c>
      <c r="CT146" s="177" t="str">
        <f t="shared" si="83"/>
        <v>AT</v>
      </c>
      <c r="CU146" s="177" t="str">
        <f t="shared" si="85"/>
        <v>ATIEI</v>
      </c>
      <c r="CV146" s="177" t="str">
        <f t="shared" si="83"/>
        <v>AT</v>
      </c>
      <c r="CW146" s="177" t="str">
        <f t="shared" si="86"/>
        <v>ATCDI</v>
      </c>
      <c r="CX146" s="177" t="str">
        <f t="shared" si="83"/>
        <v>LAB</v>
      </c>
      <c r="CY146" s="177" t="str">
        <f t="shared" si="87"/>
        <v>LABIAC</v>
      </c>
      <c r="CZ146" s="177" t="str">
        <f t="shared" si="83"/>
        <v>AT</v>
      </c>
      <c r="DA146" s="177" t="str">
        <f t="shared" si="88"/>
        <v>ATCDI</v>
      </c>
      <c r="DB146" s="177" t="str">
        <f t="shared" si="83"/>
        <v>HS</v>
      </c>
      <c r="DC146" s="177" t="str">
        <f t="shared" si="89"/>
        <v>HS-</v>
      </c>
      <c r="DD146" s="177" t="str">
        <f t="shared" si="90"/>
        <v>PV</v>
      </c>
      <c r="DE146" s="177">
        <f t="shared" si="91"/>
        <v>0</v>
      </c>
    </row>
    <row r="147" spans="1:109" ht="18" customHeight="1" thickBot="1" x14ac:dyDescent="0.35">
      <c r="A147" s="81">
        <v>0.50000000000001599</v>
      </c>
      <c r="B147" s="166" t="s">
        <v>9</v>
      </c>
      <c r="C147" s="130" t="s">
        <v>230</v>
      </c>
      <c r="D147" s="169" t="s">
        <v>116</v>
      </c>
      <c r="E147" s="130" t="s">
        <v>120</v>
      </c>
      <c r="F147" s="169" t="s">
        <v>9</v>
      </c>
      <c r="G147" s="130" t="s">
        <v>231</v>
      </c>
      <c r="H147" s="169" t="s">
        <v>130</v>
      </c>
      <c r="I147" s="130" t="s">
        <v>224</v>
      </c>
      <c r="J147" s="169" t="s">
        <v>9</v>
      </c>
      <c r="K147" s="130" t="s">
        <v>231</v>
      </c>
      <c r="L147" s="169" t="s">
        <v>10</v>
      </c>
      <c r="M147" s="130" t="s">
        <v>120</v>
      </c>
      <c r="N147" s="169" t="s">
        <v>116</v>
      </c>
      <c r="O147" s="154" t="s">
        <v>120</v>
      </c>
      <c r="P147" s="6">
        <v>0</v>
      </c>
      <c r="Q147" s="116" t="str">
        <f t="shared" si="104"/>
        <v>Estudo em Grupo</v>
      </c>
      <c r="R147" s="107" t="str">
        <f t="shared" si="100"/>
        <v/>
      </c>
      <c r="S147" s="94" t="str">
        <f t="shared" si="97"/>
        <v>-</v>
      </c>
      <c r="T147" s="95" t="str">
        <f>IF(VLOOKUP(Q147,'INFO BASE'!$B$40:$I$54,IF(R147='INFO BASE'!$B$32,3,IF(R147='INFO BASE'!$B$33,4,IF(R147='INFO BASE'!$B$34,5,IF(R147='INFO BASE'!$B$35,6,IF(R147='INFO BASE'!$B$36,7,IF(R147='INFO BASE'!$B$37,8,2)))))),0)=0,"",VLOOKUP(Q147,'INFO BASE'!$B$40:$I$54,IF(R147='INFO BASE'!$B$32,3,IF(R147='INFO BASE'!$B$33,4,IF(R147='INFO BASE'!$B$34,5,IF(R147='INFO BASE'!$B$35,6,IF(R147='INFO BASE'!$B$36,7,IF(R147='INFO BASE'!$B$37,8,2)))))),0))</f>
        <v/>
      </c>
      <c r="U147" s="95">
        <f>(COUNTIFS(C123:C170,R147,B123:B170,R141)+COUNTIFS(E123:E170,R147,D123:D170,R141)+COUNTIFS(G123:G170,R147,F123:F170,R141)+COUNTIFS(I123:I170,R147,H123:H170,R141)+COUNTIFS(K123:K170,R147,J123:J170,R141)+COUNTIFS(M123:M170,R147,L123:L170,R141)+COUNTIFS(O123:O170,R147,N123:N170,R141))*0.5</f>
        <v>0</v>
      </c>
      <c r="V147" s="95">
        <f>(COUNTIFS(AI123:AI170,R141,AJ123:AJ170,R140)+COUNTIFS(AK123:AK170,R141,AL123:AL170,R140)+COUNTIFS(AM123:AM170,R141,AN123:AN170,R140)+COUNTIFS(AO123:AO170,R141,AP123:AP170,R140)+COUNTIFS(AQ123:AQ170,R141,AR123:AR170,R140)+COUNTIFS(AS123:AS170,R141,AT123:AT170,R140)+COUNTIFS(AU123:AU170,R141,AV123:AV170,R140))*0.5</f>
        <v>0</v>
      </c>
      <c r="W147" s="96">
        <f>IF(AH119="","-",IF(V147=0,U147,IFERROR((U147/V147)-1,"-")))</f>
        <v>0</v>
      </c>
      <c r="X147" s="201">
        <f t="shared" si="98"/>
        <v>0</v>
      </c>
      <c r="Y147" s="274"/>
      <c r="Z147" s="275"/>
      <c r="AA147" s="275"/>
      <c r="AB147" s="275"/>
      <c r="AC147" s="275"/>
      <c r="AD147" s="275"/>
      <c r="AE147" s="275"/>
      <c r="AF147" s="276"/>
      <c r="AH147" s="136">
        <v>0.50000000000001599</v>
      </c>
      <c r="AI147" s="136" t="s">
        <v>9</v>
      </c>
      <c r="AJ147" s="136" t="s">
        <v>230</v>
      </c>
      <c r="AK147" s="136" t="s">
        <v>116</v>
      </c>
      <c r="AL147" s="136" t="s">
        <v>235</v>
      </c>
      <c r="AM147" s="136" t="s">
        <v>9</v>
      </c>
      <c r="AN147" s="136" t="s">
        <v>231</v>
      </c>
      <c r="AO147" s="136" t="s">
        <v>130</v>
      </c>
      <c r="AP147" s="136" t="s">
        <v>224</v>
      </c>
      <c r="AQ147" s="136" t="s">
        <v>9</v>
      </c>
      <c r="AR147" s="136" t="s">
        <v>231</v>
      </c>
      <c r="AS147" s="136" t="s">
        <v>116</v>
      </c>
      <c r="AT147" s="136" t="s">
        <v>235</v>
      </c>
      <c r="AU147" s="136" t="s">
        <v>116</v>
      </c>
      <c r="AV147" s="136" t="s">
        <v>235</v>
      </c>
      <c r="AX147" s="136" t="str">
        <f>IF(AI119="","",IF(B147="","",B147))</f>
        <v>AT</v>
      </c>
      <c r="AY147" s="136" t="str">
        <f>IF(AI119="","",IF(C147="","",C147))</f>
        <v>AL</v>
      </c>
      <c r="AZ147" s="136" t="str">
        <f>IF(AI119="","",IF(D147="","",D147))</f>
        <v>PV</v>
      </c>
      <c r="BA147" s="136" t="str">
        <f>IF(AI119="","",IF(E147="","",E147))</f>
        <v>-</v>
      </c>
      <c r="BB147" s="136" t="str">
        <f>IF(AI119="","",IF(F147="","",F147))</f>
        <v>AT</v>
      </c>
      <c r="BC147" s="136" t="str">
        <f>IF(AI119="","",IF(G147="","",G147))</f>
        <v>CDI</v>
      </c>
      <c r="BD147" s="136" t="str">
        <f>IF(AI119="","",IF(H147="","",H147))</f>
        <v>APB</v>
      </c>
      <c r="BE147" s="136" t="str">
        <f>IF(AI119="","",IF(I147="","",I147))</f>
        <v>FP</v>
      </c>
      <c r="BF147" s="136" t="str">
        <f>IF(AI119="","",IF(J147="","",J147))</f>
        <v>AT</v>
      </c>
      <c r="BG147" s="136" t="str">
        <f>IF(AI119="","",IF(K147="","",K147))</f>
        <v>CDI</v>
      </c>
      <c r="BH147" s="136" t="str">
        <f>IF(AI119="","",IF(L147="","",L147))</f>
        <v>HS</v>
      </c>
      <c r="BI147" s="136" t="str">
        <f>IF(AI119="","",IF(M147="","",M147))</f>
        <v>-</v>
      </c>
      <c r="BJ147" s="136" t="str">
        <f>IF(AI119="","",IF(N147="","",N147))</f>
        <v>PV</v>
      </c>
      <c r="BK147" s="136" t="str">
        <f>IF(AI119="","",IF(O147="","",O147))</f>
        <v>-</v>
      </c>
      <c r="BM147" s="136" t="str">
        <f t="shared" ref="BM147:BM151" si="105">BM146</f>
        <v>TG</v>
      </c>
      <c r="BN147" s="136" t="str">
        <f t="shared" si="93"/>
        <v>Trabalho de Grupo</v>
      </c>
      <c r="BO147" s="136" t="str">
        <f t="shared" si="93"/>
        <v>IEI</v>
      </c>
      <c r="BP147" s="136">
        <f>(COUNTIFS(AX123:AX170,BM147,AY123:AY170,BO147)+COUNTIFS(AZ123:AZ170,BM147,BA123:BA170,BO147)+COUNTIFS(BB123:BB170,BM147,BC123:BC170,BO147)+COUNTIFS(BD123:BD170,BM147,BE123:BE170,BO147)+COUNTIFS(BF123:BF170,BM147,BG123:BG170,BO147)+COUNTIFS(BH123:BH170,BM147,BI123:BI170,BO147)+COUNTIFS(BJ123:BJ170,BM147,BK123:BK170,BO147))*0.5</f>
        <v>0</v>
      </c>
      <c r="BQ147" s="136" t="str">
        <f t="shared" si="94"/>
        <v>Trabalho de Grupo</v>
      </c>
      <c r="BR147" s="136" t="str">
        <f t="shared" si="94"/>
        <v>IEI</v>
      </c>
      <c r="BS147" s="136" t="str">
        <f t="shared" si="95"/>
        <v>Trabalho de Grupo</v>
      </c>
      <c r="BT147" s="136">
        <f t="shared" si="101"/>
        <v>0</v>
      </c>
      <c r="BU147" s="136">
        <f t="shared" si="102"/>
        <v>0</v>
      </c>
      <c r="BZ147" s="280"/>
      <c r="CA147" s="183" t="str">
        <f>'INFO BASE'!L210</f>
        <v>-</v>
      </c>
      <c r="CB147" s="183" t="str">
        <f>'INFO BASE'!M210</f>
        <v/>
      </c>
      <c r="CR147" s="177" t="str">
        <f t="shared" si="83"/>
        <v>AT</v>
      </c>
      <c r="CS147" s="177" t="str">
        <f t="shared" si="84"/>
        <v>ATAL</v>
      </c>
      <c r="CT147" s="177" t="str">
        <f t="shared" si="83"/>
        <v>PV</v>
      </c>
      <c r="CU147" s="177">
        <f t="shared" si="85"/>
        <v>0</v>
      </c>
      <c r="CV147" s="177" t="str">
        <f t="shared" si="83"/>
        <v>AT</v>
      </c>
      <c r="CW147" s="177" t="str">
        <f t="shared" si="86"/>
        <v>ATCDI</v>
      </c>
      <c r="CX147" s="177" t="str">
        <f t="shared" si="83"/>
        <v>APB</v>
      </c>
      <c r="CY147" s="177" t="str">
        <f t="shared" si="87"/>
        <v>APBFP</v>
      </c>
      <c r="CZ147" s="177" t="str">
        <f t="shared" si="83"/>
        <v>AT</v>
      </c>
      <c r="DA147" s="177" t="str">
        <f t="shared" si="88"/>
        <v>ATCDI</v>
      </c>
      <c r="DB147" s="177" t="str">
        <f t="shared" si="83"/>
        <v>HS</v>
      </c>
      <c r="DC147" s="177" t="str">
        <f t="shared" si="89"/>
        <v>HS-</v>
      </c>
      <c r="DD147" s="177" t="str">
        <f t="shared" si="90"/>
        <v>PV</v>
      </c>
      <c r="DE147" s="177">
        <f t="shared" si="91"/>
        <v>0</v>
      </c>
    </row>
    <row r="148" spans="1:109" ht="18" customHeight="1" x14ac:dyDescent="0.3">
      <c r="A148" s="81">
        <v>0.52083333333335002</v>
      </c>
      <c r="B148" s="166" t="s">
        <v>9</v>
      </c>
      <c r="C148" s="130" t="s">
        <v>230</v>
      </c>
      <c r="D148" s="169" t="s">
        <v>116</v>
      </c>
      <c r="E148" s="130" t="s">
        <v>120</v>
      </c>
      <c r="F148" s="169" t="s">
        <v>9</v>
      </c>
      <c r="G148" s="130" t="s">
        <v>230</v>
      </c>
      <c r="H148" s="169" t="s">
        <v>130</v>
      </c>
      <c r="I148" s="130" t="s">
        <v>224</v>
      </c>
      <c r="J148" s="169" t="s">
        <v>130</v>
      </c>
      <c r="K148" s="130" t="s">
        <v>230</v>
      </c>
      <c r="L148" s="169" t="s">
        <v>10</v>
      </c>
      <c r="M148" s="130" t="s">
        <v>120</v>
      </c>
      <c r="N148" s="169" t="s">
        <v>116</v>
      </c>
      <c r="O148" s="154" t="s">
        <v>120</v>
      </c>
      <c r="P148" s="6">
        <v>0</v>
      </c>
      <c r="Q148" s="117" t="str">
        <f>IF('INFO BASE'!$C$19="","",'INFO BASE'!$C$19)</f>
        <v>Trabalho de Grupo</v>
      </c>
      <c r="R148" s="82" t="str">
        <f t="shared" si="100"/>
        <v>TG</v>
      </c>
      <c r="S148" s="83">
        <f t="shared" si="97"/>
        <v>-1</v>
      </c>
      <c r="T148" s="84">
        <f>IF(VLOOKUP(Q148,'INFO BASE'!$B$40:$I$54,IF(R148='INFO BASE'!$B$32,3,IF(R148='INFO BASE'!$B$33,4,IF(R148='INFO BASE'!$B$34,5,IF(R148='INFO BASE'!$B$35,6,IF(R148='INFO BASE'!$B$36,7,IF(R148='INFO BASE'!$B$37,8,2)))))),0)=0,"",VLOOKUP(Q148,'INFO BASE'!$B$40:$I$54,IF(R148='INFO BASE'!$B$32,3,IF(R148='INFO BASE'!$B$33,4,IF(R148='INFO BASE'!$B$34,5,IF(R148='INFO BASE'!$B$35,6,IF(R148='INFO BASE'!$B$36,7,IF(R148='INFO BASE'!$B$37,8,2)))))),0))</f>
        <v>15</v>
      </c>
      <c r="U148" s="84">
        <f>IF(R148="","",COUNTIFS(SEMANA3,R148)*0.5)</f>
        <v>0</v>
      </c>
      <c r="V148" s="84">
        <f>IF(R148="","",COUNTIFS(AI123:AV170,R148)*0.5)</f>
        <v>0</v>
      </c>
      <c r="W148" s="85">
        <f>IF(AH119="","-",IF(V148=0,U148,IFERROR((U148/V148)-1,"-")))</f>
        <v>0</v>
      </c>
      <c r="X148" s="201">
        <f t="shared" si="98"/>
        <v>0</v>
      </c>
      <c r="Y148" s="277"/>
      <c r="Z148" s="278"/>
      <c r="AA148" s="278"/>
      <c r="AB148" s="278"/>
      <c r="AC148" s="278"/>
      <c r="AD148" s="278"/>
      <c r="AE148" s="278"/>
      <c r="AF148" s="279"/>
      <c r="AH148" s="136">
        <v>0.52083333333335002</v>
      </c>
      <c r="AI148" s="136" t="s">
        <v>9</v>
      </c>
      <c r="AJ148" s="136" t="s">
        <v>230</v>
      </c>
      <c r="AK148" s="136" t="s">
        <v>116</v>
      </c>
      <c r="AL148" s="136" t="s">
        <v>235</v>
      </c>
      <c r="AM148" s="136" t="s">
        <v>9</v>
      </c>
      <c r="AN148" s="136" t="s">
        <v>230</v>
      </c>
      <c r="AO148" s="136" t="s">
        <v>130</v>
      </c>
      <c r="AP148" s="136" t="s">
        <v>224</v>
      </c>
      <c r="AQ148" s="136" t="s">
        <v>130</v>
      </c>
      <c r="AR148" s="136" t="s">
        <v>230</v>
      </c>
      <c r="AS148" s="136" t="s">
        <v>116</v>
      </c>
      <c r="AT148" s="136" t="s">
        <v>235</v>
      </c>
      <c r="AU148" s="136" t="s">
        <v>116</v>
      </c>
      <c r="AV148" s="136" t="s">
        <v>235</v>
      </c>
      <c r="AX148" s="136" t="str">
        <f>IF(AI119="","",IF(B148="","",B148))</f>
        <v>AT</v>
      </c>
      <c r="AY148" s="136" t="str">
        <f>IF(AI119="","",IF(C148="","",C148))</f>
        <v>AL</v>
      </c>
      <c r="AZ148" s="136" t="str">
        <f>IF(AI119="","",IF(D148="","",D148))</f>
        <v>PV</v>
      </c>
      <c r="BA148" s="136" t="str">
        <f>IF(AI119="","",IF(E148="","",E148))</f>
        <v>-</v>
      </c>
      <c r="BB148" s="136" t="str">
        <f>IF(AI119="","",IF(F148="","",F148))</f>
        <v>AT</v>
      </c>
      <c r="BC148" s="136" t="str">
        <f>IF(AI119="","",IF(G148="","",G148))</f>
        <v>AL</v>
      </c>
      <c r="BD148" s="136" t="str">
        <f>IF(AI119="","",IF(H148="","",H148))</f>
        <v>APB</v>
      </c>
      <c r="BE148" s="136" t="str">
        <f>IF(AI119="","",IF(I148="","",I148))</f>
        <v>FP</v>
      </c>
      <c r="BF148" s="136" t="str">
        <f>IF(AI119="","",IF(J148="","",J148))</f>
        <v>APB</v>
      </c>
      <c r="BG148" s="136" t="str">
        <f>IF(AI119="","",IF(K148="","",K148))</f>
        <v>AL</v>
      </c>
      <c r="BH148" s="136" t="str">
        <f>IF(AI119="","",IF(L148="","",L148))</f>
        <v>HS</v>
      </c>
      <c r="BI148" s="136" t="str">
        <f>IF(AI119="","",IF(M148="","",M148))</f>
        <v>-</v>
      </c>
      <c r="BJ148" s="136" t="str">
        <f>IF(AI119="","",IF(N148="","",N148))</f>
        <v>PV</v>
      </c>
      <c r="BK148" s="136" t="str">
        <f>IF(AI119="","",IF(O148="","",O148))</f>
        <v>-</v>
      </c>
      <c r="BM148" s="136" t="str">
        <f t="shared" si="105"/>
        <v>TG</v>
      </c>
      <c r="BN148" s="136" t="str">
        <f t="shared" si="93"/>
        <v>Trabalho de Grupo</v>
      </c>
      <c r="BO148" s="136" t="str">
        <f t="shared" si="93"/>
        <v>IAC</v>
      </c>
      <c r="BP148" s="136">
        <f>(COUNTIFS(AX123:AX170,BM148,AY123:AY170,BO148)+COUNTIFS(AZ123:AZ170,BM148,BA123:BA170,BO148)+COUNTIFS(BB123:BB170,BM148,BC123:BC170,BO148)+COUNTIFS(BD123:BD170,BM148,BE123:BE170,BO148)+COUNTIFS(BF123:BF170,BM148,BG123:BG170,BO148)+COUNTIFS(BH123:BH170,BM148,BI123:BI170,BO148)+COUNTIFS(BJ123:BJ170,BM148,BK123:BK170,BO148))*0.5</f>
        <v>0</v>
      </c>
      <c r="BQ148" s="136" t="str">
        <f t="shared" si="94"/>
        <v>Trabalho de Grupo</v>
      </c>
      <c r="BR148" s="136" t="str">
        <f t="shared" si="94"/>
        <v>IAC</v>
      </c>
      <c r="BS148" s="136" t="str">
        <f t="shared" si="95"/>
        <v>Trabalho de Grupo</v>
      </c>
      <c r="BT148" s="136">
        <f t="shared" si="101"/>
        <v>0</v>
      </c>
      <c r="BU148" s="136">
        <f t="shared" si="102"/>
        <v>0</v>
      </c>
      <c r="BZ148" s="280"/>
      <c r="CA148" s="183" t="str">
        <f>'INFO BASE'!L211</f>
        <v>-</v>
      </c>
      <c r="CB148" s="183" t="str">
        <f>'INFO BASE'!M211</f>
        <v/>
      </c>
      <c r="CR148" s="177" t="str">
        <f t="shared" si="83"/>
        <v>AT</v>
      </c>
      <c r="CS148" s="177" t="str">
        <f t="shared" si="84"/>
        <v>ATAL</v>
      </c>
      <c r="CT148" s="177" t="str">
        <f t="shared" si="83"/>
        <v>PV</v>
      </c>
      <c r="CU148" s="177">
        <f t="shared" si="85"/>
        <v>0</v>
      </c>
      <c r="CV148" s="177" t="str">
        <f t="shared" si="83"/>
        <v>AT</v>
      </c>
      <c r="CW148" s="177" t="str">
        <f t="shared" si="86"/>
        <v>ATAL</v>
      </c>
      <c r="CX148" s="177" t="str">
        <f t="shared" si="83"/>
        <v>APB</v>
      </c>
      <c r="CY148" s="177" t="str">
        <f t="shared" si="87"/>
        <v>APBFP</v>
      </c>
      <c r="CZ148" s="177" t="str">
        <f t="shared" si="83"/>
        <v>APB</v>
      </c>
      <c r="DA148" s="177" t="str">
        <f t="shared" si="88"/>
        <v>APBAL</v>
      </c>
      <c r="DB148" s="177" t="str">
        <f t="shared" si="83"/>
        <v>HS</v>
      </c>
      <c r="DC148" s="177" t="str">
        <f t="shared" si="89"/>
        <v>HS-</v>
      </c>
      <c r="DD148" s="177" t="str">
        <f t="shared" si="90"/>
        <v>PV</v>
      </c>
      <c r="DE148" s="177">
        <f t="shared" si="91"/>
        <v>0</v>
      </c>
    </row>
    <row r="149" spans="1:109" ht="18" customHeight="1" x14ac:dyDescent="0.3">
      <c r="A149" s="81">
        <v>0.54166666666668395</v>
      </c>
      <c r="B149" s="166" t="s">
        <v>9</v>
      </c>
      <c r="C149" s="130" t="s">
        <v>231</v>
      </c>
      <c r="D149" s="169" t="s">
        <v>116</v>
      </c>
      <c r="E149" s="130" t="s">
        <v>120</v>
      </c>
      <c r="F149" s="169" t="s">
        <v>9</v>
      </c>
      <c r="G149" s="130" t="s">
        <v>230</v>
      </c>
      <c r="H149" s="169" t="s">
        <v>130</v>
      </c>
      <c r="I149" s="130" t="s">
        <v>224</v>
      </c>
      <c r="J149" s="169" t="s">
        <v>130</v>
      </c>
      <c r="K149" s="130" t="s">
        <v>230</v>
      </c>
      <c r="L149" s="169" t="s">
        <v>12</v>
      </c>
      <c r="M149" s="130" t="s">
        <v>120</v>
      </c>
      <c r="N149" s="169" t="s">
        <v>116</v>
      </c>
      <c r="O149" s="154" t="s">
        <v>120</v>
      </c>
      <c r="P149" s="6">
        <v>0</v>
      </c>
      <c r="Q149" s="118" t="str">
        <f t="shared" ref="Q149:Q154" si="106">Q148</f>
        <v>Trabalho de Grupo</v>
      </c>
      <c r="R149" s="105" t="str">
        <f t="shared" si="100"/>
        <v>FP</v>
      </c>
      <c r="S149" s="88">
        <f t="shared" si="97"/>
        <v>-1</v>
      </c>
      <c r="T149" s="89">
        <f>IF(VLOOKUP(Q149,'INFO BASE'!$B$40:$I$54,IF(R149='INFO BASE'!$B$32,3,IF(R149='INFO BASE'!$B$33,4,IF(R149='INFO BASE'!$B$34,5,IF(R149='INFO BASE'!$B$35,6,IF(R149='INFO BASE'!$B$36,7,IF(R149='INFO BASE'!$B$37,8,2)))))),0)=0,"",VLOOKUP(Q149,'INFO BASE'!$B$40:$I$54,IF(R149='INFO BASE'!$B$32,3,IF(R149='INFO BASE'!$B$33,4,IF(R149='INFO BASE'!$B$34,5,IF(R149='INFO BASE'!$B$35,6,IF(R149='INFO BASE'!$B$36,7,IF(R149='INFO BASE'!$B$37,8,2)))))),0))</f>
        <v>3</v>
      </c>
      <c r="U149" s="89">
        <f>(COUNTIFS(C123:C170,R149,B123:B170,R148)+COUNTIFS(E123:E170,R149,D123:D170,R148)+COUNTIFS(G123:G170,R149,F123:F170,R148)+COUNTIFS(I123:I170,R149,H123:H170,R148)+COUNTIFS(K123:K170,R149,J123:J170,R148)+COUNTIFS(M123:M170,R149,L123:L170,R148)+COUNTIFS(O123:O170,R149,N123:N170,R148))*0.5</f>
        <v>0</v>
      </c>
      <c r="V149" s="89">
        <f>(COUNTIFS(AI123:AI170,R148,AJ123:AJ170,R142)+COUNTIFS(AK123:AK170,R148,AL123:AL170,R142)+COUNTIFS(AM123:AM170,R148,AN123:AN170,R142)+COUNTIFS(AO123:AO170,R148,AP123:AP170,R142)+COUNTIFS(AQ123:AQ170,R148,AR123:AR170,R142)+COUNTIFS(AS123:AS170,R148,AT123:AT170,R142)+COUNTIFS(AU123:AU170,R148,AV123:AV170,R142))*0.5</f>
        <v>0</v>
      </c>
      <c r="W149" s="90">
        <f>IF(AH119="","-",IF(V149=0,U149,IFERROR((U149/V149)-1,"-")))</f>
        <v>0</v>
      </c>
      <c r="X149" s="201">
        <f t="shared" si="98"/>
        <v>0</v>
      </c>
      <c r="Y149" s="271"/>
      <c r="Z149" s="272"/>
      <c r="AA149" s="272"/>
      <c r="AB149" s="272"/>
      <c r="AC149" s="272"/>
      <c r="AD149" s="272"/>
      <c r="AE149" s="272"/>
      <c r="AF149" s="273"/>
      <c r="AH149" s="136">
        <v>0.54166666666668395</v>
      </c>
      <c r="AI149" s="136" t="s">
        <v>9</v>
      </c>
      <c r="AJ149" s="136" t="s">
        <v>231</v>
      </c>
      <c r="AK149" s="136" t="s">
        <v>116</v>
      </c>
      <c r="AL149" s="136" t="s">
        <v>235</v>
      </c>
      <c r="AM149" s="136" t="s">
        <v>9</v>
      </c>
      <c r="AN149" s="136" t="s">
        <v>230</v>
      </c>
      <c r="AO149" s="136" t="s">
        <v>130</v>
      </c>
      <c r="AP149" s="136" t="s">
        <v>224</v>
      </c>
      <c r="AQ149" s="136" t="s">
        <v>130</v>
      </c>
      <c r="AR149" s="136" t="s">
        <v>230</v>
      </c>
      <c r="AS149" s="136" t="s">
        <v>12</v>
      </c>
      <c r="AT149" s="136" t="s">
        <v>120</v>
      </c>
      <c r="AU149" s="136" t="s">
        <v>116</v>
      </c>
      <c r="AV149" s="136" t="s">
        <v>235</v>
      </c>
      <c r="AX149" s="136" t="str">
        <f>IF(AI119="","",IF(B149="","",B149))</f>
        <v>AT</v>
      </c>
      <c r="AY149" s="136" t="str">
        <f>IF(AI119="","",IF(C149="","",C149))</f>
        <v>CDI</v>
      </c>
      <c r="AZ149" s="136" t="str">
        <f>IF(AI119="","",IF(D149="","",D149))</f>
        <v>PV</v>
      </c>
      <c r="BA149" s="136" t="str">
        <f>IF(AI119="","",IF(E149="","",E149))</f>
        <v>-</v>
      </c>
      <c r="BB149" s="136" t="str">
        <f>IF(AI119="","",IF(F149="","",F149))</f>
        <v>AT</v>
      </c>
      <c r="BC149" s="136" t="str">
        <f>IF(AI119="","",IF(G149="","",G149))</f>
        <v>AL</v>
      </c>
      <c r="BD149" s="136" t="str">
        <f>IF(AI119="","",IF(H149="","",H149))</f>
        <v>APB</v>
      </c>
      <c r="BE149" s="136" t="str">
        <f>IF(AI119="","",IF(I149="","",I149))</f>
        <v>FP</v>
      </c>
      <c r="BF149" s="136" t="str">
        <f>IF(AI119="","",IF(J149="","",J149))</f>
        <v>APB</v>
      </c>
      <c r="BG149" s="136" t="str">
        <f>IF(AI119="","",IF(K149="","",K149))</f>
        <v>AL</v>
      </c>
      <c r="BH149" s="136" t="str">
        <f>IF(AI119="","",IF(L149="","",L149))</f>
        <v>HR</v>
      </c>
      <c r="BI149" s="136" t="str">
        <f>IF(AI119="","",IF(M149="","",M149))</f>
        <v>-</v>
      </c>
      <c r="BJ149" s="136" t="str">
        <f>IF(AI119="","",IF(N149="","",N149))</f>
        <v>PV</v>
      </c>
      <c r="BK149" s="136" t="str">
        <f>IF(AI119="","",IF(O149="","",O149))</f>
        <v>-</v>
      </c>
      <c r="BM149" s="136" t="str">
        <f t="shared" si="105"/>
        <v>TG</v>
      </c>
      <c r="BN149" s="136" t="str">
        <f t="shared" si="93"/>
        <v>Trabalho de Grupo</v>
      </c>
      <c r="BO149" s="136" t="str">
        <f t="shared" si="93"/>
        <v>AL</v>
      </c>
      <c r="BP149" s="136">
        <f>(COUNTIFS(AX123:AX170,BM149,AY123:AY170,BO149)+COUNTIFS(AZ123:AZ170,BM149,BA123:BA170,BO149)+COUNTIFS(BB123:BB170,BM149,BC123:BC170,BO149)+COUNTIFS(BD123:BD170,BM149,BE123:BE170,BO149)+COUNTIFS(BF123:BF170,BM149,BG123:BG170,BO149)+COUNTIFS(BH123:BH170,BM149,BI123:BI170,BO149)+COUNTIFS(BJ123:BJ170,BM149,BK123:BK170,BO149))*0.5</f>
        <v>0</v>
      </c>
      <c r="BQ149" s="136" t="str">
        <f t="shared" si="94"/>
        <v>Trabalho de Grupo</v>
      </c>
      <c r="BR149" s="136" t="str">
        <f t="shared" si="94"/>
        <v>AL</v>
      </c>
      <c r="BS149" s="136" t="str">
        <f t="shared" si="95"/>
        <v>Trabalho de Grupo</v>
      </c>
      <c r="BT149" s="136">
        <f t="shared" si="101"/>
        <v>0</v>
      </c>
      <c r="BU149" s="136">
        <f t="shared" si="102"/>
        <v>0</v>
      </c>
      <c r="BZ149" s="280"/>
      <c r="CA149" s="183" t="str">
        <f>'INFO BASE'!L212</f>
        <v>Semana 8</v>
      </c>
      <c r="CB149" s="183" t="str">
        <f>'INFO BASE'!M212</f>
        <v/>
      </c>
      <c r="CR149" s="177" t="str">
        <f t="shared" si="83"/>
        <v>AT</v>
      </c>
      <c r="CS149" s="177" t="str">
        <f t="shared" si="84"/>
        <v>ATCDI</v>
      </c>
      <c r="CT149" s="177" t="str">
        <f t="shared" si="83"/>
        <v>PV</v>
      </c>
      <c r="CU149" s="177">
        <f t="shared" si="85"/>
        <v>0</v>
      </c>
      <c r="CV149" s="177" t="str">
        <f t="shared" si="83"/>
        <v>AT</v>
      </c>
      <c r="CW149" s="177" t="str">
        <f t="shared" si="86"/>
        <v>ATAL</v>
      </c>
      <c r="CX149" s="177" t="str">
        <f t="shared" si="83"/>
        <v>APB</v>
      </c>
      <c r="CY149" s="177" t="str">
        <f t="shared" si="87"/>
        <v>APBFP</v>
      </c>
      <c r="CZ149" s="177" t="str">
        <f t="shared" si="83"/>
        <v>APB</v>
      </c>
      <c r="DA149" s="177" t="str">
        <f t="shared" si="88"/>
        <v>APBAL</v>
      </c>
      <c r="DB149" s="177" t="str">
        <f t="shared" si="83"/>
        <v>HR</v>
      </c>
      <c r="DC149" s="177" t="str">
        <f t="shared" si="89"/>
        <v>HR-</v>
      </c>
      <c r="DD149" s="177" t="str">
        <f t="shared" si="90"/>
        <v>PV</v>
      </c>
      <c r="DE149" s="177">
        <f t="shared" si="91"/>
        <v>0</v>
      </c>
    </row>
    <row r="150" spans="1:109" ht="18" customHeight="1" x14ac:dyDescent="0.3">
      <c r="A150" s="81">
        <v>0.56250000000001799</v>
      </c>
      <c r="B150" s="166" t="s">
        <v>9</v>
      </c>
      <c r="C150" s="130" t="s">
        <v>231</v>
      </c>
      <c r="D150" s="169" t="s">
        <v>116</v>
      </c>
      <c r="E150" s="130" t="s">
        <v>120</v>
      </c>
      <c r="F150" s="169" t="s">
        <v>116</v>
      </c>
      <c r="G150" s="130" t="s">
        <v>120</v>
      </c>
      <c r="H150" s="169" t="s">
        <v>116</v>
      </c>
      <c r="I150" s="130" t="s">
        <v>120</v>
      </c>
      <c r="J150" s="169" t="s">
        <v>130</v>
      </c>
      <c r="K150" s="130" t="s">
        <v>230</v>
      </c>
      <c r="L150" s="169" t="s">
        <v>12</v>
      </c>
      <c r="M150" s="130" t="s">
        <v>120</v>
      </c>
      <c r="N150" s="169" t="s">
        <v>116</v>
      </c>
      <c r="O150" s="154" t="s">
        <v>120</v>
      </c>
      <c r="P150" s="6">
        <v>0</v>
      </c>
      <c r="Q150" s="118" t="str">
        <f t="shared" si="106"/>
        <v>Trabalho de Grupo</v>
      </c>
      <c r="R150" s="105" t="str">
        <f t="shared" si="100"/>
        <v>IEI</v>
      </c>
      <c r="S150" s="88">
        <f t="shared" si="97"/>
        <v>-1</v>
      </c>
      <c r="T150" s="89">
        <f>IF(VLOOKUP(Q150,'INFO BASE'!$B$40:$I$54,IF(R150='INFO BASE'!$B$32,3,IF(R150='INFO BASE'!$B$33,4,IF(R150='INFO BASE'!$B$34,5,IF(R150='INFO BASE'!$B$35,6,IF(R150='INFO BASE'!$B$36,7,IF(R150='INFO BASE'!$B$37,8,2)))))),0)=0,"",VLOOKUP(Q150,'INFO BASE'!$B$40:$I$54,IF(R150='INFO BASE'!$B$32,3,IF(R150='INFO BASE'!$B$33,4,IF(R150='INFO BASE'!$B$34,5,IF(R150='INFO BASE'!$B$35,6,IF(R150='INFO BASE'!$B$36,7,IF(R150='INFO BASE'!$B$37,8,2)))))),0))</f>
        <v>3</v>
      </c>
      <c r="U150" s="89">
        <f>(COUNTIFS(C123:C170,R150,B123:B170,R148)+COUNTIFS(E123:E170,R150,D123:D170,R148)+COUNTIFS(G123:G170,R150,F123:F170,R148)+COUNTIFS(I123:I170,R150,H123:H170,R148)+COUNTIFS(K123:K170,R150,J123:J170,R148)+COUNTIFS(M123:M170,R150,L123:L170,R148)+COUNTIFS(O123:O170,R150,N123:N170,R148))*0.5</f>
        <v>0</v>
      </c>
      <c r="V150" s="89">
        <f>(COUNTIFS(AI123:AI170,R148,AJ123:AJ170,R143)+COUNTIFS(AK123:AK170,R148,AL123:AL170,R143)+COUNTIFS(AM123:AM170,R148,AN123:AN170,R143)+COUNTIFS(AO123:AO170,R148,AP123:AP170,R143)+COUNTIFS(AQ123:AQ170,R148,AR123:AR170,R143)+COUNTIFS(AS123:AS170,R148,AT123:AT170,R143)+COUNTIFS(AU123:AU170,R148,AV123:AV170,R143))*0.5</f>
        <v>0</v>
      </c>
      <c r="W150" s="90">
        <f>IF(AH119="","-",IF(V150=0,U150,IFERROR((U150/V150)-1,"-")))</f>
        <v>0</v>
      </c>
      <c r="X150" s="201">
        <f t="shared" si="98"/>
        <v>0</v>
      </c>
      <c r="Y150" s="271"/>
      <c r="Z150" s="272"/>
      <c r="AA150" s="272"/>
      <c r="AB150" s="272"/>
      <c r="AC150" s="272"/>
      <c r="AD150" s="272"/>
      <c r="AE150" s="272"/>
      <c r="AF150" s="273"/>
      <c r="AH150" s="136">
        <v>0.56250000000001799</v>
      </c>
      <c r="AI150" s="136" t="s">
        <v>9</v>
      </c>
      <c r="AJ150" s="136" t="s">
        <v>231</v>
      </c>
      <c r="AK150" s="136" t="s">
        <v>116</v>
      </c>
      <c r="AL150" s="136" t="s">
        <v>235</v>
      </c>
      <c r="AM150" s="136" t="s">
        <v>116</v>
      </c>
      <c r="AN150" s="136" t="s">
        <v>235</v>
      </c>
      <c r="AO150" s="136" t="s">
        <v>116</v>
      </c>
      <c r="AP150" s="136" t="s">
        <v>235</v>
      </c>
      <c r="AQ150" s="136" t="s">
        <v>130</v>
      </c>
      <c r="AR150" s="136" t="s">
        <v>230</v>
      </c>
      <c r="AS150" s="136" t="s">
        <v>12</v>
      </c>
      <c r="AT150" s="136" t="s">
        <v>120</v>
      </c>
      <c r="AU150" s="136" t="s">
        <v>116</v>
      </c>
      <c r="AV150" s="136" t="s">
        <v>235</v>
      </c>
      <c r="AX150" s="136" t="str">
        <f>IF(AI119="","",IF(B150="","",B150))</f>
        <v>AT</v>
      </c>
      <c r="AY150" s="136" t="str">
        <f>IF(AI119="","",IF(C150="","",C150))</f>
        <v>CDI</v>
      </c>
      <c r="AZ150" s="136" t="str">
        <f>IF(AI119="","",IF(D150="","",D150))</f>
        <v>PV</v>
      </c>
      <c r="BA150" s="136" t="str">
        <f>IF(AI119="","",IF(E150="","",E150))</f>
        <v>-</v>
      </c>
      <c r="BB150" s="136" t="str">
        <f>IF(AI119="","",IF(F150="","",F150))</f>
        <v>PV</v>
      </c>
      <c r="BC150" s="136" t="str">
        <f>IF(AI119="","",IF(G150="","",G150))</f>
        <v>-</v>
      </c>
      <c r="BD150" s="136" t="str">
        <f>IF(AI119="","",IF(H150="","",H150))</f>
        <v>PV</v>
      </c>
      <c r="BE150" s="136" t="str">
        <f>IF(AI119="","",IF(I150="","",I150))</f>
        <v>-</v>
      </c>
      <c r="BF150" s="136" t="str">
        <f>IF(AI119="","",IF(J150="","",J150))</f>
        <v>APB</v>
      </c>
      <c r="BG150" s="136" t="str">
        <f>IF(AI119="","",IF(K150="","",K150))</f>
        <v>AL</v>
      </c>
      <c r="BH150" s="136" t="str">
        <f>IF(AI119="","",IF(L150="","",L150))</f>
        <v>HR</v>
      </c>
      <c r="BI150" s="136" t="str">
        <f>IF(AI119="","",IF(M150="","",M150))</f>
        <v>-</v>
      </c>
      <c r="BJ150" s="136" t="str">
        <f>IF(AI119="","",IF(N150="","",N150))</f>
        <v>PV</v>
      </c>
      <c r="BK150" s="136" t="str">
        <f>IF(AI119="","",IF(O150="","",O150))</f>
        <v>-</v>
      </c>
      <c r="BM150" s="136" t="str">
        <f t="shared" si="105"/>
        <v>TG</v>
      </c>
      <c r="BN150" s="136" t="str">
        <f t="shared" si="93"/>
        <v>Trabalho de Grupo</v>
      </c>
      <c r="BO150" s="136" t="str">
        <f t="shared" si="93"/>
        <v>CDI</v>
      </c>
      <c r="BP150" s="136">
        <f>(COUNTIFS(AX123:AX170,BM150,AY123:AY170,BO150)+COUNTIFS(AZ123:AZ170,BM150,BA123:BA170,BO150)+COUNTIFS(BB123:BB170,BM150,BC123:BC170,BO150)+COUNTIFS(BD123:BD170,BM150,BE123:BE170,BO150)+COUNTIFS(BF123:BF170,BM150,BG123:BG170,BO150)+COUNTIFS(BH123:BH170,BM150,BI123:BI170,BO150)+COUNTIFS(BJ123:BJ170,BM150,BK123:BK170,BO150))*0.5</f>
        <v>0</v>
      </c>
      <c r="BQ150" s="136" t="str">
        <f t="shared" si="94"/>
        <v>Trabalho de Grupo</v>
      </c>
      <c r="BR150" s="136" t="str">
        <f t="shared" si="94"/>
        <v>CDI</v>
      </c>
      <c r="BS150" s="136" t="str">
        <f t="shared" si="95"/>
        <v>Trabalho de Grupo</v>
      </c>
      <c r="BT150" s="136">
        <f t="shared" si="101"/>
        <v>0</v>
      </c>
      <c r="BU150" s="136">
        <f t="shared" si="102"/>
        <v>0</v>
      </c>
      <c r="BZ150" s="280"/>
      <c r="CA150" s="183" t="str">
        <f>'INFO BASE'!L213</f>
        <v>-</v>
      </c>
      <c r="CB150" s="183" t="str">
        <f>'INFO BASE'!M213</f>
        <v/>
      </c>
      <c r="CR150" s="177" t="str">
        <f t="shared" si="83"/>
        <v>AT</v>
      </c>
      <c r="CS150" s="177" t="str">
        <f t="shared" si="84"/>
        <v>ATCDI</v>
      </c>
      <c r="CT150" s="177" t="str">
        <f t="shared" si="83"/>
        <v>PV</v>
      </c>
      <c r="CU150" s="177">
        <f t="shared" si="85"/>
        <v>0</v>
      </c>
      <c r="CV150" s="177" t="str">
        <f t="shared" si="83"/>
        <v>PV</v>
      </c>
      <c r="CW150" s="177">
        <f t="shared" si="86"/>
        <v>0</v>
      </c>
      <c r="CX150" s="177" t="str">
        <f t="shared" si="83"/>
        <v>PV</v>
      </c>
      <c r="CY150" s="177">
        <f t="shared" si="87"/>
        <v>0</v>
      </c>
      <c r="CZ150" s="177" t="str">
        <f t="shared" si="83"/>
        <v>APB</v>
      </c>
      <c r="DA150" s="177" t="str">
        <f t="shared" si="88"/>
        <v>APBAL</v>
      </c>
      <c r="DB150" s="177" t="str">
        <f t="shared" si="83"/>
        <v>HR</v>
      </c>
      <c r="DC150" s="177" t="str">
        <f t="shared" si="89"/>
        <v>HR-</v>
      </c>
      <c r="DD150" s="177" t="str">
        <f t="shared" si="90"/>
        <v>PV</v>
      </c>
      <c r="DE150" s="177">
        <f t="shared" si="91"/>
        <v>0</v>
      </c>
    </row>
    <row r="151" spans="1:109" ht="18" customHeight="1" x14ac:dyDescent="0.3">
      <c r="A151" s="81">
        <v>0.58333333333335202</v>
      </c>
      <c r="B151" s="166" t="s">
        <v>12</v>
      </c>
      <c r="C151" s="130" t="s">
        <v>120</v>
      </c>
      <c r="D151" s="169" t="s">
        <v>12</v>
      </c>
      <c r="E151" s="130" t="s">
        <v>120</v>
      </c>
      <c r="F151" s="169" t="s">
        <v>12</v>
      </c>
      <c r="G151" s="130" t="s">
        <v>120</v>
      </c>
      <c r="H151" s="169" t="s">
        <v>12</v>
      </c>
      <c r="I151" s="130" t="s">
        <v>120</v>
      </c>
      <c r="J151" s="169" t="s">
        <v>12</v>
      </c>
      <c r="K151" s="130" t="s">
        <v>120</v>
      </c>
      <c r="L151" s="169" t="s">
        <v>12</v>
      </c>
      <c r="M151" s="130" t="s">
        <v>120</v>
      </c>
      <c r="N151" s="169" t="s">
        <v>116</v>
      </c>
      <c r="O151" s="154" t="s">
        <v>120</v>
      </c>
      <c r="P151" s="6">
        <v>0</v>
      </c>
      <c r="Q151" s="119" t="str">
        <f t="shared" si="106"/>
        <v>Trabalho de Grupo</v>
      </c>
      <c r="R151" s="105" t="str">
        <f t="shared" si="100"/>
        <v>IAC</v>
      </c>
      <c r="S151" s="88">
        <f t="shared" si="97"/>
        <v>-1</v>
      </c>
      <c r="T151" s="89">
        <f>IF(VLOOKUP(Q151,'INFO BASE'!$B$40:$I$54,IF(R151='INFO BASE'!$B$32,3,IF(R151='INFO BASE'!$B$33,4,IF(R151='INFO BASE'!$B$34,5,IF(R151='INFO BASE'!$B$35,6,IF(R151='INFO BASE'!$B$36,7,IF(R151='INFO BASE'!$B$37,8,2)))))),0)=0,"",VLOOKUP(Q151,'INFO BASE'!$B$40:$I$54,IF(R151='INFO BASE'!$B$32,3,IF(R151='INFO BASE'!$B$33,4,IF(R151='INFO BASE'!$B$34,5,IF(R151='INFO BASE'!$B$35,6,IF(R151='INFO BASE'!$B$36,7,IF(R151='INFO BASE'!$B$37,8,2)))))),0))</f>
        <v>3</v>
      </c>
      <c r="U151" s="89">
        <f>(COUNTIFS(C123:C170,R151,B123:B170,R148)+COUNTIFS(E123:E170,R151,D123:D170,R148)+COUNTIFS(G123:G170,R151,F123:F170,R148)+COUNTIFS(I123:I170,R151,H123:H170,R148)+COUNTIFS(K123:K170,R151,J123:J170,R148)+COUNTIFS(M123:M170,R151,L123:L170,R148)+COUNTIFS(O123:O170,R151,N123:N170,R148))*0.5</f>
        <v>0</v>
      </c>
      <c r="V151" s="89">
        <f>(COUNTIFS(AI123:AI170,R148,AJ123:AJ170,R144)+COUNTIFS(AK123:AK170,R148,AL123:AL170,R144)+COUNTIFS(AM123:AM170,R148,AN123:AN170,R144)+COUNTIFS(AO123:AO170,R148,AP123:AP170,R144)+COUNTIFS(AQ123:AQ170,R148,AR123:AR170,R144)+COUNTIFS(AS123:AS170,R148,AT123:AT170,R144)+COUNTIFS(AU123:AU170,R148,AV123:AV170,R144))*0.5</f>
        <v>0</v>
      </c>
      <c r="W151" s="90">
        <f>IF(AH119="","-",IF(V151=0,U151,IFERROR((U151/V151)-1,"-")))</f>
        <v>0</v>
      </c>
      <c r="X151" s="201">
        <f t="shared" si="98"/>
        <v>0</v>
      </c>
      <c r="Y151" s="271"/>
      <c r="Z151" s="272"/>
      <c r="AA151" s="272"/>
      <c r="AB151" s="272"/>
      <c r="AC151" s="272"/>
      <c r="AD151" s="272"/>
      <c r="AE151" s="272"/>
      <c r="AF151" s="273"/>
      <c r="AH151" s="136">
        <v>0.58333333333335202</v>
      </c>
      <c r="AI151" s="136" t="s">
        <v>12</v>
      </c>
      <c r="AJ151" s="136" t="s">
        <v>120</v>
      </c>
      <c r="AK151" s="136" t="s">
        <v>12</v>
      </c>
      <c r="AL151" s="136" t="s">
        <v>120</v>
      </c>
      <c r="AM151" s="136" t="s">
        <v>12</v>
      </c>
      <c r="AN151" s="136" t="s">
        <v>120</v>
      </c>
      <c r="AO151" s="136" t="s">
        <v>12</v>
      </c>
      <c r="AP151" s="136" t="s">
        <v>120</v>
      </c>
      <c r="AQ151" s="136" t="s">
        <v>12</v>
      </c>
      <c r="AR151" s="136" t="s">
        <v>120</v>
      </c>
      <c r="AS151" s="136" t="s">
        <v>12</v>
      </c>
      <c r="AT151" s="136" t="s">
        <v>120</v>
      </c>
      <c r="AU151" s="136" t="s">
        <v>116</v>
      </c>
      <c r="AV151" s="136" t="s">
        <v>235</v>
      </c>
      <c r="AX151" s="136" t="str">
        <f>IF(AI119="","",IF(B151="","",B151))</f>
        <v>HR</v>
      </c>
      <c r="AY151" s="136" t="str">
        <f>IF(AI119="","",IF(C151="","",C151))</f>
        <v>-</v>
      </c>
      <c r="AZ151" s="136" t="str">
        <f>IF(AI119="","",IF(D151="","",D151))</f>
        <v>HR</v>
      </c>
      <c r="BA151" s="136" t="str">
        <f>IF(AI119="","",IF(E151="","",E151))</f>
        <v>-</v>
      </c>
      <c r="BB151" s="136" t="str">
        <f>IF(AI119="","",IF(F151="","",F151))</f>
        <v>HR</v>
      </c>
      <c r="BC151" s="136" t="str">
        <f>IF(AI119="","",IF(G151="","",G151))</f>
        <v>-</v>
      </c>
      <c r="BD151" s="136" t="str">
        <f>IF(AI119="","",IF(H151="","",H151))</f>
        <v>HR</v>
      </c>
      <c r="BE151" s="136" t="str">
        <f>IF(AI119="","",IF(I151="","",I151))</f>
        <v>-</v>
      </c>
      <c r="BF151" s="136" t="str">
        <f>IF(AI119="","",IF(J151="","",J151))</f>
        <v>HR</v>
      </c>
      <c r="BG151" s="136" t="str">
        <f>IF(AI119="","",IF(K151="","",K151))</f>
        <v>-</v>
      </c>
      <c r="BH151" s="136" t="str">
        <f>IF(AI119="","",IF(L151="","",L151))</f>
        <v>HR</v>
      </c>
      <c r="BI151" s="136" t="str">
        <f>IF(AI119="","",IF(M151="","",M151))</f>
        <v>-</v>
      </c>
      <c r="BJ151" s="136" t="str">
        <f>IF(AI119="","",IF(N151="","",N151))</f>
        <v>PV</v>
      </c>
      <c r="BK151" s="136" t="str">
        <f>IF(AI119="","",IF(O151="","",O151))</f>
        <v>-</v>
      </c>
      <c r="BM151" s="136" t="str">
        <f t="shared" si="105"/>
        <v>TG</v>
      </c>
      <c r="BN151" s="136" t="str">
        <f t="shared" si="93"/>
        <v>Trabalho de Grupo</v>
      </c>
      <c r="BO151" s="136" t="str">
        <f t="shared" si="93"/>
        <v/>
      </c>
      <c r="BP151" s="136">
        <f>(COUNTIFS(AX123:AX170,BM151,AY123:AY170,BO151)+COUNTIFS(AZ123:AZ170,BM151,BA123:BA170,BO151)+COUNTIFS(BB123:BB170,BM151,BC123:BC170,BO151)+COUNTIFS(BD123:BD170,BM151,BE123:BE170,BO151)+COUNTIFS(BF123:BF170,BM151,BG123:BG170,BO151)+COUNTIFS(BH123:BH170,BM151,BI123:BI170,BO151)+COUNTIFS(BJ123:BJ170,BM151,BK123:BK170,BO151))*0.5</f>
        <v>0</v>
      </c>
      <c r="BQ151" s="136" t="str">
        <f t="shared" si="94"/>
        <v>Trabalho de Grupo</v>
      </c>
      <c r="BR151" s="136" t="str">
        <f t="shared" si="94"/>
        <v/>
      </c>
      <c r="BS151" s="136" t="str">
        <f t="shared" si="95"/>
        <v>Trabalho de Grupo</v>
      </c>
      <c r="BT151" s="136">
        <f t="shared" si="101"/>
        <v>0</v>
      </c>
      <c r="BU151" s="136">
        <f t="shared" si="102"/>
        <v>0</v>
      </c>
      <c r="BZ151" s="280"/>
      <c r="CA151" s="183" t="str">
        <f>'INFO BASE'!L214</f>
        <v>-</v>
      </c>
      <c r="CB151" s="183" t="str">
        <f>'INFO BASE'!M214</f>
        <v/>
      </c>
      <c r="CR151" s="177" t="str">
        <f t="shared" si="83"/>
        <v>HR</v>
      </c>
      <c r="CS151" s="177" t="str">
        <f t="shared" si="84"/>
        <v>HR-</v>
      </c>
      <c r="CT151" s="177" t="str">
        <f t="shared" si="83"/>
        <v>HR</v>
      </c>
      <c r="CU151" s="177" t="str">
        <f t="shared" si="85"/>
        <v>HR-</v>
      </c>
      <c r="CV151" s="177" t="str">
        <f t="shared" si="83"/>
        <v>HR</v>
      </c>
      <c r="CW151" s="177" t="str">
        <f t="shared" si="86"/>
        <v>HR-</v>
      </c>
      <c r="CX151" s="177" t="str">
        <f t="shared" si="83"/>
        <v>HR</v>
      </c>
      <c r="CY151" s="177" t="str">
        <f t="shared" si="87"/>
        <v>HR-</v>
      </c>
      <c r="CZ151" s="177" t="str">
        <f t="shared" si="83"/>
        <v>HR</v>
      </c>
      <c r="DA151" s="177" t="str">
        <f t="shared" si="88"/>
        <v>HR-</v>
      </c>
      <c r="DB151" s="177" t="str">
        <f t="shared" si="83"/>
        <v>HR</v>
      </c>
      <c r="DC151" s="177" t="str">
        <f t="shared" si="89"/>
        <v>HR-</v>
      </c>
      <c r="DD151" s="177" t="str">
        <f t="shared" si="90"/>
        <v>PV</v>
      </c>
      <c r="DE151" s="177">
        <f t="shared" si="91"/>
        <v>0</v>
      </c>
    </row>
    <row r="152" spans="1:109" ht="18" customHeight="1" x14ac:dyDescent="0.3">
      <c r="A152" s="81">
        <v>0.60416666666668595</v>
      </c>
      <c r="B152" s="166" t="s">
        <v>12</v>
      </c>
      <c r="C152" s="130" t="s">
        <v>120</v>
      </c>
      <c r="D152" s="169" t="s">
        <v>12</v>
      </c>
      <c r="E152" s="130" t="s">
        <v>120</v>
      </c>
      <c r="F152" s="169" t="s">
        <v>12</v>
      </c>
      <c r="G152" s="130" t="s">
        <v>120</v>
      </c>
      <c r="H152" s="169" t="s">
        <v>12</v>
      </c>
      <c r="I152" s="130" t="s">
        <v>120</v>
      </c>
      <c r="J152" s="169" t="s">
        <v>12</v>
      </c>
      <c r="K152" s="130" t="s">
        <v>120</v>
      </c>
      <c r="L152" s="169" t="s">
        <v>116</v>
      </c>
      <c r="M152" s="130" t="s">
        <v>120</v>
      </c>
      <c r="N152" s="169" t="s">
        <v>12</v>
      </c>
      <c r="O152" s="154" t="s">
        <v>120</v>
      </c>
      <c r="P152" s="6">
        <v>0</v>
      </c>
      <c r="Q152" s="118" t="str">
        <f t="shared" si="106"/>
        <v>Trabalho de Grupo</v>
      </c>
      <c r="R152" s="105" t="str">
        <f t="shared" si="100"/>
        <v>AL</v>
      </c>
      <c r="S152" s="88">
        <f t="shared" si="97"/>
        <v>-1</v>
      </c>
      <c r="T152" s="89">
        <f>IF(VLOOKUP(Q152,'INFO BASE'!$B$40:$I$54,IF(R152='INFO BASE'!$B$32,3,IF(R152='INFO BASE'!$B$33,4,IF(R152='INFO BASE'!$B$34,5,IF(R152='INFO BASE'!$B$35,6,IF(R152='INFO BASE'!$B$36,7,IF(R152='INFO BASE'!$B$37,8,2)))))),0)=0,"",VLOOKUP(Q152,'INFO BASE'!$B$40:$I$54,IF(R152='INFO BASE'!$B$32,3,IF(R152='INFO BASE'!$B$33,4,IF(R152='INFO BASE'!$B$34,5,IF(R152='INFO BASE'!$B$35,6,IF(R152='INFO BASE'!$B$36,7,IF(R152='INFO BASE'!$B$37,8,2)))))),0))</f>
        <v>3</v>
      </c>
      <c r="U152" s="89">
        <f>(COUNTIFS(C123:C170,R152,B123:B170,R148)+COUNTIFS(E123:E170,R152,D123:D170,R148)+COUNTIFS(G123:G170,R152,F123:F170,R148)+COUNTIFS(I123:I170,R152,H123:H170,R148)+COUNTIFS(K123:K170,R152,J123:J170,R148)+COUNTIFS(M123:M170,R152,L123:L170,R148)+COUNTIFS(O123:O170,R152,N123:N170,R148))*0.5</f>
        <v>0</v>
      </c>
      <c r="V152" s="89">
        <f>(COUNTIFS(AI123:AI170,R148,AJ123:AJ170,R145)+COUNTIFS(AK123:AK170,R148,AL123:AL170,R145)+COUNTIFS(AM123:AM170,R148,AN123:AN170,R145)+COUNTIFS(AO123:AO170,R148,AP123:AP170,R145)+COUNTIFS(AQ123:AQ170,R148,AR123:AR170,R145)+COUNTIFS(AS123:AS170,R148,AT123:AT170,R145)+COUNTIFS(AU123:AU170,R148,AV123:AV170,R145))*0.5</f>
        <v>0</v>
      </c>
      <c r="W152" s="90">
        <f>IF(AH119="","-",IF(V152=0,U152,IFERROR((U152/V152)-1,"-")))</f>
        <v>0</v>
      </c>
      <c r="X152" s="201">
        <f t="shared" si="98"/>
        <v>0</v>
      </c>
      <c r="Y152" s="271"/>
      <c r="Z152" s="272"/>
      <c r="AA152" s="272"/>
      <c r="AB152" s="272"/>
      <c r="AC152" s="272"/>
      <c r="AD152" s="272"/>
      <c r="AE152" s="272"/>
      <c r="AF152" s="273"/>
      <c r="AH152" s="136">
        <v>0.60416666666668595</v>
      </c>
      <c r="AI152" s="136" t="s">
        <v>12</v>
      </c>
      <c r="AJ152" s="136" t="s">
        <v>120</v>
      </c>
      <c r="AK152" s="136" t="s">
        <v>12</v>
      </c>
      <c r="AL152" s="136" t="s">
        <v>120</v>
      </c>
      <c r="AM152" s="136" t="s">
        <v>12</v>
      </c>
      <c r="AN152" s="136" t="s">
        <v>120</v>
      </c>
      <c r="AO152" s="136" t="s">
        <v>12</v>
      </c>
      <c r="AP152" s="136" t="s">
        <v>120</v>
      </c>
      <c r="AQ152" s="136" t="s">
        <v>12</v>
      </c>
      <c r="AR152" s="136" t="s">
        <v>120</v>
      </c>
      <c r="AS152" s="136" t="s">
        <v>116</v>
      </c>
      <c r="AT152" s="136" t="s">
        <v>235</v>
      </c>
      <c r="AU152" s="136" t="s">
        <v>12</v>
      </c>
      <c r="AV152" s="136" t="s">
        <v>120</v>
      </c>
      <c r="AX152" s="136" t="str">
        <f>IF(AI119="","",IF(B152="","",B152))</f>
        <v>HR</v>
      </c>
      <c r="AY152" s="136" t="str">
        <f>IF(AI119="","",IF(C152="","",C152))</f>
        <v>-</v>
      </c>
      <c r="AZ152" s="136" t="str">
        <f>IF(AI119="","",IF(D152="","",D152))</f>
        <v>HR</v>
      </c>
      <c r="BA152" s="136" t="str">
        <f>IF(AI119="","",IF(E152="","",E152))</f>
        <v>-</v>
      </c>
      <c r="BB152" s="136" t="str">
        <f>IF(AI119="","",IF(F152="","",F152))</f>
        <v>HR</v>
      </c>
      <c r="BC152" s="136" t="str">
        <f>IF(AI119="","",IF(G152="","",G152))</f>
        <v>-</v>
      </c>
      <c r="BD152" s="136" t="str">
        <f>IF(AI119="","",IF(H152="","",H152))</f>
        <v>HR</v>
      </c>
      <c r="BE152" s="136" t="str">
        <f>IF(AI119="","",IF(I152="","",I152))</f>
        <v>-</v>
      </c>
      <c r="BF152" s="136" t="str">
        <f>IF(AI119="","",IF(J152="","",J152))</f>
        <v>HR</v>
      </c>
      <c r="BG152" s="136" t="str">
        <f>IF(AI119="","",IF(K152="","",K152))</f>
        <v>-</v>
      </c>
      <c r="BH152" s="136" t="str">
        <f>IF(AI119="","",IF(L152="","",L152))</f>
        <v>PV</v>
      </c>
      <c r="BI152" s="136" t="str">
        <f>IF(AI119="","",IF(M152="","",M152))</f>
        <v>-</v>
      </c>
      <c r="BJ152" s="136" t="str">
        <f>IF(AI119="","",IF(N152="","",N152))</f>
        <v>HR</v>
      </c>
      <c r="BK152" s="136" t="str">
        <f>IF(AI119="","",IF(O152="","",O152))</f>
        <v>-</v>
      </c>
      <c r="BM152" s="136" t="str">
        <f>BO152</f>
        <v>AT</v>
      </c>
      <c r="BN152" s="136" t="str">
        <f t="shared" si="93"/>
        <v>Aulas Teóricas</v>
      </c>
      <c r="BO152" s="136" t="str">
        <f t="shared" si="93"/>
        <v>AT</v>
      </c>
      <c r="BP152" s="136">
        <f>COUNTIFS(AX123:BK170,BO152)*0.5</f>
        <v>15</v>
      </c>
      <c r="BQ152" s="136" t="str">
        <f t="shared" si="94"/>
        <v>Aulas Teóricas</v>
      </c>
      <c r="BR152" s="136" t="str">
        <f t="shared" si="94"/>
        <v>AT</v>
      </c>
      <c r="BS152" s="136" t="str">
        <f t="shared" si="95"/>
        <v>Aulas Teóricas</v>
      </c>
      <c r="BT152" s="136">
        <f t="shared" si="101"/>
        <v>120</v>
      </c>
      <c r="BU152" s="136">
        <f t="shared" si="102"/>
        <v>120</v>
      </c>
      <c r="BZ152" s="280"/>
      <c r="CA152" s="183" t="str">
        <f>'INFO BASE'!L215</f>
        <v>-</v>
      </c>
      <c r="CB152" s="183" t="str">
        <f>'INFO BASE'!M215</f>
        <v/>
      </c>
      <c r="CR152" s="177" t="str">
        <f t="shared" si="83"/>
        <v>HR</v>
      </c>
      <c r="CS152" s="177" t="str">
        <f t="shared" si="84"/>
        <v>HR-</v>
      </c>
      <c r="CT152" s="177" t="str">
        <f t="shared" si="83"/>
        <v>HR</v>
      </c>
      <c r="CU152" s="177" t="str">
        <f t="shared" si="85"/>
        <v>HR-</v>
      </c>
      <c r="CV152" s="177" t="str">
        <f t="shared" si="83"/>
        <v>HR</v>
      </c>
      <c r="CW152" s="177" t="str">
        <f t="shared" si="86"/>
        <v>HR-</v>
      </c>
      <c r="CX152" s="177" t="str">
        <f t="shared" si="83"/>
        <v>HR</v>
      </c>
      <c r="CY152" s="177" t="str">
        <f t="shared" si="87"/>
        <v>HR-</v>
      </c>
      <c r="CZ152" s="177" t="str">
        <f t="shared" si="83"/>
        <v>HR</v>
      </c>
      <c r="DA152" s="177" t="str">
        <f t="shared" si="88"/>
        <v>HR-</v>
      </c>
      <c r="DB152" s="177" t="str">
        <f t="shared" si="83"/>
        <v>PV</v>
      </c>
      <c r="DC152" s="177">
        <f t="shared" si="89"/>
        <v>0</v>
      </c>
      <c r="DD152" s="177" t="str">
        <f t="shared" si="90"/>
        <v>HR</v>
      </c>
      <c r="DE152" s="177" t="str">
        <f t="shared" si="91"/>
        <v>HR-</v>
      </c>
    </row>
    <row r="153" spans="1:109" ht="18" customHeight="1" x14ac:dyDescent="0.3">
      <c r="A153" s="81">
        <v>0.62500000000001998</v>
      </c>
      <c r="B153" s="166" t="s">
        <v>128</v>
      </c>
      <c r="C153" s="130" t="s">
        <v>230</v>
      </c>
      <c r="D153" s="169" t="s">
        <v>128</v>
      </c>
      <c r="E153" s="130" t="s">
        <v>231</v>
      </c>
      <c r="F153" s="169" t="s">
        <v>128</v>
      </c>
      <c r="G153" s="130" t="s">
        <v>224</v>
      </c>
      <c r="H153" s="169" t="s">
        <v>128</v>
      </c>
      <c r="I153" s="130" t="s">
        <v>230</v>
      </c>
      <c r="J153" s="169" t="s">
        <v>128</v>
      </c>
      <c r="K153" s="130" t="s">
        <v>231</v>
      </c>
      <c r="L153" s="169" t="s">
        <v>116</v>
      </c>
      <c r="M153" s="130" t="s">
        <v>120</v>
      </c>
      <c r="N153" s="169" t="s">
        <v>12</v>
      </c>
      <c r="O153" s="154" t="s">
        <v>120</v>
      </c>
      <c r="P153" s="6">
        <v>0</v>
      </c>
      <c r="Q153" s="118" t="str">
        <f t="shared" si="106"/>
        <v>Trabalho de Grupo</v>
      </c>
      <c r="R153" s="105" t="str">
        <f t="shared" si="100"/>
        <v>CDI</v>
      </c>
      <c r="S153" s="88">
        <f t="shared" si="97"/>
        <v>-1</v>
      </c>
      <c r="T153" s="89">
        <f>IF(VLOOKUP(Q153,'INFO BASE'!$B$40:$I$54,IF(R153='INFO BASE'!$B$32,3,IF(R153='INFO BASE'!$B$33,4,IF(R153='INFO BASE'!$B$34,5,IF(R153='INFO BASE'!$B$35,6,IF(R153='INFO BASE'!$B$36,7,IF(R153='INFO BASE'!$B$37,8,2)))))),0)=0,"",VLOOKUP(Q153,'INFO BASE'!$B$40:$I$54,IF(R153='INFO BASE'!$B$32,3,IF(R153='INFO BASE'!$B$33,4,IF(R153='INFO BASE'!$B$34,5,IF(R153='INFO BASE'!$B$35,6,IF(R153='INFO BASE'!$B$36,7,IF(R153='INFO BASE'!$B$37,8,2)))))),0))</f>
        <v>3</v>
      </c>
      <c r="U153" s="89">
        <f>(COUNTIFS(C123:C170,R153,B123:B170,R148)+COUNTIFS(E123:E170,R153,D123:D170,R148)+COUNTIFS(G123:G170,R153,F123:F170,R148)+COUNTIFS(I123:I170,R153,H123:H170,R148)+COUNTIFS(K123:K170,R153,J123:J170,R148)+COUNTIFS(M123:M170,R153,L123:L170,R148)+COUNTIFS(O123:O170,R153,N123:N170,R148))*0.5</f>
        <v>0</v>
      </c>
      <c r="V153" s="89">
        <f>(COUNTIFS(AI123:AI170,R148,AJ123:AJ170,R146)+COUNTIFS(AK123:AK170,R148,AL123:AL170,R146)+COUNTIFS(AM123:AM170,R148,AN123:AN170,R146)+COUNTIFS(AO123:AO170,R148,AP123:AP170,R146)+COUNTIFS(AQ123:AQ170,R148,AR123:AR170,R146)+COUNTIFS(AS123:AS170,R148,AT123:AT170,R146)+COUNTIFS(AU123:AU170,R148,AV123:AV170,R146))*0.5</f>
        <v>0</v>
      </c>
      <c r="W153" s="90">
        <f>IF(AH119="","-",IF(V153=0,U153,IFERROR((U153/V153)-1,"-")))</f>
        <v>0</v>
      </c>
      <c r="X153" s="201">
        <f t="shared" si="98"/>
        <v>0</v>
      </c>
      <c r="Y153" s="271"/>
      <c r="Z153" s="272"/>
      <c r="AA153" s="272"/>
      <c r="AB153" s="272"/>
      <c r="AC153" s="272"/>
      <c r="AD153" s="272"/>
      <c r="AE153" s="272"/>
      <c r="AF153" s="273"/>
      <c r="AH153" s="136">
        <v>0.62500000000001998</v>
      </c>
      <c r="AI153" s="136" t="s">
        <v>128</v>
      </c>
      <c r="AJ153" s="136" t="s">
        <v>230</v>
      </c>
      <c r="AK153" s="136" t="s">
        <v>128</v>
      </c>
      <c r="AL153" s="136" t="s">
        <v>231</v>
      </c>
      <c r="AM153" s="136" t="s">
        <v>128</v>
      </c>
      <c r="AN153" s="136" t="s">
        <v>224</v>
      </c>
      <c r="AO153" s="136" t="s">
        <v>128</v>
      </c>
      <c r="AP153" s="136" t="s">
        <v>230</v>
      </c>
      <c r="AQ153" s="136" t="s">
        <v>128</v>
      </c>
      <c r="AR153" s="136" t="s">
        <v>231</v>
      </c>
      <c r="AS153" s="136" t="s">
        <v>116</v>
      </c>
      <c r="AT153" s="136" t="s">
        <v>235</v>
      </c>
      <c r="AU153" s="136" t="s">
        <v>12</v>
      </c>
      <c r="AV153" s="136" t="s">
        <v>120</v>
      </c>
      <c r="AX153" s="136" t="str">
        <f>IF(AI119="","",IF(B153="","",B153))</f>
        <v>EG</v>
      </c>
      <c r="AY153" s="136" t="str">
        <f>IF(AI119="","",IF(C153="","",C153))</f>
        <v>AL</v>
      </c>
      <c r="AZ153" s="136" t="str">
        <f>IF(AI119="","",IF(D153="","",D153))</f>
        <v>EG</v>
      </c>
      <c r="BA153" s="136" t="str">
        <f>IF(AI119="","",IF(E153="","",E153))</f>
        <v>CDI</v>
      </c>
      <c r="BB153" s="136" t="str">
        <f>IF(AI119="","",IF(F153="","",F153))</f>
        <v>EG</v>
      </c>
      <c r="BC153" s="136" t="str">
        <f>IF(AI119="","",IF(G153="","",G153))</f>
        <v>FP</v>
      </c>
      <c r="BD153" s="136" t="str">
        <f>IF(AI119="","",IF(H153="","",H153))</f>
        <v>EG</v>
      </c>
      <c r="BE153" s="136" t="str">
        <f>IF(AI119="","",IF(I153="","",I153))</f>
        <v>AL</v>
      </c>
      <c r="BF153" s="136" t="str">
        <f>IF(AI119="","",IF(J153="","",J153))</f>
        <v>EG</v>
      </c>
      <c r="BG153" s="136" t="str">
        <f>IF(AI119="","",IF(K153="","",K153))</f>
        <v>CDI</v>
      </c>
      <c r="BH153" s="136" t="str">
        <f>IF(AI119="","",IF(L153="","",L153))</f>
        <v>PV</v>
      </c>
      <c r="BI153" s="136" t="str">
        <f>IF(AI119="","",IF(M153="","",M153))</f>
        <v>-</v>
      </c>
      <c r="BJ153" s="136" t="str">
        <f>IF(AI119="","",IF(N153="","",N153))</f>
        <v>HR</v>
      </c>
      <c r="BK153" s="136" t="str">
        <f>IF(AI119="","",IF(O153="","",O153))</f>
        <v>-</v>
      </c>
      <c r="BM153" s="136" t="str">
        <f>BM152</f>
        <v>AT</v>
      </c>
      <c r="BN153" s="136" t="str">
        <f t="shared" si="93"/>
        <v>Aulas Teóricas</v>
      </c>
      <c r="BO153" s="136" t="str">
        <f t="shared" si="93"/>
        <v>FP</v>
      </c>
      <c r="BP153" s="136">
        <f>(COUNTIFS(AX123:AX170,BM153,AY123:AY170,BO153)+COUNTIFS(AZ123:AZ170,BM153,BA123:BA170,BO153)+COUNTIFS(BB123:BB170,BM153,BC123:BC170,BO153)+COUNTIFS(BD123:BD170,BM153,BE123:BE170,BO153)+COUNTIFS(BF123:BF170,BM153,BG123:BG170,BO153)+COUNTIFS(BH123:BH170,BM153,BI123:BI170,BO153)+COUNTIFS(BJ123:BJ170,BM153,BK123:BK170,BO153))*0.5</f>
        <v>3</v>
      </c>
      <c r="BQ153" s="136" t="str">
        <f t="shared" si="94"/>
        <v>Aulas Teóricas</v>
      </c>
      <c r="BR153" s="136" t="str">
        <f t="shared" si="94"/>
        <v>FP</v>
      </c>
      <c r="BS153" s="136" t="str">
        <f t="shared" si="95"/>
        <v>Aulas Teóricas</v>
      </c>
      <c r="BT153" s="136">
        <f t="shared" si="101"/>
        <v>24</v>
      </c>
      <c r="BU153" s="136">
        <f t="shared" si="102"/>
        <v>24</v>
      </c>
      <c r="BZ153" s="280"/>
      <c r="CA153" s="183" t="str">
        <f>'INFO BASE'!L216</f>
        <v>-</v>
      </c>
      <c r="CB153" s="183" t="str">
        <f>'INFO BASE'!M216</f>
        <v/>
      </c>
      <c r="CR153" s="177" t="str">
        <f t="shared" si="83"/>
        <v>EG</v>
      </c>
      <c r="CS153" s="177" t="str">
        <f t="shared" si="84"/>
        <v>EGAL</v>
      </c>
      <c r="CT153" s="177" t="str">
        <f t="shared" si="83"/>
        <v>EG</v>
      </c>
      <c r="CU153" s="177" t="str">
        <f t="shared" si="85"/>
        <v>EGCDI</v>
      </c>
      <c r="CV153" s="177" t="str">
        <f t="shared" si="83"/>
        <v>EG</v>
      </c>
      <c r="CW153" s="177" t="str">
        <f t="shared" si="86"/>
        <v>EGFP</v>
      </c>
      <c r="CX153" s="177" t="str">
        <f t="shared" si="83"/>
        <v>EG</v>
      </c>
      <c r="CY153" s="177" t="str">
        <f t="shared" si="87"/>
        <v>EGAL</v>
      </c>
      <c r="CZ153" s="177" t="str">
        <f t="shared" si="83"/>
        <v>EG</v>
      </c>
      <c r="DA153" s="177" t="str">
        <f t="shared" si="88"/>
        <v>EGCDI</v>
      </c>
      <c r="DB153" s="177" t="str">
        <f t="shared" si="83"/>
        <v>PV</v>
      </c>
      <c r="DC153" s="177">
        <f t="shared" si="89"/>
        <v>0</v>
      </c>
      <c r="DD153" s="177" t="str">
        <f t="shared" si="90"/>
        <v>HR</v>
      </c>
      <c r="DE153" s="177" t="str">
        <f t="shared" si="91"/>
        <v>HR-</v>
      </c>
    </row>
    <row r="154" spans="1:109" ht="18" customHeight="1" thickBot="1" x14ac:dyDescent="0.35">
      <c r="A154" s="81">
        <v>0.64583333333335402</v>
      </c>
      <c r="B154" s="166" t="s">
        <v>128</v>
      </c>
      <c r="C154" s="130" t="s">
        <v>230</v>
      </c>
      <c r="D154" s="169" t="s">
        <v>128</v>
      </c>
      <c r="E154" s="130" t="s">
        <v>231</v>
      </c>
      <c r="F154" s="169" t="s">
        <v>128</v>
      </c>
      <c r="G154" s="130" t="s">
        <v>224</v>
      </c>
      <c r="H154" s="169" t="s">
        <v>128</v>
      </c>
      <c r="I154" s="130" t="s">
        <v>230</v>
      </c>
      <c r="J154" s="169" t="s">
        <v>128</v>
      </c>
      <c r="K154" s="130" t="s">
        <v>231</v>
      </c>
      <c r="L154" s="169" t="s">
        <v>8</v>
      </c>
      <c r="M154" s="130" t="s">
        <v>224</v>
      </c>
      <c r="N154" s="169" t="s">
        <v>8</v>
      </c>
      <c r="O154" s="154" t="s">
        <v>226</v>
      </c>
      <c r="P154" s="6">
        <v>0</v>
      </c>
      <c r="Q154" s="120" t="str">
        <f t="shared" si="106"/>
        <v>Trabalho de Grupo</v>
      </c>
      <c r="R154" s="107" t="str">
        <f t="shared" si="100"/>
        <v/>
      </c>
      <c r="S154" s="94" t="str">
        <f t="shared" si="97"/>
        <v>-</v>
      </c>
      <c r="T154" s="95" t="str">
        <f>IF(VLOOKUP(Q154,'INFO BASE'!$B$40:$I$54,IF(R154='INFO BASE'!$B$32,3,IF(R154='INFO BASE'!$B$33,4,IF(R154='INFO BASE'!$B$34,5,IF(R154='INFO BASE'!$B$35,6,IF(R154='INFO BASE'!$B$36,7,IF(R154='INFO BASE'!$B$37,8,2)))))),0)=0,"",VLOOKUP(Q154,'INFO BASE'!$B$40:$I$54,IF(R154='INFO BASE'!$B$32,3,IF(R154='INFO BASE'!$B$33,4,IF(R154='INFO BASE'!$B$34,5,IF(R154='INFO BASE'!$B$35,6,IF(R154='INFO BASE'!$B$36,7,IF(R154='INFO BASE'!$B$37,8,2)))))),0))</f>
        <v/>
      </c>
      <c r="U154" s="95">
        <f>(COUNTIFS(C123:C170,R154,B123:B170,R148)+COUNTIFS(E123:E170,R154,D123:D170,R148)+COUNTIFS(G123:G170,R154,F123:F170,R148)+COUNTIFS(I123:I170,R154,H123:H170,R148)+COUNTIFS(K123:K170,R154,J123:J170,R148)+COUNTIFS(M123:M170,R154,L123:L170,R148)+COUNTIFS(O123:O170,R154,N123:N170,R148))*0.5</f>
        <v>0</v>
      </c>
      <c r="V154" s="95">
        <f>(COUNTIFS(AI123:AI170,R148,AJ123:AJ170,R147)+COUNTIFS(AK123:AK170,R148,AL123:AL170,R147)+COUNTIFS(AM123:AM170,R148,AN123:AN170,R147)+COUNTIFS(AO123:AO170,R148,AP123:AP170,R147)+COUNTIFS(AQ123:AQ170,R148,AR123:AR170,R147)+COUNTIFS(AS123:AS170,R148,AT123:AT170,R147)+COUNTIFS(AU123:AU170,R148,AV123:AV170,R147))*0.5</f>
        <v>0</v>
      </c>
      <c r="W154" s="96">
        <f>IF(AH119="","-",IF(V154=0,U154,IFERROR((U154/V154)-1,"-")))</f>
        <v>0</v>
      </c>
      <c r="X154" s="201">
        <f t="shared" si="98"/>
        <v>0</v>
      </c>
      <c r="Y154" s="274"/>
      <c r="Z154" s="275"/>
      <c r="AA154" s="275"/>
      <c r="AB154" s="275"/>
      <c r="AC154" s="275"/>
      <c r="AD154" s="275"/>
      <c r="AE154" s="275"/>
      <c r="AF154" s="276"/>
      <c r="AH154" s="136">
        <v>0.64583333333335402</v>
      </c>
      <c r="AI154" s="136" t="s">
        <v>128</v>
      </c>
      <c r="AJ154" s="136" t="s">
        <v>230</v>
      </c>
      <c r="AK154" s="136" t="s">
        <v>128</v>
      </c>
      <c r="AL154" s="136" t="s">
        <v>231</v>
      </c>
      <c r="AM154" s="136" t="s">
        <v>128</v>
      </c>
      <c r="AN154" s="136" t="s">
        <v>224</v>
      </c>
      <c r="AO154" s="136" t="s">
        <v>128</v>
      </c>
      <c r="AP154" s="136" t="s">
        <v>230</v>
      </c>
      <c r="AQ154" s="136" t="s">
        <v>128</v>
      </c>
      <c r="AR154" s="136" t="s">
        <v>231</v>
      </c>
      <c r="AS154" s="136" t="s">
        <v>8</v>
      </c>
      <c r="AT154" s="136" t="s">
        <v>226</v>
      </c>
      <c r="AU154" s="136" t="s">
        <v>12</v>
      </c>
      <c r="AV154" s="136" t="s">
        <v>120</v>
      </c>
      <c r="AX154" s="136" t="str">
        <f>IF(AI119="","",IF(B154="","",B154))</f>
        <v>EG</v>
      </c>
      <c r="AY154" s="136" t="str">
        <f>IF(AI119="","",IF(C154="","",C154))</f>
        <v>AL</v>
      </c>
      <c r="AZ154" s="136" t="str">
        <f>IF(AI119="","",IF(D154="","",D154))</f>
        <v>EG</v>
      </c>
      <c r="BA154" s="136" t="str">
        <f>IF(AI119="","",IF(E154="","",E154))</f>
        <v>CDI</v>
      </c>
      <c r="BB154" s="136" t="str">
        <f>IF(AI119="","",IF(F154="","",F154))</f>
        <v>EG</v>
      </c>
      <c r="BC154" s="136" t="str">
        <f>IF(AI119="","",IF(G154="","",G154))</f>
        <v>FP</v>
      </c>
      <c r="BD154" s="136" t="str">
        <f>IF(AI119="","",IF(H154="","",H154))</f>
        <v>EG</v>
      </c>
      <c r="BE154" s="136" t="str">
        <f>IF(AI119="","",IF(I154="","",I154))</f>
        <v>AL</v>
      </c>
      <c r="BF154" s="136" t="str">
        <f>IF(AI119="","",IF(J154="","",J154))</f>
        <v>EG</v>
      </c>
      <c r="BG154" s="136" t="str">
        <f>IF(AI119="","",IF(K154="","",K154))</f>
        <v>CDI</v>
      </c>
      <c r="BH154" s="136" t="str">
        <f>IF(AI119="","",IF(L154="","",L154))</f>
        <v>EA</v>
      </c>
      <c r="BI154" s="136" t="str">
        <f>IF(AI119="","",IF(M154="","",M154))</f>
        <v>FP</v>
      </c>
      <c r="BJ154" s="136" t="str">
        <f>IF(AI119="","",IF(N154="","",N154))</f>
        <v>EA</v>
      </c>
      <c r="BK154" s="136" t="str">
        <f>IF(AI119="","",IF(O154="","",O154))</f>
        <v>IEI</v>
      </c>
      <c r="BM154" s="136" t="str">
        <f t="shared" ref="BM154:BM158" si="107">BM153</f>
        <v>AT</v>
      </c>
      <c r="BN154" s="136" t="str">
        <f t="shared" si="93"/>
        <v>Aulas Teóricas</v>
      </c>
      <c r="BO154" s="136" t="str">
        <f t="shared" si="93"/>
        <v>IEI</v>
      </c>
      <c r="BP154" s="136">
        <f>(COUNTIFS(AX123:AX170,BM154,AY123:AY170,BO154)+COUNTIFS(AZ123:AZ170,BM154,BA123:BA170,BO154)+COUNTIFS(BB123:BB170,BM154,BC123:BC170,BO154)+COUNTIFS(BD123:BD170,BM154,BE123:BE170,BO154)+COUNTIFS(BF123:BF170,BM154,BG123:BG170,BO154)+COUNTIFS(BH123:BH170,BM154,BI123:BI170,BO154)+COUNTIFS(BJ123:BJ170,BM154,BK123:BK170,BO154))*0.5</f>
        <v>3</v>
      </c>
      <c r="BQ154" s="136" t="str">
        <f t="shared" si="94"/>
        <v>Aulas Teóricas</v>
      </c>
      <c r="BR154" s="136" t="str">
        <f t="shared" si="94"/>
        <v>IEI</v>
      </c>
      <c r="BS154" s="136" t="str">
        <f t="shared" si="95"/>
        <v>Aulas Teóricas</v>
      </c>
      <c r="BT154" s="136">
        <f t="shared" si="101"/>
        <v>24</v>
      </c>
      <c r="BU154" s="136">
        <f t="shared" si="102"/>
        <v>24</v>
      </c>
      <c r="BZ154" s="280"/>
      <c r="CA154" s="183" t="str">
        <f>'INFO BASE'!L217</f>
        <v>-</v>
      </c>
      <c r="CB154" s="183" t="str">
        <f>'INFO BASE'!M217</f>
        <v/>
      </c>
      <c r="CR154" s="177" t="str">
        <f t="shared" si="83"/>
        <v>EG</v>
      </c>
      <c r="CS154" s="177" t="str">
        <f t="shared" si="84"/>
        <v>EGAL</v>
      </c>
      <c r="CT154" s="177" t="str">
        <f t="shared" si="83"/>
        <v>EG</v>
      </c>
      <c r="CU154" s="177" t="str">
        <f t="shared" si="85"/>
        <v>EGCDI</v>
      </c>
      <c r="CV154" s="177" t="str">
        <f t="shared" si="83"/>
        <v>EG</v>
      </c>
      <c r="CW154" s="177" t="str">
        <f t="shared" si="86"/>
        <v>EGFP</v>
      </c>
      <c r="CX154" s="177" t="str">
        <f t="shared" si="83"/>
        <v>EG</v>
      </c>
      <c r="CY154" s="177" t="str">
        <f t="shared" si="87"/>
        <v>EGAL</v>
      </c>
      <c r="CZ154" s="177" t="str">
        <f t="shared" si="83"/>
        <v>EG</v>
      </c>
      <c r="DA154" s="177" t="str">
        <f t="shared" si="88"/>
        <v>EGCDI</v>
      </c>
      <c r="DB154" s="177" t="str">
        <f t="shared" si="83"/>
        <v>EA</v>
      </c>
      <c r="DC154" s="177" t="str">
        <f t="shared" si="89"/>
        <v>EAFP</v>
      </c>
      <c r="DD154" s="177" t="str">
        <f t="shared" si="90"/>
        <v>EA</v>
      </c>
      <c r="DE154" s="177" t="str">
        <f t="shared" si="91"/>
        <v>EAIEI</v>
      </c>
    </row>
    <row r="155" spans="1:109" ht="18" customHeight="1" x14ac:dyDescent="0.3">
      <c r="A155" s="81">
        <v>0.66666666666668795</v>
      </c>
      <c r="B155" s="166" t="s">
        <v>116</v>
      </c>
      <c r="C155" s="130" t="s">
        <v>120</v>
      </c>
      <c r="D155" s="169" t="s">
        <v>116</v>
      </c>
      <c r="E155" s="130" t="s">
        <v>120</v>
      </c>
      <c r="F155" s="169" t="s">
        <v>116</v>
      </c>
      <c r="G155" s="130" t="s">
        <v>120</v>
      </c>
      <c r="H155" s="169" t="s">
        <v>116</v>
      </c>
      <c r="I155" s="130" t="s">
        <v>120</v>
      </c>
      <c r="J155" s="169" t="s">
        <v>116</v>
      </c>
      <c r="K155" s="130" t="s">
        <v>120</v>
      </c>
      <c r="L155" s="169" t="s">
        <v>8</v>
      </c>
      <c r="M155" s="130" t="s">
        <v>224</v>
      </c>
      <c r="N155" s="169" t="s">
        <v>8</v>
      </c>
      <c r="O155" s="154" t="s">
        <v>226</v>
      </c>
      <c r="P155" s="6">
        <v>0</v>
      </c>
      <c r="Q155" s="121" t="str">
        <f>IF('INFO BASE'!$C$20="","",'INFO BASE'!$C$20)</f>
        <v>Aulas Teóricas</v>
      </c>
      <c r="R155" s="82" t="str">
        <f t="shared" si="100"/>
        <v>AT</v>
      </c>
      <c r="S155" s="83">
        <f t="shared" si="97"/>
        <v>0</v>
      </c>
      <c r="T155" s="84">
        <f>IF(VLOOKUP(Q155,'INFO BASE'!$B$40:$I$54,IF(R155='INFO BASE'!$B$32,3,IF(R155='INFO BASE'!$B$33,4,IF(R155='INFO BASE'!$B$34,5,IF(R155='INFO BASE'!$B$35,6,IF(R155='INFO BASE'!$B$36,7,IF(R155='INFO BASE'!$B$37,8,2)))))),0)=0,"",VLOOKUP(Q155,'INFO BASE'!$B$40:$I$54,IF(R155='INFO BASE'!$B$32,3,IF(R155='INFO BASE'!$B$33,4,IF(R155='INFO BASE'!$B$34,5,IF(R155='INFO BASE'!$B$35,6,IF(R155='INFO BASE'!$B$36,7,IF(R155='INFO BASE'!$B$37,8,2)))))),0))</f>
        <v>15</v>
      </c>
      <c r="U155" s="84">
        <f>IF(R155="","",COUNTIFS(SEMANA3,R155)*0.5)</f>
        <v>15</v>
      </c>
      <c r="V155" s="84">
        <f>IF(R155="","",COUNTIFS(AI123:AV170,R155)*0.5)</f>
        <v>15</v>
      </c>
      <c r="W155" s="85">
        <f>IF(AH119="","-",IF(V155=0,U155,IFERROR((U155/V155)-1,"-")))</f>
        <v>0</v>
      </c>
      <c r="X155" s="201">
        <f t="shared" si="98"/>
        <v>0</v>
      </c>
      <c r="Y155" s="277"/>
      <c r="Z155" s="278"/>
      <c r="AA155" s="278"/>
      <c r="AB155" s="278"/>
      <c r="AC155" s="278"/>
      <c r="AD155" s="278"/>
      <c r="AE155" s="278"/>
      <c r="AF155" s="279"/>
      <c r="AH155" s="136">
        <v>0.66666666666668795</v>
      </c>
      <c r="AI155" s="136" t="s">
        <v>116</v>
      </c>
      <c r="AJ155" s="136" t="s">
        <v>235</v>
      </c>
      <c r="AK155" s="136" t="s">
        <v>116</v>
      </c>
      <c r="AL155" s="136" t="s">
        <v>235</v>
      </c>
      <c r="AM155" s="136" t="s">
        <v>116</v>
      </c>
      <c r="AN155" s="136" t="s">
        <v>235</v>
      </c>
      <c r="AO155" s="136" t="s">
        <v>116</v>
      </c>
      <c r="AP155" s="136" t="s">
        <v>235</v>
      </c>
      <c r="AQ155" s="136" t="s">
        <v>116</v>
      </c>
      <c r="AR155" s="136" t="s">
        <v>235</v>
      </c>
      <c r="AS155" s="136" t="s">
        <v>8</v>
      </c>
      <c r="AT155" s="136" t="s">
        <v>226</v>
      </c>
      <c r="AU155" s="136" t="s">
        <v>116</v>
      </c>
      <c r="AV155" s="136" t="s">
        <v>235</v>
      </c>
      <c r="AX155" s="136" t="str">
        <f>IF(AI119="","",IF(B155="","",B155))</f>
        <v>PV</v>
      </c>
      <c r="AY155" s="136" t="str">
        <f>IF(AI119="","",IF(C155="","",C155))</f>
        <v>-</v>
      </c>
      <c r="AZ155" s="136" t="str">
        <f>IF(AI119="","",IF(D155="","",D155))</f>
        <v>PV</v>
      </c>
      <c r="BA155" s="136" t="str">
        <f>IF(AI119="","",IF(E155="","",E155))</f>
        <v>-</v>
      </c>
      <c r="BB155" s="136" t="str">
        <f>IF(AI119="","",IF(F155="","",F155))</f>
        <v>PV</v>
      </c>
      <c r="BC155" s="136" t="str">
        <f>IF(AI119="","",IF(G155="","",G155))</f>
        <v>-</v>
      </c>
      <c r="BD155" s="136" t="str">
        <f>IF(AI119="","",IF(H155="","",H155))</f>
        <v>PV</v>
      </c>
      <c r="BE155" s="136" t="str">
        <f>IF(AI119="","",IF(I155="","",I155))</f>
        <v>-</v>
      </c>
      <c r="BF155" s="136" t="str">
        <f>IF(AI119="","",IF(J155="","",J155))</f>
        <v>PV</v>
      </c>
      <c r="BG155" s="136" t="str">
        <f>IF(AI119="","",IF(K155="","",K155))</f>
        <v>-</v>
      </c>
      <c r="BH155" s="136" t="str">
        <f>IF(AI119="","",IF(L155="","",L155))</f>
        <v>EA</v>
      </c>
      <c r="BI155" s="136" t="str">
        <f>IF(AI119="","",IF(M155="","",M155))</f>
        <v>FP</v>
      </c>
      <c r="BJ155" s="136" t="str">
        <f>IF(AI119="","",IF(N155="","",N155))</f>
        <v>EA</v>
      </c>
      <c r="BK155" s="136" t="str">
        <f>IF(AI119="","",IF(O155="","",O155))</f>
        <v>IEI</v>
      </c>
      <c r="BM155" s="136" t="str">
        <f t="shared" si="107"/>
        <v>AT</v>
      </c>
      <c r="BN155" s="136" t="str">
        <f t="shared" si="93"/>
        <v>Aulas Teóricas</v>
      </c>
      <c r="BO155" s="136" t="str">
        <f t="shared" si="93"/>
        <v>IAC</v>
      </c>
      <c r="BP155" s="136">
        <f>(COUNTIFS(AX123:AX170,BM155,AY123:AY170,BO155)+COUNTIFS(AZ123:AZ170,BM155,BA123:BA170,BO155)+COUNTIFS(BB123:BB170,BM155,BC123:BC170,BO155)+COUNTIFS(BD123:BD170,BM155,BE123:BE170,BO155)+COUNTIFS(BF123:BF170,BM155,BG123:BG170,BO155)+COUNTIFS(BH123:BH170,BM155,BI123:BI170,BO155)+COUNTIFS(BJ123:BJ170,BM155,BK123:BK170,BO155))*0.5</f>
        <v>3</v>
      </c>
      <c r="BQ155" s="136" t="str">
        <f t="shared" si="94"/>
        <v>Aulas Teóricas</v>
      </c>
      <c r="BR155" s="136" t="str">
        <f t="shared" si="94"/>
        <v>IAC</v>
      </c>
      <c r="BS155" s="136" t="str">
        <f t="shared" si="95"/>
        <v>Aulas Teóricas</v>
      </c>
      <c r="BT155" s="136">
        <f t="shared" si="101"/>
        <v>24</v>
      </c>
      <c r="BU155" s="136">
        <f t="shared" si="102"/>
        <v>24</v>
      </c>
      <c r="BZ155" s="280"/>
      <c r="CA155" s="183" t="str">
        <f>'INFO BASE'!L218</f>
        <v>-</v>
      </c>
      <c r="CB155" s="183" t="str">
        <f>'INFO BASE'!M218</f>
        <v/>
      </c>
      <c r="CR155" s="177" t="str">
        <f t="shared" si="83"/>
        <v>PV</v>
      </c>
      <c r="CS155" s="177">
        <f t="shared" si="84"/>
        <v>0</v>
      </c>
      <c r="CT155" s="177" t="str">
        <f t="shared" si="83"/>
        <v>PV</v>
      </c>
      <c r="CU155" s="177">
        <f t="shared" si="85"/>
        <v>0</v>
      </c>
      <c r="CV155" s="177" t="str">
        <f t="shared" si="83"/>
        <v>PV</v>
      </c>
      <c r="CW155" s="177">
        <f t="shared" si="86"/>
        <v>0</v>
      </c>
      <c r="CX155" s="177" t="str">
        <f t="shared" si="83"/>
        <v>PV</v>
      </c>
      <c r="CY155" s="177">
        <f t="shared" si="87"/>
        <v>0</v>
      </c>
      <c r="CZ155" s="177" t="str">
        <f t="shared" si="83"/>
        <v>PV</v>
      </c>
      <c r="DA155" s="177">
        <f t="shared" si="88"/>
        <v>0</v>
      </c>
      <c r="DB155" s="177" t="str">
        <f t="shared" si="83"/>
        <v>EA</v>
      </c>
      <c r="DC155" s="177" t="str">
        <f t="shared" si="89"/>
        <v>EAFP</v>
      </c>
      <c r="DD155" s="177" t="str">
        <f t="shared" si="90"/>
        <v>EA</v>
      </c>
      <c r="DE155" s="177" t="str">
        <f t="shared" si="91"/>
        <v>EAIEI</v>
      </c>
    </row>
    <row r="156" spans="1:109" ht="18" customHeight="1" x14ac:dyDescent="0.3">
      <c r="A156" s="81">
        <v>0.68750000000002198</v>
      </c>
      <c r="B156" s="166" t="s">
        <v>116</v>
      </c>
      <c r="C156" s="130" t="s">
        <v>120</v>
      </c>
      <c r="D156" s="169" t="s">
        <v>116</v>
      </c>
      <c r="E156" s="130" t="s">
        <v>120</v>
      </c>
      <c r="F156" s="169" t="s">
        <v>116</v>
      </c>
      <c r="G156" s="130" t="s">
        <v>120</v>
      </c>
      <c r="H156" s="169" t="s">
        <v>116</v>
      </c>
      <c r="I156" s="130" t="s">
        <v>120</v>
      </c>
      <c r="J156" s="169" t="s">
        <v>116</v>
      </c>
      <c r="K156" s="130" t="s">
        <v>120</v>
      </c>
      <c r="L156" s="169" t="s">
        <v>8</v>
      </c>
      <c r="M156" s="130" t="s">
        <v>224</v>
      </c>
      <c r="N156" s="169" t="s">
        <v>8</v>
      </c>
      <c r="O156" s="154" t="s">
        <v>226</v>
      </c>
      <c r="P156" s="6">
        <v>0</v>
      </c>
      <c r="Q156" s="122" t="str">
        <f t="shared" ref="Q156:Q161" si="108">Q155</f>
        <v>Aulas Teóricas</v>
      </c>
      <c r="R156" s="105" t="str">
        <f t="shared" si="100"/>
        <v>FP</v>
      </c>
      <c r="S156" s="88">
        <f t="shared" si="97"/>
        <v>0</v>
      </c>
      <c r="T156" s="89">
        <f>IF(VLOOKUP(Q156,'INFO BASE'!$B$40:$I$54,IF(R156='INFO BASE'!$B$32,3,IF(R156='INFO BASE'!$B$33,4,IF(R156='INFO BASE'!$B$34,5,IF(R156='INFO BASE'!$B$35,6,IF(R156='INFO BASE'!$B$36,7,IF(R156='INFO BASE'!$B$37,8,2)))))),0)=0,"",VLOOKUP(Q156,'INFO BASE'!$B$40:$I$54,IF(R156='INFO BASE'!$B$32,3,IF(R156='INFO BASE'!$B$33,4,IF(R156='INFO BASE'!$B$34,5,IF(R156='INFO BASE'!$B$35,6,IF(R156='INFO BASE'!$B$36,7,IF(R156='INFO BASE'!$B$37,8,2)))))),0))</f>
        <v>3</v>
      </c>
      <c r="U156" s="89">
        <f>(COUNTIFS(C123:C170,R156,B123:B170,R155)+COUNTIFS(E123:E170,R156,D123:D170,R155)+COUNTIFS(G123:G170,R156,F123:F170,R155)+COUNTIFS(I123:I170,R156,H123:H170,R155)+COUNTIFS(K123:K170,R156,J123:J170,R155)+COUNTIFS(M123:M170,R156,L123:L170,R155)+COUNTIFS(O123:O170,R156,N123:N170,R155))*0.5</f>
        <v>3</v>
      </c>
      <c r="V156" s="89">
        <f>(COUNTIFS(AI123:AI170,R155,AJ123:AJ170,R149)+COUNTIFS(AK123:AK170,R155,AL123:AL170,R149)+COUNTIFS(AM123:AM170,R155,AN123:AN170,R149)+COUNTIFS(AO123:AO170,R155,AP123:AP170,R149)+COUNTIFS(AQ123:AQ170,R155,AR123:AR170,R149)+COUNTIFS(AS123:AS170,R155,AT123:AT170,R149)+COUNTIFS(AU123:AU170,R155,AV123:AV170,R149))*0.5</f>
        <v>3</v>
      </c>
      <c r="W156" s="90">
        <f>IF(AH119="","-",IF(V156=0,U156,IFERROR((U156/V156)-1,"-")))</f>
        <v>0</v>
      </c>
      <c r="X156" s="201">
        <f t="shared" si="98"/>
        <v>0</v>
      </c>
      <c r="Y156" s="271"/>
      <c r="Z156" s="272"/>
      <c r="AA156" s="272"/>
      <c r="AB156" s="272"/>
      <c r="AC156" s="272"/>
      <c r="AD156" s="272"/>
      <c r="AE156" s="272"/>
      <c r="AF156" s="273"/>
      <c r="AH156" s="136">
        <v>0.68750000000002198</v>
      </c>
      <c r="AI156" s="136" t="s">
        <v>116</v>
      </c>
      <c r="AJ156" s="136" t="s">
        <v>235</v>
      </c>
      <c r="AK156" s="136" t="s">
        <v>116</v>
      </c>
      <c r="AL156" s="136" t="s">
        <v>235</v>
      </c>
      <c r="AM156" s="136" t="s">
        <v>116</v>
      </c>
      <c r="AN156" s="136" t="s">
        <v>235</v>
      </c>
      <c r="AO156" s="136" t="s">
        <v>116</v>
      </c>
      <c r="AP156" s="136" t="s">
        <v>235</v>
      </c>
      <c r="AQ156" s="136" t="s">
        <v>116</v>
      </c>
      <c r="AR156" s="136" t="s">
        <v>235</v>
      </c>
      <c r="AS156" s="136" t="s">
        <v>8</v>
      </c>
      <c r="AT156" s="136" t="s">
        <v>226</v>
      </c>
      <c r="AU156" s="136" t="s">
        <v>116</v>
      </c>
      <c r="AV156" s="136" t="s">
        <v>235</v>
      </c>
      <c r="AX156" s="136" t="str">
        <f>IF(AI119="","",IF(B156="","",B156))</f>
        <v>PV</v>
      </c>
      <c r="AY156" s="136" t="str">
        <f>IF(AI119="","",IF(C156="","",C156))</f>
        <v>-</v>
      </c>
      <c r="AZ156" s="136" t="str">
        <f>IF(AI119="","",IF(D156="","",D156))</f>
        <v>PV</v>
      </c>
      <c r="BA156" s="136" t="str">
        <f>IF(AI119="","",IF(E156="","",E156))</f>
        <v>-</v>
      </c>
      <c r="BB156" s="136" t="str">
        <f>IF(AI119="","",IF(F156="","",F156))</f>
        <v>PV</v>
      </c>
      <c r="BC156" s="136" t="str">
        <f>IF(AI119="","",IF(G156="","",G156))</f>
        <v>-</v>
      </c>
      <c r="BD156" s="136" t="str">
        <f>IF(AI119="","",IF(H156="","",H156))</f>
        <v>PV</v>
      </c>
      <c r="BE156" s="136" t="str">
        <f>IF(AI119="","",IF(I156="","",I156))</f>
        <v>-</v>
      </c>
      <c r="BF156" s="136" t="str">
        <f>IF(AI119="","",IF(J156="","",J156))</f>
        <v>PV</v>
      </c>
      <c r="BG156" s="136" t="str">
        <f>IF(AI119="","",IF(K156="","",K156))</f>
        <v>-</v>
      </c>
      <c r="BH156" s="136" t="str">
        <f>IF(AI119="","",IF(L156="","",L156))</f>
        <v>EA</v>
      </c>
      <c r="BI156" s="136" t="str">
        <f>IF(AI119="","",IF(M156="","",M156))</f>
        <v>FP</v>
      </c>
      <c r="BJ156" s="136" t="str">
        <f>IF(AI119="","",IF(N156="","",N156))</f>
        <v>EA</v>
      </c>
      <c r="BK156" s="136" t="str">
        <f>IF(AI119="","",IF(O156="","",O156))</f>
        <v>IEI</v>
      </c>
      <c r="BM156" s="136" t="str">
        <f t="shared" si="107"/>
        <v>AT</v>
      </c>
      <c r="BN156" s="136" t="str">
        <f t="shared" si="93"/>
        <v>Aulas Teóricas</v>
      </c>
      <c r="BO156" s="136" t="str">
        <f t="shared" si="93"/>
        <v>AL</v>
      </c>
      <c r="BP156" s="136">
        <f>(COUNTIFS(AX123:AX170,BM156,AY123:AY170,BO156)+COUNTIFS(AZ123:AZ170,BM156,BA123:BA170,BO156)+COUNTIFS(BB123:BB170,BM156,BC123:BC170,BO156)+COUNTIFS(BD123:BD170,BM156,BE123:BE170,BO156)+COUNTIFS(BF123:BF170,BM156,BG123:BG170,BO156)+COUNTIFS(BH123:BH170,BM156,BI123:BI170,BO156)+COUNTIFS(BJ123:BJ170,BM156,BK123:BK170,BO156))*0.5</f>
        <v>3</v>
      </c>
      <c r="BQ156" s="136" t="str">
        <f t="shared" si="94"/>
        <v>Aulas Teóricas</v>
      </c>
      <c r="BR156" s="136" t="str">
        <f t="shared" si="94"/>
        <v>AL</v>
      </c>
      <c r="BS156" s="136" t="str">
        <f t="shared" si="95"/>
        <v>Aulas Teóricas</v>
      </c>
      <c r="BT156" s="136">
        <f t="shared" si="101"/>
        <v>24</v>
      </c>
      <c r="BU156" s="136">
        <f t="shared" si="102"/>
        <v>24</v>
      </c>
      <c r="BZ156" s="280"/>
      <c r="CA156" s="183" t="str">
        <f>'INFO BASE'!L219</f>
        <v>-</v>
      </c>
      <c r="CB156" s="183" t="str">
        <f>'INFO BASE'!M219</f>
        <v/>
      </c>
      <c r="CR156" s="177" t="str">
        <f t="shared" si="83"/>
        <v>PV</v>
      </c>
      <c r="CS156" s="177">
        <f t="shared" si="84"/>
        <v>0</v>
      </c>
      <c r="CT156" s="177" t="str">
        <f t="shared" si="83"/>
        <v>PV</v>
      </c>
      <c r="CU156" s="177">
        <f t="shared" si="85"/>
        <v>0</v>
      </c>
      <c r="CV156" s="177" t="str">
        <f t="shared" si="83"/>
        <v>PV</v>
      </c>
      <c r="CW156" s="177">
        <f t="shared" si="86"/>
        <v>0</v>
      </c>
      <c r="CX156" s="177" t="str">
        <f t="shared" si="83"/>
        <v>PV</v>
      </c>
      <c r="CY156" s="177">
        <f t="shared" si="87"/>
        <v>0</v>
      </c>
      <c r="CZ156" s="177" t="str">
        <f t="shared" si="83"/>
        <v>PV</v>
      </c>
      <c r="DA156" s="177">
        <f t="shared" si="88"/>
        <v>0</v>
      </c>
      <c r="DB156" s="177" t="str">
        <f t="shared" si="83"/>
        <v>EA</v>
      </c>
      <c r="DC156" s="177" t="str">
        <f t="shared" si="89"/>
        <v>EAFP</v>
      </c>
      <c r="DD156" s="177" t="str">
        <f t="shared" si="90"/>
        <v>EA</v>
      </c>
      <c r="DE156" s="177" t="str">
        <f t="shared" si="91"/>
        <v>EAIEI</v>
      </c>
    </row>
    <row r="157" spans="1:109" ht="18" customHeight="1" x14ac:dyDescent="0.3">
      <c r="A157" s="81">
        <v>0.70833333333335602</v>
      </c>
      <c r="B157" s="166" t="s">
        <v>11</v>
      </c>
      <c r="C157" s="130" t="s">
        <v>120</v>
      </c>
      <c r="D157" s="169" t="s">
        <v>11</v>
      </c>
      <c r="E157" s="130" t="s">
        <v>120</v>
      </c>
      <c r="F157" s="169" t="s">
        <v>11</v>
      </c>
      <c r="G157" s="130" t="s">
        <v>120</v>
      </c>
      <c r="H157" s="169" t="s">
        <v>11</v>
      </c>
      <c r="I157" s="130" t="s">
        <v>120</v>
      </c>
      <c r="J157" s="169" t="s">
        <v>11</v>
      </c>
      <c r="K157" s="130" t="s">
        <v>120</v>
      </c>
      <c r="L157" s="169" t="s">
        <v>8</v>
      </c>
      <c r="M157" s="130" t="s">
        <v>224</v>
      </c>
      <c r="N157" s="169" t="s">
        <v>8</v>
      </c>
      <c r="O157" s="154" t="s">
        <v>226</v>
      </c>
      <c r="P157" s="6">
        <v>0</v>
      </c>
      <c r="Q157" s="122" t="str">
        <f t="shared" si="108"/>
        <v>Aulas Teóricas</v>
      </c>
      <c r="R157" s="105" t="str">
        <f t="shared" si="100"/>
        <v>IEI</v>
      </c>
      <c r="S157" s="88">
        <f t="shared" si="97"/>
        <v>0</v>
      </c>
      <c r="T157" s="106">
        <f>IF(VLOOKUP(Q157,'INFO BASE'!$B$40:$I$54,IF(R157='INFO BASE'!$B$32,3,IF(R157='INFO BASE'!$B$33,4,IF(R157='INFO BASE'!$B$34,5,IF(R157='INFO BASE'!$B$35,6,IF(R157='INFO BASE'!$B$36,7,IF(R157='INFO BASE'!$B$37,8,2)))))),0)=0,"",VLOOKUP(Q157,'INFO BASE'!$B$40:$I$54,IF(R157='INFO BASE'!$B$32,3,IF(R157='INFO BASE'!$B$33,4,IF(R157='INFO BASE'!$B$34,5,IF(R157='INFO BASE'!$B$35,6,IF(R157='INFO BASE'!$B$36,7,IF(R157='INFO BASE'!$B$37,8,2)))))),0))</f>
        <v>3</v>
      </c>
      <c r="U157" s="106">
        <f>(COUNTIFS(C123:C170,R157,B123:B170,R155)+COUNTIFS(E123:E170,R157,D123:D170,R155)+COUNTIFS(G123:G170,R157,F123:F170,R155)+COUNTIFS(I123:I170,R157,H123:H170,R155)+COUNTIFS(K123:K170,R157,J123:J170,R155)+COUNTIFS(M123:M170,R157,L123:L170,R155)+COUNTIFS(O123:O170,R157,N123:N170,R155))*0.5</f>
        <v>3</v>
      </c>
      <c r="V157" s="89">
        <f>(COUNTIFS(AI123:AI170,R155,AJ123:AJ170,R150)+COUNTIFS(AK123:AK170,R155,AL123:AL170,R150)+COUNTIFS(AM123:AM170,R155,AN123:AN170,R150)+COUNTIFS(AO123:AO170,R155,AP123:AP170,R150)+COUNTIFS(AQ123:AQ170,R155,AR123:AR170,R150)+COUNTIFS(AS123:AS170,R155,AT123:AT170,R150)+COUNTIFS(AU123:AU170,R155,AV123:AV170,R150))*0.5</f>
        <v>3</v>
      </c>
      <c r="W157" s="90">
        <f>IF(AH119="","-",IF(V157=0,U157,IFERROR((U157/V157)-1,"-")))</f>
        <v>0</v>
      </c>
      <c r="X157" s="201">
        <f t="shared" si="98"/>
        <v>0</v>
      </c>
      <c r="Y157" s="271"/>
      <c r="Z157" s="272"/>
      <c r="AA157" s="272"/>
      <c r="AB157" s="272"/>
      <c r="AC157" s="272"/>
      <c r="AD157" s="272"/>
      <c r="AE157" s="272"/>
      <c r="AF157" s="273"/>
      <c r="AH157" s="136">
        <v>0.70833333333335602</v>
      </c>
      <c r="AI157" s="136" t="s">
        <v>11</v>
      </c>
      <c r="AJ157" s="136" t="s">
        <v>120</v>
      </c>
      <c r="AK157" s="136" t="s">
        <v>11</v>
      </c>
      <c r="AL157" s="136" t="s">
        <v>120</v>
      </c>
      <c r="AM157" s="136" t="s">
        <v>11</v>
      </c>
      <c r="AN157" s="136" t="s">
        <v>120</v>
      </c>
      <c r="AO157" s="136" t="s">
        <v>11</v>
      </c>
      <c r="AP157" s="136" t="s">
        <v>120</v>
      </c>
      <c r="AQ157" s="136" t="s">
        <v>11</v>
      </c>
      <c r="AR157" s="136" t="s">
        <v>120</v>
      </c>
      <c r="AS157" s="136" t="s">
        <v>8</v>
      </c>
      <c r="AT157" s="136" t="s">
        <v>226</v>
      </c>
      <c r="AU157" s="136" t="s">
        <v>8</v>
      </c>
      <c r="AV157" s="136" t="s">
        <v>231</v>
      </c>
      <c r="AX157" s="136" t="str">
        <f>IF(AI119="","",IF(B157="","",B157))</f>
        <v>HD</v>
      </c>
      <c r="AY157" s="136" t="str">
        <f>IF(AI119="","",IF(C157="","",C157))</f>
        <v>-</v>
      </c>
      <c r="AZ157" s="136" t="str">
        <f>IF(AI119="","",IF(D157="","",D157))</f>
        <v>HD</v>
      </c>
      <c r="BA157" s="136" t="str">
        <f>IF(AI119="","",IF(E157="","",E157))</f>
        <v>-</v>
      </c>
      <c r="BB157" s="136" t="str">
        <f>IF(AI119="","",IF(F157="","",F157))</f>
        <v>HD</v>
      </c>
      <c r="BC157" s="136" t="str">
        <f>IF(AI119="","",IF(G157="","",G157))</f>
        <v>-</v>
      </c>
      <c r="BD157" s="136" t="str">
        <f>IF(AI119="","",IF(H157="","",H157))</f>
        <v>HD</v>
      </c>
      <c r="BE157" s="136" t="str">
        <f>IF(AI119="","",IF(I157="","",I157))</f>
        <v>-</v>
      </c>
      <c r="BF157" s="136" t="str">
        <f>IF(AI119="","",IF(J157="","",J157))</f>
        <v>HD</v>
      </c>
      <c r="BG157" s="136" t="str">
        <f>IF(AI119="","",IF(K157="","",K157))</f>
        <v>-</v>
      </c>
      <c r="BH157" s="136" t="str">
        <f>IF(AI119="","",IF(L157="","",L157))</f>
        <v>EA</v>
      </c>
      <c r="BI157" s="136" t="str">
        <f>IF(AI119="","",IF(M157="","",M157))</f>
        <v>FP</v>
      </c>
      <c r="BJ157" s="136" t="str">
        <f>IF(AI119="","",IF(N157="","",N157))</f>
        <v>EA</v>
      </c>
      <c r="BK157" s="136" t="str">
        <f>IF(AI119="","",IF(O157="","",O157))</f>
        <v>IEI</v>
      </c>
      <c r="BM157" s="136" t="str">
        <f t="shared" si="107"/>
        <v>AT</v>
      </c>
      <c r="BN157" s="136" t="str">
        <f t="shared" si="93"/>
        <v>Aulas Teóricas</v>
      </c>
      <c r="BO157" s="136" t="str">
        <f t="shared" si="93"/>
        <v>CDI</v>
      </c>
      <c r="BP157" s="136">
        <f>(COUNTIFS(AX123:AX170,BM157,AY123:AY170,BO157)+COUNTIFS(AZ123:AZ170,BM157,BA123:BA170,BO157)+COUNTIFS(BB123:BB170,BM157,BC123:BC170,BO157)+COUNTIFS(BD123:BD170,BM157,BE123:BE170,BO157)+COUNTIFS(BF123:BF170,BM157,BG123:BG170,BO157)+COUNTIFS(BH123:BH170,BM157,BI123:BI170,BO157)+COUNTIFS(BJ123:BJ170,BM157,BK123:BK170,BO157))*0.5</f>
        <v>3</v>
      </c>
      <c r="BQ157" s="136" t="str">
        <f t="shared" si="94"/>
        <v>Aulas Teóricas</v>
      </c>
      <c r="BR157" s="136" t="str">
        <f t="shared" si="94"/>
        <v>CDI</v>
      </c>
      <c r="BS157" s="136" t="str">
        <f t="shared" si="95"/>
        <v>Aulas Teóricas</v>
      </c>
      <c r="BT157" s="136">
        <f t="shared" si="101"/>
        <v>24</v>
      </c>
      <c r="BU157" s="136">
        <f t="shared" si="102"/>
        <v>24</v>
      </c>
      <c r="BZ157" s="280"/>
      <c r="CA157" s="183" t="str">
        <f>'INFO BASE'!L220</f>
        <v>-</v>
      </c>
      <c r="CB157" s="183" t="str">
        <f>'INFO BASE'!M220</f>
        <v/>
      </c>
      <c r="CR157" s="177" t="str">
        <f t="shared" si="83"/>
        <v>HD</v>
      </c>
      <c r="CS157" s="177" t="str">
        <f t="shared" si="84"/>
        <v>HD-</v>
      </c>
      <c r="CT157" s="177" t="str">
        <f t="shared" si="83"/>
        <v>HD</v>
      </c>
      <c r="CU157" s="177" t="str">
        <f t="shared" si="85"/>
        <v>HD-</v>
      </c>
      <c r="CV157" s="177" t="str">
        <f t="shared" si="83"/>
        <v>HD</v>
      </c>
      <c r="CW157" s="177" t="str">
        <f t="shared" si="86"/>
        <v>HD-</v>
      </c>
      <c r="CX157" s="177" t="str">
        <f t="shared" si="83"/>
        <v>HD</v>
      </c>
      <c r="CY157" s="177" t="str">
        <f t="shared" si="87"/>
        <v>HD-</v>
      </c>
      <c r="CZ157" s="177" t="str">
        <f t="shared" si="83"/>
        <v>HD</v>
      </c>
      <c r="DA157" s="177" t="str">
        <f t="shared" si="88"/>
        <v>HD-</v>
      </c>
      <c r="DB157" s="177" t="str">
        <f t="shared" si="83"/>
        <v>EA</v>
      </c>
      <c r="DC157" s="177" t="str">
        <f t="shared" si="89"/>
        <v>EAFP</v>
      </c>
      <c r="DD157" s="177" t="str">
        <f t="shared" si="90"/>
        <v>EA</v>
      </c>
      <c r="DE157" s="177" t="str">
        <f t="shared" si="91"/>
        <v>EAIEI</v>
      </c>
    </row>
    <row r="158" spans="1:109" ht="18" customHeight="1" x14ac:dyDescent="0.3">
      <c r="A158" s="81">
        <v>0.72916666666669006</v>
      </c>
      <c r="B158" s="166" t="s">
        <v>11</v>
      </c>
      <c r="C158" s="130" t="s">
        <v>120</v>
      </c>
      <c r="D158" s="169" t="s">
        <v>11</v>
      </c>
      <c r="E158" s="130" t="s">
        <v>120</v>
      </c>
      <c r="F158" s="169" t="s">
        <v>11</v>
      </c>
      <c r="G158" s="130" t="s">
        <v>120</v>
      </c>
      <c r="H158" s="169" t="s">
        <v>11</v>
      </c>
      <c r="I158" s="130" t="s">
        <v>120</v>
      </c>
      <c r="J158" s="169" t="s">
        <v>11</v>
      </c>
      <c r="K158" s="130" t="s">
        <v>120</v>
      </c>
      <c r="L158" s="169" t="s">
        <v>116</v>
      </c>
      <c r="M158" s="130" t="s">
        <v>120</v>
      </c>
      <c r="N158" s="169" t="s">
        <v>8</v>
      </c>
      <c r="O158" s="154" t="s">
        <v>226</v>
      </c>
      <c r="P158" s="6">
        <v>0</v>
      </c>
      <c r="Q158" s="123" t="str">
        <f t="shared" si="108"/>
        <v>Aulas Teóricas</v>
      </c>
      <c r="R158" s="105" t="str">
        <f t="shared" si="100"/>
        <v>IAC</v>
      </c>
      <c r="S158" s="88">
        <f t="shared" si="97"/>
        <v>0</v>
      </c>
      <c r="T158" s="106">
        <f>IF(VLOOKUP(Q158,'INFO BASE'!$B$40:$I$54,IF(R158='INFO BASE'!$B$32,3,IF(R158='INFO BASE'!$B$33,4,IF(R158='INFO BASE'!$B$34,5,IF(R158='INFO BASE'!$B$35,6,IF(R158='INFO BASE'!$B$36,7,IF(R158='INFO BASE'!$B$37,8,2)))))),0)=0,"",VLOOKUP(Q158,'INFO BASE'!$B$40:$I$54,IF(R158='INFO BASE'!$B$32,3,IF(R158='INFO BASE'!$B$33,4,IF(R158='INFO BASE'!$B$34,5,IF(R158='INFO BASE'!$B$35,6,IF(R158='INFO BASE'!$B$36,7,IF(R158='INFO BASE'!$B$37,8,2)))))),0))</f>
        <v>3</v>
      </c>
      <c r="U158" s="106">
        <f>(COUNTIFS(C123:C170,R158,B123:B170,R155)+COUNTIFS(E123:E170,R158,D123:D170,R155)+COUNTIFS(G123:G170,R158,F123:F170,R155)+COUNTIFS(I123:I170,R158,H123:H170,R155)+COUNTIFS(K123:K170,R158,J123:J170,R155)+COUNTIFS(M123:M170,R158,L123:L170,R155)+COUNTIFS(O123:O170,R158,N123:N170,R155))*0.5</f>
        <v>3</v>
      </c>
      <c r="V158" s="89">
        <f>(COUNTIFS(AI123:AI170,R155,AJ123:AJ170,R151)+COUNTIFS(AK123:AK170,R155,AL123:AL170,R151)+COUNTIFS(AM123:AM170,R155,AN123:AN170,R151)+COUNTIFS(AO123:AO170,R155,AP123:AP170,R151)+COUNTIFS(AQ123:AQ170,R155,AR123:AR170,R151)+COUNTIFS(AS123:AS170,R155,AT123:AT170,R151)+COUNTIFS(AU123:AU170,R155,AV123:AV170,R151))*0.5</f>
        <v>3</v>
      </c>
      <c r="W158" s="90">
        <f>IF(AH119="","-",IF(V158=0,U158,IFERROR((U158/V158)-1,"-")))</f>
        <v>0</v>
      </c>
      <c r="X158" s="201">
        <f t="shared" si="98"/>
        <v>0</v>
      </c>
      <c r="Y158" s="271"/>
      <c r="Z158" s="272"/>
      <c r="AA158" s="272"/>
      <c r="AB158" s="272"/>
      <c r="AC158" s="272"/>
      <c r="AD158" s="272"/>
      <c r="AE158" s="272"/>
      <c r="AF158" s="273"/>
      <c r="AH158" s="136">
        <v>0.72916666666669006</v>
      </c>
      <c r="AI158" s="136" t="s">
        <v>11</v>
      </c>
      <c r="AJ158" s="136" t="s">
        <v>120</v>
      </c>
      <c r="AK158" s="136" t="s">
        <v>11</v>
      </c>
      <c r="AL158" s="136" t="s">
        <v>120</v>
      </c>
      <c r="AM158" s="136" t="s">
        <v>11</v>
      </c>
      <c r="AN158" s="136" t="s">
        <v>120</v>
      </c>
      <c r="AO158" s="136" t="s">
        <v>11</v>
      </c>
      <c r="AP158" s="136" t="s">
        <v>120</v>
      </c>
      <c r="AQ158" s="136" t="s">
        <v>11</v>
      </c>
      <c r="AR158" s="136" t="s">
        <v>120</v>
      </c>
      <c r="AS158" s="136" t="s">
        <v>8</v>
      </c>
      <c r="AT158" s="136" t="s">
        <v>226</v>
      </c>
      <c r="AU158" s="136" t="s">
        <v>8</v>
      </c>
      <c r="AV158" s="136" t="s">
        <v>231</v>
      </c>
      <c r="AX158" s="136" t="str">
        <f>IF(AI119="","",IF(B158="","",B158))</f>
        <v>HD</v>
      </c>
      <c r="AY158" s="136" t="str">
        <f>IF(AI119="","",IF(C158="","",C158))</f>
        <v>-</v>
      </c>
      <c r="AZ158" s="136" t="str">
        <f>IF(AI119="","",IF(D158="","",D158))</f>
        <v>HD</v>
      </c>
      <c r="BA158" s="136" t="str">
        <f>IF(AI119="","",IF(E158="","",E158))</f>
        <v>-</v>
      </c>
      <c r="BB158" s="136" t="str">
        <f>IF(AI119="","",IF(F158="","",F158))</f>
        <v>HD</v>
      </c>
      <c r="BC158" s="136" t="str">
        <f>IF(AI119="","",IF(G158="","",G158))</f>
        <v>-</v>
      </c>
      <c r="BD158" s="136" t="str">
        <f>IF(AI119="","",IF(H158="","",H158))</f>
        <v>HD</v>
      </c>
      <c r="BE158" s="136" t="str">
        <f>IF(AI119="","",IF(I158="","",I158))</f>
        <v>-</v>
      </c>
      <c r="BF158" s="136" t="str">
        <f>IF(AI119="","",IF(J158="","",J158))</f>
        <v>HD</v>
      </c>
      <c r="BG158" s="136" t="str">
        <f>IF(AI119="","",IF(K158="","",K158))</f>
        <v>-</v>
      </c>
      <c r="BH158" s="136" t="str">
        <f>IF(AI119="","",IF(L158="","",L158))</f>
        <v>PV</v>
      </c>
      <c r="BI158" s="136" t="str">
        <f>IF(AI119="","",IF(M158="","",M158))</f>
        <v>-</v>
      </c>
      <c r="BJ158" s="136" t="str">
        <f>IF(AI119="","",IF(N158="","",N158))</f>
        <v>EA</v>
      </c>
      <c r="BK158" s="136" t="str">
        <f>IF(AI119="","",IF(O158="","",O158))</f>
        <v>IEI</v>
      </c>
      <c r="BM158" s="136" t="str">
        <f t="shared" si="107"/>
        <v>AT</v>
      </c>
      <c r="BN158" s="136" t="str">
        <f t="shared" si="93"/>
        <v>Aulas Teóricas</v>
      </c>
      <c r="BO158" s="136" t="str">
        <f t="shared" si="93"/>
        <v/>
      </c>
      <c r="BP158" s="136">
        <f>(COUNTIFS(AX123:AX170,BM158,AY123:AY170,BO158)+COUNTIFS(AZ123:AZ170,BM158,BA123:BA170,BO158)+COUNTIFS(BB123:BB170,BM158,BC123:BC170,BO158)+COUNTIFS(BD123:BD170,BM158,BE123:BE170,BO158)+COUNTIFS(BF123:BF170,BM158,BG123:BG170,BO158)+COUNTIFS(BH123:BH170,BM158,BI123:BI170,BO158)+COUNTIFS(BJ123:BJ170,BM158,BK123:BK170,BO158))*0.5</f>
        <v>0</v>
      </c>
      <c r="BQ158" s="136" t="str">
        <f t="shared" si="94"/>
        <v>Aulas Teóricas</v>
      </c>
      <c r="BR158" s="136" t="str">
        <f t="shared" si="94"/>
        <v/>
      </c>
      <c r="BS158" s="136" t="str">
        <f t="shared" si="95"/>
        <v>Aulas Teóricas</v>
      </c>
      <c r="BT158" s="136">
        <f t="shared" si="101"/>
        <v>0</v>
      </c>
      <c r="BU158" s="136">
        <f t="shared" si="102"/>
        <v>0</v>
      </c>
      <c r="BZ158" s="280"/>
      <c r="CA158" s="183" t="str">
        <f>'INFO BASE'!L221</f>
        <v>-</v>
      </c>
      <c r="CB158" s="183" t="str">
        <f>'INFO BASE'!M221</f>
        <v/>
      </c>
      <c r="CR158" s="177" t="str">
        <f t="shared" si="83"/>
        <v>HD</v>
      </c>
      <c r="CS158" s="177" t="str">
        <f t="shared" si="84"/>
        <v>HD-</v>
      </c>
      <c r="CT158" s="177" t="str">
        <f t="shared" si="83"/>
        <v>HD</v>
      </c>
      <c r="CU158" s="177" t="str">
        <f t="shared" si="85"/>
        <v>HD-</v>
      </c>
      <c r="CV158" s="177" t="str">
        <f t="shared" si="83"/>
        <v>HD</v>
      </c>
      <c r="CW158" s="177" t="str">
        <f t="shared" si="86"/>
        <v>HD-</v>
      </c>
      <c r="CX158" s="177" t="str">
        <f t="shared" si="83"/>
        <v>HD</v>
      </c>
      <c r="CY158" s="177" t="str">
        <f t="shared" si="87"/>
        <v>HD-</v>
      </c>
      <c r="CZ158" s="177" t="str">
        <f t="shared" si="83"/>
        <v>HD</v>
      </c>
      <c r="DA158" s="177" t="str">
        <f t="shared" si="88"/>
        <v>HD-</v>
      </c>
      <c r="DB158" s="177" t="str">
        <f t="shared" si="83"/>
        <v>PV</v>
      </c>
      <c r="DC158" s="177">
        <f t="shared" si="89"/>
        <v>0</v>
      </c>
      <c r="DD158" s="177" t="str">
        <f t="shared" si="90"/>
        <v>EA</v>
      </c>
      <c r="DE158" s="177" t="str">
        <f t="shared" si="91"/>
        <v>EAIEI</v>
      </c>
    </row>
    <row r="159" spans="1:109" ht="18" customHeight="1" x14ac:dyDescent="0.3">
      <c r="A159" s="81">
        <v>0.75000000000002398</v>
      </c>
      <c r="B159" s="166" t="s">
        <v>11</v>
      </c>
      <c r="C159" s="130" t="s">
        <v>120</v>
      </c>
      <c r="D159" s="169" t="s">
        <v>11</v>
      </c>
      <c r="E159" s="130" t="s">
        <v>120</v>
      </c>
      <c r="F159" s="169" t="s">
        <v>11</v>
      </c>
      <c r="G159" s="130" t="s">
        <v>120</v>
      </c>
      <c r="H159" s="169" t="s">
        <v>11</v>
      </c>
      <c r="I159" s="130" t="s">
        <v>120</v>
      </c>
      <c r="J159" s="169" t="s">
        <v>11</v>
      </c>
      <c r="K159" s="130" t="s">
        <v>120</v>
      </c>
      <c r="L159" s="169" t="s">
        <v>116</v>
      </c>
      <c r="M159" s="130" t="s">
        <v>120</v>
      </c>
      <c r="N159" s="169" t="s">
        <v>8</v>
      </c>
      <c r="O159" s="154" t="s">
        <v>226</v>
      </c>
      <c r="P159" s="6">
        <v>0</v>
      </c>
      <c r="Q159" s="122" t="str">
        <f t="shared" si="108"/>
        <v>Aulas Teóricas</v>
      </c>
      <c r="R159" s="105" t="str">
        <f t="shared" si="100"/>
        <v>AL</v>
      </c>
      <c r="S159" s="88">
        <f t="shared" si="97"/>
        <v>0</v>
      </c>
      <c r="T159" s="106">
        <f>IF(VLOOKUP(Q159,'INFO BASE'!$B$40:$I$54,IF(R159='INFO BASE'!$B$32,3,IF(R159='INFO BASE'!$B$33,4,IF(R159='INFO BASE'!$B$34,5,IF(R159='INFO BASE'!$B$35,6,IF(R159='INFO BASE'!$B$36,7,IF(R159='INFO BASE'!$B$37,8,2)))))),0)=0,"",VLOOKUP(Q159,'INFO BASE'!$B$40:$I$54,IF(R159='INFO BASE'!$B$32,3,IF(R159='INFO BASE'!$B$33,4,IF(R159='INFO BASE'!$B$34,5,IF(R159='INFO BASE'!$B$35,6,IF(R159='INFO BASE'!$B$36,7,IF(R159='INFO BASE'!$B$37,8,2)))))),0))</f>
        <v>3</v>
      </c>
      <c r="U159" s="106">
        <f>(COUNTIFS(C123:C170,R159,B123:B170,R155)+COUNTIFS(E123:E170,R159,D123:D170,R155)+COUNTIFS(G123:G170,R159,F123:F170,R155)+COUNTIFS(I123:I170,R159,H123:H170,R155)+COUNTIFS(K123:K170,R159,J123:J170,R155)+COUNTIFS(M123:M170,R159,L123:L170,R155)+COUNTIFS(O123:O170,R159,N123:N170,R155))*0.5</f>
        <v>3</v>
      </c>
      <c r="V159" s="89">
        <f>(COUNTIFS(AI123:AI170,R155,AJ123:AJ170,R152)+COUNTIFS(AK123:AK170,R155,AL123:AL170,R152)+COUNTIFS(AM123:AM170,R155,AN123:AN170,R152)+COUNTIFS(AO123:AO170,R155,AP123:AP170,R152)+COUNTIFS(AQ123:AQ170,R155,AR123:AR170,R152)+COUNTIFS(AS123:AS170,R155,AT123:AT170,R152)+COUNTIFS(AU123:AU170,R155,AV123:AV170,R152))*0.5</f>
        <v>3</v>
      </c>
      <c r="W159" s="90">
        <f>IF(AH119="","-",IF(V159=0,U159,IFERROR((U159/V159)-1,"-")))</f>
        <v>0</v>
      </c>
      <c r="X159" s="201">
        <f t="shared" si="98"/>
        <v>0</v>
      </c>
      <c r="Y159" s="271"/>
      <c r="Z159" s="272"/>
      <c r="AA159" s="272"/>
      <c r="AB159" s="272"/>
      <c r="AC159" s="272"/>
      <c r="AD159" s="272"/>
      <c r="AE159" s="272"/>
      <c r="AF159" s="273"/>
      <c r="AH159" s="136">
        <v>0.75000000000002398</v>
      </c>
      <c r="AI159" s="136" t="s">
        <v>11</v>
      </c>
      <c r="AJ159" s="136" t="s">
        <v>120</v>
      </c>
      <c r="AK159" s="136" t="s">
        <v>11</v>
      </c>
      <c r="AL159" s="136" t="s">
        <v>120</v>
      </c>
      <c r="AM159" s="136" t="s">
        <v>11</v>
      </c>
      <c r="AN159" s="136" t="s">
        <v>120</v>
      </c>
      <c r="AO159" s="136" t="s">
        <v>11</v>
      </c>
      <c r="AP159" s="136" t="s">
        <v>120</v>
      </c>
      <c r="AQ159" s="136" t="s">
        <v>11</v>
      </c>
      <c r="AR159" s="136" t="s">
        <v>120</v>
      </c>
      <c r="AS159" s="136" t="s">
        <v>8</v>
      </c>
      <c r="AT159" s="136" t="s">
        <v>226</v>
      </c>
      <c r="AU159" s="136" t="s">
        <v>8</v>
      </c>
      <c r="AV159" s="136" t="s">
        <v>231</v>
      </c>
      <c r="AX159" s="136" t="str">
        <f>IF(AI119="","",IF(B159="","",B159))</f>
        <v>HD</v>
      </c>
      <c r="AY159" s="136" t="str">
        <f>IF(AI119="","",IF(C159="","",C159))</f>
        <v>-</v>
      </c>
      <c r="AZ159" s="136" t="str">
        <f>IF(AI119="","",IF(D159="","",D159))</f>
        <v>HD</v>
      </c>
      <c r="BA159" s="136" t="str">
        <f>IF(AI119="","",IF(E159="","",E159))</f>
        <v>-</v>
      </c>
      <c r="BB159" s="136" t="str">
        <f>IF(AI119="","",IF(F159="","",F159))</f>
        <v>HD</v>
      </c>
      <c r="BC159" s="136" t="str">
        <f>IF(AI119="","",IF(G159="","",G159))</f>
        <v>-</v>
      </c>
      <c r="BD159" s="136" t="str">
        <f>IF(AI119="","",IF(H159="","",H159))</f>
        <v>HD</v>
      </c>
      <c r="BE159" s="136" t="str">
        <f>IF(AI119="","",IF(I159="","",I159))</f>
        <v>-</v>
      </c>
      <c r="BF159" s="136" t="str">
        <f>IF(AI119="","",IF(J159="","",J159))</f>
        <v>HD</v>
      </c>
      <c r="BG159" s="136" t="str">
        <f>IF(AI119="","",IF(K159="","",K159))</f>
        <v>-</v>
      </c>
      <c r="BH159" s="136" t="str">
        <f>IF(AI119="","",IF(L159="","",L159))</f>
        <v>PV</v>
      </c>
      <c r="BI159" s="136" t="str">
        <f>IF(AI119="","",IF(M159="","",M159))</f>
        <v>-</v>
      </c>
      <c r="BJ159" s="136" t="str">
        <f>IF(AI119="","",IF(N159="","",N159))</f>
        <v>EA</v>
      </c>
      <c r="BK159" s="136" t="str">
        <f>IF(AI119="","",IF(O159="","",O159))</f>
        <v>IEI</v>
      </c>
      <c r="BN159" s="136" t="str">
        <f t="shared" si="93"/>
        <v>Aulas Práticas</v>
      </c>
      <c r="BO159" s="136" t="str">
        <f t="shared" si="93"/>
        <v>APA</v>
      </c>
      <c r="BP159" s="136">
        <f>IF(BO159="","",COUNTIFS(AX123:BK170,BO159)*0.5)</f>
        <v>0</v>
      </c>
      <c r="BQ159" s="136" t="str">
        <f t="shared" si="94"/>
        <v>Aulas Práticas</v>
      </c>
      <c r="BR159" s="136" t="str">
        <f t="shared" si="94"/>
        <v>APA</v>
      </c>
      <c r="BS159" s="136" t="str">
        <f t="shared" si="95"/>
        <v>Aulas Práticas</v>
      </c>
      <c r="BT159" s="136">
        <f t="shared" si="101"/>
        <v>0</v>
      </c>
      <c r="BU159" s="136">
        <f t="shared" si="102"/>
        <v>0</v>
      </c>
      <c r="BZ159" s="280"/>
      <c r="CA159" s="183" t="str">
        <f>'INFO BASE'!L222</f>
        <v>-</v>
      </c>
      <c r="CB159" s="183" t="str">
        <f>'INFO BASE'!M222</f>
        <v/>
      </c>
      <c r="CR159" s="177" t="str">
        <f t="shared" si="83"/>
        <v>HD</v>
      </c>
      <c r="CS159" s="177" t="str">
        <f t="shared" si="84"/>
        <v>HD-</v>
      </c>
      <c r="CT159" s="177" t="str">
        <f t="shared" si="83"/>
        <v>HD</v>
      </c>
      <c r="CU159" s="177" t="str">
        <f t="shared" si="85"/>
        <v>HD-</v>
      </c>
      <c r="CV159" s="177" t="str">
        <f t="shared" si="83"/>
        <v>HD</v>
      </c>
      <c r="CW159" s="177" t="str">
        <f t="shared" si="86"/>
        <v>HD-</v>
      </c>
      <c r="CX159" s="177" t="str">
        <f t="shared" si="83"/>
        <v>HD</v>
      </c>
      <c r="CY159" s="177" t="str">
        <f t="shared" si="87"/>
        <v>HD-</v>
      </c>
      <c r="CZ159" s="177" t="str">
        <f t="shared" si="83"/>
        <v>HD</v>
      </c>
      <c r="DA159" s="177" t="str">
        <f t="shared" si="88"/>
        <v>HD-</v>
      </c>
      <c r="DB159" s="177" t="str">
        <f t="shared" si="83"/>
        <v>PV</v>
      </c>
      <c r="DC159" s="177">
        <f t="shared" si="89"/>
        <v>0</v>
      </c>
      <c r="DD159" s="177" t="str">
        <f t="shared" si="90"/>
        <v>EA</v>
      </c>
      <c r="DE159" s="177" t="str">
        <f t="shared" si="91"/>
        <v>EAIEI</v>
      </c>
    </row>
    <row r="160" spans="1:109" ht="18" customHeight="1" x14ac:dyDescent="0.3">
      <c r="A160" s="81">
        <v>0.77083333333335802</v>
      </c>
      <c r="B160" s="166" t="s">
        <v>116</v>
      </c>
      <c r="C160" s="130" t="s">
        <v>120</v>
      </c>
      <c r="D160" s="169" t="s">
        <v>116</v>
      </c>
      <c r="E160" s="130" t="s">
        <v>120</v>
      </c>
      <c r="F160" s="169" t="s">
        <v>116</v>
      </c>
      <c r="G160" s="130" t="s">
        <v>120</v>
      </c>
      <c r="H160" s="169" t="s">
        <v>116</v>
      </c>
      <c r="I160" s="130" t="s">
        <v>120</v>
      </c>
      <c r="J160" s="169" t="s">
        <v>116</v>
      </c>
      <c r="K160" s="130" t="s">
        <v>120</v>
      </c>
      <c r="L160" s="169" t="s">
        <v>8</v>
      </c>
      <c r="M160" s="130" t="s">
        <v>226</v>
      </c>
      <c r="N160" s="169" t="s">
        <v>8</v>
      </c>
      <c r="O160" s="154" t="s">
        <v>226</v>
      </c>
      <c r="P160" s="6">
        <v>0</v>
      </c>
      <c r="Q160" s="122" t="str">
        <f t="shared" si="108"/>
        <v>Aulas Teóricas</v>
      </c>
      <c r="R160" s="105" t="str">
        <f t="shared" si="100"/>
        <v>CDI</v>
      </c>
      <c r="S160" s="88">
        <f t="shared" si="97"/>
        <v>0</v>
      </c>
      <c r="T160" s="106">
        <f>IF(VLOOKUP(Q160,'INFO BASE'!$B$40:$I$54,IF(R160='INFO BASE'!$B$32,3,IF(R160='INFO BASE'!$B$33,4,IF(R160='INFO BASE'!$B$34,5,IF(R160='INFO BASE'!$B$35,6,IF(R160='INFO BASE'!$B$36,7,IF(R160='INFO BASE'!$B$37,8,2)))))),0)=0,"",VLOOKUP(Q160,'INFO BASE'!$B$40:$I$54,IF(R160='INFO BASE'!$B$32,3,IF(R160='INFO BASE'!$B$33,4,IF(R160='INFO BASE'!$B$34,5,IF(R160='INFO BASE'!$B$35,6,IF(R160='INFO BASE'!$B$36,7,IF(R160='INFO BASE'!$B$37,8,2)))))),0))</f>
        <v>3</v>
      </c>
      <c r="U160" s="106">
        <f>(COUNTIFS(C123:C170,R160,B123:B170,R155)+COUNTIFS(E123:E170,R160,D123:D170,R155)+COUNTIFS(G123:G170,R160,F123:F170,R155)+COUNTIFS(I123:I170,R160,H123:H170,R155)+COUNTIFS(K123:K170,R160,J123:J170,R155)+COUNTIFS(M123:M170,R160,L123:L170,R155)+COUNTIFS(O123:O170,R160,N123:N170,R155))*0.5</f>
        <v>3</v>
      </c>
      <c r="V160" s="89">
        <f>(COUNTIFS(AI123:AI170,R155,AJ123:AJ170,R153)+COUNTIFS(AK123:AK170,R155,AL123:AL170,R153)+COUNTIFS(AM123:AM170,R155,AN123:AN170,R153)+COUNTIFS(AO123:AO170,R155,AP123:AP170,R153)+COUNTIFS(AQ123:AQ170,R155,AR123:AR170,R153)+COUNTIFS(AS123:AS170,R155,AT123:AT170,R153)+COUNTIFS(AU123:AU170,R155,AV123:AV170,R153))*0.5</f>
        <v>3</v>
      </c>
      <c r="W160" s="90">
        <f>IF(AH119="","-",IF(V160=0,U160,IFERROR((U160/V160)-1,"-")))</f>
        <v>0</v>
      </c>
      <c r="X160" s="201">
        <f t="shared" si="98"/>
        <v>0</v>
      </c>
      <c r="Y160" s="271"/>
      <c r="Z160" s="272"/>
      <c r="AA160" s="272"/>
      <c r="AB160" s="272"/>
      <c r="AC160" s="272"/>
      <c r="AD160" s="272"/>
      <c r="AE160" s="272"/>
      <c r="AF160" s="273"/>
      <c r="AH160" s="136">
        <v>0.77083333333335802</v>
      </c>
      <c r="AI160" s="136" t="s">
        <v>116</v>
      </c>
      <c r="AJ160" s="136" t="s">
        <v>235</v>
      </c>
      <c r="AK160" s="136" t="s">
        <v>116</v>
      </c>
      <c r="AL160" s="136" t="s">
        <v>235</v>
      </c>
      <c r="AM160" s="136" t="s">
        <v>116</v>
      </c>
      <c r="AN160" s="136" t="s">
        <v>235</v>
      </c>
      <c r="AO160" s="136" t="s">
        <v>116</v>
      </c>
      <c r="AP160" s="136" t="s">
        <v>235</v>
      </c>
      <c r="AQ160" s="136" t="s">
        <v>116</v>
      </c>
      <c r="AR160" s="136" t="s">
        <v>235</v>
      </c>
      <c r="AS160" s="136" t="s">
        <v>8</v>
      </c>
      <c r="AT160" s="136" t="s">
        <v>226</v>
      </c>
      <c r="AU160" s="136" t="s">
        <v>116</v>
      </c>
      <c r="AV160" s="136" t="s">
        <v>235</v>
      </c>
      <c r="AX160" s="136" t="str">
        <f>IF(AI119="","",IF(B160="","",B160))</f>
        <v>PV</v>
      </c>
      <c r="AY160" s="136" t="str">
        <f>IF(AI119="","",IF(C160="","",C160))</f>
        <v>-</v>
      </c>
      <c r="AZ160" s="136" t="str">
        <f>IF(AI119="","",IF(D160="","",D160))</f>
        <v>PV</v>
      </c>
      <c r="BA160" s="136" t="str">
        <f>IF(AI119="","",IF(E160="","",E160))</f>
        <v>-</v>
      </c>
      <c r="BB160" s="136" t="str">
        <f>IF(AI119="","",IF(F160="","",F160))</f>
        <v>PV</v>
      </c>
      <c r="BC160" s="136" t="str">
        <f>IF(AI119="","",IF(G160="","",G160))</f>
        <v>-</v>
      </c>
      <c r="BD160" s="136" t="str">
        <f>IF(AI119="","",IF(H160="","",H160))</f>
        <v>PV</v>
      </c>
      <c r="BE160" s="136" t="str">
        <f>IF(AI119="","",IF(I160="","",I160))</f>
        <v>-</v>
      </c>
      <c r="BF160" s="136" t="str">
        <f>IF(AI119="","",IF(J160="","",J160))</f>
        <v>PV</v>
      </c>
      <c r="BG160" s="136" t="str">
        <f>IF(AI119="","",IF(K160="","",K160))</f>
        <v>-</v>
      </c>
      <c r="BH160" s="136" t="str">
        <f>IF(AI119="","",IF(L160="","",L160))</f>
        <v>EA</v>
      </c>
      <c r="BI160" s="136" t="str">
        <f>IF(AI119="","",IF(M160="","",M160))</f>
        <v>IEI</v>
      </c>
      <c r="BJ160" s="136" t="str">
        <f>IF(AI119="","",IF(N160="","",N160))</f>
        <v>EA</v>
      </c>
      <c r="BK160" s="136" t="str">
        <f>IF(AI119="","",IF(O160="","",O160))</f>
        <v>IEI</v>
      </c>
      <c r="BN160" s="136" t="str">
        <f t="shared" si="93"/>
        <v>Aulas Problemas</v>
      </c>
      <c r="BO160" s="136" t="str">
        <f t="shared" si="93"/>
        <v>APB</v>
      </c>
      <c r="BP160" s="136">
        <f>IF(BO160="","",COUNTIFS(AX123:BK170,BO160)*0.5)</f>
        <v>4.5</v>
      </c>
      <c r="BQ160" s="136" t="str">
        <f t="shared" si="94"/>
        <v>Aulas Problemas</v>
      </c>
      <c r="BR160" s="136" t="str">
        <f t="shared" si="94"/>
        <v>APB</v>
      </c>
      <c r="BS160" s="136" t="str">
        <f t="shared" si="95"/>
        <v>Aulas Problemas</v>
      </c>
      <c r="BT160" s="136">
        <f t="shared" si="101"/>
        <v>36</v>
      </c>
      <c r="BU160" s="136">
        <f t="shared" si="102"/>
        <v>36</v>
      </c>
      <c r="BZ160" s="280"/>
      <c r="CA160" s="183" t="str">
        <f>'INFO BASE'!L223</f>
        <v>-</v>
      </c>
      <c r="CB160" s="183" t="str">
        <f>'INFO BASE'!M223</f>
        <v/>
      </c>
      <c r="CR160" s="177" t="str">
        <f t="shared" si="83"/>
        <v>PV</v>
      </c>
      <c r="CS160" s="177">
        <f t="shared" si="84"/>
        <v>0</v>
      </c>
      <c r="CT160" s="177" t="str">
        <f t="shared" si="83"/>
        <v>PV</v>
      </c>
      <c r="CU160" s="177">
        <f t="shared" si="85"/>
        <v>0</v>
      </c>
      <c r="CV160" s="177" t="str">
        <f t="shared" si="83"/>
        <v>PV</v>
      </c>
      <c r="CW160" s="177">
        <f t="shared" si="86"/>
        <v>0</v>
      </c>
      <c r="CX160" s="177" t="str">
        <f t="shared" si="83"/>
        <v>PV</v>
      </c>
      <c r="CY160" s="177">
        <f t="shared" si="87"/>
        <v>0</v>
      </c>
      <c r="CZ160" s="177" t="str">
        <f t="shared" si="83"/>
        <v>PV</v>
      </c>
      <c r="DA160" s="177">
        <f t="shared" si="88"/>
        <v>0</v>
      </c>
      <c r="DB160" s="177" t="str">
        <f t="shared" si="83"/>
        <v>EA</v>
      </c>
      <c r="DC160" s="177" t="str">
        <f t="shared" si="89"/>
        <v>EAIEI</v>
      </c>
      <c r="DD160" s="177" t="str">
        <f t="shared" si="90"/>
        <v>EA</v>
      </c>
      <c r="DE160" s="177" t="str">
        <f t="shared" si="91"/>
        <v>EAIEI</v>
      </c>
    </row>
    <row r="161" spans="1:120" ht="18" customHeight="1" thickBot="1" x14ac:dyDescent="0.35">
      <c r="A161" s="81">
        <v>0.79166666666669205</v>
      </c>
      <c r="B161" s="166" t="s">
        <v>116</v>
      </c>
      <c r="C161" s="130" t="s">
        <v>120</v>
      </c>
      <c r="D161" s="169" t="s">
        <v>8</v>
      </c>
      <c r="E161" s="130" t="s">
        <v>224</v>
      </c>
      <c r="F161" s="169" t="s">
        <v>116</v>
      </c>
      <c r="G161" s="130" t="s">
        <v>120</v>
      </c>
      <c r="H161" s="169" t="s">
        <v>8</v>
      </c>
      <c r="I161" s="130" t="s">
        <v>230</v>
      </c>
      <c r="J161" s="169" t="s">
        <v>116</v>
      </c>
      <c r="K161" s="130" t="s">
        <v>120</v>
      </c>
      <c r="L161" s="169" t="s">
        <v>8</v>
      </c>
      <c r="M161" s="130" t="s">
        <v>226</v>
      </c>
      <c r="N161" s="169" t="s">
        <v>8</v>
      </c>
      <c r="O161" s="154" t="s">
        <v>226</v>
      </c>
      <c r="P161" s="6">
        <v>0</v>
      </c>
      <c r="Q161" s="124" t="str">
        <f t="shared" si="108"/>
        <v>Aulas Teóricas</v>
      </c>
      <c r="R161" s="107" t="str">
        <f t="shared" si="100"/>
        <v/>
      </c>
      <c r="S161" s="94" t="str">
        <f t="shared" si="97"/>
        <v>-</v>
      </c>
      <c r="T161" s="108" t="str">
        <f>IF(VLOOKUP(Q161,'INFO BASE'!$B$40:$I$54,IF(R161='INFO BASE'!$B$32,3,IF(R161='INFO BASE'!$B$33,4,IF(R161='INFO BASE'!$B$34,5,IF(R161='INFO BASE'!$B$35,6,IF(R161='INFO BASE'!$B$36,7,IF(R161='INFO BASE'!$B$37,8,2)))))),0)=0,"",VLOOKUP(Q161,'INFO BASE'!$B$40:$I$54,IF(R161='INFO BASE'!$B$32,3,IF(R161='INFO BASE'!$B$33,4,IF(R161='INFO BASE'!$B$34,5,IF(R161='INFO BASE'!$B$35,6,IF(R161='INFO BASE'!$B$36,7,IF(R161='INFO BASE'!$B$37,8,2)))))),0))</f>
        <v/>
      </c>
      <c r="U161" s="108">
        <f>(COUNTIFS(C123:C170,R161,B123:B170,R155)+COUNTIFS(E123:E170,R161,D123:D170,R155)+COUNTIFS(G123:G170,R161,F123:F170,R155)+COUNTIFS(I123:I170,R161,H123:H170,R155)+COUNTIFS(K123:K170,R161,J123:J170,R155)+COUNTIFS(M123:M170,R161,L123:L170,R155)+COUNTIFS(O123:O170,R161,N123:N170,R155))*0.5</f>
        <v>0</v>
      </c>
      <c r="V161" s="95">
        <f>(COUNTIFS(AI123:AI170,R155,AJ123:AJ170,R154)+COUNTIFS(AK123:AK170,R155,AL123:AL170,R154)+COUNTIFS(AM123:AM170,R155,AN123:AN170,R154)+COUNTIFS(AO123:AO170,R155,AP123:AP170,R154)+COUNTIFS(AQ123:AQ170,R155,AR123:AR170,R154)+COUNTIFS(AS123:AS170,R155,AT123:AT170,R154)+COUNTIFS(AU123:AU170,R155,AV123:AV170,R154))*0.5</f>
        <v>0</v>
      </c>
      <c r="W161" s="96">
        <f>IF(AH119="","-",IF(V161=0,U161,IFERROR((U161/V161)-1,"-")))</f>
        <v>0</v>
      </c>
      <c r="X161" s="201">
        <f t="shared" si="98"/>
        <v>0</v>
      </c>
      <c r="Y161" s="274"/>
      <c r="Z161" s="275"/>
      <c r="AA161" s="275"/>
      <c r="AB161" s="275"/>
      <c r="AC161" s="275"/>
      <c r="AD161" s="275"/>
      <c r="AE161" s="275"/>
      <c r="AF161" s="276"/>
      <c r="AH161" s="136">
        <v>0.79166666666669205</v>
      </c>
      <c r="AI161" s="136" t="s">
        <v>116</v>
      </c>
      <c r="AJ161" s="136" t="s">
        <v>235</v>
      </c>
      <c r="AK161" s="136" t="s">
        <v>8</v>
      </c>
      <c r="AL161" s="136" t="s">
        <v>224</v>
      </c>
      <c r="AM161" s="136" t="s">
        <v>116</v>
      </c>
      <c r="AN161" s="136" t="s">
        <v>235</v>
      </c>
      <c r="AO161" s="136" t="s">
        <v>8</v>
      </c>
      <c r="AP161" s="136" t="s">
        <v>230</v>
      </c>
      <c r="AQ161" s="136" t="s">
        <v>116</v>
      </c>
      <c r="AR161" s="136" t="s">
        <v>235</v>
      </c>
      <c r="AS161" s="136" t="s">
        <v>8</v>
      </c>
      <c r="AT161" s="136" t="s">
        <v>226</v>
      </c>
      <c r="AU161" s="136" t="s">
        <v>8</v>
      </c>
      <c r="AV161" s="136" t="s">
        <v>230</v>
      </c>
      <c r="AX161" s="136" t="str">
        <f>IF(AI119="","",IF(B161="","",B161))</f>
        <v>PV</v>
      </c>
      <c r="AY161" s="136" t="str">
        <f>IF(AI119="","",IF(C161="","",C161))</f>
        <v>-</v>
      </c>
      <c r="AZ161" s="136" t="str">
        <f>IF(AI119="","",IF(D161="","",D161))</f>
        <v>EA</v>
      </c>
      <c r="BA161" s="136" t="str">
        <f>IF(AI119="","",IF(E161="","",E161))</f>
        <v>FP</v>
      </c>
      <c r="BB161" s="136" t="str">
        <f>IF(AI119="","",IF(F161="","",F161))</f>
        <v>PV</v>
      </c>
      <c r="BC161" s="136" t="str">
        <f>IF(AI119="","",IF(G161="","",G161))</f>
        <v>-</v>
      </c>
      <c r="BD161" s="136" t="str">
        <f>IF(AI119="","",IF(H161="","",H161))</f>
        <v>EA</v>
      </c>
      <c r="BE161" s="136" t="str">
        <f>IF(AI119="","",IF(I161="","",I161))</f>
        <v>AL</v>
      </c>
      <c r="BF161" s="136" t="str">
        <f>IF(AI119="","",IF(J161="","",J161))</f>
        <v>PV</v>
      </c>
      <c r="BG161" s="136" t="str">
        <f>IF(AI119="","",IF(K161="","",K161))</f>
        <v>-</v>
      </c>
      <c r="BH161" s="136" t="str">
        <f>IF(AI119="","",IF(L161="","",L161))</f>
        <v>EA</v>
      </c>
      <c r="BI161" s="136" t="str">
        <f>IF(AI119="","",IF(M161="","",M161))</f>
        <v>IEI</v>
      </c>
      <c r="BJ161" s="136" t="str">
        <f>IF(AI119="","",IF(N161="","",N161))</f>
        <v>EA</v>
      </c>
      <c r="BK161" s="136" t="str">
        <f>IF(AI119="","",IF(O161="","",O161))</f>
        <v>IEI</v>
      </c>
      <c r="BN161" s="136" t="str">
        <f t="shared" si="93"/>
        <v>Laboratórios</v>
      </c>
      <c r="BO161" s="136" t="str">
        <f t="shared" si="93"/>
        <v>LAB</v>
      </c>
      <c r="BP161" s="136">
        <f>IF(BO161="","",COUNTIFS(AX123:BK170,BO161)*0.5)</f>
        <v>1.5</v>
      </c>
      <c r="BQ161" s="136" t="str">
        <f t="shared" si="94"/>
        <v>Laboratórios</v>
      </c>
      <c r="BR161" s="136" t="str">
        <f t="shared" si="94"/>
        <v>LAB</v>
      </c>
      <c r="BS161" s="136" t="str">
        <f t="shared" si="95"/>
        <v>Laboratórios</v>
      </c>
      <c r="BT161" s="136">
        <f t="shared" si="101"/>
        <v>10.5</v>
      </c>
      <c r="BU161" s="136">
        <f t="shared" si="102"/>
        <v>10.5</v>
      </c>
      <c r="BZ161" s="280"/>
      <c r="CA161" s="183" t="str">
        <f>'INFO BASE'!L224</f>
        <v>-</v>
      </c>
      <c r="CB161" s="183" t="str">
        <f>'INFO BASE'!M224</f>
        <v/>
      </c>
      <c r="CR161" s="177" t="str">
        <f t="shared" si="83"/>
        <v>PV</v>
      </c>
      <c r="CS161" s="177">
        <f t="shared" si="84"/>
        <v>0</v>
      </c>
      <c r="CT161" s="177" t="str">
        <f t="shared" si="83"/>
        <v>EA</v>
      </c>
      <c r="CU161" s="177" t="str">
        <f t="shared" si="85"/>
        <v>EAFP</v>
      </c>
      <c r="CV161" s="177" t="str">
        <f t="shared" si="83"/>
        <v>PV</v>
      </c>
      <c r="CW161" s="177">
        <f t="shared" si="86"/>
        <v>0</v>
      </c>
      <c r="CX161" s="177" t="str">
        <f t="shared" si="83"/>
        <v>EA</v>
      </c>
      <c r="CY161" s="177" t="str">
        <f t="shared" si="87"/>
        <v>EAAL</v>
      </c>
      <c r="CZ161" s="177" t="str">
        <f t="shared" si="83"/>
        <v>PV</v>
      </c>
      <c r="DA161" s="177">
        <f t="shared" si="88"/>
        <v>0</v>
      </c>
      <c r="DB161" s="177" t="str">
        <f t="shared" si="83"/>
        <v>EA</v>
      </c>
      <c r="DC161" s="177" t="str">
        <f t="shared" si="89"/>
        <v>EAIEI</v>
      </c>
      <c r="DD161" s="177" t="str">
        <f t="shared" si="90"/>
        <v>EA</v>
      </c>
      <c r="DE161" s="177" t="str">
        <f t="shared" si="91"/>
        <v>EAIEI</v>
      </c>
    </row>
    <row r="162" spans="1:120" ht="18" customHeight="1" x14ac:dyDescent="0.3">
      <c r="A162" s="81">
        <v>0.81250000000002598</v>
      </c>
      <c r="B162" s="166" t="s">
        <v>116</v>
      </c>
      <c r="C162" s="130" t="s">
        <v>120</v>
      </c>
      <c r="D162" s="169" t="s">
        <v>8</v>
      </c>
      <c r="E162" s="130" t="s">
        <v>224</v>
      </c>
      <c r="F162" s="169" t="s">
        <v>116</v>
      </c>
      <c r="G162" s="130" t="s">
        <v>120</v>
      </c>
      <c r="H162" s="169" t="s">
        <v>8</v>
      </c>
      <c r="I162" s="130" t="s">
        <v>230</v>
      </c>
      <c r="J162" s="169" t="s">
        <v>116</v>
      </c>
      <c r="K162" s="130" t="s">
        <v>120</v>
      </c>
      <c r="L162" s="169" t="s">
        <v>8</v>
      </c>
      <c r="M162" s="130" t="s">
        <v>226</v>
      </c>
      <c r="N162" s="169" t="s">
        <v>8</v>
      </c>
      <c r="O162" s="154" t="s">
        <v>226</v>
      </c>
      <c r="P162" s="6">
        <v>0</v>
      </c>
      <c r="Q162" s="97" t="str">
        <f>IF('INFO BASE'!$C$21="","",'INFO BASE'!$C$21)</f>
        <v>Aulas Práticas</v>
      </c>
      <c r="R162" s="82" t="str">
        <f t="shared" si="100"/>
        <v>APA</v>
      </c>
      <c r="S162" s="83" t="str">
        <f t="shared" si="97"/>
        <v>-</v>
      </c>
      <c r="T162" s="98" t="str">
        <f>IF(VLOOKUP(Q162,'INFO BASE'!$B$40:$I$54,IF(R162='INFO BASE'!$B$32,3,IF(R162='INFO BASE'!$B$33,4,IF(R162='INFO BASE'!$B$34,5,IF(R162='INFO BASE'!$B$35,6,IF(R162='INFO BASE'!$B$36,7,IF(R162='INFO BASE'!$B$37,8,2)))))),0)=0,"",VLOOKUP(Q162,'INFO BASE'!$B$40:$I$54,IF(R162='INFO BASE'!$B$32,3,IF(R162='INFO BASE'!$B$33,4,IF(R162='INFO BASE'!$B$34,5,IF(R162='INFO BASE'!$B$35,6,IF(R162='INFO BASE'!$B$36,7,IF(R162='INFO BASE'!$B$37,8,2)))))),0))</f>
        <v/>
      </c>
      <c r="U162" s="84">
        <f t="shared" ref="U162:U170" si="109">IF(R162="","",COUNTIFS(SEMANA3,R162)*0.5)</f>
        <v>0</v>
      </c>
      <c r="V162" s="84">
        <f>IF(R162="","",COUNTIFS(AI123:AV170,R162)*0.5)</f>
        <v>0</v>
      </c>
      <c r="W162" s="85">
        <f>IF(AH119="","-",IF(V162=0,U162,IFERROR((U162/V162)-1,"-")))</f>
        <v>0</v>
      </c>
      <c r="X162" s="201">
        <f t="shared" si="98"/>
        <v>0</v>
      </c>
      <c r="Y162" s="277"/>
      <c r="Z162" s="278"/>
      <c r="AA162" s="278"/>
      <c r="AB162" s="278"/>
      <c r="AC162" s="278"/>
      <c r="AD162" s="278"/>
      <c r="AE162" s="278"/>
      <c r="AF162" s="279"/>
      <c r="AH162" s="136">
        <v>0.81250000000002598</v>
      </c>
      <c r="AI162" s="136" t="s">
        <v>116</v>
      </c>
      <c r="AJ162" s="136" t="s">
        <v>235</v>
      </c>
      <c r="AK162" s="136" t="s">
        <v>8</v>
      </c>
      <c r="AL162" s="136" t="s">
        <v>224</v>
      </c>
      <c r="AM162" s="136" t="s">
        <v>116</v>
      </c>
      <c r="AN162" s="136" t="s">
        <v>235</v>
      </c>
      <c r="AO162" s="136" t="s">
        <v>8</v>
      </c>
      <c r="AP162" s="136" t="s">
        <v>230</v>
      </c>
      <c r="AQ162" s="136" t="s">
        <v>116</v>
      </c>
      <c r="AR162" s="136" t="s">
        <v>235</v>
      </c>
      <c r="AS162" s="136" t="s">
        <v>8</v>
      </c>
      <c r="AT162" s="136" t="s">
        <v>226</v>
      </c>
      <c r="AU162" s="136" t="s">
        <v>8</v>
      </c>
      <c r="AV162" s="136" t="s">
        <v>230</v>
      </c>
      <c r="AX162" s="136" t="str">
        <f>IF(AI119="","",IF(B162="","",B162))</f>
        <v>PV</v>
      </c>
      <c r="AY162" s="136" t="str">
        <f>IF(AI119="","",IF(C162="","",C162))</f>
        <v>-</v>
      </c>
      <c r="AZ162" s="136" t="str">
        <f>IF(AI119="","",IF(D162="","",D162))</f>
        <v>EA</v>
      </c>
      <c r="BA162" s="136" t="str">
        <f>IF(AI119="","",IF(E162="","",E162))</f>
        <v>FP</v>
      </c>
      <c r="BB162" s="136" t="str">
        <f>IF(AI119="","",IF(F162="","",F162))</f>
        <v>PV</v>
      </c>
      <c r="BC162" s="136" t="str">
        <f>IF(AI119="","",IF(G162="","",G162))</f>
        <v>-</v>
      </c>
      <c r="BD162" s="136" t="str">
        <f>IF(AI119="","",IF(H162="","",H162))</f>
        <v>EA</v>
      </c>
      <c r="BE162" s="136" t="str">
        <f>IF(AI119="","",IF(I162="","",I162))</f>
        <v>AL</v>
      </c>
      <c r="BF162" s="136" t="str">
        <f>IF(AI119="","",IF(J162="","",J162))</f>
        <v>PV</v>
      </c>
      <c r="BG162" s="136" t="str">
        <f>IF(AI119="","",IF(K162="","",K162))</f>
        <v>-</v>
      </c>
      <c r="BH162" s="136" t="str">
        <f>IF(AI119="","",IF(L162="","",L162))</f>
        <v>EA</v>
      </c>
      <c r="BI162" s="136" t="str">
        <f>IF(AI119="","",IF(M162="","",M162))</f>
        <v>IEI</v>
      </c>
      <c r="BJ162" s="136" t="str">
        <f>IF(AI119="","",IF(N162="","",N162))</f>
        <v>EA</v>
      </c>
      <c r="BK162" s="136" t="str">
        <f>IF(AI119="","",IF(O162="","",O162))</f>
        <v>IEI</v>
      </c>
      <c r="BN162" s="136" t="str">
        <f t="shared" si="93"/>
        <v>Momento Avaliativo</v>
      </c>
      <c r="BO162" s="136" t="str">
        <f t="shared" si="93"/>
        <v>MA</v>
      </c>
      <c r="BP162" s="136">
        <f>IF(BO162="","",COUNTIFS(AX123:BK170,BO162)*0.5)</f>
        <v>0</v>
      </c>
      <c r="BQ162" s="136" t="str">
        <f t="shared" si="94"/>
        <v>Momento Avaliativo</v>
      </c>
      <c r="BR162" s="136" t="str">
        <f t="shared" si="94"/>
        <v>MA</v>
      </c>
      <c r="BS162" s="136" t="str">
        <f t="shared" si="95"/>
        <v>Momento Avaliativo</v>
      </c>
      <c r="BT162" s="136">
        <f t="shared" si="101"/>
        <v>1.5</v>
      </c>
      <c r="BU162" s="136">
        <f t="shared" si="102"/>
        <v>1.5</v>
      </c>
      <c r="BZ162" s="280"/>
      <c r="CA162" s="183" t="str">
        <f>'INFO BASE'!L225</f>
        <v>-</v>
      </c>
      <c r="CB162" s="183" t="str">
        <f>'INFO BASE'!M225</f>
        <v/>
      </c>
      <c r="CR162" s="177" t="str">
        <f t="shared" si="83"/>
        <v>PV</v>
      </c>
      <c r="CS162" s="177">
        <f t="shared" si="84"/>
        <v>0</v>
      </c>
      <c r="CT162" s="177" t="str">
        <f t="shared" si="83"/>
        <v>EA</v>
      </c>
      <c r="CU162" s="177" t="str">
        <f t="shared" si="85"/>
        <v>EAFP</v>
      </c>
      <c r="CV162" s="177" t="str">
        <f t="shared" si="83"/>
        <v>PV</v>
      </c>
      <c r="CW162" s="177">
        <f t="shared" si="86"/>
        <v>0</v>
      </c>
      <c r="CX162" s="177" t="str">
        <f t="shared" si="83"/>
        <v>EA</v>
      </c>
      <c r="CY162" s="177" t="str">
        <f t="shared" si="87"/>
        <v>EAAL</v>
      </c>
      <c r="CZ162" s="177" t="str">
        <f t="shared" si="83"/>
        <v>PV</v>
      </c>
      <c r="DA162" s="177">
        <f t="shared" si="88"/>
        <v>0</v>
      </c>
      <c r="DB162" s="177" t="str">
        <f t="shared" si="83"/>
        <v>EA</v>
      </c>
      <c r="DC162" s="177" t="str">
        <f t="shared" si="89"/>
        <v>EAIEI</v>
      </c>
      <c r="DD162" s="177" t="str">
        <f t="shared" si="90"/>
        <v>EA</v>
      </c>
      <c r="DE162" s="177" t="str">
        <f t="shared" si="91"/>
        <v>EAIEI</v>
      </c>
    </row>
    <row r="163" spans="1:120" ht="18" customHeight="1" x14ac:dyDescent="0.3">
      <c r="A163" s="81">
        <v>0.83333333333336002</v>
      </c>
      <c r="B163" s="166" t="s">
        <v>116</v>
      </c>
      <c r="C163" s="130" t="s">
        <v>120</v>
      </c>
      <c r="D163" s="169" t="s">
        <v>8</v>
      </c>
      <c r="E163" s="130" t="s">
        <v>230</v>
      </c>
      <c r="F163" s="169" t="s">
        <v>116</v>
      </c>
      <c r="G163" s="130" t="s">
        <v>120</v>
      </c>
      <c r="H163" s="169" t="s">
        <v>8</v>
      </c>
      <c r="I163" s="130" t="s">
        <v>230</v>
      </c>
      <c r="J163" s="169" t="s">
        <v>116</v>
      </c>
      <c r="K163" s="130" t="s">
        <v>120</v>
      </c>
      <c r="L163" s="169" t="s">
        <v>8</v>
      </c>
      <c r="M163" s="130" t="s">
        <v>226</v>
      </c>
      <c r="N163" s="169" t="s">
        <v>8</v>
      </c>
      <c r="O163" s="154" t="s">
        <v>226</v>
      </c>
      <c r="P163" s="6">
        <v>0</v>
      </c>
      <c r="Q163" s="99" t="str">
        <f>IF('INFO BASE'!$C$22="","",'INFO BASE'!$C$22)</f>
        <v>Aulas Problemas</v>
      </c>
      <c r="R163" s="87" t="str">
        <f t="shared" si="100"/>
        <v>APB</v>
      </c>
      <c r="S163" s="88">
        <f t="shared" si="97"/>
        <v>-0.25</v>
      </c>
      <c r="T163" s="100">
        <f>IF(VLOOKUP(Q163,'INFO BASE'!$B$40:$I$54,IF(R163='INFO BASE'!$B$32,3,IF(R163='INFO BASE'!$B$33,4,IF(R163='INFO BASE'!$B$34,5,IF(R163='INFO BASE'!$B$35,6,IF(R163='INFO BASE'!$B$36,7,IF(R163='INFO BASE'!$B$37,8,2)))))),0)=0,"",VLOOKUP(Q163,'INFO BASE'!$B$40:$I$54,IF(R163='INFO BASE'!$B$32,3,IF(R163='INFO BASE'!$B$33,4,IF(R163='INFO BASE'!$B$34,5,IF(R163='INFO BASE'!$B$35,6,IF(R163='INFO BASE'!$B$36,7,IF(R163='INFO BASE'!$B$37,8,2)))))),0))</f>
        <v>6</v>
      </c>
      <c r="U163" s="89">
        <f t="shared" si="109"/>
        <v>4.5</v>
      </c>
      <c r="V163" s="100">
        <f>IF(R163="","",COUNTIFS(AI123:AV170,R163)*0.5)</f>
        <v>4.5</v>
      </c>
      <c r="W163" s="90">
        <f>IF(AH119="","-",IF(V163=0,U163,IFERROR((U163/V163)-1,"-")))</f>
        <v>0</v>
      </c>
      <c r="X163" s="201">
        <f t="shared" si="98"/>
        <v>0</v>
      </c>
      <c r="Y163" s="271"/>
      <c r="Z163" s="272"/>
      <c r="AA163" s="272"/>
      <c r="AB163" s="272"/>
      <c r="AC163" s="272"/>
      <c r="AD163" s="272"/>
      <c r="AE163" s="272"/>
      <c r="AF163" s="273"/>
      <c r="AH163" s="136">
        <v>0.83333333333336002</v>
      </c>
      <c r="AI163" s="136" t="s">
        <v>116</v>
      </c>
      <c r="AJ163" s="136" t="s">
        <v>235</v>
      </c>
      <c r="AK163" s="136" t="s">
        <v>8</v>
      </c>
      <c r="AL163" s="136" t="s">
        <v>230</v>
      </c>
      <c r="AM163" s="136" t="s">
        <v>116</v>
      </c>
      <c r="AN163" s="136" t="s">
        <v>235</v>
      </c>
      <c r="AO163" s="136" t="s">
        <v>8</v>
      </c>
      <c r="AP163" s="136" t="s">
        <v>230</v>
      </c>
      <c r="AQ163" s="136" t="s">
        <v>116</v>
      </c>
      <c r="AR163" s="136" t="s">
        <v>235</v>
      </c>
      <c r="AS163" s="136" t="s">
        <v>8</v>
      </c>
      <c r="AT163" s="136" t="s">
        <v>226</v>
      </c>
      <c r="AU163" s="136" t="s">
        <v>8</v>
      </c>
      <c r="AV163" s="136" t="s">
        <v>230</v>
      </c>
      <c r="AX163" s="136" t="str">
        <f>IF(AI119="","",IF(B163="","",B163))</f>
        <v>PV</v>
      </c>
      <c r="AY163" s="136" t="str">
        <f>IF(AI119="","",IF(C163="","",C163))</f>
        <v>-</v>
      </c>
      <c r="AZ163" s="136" t="str">
        <f>IF(AI119="","",IF(D163="","",D163))</f>
        <v>EA</v>
      </c>
      <c r="BA163" s="136" t="str">
        <f>IF(AI119="","",IF(E163="","",E163))</f>
        <v>AL</v>
      </c>
      <c r="BB163" s="136" t="str">
        <f>IF(AI119="","",IF(F163="","",F163))</f>
        <v>PV</v>
      </c>
      <c r="BC163" s="136" t="str">
        <f>IF(AI119="","",IF(G163="","",G163))</f>
        <v>-</v>
      </c>
      <c r="BD163" s="136" t="str">
        <f>IF(AI119="","",IF(H163="","",H163))</f>
        <v>EA</v>
      </c>
      <c r="BE163" s="136" t="str">
        <f>IF(AI119="","",IF(I163="","",I163))</f>
        <v>AL</v>
      </c>
      <c r="BF163" s="136" t="str">
        <f>IF(AI119="","",IF(J163="","",J163))</f>
        <v>PV</v>
      </c>
      <c r="BG163" s="136" t="str">
        <f>IF(AI119="","",IF(K163="","",K163))</f>
        <v>-</v>
      </c>
      <c r="BH163" s="136" t="str">
        <f>IF(AI119="","",IF(L163="","",L163))</f>
        <v>EA</v>
      </c>
      <c r="BI163" s="136" t="str">
        <f>IF(AI119="","",IF(M163="","",M163))</f>
        <v>IEI</v>
      </c>
      <c r="BJ163" s="136" t="str">
        <f>IF(AI119="","",IF(N163="","",N163))</f>
        <v>EA</v>
      </c>
      <c r="BK163" s="136" t="str">
        <f>IF(AI119="","",IF(O163="","",O163))</f>
        <v>IEI</v>
      </c>
      <c r="BN163" s="136" t="str">
        <f t="shared" si="93"/>
        <v>Horário de Dúvidas</v>
      </c>
      <c r="BO163" s="136" t="str">
        <f t="shared" si="93"/>
        <v>HDV</v>
      </c>
      <c r="BP163" s="136">
        <f>IF(BO163="","",COUNTIFS(AX123:BK170,BO163)*0.5)</f>
        <v>0</v>
      </c>
      <c r="BQ163" s="136" t="str">
        <f t="shared" si="94"/>
        <v>Horário de Dúvidas</v>
      </c>
      <c r="BR163" s="136" t="str">
        <f t="shared" si="94"/>
        <v>HDV</v>
      </c>
      <c r="BS163" s="136" t="str">
        <f t="shared" si="95"/>
        <v>Horário de Dúvidas</v>
      </c>
      <c r="BT163" s="136">
        <f t="shared" si="101"/>
        <v>0</v>
      </c>
      <c r="BU163" s="136">
        <f t="shared" si="102"/>
        <v>0</v>
      </c>
      <c r="BZ163" s="280" t="s">
        <v>122</v>
      </c>
      <c r="CA163" s="183" t="str">
        <f>'INFO BASE'!L226</f>
        <v>-</v>
      </c>
      <c r="CB163" s="183" t="str">
        <f>'INFO BASE'!M226</f>
        <v/>
      </c>
      <c r="CR163" s="177" t="str">
        <f t="shared" si="83"/>
        <v>PV</v>
      </c>
      <c r="CS163" s="177">
        <f t="shared" si="84"/>
        <v>0</v>
      </c>
      <c r="CT163" s="177" t="str">
        <f t="shared" si="83"/>
        <v>EA</v>
      </c>
      <c r="CU163" s="177" t="str">
        <f t="shared" si="85"/>
        <v>EAAL</v>
      </c>
      <c r="CV163" s="177" t="str">
        <f t="shared" si="83"/>
        <v>PV</v>
      </c>
      <c r="CW163" s="177">
        <f t="shared" si="86"/>
        <v>0</v>
      </c>
      <c r="CX163" s="177" t="str">
        <f t="shared" si="83"/>
        <v>EA</v>
      </c>
      <c r="CY163" s="177" t="str">
        <f t="shared" si="87"/>
        <v>EAAL</v>
      </c>
      <c r="CZ163" s="177" t="str">
        <f t="shared" si="83"/>
        <v>PV</v>
      </c>
      <c r="DA163" s="177">
        <f t="shared" si="88"/>
        <v>0</v>
      </c>
      <c r="DB163" s="177" t="str">
        <f t="shared" si="83"/>
        <v>EA</v>
      </c>
      <c r="DC163" s="177" t="str">
        <f t="shared" si="89"/>
        <v>EAIEI</v>
      </c>
      <c r="DD163" s="177" t="str">
        <f t="shared" si="90"/>
        <v>EA</v>
      </c>
      <c r="DE163" s="177" t="str">
        <f t="shared" si="91"/>
        <v>EAIEI</v>
      </c>
    </row>
    <row r="164" spans="1:120" ht="18" customHeight="1" thickBot="1" x14ac:dyDescent="0.35">
      <c r="A164" s="81">
        <v>0.85416666666669405</v>
      </c>
      <c r="B164" s="166" t="s">
        <v>116</v>
      </c>
      <c r="C164" s="130" t="s">
        <v>120</v>
      </c>
      <c r="D164" s="169" t="s">
        <v>116</v>
      </c>
      <c r="E164" s="130" t="s">
        <v>120</v>
      </c>
      <c r="F164" s="169" t="s">
        <v>116</v>
      </c>
      <c r="G164" s="130" t="s">
        <v>120</v>
      </c>
      <c r="H164" s="169" t="s">
        <v>116</v>
      </c>
      <c r="I164" s="130" t="s">
        <v>120</v>
      </c>
      <c r="J164" s="169" t="s">
        <v>116</v>
      </c>
      <c r="K164" s="130" t="s">
        <v>120</v>
      </c>
      <c r="L164" s="169" t="s">
        <v>116</v>
      </c>
      <c r="M164" s="130" t="s">
        <v>120</v>
      </c>
      <c r="N164" s="169" t="s">
        <v>8</v>
      </c>
      <c r="O164" s="154" t="s">
        <v>226</v>
      </c>
      <c r="P164" s="6">
        <v>0</v>
      </c>
      <c r="Q164" s="101" t="str">
        <f>IF('INFO BASE'!$C$23="","",'INFO BASE'!$C$23)</f>
        <v>Laboratórios</v>
      </c>
      <c r="R164" s="93" t="str">
        <f t="shared" si="100"/>
        <v>LAB</v>
      </c>
      <c r="S164" s="94">
        <f t="shared" si="97"/>
        <v>0</v>
      </c>
      <c r="T164" s="95">
        <f>IF(VLOOKUP(Q164,'INFO BASE'!$B$40:$I$54,IF(R164='INFO BASE'!$B$32,3,IF(R164='INFO BASE'!$B$33,4,IF(R164='INFO BASE'!$B$34,5,IF(R164='INFO BASE'!$B$35,6,IF(R164='INFO BASE'!$B$36,7,IF(R164='INFO BASE'!$B$37,8,2)))))),0)=0,"",VLOOKUP(Q164,'INFO BASE'!$B$40:$I$54,IF(R164='INFO BASE'!$B$32,3,IF(R164='INFO BASE'!$B$33,4,IF(R164='INFO BASE'!$B$34,5,IF(R164='INFO BASE'!$B$35,6,IF(R164='INFO BASE'!$B$36,7,IF(R164='INFO BASE'!$B$37,8,2)))))),0))</f>
        <v>1.5</v>
      </c>
      <c r="U164" s="95">
        <f t="shared" si="109"/>
        <v>1.5</v>
      </c>
      <c r="V164" s="95">
        <f>IF(R164="","",COUNTIFS(AI123:AV170,R164)*0.5)</f>
        <v>1.5</v>
      </c>
      <c r="W164" s="96">
        <f>IF(AH119="","-",IF(V164=0,U164,IFERROR((U164/V164)-1,"-")))</f>
        <v>0</v>
      </c>
      <c r="X164" s="201">
        <f t="shared" si="98"/>
        <v>0</v>
      </c>
      <c r="Y164" s="271"/>
      <c r="Z164" s="272"/>
      <c r="AA164" s="272"/>
      <c r="AB164" s="272"/>
      <c r="AC164" s="272"/>
      <c r="AD164" s="272"/>
      <c r="AE164" s="272"/>
      <c r="AF164" s="273"/>
      <c r="AH164" s="136">
        <v>0.85416666666669405</v>
      </c>
      <c r="AI164" s="136" t="s">
        <v>116</v>
      </c>
      <c r="AJ164" s="136" t="s">
        <v>235</v>
      </c>
      <c r="AK164" s="136" t="s">
        <v>116</v>
      </c>
      <c r="AL164" s="136" t="s">
        <v>235</v>
      </c>
      <c r="AM164" s="136" t="s">
        <v>116</v>
      </c>
      <c r="AN164" s="136" t="s">
        <v>235</v>
      </c>
      <c r="AO164" s="136" t="s">
        <v>116</v>
      </c>
      <c r="AP164" s="136" t="s">
        <v>235</v>
      </c>
      <c r="AQ164" s="136" t="s">
        <v>116</v>
      </c>
      <c r="AR164" s="136" t="s">
        <v>235</v>
      </c>
      <c r="AS164" s="136" t="s">
        <v>116</v>
      </c>
      <c r="AT164" s="136" t="s">
        <v>235</v>
      </c>
      <c r="AU164" s="136" t="s">
        <v>116</v>
      </c>
      <c r="AV164" s="136" t="s">
        <v>235</v>
      </c>
      <c r="AX164" s="136" t="str">
        <f>IF(AI119="","",IF(B164="","",B164))</f>
        <v>PV</v>
      </c>
      <c r="AY164" s="136" t="str">
        <f>IF(AI119="","",IF(C164="","",C164))</f>
        <v>-</v>
      </c>
      <c r="AZ164" s="136" t="str">
        <f>IF(AI119="","",IF(D164="","",D164))</f>
        <v>PV</v>
      </c>
      <c r="BA164" s="136" t="str">
        <f>IF(AI119="","",IF(E164="","",E164))</f>
        <v>-</v>
      </c>
      <c r="BB164" s="136" t="str">
        <f>IF(AI119="","",IF(F164="","",F164))</f>
        <v>PV</v>
      </c>
      <c r="BC164" s="136" t="str">
        <f>IF(AI119="","",IF(G164="","",G164))</f>
        <v>-</v>
      </c>
      <c r="BD164" s="136" t="str">
        <f>IF(AI119="","",IF(H164="","",H164))</f>
        <v>PV</v>
      </c>
      <c r="BE164" s="136" t="str">
        <f>IF(AI119="","",IF(I164="","",I164))</f>
        <v>-</v>
      </c>
      <c r="BF164" s="136" t="str">
        <f>IF(AI119="","",IF(J164="","",J164))</f>
        <v>PV</v>
      </c>
      <c r="BG164" s="136" t="str">
        <f>IF(AI119="","",IF(K164="","",K164))</f>
        <v>-</v>
      </c>
      <c r="BH164" s="136" t="str">
        <f>IF(AI119="","",IF(L164="","",L164))</f>
        <v>PV</v>
      </c>
      <c r="BI164" s="136" t="str">
        <f>IF(AI119="","",IF(M164="","",M164))</f>
        <v>-</v>
      </c>
      <c r="BJ164" s="136" t="str">
        <f>IF(AI119="","",IF(N164="","",N164))</f>
        <v>EA</v>
      </c>
      <c r="BK164" s="136" t="str">
        <f>IF(AI119="","",IF(O164="","",O164))</f>
        <v>IEI</v>
      </c>
      <c r="BN164" s="136" t="str">
        <f t="shared" si="93"/>
        <v>Privado</v>
      </c>
      <c r="BO164" s="136" t="str">
        <f t="shared" si="93"/>
        <v>PV</v>
      </c>
      <c r="BP164" s="136">
        <f>IF(BO164="","",COUNTIFS(AX123:BK170,BO164)*0.5)</f>
        <v>40</v>
      </c>
      <c r="BQ164" s="136" t="str">
        <f t="shared" si="94"/>
        <v>Privado</v>
      </c>
      <c r="BR164" s="136" t="str">
        <f t="shared" si="94"/>
        <v>PV</v>
      </c>
      <c r="BS164" s="136" t="str">
        <f t="shared" si="95"/>
        <v>Privado</v>
      </c>
      <c r="BT164" s="136">
        <f t="shared" si="101"/>
        <v>384</v>
      </c>
      <c r="BU164" s="136">
        <f t="shared" si="102"/>
        <v>369</v>
      </c>
      <c r="BZ164" s="280"/>
      <c r="CA164" s="183" t="str">
        <f>'INFO BASE'!L227</f>
        <v>-</v>
      </c>
      <c r="CB164" s="183" t="str">
        <f>'INFO BASE'!M227</f>
        <v/>
      </c>
      <c r="CR164" s="177" t="str">
        <f t="shared" si="83"/>
        <v>PV</v>
      </c>
      <c r="CS164" s="177">
        <f t="shared" si="84"/>
        <v>0</v>
      </c>
      <c r="CT164" s="177" t="str">
        <f t="shared" si="83"/>
        <v>PV</v>
      </c>
      <c r="CU164" s="177">
        <f t="shared" si="85"/>
        <v>0</v>
      </c>
      <c r="CV164" s="177" t="str">
        <f t="shared" si="83"/>
        <v>PV</v>
      </c>
      <c r="CW164" s="177">
        <f t="shared" si="86"/>
        <v>0</v>
      </c>
      <c r="CX164" s="177" t="str">
        <f t="shared" si="83"/>
        <v>PV</v>
      </c>
      <c r="CY164" s="177">
        <f t="shared" si="87"/>
        <v>0</v>
      </c>
      <c r="CZ164" s="177" t="str">
        <f t="shared" si="83"/>
        <v>PV</v>
      </c>
      <c r="DA164" s="177">
        <f t="shared" si="88"/>
        <v>0</v>
      </c>
      <c r="DB164" s="177" t="str">
        <f t="shared" si="83"/>
        <v>PV</v>
      </c>
      <c r="DC164" s="177">
        <f t="shared" si="89"/>
        <v>0</v>
      </c>
      <c r="DD164" s="177" t="str">
        <f t="shared" si="90"/>
        <v>EA</v>
      </c>
      <c r="DE164" s="177" t="str">
        <f t="shared" si="91"/>
        <v>EAIEI</v>
      </c>
    </row>
    <row r="165" spans="1:120" ht="18" customHeight="1" x14ac:dyDescent="0.3">
      <c r="A165" s="81">
        <v>0.87500000000002798</v>
      </c>
      <c r="B165" s="166" t="s">
        <v>12</v>
      </c>
      <c r="C165" s="130" t="s">
        <v>120</v>
      </c>
      <c r="D165" s="169" t="s">
        <v>12</v>
      </c>
      <c r="E165" s="130" t="s">
        <v>120</v>
      </c>
      <c r="F165" s="169" t="s">
        <v>12</v>
      </c>
      <c r="G165" s="130" t="s">
        <v>120</v>
      </c>
      <c r="H165" s="169" t="s">
        <v>12</v>
      </c>
      <c r="I165" s="130" t="s">
        <v>120</v>
      </c>
      <c r="J165" s="169" t="s">
        <v>12</v>
      </c>
      <c r="K165" s="130" t="s">
        <v>120</v>
      </c>
      <c r="L165" s="169" t="s">
        <v>116</v>
      </c>
      <c r="M165" s="130" t="s">
        <v>120</v>
      </c>
      <c r="N165" s="169" t="s">
        <v>8</v>
      </c>
      <c r="O165" s="154" t="s">
        <v>226</v>
      </c>
      <c r="P165" s="6">
        <v>0</v>
      </c>
      <c r="Q165" s="102" t="str">
        <f>IF('INFO BASE'!$C$24="","",'INFO BASE'!$C$24)</f>
        <v>Momento Avaliativo</v>
      </c>
      <c r="R165" s="82" t="str">
        <f t="shared" si="100"/>
        <v>MA</v>
      </c>
      <c r="S165" s="83" t="str">
        <f t="shared" si="97"/>
        <v>-</v>
      </c>
      <c r="T165" s="84" t="str">
        <f>IF(VLOOKUP(Q165,'INFO BASE'!$B$40:$I$54,IF(R165='INFO BASE'!$B$32,3,IF(R165='INFO BASE'!$B$33,4,IF(R165='INFO BASE'!$B$34,5,IF(R165='INFO BASE'!$B$35,6,IF(R165='INFO BASE'!$B$36,7,IF(R165='INFO BASE'!$B$37,8,2)))))),0)=0,"",VLOOKUP(Q165,'INFO BASE'!$B$40:$I$54,IF(R165='INFO BASE'!$B$32,3,IF(R165='INFO BASE'!$B$33,4,IF(R165='INFO BASE'!$B$34,5,IF(R165='INFO BASE'!$B$35,6,IF(R165='INFO BASE'!$B$36,7,IF(R165='INFO BASE'!$B$37,8,2)))))),0))</f>
        <v/>
      </c>
      <c r="U165" s="84">
        <f t="shared" si="109"/>
        <v>0</v>
      </c>
      <c r="V165" s="84">
        <f>IF(R165="","",COUNTIFS(AI123:AV170,R165)*0.5)</f>
        <v>0</v>
      </c>
      <c r="W165" s="85">
        <f>IF(AH119="","-",IF(V165=0,U165,IFERROR((U165/V165)-1,"-")))</f>
        <v>0</v>
      </c>
      <c r="X165" s="201">
        <f t="shared" si="98"/>
        <v>0</v>
      </c>
      <c r="Y165" s="277"/>
      <c r="Z165" s="278"/>
      <c r="AA165" s="278"/>
      <c r="AB165" s="278"/>
      <c r="AC165" s="278"/>
      <c r="AD165" s="278"/>
      <c r="AE165" s="278"/>
      <c r="AF165" s="279"/>
      <c r="AH165" s="136">
        <v>0.87500000000002798</v>
      </c>
      <c r="AI165" s="136" t="s">
        <v>12</v>
      </c>
      <c r="AJ165" s="136" t="s">
        <v>120</v>
      </c>
      <c r="AK165" s="136" t="s">
        <v>12</v>
      </c>
      <c r="AL165" s="136" t="s">
        <v>120</v>
      </c>
      <c r="AM165" s="136" t="s">
        <v>12</v>
      </c>
      <c r="AN165" s="136" t="s">
        <v>120</v>
      </c>
      <c r="AO165" s="136" t="s">
        <v>12</v>
      </c>
      <c r="AP165" s="136" t="s">
        <v>120</v>
      </c>
      <c r="AQ165" s="136" t="s">
        <v>12</v>
      </c>
      <c r="AR165" s="136" t="s">
        <v>120</v>
      </c>
      <c r="AS165" s="136" t="s">
        <v>116</v>
      </c>
      <c r="AT165" s="136" t="s">
        <v>235</v>
      </c>
      <c r="AU165" s="136" t="s">
        <v>12</v>
      </c>
      <c r="AV165" s="136" t="s">
        <v>120</v>
      </c>
      <c r="AX165" s="136" t="str">
        <f>IF(AI119="","",IF(B165="","",B165))</f>
        <v>HR</v>
      </c>
      <c r="AY165" s="136" t="str">
        <f>IF(AI119="","",IF(C165="","",C165))</f>
        <v>-</v>
      </c>
      <c r="AZ165" s="136" t="str">
        <f>IF(AI119="","",IF(D165="","",D165))</f>
        <v>HR</v>
      </c>
      <c r="BA165" s="136" t="str">
        <f>IF(AI119="","",IF(E165="","",E165))</f>
        <v>-</v>
      </c>
      <c r="BB165" s="136" t="str">
        <f>IF(AI119="","",IF(F165="","",F165))</f>
        <v>HR</v>
      </c>
      <c r="BC165" s="136" t="str">
        <f>IF(AI119="","",IF(G165="","",G165))</f>
        <v>-</v>
      </c>
      <c r="BD165" s="136" t="str">
        <f>IF(AI119="","",IF(H165="","",H165))</f>
        <v>HR</v>
      </c>
      <c r="BE165" s="136" t="str">
        <f>IF(AI119="","",IF(I165="","",I165))</f>
        <v>-</v>
      </c>
      <c r="BF165" s="136" t="str">
        <f>IF(AI119="","",IF(J165="","",J165))</f>
        <v>HR</v>
      </c>
      <c r="BG165" s="136" t="str">
        <f>IF(AI119="","",IF(K165="","",K165))</f>
        <v>-</v>
      </c>
      <c r="BH165" s="136" t="str">
        <f>IF(AI119="","",IF(L165="","",L165))</f>
        <v>PV</v>
      </c>
      <c r="BI165" s="136" t="str">
        <f>IF(AI119="","",IF(M165="","",M165))</f>
        <v>-</v>
      </c>
      <c r="BJ165" s="136" t="str">
        <f>IF(AI119="","",IF(N165="","",N165))</f>
        <v>EA</v>
      </c>
      <c r="BK165" s="136" t="str">
        <f>IF(AI119="","",IF(O165="","",O165))</f>
        <v>IEI</v>
      </c>
      <c r="BN165" s="136" t="str">
        <f t="shared" si="93"/>
        <v>Deslocação</v>
      </c>
      <c r="BO165" s="136" t="str">
        <f t="shared" si="93"/>
        <v>HD</v>
      </c>
      <c r="BP165" s="136">
        <f>IF(BO165="","",COUNTIFS(AX123:BK170,BO165)*0.5)</f>
        <v>14.5</v>
      </c>
      <c r="BQ165" s="136" t="str">
        <f t="shared" si="94"/>
        <v>Deslocação</v>
      </c>
      <c r="BR165" s="136" t="str">
        <f t="shared" si="94"/>
        <v>HD</v>
      </c>
      <c r="BS165" s="136" t="str">
        <f t="shared" si="95"/>
        <v>Deslocação</v>
      </c>
      <c r="BT165" s="136">
        <f t="shared" si="101"/>
        <v>116.5</v>
      </c>
      <c r="BU165" s="136">
        <f t="shared" si="102"/>
        <v>115</v>
      </c>
      <c r="BZ165" s="280"/>
      <c r="CA165" s="183" t="str">
        <f>'INFO BASE'!L228</f>
        <v>-</v>
      </c>
      <c r="CB165" s="183" t="str">
        <f>'INFO BASE'!M228</f>
        <v/>
      </c>
      <c r="CR165" s="177" t="str">
        <f t="shared" si="83"/>
        <v>HR</v>
      </c>
      <c r="CS165" s="177" t="str">
        <f t="shared" si="84"/>
        <v>HR-</v>
      </c>
      <c r="CT165" s="177" t="str">
        <f t="shared" si="83"/>
        <v>HR</v>
      </c>
      <c r="CU165" s="177" t="str">
        <f t="shared" si="85"/>
        <v>HR-</v>
      </c>
      <c r="CV165" s="177" t="str">
        <f t="shared" si="83"/>
        <v>HR</v>
      </c>
      <c r="CW165" s="177" t="str">
        <f t="shared" si="86"/>
        <v>HR-</v>
      </c>
      <c r="CX165" s="177" t="str">
        <f t="shared" si="83"/>
        <v>HR</v>
      </c>
      <c r="CY165" s="177" t="str">
        <f t="shared" si="87"/>
        <v>HR-</v>
      </c>
      <c r="CZ165" s="177" t="str">
        <f t="shared" si="83"/>
        <v>HR</v>
      </c>
      <c r="DA165" s="177" t="str">
        <f t="shared" si="88"/>
        <v>HR-</v>
      </c>
      <c r="DB165" s="177" t="str">
        <f t="shared" si="83"/>
        <v>PV</v>
      </c>
      <c r="DC165" s="177">
        <f t="shared" si="89"/>
        <v>0</v>
      </c>
      <c r="DD165" s="177" t="str">
        <f t="shared" si="90"/>
        <v>EA</v>
      </c>
      <c r="DE165" s="177" t="str">
        <f t="shared" si="91"/>
        <v>EAIEI</v>
      </c>
    </row>
    <row r="166" spans="1:120" ht="18" customHeight="1" x14ac:dyDescent="0.3">
      <c r="A166" s="81">
        <v>0.89583333333336201</v>
      </c>
      <c r="B166" s="166" t="s">
        <v>12</v>
      </c>
      <c r="C166" s="130" t="s">
        <v>120</v>
      </c>
      <c r="D166" s="169" t="s">
        <v>12</v>
      </c>
      <c r="E166" s="130" t="s">
        <v>120</v>
      </c>
      <c r="F166" s="169" t="s">
        <v>12</v>
      </c>
      <c r="G166" s="130" t="s">
        <v>120</v>
      </c>
      <c r="H166" s="169" t="s">
        <v>12</v>
      </c>
      <c r="I166" s="130" t="s">
        <v>120</v>
      </c>
      <c r="J166" s="169" t="s">
        <v>12</v>
      </c>
      <c r="K166" s="130" t="s">
        <v>120</v>
      </c>
      <c r="L166" s="169" t="s">
        <v>116</v>
      </c>
      <c r="M166" s="130" t="s">
        <v>120</v>
      </c>
      <c r="N166" s="169" t="s">
        <v>8</v>
      </c>
      <c r="O166" s="154" t="s">
        <v>226</v>
      </c>
      <c r="P166" s="6">
        <v>0</v>
      </c>
      <c r="Q166" s="103" t="str">
        <f>IF('INFO BASE'!$C$25="","",'INFO BASE'!$C$25)</f>
        <v>Horário de Dúvidas</v>
      </c>
      <c r="R166" s="87" t="str">
        <f t="shared" si="100"/>
        <v>HDV</v>
      </c>
      <c r="S166" s="88">
        <f t="shared" si="97"/>
        <v>-1</v>
      </c>
      <c r="T166" s="89">
        <f>IF(VLOOKUP(Q166,'INFO BASE'!$B$40:$I$54,IF(R166='INFO BASE'!$B$32,3,IF(R166='INFO BASE'!$B$33,4,IF(R166='INFO BASE'!$B$34,5,IF(R166='INFO BASE'!$B$35,6,IF(R166='INFO BASE'!$B$36,7,IF(R166='INFO BASE'!$B$37,8,2)))))),0)=0,"",VLOOKUP(Q166,'INFO BASE'!$B$40:$I$54,IF(R166='INFO BASE'!$B$32,3,IF(R166='INFO BASE'!$B$33,4,IF(R166='INFO BASE'!$B$34,5,IF(R166='INFO BASE'!$B$35,6,IF(R166='INFO BASE'!$B$36,7,IF(R166='INFO BASE'!$B$37,8,2)))))),0))</f>
        <v>3</v>
      </c>
      <c r="U166" s="89">
        <f t="shared" si="109"/>
        <v>0</v>
      </c>
      <c r="V166" s="89">
        <f>IF(R166="","",COUNTIFS(AI123:AV170,R166)*0.5)</f>
        <v>0</v>
      </c>
      <c r="W166" s="90">
        <f>IF(AH119="","-",IF(V166=0,U166,IFERROR((U166/V166)-1,"-")))</f>
        <v>0</v>
      </c>
      <c r="X166" s="201">
        <f t="shared" si="98"/>
        <v>0</v>
      </c>
      <c r="Y166" s="271"/>
      <c r="Z166" s="272"/>
      <c r="AA166" s="272"/>
      <c r="AB166" s="272"/>
      <c r="AC166" s="272"/>
      <c r="AD166" s="272"/>
      <c r="AE166" s="272"/>
      <c r="AF166" s="273"/>
      <c r="AH166" s="136">
        <v>0.89583333333336201</v>
      </c>
      <c r="AI166" s="136" t="s">
        <v>12</v>
      </c>
      <c r="AJ166" s="136" t="s">
        <v>120</v>
      </c>
      <c r="AK166" s="136" t="s">
        <v>12</v>
      </c>
      <c r="AL166" s="136" t="s">
        <v>120</v>
      </c>
      <c r="AM166" s="136" t="s">
        <v>12</v>
      </c>
      <c r="AN166" s="136" t="s">
        <v>120</v>
      </c>
      <c r="AO166" s="136" t="s">
        <v>12</v>
      </c>
      <c r="AP166" s="136" t="s">
        <v>120</v>
      </c>
      <c r="AQ166" s="136" t="s">
        <v>12</v>
      </c>
      <c r="AR166" s="136" t="s">
        <v>120</v>
      </c>
      <c r="AS166" s="136" t="s">
        <v>116</v>
      </c>
      <c r="AT166" s="136" t="s">
        <v>235</v>
      </c>
      <c r="AU166" s="136" t="s">
        <v>12</v>
      </c>
      <c r="AV166" s="136" t="s">
        <v>120</v>
      </c>
      <c r="AX166" s="136" t="str">
        <f>IF(AI119="","",IF(B166="","",B166))</f>
        <v>HR</v>
      </c>
      <c r="AY166" s="136" t="str">
        <f>IF(AI119="","",IF(C166="","",C166))</f>
        <v>-</v>
      </c>
      <c r="AZ166" s="136" t="str">
        <f>IF(AI119="","",IF(D166="","",D166))</f>
        <v>HR</v>
      </c>
      <c r="BA166" s="136" t="str">
        <f>IF(AI119="","",IF(E166="","",E166))</f>
        <v>-</v>
      </c>
      <c r="BB166" s="136" t="str">
        <f>IF(AI119="","",IF(F166="","",F166))</f>
        <v>HR</v>
      </c>
      <c r="BC166" s="136" t="str">
        <f>IF(AI119="","",IF(G166="","",G166))</f>
        <v>-</v>
      </c>
      <c r="BD166" s="136" t="str">
        <f>IF(AI119="","",IF(H166="","",H166))</f>
        <v>HR</v>
      </c>
      <c r="BE166" s="136" t="str">
        <f>IF(AI119="","",IF(I166="","",I166))</f>
        <v>-</v>
      </c>
      <c r="BF166" s="136" t="str">
        <f>IF(AI119="","",IF(J166="","",J166))</f>
        <v>HR</v>
      </c>
      <c r="BG166" s="136" t="str">
        <f>IF(AI119="","",IF(K166="","",K166))</f>
        <v>-</v>
      </c>
      <c r="BH166" s="136" t="str">
        <f>IF(AI119="","",IF(L166="","",L166))</f>
        <v>PV</v>
      </c>
      <c r="BI166" s="136" t="str">
        <f>IF(AI119="","",IF(M166="","",M166))</f>
        <v>-</v>
      </c>
      <c r="BJ166" s="136" t="str">
        <f>IF(AI119="","",IF(N166="","",N166))</f>
        <v>EA</v>
      </c>
      <c r="BK166" s="136" t="str">
        <f>IF(AI119="","",IF(O166="","",O166))</f>
        <v>IEI</v>
      </c>
      <c r="BN166" s="136" t="str">
        <f t="shared" si="93"/>
        <v>Refeição</v>
      </c>
      <c r="BO166" s="136" t="str">
        <f t="shared" si="93"/>
        <v>HR</v>
      </c>
      <c r="BP166" s="136">
        <f>IF(BO166="","",COUNTIFS(AX123:BK170,BO166)*0.5)</f>
        <v>15.5</v>
      </c>
      <c r="BQ166" s="136" t="str">
        <f t="shared" si="94"/>
        <v>Refeição</v>
      </c>
      <c r="BR166" s="136" t="str">
        <f t="shared" si="94"/>
        <v>HR</v>
      </c>
      <c r="BS166" s="136" t="str">
        <f t="shared" si="95"/>
        <v>Refeição</v>
      </c>
      <c r="BT166" s="136">
        <f t="shared" si="101"/>
        <v>126</v>
      </c>
      <c r="BU166" s="136">
        <f t="shared" si="102"/>
        <v>124</v>
      </c>
      <c r="BZ166" s="280"/>
      <c r="CA166" s="183" t="str">
        <f>'INFO BASE'!L229</f>
        <v>-</v>
      </c>
      <c r="CB166" s="183" t="str">
        <f>'INFO BASE'!M229</f>
        <v/>
      </c>
      <c r="CR166" s="177" t="str">
        <f t="shared" si="83"/>
        <v>HR</v>
      </c>
      <c r="CS166" s="177" t="str">
        <f t="shared" si="84"/>
        <v>HR-</v>
      </c>
      <c r="CT166" s="177" t="str">
        <f t="shared" si="83"/>
        <v>HR</v>
      </c>
      <c r="CU166" s="177" t="str">
        <f t="shared" si="85"/>
        <v>HR-</v>
      </c>
      <c r="CV166" s="177" t="str">
        <f t="shared" si="83"/>
        <v>HR</v>
      </c>
      <c r="CW166" s="177" t="str">
        <f t="shared" si="86"/>
        <v>HR-</v>
      </c>
      <c r="CX166" s="177" t="str">
        <f t="shared" ref="CR166:CZ170" si="110">IF(H166="",1,H166)</f>
        <v>HR</v>
      </c>
      <c r="CY166" s="177" t="str">
        <f t="shared" si="87"/>
        <v>HR-</v>
      </c>
      <c r="CZ166" s="177" t="str">
        <f t="shared" si="110"/>
        <v>HR</v>
      </c>
      <c r="DA166" s="177" t="str">
        <f t="shared" si="88"/>
        <v>HR-</v>
      </c>
      <c r="DB166" s="177" t="str">
        <f t="shared" ref="DB166:DB170" si="111">IF(L166="",1,L166)</f>
        <v>PV</v>
      </c>
      <c r="DC166" s="177">
        <f t="shared" si="89"/>
        <v>0</v>
      </c>
      <c r="DD166" s="177" t="str">
        <f t="shared" si="90"/>
        <v>EA</v>
      </c>
      <c r="DE166" s="177" t="str">
        <f t="shared" si="91"/>
        <v>EAIEI</v>
      </c>
    </row>
    <row r="167" spans="1:120" ht="18" customHeight="1" x14ac:dyDescent="0.3">
      <c r="A167" s="81">
        <v>0.91666666666669605</v>
      </c>
      <c r="B167" s="166" t="s">
        <v>116</v>
      </c>
      <c r="C167" s="130" t="s">
        <v>120</v>
      </c>
      <c r="D167" s="169" t="s">
        <v>116</v>
      </c>
      <c r="E167" s="130" t="s">
        <v>120</v>
      </c>
      <c r="F167" s="169" t="s">
        <v>116</v>
      </c>
      <c r="G167" s="130" t="s">
        <v>120</v>
      </c>
      <c r="H167" s="169" t="s">
        <v>116</v>
      </c>
      <c r="I167" s="130" t="s">
        <v>120</v>
      </c>
      <c r="J167" s="169" t="s">
        <v>12</v>
      </c>
      <c r="K167" s="130" t="s">
        <v>120</v>
      </c>
      <c r="L167" s="169" t="s">
        <v>12</v>
      </c>
      <c r="M167" s="130" t="s">
        <v>120</v>
      </c>
      <c r="N167" s="169" t="s">
        <v>8</v>
      </c>
      <c r="O167" s="154" t="s">
        <v>226</v>
      </c>
      <c r="P167" s="6">
        <v>0.2</v>
      </c>
      <c r="Q167" s="104" t="str">
        <f>IF('INFO BASE'!$C$26="","",'INFO BASE'!$C$26)</f>
        <v>Privado</v>
      </c>
      <c r="R167" s="87" t="str">
        <f t="shared" si="100"/>
        <v>PV</v>
      </c>
      <c r="S167" s="88">
        <f t="shared" si="97"/>
        <v>0.50943396226415105</v>
      </c>
      <c r="T167" s="89">
        <f>IF(VLOOKUP(Q167,'INFO BASE'!$B$40:$I$54,IF(R167='INFO BASE'!$B$32,3,IF(R167='INFO BASE'!$B$33,4,IF(R167='INFO BASE'!$B$34,5,IF(R167='INFO BASE'!$B$35,6,IF(R167='INFO BASE'!$B$36,7,IF(R167='INFO BASE'!$B$37,8,2)))))),0)=0,"",VLOOKUP(Q167,'INFO BASE'!$B$40:$I$54,IF(R167='INFO BASE'!$B$32,3,IF(R167='INFO BASE'!$B$33,4,IF(R167='INFO BASE'!$B$34,5,IF(R167='INFO BASE'!$B$35,6,IF(R167='INFO BASE'!$B$36,7,IF(R167='INFO BASE'!$B$37,8,2)))))),0))</f>
        <v>26.5</v>
      </c>
      <c r="U167" s="89">
        <f t="shared" si="109"/>
        <v>40</v>
      </c>
      <c r="V167" s="89">
        <f>IF(R167="","",COUNTIFS(AI123:AV170,R167)*0.5)</f>
        <v>40.5</v>
      </c>
      <c r="W167" s="90">
        <f>IF(AH119="","-",IF(V167=0,U167,IFERROR((U167/V167)-1,"-")))</f>
        <v>-1.2345679012345734E-2</v>
      </c>
      <c r="X167" s="202">
        <f t="shared" si="98"/>
        <v>0</v>
      </c>
      <c r="Y167" s="271"/>
      <c r="Z167" s="272"/>
      <c r="AA167" s="272"/>
      <c r="AB167" s="272"/>
      <c r="AC167" s="272"/>
      <c r="AD167" s="272"/>
      <c r="AE167" s="272"/>
      <c r="AF167" s="273"/>
      <c r="AH167" s="136">
        <v>0.91666666666669605</v>
      </c>
      <c r="AI167" s="136" t="s">
        <v>116</v>
      </c>
      <c r="AJ167" s="136" t="s">
        <v>235</v>
      </c>
      <c r="AK167" s="136" t="s">
        <v>116</v>
      </c>
      <c r="AL167" s="136" t="s">
        <v>235</v>
      </c>
      <c r="AM167" s="136" t="s">
        <v>116</v>
      </c>
      <c r="AN167" s="136" t="s">
        <v>235</v>
      </c>
      <c r="AO167" s="136" t="s">
        <v>116</v>
      </c>
      <c r="AP167" s="136" t="s">
        <v>235</v>
      </c>
      <c r="AQ167" s="136" t="s">
        <v>12</v>
      </c>
      <c r="AR167" s="136" t="s">
        <v>120</v>
      </c>
      <c r="AS167" s="136" t="s">
        <v>12</v>
      </c>
      <c r="AT167" s="136" t="s">
        <v>120</v>
      </c>
      <c r="AU167" s="136" t="s">
        <v>116</v>
      </c>
      <c r="AV167" s="136" t="s">
        <v>235</v>
      </c>
      <c r="AX167" s="136" t="str">
        <f>IF(AI119="","",IF(B167="","",B167))</f>
        <v>PV</v>
      </c>
      <c r="AY167" s="136" t="str">
        <f>IF(AI119="","",IF(C167="","",C167))</f>
        <v>-</v>
      </c>
      <c r="AZ167" s="136" t="str">
        <f>IF(AI119="","",IF(D167="","",D167))</f>
        <v>PV</v>
      </c>
      <c r="BA167" s="136" t="str">
        <f>IF(AI119="","",IF(E167="","",E167))</f>
        <v>-</v>
      </c>
      <c r="BB167" s="136" t="str">
        <f>IF(AI119="","",IF(F167="","",F167))</f>
        <v>PV</v>
      </c>
      <c r="BC167" s="136" t="str">
        <f>IF(AI119="","",IF(G167="","",G167))</f>
        <v>-</v>
      </c>
      <c r="BD167" s="136" t="str">
        <f>IF(AI119="","",IF(H167="","",H167))</f>
        <v>PV</v>
      </c>
      <c r="BE167" s="136" t="str">
        <f>IF(AI119="","",IF(I167="","",I167))</f>
        <v>-</v>
      </c>
      <c r="BF167" s="136" t="str">
        <f>IF(AI119="","",IF(J167="","",J167))</f>
        <v>HR</v>
      </c>
      <c r="BG167" s="136" t="str">
        <f>IF(AI119="","",IF(K167="","",K167))</f>
        <v>-</v>
      </c>
      <c r="BH167" s="136" t="str">
        <f>IF(AI119="","",IF(L167="","",L167))</f>
        <v>HR</v>
      </c>
      <c r="BI167" s="136" t="str">
        <f>IF(AI119="","",IF(M167="","",M167))</f>
        <v>-</v>
      </c>
      <c r="BJ167" s="136" t="str">
        <f>IF(AI119="","",IF(N167="","",N167))</f>
        <v>EA</v>
      </c>
      <c r="BK167" s="136" t="str">
        <f>IF(AI119="","",IF(O167="","",O167))</f>
        <v>IEI</v>
      </c>
      <c r="BN167" s="136" t="str">
        <f t="shared" si="93"/>
        <v>Sono</v>
      </c>
      <c r="BO167" s="136" t="str">
        <f t="shared" si="93"/>
        <v>HS</v>
      </c>
      <c r="BP167" s="136">
        <f>IF(BO167="","",COUNTIFS(AX123:BK170,BO167)*0.5)</f>
        <v>55</v>
      </c>
      <c r="BQ167" s="136" t="str">
        <f t="shared" si="94"/>
        <v>Sono</v>
      </c>
      <c r="BR167" s="136" t="str">
        <f t="shared" si="94"/>
        <v>HS</v>
      </c>
      <c r="BS167" s="136" t="str">
        <f t="shared" si="95"/>
        <v>Sono</v>
      </c>
      <c r="BT167" s="136">
        <f t="shared" si="101"/>
        <v>417</v>
      </c>
      <c r="BU167" s="136">
        <f t="shared" si="102"/>
        <v>417.5</v>
      </c>
      <c r="BZ167" s="280"/>
      <c r="CA167" s="183" t="str">
        <f>'INFO BASE'!L230</f>
        <v>-</v>
      </c>
      <c r="CB167" s="183" t="str">
        <f>'INFO BASE'!M230</f>
        <v/>
      </c>
      <c r="CR167" s="177" t="str">
        <f t="shared" si="110"/>
        <v>PV</v>
      </c>
      <c r="CS167" s="177">
        <f t="shared" si="84"/>
        <v>0</v>
      </c>
      <c r="CT167" s="177" t="str">
        <f t="shared" si="110"/>
        <v>PV</v>
      </c>
      <c r="CU167" s="177">
        <f t="shared" si="85"/>
        <v>0</v>
      </c>
      <c r="CV167" s="177" t="str">
        <f t="shared" si="110"/>
        <v>PV</v>
      </c>
      <c r="CW167" s="177">
        <f t="shared" si="86"/>
        <v>0</v>
      </c>
      <c r="CX167" s="177" t="str">
        <f t="shared" si="110"/>
        <v>PV</v>
      </c>
      <c r="CY167" s="177">
        <f t="shared" si="87"/>
        <v>0</v>
      </c>
      <c r="CZ167" s="177" t="str">
        <f t="shared" si="110"/>
        <v>HR</v>
      </c>
      <c r="DA167" s="177" t="str">
        <f t="shared" si="88"/>
        <v>HR-</v>
      </c>
      <c r="DB167" s="177" t="str">
        <f t="shared" si="111"/>
        <v>HR</v>
      </c>
      <c r="DC167" s="177" t="str">
        <f t="shared" si="89"/>
        <v>HR-</v>
      </c>
      <c r="DD167" s="177" t="str">
        <f t="shared" si="90"/>
        <v>EA</v>
      </c>
      <c r="DE167" s="177" t="str">
        <f t="shared" si="91"/>
        <v>EAIEI</v>
      </c>
    </row>
    <row r="168" spans="1:120" ht="18" customHeight="1" x14ac:dyDescent="0.3">
      <c r="A168" s="81">
        <v>0.93750000000002998</v>
      </c>
      <c r="B168" s="166" t="s">
        <v>116</v>
      </c>
      <c r="C168" s="130" t="s">
        <v>120</v>
      </c>
      <c r="D168" s="169" t="s">
        <v>116</v>
      </c>
      <c r="E168" s="130" t="s">
        <v>120</v>
      </c>
      <c r="F168" s="169" t="s">
        <v>116</v>
      </c>
      <c r="G168" s="130" t="s">
        <v>120</v>
      </c>
      <c r="H168" s="169" t="s">
        <v>116</v>
      </c>
      <c r="I168" s="130" t="s">
        <v>120</v>
      </c>
      <c r="J168" s="169" t="s">
        <v>12</v>
      </c>
      <c r="K168" s="130" t="s">
        <v>120</v>
      </c>
      <c r="L168" s="169" t="s">
        <v>12</v>
      </c>
      <c r="M168" s="130" t="s">
        <v>120</v>
      </c>
      <c r="N168" s="169" t="s">
        <v>8</v>
      </c>
      <c r="O168" s="154" t="s">
        <v>226</v>
      </c>
      <c r="P168" s="6">
        <v>0.2</v>
      </c>
      <c r="Q168" s="86" t="str">
        <f>IF('INFO BASE'!$C$27="","",'INFO BASE'!$C$27)</f>
        <v>Deslocação</v>
      </c>
      <c r="R168" s="87" t="str">
        <f t="shared" si="100"/>
        <v>HD</v>
      </c>
      <c r="S168" s="88">
        <f t="shared" si="97"/>
        <v>0.44999999999999996</v>
      </c>
      <c r="T168" s="89">
        <f>IF(VLOOKUP(Q168,'INFO BASE'!$B$40:$I$54,IF(R168='INFO BASE'!$B$32,3,IF(R168='INFO BASE'!$B$33,4,IF(R168='INFO BASE'!$B$34,5,IF(R168='INFO BASE'!$B$35,6,IF(R168='INFO BASE'!$B$36,7,IF(R168='INFO BASE'!$B$37,8,2)))))),0)=0,"",VLOOKUP(Q168,'INFO BASE'!$B$40:$I$54,IF(R168='INFO BASE'!$B$32,3,IF(R168='INFO BASE'!$B$33,4,IF(R168='INFO BASE'!$B$34,5,IF(R168='INFO BASE'!$B$35,6,IF(R168='INFO BASE'!$B$36,7,IF(R168='INFO BASE'!$B$37,8,2)))))),0))</f>
        <v>10</v>
      </c>
      <c r="U168" s="89">
        <f t="shared" si="109"/>
        <v>14.5</v>
      </c>
      <c r="V168" s="89">
        <f>IF(R168="","",COUNTIFS(AI123:AV170,R168)*0.5)</f>
        <v>14.5</v>
      </c>
      <c r="W168" s="90">
        <f>IF(AH119="","-",IF(V168=0,U168,IFERROR((U168/V168)-1,"-")))</f>
        <v>0</v>
      </c>
      <c r="X168" s="203">
        <f t="shared" si="98"/>
        <v>0</v>
      </c>
      <c r="Y168" s="271"/>
      <c r="Z168" s="272"/>
      <c r="AA168" s="272"/>
      <c r="AB168" s="272"/>
      <c r="AC168" s="272"/>
      <c r="AD168" s="272"/>
      <c r="AE168" s="272"/>
      <c r="AF168" s="273"/>
      <c r="AH168" s="136">
        <v>0.93750000000002998</v>
      </c>
      <c r="AI168" s="136" t="s">
        <v>116</v>
      </c>
      <c r="AJ168" s="136" t="s">
        <v>235</v>
      </c>
      <c r="AK168" s="136" t="s">
        <v>116</v>
      </c>
      <c r="AL168" s="136" t="s">
        <v>235</v>
      </c>
      <c r="AM168" s="136" t="s">
        <v>116</v>
      </c>
      <c r="AN168" s="136" t="s">
        <v>235</v>
      </c>
      <c r="AO168" s="136" t="s">
        <v>116</v>
      </c>
      <c r="AP168" s="136" t="s">
        <v>235</v>
      </c>
      <c r="AQ168" s="136" t="s">
        <v>12</v>
      </c>
      <c r="AR168" s="136" t="s">
        <v>120</v>
      </c>
      <c r="AS168" s="136" t="s">
        <v>12</v>
      </c>
      <c r="AT168" s="136" t="s">
        <v>120</v>
      </c>
      <c r="AU168" s="136" t="s">
        <v>116</v>
      </c>
      <c r="AV168" s="136" t="s">
        <v>235</v>
      </c>
      <c r="AX168" s="136" t="str">
        <f>IF(AI119="","",IF(B168="","",B168))</f>
        <v>PV</v>
      </c>
      <c r="AY168" s="136" t="str">
        <f>IF(AI119="","",IF(C168="","",C168))</f>
        <v>-</v>
      </c>
      <c r="AZ168" s="136" t="str">
        <f>IF(AI119="","",IF(D168="","",D168))</f>
        <v>PV</v>
      </c>
      <c r="BA168" s="136" t="str">
        <f>IF(AI119="","",IF(E168="","",E168))</f>
        <v>-</v>
      </c>
      <c r="BB168" s="136" t="str">
        <f>IF(AI119="","",IF(F168="","",F168))</f>
        <v>PV</v>
      </c>
      <c r="BC168" s="136" t="str">
        <f>IF(AI119="","",IF(G168="","",G168))</f>
        <v>-</v>
      </c>
      <c r="BD168" s="136" t="str">
        <f>IF(AI119="","",IF(H168="","",H168))</f>
        <v>PV</v>
      </c>
      <c r="BE168" s="136" t="str">
        <f>IF(AI119="","",IF(I168="","",I168))</f>
        <v>-</v>
      </c>
      <c r="BF168" s="136" t="str">
        <f>IF(AI119="","",IF(J168="","",J168))</f>
        <v>HR</v>
      </c>
      <c r="BG168" s="136" t="str">
        <f>IF(AI119="","",IF(K168="","",K168))</f>
        <v>-</v>
      </c>
      <c r="BH168" s="136" t="str">
        <f>IF(AI119="","",IF(L168="","",L168))</f>
        <v>HR</v>
      </c>
      <c r="BI168" s="136" t="str">
        <f>IF(AI119="","",IF(M168="","",M168))</f>
        <v>-</v>
      </c>
      <c r="BJ168" s="136" t="str">
        <f>IF(AI119="","",IF(N168="","",N168))</f>
        <v>EA</v>
      </c>
      <c r="BK168" s="136" t="str">
        <f>IF(AI119="","",IF(O168="","",O168))</f>
        <v>IEI</v>
      </c>
      <c r="BP168" s="136" t="str">
        <f>IF(BO168="","",COUNTIFS(AX123:BK170,BO168)*0.5)</f>
        <v/>
      </c>
      <c r="BZ168" s="280"/>
      <c r="CA168" s="183" t="str">
        <f>'INFO BASE'!L231</f>
        <v>-</v>
      </c>
      <c r="CB168" s="183" t="str">
        <f>'INFO BASE'!M231</f>
        <v/>
      </c>
      <c r="CR168" s="177" t="str">
        <f t="shared" si="110"/>
        <v>PV</v>
      </c>
      <c r="CS168" s="177">
        <f t="shared" si="84"/>
        <v>0</v>
      </c>
      <c r="CT168" s="177" t="str">
        <f t="shared" si="110"/>
        <v>PV</v>
      </c>
      <c r="CU168" s="177">
        <f t="shared" si="85"/>
        <v>0</v>
      </c>
      <c r="CV168" s="177" t="str">
        <f t="shared" si="110"/>
        <v>PV</v>
      </c>
      <c r="CW168" s="177">
        <f t="shared" si="86"/>
        <v>0</v>
      </c>
      <c r="CX168" s="177" t="str">
        <f t="shared" si="110"/>
        <v>PV</v>
      </c>
      <c r="CY168" s="177">
        <f t="shared" si="87"/>
        <v>0</v>
      </c>
      <c r="CZ168" s="177" t="str">
        <f t="shared" si="110"/>
        <v>HR</v>
      </c>
      <c r="DA168" s="177" t="str">
        <f t="shared" si="88"/>
        <v>HR-</v>
      </c>
      <c r="DB168" s="177" t="str">
        <f t="shared" si="111"/>
        <v>HR</v>
      </c>
      <c r="DC168" s="177" t="str">
        <f t="shared" si="89"/>
        <v>HR-</v>
      </c>
      <c r="DD168" s="177" t="str">
        <f t="shared" si="90"/>
        <v>EA</v>
      </c>
      <c r="DE168" s="177" t="str">
        <f t="shared" si="91"/>
        <v>EAIEI</v>
      </c>
    </row>
    <row r="169" spans="1:120" ht="18" customHeight="1" x14ac:dyDescent="0.3">
      <c r="A169" s="81">
        <v>0.95833333333336401</v>
      </c>
      <c r="B169" s="166" t="s">
        <v>10</v>
      </c>
      <c r="C169" s="130" t="s">
        <v>120</v>
      </c>
      <c r="D169" s="169" t="s">
        <v>10</v>
      </c>
      <c r="E169" s="130" t="s">
        <v>120</v>
      </c>
      <c r="F169" s="169" t="s">
        <v>10</v>
      </c>
      <c r="G169" s="130" t="s">
        <v>120</v>
      </c>
      <c r="H169" s="169" t="s">
        <v>10</v>
      </c>
      <c r="I169" s="130" t="s">
        <v>120</v>
      </c>
      <c r="J169" s="169" t="s">
        <v>116</v>
      </c>
      <c r="K169" s="130" t="s">
        <v>120</v>
      </c>
      <c r="L169" s="169" t="s">
        <v>12</v>
      </c>
      <c r="M169" s="130" t="s">
        <v>120</v>
      </c>
      <c r="N169" s="169" t="s">
        <v>8</v>
      </c>
      <c r="O169" s="154" t="s">
        <v>226</v>
      </c>
      <c r="P169" s="6">
        <v>0.2</v>
      </c>
      <c r="Q169" s="91" t="str">
        <f>IF('INFO BASE'!$C$28="","",'INFO BASE'!$C$28)</f>
        <v>Refeição</v>
      </c>
      <c r="R169" s="87" t="str">
        <f t="shared" si="100"/>
        <v>HR</v>
      </c>
      <c r="S169" s="88">
        <f t="shared" si="97"/>
        <v>3.3333333333333437E-2</v>
      </c>
      <c r="T169" s="89">
        <f>IF(VLOOKUP(Q169,'INFO BASE'!$B$40:$I$54,IF(R169='INFO BASE'!$B$32,3,IF(R169='INFO BASE'!$B$33,4,IF(R169='INFO BASE'!$B$34,5,IF(R169='INFO BASE'!$B$35,6,IF(R169='INFO BASE'!$B$36,7,IF(R169='INFO BASE'!$B$37,8,2)))))),0)=0,"",VLOOKUP(Q169,'INFO BASE'!$B$40:$I$54,IF(R169='INFO BASE'!$B$32,3,IF(R169='INFO BASE'!$B$33,4,IF(R169='INFO BASE'!$B$34,5,IF(R169='INFO BASE'!$B$35,6,IF(R169='INFO BASE'!$B$36,7,IF(R169='INFO BASE'!$B$37,8,2)))))),0))</f>
        <v>15</v>
      </c>
      <c r="U169" s="89">
        <f t="shared" si="109"/>
        <v>15.5</v>
      </c>
      <c r="V169" s="89">
        <f>IF(R169="","",COUNTIFS(AI123:AV170,R169)*0.5)</f>
        <v>17</v>
      </c>
      <c r="W169" s="90">
        <f>IF(AH119="","-",IF(V169=0,U169,IFERROR((U169/V169)-1,"-")))</f>
        <v>-8.8235294117647078E-2</v>
      </c>
      <c r="X169" s="204">
        <f t="shared" si="98"/>
        <v>0</v>
      </c>
      <c r="Y169" s="271"/>
      <c r="Z169" s="272"/>
      <c r="AA169" s="272"/>
      <c r="AB169" s="272"/>
      <c r="AC169" s="272"/>
      <c r="AD169" s="272"/>
      <c r="AE169" s="272"/>
      <c r="AF169" s="273"/>
      <c r="AH169" s="136">
        <v>0.95833333333336401</v>
      </c>
      <c r="AI169" s="136" t="s">
        <v>10</v>
      </c>
      <c r="AJ169" s="136" t="s">
        <v>120</v>
      </c>
      <c r="AK169" s="136" t="s">
        <v>10</v>
      </c>
      <c r="AL169" s="136" t="s">
        <v>120</v>
      </c>
      <c r="AM169" s="136" t="s">
        <v>10</v>
      </c>
      <c r="AN169" s="136" t="s">
        <v>120</v>
      </c>
      <c r="AO169" s="136" t="s">
        <v>10</v>
      </c>
      <c r="AP169" s="136" t="s">
        <v>120</v>
      </c>
      <c r="AQ169" s="136" t="s">
        <v>116</v>
      </c>
      <c r="AR169" s="136" t="s">
        <v>235</v>
      </c>
      <c r="AS169" s="136" t="s">
        <v>12</v>
      </c>
      <c r="AT169" s="136" t="s">
        <v>120</v>
      </c>
      <c r="AU169" s="136" t="s">
        <v>10</v>
      </c>
      <c r="AV169" s="136" t="s">
        <v>120</v>
      </c>
      <c r="AX169" s="136" t="str">
        <f>IF(AI119="","",IF(B169="","",B169))</f>
        <v>HS</v>
      </c>
      <c r="AY169" s="136" t="str">
        <f>IF(AI119="","",IF(C169="","",C169))</f>
        <v>-</v>
      </c>
      <c r="AZ169" s="136" t="str">
        <f>IF(AI119="","",IF(D169="","",D169))</f>
        <v>HS</v>
      </c>
      <c r="BA169" s="136" t="str">
        <f>IF(AI119="","",IF(E169="","",E169))</f>
        <v>-</v>
      </c>
      <c r="BB169" s="136" t="str">
        <f>IF(AI119="","",IF(F169="","",F169))</f>
        <v>HS</v>
      </c>
      <c r="BC169" s="136" t="str">
        <f>IF(AI119="","",IF(G169="","",G169))</f>
        <v>-</v>
      </c>
      <c r="BD169" s="136" t="str">
        <f>IF(AI119="","",IF(H169="","",H169))</f>
        <v>HS</v>
      </c>
      <c r="BE169" s="136" t="str">
        <f>IF(AI119="","",IF(I169="","",I169))</f>
        <v>-</v>
      </c>
      <c r="BF169" s="136" t="str">
        <f>IF(AI119="","",IF(J169="","",J169))</f>
        <v>PV</v>
      </c>
      <c r="BG169" s="136" t="str">
        <f>IF(AI119="","",IF(K169="","",K169))</f>
        <v>-</v>
      </c>
      <c r="BH169" s="136" t="str">
        <f>IF(AI119="","",IF(L169="","",L169))</f>
        <v>HR</v>
      </c>
      <c r="BI169" s="136" t="str">
        <f>IF(AI119="","",IF(M169="","",M169))</f>
        <v>-</v>
      </c>
      <c r="BJ169" s="136" t="str">
        <f>IF(AI119="","",IF(N169="","",N169))</f>
        <v>EA</v>
      </c>
      <c r="BK169" s="136" t="str">
        <f>IF(AI119="","",IF(O169="","",O169))</f>
        <v>IEI</v>
      </c>
      <c r="BP169" s="136" t="str">
        <f>IF(BO169="","",COUNTIFS(AX123:BK170,BO169)*0.5)</f>
        <v/>
      </c>
      <c r="BZ169" s="280"/>
      <c r="CA169" s="183" t="str">
        <f>'INFO BASE'!L232</f>
        <v>-</v>
      </c>
      <c r="CB169" s="183" t="str">
        <f>'INFO BASE'!M232</f>
        <v/>
      </c>
      <c r="CR169" s="177" t="str">
        <f t="shared" si="110"/>
        <v>HS</v>
      </c>
      <c r="CS169" s="177" t="str">
        <f t="shared" si="84"/>
        <v>HS-</v>
      </c>
      <c r="CT169" s="177" t="str">
        <f t="shared" si="110"/>
        <v>HS</v>
      </c>
      <c r="CU169" s="177" t="str">
        <f t="shared" si="85"/>
        <v>HS-</v>
      </c>
      <c r="CV169" s="177" t="str">
        <f t="shared" si="110"/>
        <v>HS</v>
      </c>
      <c r="CW169" s="177" t="str">
        <f t="shared" si="86"/>
        <v>HS-</v>
      </c>
      <c r="CX169" s="177" t="str">
        <f t="shared" si="110"/>
        <v>HS</v>
      </c>
      <c r="CY169" s="177" t="str">
        <f t="shared" si="87"/>
        <v>HS-</v>
      </c>
      <c r="CZ169" s="177" t="str">
        <f t="shared" si="110"/>
        <v>PV</v>
      </c>
      <c r="DA169" s="177">
        <f t="shared" si="88"/>
        <v>0</v>
      </c>
      <c r="DB169" s="177" t="str">
        <f t="shared" si="111"/>
        <v>HR</v>
      </c>
      <c r="DC169" s="177" t="str">
        <f t="shared" si="89"/>
        <v>HR-</v>
      </c>
      <c r="DD169" s="177" t="str">
        <f t="shared" si="90"/>
        <v>EA</v>
      </c>
      <c r="DE169" s="177" t="str">
        <f t="shared" si="91"/>
        <v>EAIEI</v>
      </c>
    </row>
    <row r="170" spans="1:120" ht="18" customHeight="1" thickBot="1" x14ac:dyDescent="0.35">
      <c r="A170" s="180">
        <v>0.97916666666669805</v>
      </c>
      <c r="B170" s="167" t="s">
        <v>10</v>
      </c>
      <c r="C170" s="156" t="s">
        <v>120</v>
      </c>
      <c r="D170" s="170" t="s">
        <v>10</v>
      </c>
      <c r="E170" s="156" t="s">
        <v>120</v>
      </c>
      <c r="F170" s="170" t="s">
        <v>10</v>
      </c>
      <c r="G170" s="156" t="s">
        <v>120</v>
      </c>
      <c r="H170" s="170" t="s">
        <v>10</v>
      </c>
      <c r="I170" s="156" t="s">
        <v>120</v>
      </c>
      <c r="J170" s="170" t="s">
        <v>116</v>
      </c>
      <c r="K170" s="156" t="s">
        <v>120</v>
      </c>
      <c r="L170" s="170" t="s">
        <v>12</v>
      </c>
      <c r="M170" s="156" t="s">
        <v>120</v>
      </c>
      <c r="N170" s="170" t="s">
        <v>8</v>
      </c>
      <c r="O170" s="158" t="s">
        <v>226</v>
      </c>
      <c r="P170" s="6">
        <v>0.2</v>
      </c>
      <c r="Q170" s="92" t="str">
        <f>IF('INFO BASE'!$C$29="","",'INFO BASE'!$C$29)</f>
        <v>Sono</v>
      </c>
      <c r="R170" s="93" t="str">
        <f t="shared" si="100"/>
        <v>HS</v>
      </c>
      <c r="S170" s="94">
        <f t="shared" si="97"/>
        <v>0.12244897959183665</v>
      </c>
      <c r="T170" s="95">
        <f>IF(VLOOKUP(Q170,'INFO BASE'!$B$40:$I$54,IF(R170='INFO BASE'!$B$32,3,IF(R170='INFO BASE'!$B$33,4,IF(R170='INFO BASE'!$B$34,5,IF(R170='INFO BASE'!$B$35,6,IF(R170='INFO BASE'!$B$36,7,IF(R170='INFO BASE'!$B$37,8,2)))))),0)=0,"",VLOOKUP(Q170,'INFO BASE'!$B$40:$I$54,IF(R170='INFO BASE'!$B$32,3,IF(R170='INFO BASE'!$B$33,4,IF(R170='INFO BASE'!$B$34,5,IF(R170='INFO BASE'!$B$35,6,IF(R170='INFO BASE'!$B$36,7,IF(R170='INFO BASE'!$B$37,8,2)))))),0))</f>
        <v>49</v>
      </c>
      <c r="U170" s="95">
        <f t="shared" si="109"/>
        <v>55</v>
      </c>
      <c r="V170" s="95">
        <f>IF(R170="","",COUNTIFS(AI123:AV170,R170)*0.5)</f>
        <v>51.5</v>
      </c>
      <c r="W170" s="96">
        <f>IF(AH119="","-",IF(V170=0,U170,IFERROR((U170/V170)-1,"-")))</f>
        <v>6.7961165048543659E-2</v>
      </c>
      <c r="X170" s="204">
        <f t="shared" si="98"/>
        <v>0</v>
      </c>
      <c r="Y170" s="274"/>
      <c r="Z170" s="275"/>
      <c r="AA170" s="275"/>
      <c r="AB170" s="275"/>
      <c r="AC170" s="275"/>
      <c r="AD170" s="275"/>
      <c r="AE170" s="275"/>
      <c r="AF170" s="276"/>
      <c r="AH170" s="136">
        <v>0.97916666666669805</v>
      </c>
      <c r="AI170" s="136" t="s">
        <v>10</v>
      </c>
      <c r="AJ170" s="136" t="s">
        <v>120</v>
      </c>
      <c r="AK170" s="136" t="s">
        <v>10</v>
      </c>
      <c r="AL170" s="136" t="s">
        <v>120</v>
      </c>
      <c r="AM170" s="136" t="s">
        <v>10</v>
      </c>
      <c r="AN170" s="136" t="s">
        <v>120</v>
      </c>
      <c r="AO170" s="136" t="s">
        <v>10</v>
      </c>
      <c r="AP170" s="136" t="s">
        <v>120</v>
      </c>
      <c r="AQ170" s="136" t="s">
        <v>116</v>
      </c>
      <c r="AR170" s="136" t="s">
        <v>235</v>
      </c>
      <c r="AS170" s="136" t="s">
        <v>12</v>
      </c>
      <c r="AT170" s="136" t="s">
        <v>120</v>
      </c>
      <c r="AU170" s="136" t="s">
        <v>10</v>
      </c>
      <c r="AV170" s="136" t="s">
        <v>120</v>
      </c>
      <c r="AX170" s="136" t="str">
        <f>IF(AI119="","",IF(B170="","",B170))</f>
        <v>HS</v>
      </c>
      <c r="AY170" s="136" t="str">
        <f>IF(AI119="","",IF(C170="","",C170))</f>
        <v>-</v>
      </c>
      <c r="AZ170" s="136" t="str">
        <f>IF(AI119="","",IF(D170="","",D170))</f>
        <v>HS</v>
      </c>
      <c r="BA170" s="136" t="str">
        <f>IF(AI119="","",IF(E170="","",E170))</f>
        <v>-</v>
      </c>
      <c r="BB170" s="136" t="str">
        <f>IF(AI119="","",IF(F170="","",F170))</f>
        <v>HS</v>
      </c>
      <c r="BC170" s="136" t="str">
        <f>IF(AI119="","",IF(G170="","",G170))</f>
        <v>-</v>
      </c>
      <c r="BD170" s="136" t="str">
        <f>IF(AI119="","",IF(H170="","",H170))</f>
        <v>HS</v>
      </c>
      <c r="BE170" s="136" t="str">
        <f>IF(AI119="","",IF(I170="","",I170))</f>
        <v>-</v>
      </c>
      <c r="BF170" s="136" t="str">
        <f>IF(AI119="","",IF(J170="","",J170))</f>
        <v>PV</v>
      </c>
      <c r="BG170" s="136" t="str">
        <f>IF(AI119="","",IF(K170="","",K170))</f>
        <v>-</v>
      </c>
      <c r="BH170" s="136" t="str">
        <f>IF(AI119="","",IF(L170="","",L170))</f>
        <v>HR</v>
      </c>
      <c r="BI170" s="136" t="str">
        <f>IF(AI119="","",IF(M170="","",M170))</f>
        <v>-</v>
      </c>
      <c r="BJ170" s="136" t="str">
        <f>IF(AI119="","",IF(N170="","",N170))</f>
        <v>EA</v>
      </c>
      <c r="BK170" s="136" t="str">
        <f>IF(AI119="","",IF(O170="","",O170))</f>
        <v>IEI</v>
      </c>
      <c r="BP170" s="136" t="str">
        <f>IF(BO170="","",COUNTIFS(AX123:BK170,BO170)*0.5)</f>
        <v/>
      </c>
      <c r="BZ170" s="280"/>
      <c r="CA170" s="183" t="str">
        <f>'INFO BASE'!L233</f>
        <v>-</v>
      </c>
      <c r="CB170" s="183" t="str">
        <f>'INFO BASE'!M233</f>
        <v/>
      </c>
      <c r="CR170" s="177" t="str">
        <f t="shared" si="110"/>
        <v>HS</v>
      </c>
      <c r="CS170" s="177" t="str">
        <f t="shared" si="84"/>
        <v>HS-</v>
      </c>
      <c r="CT170" s="177" t="str">
        <f t="shared" si="110"/>
        <v>HS</v>
      </c>
      <c r="CU170" s="177" t="str">
        <f t="shared" si="85"/>
        <v>HS-</v>
      </c>
      <c r="CV170" s="177" t="str">
        <f t="shared" si="110"/>
        <v>HS</v>
      </c>
      <c r="CW170" s="177" t="str">
        <f t="shared" si="86"/>
        <v>HS-</v>
      </c>
      <c r="CX170" s="177" t="str">
        <f t="shared" si="110"/>
        <v>HS</v>
      </c>
      <c r="CY170" s="177" t="str">
        <f t="shared" si="87"/>
        <v>HS-</v>
      </c>
      <c r="CZ170" s="177" t="str">
        <f t="shared" si="110"/>
        <v>PV</v>
      </c>
      <c r="DA170" s="177">
        <f t="shared" si="88"/>
        <v>0</v>
      </c>
      <c r="DB170" s="177" t="str">
        <f t="shared" si="111"/>
        <v>HR</v>
      </c>
      <c r="DC170" s="177" t="str">
        <f t="shared" si="89"/>
        <v>HR-</v>
      </c>
      <c r="DD170" s="177" t="str">
        <f t="shared" si="90"/>
        <v>EA</v>
      </c>
      <c r="DE170" s="177" t="str">
        <f t="shared" si="91"/>
        <v>EAIEI</v>
      </c>
    </row>
    <row r="171" spans="1:120" s="139" customFormat="1" ht="16.2" thickTop="1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7">
        <v>1</v>
      </c>
      <c r="Y171" s="6">
        <f>COUNTA(Y134:AF170)</f>
        <v>6</v>
      </c>
      <c r="Z171" s="6">
        <f>SUM(X134:X170)</f>
        <v>6</v>
      </c>
      <c r="AA171" s="6">
        <f>IF(Z171&gt;Y171,"ERRO",0)</f>
        <v>0</v>
      </c>
      <c r="AB171" s="6"/>
      <c r="AC171" s="6"/>
      <c r="AD171" s="6"/>
      <c r="AE171" s="6"/>
      <c r="AF171" s="6"/>
      <c r="AG171" s="6"/>
      <c r="BM171" s="136"/>
      <c r="BN171" s="136"/>
      <c r="BO171" s="136"/>
      <c r="BP171" s="136"/>
      <c r="BQ171" s="136"/>
      <c r="BR171" s="136"/>
      <c r="BS171" s="136"/>
      <c r="BT171" s="136"/>
      <c r="BU171" s="136"/>
      <c r="BZ171" s="280"/>
      <c r="CA171" s="206" t="str">
        <f>'INFO BASE'!L234</f>
        <v>-</v>
      </c>
      <c r="CB171" s="206" t="str">
        <f>'INFO BASE'!M234</f>
        <v/>
      </c>
      <c r="DN171" s="194"/>
      <c r="DO171" s="194"/>
      <c r="DP171" s="194"/>
    </row>
    <row r="172" spans="1:120" s="139" customFormat="1" ht="15.6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7">
        <v>1</v>
      </c>
      <c r="Y172" s="6" t="s">
        <v>220</v>
      </c>
      <c r="Z172" s="6" t="s">
        <v>219</v>
      </c>
      <c r="AA172" s="6" t="s">
        <v>221</v>
      </c>
      <c r="AB172" s="6"/>
      <c r="AC172" s="6"/>
      <c r="AD172" s="6"/>
      <c r="AE172" s="6"/>
      <c r="AF172" s="6"/>
      <c r="AG172" s="6"/>
      <c r="BM172" s="136"/>
      <c r="BN172" s="136"/>
      <c r="BO172" s="136"/>
      <c r="BP172" s="136"/>
      <c r="BQ172" s="136"/>
      <c r="BR172" s="136"/>
      <c r="BS172" s="136"/>
      <c r="BT172" s="136"/>
      <c r="BU172" s="136"/>
      <c r="BZ172" s="280"/>
      <c r="CA172" s="206" t="str">
        <f>'INFO BASE'!L235</f>
        <v>-</v>
      </c>
      <c r="CB172" s="206" t="str">
        <f>'INFO BASE'!M235</f>
        <v/>
      </c>
      <c r="DN172" s="194"/>
      <c r="DO172" s="194"/>
      <c r="DP172" s="194"/>
    </row>
    <row r="173" spans="1:120" ht="15.6" x14ac:dyDescent="0.3">
      <c r="X173" s="7">
        <v>1</v>
      </c>
      <c r="BZ173" s="280"/>
      <c r="CA173" s="183" t="str">
        <f>'INFO BASE'!L236</f>
        <v>-</v>
      </c>
      <c r="CB173" s="183" t="str">
        <f>'INFO BASE'!M236</f>
        <v/>
      </c>
    </row>
    <row r="174" spans="1:120" ht="16.2" thickBot="1" x14ac:dyDescent="0.35">
      <c r="X174" s="7">
        <v>1</v>
      </c>
      <c r="BZ174" s="280"/>
      <c r="CA174" s="183" t="str">
        <f>'INFO BASE'!L237</f>
        <v>-</v>
      </c>
      <c r="CB174" s="183" t="str">
        <f>'INFO BASE'!M237</f>
        <v/>
      </c>
    </row>
    <row r="175" spans="1:120" ht="38.25" customHeight="1" thickTop="1" thickBot="1" x14ac:dyDescent="0.35">
      <c r="A175" s="311" t="str">
        <f>IF(LEN(A118)=8,CONCATENATE("SEMANA ",RIGHT(A118,1)+1),CONCATENATE("SEMANA ",RIGHT(A118,2)+1))</f>
        <v>SEMANA 4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3"/>
      <c r="AG175" s="12"/>
      <c r="BZ175" s="280"/>
      <c r="CA175" s="183" t="str">
        <f>'INFO BASE'!L238</f>
        <v>-</v>
      </c>
      <c r="CB175" s="183" t="str">
        <f>'INFO BASE'!M238</f>
        <v/>
      </c>
    </row>
    <row r="176" spans="1:120" ht="9" customHeight="1" thickTop="1" thickBot="1" x14ac:dyDescent="0.35">
      <c r="A176" s="139"/>
      <c r="B176" s="139"/>
      <c r="C176" s="140"/>
      <c r="D176" s="139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 t="s">
        <v>245</v>
      </c>
      <c r="R176" s="139"/>
      <c r="S176" s="139"/>
      <c r="T176" s="139"/>
      <c r="U176" s="139"/>
      <c r="V176" s="139"/>
      <c r="W176" s="139"/>
      <c r="X176" s="141">
        <v>1</v>
      </c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44">
        <v>42289.369969328705</v>
      </c>
      <c r="AI176" s="144">
        <v>42289.371393287038</v>
      </c>
      <c r="BZ176" s="280"/>
      <c r="CA176" s="183" t="str">
        <f>'INFO BASE'!L239</f>
        <v>-</v>
      </c>
      <c r="CB176" s="183" t="str">
        <f>'INFO BASE'!M239</f>
        <v/>
      </c>
    </row>
    <row r="177" spans="1:109" ht="30.75" customHeight="1" x14ac:dyDescent="0.3">
      <c r="A177" s="145"/>
      <c r="B177" s="314">
        <f>1-(CR177/673)</f>
        <v>1</v>
      </c>
      <c r="C177" s="315"/>
      <c r="D177" s="315"/>
      <c r="E177" s="315"/>
      <c r="F177" s="315"/>
      <c r="G177" s="315"/>
      <c r="H177" s="315"/>
      <c r="I177" s="315"/>
      <c r="J177" s="315"/>
      <c r="K177" s="315"/>
      <c r="L177" s="315"/>
      <c r="M177" s="315"/>
      <c r="N177" s="315"/>
      <c r="O177" s="316"/>
      <c r="Q177" s="205">
        <f>IF(OR(Q180="Registe aqui o que considera serem as suas três principais prioridades para a semana
(Dica - para criar paragráfos Alt+Enter)",LEN(Q180)&lt;10),1,0)</f>
        <v>0</v>
      </c>
      <c r="X177" s="7">
        <v>1</v>
      </c>
      <c r="AM177" s="136" t="str">
        <f>CONCATENATE("PLANEAMENTO ",I177)</f>
        <v xml:space="preserve">PLANEAMENTO </v>
      </c>
      <c r="AX177" s="136">
        <f>IF(AI176="","",IF(B177="","",B177))</f>
        <v>1</v>
      </c>
      <c r="AY177" s="136" t="str">
        <f>IF(AI176="","",IF(C177="","",C177))</f>
        <v/>
      </c>
      <c r="AZ177" s="136" t="str">
        <f>IF(AI176="","",IF(D177="","",D177))</f>
        <v/>
      </c>
      <c r="BA177" s="136" t="str">
        <f>IF(AI176="","",IF(E177="","",E177))</f>
        <v/>
      </c>
      <c r="BB177" s="136" t="str">
        <f>IF(AI176="","",IF(F177="","",F177))</f>
        <v/>
      </c>
      <c r="BC177" s="136" t="str">
        <f>IF(AI176="","",IF(G177="","",G177))</f>
        <v/>
      </c>
      <c r="BD177" s="136" t="str">
        <f>IF(AI176="","",IF(H177="","",H177))</f>
        <v/>
      </c>
      <c r="BE177" s="136" t="str">
        <f>IF(AI176="","",IF(I177="","",I177))</f>
        <v/>
      </c>
      <c r="BF177" s="136" t="str">
        <f>IF(AI176="","",IF(J177="","",J177))</f>
        <v/>
      </c>
      <c r="BG177" s="136" t="str">
        <f>IF(AI176="","",IF(K177="","",K177))</f>
        <v/>
      </c>
      <c r="BH177" s="136" t="str">
        <f>IF(AI176="","",IF(L177="","",L177))</f>
        <v/>
      </c>
      <c r="BI177" s="136" t="str">
        <f>IF(AI176="","",IF(M177="","",M177))</f>
        <v/>
      </c>
      <c r="BJ177" s="136" t="str">
        <f>IF(AI176="","",IF(N177="","",N177))</f>
        <v/>
      </c>
      <c r="BK177" s="136" t="str">
        <f>IF(AI176="","",IF(O177="","",O177))</f>
        <v/>
      </c>
      <c r="BZ177" s="280"/>
      <c r="CA177" s="183" t="str">
        <f>'INFO BASE'!L240</f>
        <v>-</v>
      </c>
      <c r="CB177" s="183" t="str">
        <f>'INFO BASE'!M240</f>
        <v/>
      </c>
      <c r="CR177" s="136">
        <f>SUM(CR180:DE227,Q177)</f>
        <v>0</v>
      </c>
    </row>
    <row r="178" spans="1:109" ht="37.5" customHeight="1" thickBot="1" x14ac:dyDescent="0.35">
      <c r="A178" s="146"/>
      <c r="B178" s="330" t="str">
        <f>CONCATENATE("Segunda ",CHAR(10),TEXT(B179,"dd-mm-aaaa"))</f>
        <v>Segunda 
05-10-2015</v>
      </c>
      <c r="C178" s="317"/>
      <c r="D178" s="317" t="str">
        <f>CONCATENATE("Terça ",CHAR(10),TEXT(D179,"dd-mm-aaaa"))</f>
        <v>Terça 
06-10-2015</v>
      </c>
      <c r="E178" s="317"/>
      <c r="F178" s="317" t="str">
        <f>CONCATENATE("Quarta ",CHAR(10),TEXT(F179,"dd-mm-aaaa"))</f>
        <v>Quarta 
07-10-2015</v>
      </c>
      <c r="G178" s="317"/>
      <c r="H178" s="317" t="str">
        <f>CONCATENATE("Quinta ",CHAR(10),TEXT(H179,"dd-mm-aaaa"))</f>
        <v>Quinta 
08-10-2015</v>
      </c>
      <c r="I178" s="317"/>
      <c r="J178" s="317" t="str">
        <f>CONCATENATE("Sexta ",CHAR(10),TEXT(J179,"dd-mm-aaaa"))</f>
        <v>Sexta 
09-10-2015</v>
      </c>
      <c r="K178" s="317"/>
      <c r="L178" s="317" t="str">
        <f>CONCATENATE("Sábado ",CHAR(10),TEXT(L179,"dd-mm-aaaa"))</f>
        <v>Sábado 
10-10-2015</v>
      </c>
      <c r="M178" s="317"/>
      <c r="N178" s="317" t="str">
        <f>CONCATENATE("Domingo ",CHAR(10),TEXT(N179,"dd-mm-aaaa"))</f>
        <v>Domingo 
11-10-2015</v>
      </c>
      <c r="O178" s="329"/>
      <c r="Q178" s="55" t="str">
        <f>'INFO BASE'!$L$3</f>
        <v>PRIORIDADES PARA ESTA SEMANA</v>
      </c>
      <c r="R178" s="132"/>
      <c r="S178" s="132"/>
      <c r="T178" s="132"/>
      <c r="U178" s="132"/>
      <c r="V178" s="132"/>
      <c r="W178" s="195" t="str">
        <f>CONCATENATE("HORÁRIO ",'INFO BASE'!$C$6,"_",'INFO BASE'!$C$5,": ",UPPER(A175))</f>
        <v>HORÁRIO André Fonseca_84698: SEMANA 4</v>
      </c>
      <c r="X178" s="198">
        <v>1</v>
      </c>
      <c r="Y178" s="261" t="str">
        <f>'INFO BASE'!$L$1</f>
        <v>MOMENTOS AVALIATIVOS</v>
      </c>
      <c r="Z178" s="261"/>
      <c r="AA178" s="261"/>
      <c r="AB178" s="261"/>
      <c r="AC178" s="261" t="s">
        <v>215</v>
      </c>
      <c r="AD178" s="261"/>
      <c r="AE178" s="261"/>
      <c r="AF178" s="261"/>
      <c r="AI178" s="136" t="str">
        <f>B178</f>
        <v>Segunda 
05-10-2015</v>
      </c>
      <c r="AK178" s="136" t="str">
        <f>D178</f>
        <v>Terça 
06-10-2015</v>
      </c>
      <c r="AM178" s="136" t="str">
        <f>F178</f>
        <v>Quarta 
07-10-2015</v>
      </c>
      <c r="AO178" s="136" t="str">
        <f>H178</f>
        <v>Quinta 
08-10-2015</v>
      </c>
      <c r="AQ178" s="136" t="str">
        <f>J178</f>
        <v>Sexta 
09-10-2015</v>
      </c>
      <c r="AS178" s="136" t="str">
        <f>L178</f>
        <v>Sábado 
10-10-2015</v>
      </c>
      <c r="AU178" s="136" t="str">
        <f>N178</f>
        <v>Domingo 
11-10-2015</v>
      </c>
      <c r="AX178" s="136" t="str">
        <f>IF(AI176="","",IF(B178="","",B178))</f>
        <v>Segunda 
05-10-2015</v>
      </c>
      <c r="AY178" s="136" t="str">
        <f>IF(AI176="","",IF(C178="","",C178))</f>
        <v/>
      </c>
      <c r="AZ178" s="136" t="str">
        <f>IF(AI176="","",IF(D178="","",D178))</f>
        <v>Terça 
06-10-2015</v>
      </c>
      <c r="BA178" s="136" t="str">
        <f>IF(AI176="","",IF(E178="","",E178))</f>
        <v/>
      </c>
      <c r="BB178" s="136" t="str">
        <f>IF(AI176="","",IF(F178="","",F178))</f>
        <v>Quarta 
07-10-2015</v>
      </c>
      <c r="BC178" s="136" t="str">
        <f>IF(AI176="","",IF(G178="","",G178))</f>
        <v/>
      </c>
      <c r="BD178" s="136" t="str">
        <f>IF(AI176="","",IF(H178="","",H178))</f>
        <v>Quinta 
08-10-2015</v>
      </c>
      <c r="BE178" s="136" t="str">
        <f>IF(AI176="","",IF(I178="","",I178))</f>
        <v/>
      </c>
      <c r="BF178" s="136" t="str">
        <f>IF(AI176="","",IF(J178="","",J178))</f>
        <v>Sexta 
09-10-2015</v>
      </c>
      <c r="BG178" s="136" t="str">
        <f>IF(AI176="","",IF(K178="","",K178))</f>
        <v/>
      </c>
      <c r="BH178" s="136" t="str">
        <f>IF(AI176="","",IF(L178="","",L178))</f>
        <v>Sábado 
10-10-2015</v>
      </c>
      <c r="BI178" s="136" t="str">
        <f>IF(AI176="","",IF(M178="","",M178))</f>
        <v/>
      </c>
      <c r="BJ178" s="136" t="str">
        <f>IF(AI176="","",IF(N178="","",N178))</f>
        <v>Domingo 
11-10-2015</v>
      </c>
      <c r="BK178" s="136" t="str">
        <f>IF(AI176="","",IF(O178="","",O178))</f>
        <v/>
      </c>
      <c r="BZ178" s="280"/>
      <c r="CA178" s="183" t="str">
        <f>'INFO BASE'!L241</f>
        <v>-</v>
      </c>
      <c r="CB178" s="183" t="str">
        <f>'INFO BASE'!M241</f>
        <v/>
      </c>
    </row>
    <row r="179" spans="1:109" ht="10.050000000000001" hidden="1" customHeight="1" thickBot="1" x14ac:dyDescent="0.35">
      <c r="A179" s="142"/>
      <c r="B179" s="333">
        <f>N122+1</f>
        <v>42282</v>
      </c>
      <c r="C179" s="334"/>
      <c r="D179" s="334">
        <f>B179+1</f>
        <v>42283</v>
      </c>
      <c r="E179" s="334"/>
      <c r="F179" s="334">
        <f>D179+1</f>
        <v>42284</v>
      </c>
      <c r="G179" s="334"/>
      <c r="H179" s="334">
        <f>F179+1</f>
        <v>42285</v>
      </c>
      <c r="I179" s="334"/>
      <c r="J179" s="334">
        <f>H179+1</f>
        <v>42286</v>
      </c>
      <c r="K179" s="334"/>
      <c r="L179" s="334">
        <f>J179+1</f>
        <v>42287</v>
      </c>
      <c r="M179" s="334"/>
      <c r="N179" s="334">
        <f>L179+1</f>
        <v>42288</v>
      </c>
      <c r="O179" s="334"/>
      <c r="Q179" s="132"/>
      <c r="R179" s="132"/>
      <c r="S179" s="132"/>
      <c r="T179" s="132"/>
      <c r="U179" s="132"/>
      <c r="V179" s="132"/>
      <c r="W179" s="132"/>
      <c r="X179" s="198">
        <v>1</v>
      </c>
      <c r="Y179" s="132"/>
      <c r="Z179" s="132"/>
      <c r="AA179" s="132"/>
      <c r="AB179" s="131"/>
      <c r="AC179" s="131"/>
      <c r="AD179" s="131"/>
      <c r="AE179" s="131"/>
      <c r="AF179" s="131"/>
      <c r="AI179" s="136">
        <f>B179</f>
        <v>42282</v>
      </c>
      <c r="AK179" s="136">
        <f>D179</f>
        <v>42283</v>
      </c>
      <c r="AM179" s="136">
        <f>F179</f>
        <v>42284</v>
      </c>
      <c r="AO179" s="136">
        <f>H179</f>
        <v>42285</v>
      </c>
      <c r="AQ179" s="136">
        <f>J179</f>
        <v>42286</v>
      </c>
      <c r="AS179" s="136">
        <f>L179</f>
        <v>42287</v>
      </c>
      <c r="AU179" s="136">
        <f>N179</f>
        <v>42288</v>
      </c>
      <c r="AX179" s="136">
        <f>IF(AI176="","",IF(B179="","",B179))</f>
        <v>42282</v>
      </c>
      <c r="AY179" s="136" t="str">
        <f>IF(AI176="","",IF(C179="","",C179))</f>
        <v/>
      </c>
      <c r="AZ179" s="136">
        <f>IF(AI176="","",IF(D179="","",D179))</f>
        <v>42283</v>
      </c>
      <c r="BA179" s="136" t="str">
        <f>IF(AI176="","",IF(E179="","",E179))</f>
        <v/>
      </c>
      <c r="BB179" s="136">
        <f>IF(AI176="","",IF(F179="","",F179))</f>
        <v>42284</v>
      </c>
      <c r="BC179" s="136" t="str">
        <f>IF(AI176="","",IF(G179="","",G179))</f>
        <v/>
      </c>
      <c r="BD179" s="136">
        <f>IF(AI176="","",IF(H179="","",H179))</f>
        <v>42285</v>
      </c>
      <c r="BE179" s="136" t="str">
        <f>IF(AI176="","",IF(I179="","",I179))</f>
        <v/>
      </c>
      <c r="BF179" s="136">
        <f>IF(AI176="","",IF(J179="","",J179))</f>
        <v>42286</v>
      </c>
      <c r="BG179" s="136" t="str">
        <f>IF(AI176="","",IF(K179="","",K179))</f>
        <v/>
      </c>
      <c r="BH179" s="136">
        <f>IF(AI176="","",IF(L179="","",L179))</f>
        <v>42287</v>
      </c>
      <c r="BI179" s="136" t="str">
        <f>IF(AI176="","",IF(M179="","",M179))</f>
        <v/>
      </c>
      <c r="BJ179" s="136">
        <f>IF(AI176="","",IF(N179="","",N179))</f>
        <v>42288</v>
      </c>
      <c r="BK179" s="136" t="str">
        <f>IF(AI176="","",IF(O179="","",O179))</f>
        <v/>
      </c>
      <c r="BZ179" s="280"/>
      <c r="CA179" s="183" t="str">
        <f>'INFO BASE'!L242</f>
        <v>-</v>
      </c>
      <c r="CB179" s="183" t="str">
        <f>'INFO BASE'!M242</f>
        <v/>
      </c>
    </row>
    <row r="180" spans="1:109" ht="18" customHeight="1" thickTop="1" x14ac:dyDescent="0.3">
      <c r="A180" s="81">
        <v>0</v>
      </c>
      <c r="B180" s="165" t="s">
        <v>10</v>
      </c>
      <c r="C180" s="150" t="s">
        <v>120</v>
      </c>
      <c r="D180" s="168" t="s">
        <v>10</v>
      </c>
      <c r="E180" s="150" t="s">
        <v>120</v>
      </c>
      <c r="F180" s="168" t="s">
        <v>10</v>
      </c>
      <c r="G180" s="150" t="s">
        <v>120</v>
      </c>
      <c r="H180" s="168" t="s">
        <v>10</v>
      </c>
      <c r="I180" s="150" t="s">
        <v>120</v>
      </c>
      <c r="J180" s="168" t="s">
        <v>10</v>
      </c>
      <c r="K180" s="150" t="s">
        <v>120</v>
      </c>
      <c r="L180" s="168" t="s">
        <v>116</v>
      </c>
      <c r="M180" s="150" t="s">
        <v>120</v>
      </c>
      <c r="N180" s="168" t="s">
        <v>116</v>
      </c>
      <c r="O180" s="152" t="s">
        <v>120</v>
      </c>
      <c r="Q180" s="281" t="s">
        <v>246</v>
      </c>
      <c r="R180" s="282"/>
      <c r="S180" s="282"/>
      <c r="T180" s="282"/>
      <c r="U180" s="282"/>
      <c r="V180" s="282"/>
      <c r="W180" s="283"/>
      <c r="X180" s="199">
        <v>1</v>
      </c>
      <c r="Y180" s="268" t="str">
        <f t="array" ref="Y180">IF(ISERROR(INDEX($CA$2:$CB$200,SMALL(IF($CA$2:$CA$200=$A$175,ROW($CA$2:$CA$200)),ROW(1:1))-1,2)),"",INDEX($CA$2:$CB$200,SMALL(IF($CA$2:$CA$200=$A$175,ROW($CA$2:$CA$200)),ROW(1:1))-1,2))</f>
        <v/>
      </c>
      <c r="Z180" s="269"/>
      <c r="AA180" s="269"/>
      <c r="AB180" s="269"/>
      <c r="AC180" s="269"/>
      <c r="AD180" s="269"/>
      <c r="AE180" s="269"/>
      <c r="AF180" s="270"/>
      <c r="AH180" s="136">
        <v>0</v>
      </c>
      <c r="AI180" s="136" t="s">
        <v>10</v>
      </c>
      <c r="AJ180" s="136" t="s">
        <v>120</v>
      </c>
      <c r="AK180" s="136" t="s">
        <v>10</v>
      </c>
      <c r="AL180" s="136" t="s">
        <v>120</v>
      </c>
      <c r="AM180" s="136" t="s">
        <v>10</v>
      </c>
      <c r="AN180" s="136" t="s">
        <v>120</v>
      </c>
      <c r="AO180" s="136" t="s">
        <v>10</v>
      </c>
      <c r="AP180" s="136" t="s">
        <v>120</v>
      </c>
      <c r="AQ180" s="136" t="s">
        <v>10</v>
      </c>
      <c r="AR180" s="136" t="s">
        <v>120</v>
      </c>
      <c r="AS180" s="136" t="s">
        <v>116</v>
      </c>
      <c r="AT180" s="136" t="s">
        <v>120</v>
      </c>
      <c r="AU180" s="136" t="s">
        <v>116</v>
      </c>
      <c r="AV180" s="136" t="s">
        <v>120</v>
      </c>
      <c r="AX180" s="136" t="str">
        <f>IF(AI176="","",IF(B180="","",B180))</f>
        <v>HS</v>
      </c>
      <c r="AY180" s="136" t="str">
        <f>IF(AI176="","",IF(C180="","",C180))</f>
        <v>-</v>
      </c>
      <c r="AZ180" s="136" t="str">
        <f>IF(AI176="","",IF(D180="","",D180))</f>
        <v>HS</v>
      </c>
      <c r="BA180" s="136" t="str">
        <f>IF(AI176="","",IF(E180="","",E180))</f>
        <v>-</v>
      </c>
      <c r="BB180" s="136" t="str">
        <f>IF(AI176="","",IF(F180="","",F180))</f>
        <v>HS</v>
      </c>
      <c r="BC180" s="136" t="str">
        <f>IF(AI176="","",IF(G180="","",G180))</f>
        <v>-</v>
      </c>
      <c r="BD180" s="136" t="str">
        <f>IF(AI176="","",IF(H180="","",H180))</f>
        <v>HS</v>
      </c>
      <c r="BE180" s="136" t="str">
        <f>IF(AI176="","",IF(I180="","",I180))</f>
        <v>-</v>
      </c>
      <c r="BF180" s="136" t="str">
        <f>IF(AI176="","",IF(J180="","",J180))</f>
        <v>HS</v>
      </c>
      <c r="BG180" s="136" t="str">
        <f>IF(AI176="","",IF(K180="","",K180))</f>
        <v>-</v>
      </c>
      <c r="BH180" s="136" t="str">
        <f>IF(AI176="","",IF(L180="","",L180))</f>
        <v>PV</v>
      </c>
      <c r="BI180" s="136" t="str">
        <f>IF(AI176="","",IF(M180="","",M180))</f>
        <v>-</v>
      </c>
      <c r="BJ180" s="136" t="str">
        <f>IF(AI176="","",IF(N180="","",N180))</f>
        <v>PV</v>
      </c>
      <c r="BK180" s="136" t="str">
        <f>IF(AI176="","",IF(O180="","",O180))</f>
        <v>-</v>
      </c>
      <c r="BZ180" s="280"/>
      <c r="CA180" s="183" t="str">
        <f>'INFO BASE'!L243</f>
        <v>-</v>
      </c>
      <c r="CB180" s="183" t="str">
        <f>'INFO BASE'!M243</f>
        <v/>
      </c>
      <c r="CD180" s="136">
        <f>COUNTA('INFO BASE'!E204:E209)+6</f>
        <v>6</v>
      </c>
      <c r="CR180" s="177" t="str">
        <f>IF(B180="",1,B180)</f>
        <v>HS</v>
      </c>
      <c r="CS180" s="177" t="str">
        <f>IF(B180="PV",0,IFERROR(VLOOKUP(CONCATENATE(B180,C180),$DK$9:$DK$72,1,0),1))</f>
        <v>HS-</v>
      </c>
      <c r="CT180" s="177" t="str">
        <f>IF(D180="",1,D180)</f>
        <v>HS</v>
      </c>
      <c r="CU180" s="177" t="str">
        <f>IF(D180="PV",0,IFERROR(VLOOKUP(CONCATENATE(D180,E180),$DK$9:$DK$72,1,0),1))</f>
        <v>HS-</v>
      </c>
      <c r="CV180" s="177" t="str">
        <f>IF(F180="",1,F180)</f>
        <v>HS</v>
      </c>
      <c r="CW180" s="177" t="str">
        <f>IF(F180="PV",0,IFERROR(VLOOKUP(CONCATENATE(F180,G180),$DK$9:$DK$72,1,0),1))</f>
        <v>HS-</v>
      </c>
      <c r="CX180" s="177" t="str">
        <f>IF(H180="",1,H180)</f>
        <v>HS</v>
      </c>
      <c r="CY180" s="177" t="str">
        <f>IF(H180="PV",0,IFERROR(VLOOKUP(CONCATENATE(H180,I180),$DK$9:$DK$72,1,0),1))</f>
        <v>HS-</v>
      </c>
      <c r="CZ180" s="177" t="str">
        <f>IF(J180="",1,J180)</f>
        <v>HS</v>
      </c>
      <c r="DA180" s="177" t="str">
        <f>IF(J180="PV",0,IFERROR(VLOOKUP(CONCATENATE(J180,K180),$DK$9:$DK$72,1,0),1))</f>
        <v>HS-</v>
      </c>
      <c r="DB180" s="177" t="str">
        <f>IF(L180="",1,L180)</f>
        <v>PV</v>
      </c>
      <c r="DC180" s="177">
        <f>IF(L180="PV",0,IFERROR(VLOOKUP(CONCATENATE(L180,M180),$DK$9:$DK$72,1,0),1))</f>
        <v>0</v>
      </c>
      <c r="DD180" s="177" t="str">
        <f>IF(N180="",1,N180)</f>
        <v>PV</v>
      </c>
      <c r="DE180" s="177">
        <f>IF(N180="PV",0,IFERROR(VLOOKUP(CONCATENATE(N180,O180),$DK$9:$DK$72,1,0),1))</f>
        <v>0</v>
      </c>
    </row>
    <row r="181" spans="1:109" ht="18" customHeight="1" x14ac:dyDescent="0.3">
      <c r="A181" s="81">
        <v>2.0833333333333998E-2</v>
      </c>
      <c r="B181" s="166" t="s">
        <v>10</v>
      </c>
      <c r="C181" s="130" t="s">
        <v>120</v>
      </c>
      <c r="D181" s="169" t="s">
        <v>10</v>
      </c>
      <c r="E181" s="130" t="s">
        <v>120</v>
      </c>
      <c r="F181" s="169" t="s">
        <v>10</v>
      </c>
      <c r="G181" s="130" t="s">
        <v>120</v>
      </c>
      <c r="H181" s="169" t="s">
        <v>10</v>
      </c>
      <c r="I181" s="130" t="s">
        <v>120</v>
      </c>
      <c r="J181" s="169" t="s">
        <v>10</v>
      </c>
      <c r="K181" s="130" t="s">
        <v>120</v>
      </c>
      <c r="L181" s="169" t="s">
        <v>116</v>
      </c>
      <c r="M181" s="130" t="s">
        <v>120</v>
      </c>
      <c r="N181" s="169" t="s">
        <v>116</v>
      </c>
      <c r="O181" s="154" t="s">
        <v>120</v>
      </c>
      <c r="Q181" s="284"/>
      <c r="R181" s="285"/>
      <c r="S181" s="285"/>
      <c r="T181" s="285"/>
      <c r="U181" s="285"/>
      <c r="V181" s="285"/>
      <c r="W181" s="286"/>
      <c r="X181" s="199">
        <v>1</v>
      </c>
      <c r="Y181" s="262" t="str">
        <f t="array" ref="Y181">IF(ISERROR(INDEX($CA$2:$CB$200,SMALL(IF($CA$2:$CA$200=$A$175,ROW($CA$2:$CA$200)),ROW(2:2))-1,2)),"",INDEX($CA$2:$CB$200,SMALL(IF($CA$2:$CA$200=$A$175,ROW($CA$2:$CA$200)),ROW(2:2))-1,2))</f>
        <v/>
      </c>
      <c r="Z181" s="263"/>
      <c r="AA181" s="263"/>
      <c r="AB181" s="263"/>
      <c r="AC181" s="263"/>
      <c r="AD181" s="263"/>
      <c r="AE181" s="263"/>
      <c r="AF181" s="264"/>
      <c r="AH181" s="136">
        <v>2.0833333333333998E-2</v>
      </c>
      <c r="AI181" s="136" t="s">
        <v>10</v>
      </c>
      <c r="AJ181" s="136" t="s">
        <v>120</v>
      </c>
      <c r="AK181" s="136" t="s">
        <v>10</v>
      </c>
      <c r="AL181" s="136" t="s">
        <v>120</v>
      </c>
      <c r="AM181" s="136" t="s">
        <v>10</v>
      </c>
      <c r="AN181" s="136" t="s">
        <v>120</v>
      </c>
      <c r="AO181" s="136" t="s">
        <v>10</v>
      </c>
      <c r="AP181" s="136" t="s">
        <v>120</v>
      </c>
      <c r="AQ181" s="136" t="s">
        <v>10</v>
      </c>
      <c r="AR181" s="136" t="s">
        <v>120</v>
      </c>
      <c r="AS181" s="136" t="s">
        <v>116</v>
      </c>
      <c r="AT181" s="136" t="s">
        <v>120</v>
      </c>
      <c r="AU181" s="136" t="s">
        <v>116</v>
      </c>
      <c r="AV181" s="136" t="s">
        <v>120</v>
      </c>
      <c r="AX181" s="136" t="str">
        <f>IF(AI176="","",IF(B181="","",B181))</f>
        <v>HS</v>
      </c>
      <c r="AY181" s="136" t="str">
        <f>IF(AI176="","",IF(C181="","",C181))</f>
        <v>-</v>
      </c>
      <c r="AZ181" s="136" t="str">
        <f>IF(AI176="","",IF(D181="","",D181))</f>
        <v>HS</v>
      </c>
      <c r="BA181" s="136" t="str">
        <f>IF(AI176="","",IF(E181="","",E181))</f>
        <v>-</v>
      </c>
      <c r="BB181" s="136" t="str">
        <f>IF(AI176="","",IF(F181="","",F181))</f>
        <v>HS</v>
      </c>
      <c r="BC181" s="136" t="str">
        <f>IF(AI176="","",IF(G181="","",G181))</f>
        <v>-</v>
      </c>
      <c r="BD181" s="136" t="str">
        <f>IF(AI176="","",IF(H181="","",H181))</f>
        <v>HS</v>
      </c>
      <c r="BE181" s="136" t="str">
        <f>IF(AI176="","",IF(I181="","",I181))</f>
        <v>-</v>
      </c>
      <c r="BF181" s="136" t="str">
        <f>IF(AI176="","",IF(J181="","",J181))</f>
        <v>HS</v>
      </c>
      <c r="BG181" s="136" t="str">
        <f>IF(AI176="","",IF(K181="","",K181))</f>
        <v>-</v>
      </c>
      <c r="BH181" s="136" t="str">
        <f>IF(AI176="","",IF(L181="","",L181))</f>
        <v>PV</v>
      </c>
      <c r="BI181" s="136" t="str">
        <f>IF(AI176="","",IF(M181="","",M181))</f>
        <v>-</v>
      </c>
      <c r="BJ181" s="136" t="str">
        <f>IF(AI176="","",IF(N181="","",N181))</f>
        <v>PV</v>
      </c>
      <c r="BK181" s="136" t="str">
        <f>IF(AI176="","",IF(O181="","",O181))</f>
        <v>-</v>
      </c>
      <c r="BZ181" s="280"/>
      <c r="CA181" s="183" t="str">
        <f>'INFO BASE'!L244</f>
        <v>-</v>
      </c>
      <c r="CB181" s="183" t="str">
        <f>'INFO BASE'!M244</f>
        <v/>
      </c>
      <c r="CR181" s="177" t="str">
        <f t="shared" ref="CR181:DB223" si="112">IF(B181="",1,B181)</f>
        <v>HS</v>
      </c>
      <c r="CS181" s="177" t="str">
        <f t="shared" ref="CS181:CS227" si="113">IF(B181="PV",0,IFERROR(VLOOKUP(CONCATENATE(B181,C181),$DK$9:$DK$72,1,0),1))</f>
        <v>HS-</v>
      </c>
      <c r="CT181" s="177" t="str">
        <f t="shared" si="112"/>
        <v>HS</v>
      </c>
      <c r="CU181" s="177" t="str">
        <f t="shared" ref="CU181:CU227" si="114">IF(D181="PV",0,IFERROR(VLOOKUP(CONCATENATE(D181,E181),$DK$9:$DK$72,1,0),1))</f>
        <v>HS-</v>
      </c>
      <c r="CV181" s="177" t="str">
        <f t="shared" si="112"/>
        <v>HS</v>
      </c>
      <c r="CW181" s="177" t="str">
        <f t="shared" ref="CW181:CW227" si="115">IF(F181="PV",0,IFERROR(VLOOKUP(CONCATENATE(F181,G181),$DK$9:$DK$72,1,0),1))</f>
        <v>HS-</v>
      </c>
      <c r="CX181" s="177" t="str">
        <f t="shared" si="112"/>
        <v>HS</v>
      </c>
      <c r="CY181" s="177" t="str">
        <f t="shared" ref="CY181:CY227" si="116">IF(H181="PV",0,IFERROR(VLOOKUP(CONCATENATE(H181,I181),$DK$9:$DK$72,1,0),1))</f>
        <v>HS-</v>
      </c>
      <c r="CZ181" s="177" t="str">
        <f t="shared" si="112"/>
        <v>HS</v>
      </c>
      <c r="DA181" s="177" t="str">
        <f t="shared" ref="DA181:DA227" si="117">IF(J181="PV",0,IFERROR(VLOOKUP(CONCATENATE(J181,K181),$DK$9:$DK$72,1,0),1))</f>
        <v>HS-</v>
      </c>
      <c r="DB181" s="177" t="str">
        <f t="shared" si="112"/>
        <v>PV</v>
      </c>
      <c r="DC181" s="177">
        <f t="shared" ref="DC181:DC227" si="118">IF(L181="PV",0,IFERROR(VLOOKUP(CONCATENATE(L181,M181),$DK$9:$DK$72,1,0),1))</f>
        <v>0</v>
      </c>
      <c r="DD181" s="177" t="str">
        <f t="shared" ref="DD181:DD227" si="119">IF(N181="",1,N181)</f>
        <v>PV</v>
      </c>
      <c r="DE181" s="177">
        <f t="shared" ref="DE181:DE227" si="120">IF(N181="PV",0,IFERROR(VLOOKUP(CONCATENATE(N181,O181),$DK$9:$DK$72,1,0),1))</f>
        <v>0</v>
      </c>
    </row>
    <row r="182" spans="1:109" ht="18" customHeight="1" x14ac:dyDescent="0.3">
      <c r="A182" s="81">
        <v>4.1666666666667997E-2</v>
      </c>
      <c r="B182" s="166" t="s">
        <v>10</v>
      </c>
      <c r="C182" s="130" t="s">
        <v>120</v>
      </c>
      <c r="D182" s="169" t="s">
        <v>10</v>
      </c>
      <c r="E182" s="130" t="s">
        <v>120</v>
      </c>
      <c r="F182" s="169" t="s">
        <v>10</v>
      </c>
      <c r="G182" s="130" t="s">
        <v>120</v>
      </c>
      <c r="H182" s="169" t="s">
        <v>10</v>
      </c>
      <c r="I182" s="130" t="s">
        <v>120</v>
      </c>
      <c r="J182" s="169" t="s">
        <v>10</v>
      </c>
      <c r="K182" s="130" t="s">
        <v>120</v>
      </c>
      <c r="L182" s="169" t="s">
        <v>116</v>
      </c>
      <c r="M182" s="130" t="s">
        <v>120</v>
      </c>
      <c r="N182" s="169" t="s">
        <v>116</v>
      </c>
      <c r="O182" s="154" t="s">
        <v>120</v>
      </c>
      <c r="Q182" s="284"/>
      <c r="R182" s="285"/>
      <c r="S182" s="285"/>
      <c r="T182" s="285"/>
      <c r="U182" s="285"/>
      <c r="V182" s="285"/>
      <c r="W182" s="286"/>
      <c r="X182" s="199">
        <v>1</v>
      </c>
      <c r="Y182" s="262" t="str">
        <f t="array" ref="Y182">IF(ISERROR(INDEX($CA$2:$CB$200,SMALL(IF($CA$2:$CA$200=$A$175,ROW($CA$2:$CA$200)),ROW(3:3))-1,2)),"",INDEX($CA$2:$CB$200,SMALL(IF($CA$2:$CA$200=$A$175,ROW($CA$2:$CA$200)),ROW(3:3))-1,2))</f>
        <v/>
      </c>
      <c r="Z182" s="263"/>
      <c r="AA182" s="263"/>
      <c r="AB182" s="263"/>
      <c r="AC182" s="263"/>
      <c r="AD182" s="263"/>
      <c r="AE182" s="263"/>
      <c r="AF182" s="264"/>
      <c r="AH182" s="136">
        <v>4.1666666666667997E-2</v>
      </c>
      <c r="AI182" s="136" t="s">
        <v>10</v>
      </c>
      <c r="AJ182" s="136" t="s">
        <v>120</v>
      </c>
      <c r="AK182" s="136" t="s">
        <v>10</v>
      </c>
      <c r="AL182" s="136" t="s">
        <v>120</v>
      </c>
      <c r="AM182" s="136" t="s">
        <v>10</v>
      </c>
      <c r="AN182" s="136" t="s">
        <v>120</v>
      </c>
      <c r="AO182" s="136" t="s">
        <v>10</v>
      </c>
      <c r="AP182" s="136" t="s">
        <v>120</v>
      </c>
      <c r="AQ182" s="136" t="s">
        <v>10</v>
      </c>
      <c r="AR182" s="136" t="s">
        <v>120</v>
      </c>
      <c r="AS182" s="136" t="s">
        <v>116</v>
      </c>
      <c r="AT182" s="136" t="s">
        <v>120</v>
      </c>
      <c r="AU182" s="136" t="s">
        <v>116</v>
      </c>
      <c r="AV182" s="136" t="s">
        <v>120</v>
      </c>
      <c r="AX182" s="136" t="str">
        <f>IF(AI176="","",IF(B182="","",B182))</f>
        <v>HS</v>
      </c>
      <c r="AY182" s="136" t="str">
        <f>IF(AI176="","",IF(C182="","",C182))</f>
        <v>-</v>
      </c>
      <c r="AZ182" s="136" t="str">
        <f>IF(AI176="","",IF(D182="","",D182))</f>
        <v>HS</v>
      </c>
      <c r="BA182" s="136" t="str">
        <f>IF(AI176="","",IF(E182="","",E182))</f>
        <v>-</v>
      </c>
      <c r="BB182" s="136" t="str">
        <f>IF(AI176="","",IF(F182="","",F182))</f>
        <v>HS</v>
      </c>
      <c r="BC182" s="136" t="str">
        <f>IF(AI176="","",IF(G182="","",G182))</f>
        <v>-</v>
      </c>
      <c r="BD182" s="136" t="str">
        <f>IF(AI176="","",IF(H182="","",H182))</f>
        <v>HS</v>
      </c>
      <c r="BE182" s="136" t="str">
        <f>IF(AI176="","",IF(I182="","",I182))</f>
        <v>-</v>
      </c>
      <c r="BF182" s="136" t="str">
        <f>IF(AI176="","",IF(J182="","",J182))</f>
        <v>HS</v>
      </c>
      <c r="BG182" s="136" t="str">
        <f>IF(AI176="","",IF(K182="","",K182))</f>
        <v>-</v>
      </c>
      <c r="BH182" s="136" t="str">
        <f>IF(AI176="","",IF(L182="","",L182))</f>
        <v>PV</v>
      </c>
      <c r="BI182" s="136" t="str">
        <f>IF(AI176="","",IF(M182="","",M182))</f>
        <v>-</v>
      </c>
      <c r="BJ182" s="136" t="str">
        <f>IF(AI176="","",IF(N182="","",N182))</f>
        <v>PV</v>
      </c>
      <c r="BK182" s="136" t="str">
        <f>IF(AI176="","",IF(O182="","",O182))</f>
        <v>-</v>
      </c>
      <c r="BZ182" s="280"/>
      <c r="CA182" s="183" t="str">
        <f>'INFO BASE'!L245</f>
        <v>-</v>
      </c>
      <c r="CB182" s="183" t="str">
        <f>'INFO BASE'!M245</f>
        <v/>
      </c>
      <c r="CR182" s="177" t="str">
        <f t="shared" si="112"/>
        <v>HS</v>
      </c>
      <c r="CS182" s="177" t="str">
        <f t="shared" si="113"/>
        <v>HS-</v>
      </c>
      <c r="CT182" s="177" t="str">
        <f t="shared" si="112"/>
        <v>HS</v>
      </c>
      <c r="CU182" s="177" t="str">
        <f t="shared" si="114"/>
        <v>HS-</v>
      </c>
      <c r="CV182" s="177" t="str">
        <f t="shared" si="112"/>
        <v>HS</v>
      </c>
      <c r="CW182" s="177" t="str">
        <f t="shared" si="115"/>
        <v>HS-</v>
      </c>
      <c r="CX182" s="177" t="str">
        <f t="shared" si="112"/>
        <v>HS</v>
      </c>
      <c r="CY182" s="177" t="str">
        <f t="shared" si="116"/>
        <v>HS-</v>
      </c>
      <c r="CZ182" s="177" t="str">
        <f t="shared" si="112"/>
        <v>HS</v>
      </c>
      <c r="DA182" s="177" t="str">
        <f t="shared" si="117"/>
        <v>HS-</v>
      </c>
      <c r="DB182" s="177" t="str">
        <f t="shared" si="112"/>
        <v>PV</v>
      </c>
      <c r="DC182" s="177">
        <f t="shared" si="118"/>
        <v>0</v>
      </c>
      <c r="DD182" s="177" t="str">
        <f t="shared" si="119"/>
        <v>PV</v>
      </c>
      <c r="DE182" s="177">
        <f t="shared" si="120"/>
        <v>0</v>
      </c>
    </row>
    <row r="183" spans="1:109" ht="18" customHeight="1" x14ac:dyDescent="0.3">
      <c r="A183" s="81">
        <v>6.2500000000001998E-2</v>
      </c>
      <c r="B183" s="166" t="s">
        <v>10</v>
      </c>
      <c r="C183" s="130" t="s">
        <v>120</v>
      </c>
      <c r="D183" s="169" t="s">
        <v>10</v>
      </c>
      <c r="E183" s="130" t="s">
        <v>120</v>
      </c>
      <c r="F183" s="169" t="s">
        <v>10</v>
      </c>
      <c r="G183" s="130" t="s">
        <v>120</v>
      </c>
      <c r="H183" s="169" t="s">
        <v>10</v>
      </c>
      <c r="I183" s="130" t="s">
        <v>120</v>
      </c>
      <c r="J183" s="169" t="s">
        <v>10</v>
      </c>
      <c r="K183" s="130" t="s">
        <v>120</v>
      </c>
      <c r="L183" s="169" t="s">
        <v>116</v>
      </c>
      <c r="M183" s="130" t="s">
        <v>120</v>
      </c>
      <c r="N183" s="169" t="s">
        <v>10</v>
      </c>
      <c r="O183" s="154" t="s">
        <v>120</v>
      </c>
      <c r="Q183" s="284"/>
      <c r="R183" s="285"/>
      <c r="S183" s="285"/>
      <c r="T183" s="285"/>
      <c r="U183" s="285"/>
      <c r="V183" s="285"/>
      <c r="W183" s="286"/>
      <c r="X183" s="199">
        <v>1</v>
      </c>
      <c r="Y183" s="262" t="str">
        <f t="array" ref="Y183">IF(ISERROR(INDEX($CA$2:$CB$200,SMALL(IF($CA$2:$CA$200=$A$175,ROW($CA$2:$CA$200)),ROW(4:4))-1,2)),"",INDEX($CA$2:$CB$200,SMALL(IF($CA$2:$CA$200=$A$175,ROW($CA$2:$CA$200)),ROW(4:4))-1,2))</f>
        <v/>
      </c>
      <c r="Z183" s="263"/>
      <c r="AA183" s="263"/>
      <c r="AB183" s="263"/>
      <c r="AC183" s="263"/>
      <c r="AD183" s="263"/>
      <c r="AE183" s="263"/>
      <c r="AF183" s="264"/>
      <c r="AH183" s="136">
        <v>6.2500000000001998E-2</v>
      </c>
      <c r="AI183" s="136" t="s">
        <v>10</v>
      </c>
      <c r="AJ183" s="136" t="s">
        <v>120</v>
      </c>
      <c r="AK183" s="136" t="s">
        <v>10</v>
      </c>
      <c r="AL183" s="136" t="s">
        <v>120</v>
      </c>
      <c r="AM183" s="136" t="s">
        <v>10</v>
      </c>
      <c r="AN183" s="136" t="s">
        <v>120</v>
      </c>
      <c r="AO183" s="136" t="s">
        <v>10</v>
      </c>
      <c r="AP183" s="136" t="s">
        <v>120</v>
      </c>
      <c r="AQ183" s="136" t="s">
        <v>10</v>
      </c>
      <c r="AR183" s="136" t="s">
        <v>120</v>
      </c>
      <c r="AS183" s="136" t="s">
        <v>116</v>
      </c>
      <c r="AT183" s="136" t="s">
        <v>120</v>
      </c>
      <c r="AU183" s="136" t="s">
        <v>10</v>
      </c>
      <c r="AV183" s="136" t="s">
        <v>120</v>
      </c>
      <c r="AX183" s="136" t="str">
        <f>IF(AI176="","",IF(B183="","",B183))</f>
        <v>HS</v>
      </c>
      <c r="AY183" s="136" t="str">
        <f>IF(AI176="","",IF(C183="","",C183))</f>
        <v>-</v>
      </c>
      <c r="AZ183" s="136" t="str">
        <f>IF(AI176="","",IF(D183="","",D183))</f>
        <v>HS</v>
      </c>
      <c r="BA183" s="136" t="str">
        <f>IF(AI176="","",IF(E183="","",E183))</f>
        <v>-</v>
      </c>
      <c r="BB183" s="136" t="str">
        <f>IF(AI176="","",IF(F183="","",F183))</f>
        <v>HS</v>
      </c>
      <c r="BC183" s="136" t="str">
        <f>IF(AI176="","",IF(G183="","",G183))</f>
        <v>-</v>
      </c>
      <c r="BD183" s="136" t="str">
        <f>IF(AI176="","",IF(H183="","",H183))</f>
        <v>HS</v>
      </c>
      <c r="BE183" s="136" t="str">
        <f>IF(AI176="","",IF(I183="","",I183))</f>
        <v>-</v>
      </c>
      <c r="BF183" s="136" t="str">
        <f>IF(AI176="","",IF(J183="","",J183))</f>
        <v>HS</v>
      </c>
      <c r="BG183" s="136" t="str">
        <f>IF(AI176="","",IF(K183="","",K183))</f>
        <v>-</v>
      </c>
      <c r="BH183" s="136" t="str">
        <f>IF(AI176="","",IF(L183="","",L183))</f>
        <v>PV</v>
      </c>
      <c r="BI183" s="136" t="str">
        <f>IF(AI176="","",IF(M183="","",M183))</f>
        <v>-</v>
      </c>
      <c r="BJ183" s="136" t="str">
        <f>IF(AI176="","",IF(N183="","",N183))</f>
        <v>HS</v>
      </c>
      <c r="BK183" s="136" t="str">
        <f>IF(AI176="","",IF(O183="","",O183))</f>
        <v>-</v>
      </c>
      <c r="BZ183" s="280"/>
      <c r="CA183" s="183" t="str">
        <f>'INFO BASE'!L246</f>
        <v>-</v>
      </c>
      <c r="CB183" s="183" t="str">
        <f>'INFO BASE'!M246</f>
        <v/>
      </c>
      <c r="CR183" s="177" t="str">
        <f t="shared" si="112"/>
        <v>HS</v>
      </c>
      <c r="CS183" s="177" t="str">
        <f t="shared" si="113"/>
        <v>HS-</v>
      </c>
      <c r="CT183" s="177" t="str">
        <f t="shared" si="112"/>
        <v>HS</v>
      </c>
      <c r="CU183" s="177" t="str">
        <f t="shared" si="114"/>
        <v>HS-</v>
      </c>
      <c r="CV183" s="177" t="str">
        <f t="shared" si="112"/>
        <v>HS</v>
      </c>
      <c r="CW183" s="177" t="str">
        <f t="shared" si="115"/>
        <v>HS-</v>
      </c>
      <c r="CX183" s="177" t="str">
        <f t="shared" si="112"/>
        <v>HS</v>
      </c>
      <c r="CY183" s="177" t="str">
        <f t="shared" si="116"/>
        <v>HS-</v>
      </c>
      <c r="CZ183" s="177" t="str">
        <f t="shared" si="112"/>
        <v>HS</v>
      </c>
      <c r="DA183" s="177" t="str">
        <f t="shared" si="117"/>
        <v>HS-</v>
      </c>
      <c r="DB183" s="177" t="str">
        <f t="shared" si="112"/>
        <v>PV</v>
      </c>
      <c r="DC183" s="177">
        <f t="shared" si="118"/>
        <v>0</v>
      </c>
      <c r="DD183" s="177" t="str">
        <f t="shared" si="119"/>
        <v>HS</v>
      </c>
      <c r="DE183" s="177" t="str">
        <f t="shared" si="120"/>
        <v>HS-</v>
      </c>
    </row>
    <row r="184" spans="1:109" ht="18" customHeight="1" x14ac:dyDescent="0.3">
      <c r="A184" s="81">
        <v>8.3333333333335993E-2</v>
      </c>
      <c r="B184" s="166" t="s">
        <v>10</v>
      </c>
      <c r="C184" s="130" t="s">
        <v>120</v>
      </c>
      <c r="D184" s="169" t="s">
        <v>10</v>
      </c>
      <c r="E184" s="130" t="s">
        <v>120</v>
      </c>
      <c r="F184" s="169" t="s">
        <v>10</v>
      </c>
      <c r="G184" s="130" t="s">
        <v>120</v>
      </c>
      <c r="H184" s="169" t="s">
        <v>10</v>
      </c>
      <c r="I184" s="130" t="s">
        <v>120</v>
      </c>
      <c r="J184" s="169" t="s">
        <v>10</v>
      </c>
      <c r="K184" s="130" t="s">
        <v>120</v>
      </c>
      <c r="L184" s="169" t="s">
        <v>116</v>
      </c>
      <c r="M184" s="130" t="s">
        <v>120</v>
      </c>
      <c r="N184" s="169" t="s">
        <v>10</v>
      </c>
      <c r="O184" s="154" t="s">
        <v>120</v>
      </c>
      <c r="Q184" s="284"/>
      <c r="R184" s="285"/>
      <c r="S184" s="285"/>
      <c r="T184" s="285"/>
      <c r="U184" s="285"/>
      <c r="V184" s="285"/>
      <c r="W184" s="286"/>
      <c r="X184" s="199">
        <v>1</v>
      </c>
      <c r="Y184" s="262" t="str">
        <f t="array" ref="Y184">IF(ISERROR(INDEX($CA$2:$CB$200,SMALL(IF($CA$2:$CA$200=$A$175,ROW($CA$2:$CA$200)),ROW(5:5))-1,2)),"",INDEX($CA$2:$CB$200,SMALL(IF($CA$2:$CA$200=$A$175,ROW($CA$2:$CA$200)),ROW(5:5))-1,2))</f>
        <v/>
      </c>
      <c r="Z184" s="263"/>
      <c r="AA184" s="263"/>
      <c r="AB184" s="263"/>
      <c r="AC184" s="263"/>
      <c r="AD184" s="263"/>
      <c r="AE184" s="263"/>
      <c r="AF184" s="264"/>
      <c r="AH184" s="136">
        <v>8.3333333333335993E-2</v>
      </c>
      <c r="AI184" s="136" t="s">
        <v>10</v>
      </c>
      <c r="AJ184" s="136" t="s">
        <v>120</v>
      </c>
      <c r="AK184" s="136" t="s">
        <v>10</v>
      </c>
      <c r="AL184" s="136" t="s">
        <v>120</v>
      </c>
      <c r="AM184" s="136" t="s">
        <v>10</v>
      </c>
      <c r="AN184" s="136" t="s">
        <v>120</v>
      </c>
      <c r="AO184" s="136" t="s">
        <v>10</v>
      </c>
      <c r="AP184" s="136" t="s">
        <v>120</v>
      </c>
      <c r="AQ184" s="136" t="s">
        <v>10</v>
      </c>
      <c r="AR184" s="136" t="s">
        <v>120</v>
      </c>
      <c r="AS184" s="136" t="s">
        <v>116</v>
      </c>
      <c r="AT184" s="136" t="s">
        <v>120</v>
      </c>
      <c r="AU184" s="136" t="s">
        <v>10</v>
      </c>
      <c r="AV184" s="136" t="s">
        <v>120</v>
      </c>
      <c r="AX184" s="136" t="str">
        <f>IF(AI176="","",IF(B184="","",B184))</f>
        <v>HS</v>
      </c>
      <c r="AY184" s="136" t="str">
        <f>IF(AI176="","",IF(C184="","",C184))</f>
        <v>-</v>
      </c>
      <c r="AZ184" s="136" t="str">
        <f>IF(AI176="","",IF(D184="","",D184))</f>
        <v>HS</v>
      </c>
      <c r="BA184" s="136" t="str">
        <f>IF(AI176="","",IF(E184="","",E184))</f>
        <v>-</v>
      </c>
      <c r="BB184" s="136" t="str">
        <f>IF(AI176="","",IF(F184="","",F184))</f>
        <v>HS</v>
      </c>
      <c r="BC184" s="136" t="str">
        <f>IF(AI176="","",IF(G184="","",G184))</f>
        <v>-</v>
      </c>
      <c r="BD184" s="136" t="str">
        <f>IF(AI176="","",IF(H184="","",H184))</f>
        <v>HS</v>
      </c>
      <c r="BE184" s="136" t="str">
        <f>IF(AI176="","",IF(I184="","",I184))</f>
        <v>-</v>
      </c>
      <c r="BF184" s="136" t="str">
        <f>IF(AI176="","",IF(J184="","",J184))</f>
        <v>HS</v>
      </c>
      <c r="BG184" s="136" t="str">
        <f>IF(AI176="","",IF(K184="","",K184))</f>
        <v>-</v>
      </c>
      <c r="BH184" s="136" t="str">
        <f>IF(AI176="","",IF(L184="","",L184))</f>
        <v>PV</v>
      </c>
      <c r="BI184" s="136" t="str">
        <f>IF(AI176="","",IF(M184="","",M184))</f>
        <v>-</v>
      </c>
      <c r="BJ184" s="136" t="str">
        <f>IF(AI176="","",IF(N184="","",N184))</f>
        <v>HS</v>
      </c>
      <c r="BK184" s="136" t="str">
        <f>IF(AI176="","",IF(O184="","",O184))</f>
        <v>-</v>
      </c>
      <c r="BZ184" s="280"/>
      <c r="CA184" s="183" t="str">
        <f>'INFO BASE'!L247</f>
        <v>-</v>
      </c>
      <c r="CB184" s="183" t="str">
        <f>'INFO BASE'!M247</f>
        <v/>
      </c>
      <c r="CD184" s="136" t="str">
        <f t="shared" ref="CD184:CD189" si="121">R192</f>
        <v>FP</v>
      </c>
      <c r="CR184" s="177" t="str">
        <f t="shared" si="112"/>
        <v>HS</v>
      </c>
      <c r="CS184" s="177" t="str">
        <f t="shared" si="113"/>
        <v>HS-</v>
      </c>
      <c r="CT184" s="177" t="str">
        <f t="shared" si="112"/>
        <v>HS</v>
      </c>
      <c r="CU184" s="177" t="str">
        <f t="shared" si="114"/>
        <v>HS-</v>
      </c>
      <c r="CV184" s="177" t="str">
        <f t="shared" si="112"/>
        <v>HS</v>
      </c>
      <c r="CW184" s="177" t="str">
        <f t="shared" si="115"/>
        <v>HS-</v>
      </c>
      <c r="CX184" s="177" t="str">
        <f t="shared" si="112"/>
        <v>HS</v>
      </c>
      <c r="CY184" s="177" t="str">
        <f t="shared" si="116"/>
        <v>HS-</v>
      </c>
      <c r="CZ184" s="177" t="str">
        <f t="shared" si="112"/>
        <v>HS</v>
      </c>
      <c r="DA184" s="177" t="str">
        <f t="shared" si="117"/>
        <v>HS-</v>
      </c>
      <c r="DB184" s="177" t="str">
        <f t="shared" si="112"/>
        <v>PV</v>
      </c>
      <c r="DC184" s="177">
        <f t="shared" si="118"/>
        <v>0</v>
      </c>
      <c r="DD184" s="177" t="str">
        <f t="shared" si="119"/>
        <v>HS</v>
      </c>
      <c r="DE184" s="177" t="str">
        <f t="shared" si="120"/>
        <v>HS-</v>
      </c>
    </row>
    <row r="185" spans="1:109" ht="18" customHeight="1" x14ac:dyDescent="0.3">
      <c r="A185" s="81">
        <v>0.10416666666667</v>
      </c>
      <c r="B185" s="166" t="s">
        <v>10</v>
      </c>
      <c r="C185" s="130" t="s">
        <v>120</v>
      </c>
      <c r="D185" s="169" t="s">
        <v>10</v>
      </c>
      <c r="E185" s="130" t="s">
        <v>120</v>
      </c>
      <c r="F185" s="169" t="s">
        <v>10</v>
      </c>
      <c r="G185" s="130" t="s">
        <v>120</v>
      </c>
      <c r="H185" s="169" t="s">
        <v>10</v>
      </c>
      <c r="I185" s="130" t="s">
        <v>120</v>
      </c>
      <c r="J185" s="169" t="s">
        <v>10</v>
      </c>
      <c r="K185" s="130" t="s">
        <v>120</v>
      </c>
      <c r="L185" s="169" t="s">
        <v>116</v>
      </c>
      <c r="M185" s="130" t="s">
        <v>120</v>
      </c>
      <c r="N185" s="169" t="s">
        <v>10</v>
      </c>
      <c r="O185" s="154" t="s">
        <v>120</v>
      </c>
      <c r="Q185" s="284"/>
      <c r="R185" s="285"/>
      <c r="S185" s="285"/>
      <c r="T185" s="285"/>
      <c r="U185" s="285"/>
      <c r="V185" s="285"/>
      <c r="W185" s="286"/>
      <c r="X185" s="199">
        <v>1</v>
      </c>
      <c r="Y185" s="262" t="str">
        <f t="array" ref="Y185">IF(ISERROR(INDEX($CA$2:$CB$200,SMALL(IF($CA$2:$CA$200=$A$175,ROW($CA$2:$CA$200)),ROW(6:6))-1,2)),"",INDEX($CA$2:$CB$200,SMALL(IF($CA$2:$CA$200=$A$175,ROW($CA$2:$CA$200)),ROW(6:6))-1,2))</f>
        <v/>
      </c>
      <c r="Z185" s="263"/>
      <c r="AA185" s="263"/>
      <c r="AB185" s="263"/>
      <c r="AC185" s="263"/>
      <c r="AD185" s="263"/>
      <c r="AE185" s="263"/>
      <c r="AF185" s="264"/>
      <c r="AH185" s="136">
        <v>0.10416666666667</v>
      </c>
      <c r="AI185" s="136" t="s">
        <v>10</v>
      </c>
      <c r="AJ185" s="136" t="s">
        <v>120</v>
      </c>
      <c r="AK185" s="136" t="s">
        <v>10</v>
      </c>
      <c r="AL185" s="136" t="s">
        <v>120</v>
      </c>
      <c r="AM185" s="136" t="s">
        <v>10</v>
      </c>
      <c r="AN185" s="136" t="s">
        <v>120</v>
      </c>
      <c r="AO185" s="136" t="s">
        <v>10</v>
      </c>
      <c r="AP185" s="136" t="s">
        <v>120</v>
      </c>
      <c r="AQ185" s="136" t="s">
        <v>10</v>
      </c>
      <c r="AR185" s="136" t="s">
        <v>120</v>
      </c>
      <c r="AS185" s="136" t="s">
        <v>116</v>
      </c>
      <c r="AT185" s="136" t="s">
        <v>120</v>
      </c>
      <c r="AU185" s="136" t="s">
        <v>10</v>
      </c>
      <c r="AV185" s="136" t="s">
        <v>120</v>
      </c>
      <c r="AX185" s="136" t="str">
        <f>IF(AI176="","",IF(B185="","",B185))</f>
        <v>HS</v>
      </c>
      <c r="AY185" s="136" t="str">
        <f>IF(AI176="","",IF(C185="","",C185))</f>
        <v>-</v>
      </c>
      <c r="AZ185" s="136" t="str">
        <f>IF(AI176="","",IF(D185="","",D185))</f>
        <v>HS</v>
      </c>
      <c r="BA185" s="136" t="str">
        <f>IF(AI176="","",IF(E185="","",E185))</f>
        <v>-</v>
      </c>
      <c r="BB185" s="136" t="str">
        <f>IF(AI176="","",IF(F185="","",F185))</f>
        <v>HS</v>
      </c>
      <c r="BC185" s="136" t="str">
        <f>IF(AI176="","",IF(G185="","",G185))</f>
        <v>-</v>
      </c>
      <c r="BD185" s="136" t="str">
        <f>IF(AI176="","",IF(H185="","",H185))</f>
        <v>HS</v>
      </c>
      <c r="BE185" s="136" t="str">
        <f>IF(AI176="","",IF(I185="","",I185))</f>
        <v>-</v>
      </c>
      <c r="BF185" s="136" t="str">
        <f>IF(AI176="","",IF(J185="","",J185))</f>
        <v>HS</v>
      </c>
      <c r="BG185" s="136" t="str">
        <f>IF(AI176="","",IF(K185="","",K185))</f>
        <v>-</v>
      </c>
      <c r="BH185" s="136" t="str">
        <f>IF(AI176="","",IF(L185="","",L185))</f>
        <v>PV</v>
      </c>
      <c r="BI185" s="136" t="str">
        <f>IF(AI176="","",IF(M185="","",M185))</f>
        <v>-</v>
      </c>
      <c r="BJ185" s="136" t="str">
        <f>IF(AI176="","",IF(N185="","",N185))</f>
        <v>HS</v>
      </c>
      <c r="BK185" s="136" t="str">
        <f>IF(AI176="","",IF(O185="","",O185))</f>
        <v>-</v>
      </c>
      <c r="BZ185" s="280"/>
      <c r="CA185" s="183" t="str">
        <f>'INFO BASE'!L248</f>
        <v>-</v>
      </c>
      <c r="CB185" s="183" t="str">
        <f>'INFO BASE'!M248</f>
        <v/>
      </c>
      <c r="CD185" s="136" t="str">
        <f t="shared" si="121"/>
        <v>IEI</v>
      </c>
      <c r="CR185" s="177" t="str">
        <f t="shared" si="112"/>
        <v>HS</v>
      </c>
      <c r="CS185" s="177" t="str">
        <f t="shared" si="113"/>
        <v>HS-</v>
      </c>
      <c r="CT185" s="177" t="str">
        <f t="shared" si="112"/>
        <v>HS</v>
      </c>
      <c r="CU185" s="177" t="str">
        <f t="shared" si="114"/>
        <v>HS-</v>
      </c>
      <c r="CV185" s="177" t="str">
        <f t="shared" si="112"/>
        <v>HS</v>
      </c>
      <c r="CW185" s="177" t="str">
        <f t="shared" si="115"/>
        <v>HS-</v>
      </c>
      <c r="CX185" s="177" t="str">
        <f t="shared" si="112"/>
        <v>HS</v>
      </c>
      <c r="CY185" s="177" t="str">
        <f t="shared" si="116"/>
        <v>HS-</v>
      </c>
      <c r="CZ185" s="177" t="str">
        <f t="shared" si="112"/>
        <v>HS</v>
      </c>
      <c r="DA185" s="177" t="str">
        <f t="shared" si="117"/>
        <v>HS-</v>
      </c>
      <c r="DB185" s="177" t="str">
        <f t="shared" si="112"/>
        <v>PV</v>
      </c>
      <c r="DC185" s="177">
        <f t="shared" si="118"/>
        <v>0</v>
      </c>
      <c r="DD185" s="177" t="str">
        <f t="shared" si="119"/>
        <v>HS</v>
      </c>
      <c r="DE185" s="177" t="str">
        <f t="shared" si="120"/>
        <v>HS-</v>
      </c>
    </row>
    <row r="186" spans="1:109" ht="18" customHeight="1" x14ac:dyDescent="0.3">
      <c r="A186" s="81">
        <v>0.125000000000004</v>
      </c>
      <c r="B186" s="166" t="s">
        <v>10</v>
      </c>
      <c r="C186" s="130" t="s">
        <v>120</v>
      </c>
      <c r="D186" s="169" t="s">
        <v>10</v>
      </c>
      <c r="E186" s="130" t="s">
        <v>120</v>
      </c>
      <c r="F186" s="169" t="s">
        <v>10</v>
      </c>
      <c r="G186" s="130" t="s">
        <v>120</v>
      </c>
      <c r="H186" s="169" t="s">
        <v>10</v>
      </c>
      <c r="I186" s="130" t="s">
        <v>120</v>
      </c>
      <c r="J186" s="169" t="s">
        <v>10</v>
      </c>
      <c r="K186" s="130" t="s">
        <v>120</v>
      </c>
      <c r="L186" s="169" t="s">
        <v>116</v>
      </c>
      <c r="M186" s="130" t="s">
        <v>120</v>
      </c>
      <c r="N186" s="169" t="s">
        <v>10</v>
      </c>
      <c r="O186" s="154" t="s">
        <v>120</v>
      </c>
      <c r="Q186" s="284"/>
      <c r="R186" s="285"/>
      <c r="S186" s="285"/>
      <c r="T186" s="285"/>
      <c r="U186" s="285"/>
      <c r="V186" s="285"/>
      <c r="W186" s="286"/>
      <c r="X186" s="199">
        <v>1</v>
      </c>
      <c r="Y186" s="262" t="str">
        <f t="array" ref="Y186">IF(ISERROR(INDEX($CA$2:$CB$200,SMALL(IF($CA$2:$CA$200=$A$175,ROW($CA$2:$CA$200)),ROW(7:7))-1,2)),"",INDEX($CA$2:$CB$200,SMALL(IF($CA$2:$CA$200=$A$175,ROW($CA$2:$CA$200)),ROW(7:7))-1,2))</f>
        <v/>
      </c>
      <c r="Z186" s="263"/>
      <c r="AA186" s="263"/>
      <c r="AB186" s="263"/>
      <c r="AC186" s="263"/>
      <c r="AD186" s="263"/>
      <c r="AE186" s="263"/>
      <c r="AF186" s="264"/>
      <c r="AH186" s="136">
        <v>0.125000000000004</v>
      </c>
      <c r="AI186" s="136" t="s">
        <v>10</v>
      </c>
      <c r="AJ186" s="136" t="s">
        <v>120</v>
      </c>
      <c r="AK186" s="136" t="s">
        <v>10</v>
      </c>
      <c r="AL186" s="136" t="s">
        <v>120</v>
      </c>
      <c r="AM186" s="136" t="s">
        <v>10</v>
      </c>
      <c r="AN186" s="136" t="s">
        <v>120</v>
      </c>
      <c r="AO186" s="136" t="s">
        <v>10</v>
      </c>
      <c r="AP186" s="136" t="s">
        <v>120</v>
      </c>
      <c r="AQ186" s="136" t="s">
        <v>10</v>
      </c>
      <c r="AR186" s="136" t="s">
        <v>120</v>
      </c>
      <c r="AS186" s="136" t="s">
        <v>116</v>
      </c>
      <c r="AT186" s="136" t="s">
        <v>120</v>
      </c>
      <c r="AU186" s="136" t="s">
        <v>10</v>
      </c>
      <c r="AV186" s="136" t="s">
        <v>120</v>
      </c>
      <c r="AX186" s="136" t="str">
        <f>IF(AI176="","",IF(B186="","",B186))</f>
        <v>HS</v>
      </c>
      <c r="AY186" s="136" t="str">
        <f>IF(AI176="","",IF(C186="","",C186))</f>
        <v>-</v>
      </c>
      <c r="AZ186" s="136" t="str">
        <f>IF(AI176="","",IF(D186="","",D186))</f>
        <v>HS</v>
      </c>
      <c r="BA186" s="136" t="str">
        <f>IF(AI176="","",IF(E186="","",E186))</f>
        <v>-</v>
      </c>
      <c r="BB186" s="136" t="str">
        <f>IF(AI176="","",IF(F186="","",F186))</f>
        <v>HS</v>
      </c>
      <c r="BC186" s="136" t="str">
        <f>IF(AI176="","",IF(G186="","",G186))</f>
        <v>-</v>
      </c>
      <c r="BD186" s="136" t="str">
        <f>IF(AI176="","",IF(H186="","",H186))</f>
        <v>HS</v>
      </c>
      <c r="BE186" s="136" t="str">
        <f>IF(AI176="","",IF(I186="","",I186))</f>
        <v>-</v>
      </c>
      <c r="BF186" s="136" t="str">
        <f>IF(AI176="","",IF(J186="","",J186))</f>
        <v>HS</v>
      </c>
      <c r="BG186" s="136" t="str">
        <f>IF(AI176="","",IF(K186="","",K186))</f>
        <v>-</v>
      </c>
      <c r="BH186" s="136" t="str">
        <f>IF(AI176="","",IF(L186="","",L186))</f>
        <v>PV</v>
      </c>
      <c r="BI186" s="136" t="str">
        <f>IF(AI176="","",IF(M186="","",M186))</f>
        <v>-</v>
      </c>
      <c r="BJ186" s="136" t="str">
        <f>IF(AI176="","",IF(N186="","",N186))</f>
        <v>HS</v>
      </c>
      <c r="BK186" s="136" t="str">
        <f>IF(AI176="","",IF(O186="","",O186))</f>
        <v>-</v>
      </c>
      <c r="BZ186" s="280"/>
      <c r="CA186" s="183" t="str">
        <f>'INFO BASE'!L249</f>
        <v>-</v>
      </c>
      <c r="CB186" s="183" t="str">
        <f>'INFO BASE'!M249</f>
        <v/>
      </c>
      <c r="CD186" s="136" t="str">
        <f t="shared" si="121"/>
        <v>IAC</v>
      </c>
      <c r="CR186" s="177" t="str">
        <f t="shared" si="112"/>
        <v>HS</v>
      </c>
      <c r="CS186" s="177" t="str">
        <f t="shared" si="113"/>
        <v>HS-</v>
      </c>
      <c r="CT186" s="177" t="str">
        <f t="shared" si="112"/>
        <v>HS</v>
      </c>
      <c r="CU186" s="177" t="str">
        <f t="shared" si="114"/>
        <v>HS-</v>
      </c>
      <c r="CV186" s="177" t="str">
        <f t="shared" si="112"/>
        <v>HS</v>
      </c>
      <c r="CW186" s="177" t="str">
        <f t="shared" si="115"/>
        <v>HS-</v>
      </c>
      <c r="CX186" s="177" t="str">
        <f t="shared" si="112"/>
        <v>HS</v>
      </c>
      <c r="CY186" s="177" t="str">
        <f t="shared" si="116"/>
        <v>HS-</v>
      </c>
      <c r="CZ186" s="177" t="str">
        <f t="shared" si="112"/>
        <v>HS</v>
      </c>
      <c r="DA186" s="177" t="str">
        <f t="shared" si="117"/>
        <v>HS-</v>
      </c>
      <c r="DB186" s="177" t="str">
        <f t="shared" si="112"/>
        <v>PV</v>
      </c>
      <c r="DC186" s="177">
        <f t="shared" si="118"/>
        <v>0</v>
      </c>
      <c r="DD186" s="177" t="str">
        <f t="shared" si="119"/>
        <v>HS</v>
      </c>
      <c r="DE186" s="177" t="str">
        <f t="shared" si="120"/>
        <v>HS-</v>
      </c>
    </row>
    <row r="187" spans="1:109" ht="18" customHeight="1" thickBot="1" x14ac:dyDescent="0.35">
      <c r="A187" s="81">
        <v>0.14583333333333801</v>
      </c>
      <c r="B187" s="166" t="s">
        <v>10</v>
      </c>
      <c r="C187" s="130" t="s">
        <v>120</v>
      </c>
      <c r="D187" s="169" t="s">
        <v>10</v>
      </c>
      <c r="E187" s="130" t="s">
        <v>120</v>
      </c>
      <c r="F187" s="169" t="s">
        <v>10</v>
      </c>
      <c r="G187" s="130" t="s">
        <v>120</v>
      </c>
      <c r="H187" s="169" t="s">
        <v>10</v>
      </c>
      <c r="I187" s="130" t="s">
        <v>120</v>
      </c>
      <c r="J187" s="169" t="s">
        <v>10</v>
      </c>
      <c r="K187" s="130" t="s">
        <v>120</v>
      </c>
      <c r="L187" s="169" t="s">
        <v>116</v>
      </c>
      <c r="M187" s="130" t="s">
        <v>120</v>
      </c>
      <c r="N187" s="169" t="s">
        <v>10</v>
      </c>
      <c r="O187" s="154" t="s">
        <v>120</v>
      </c>
      <c r="Q187" s="287"/>
      <c r="R187" s="288"/>
      <c r="S187" s="288"/>
      <c r="T187" s="288"/>
      <c r="U187" s="288"/>
      <c r="V187" s="288"/>
      <c r="W187" s="289"/>
      <c r="X187" s="199">
        <v>1</v>
      </c>
      <c r="Y187" s="265" t="str">
        <f t="array" ref="Y187">IF(ISERROR(INDEX($CA$2:$CB$200,SMALL(IF($CA$2:$CA$200=$A$175,ROW($CA$2:$CA$200)),ROW(8:8))-1,2)),"",INDEX($CA$2:$CB$200,SMALL(IF($CA$2:$CA$200=$A$175,ROW($CA$2:$CA$200)),ROW(8:8))-1,2))</f>
        <v/>
      </c>
      <c r="Z187" s="266"/>
      <c r="AA187" s="266"/>
      <c r="AB187" s="266"/>
      <c r="AC187" s="266"/>
      <c r="AD187" s="266"/>
      <c r="AE187" s="266"/>
      <c r="AF187" s="267"/>
      <c r="AH187" s="136">
        <v>0.14583333333333801</v>
      </c>
      <c r="AI187" s="136" t="s">
        <v>10</v>
      </c>
      <c r="AJ187" s="136" t="s">
        <v>120</v>
      </c>
      <c r="AK187" s="136" t="s">
        <v>10</v>
      </c>
      <c r="AL187" s="136" t="s">
        <v>120</v>
      </c>
      <c r="AM187" s="136" t="s">
        <v>10</v>
      </c>
      <c r="AN187" s="136" t="s">
        <v>120</v>
      </c>
      <c r="AO187" s="136" t="s">
        <v>10</v>
      </c>
      <c r="AP187" s="136" t="s">
        <v>120</v>
      </c>
      <c r="AQ187" s="136" t="s">
        <v>10</v>
      </c>
      <c r="AR187" s="136" t="s">
        <v>120</v>
      </c>
      <c r="AS187" s="136" t="s">
        <v>116</v>
      </c>
      <c r="AT187" s="136" t="s">
        <v>120</v>
      </c>
      <c r="AU187" s="136" t="s">
        <v>10</v>
      </c>
      <c r="AV187" s="136" t="s">
        <v>120</v>
      </c>
      <c r="AX187" s="136" t="str">
        <f>IF(AI176="","",IF(B187="","",B187))</f>
        <v>HS</v>
      </c>
      <c r="AY187" s="136" t="str">
        <f>IF(AI176="","",IF(C187="","",C187))</f>
        <v>-</v>
      </c>
      <c r="AZ187" s="136" t="str">
        <f>IF(AI176="","",IF(D187="","",D187))</f>
        <v>HS</v>
      </c>
      <c r="BA187" s="136" t="str">
        <f>IF(AI176="","",IF(E187="","",E187))</f>
        <v>-</v>
      </c>
      <c r="BB187" s="136" t="str">
        <f>IF(AI176="","",IF(F187="","",F187))</f>
        <v>HS</v>
      </c>
      <c r="BC187" s="136" t="str">
        <f>IF(AI176="","",IF(G187="","",G187))</f>
        <v>-</v>
      </c>
      <c r="BD187" s="136" t="str">
        <f>IF(AI176="","",IF(H187="","",H187))</f>
        <v>HS</v>
      </c>
      <c r="BE187" s="136" t="str">
        <f>IF(AI176="","",IF(I187="","",I187))</f>
        <v>-</v>
      </c>
      <c r="BF187" s="136" t="str">
        <f>IF(AI176="","",IF(J187="","",J187))</f>
        <v>HS</v>
      </c>
      <c r="BG187" s="136" t="str">
        <f>IF(AI176="","",IF(K187="","",K187))</f>
        <v>-</v>
      </c>
      <c r="BH187" s="136" t="str">
        <f>IF(AI176="","",IF(L187="","",L187))</f>
        <v>PV</v>
      </c>
      <c r="BI187" s="136" t="str">
        <f>IF(AI176="","",IF(M187="","",M187))</f>
        <v>-</v>
      </c>
      <c r="BJ187" s="136" t="str">
        <f>IF(AI176="","",IF(N187="","",N187))</f>
        <v>HS</v>
      </c>
      <c r="BK187" s="136" t="str">
        <f>IF(AI176="","",IF(O187="","",O187))</f>
        <v>-</v>
      </c>
      <c r="BZ187" s="280"/>
      <c r="CA187" s="183" t="str">
        <f>'INFO BASE'!L250</f>
        <v>-</v>
      </c>
      <c r="CB187" s="183" t="str">
        <f>'INFO BASE'!M250</f>
        <v/>
      </c>
      <c r="CD187" s="136" t="str">
        <f t="shared" si="121"/>
        <v>AL</v>
      </c>
      <c r="CR187" s="177" t="str">
        <f t="shared" si="112"/>
        <v>HS</v>
      </c>
      <c r="CS187" s="177" t="str">
        <f t="shared" si="113"/>
        <v>HS-</v>
      </c>
      <c r="CT187" s="177" t="str">
        <f t="shared" si="112"/>
        <v>HS</v>
      </c>
      <c r="CU187" s="177" t="str">
        <f t="shared" si="114"/>
        <v>HS-</v>
      </c>
      <c r="CV187" s="177" t="str">
        <f t="shared" si="112"/>
        <v>HS</v>
      </c>
      <c r="CW187" s="177" t="str">
        <f t="shared" si="115"/>
        <v>HS-</v>
      </c>
      <c r="CX187" s="177" t="str">
        <f t="shared" si="112"/>
        <v>HS</v>
      </c>
      <c r="CY187" s="177" t="str">
        <f t="shared" si="116"/>
        <v>HS-</v>
      </c>
      <c r="CZ187" s="177" t="str">
        <f t="shared" si="112"/>
        <v>HS</v>
      </c>
      <c r="DA187" s="177" t="str">
        <f t="shared" si="117"/>
        <v>HS-</v>
      </c>
      <c r="DB187" s="177" t="str">
        <f t="shared" si="112"/>
        <v>PV</v>
      </c>
      <c r="DC187" s="177">
        <f t="shared" si="118"/>
        <v>0</v>
      </c>
      <c r="DD187" s="177" t="str">
        <f t="shared" si="119"/>
        <v>HS</v>
      </c>
      <c r="DE187" s="177" t="str">
        <f t="shared" si="120"/>
        <v>HS-</v>
      </c>
    </row>
    <row r="188" spans="1:109" ht="18" customHeight="1" thickBot="1" x14ac:dyDescent="0.35">
      <c r="A188" s="81">
        <v>0.16666666666667199</v>
      </c>
      <c r="B188" s="166" t="s">
        <v>10</v>
      </c>
      <c r="C188" s="130" t="s">
        <v>120</v>
      </c>
      <c r="D188" s="169" t="s">
        <v>10</v>
      </c>
      <c r="E188" s="130" t="s">
        <v>120</v>
      </c>
      <c r="F188" s="169" t="s">
        <v>10</v>
      </c>
      <c r="G188" s="130" t="s">
        <v>120</v>
      </c>
      <c r="H188" s="169" t="s">
        <v>10</v>
      </c>
      <c r="I188" s="130" t="s">
        <v>120</v>
      </c>
      <c r="J188" s="169" t="s">
        <v>10</v>
      </c>
      <c r="K188" s="130" t="s">
        <v>120</v>
      </c>
      <c r="L188" s="169" t="s">
        <v>116</v>
      </c>
      <c r="M188" s="130" t="s">
        <v>120</v>
      </c>
      <c r="N188" s="169" t="s">
        <v>10</v>
      </c>
      <c r="O188" s="154" t="s">
        <v>120</v>
      </c>
      <c r="Q188" s="63"/>
      <c r="R188" s="64"/>
      <c r="S188" s="65"/>
      <c r="T188" s="65"/>
      <c r="U188" s="65"/>
      <c r="V188" s="65"/>
      <c r="W188" s="65"/>
      <c r="X188" s="199">
        <v>1</v>
      </c>
      <c r="Y188" s="59"/>
      <c r="Z188" s="59"/>
      <c r="AA188" s="59"/>
      <c r="AB188" s="59"/>
      <c r="AC188" s="59"/>
      <c r="AD188" s="59"/>
      <c r="AE188" s="59"/>
      <c r="AF188" s="59"/>
      <c r="AH188" s="136">
        <v>0.16666666666667199</v>
      </c>
      <c r="AI188" s="136" t="s">
        <v>10</v>
      </c>
      <c r="AJ188" s="136" t="s">
        <v>120</v>
      </c>
      <c r="AK188" s="136" t="s">
        <v>10</v>
      </c>
      <c r="AL188" s="136" t="s">
        <v>120</v>
      </c>
      <c r="AM188" s="136" t="s">
        <v>10</v>
      </c>
      <c r="AN188" s="136" t="s">
        <v>120</v>
      </c>
      <c r="AO188" s="136" t="s">
        <v>10</v>
      </c>
      <c r="AP188" s="136" t="s">
        <v>120</v>
      </c>
      <c r="AQ188" s="136" t="s">
        <v>10</v>
      </c>
      <c r="AR188" s="136" t="s">
        <v>120</v>
      </c>
      <c r="AS188" s="136" t="s">
        <v>116</v>
      </c>
      <c r="AT188" s="136" t="s">
        <v>120</v>
      </c>
      <c r="AU188" s="136" t="s">
        <v>10</v>
      </c>
      <c r="AV188" s="136" t="s">
        <v>120</v>
      </c>
      <c r="AX188" s="136" t="str">
        <f>IF(AI176="","",IF(B188="","",B188))</f>
        <v>HS</v>
      </c>
      <c r="AY188" s="136" t="str">
        <f>IF(AI176="","",IF(C188="","",C188))</f>
        <v>-</v>
      </c>
      <c r="AZ188" s="136" t="str">
        <f>IF(AI176="","",IF(D188="","",D188))</f>
        <v>HS</v>
      </c>
      <c r="BA188" s="136" t="str">
        <f>IF(AI176="","",IF(E188="","",E188))</f>
        <v>-</v>
      </c>
      <c r="BB188" s="136" t="str">
        <f>IF(AI176="","",IF(F188="","",F188))</f>
        <v>HS</v>
      </c>
      <c r="BC188" s="136" t="str">
        <f>IF(AI176="","",IF(G188="","",G188))</f>
        <v>-</v>
      </c>
      <c r="BD188" s="136" t="str">
        <f>IF(AI176="","",IF(H188="","",H188))</f>
        <v>HS</v>
      </c>
      <c r="BE188" s="136" t="str">
        <f>IF(AI176="","",IF(I188="","",I188))</f>
        <v>-</v>
      </c>
      <c r="BF188" s="136" t="str">
        <f>IF(AI176="","",IF(J188="","",J188))</f>
        <v>HS</v>
      </c>
      <c r="BG188" s="136" t="str">
        <f>IF(AI176="","",IF(K188="","",K188))</f>
        <v>-</v>
      </c>
      <c r="BH188" s="136" t="str">
        <f>IF(AI176="","",IF(L188="","",L188))</f>
        <v>PV</v>
      </c>
      <c r="BI188" s="136" t="str">
        <f>IF(AI176="","",IF(M188="","",M188))</f>
        <v>-</v>
      </c>
      <c r="BJ188" s="136" t="str">
        <f>IF(AI176="","",IF(N188="","",N188))</f>
        <v>HS</v>
      </c>
      <c r="BK188" s="136" t="str">
        <f>IF(AI176="","",IF(O188="","",O188))</f>
        <v>-</v>
      </c>
      <c r="BM188" s="136" t="str">
        <f>BO188</f>
        <v>EA</v>
      </c>
      <c r="BN188" s="136" t="str">
        <f t="shared" ref="BN188:BO224" si="122">Q191</f>
        <v>Estudo Autónomo</v>
      </c>
      <c r="BO188" s="136" t="str">
        <f t="shared" si="122"/>
        <v>EA</v>
      </c>
      <c r="BP188" s="136">
        <f>COUNTIFS(AX180:BK227,BO188)*0.5</f>
        <v>10</v>
      </c>
      <c r="BQ188" s="136" t="str">
        <f t="shared" ref="BQ188:BR224" si="123">BN188</f>
        <v>Estudo Autónomo</v>
      </c>
      <c r="BR188" s="136" t="str">
        <f t="shared" si="123"/>
        <v>EA</v>
      </c>
      <c r="BS188" s="136" t="str">
        <f>BQ188</f>
        <v>Estudo Autónomo</v>
      </c>
      <c r="BT188" s="136">
        <f>SUMIFS(V:V,Q:Q,BQ188,R:R,BR188)</f>
        <v>86.5</v>
      </c>
      <c r="BU188" s="136">
        <f>SUMIFS(BP:BP,BN:BN,BQ188,BO:BO,BR188)</f>
        <v>95.5</v>
      </c>
      <c r="BZ188" s="280"/>
      <c r="CA188" s="183" t="str">
        <f>'INFO BASE'!L251</f>
        <v>-</v>
      </c>
      <c r="CB188" s="183" t="str">
        <f>'INFO BASE'!M251</f>
        <v/>
      </c>
      <c r="CD188" s="136" t="str">
        <f t="shared" si="121"/>
        <v>CDI</v>
      </c>
      <c r="CR188" s="177" t="str">
        <f t="shared" si="112"/>
        <v>HS</v>
      </c>
      <c r="CS188" s="177" t="str">
        <f t="shared" si="113"/>
        <v>HS-</v>
      </c>
      <c r="CT188" s="177" t="str">
        <f t="shared" si="112"/>
        <v>HS</v>
      </c>
      <c r="CU188" s="177" t="str">
        <f t="shared" si="114"/>
        <v>HS-</v>
      </c>
      <c r="CV188" s="177" t="str">
        <f t="shared" si="112"/>
        <v>HS</v>
      </c>
      <c r="CW188" s="177" t="str">
        <f t="shared" si="115"/>
        <v>HS-</v>
      </c>
      <c r="CX188" s="177" t="str">
        <f t="shared" si="112"/>
        <v>HS</v>
      </c>
      <c r="CY188" s="177" t="str">
        <f t="shared" si="116"/>
        <v>HS-</v>
      </c>
      <c r="CZ188" s="177" t="str">
        <f t="shared" si="112"/>
        <v>HS</v>
      </c>
      <c r="DA188" s="177" t="str">
        <f t="shared" si="117"/>
        <v>HS-</v>
      </c>
      <c r="DB188" s="177" t="str">
        <f t="shared" si="112"/>
        <v>PV</v>
      </c>
      <c r="DC188" s="177">
        <f t="shared" si="118"/>
        <v>0</v>
      </c>
      <c r="DD188" s="177" t="str">
        <f t="shared" si="119"/>
        <v>HS</v>
      </c>
      <c r="DE188" s="177" t="str">
        <f t="shared" si="120"/>
        <v>HS-</v>
      </c>
    </row>
    <row r="189" spans="1:109" ht="18" customHeight="1" x14ac:dyDescent="0.3">
      <c r="A189" s="81">
        <v>0.187500000000006</v>
      </c>
      <c r="B189" s="166" t="s">
        <v>10</v>
      </c>
      <c r="C189" s="130" t="s">
        <v>120</v>
      </c>
      <c r="D189" s="169" t="s">
        <v>10</v>
      </c>
      <c r="E189" s="130" t="s">
        <v>120</v>
      </c>
      <c r="F189" s="169" t="s">
        <v>10</v>
      </c>
      <c r="G189" s="130" t="s">
        <v>120</v>
      </c>
      <c r="H189" s="169" t="s">
        <v>10</v>
      </c>
      <c r="I189" s="130" t="s">
        <v>120</v>
      </c>
      <c r="J189" s="169" t="s">
        <v>10</v>
      </c>
      <c r="K189" s="130" t="s">
        <v>120</v>
      </c>
      <c r="L189" s="169" t="s">
        <v>116</v>
      </c>
      <c r="M189" s="130" t="s">
        <v>120</v>
      </c>
      <c r="N189" s="169" t="s">
        <v>10</v>
      </c>
      <c r="O189" s="154" t="s">
        <v>120</v>
      </c>
      <c r="Q189" s="294" t="s">
        <v>14</v>
      </c>
      <c r="R189" s="290" t="s">
        <v>88</v>
      </c>
      <c r="S189" s="290" t="s">
        <v>87</v>
      </c>
      <c r="T189" s="290" t="s">
        <v>89</v>
      </c>
      <c r="U189" s="290" t="s">
        <v>41</v>
      </c>
      <c r="V189" s="290" t="s">
        <v>91</v>
      </c>
      <c r="W189" s="292" t="s">
        <v>90</v>
      </c>
      <c r="X189" s="199">
        <v>1</v>
      </c>
      <c r="Y189" s="302" t="s">
        <v>21</v>
      </c>
      <c r="Z189" s="303"/>
      <c r="AA189" s="303"/>
      <c r="AB189" s="303"/>
      <c r="AC189" s="303"/>
      <c r="AD189" s="303"/>
      <c r="AE189" s="303"/>
      <c r="AF189" s="304"/>
      <c r="AH189" s="136">
        <v>0.187500000000006</v>
      </c>
      <c r="AI189" s="136" t="s">
        <v>10</v>
      </c>
      <c r="AJ189" s="136" t="s">
        <v>120</v>
      </c>
      <c r="AK189" s="136" t="s">
        <v>10</v>
      </c>
      <c r="AL189" s="136" t="s">
        <v>120</v>
      </c>
      <c r="AM189" s="136" t="s">
        <v>10</v>
      </c>
      <c r="AN189" s="136" t="s">
        <v>120</v>
      </c>
      <c r="AO189" s="136" t="s">
        <v>10</v>
      </c>
      <c r="AP189" s="136" t="s">
        <v>120</v>
      </c>
      <c r="AQ189" s="136" t="s">
        <v>10</v>
      </c>
      <c r="AR189" s="136" t="s">
        <v>120</v>
      </c>
      <c r="AS189" s="136" t="s">
        <v>10</v>
      </c>
      <c r="AT189" s="136" t="s">
        <v>120</v>
      </c>
      <c r="AU189" s="136" t="s">
        <v>10</v>
      </c>
      <c r="AV189" s="136" t="s">
        <v>120</v>
      </c>
      <c r="AX189" s="136" t="str">
        <f>IF(AI176="","",IF(B189="","",B189))</f>
        <v>HS</v>
      </c>
      <c r="AY189" s="136" t="str">
        <f>IF(AI176="","",IF(C189="","",C189))</f>
        <v>-</v>
      </c>
      <c r="AZ189" s="136" t="str">
        <f>IF(AI176="","",IF(D189="","",D189))</f>
        <v>HS</v>
      </c>
      <c r="BA189" s="136" t="str">
        <f>IF(AI176="","",IF(E189="","",E189))</f>
        <v>-</v>
      </c>
      <c r="BB189" s="136" t="str">
        <f>IF(AI176="","",IF(F189="","",F189))</f>
        <v>HS</v>
      </c>
      <c r="BC189" s="136" t="str">
        <f>IF(AI176="","",IF(G189="","",G189))</f>
        <v>-</v>
      </c>
      <c r="BD189" s="136" t="str">
        <f>IF(AI176="","",IF(H189="","",H189))</f>
        <v>HS</v>
      </c>
      <c r="BE189" s="136" t="str">
        <f>IF(AI176="","",IF(I189="","",I189))</f>
        <v>-</v>
      </c>
      <c r="BF189" s="136" t="str">
        <f>IF(AI176="","",IF(J189="","",J189))</f>
        <v>HS</v>
      </c>
      <c r="BG189" s="136" t="str">
        <f>IF(AI176="","",IF(K189="","",K189))</f>
        <v>-</v>
      </c>
      <c r="BH189" s="136" t="str">
        <f>IF(AI176="","",IF(L189="","",L189))</f>
        <v>PV</v>
      </c>
      <c r="BI189" s="136" t="str">
        <f>IF(AI176="","",IF(M189="","",M189))</f>
        <v>-</v>
      </c>
      <c r="BJ189" s="136" t="str">
        <f>IF(AI176="","",IF(N189="","",N189))</f>
        <v>HS</v>
      </c>
      <c r="BK189" s="136" t="str">
        <f>IF(AI176="","",IF(O189="","",O189))</f>
        <v>-</v>
      </c>
      <c r="BM189" s="136" t="str">
        <f>BM188</f>
        <v>EA</v>
      </c>
      <c r="BN189" s="136" t="str">
        <f t="shared" si="122"/>
        <v>Estudo Autónomo</v>
      </c>
      <c r="BO189" s="136" t="str">
        <f t="shared" si="122"/>
        <v>FP</v>
      </c>
      <c r="BP189" s="136">
        <f>(COUNTIFS(AX180:AX227,BM189,AY180:AY227,BO189)+COUNTIFS(AZ180:AZ227,BM189,BA180:BA227,BO189)+COUNTIFS(BB180:BB227,BM189,BC180:BC227,BO189)+COUNTIFS(BD180:BD227,BM189,BE180:BE227,BO189)+COUNTIFS(BF180:BF227,BM189,BG180:BG227,BO189)+COUNTIFS(BH180:BH227,BM189,BI180:BI227,BO189)+COUNTIFS(BJ180:BJ227,BM189,BK180:BK227,BO189))*0.5</f>
        <v>3</v>
      </c>
      <c r="BQ189" s="136" t="str">
        <f t="shared" si="123"/>
        <v>Estudo Autónomo</v>
      </c>
      <c r="BR189" s="136" t="str">
        <f>$R$20</f>
        <v>EA</v>
      </c>
      <c r="BS189" s="136" t="str">
        <f t="shared" ref="BS189:BS224" si="124">BQ189</f>
        <v>Estudo Autónomo</v>
      </c>
      <c r="BT189" s="136">
        <f>SUMIFS(V:V,Q:Q,BQ189,R:R,BR189)</f>
        <v>86.5</v>
      </c>
      <c r="BU189" s="136">
        <f>SUMIFS(BP:BP,BN:BN,BQ189,BO:BO,BR189)</f>
        <v>95.5</v>
      </c>
      <c r="BZ189" s="280"/>
      <c r="CA189" s="183" t="str">
        <f>'INFO BASE'!L252</f>
        <v>-</v>
      </c>
      <c r="CB189" s="183" t="str">
        <f>'INFO BASE'!M252</f>
        <v/>
      </c>
      <c r="CD189" s="136" t="str">
        <f t="shared" si="121"/>
        <v/>
      </c>
      <c r="CR189" s="177" t="str">
        <f t="shared" si="112"/>
        <v>HS</v>
      </c>
      <c r="CS189" s="177" t="str">
        <f t="shared" si="113"/>
        <v>HS-</v>
      </c>
      <c r="CT189" s="177" t="str">
        <f t="shared" si="112"/>
        <v>HS</v>
      </c>
      <c r="CU189" s="177" t="str">
        <f t="shared" si="114"/>
        <v>HS-</v>
      </c>
      <c r="CV189" s="177" t="str">
        <f t="shared" si="112"/>
        <v>HS</v>
      </c>
      <c r="CW189" s="177" t="str">
        <f t="shared" si="115"/>
        <v>HS-</v>
      </c>
      <c r="CX189" s="177" t="str">
        <f t="shared" si="112"/>
        <v>HS</v>
      </c>
      <c r="CY189" s="177" t="str">
        <f t="shared" si="116"/>
        <v>HS-</v>
      </c>
      <c r="CZ189" s="177" t="str">
        <f t="shared" si="112"/>
        <v>HS</v>
      </c>
      <c r="DA189" s="177" t="str">
        <f t="shared" si="117"/>
        <v>HS-</v>
      </c>
      <c r="DB189" s="177" t="str">
        <f t="shared" si="112"/>
        <v>PV</v>
      </c>
      <c r="DC189" s="177">
        <f t="shared" si="118"/>
        <v>0</v>
      </c>
      <c r="DD189" s="177" t="str">
        <f t="shared" si="119"/>
        <v>HS</v>
      </c>
      <c r="DE189" s="177" t="str">
        <f t="shared" si="120"/>
        <v>HS-</v>
      </c>
    </row>
    <row r="190" spans="1:109" ht="18" customHeight="1" thickBot="1" x14ac:dyDescent="0.35">
      <c r="A190" s="81">
        <v>0.20833333333334</v>
      </c>
      <c r="B190" s="166" t="s">
        <v>10</v>
      </c>
      <c r="C190" s="130" t="s">
        <v>120</v>
      </c>
      <c r="D190" s="169" t="s">
        <v>10</v>
      </c>
      <c r="E190" s="130" t="s">
        <v>120</v>
      </c>
      <c r="F190" s="169" t="s">
        <v>10</v>
      </c>
      <c r="G190" s="130" t="s">
        <v>120</v>
      </c>
      <c r="H190" s="169" t="s">
        <v>10</v>
      </c>
      <c r="I190" s="130" t="s">
        <v>120</v>
      </c>
      <c r="J190" s="169" t="s">
        <v>10</v>
      </c>
      <c r="K190" s="130" t="s">
        <v>120</v>
      </c>
      <c r="L190" s="169" t="s">
        <v>116</v>
      </c>
      <c r="M190" s="130" t="s">
        <v>120</v>
      </c>
      <c r="N190" s="169" t="s">
        <v>10</v>
      </c>
      <c r="O190" s="154" t="s">
        <v>120</v>
      </c>
      <c r="Q190" s="295"/>
      <c r="R190" s="291"/>
      <c r="S190" s="291"/>
      <c r="T190" s="291"/>
      <c r="U190" s="291"/>
      <c r="V190" s="291"/>
      <c r="W190" s="293"/>
      <c r="X190" s="199">
        <v>1</v>
      </c>
      <c r="Y190" s="305"/>
      <c r="Z190" s="306"/>
      <c r="AA190" s="306"/>
      <c r="AB190" s="306"/>
      <c r="AC190" s="306"/>
      <c r="AD190" s="306"/>
      <c r="AE190" s="306"/>
      <c r="AF190" s="307"/>
      <c r="AH190" s="136">
        <v>0.20833333333334</v>
      </c>
      <c r="AI190" s="136" t="s">
        <v>10</v>
      </c>
      <c r="AJ190" s="136" t="s">
        <v>120</v>
      </c>
      <c r="AK190" s="136" t="s">
        <v>10</v>
      </c>
      <c r="AL190" s="136" t="s">
        <v>120</v>
      </c>
      <c r="AM190" s="136" t="s">
        <v>10</v>
      </c>
      <c r="AN190" s="136" t="s">
        <v>120</v>
      </c>
      <c r="AO190" s="136" t="s">
        <v>10</v>
      </c>
      <c r="AP190" s="136" t="s">
        <v>120</v>
      </c>
      <c r="AQ190" s="136" t="s">
        <v>10</v>
      </c>
      <c r="AR190" s="136" t="s">
        <v>120</v>
      </c>
      <c r="AS190" s="136" t="s">
        <v>10</v>
      </c>
      <c r="AT190" s="136" t="s">
        <v>120</v>
      </c>
      <c r="AU190" s="136" t="s">
        <v>10</v>
      </c>
      <c r="AV190" s="136" t="s">
        <v>120</v>
      </c>
      <c r="AX190" s="136" t="str">
        <f>IF(AI176="","",IF(B190="","",B190))</f>
        <v>HS</v>
      </c>
      <c r="AY190" s="136" t="str">
        <f>IF(AI176="","",IF(C190="","",C190))</f>
        <v>-</v>
      </c>
      <c r="AZ190" s="136" t="str">
        <f>IF(AI176="","",IF(D190="","",D190))</f>
        <v>HS</v>
      </c>
      <c r="BA190" s="136" t="str">
        <f>IF(AI176="","",IF(E190="","",E190))</f>
        <v>-</v>
      </c>
      <c r="BB190" s="136" t="str">
        <f>IF(AI176="","",IF(F190="","",F190))</f>
        <v>HS</v>
      </c>
      <c r="BC190" s="136" t="str">
        <f>IF(AI176="","",IF(G190="","",G190))</f>
        <v>-</v>
      </c>
      <c r="BD190" s="136" t="str">
        <f>IF(AI176="","",IF(H190="","",H190))</f>
        <v>HS</v>
      </c>
      <c r="BE190" s="136" t="str">
        <f>IF(AI176="","",IF(I190="","",I190))</f>
        <v>-</v>
      </c>
      <c r="BF190" s="136" t="str">
        <f>IF(AI176="","",IF(J190="","",J190))</f>
        <v>HS</v>
      </c>
      <c r="BG190" s="136" t="str">
        <f>IF(AI176="","",IF(K190="","",K190))</f>
        <v>-</v>
      </c>
      <c r="BH190" s="136" t="str">
        <f>IF(AI176="","",IF(L190="","",L190))</f>
        <v>PV</v>
      </c>
      <c r="BI190" s="136" t="str">
        <f>IF(AI176="","",IF(M190="","",M190))</f>
        <v>-</v>
      </c>
      <c r="BJ190" s="136" t="str">
        <f>IF(AI176="","",IF(N190="","",N190))</f>
        <v>HS</v>
      </c>
      <c r="BK190" s="136" t="str">
        <f>IF(AI176="","",IF(O190="","",O190))</f>
        <v>-</v>
      </c>
      <c r="BM190" s="136" t="str">
        <f t="shared" ref="BM190:BM194" si="125">BM189</f>
        <v>EA</v>
      </c>
      <c r="BN190" s="136" t="str">
        <f t="shared" si="122"/>
        <v>Estudo Autónomo</v>
      </c>
      <c r="BO190" s="136" t="str">
        <f t="shared" si="122"/>
        <v>IEI</v>
      </c>
      <c r="BP190" s="136">
        <f>(COUNTIFS(AX180:AX227,BM190,AY180:AY227,BO190)+COUNTIFS(AZ180:AZ227,BM190,BA180:BA227,BO190)+COUNTIFS(BB180:BB227,BM190,BC180:BC227,BO190)+COUNTIFS(BD180:BD227,BM190,BE180:BE227,BO190)+COUNTIFS(BF180:BF227,BM190,BG180:BG227,BO190)+COUNTIFS(BH180:BH227,BM190,BI180:BI227,BO190)+COUNTIFS(BJ180:BJ227,BM190,BK180:BK227,BO190))*0.5</f>
        <v>0</v>
      </c>
      <c r="BQ190" s="136" t="str">
        <f t="shared" si="123"/>
        <v>Estudo Autónomo</v>
      </c>
      <c r="BR190" s="136" t="str">
        <f t="shared" si="123"/>
        <v>IEI</v>
      </c>
      <c r="BS190" s="136" t="str">
        <f t="shared" si="124"/>
        <v>Estudo Autónomo</v>
      </c>
      <c r="BT190" s="136">
        <f>SUMIFS(V:V,Q:Q,BQ190,R:R,BR190)</f>
        <v>20</v>
      </c>
      <c r="BU190" s="136">
        <f>SUMIFS(BP:BP,BN:BN,BQ190,BO:BO,BR190)</f>
        <v>36.5</v>
      </c>
      <c r="BZ190" s="280"/>
      <c r="CA190" s="183" t="str">
        <f>'INFO BASE'!L253</f>
        <v>-</v>
      </c>
      <c r="CB190" s="183" t="str">
        <f>'INFO BASE'!M253</f>
        <v/>
      </c>
      <c r="CD190" s="136" t="str">
        <f>IF('INFO BASE'!E204="","",'INFO BASE'!E204)</f>
        <v/>
      </c>
      <c r="CR190" s="177" t="str">
        <f t="shared" si="112"/>
        <v>HS</v>
      </c>
      <c r="CS190" s="177" t="str">
        <f t="shared" si="113"/>
        <v>HS-</v>
      </c>
      <c r="CT190" s="177" t="str">
        <f t="shared" si="112"/>
        <v>HS</v>
      </c>
      <c r="CU190" s="177" t="str">
        <f t="shared" si="114"/>
        <v>HS-</v>
      </c>
      <c r="CV190" s="177" t="str">
        <f t="shared" si="112"/>
        <v>HS</v>
      </c>
      <c r="CW190" s="177" t="str">
        <f t="shared" si="115"/>
        <v>HS-</v>
      </c>
      <c r="CX190" s="177" t="str">
        <f t="shared" si="112"/>
        <v>HS</v>
      </c>
      <c r="CY190" s="177" t="str">
        <f t="shared" si="116"/>
        <v>HS-</v>
      </c>
      <c r="CZ190" s="177" t="str">
        <f t="shared" si="112"/>
        <v>HS</v>
      </c>
      <c r="DA190" s="177" t="str">
        <f t="shared" si="117"/>
        <v>HS-</v>
      </c>
      <c r="DB190" s="177" t="str">
        <f t="shared" si="112"/>
        <v>PV</v>
      </c>
      <c r="DC190" s="177">
        <f t="shared" si="118"/>
        <v>0</v>
      </c>
      <c r="DD190" s="177" t="str">
        <f t="shared" si="119"/>
        <v>HS</v>
      </c>
      <c r="DE190" s="177" t="str">
        <f t="shared" si="120"/>
        <v>HS-</v>
      </c>
    </row>
    <row r="191" spans="1:109" ht="18" customHeight="1" x14ac:dyDescent="0.3">
      <c r="A191" s="81">
        <v>0.22916666666667401</v>
      </c>
      <c r="B191" s="166" t="s">
        <v>10</v>
      </c>
      <c r="C191" s="130" t="s">
        <v>120</v>
      </c>
      <c r="D191" s="169" t="s">
        <v>10</v>
      </c>
      <c r="E191" s="130" t="s">
        <v>120</v>
      </c>
      <c r="F191" s="169" t="s">
        <v>10</v>
      </c>
      <c r="G191" s="130" t="s">
        <v>120</v>
      </c>
      <c r="H191" s="169" t="s">
        <v>10</v>
      </c>
      <c r="I191" s="130" t="s">
        <v>120</v>
      </c>
      <c r="J191" s="169" t="s">
        <v>10</v>
      </c>
      <c r="K191" s="130" t="s">
        <v>120</v>
      </c>
      <c r="L191" s="169" t="s">
        <v>116</v>
      </c>
      <c r="M191" s="130" t="s">
        <v>120</v>
      </c>
      <c r="N191" s="169" t="s">
        <v>10</v>
      </c>
      <c r="O191" s="154" t="s">
        <v>120</v>
      </c>
      <c r="P191" s="6">
        <v>0</v>
      </c>
      <c r="Q191" s="109" t="str">
        <f>IF('INFO BASE'!$C$17="","",'INFO BASE'!$C$17)</f>
        <v>Estudo Autónomo</v>
      </c>
      <c r="R191" s="82" t="str">
        <f>R134</f>
        <v>EA</v>
      </c>
      <c r="S191" s="83">
        <f t="shared" ref="S191:S227" si="126">IFERROR((U191/T191)-1,"-")</f>
        <v>-0.47368421052631582</v>
      </c>
      <c r="T191" s="84">
        <f>IF(VLOOKUP(Q191,'INFO BASE'!$B$40:$I$54,IF(R191='INFO BASE'!$B$32,3,IF(R191='INFO BASE'!$B$33,4,IF(R191='INFO BASE'!$B$34,5,IF(R191='INFO BASE'!$B$35,6,IF(R191='INFO BASE'!$B$36,7,IF(R191='INFO BASE'!$B$37,8,2)))))),0)=0,"",VLOOKUP(Q191,'INFO BASE'!$B$40:$I$54,IF(R191='INFO BASE'!$B$32,3,IF(R191='INFO BASE'!$B$33,4,IF(R191='INFO BASE'!$B$34,5,IF(R191='INFO BASE'!$B$35,6,IF(R191='INFO BASE'!$B$36,7,IF(R191='INFO BASE'!$B$37,8,2)))))),0))</f>
        <v>19</v>
      </c>
      <c r="U191" s="84">
        <f>IF(R191="","",COUNTIFS(SEMANA4,R191)*0.5)</f>
        <v>10</v>
      </c>
      <c r="V191" s="84">
        <f>IF(R191="","",COUNTIFS(AI180:AV227,R191)*0.5)</f>
        <v>12</v>
      </c>
      <c r="W191" s="85">
        <f>IF(AH176="","-",IF(V191=0,U191,IFERROR((U191/V191)-1,"-")))</f>
        <v>-0.16666666666666663</v>
      </c>
      <c r="X191" s="200">
        <f t="shared" ref="X191:X227" si="127">IFERROR(IF(ABS(W191)&gt;P191,1,0),0)</f>
        <v>1</v>
      </c>
      <c r="Y191" s="296" t="s">
        <v>247</v>
      </c>
      <c r="Z191" s="297"/>
      <c r="AA191" s="297"/>
      <c r="AB191" s="297"/>
      <c r="AC191" s="297"/>
      <c r="AD191" s="297"/>
      <c r="AE191" s="297"/>
      <c r="AF191" s="298"/>
      <c r="AH191" s="136">
        <v>0.22916666666667401</v>
      </c>
      <c r="AI191" s="136" t="s">
        <v>10</v>
      </c>
      <c r="AJ191" s="136" t="s">
        <v>120</v>
      </c>
      <c r="AK191" s="136" t="s">
        <v>10</v>
      </c>
      <c r="AL191" s="136" t="s">
        <v>120</v>
      </c>
      <c r="AM191" s="136" t="s">
        <v>10</v>
      </c>
      <c r="AN191" s="136" t="s">
        <v>120</v>
      </c>
      <c r="AO191" s="136" t="s">
        <v>10</v>
      </c>
      <c r="AP191" s="136" t="s">
        <v>120</v>
      </c>
      <c r="AQ191" s="136" t="s">
        <v>10</v>
      </c>
      <c r="AR191" s="136" t="s">
        <v>120</v>
      </c>
      <c r="AS191" s="136" t="s">
        <v>10</v>
      </c>
      <c r="AT191" s="136" t="s">
        <v>120</v>
      </c>
      <c r="AU191" s="136" t="s">
        <v>10</v>
      </c>
      <c r="AV191" s="136" t="s">
        <v>120</v>
      </c>
      <c r="AX191" s="136" t="str">
        <f>IF(AI176="","",IF(B191="","",B191))</f>
        <v>HS</v>
      </c>
      <c r="AY191" s="136" t="str">
        <f>IF(AI176="","",IF(C191="","",C191))</f>
        <v>-</v>
      </c>
      <c r="AZ191" s="136" t="str">
        <f>IF(AI176="","",IF(D191="","",D191))</f>
        <v>HS</v>
      </c>
      <c r="BA191" s="136" t="str">
        <f>IF(AI176="","",IF(E191="","",E191))</f>
        <v>-</v>
      </c>
      <c r="BB191" s="136" t="str">
        <f>IF(AI176="","",IF(F191="","",F191))</f>
        <v>HS</v>
      </c>
      <c r="BC191" s="136" t="str">
        <f>IF(AI176="","",IF(G191="","",G191))</f>
        <v>-</v>
      </c>
      <c r="BD191" s="136" t="str">
        <f>IF(AI176="","",IF(H191="","",H191))</f>
        <v>HS</v>
      </c>
      <c r="BE191" s="136" t="str">
        <f>IF(AI176="","",IF(I191="","",I191))</f>
        <v>-</v>
      </c>
      <c r="BF191" s="136" t="str">
        <f>IF(AI176="","",IF(J191="","",J191))</f>
        <v>HS</v>
      </c>
      <c r="BG191" s="136" t="str">
        <f>IF(AI176="","",IF(K191="","",K191))</f>
        <v>-</v>
      </c>
      <c r="BH191" s="136" t="str">
        <f>IF(AI176="","",IF(L191="","",L191))</f>
        <v>PV</v>
      </c>
      <c r="BI191" s="136" t="str">
        <f>IF(AI176="","",IF(M191="","",M191))</f>
        <v>-</v>
      </c>
      <c r="BJ191" s="136" t="str">
        <f>IF(AI176="","",IF(N191="","",N191))</f>
        <v>HS</v>
      </c>
      <c r="BK191" s="136" t="str">
        <f>IF(AI176="","",IF(O191="","",O191))</f>
        <v>-</v>
      </c>
      <c r="BM191" s="136" t="str">
        <f t="shared" si="125"/>
        <v>EA</v>
      </c>
      <c r="BN191" s="136" t="str">
        <f t="shared" si="122"/>
        <v>Estudo Autónomo</v>
      </c>
      <c r="BO191" s="136" t="str">
        <f t="shared" si="122"/>
        <v>IAC</v>
      </c>
      <c r="BP191" s="136">
        <f>(COUNTIFS(AX180:AX227,BM191,AY180:AY227,BO191)+COUNTIFS(AZ180:AZ227,BM191,BA180:BA227,BO191)+COUNTIFS(BB180:BB227,BM191,BC180:BC227,BO191)+COUNTIFS(BD180:BD227,BM191,BE180:BE227,BO191)+COUNTIFS(BF180:BF227,BM191,BG180:BG227,BO191)+COUNTIFS(BH180:BH227,BM191,BI180:BI227,BO191)+COUNTIFS(BJ180:BJ227,BM191,BK180:BK227,BO191))*0.5</f>
        <v>0</v>
      </c>
      <c r="BQ191" s="136" t="str">
        <f t="shared" si="123"/>
        <v>Estudo Autónomo</v>
      </c>
      <c r="BR191" s="136" t="str">
        <f t="shared" si="123"/>
        <v>IAC</v>
      </c>
      <c r="BS191" s="136" t="str">
        <f t="shared" si="124"/>
        <v>Estudo Autónomo</v>
      </c>
      <c r="BT191" s="136">
        <f>SUMIFS(V:V,Q:Q,BQ191,R:R,BO189)</f>
        <v>28</v>
      </c>
      <c r="BU191" s="136">
        <f>SUMIFS(BP:BP,BN:BN,BQ191,BO:BO,BO189)</f>
        <v>22.5</v>
      </c>
      <c r="BZ191" s="280"/>
      <c r="CA191" s="183" t="str">
        <f>'INFO BASE'!L254</f>
        <v>-</v>
      </c>
      <c r="CB191" s="183" t="str">
        <f>'INFO BASE'!M254</f>
        <v/>
      </c>
      <c r="CD191" s="136" t="str">
        <f>IF('INFO BASE'!E205="","",'INFO BASE'!E205)</f>
        <v/>
      </c>
      <c r="CR191" s="177" t="str">
        <f t="shared" si="112"/>
        <v>HS</v>
      </c>
      <c r="CS191" s="177" t="str">
        <f t="shared" si="113"/>
        <v>HS-</v>
      </c>
      <c r="CT191" s="177" t="str">
        <f t="shared" si="112"/>
        <v>HS</v>
      </c>
      <c r="CU191" s="177" t="str">
        <f t="shared" si="114"/>
        <v>HS-</v>
      </c>
      <c r="CV191" s="177" t="str">
        <f t="shared" si="112"/>
        <v>HS</v>
      </c>
      <c r="CW191" s="177" t="str">
        <f t="shared" si="115"/>
        <v>HS-</v>
      </c>
      <c r="CX191" s="177" t="str">
        <f t="shared" si="112"/>
        <v>HS</v>
      </c>
      <c r="CY191" s="177" t="str">
        <f t="shared" si="116"/>
        <v>HS-</v>
      </c>
      <c r="CZ191" s="177" t="str">
        <f t="shared" si="112"/>
        <v>HS</v>
      </c>
      <c r="DA191" s="177" t="str">
        <f t="shared" si="117"/>
        <v>HS-</v>
      </c>
      <c r="DB191" s="177" t="str">
        <f t="shared" si="112"/>
        <v>PV</v>
      </c>
      <c r="DC191" s="177">
        <f t="shared" si="118"/>
        <v>0</v>
      </c>
      <c r="DD191" s="177" t="str">
        <f t="shared" si="119"/>
        <v>HS</v>
      </c>
      <c r="DE191" s="177" t="str">
        <f t="shared" si="120"/>
        <v>HS-</v>
      </c>
    </row>
    <row r="192" spans="1:109" ht="18" customHeight="1" x14ac:dyDescent="0.3">
      <c r="A192" s="81">
        <v>0.25000000000000799</v>
      </c>
      <c r="B192" s="166" t="s">
        <v>10</v>
      </c>
      <c r="C192" s="130" t="s">
        <v>120</v>
      </c>
      <c r="D192" s="169" t="s">
        <v>10</v>
      </c>
      <c r="E192" s="130" t="s">
        <v>120</v>
      </c>
      <c r="F192" s="169" t="s">
        <v>10</v>
      </c>
      <c r="G192" s="130" t="s">
        <v>120</v>
      </c>
      <c r="H192" s="169" t="s">
        <v>10</v>
      </c>
      <c r="I192" s="130" t="s">
        <v>120</v>
      </c>
      <c r="J192" s="169" t="s">
        <v>10</v>
      </c>
      <c r="K192" s="130" t="s">
        <v>120</v>
      </c>
      <c r="L192" s="169" t="s">
        <v>116</v>
      </c>
      <c r="M192" s="130" t="s">
        <v>120</v>
      </c>
      <c r="N192" s="169" t="s">
        <v>10</v>
      </c>
      <c r="O192" s="154" t="s">
        <v>120</v>
      </c>
      <c r="P192" s="6">
        <v>0</v>
      </c>
      <c r="Q192" s="110" t="str">
        <f t="shared" ref="Q192:Q197" si="128">Q191</f>
        <v>Estudo Autónomo</v>
      </c>
      <c r="R192" s="105" t="str">
        <f t="shared" ref="R192:R227" si="129">R135</f>
        <v>FP</v>
      </c>
      <c r="S192" s="88">
        <f t="shared" si="126"/>
        <v>-0.4</v>
      </c>
      <c r="T192" s="89">
        <f>IF(VLOOKUP(Q192,'INFO BASE'!$B$40:$I$54,IF(R192='INFO BASE'!$B$32,3,IF(R192='INFO BASE'!$B$33,4,IF(R192='INFO BASE'!$B$34,5,IF(R192='INFO BASE'!$B$35,6,IF(R192='INFO BASE'!$B$36,7,IF(R192='INFO BASE'!$B$37,8,2)))))),0)=0,"",VLOOKUP(Q192,'INFO BASE'!$B$40:$I$54,IF(R192='INFO BASE'!$B$32,3,IF(R192='INFO BASE'!$B$33,4,IF(R192='INFO BASE'!$B$34,5,IF(R192='INFO BASE'!$B$35,6,IF(R192='INFO BASE'!$B$36,7,IF(R192='INFO BASE'!$B$37,8,2)))))),0))</f>
        <v>5</v>
      </c>
      <c r="U192" s="89">
        <f>(COUNTIFS(C180:C227,R192,B180:B227,R191)+COUNTIFS(E180:E227,R192,D180:D227,R191)+COUNTIFS(G180:G227,R192,F180:F227,R191)+COUNTIFS(I180:I227,R192,H180:H227,R191)+COUNTIFS(K180:K227,R192,J180:J227,R191)+COUNTIFS(M180:M227,R192,L180:L227,R191)+COUNTIFS(O180:O227,R192,N180:N227,R191))*0.5</f>
        <v>3</v>
      </c>
      <c r="V192" s="89">
        <f>(COUNTIFS(AI180:AI227,R191,AJ180:AJ227,R192)+COUNTIFS(AK180:AK227,R191,AL180:AL227,R192)+COUNTIFS(AM180:AM227,R191,AN180:AN227,R192)+COUNTIFS(AO180:AO227,R191,AP180:AP227,R192)+COUNTIFS(AQ180:AQ227,R191,AR180:AR227,R192)+COUNTIFS(AS180:AS227,R191,AT180:AT227,R192)+COUNTIFS(AU180:AU227,R191,AV180:AV227,R192))*0.5</f>
        <v>3</v>
      </c>
      <c r="W192" s="90">
        <f>IF(AH176="","-",IF(V192=0,U192,IFERROR((U192/V192)-1,"-")))</f>
        <v>0</v>
      </c>
      <c r="X192" s="200">
        <f t="shared" si="127"/>
        <v>0</v>
      </c>
      <c r="Y192" s="299"/>
      <c r="Z192" s="300"/>
      <c r="AA192" s="300"/>
      <c r="AB192" s="300"/>
      <c r="AC192" s="300"/>
      <c r="AD192" s="300"/>
      <c r="AE192" s="300"/>
      <c r="AF192" s="301"/>
      <c r="AH192" s="136">
        <v>0.25000000000000799</v>
      </c>
      <c r="AI192" s="136" t="s">
        <v>10</v>
      </c>
      <c r="AJ192" s="136" t="s">
        <v>120</v>
      </c>
      <c r="AK192" s="136" t="s">
        <v>10</v>
      </c>
      <c r="AL192" s="136" t="s">
        <v>120</v>
      </c>
      <c r="AM192" s="136" t="s">
        <v>10</v>
      </c>
      <c r="AN192" s="136" t="s">
        <v>120</v>
      </c>
      <c r="AO192" s="136" t="s">
        <v>10</v>
      </c>
      <c r="AP192" s="136" t="s">
        <v>120</v>
      </c>
      <c r="AQ192" s="136" t="s">
        <v>10</v>
      </c>
      <c r="AR192" s="136" t="s">
        <v>120</v>
      </c>
      <c r="AS192" s="136" t="s">
        <v>10</v>
      </c>
      <c r="AT192" s="136" t="s">
        <v>120</v>
      </c>
      <c r="AU192" s="136" t="s">
        <v>10</v>
      </c>
      <c r="AV192" s="136" t="s">
        <v>120</v>
      </c>
      <c r="AX192" s="136" t="str">
        <f>IF(AI176="","",IF(B192="","",B192))</f>
        <v>HS</v>
      </c>
      <c r="AY192" s="136" t="str">
        <f>IF(AI176="","",IF(C192="","",C192))</f>
        <v>-</v>
      </c>
      <c r="AZ192" s="136" t="str">
        <f>IF(AI176="","",IF(D192="","",D192))</f>
        <v>HS</v>
      </c>
      <c r="BA192" s="136" t="str">
        <f>IF(AI176="","",IF(E192="","",E192))</f>
        <v>-</v>
      </c>
      <c r="BB192" s="136" t="str">
        <f>IF(AI176="","",IF(F192="","",F192))</f>
        <v>HS</v>
      </c>
      <c r="BC192" s="136" t="str">
        <f>IF(AI176="","",IF(G192="","",G192))</f>
        <v>-</v>
      </c>
      <c r="BD192" s="136" t="str">
        <f>IF(AI176="","",IF(H192="","",H192))</f>
        <v>HS</v>
      </c>
      <c r="BE192" s="136" t="str">
        <f>IF(AI176="","",IF(I192="","",I192))</f>
        <v>-</v>
      </c>
      <c r="BF192" s="136" t="str">
        <f>IF(AI176="","",IF(J192="","",J192))</f>
        <v>HS</v>
      </c>
      <c r="BG192" s="136" t="str">
        <f>IF(AI176="","",IF(K192="","",K192))</f>
        <v>-</v>
      </c>
      <c r="BH192" s="136" t="str">
        <f>IF(AI176="","",IF(L192="","",L192))</f>
        <v>PV</v>
      </c>
      <c r="BI192" s="136" t="str">
        <f>IF(AI176="","",IF(M192="","",M192))</f>
        <v>-</v>
      </c>
      <c r="BJ192" s="136" t="str">
        <f>IF(AI176="","",IF(N192="","",N192))</f>
        <v>HS</v>
      </c>
      <c r="BK192" s="136" t="str">
        <f>IF(AI176="","",IF(O192="","",O192))</f>
        <v>-</v>
      </c>
      <c r="BM192" s="136" t="str">
        <f t="shared" si="125"/>
        <v>EA</v>
      </c>
      <c r="BN192" s="136" t="str">
        <f t="shared" si="122"/>
        <v>Estudo Autónomo</v>
      </c>
      <c r="BO192" s="136" t="str">
        <f t="shared" si="122"/>
        <v>AL</v>
      </c>
      <c r="BP192" s="136">
        <f>(COUNTIFS(AX180:AX227,BM192,AY180:AY227,BO192)+COUNTIFS(AZ180:AZ227,BM192,BA180:BA227,BO192)+COUNTIFS(BB180:BB227,BM192,BC180:BC227,BO192)+COUNTIFS(BD180:BD227,BM192,BE180:BE227,BO192)+COUNTIFS(BF180:BF227,BM192,BG180:BG227,BO192)+COUNTIFS(BH180:BH227,BM192,BI180:BI227,BO192)+COUNTIFS(BJ180:BJ227,BM192,BK180:BK227,BO192))*0.5</f>
        <v>7</v>
      </c>
      <c r="BQ192" s="136" t="str">
        <f t="shared" si="123"/>
        <v>Estudo Autónomo</v>
      </c>
      <c r="BR192" s="136" t="str">
        <f t="shared" si="123"/>
        <v>AL</v>
      </c>
      <c r="BS192" s="136" t="str">
        <f t="shared" si="124"/>
        <v>Estudo Autónomo</v>
      </c>
      <c r="BT192" s="136">
        <f t="shared" ref="BT192:BT224" si="130">SUMIFS(V:V,Q:Q,BQ192,R:R,BR192)</f>
        <v>24</v>
      </c>
      <c r="BU192" s="136">
        <f t="shared" ref="BU192:BU224" si="131">SUMIFS(BP:BP,BN:BN,BQ192,BO:BO,BR192)</f>
        <v>25.5</v>
      </c>
      <c r="BZ192" s="280"/>
      <c r="CA192" s="183" t="str">
        <f>'INFO BASE'!L255</f>
        <v>-</v>
      </c>
      <c r="CB192" s="183" t="str">
        <f>'INFO BASE'!M255</f>
        <v/>
      </c>
      <c r="CD192" s="136" t="str">
        <f>IF('INFO BASE'!E206="","",'INFO BASE'!E206)</f>
        <v/>
      </c>
      <c r="CR192" s="177" t="str">
        <f t="shared" si="112"/>
        <v>HS</v>
      </c>
      <c r="CS192" s="177" t="str">
        <f t="shared" si="113"/>
        <v>HS-</v>
      </c>
      <c r="CT192" s="177" t="str">
        <f t="shared" si="112"/>
        <v>HS</v>
      </c>
      <c r="CU192" s="177" t="str">
        <f t="shared" si="114"/>
        <v>HS-</v>
      </c>
      <c r="CV192" s="177" t="str">
        <f t="shared" si="112"/>
        <v>HS</v>
      </c>
      <c r="CW192" s="177" t="str">
        <f t="shared" si="115"/>
        <v>HS-</v>
      </c>
      <c r="CX192" s="177" t="str">
        <f t="shared" si="112"/>
        <v>HS</v>
      </c>
      <c r="CY192" s="177" t="str">
        <f t="shared" si="116"/>
        <v>HS-</v>
      </c>
      <c r="CZ192" s="177" t="str">
        <f t="shared" si="112"/>
        <v>HS</v>
      </c>
      <c r="DA192" s="177" t="str">
        <f t="shared" si="117"/>
        <v>HS-</v>
      </c>
      <c r="DB192" s="177" t="str">
        <f t="shared" si="112"/>
        <v>PV</v>
      </c>
      <c r="DC192" s="177">
        <f t="shared" si="118"/>
        <v>0</v>
      </c>
      <c r="DD192" s="177" t="str">
        <f t="shared" si="119"/>
        <v>HS</v>
      </c>
      <c r="DE192" s="177" t="str">
        <f t="shared" si="120"/>
        <v>HS-</v>
      </c>
    </row>
    <row r="193" spans="1:109" ht="18" customHeight="1" x14ac:dyDescent="0.3">
      <c r="A193" s="81">
        <v>0.27083333333334197</v>
      </c>
      <c r="B193" s="166" t="s">
        <v>116</v>
      </c>
      <c r="C193" s="130" t="s">
        <v>120</v>
      </c>
      <c r="D193" s="169" t="s">
        <v>116</v>
      </c>
      <c r="E193" s="130" t="s">
        <v>120</v>
      </c>
      <c r="F193" s="169" t="s">
        <v>116</v>
      </c>
      <c r="G193" s="130" t="s">
        <v>120</v>
      </c>
      <c r="H193" s="169" t="s">
        <v>116</v>
      </c>
      <c r="I193" s="130" t="s">
        <v>120</v>
      </c>
      <c r="J193" s="169" t="s">
        <v>116</v>
      </c>
      <c r="K193" s="130" t="s">
        <v>120</v>
      </c>
      <c r="L193" s="169" t="s">
        <v>116</v>
      </c>
      <c r="M193" s="130" t="s">
        <v>120</v>
      </c>
      <c r="N193" s="169" t="s">
        <v>10</v>
      </c>
      <c r="O193" s="154" t="s">
        <v>120</v>
      </c>
      <c r="P193" s="6">
        <v>0</v>
      </c>
      <c r="Q193" s="110" t="str">
        <f t="shared" si="128"/>
        <v>Estudo Autónomo</v>
      </c>
      <c r="R193" s="105" t="str">
        <f t="shared" si="129"/>
        <v>IEI</v>
      </c>
      <c r="S193" s="88">
        <f t="shared" si="126"/>
        <v>-1</v>
      </c>
      <c r="T193" s="89">
        <f>IF(VLOOKUP(Q193,'INFO BASE'!$B$40:$I$54,IF(R193='INFO BASE'!$B$32,3,IF(R193='INFO BASE'!$B$33,4,IF(R193='INFO BASE'!$B$34,5,IF(R193='INFO BASE'!$B$35,6,IF(R193='INFO BASE'!$B$36,7,IF(R193='INFO BASE'!$B$37,8,2)))))),0)=0,"",VLOOKUP(Q193,'INFO BASE'!$B$40:$I$54,IF(R193='INFO BASE'!$B$32,3,IF(R193='INFO BASE'!$B$33,4,IF(R193='INFO BASE'!$B$34,5,IF(R193='INFO BASE'!$B$35,6,IF(R193='INFO BASE'!$B$36,7,IF(R193='INFO BASE'!$B$37,8,2)))))),0))</f>
        <v>2</v>
      </c>
      <c r="U193" s="89">
        <f>(COUNTIFS(C180:C227,R193,B180:B227,R191)+COUNTIFS(E180:E227,R193,D180:D227,R191)+COUNTIFS(G180:G227,R193,F180:F227,R191)+COUNTIFS(I180:I227,R193,H180:H227,R191)+COUNTIFS(K180:K227,R193,J180:J227,R191)+COUNTIFS(M180:M227,R193,L180:L227,R191)+COUNTIFS(O180:O227,R193,N180:N227,R191))*0.5</f>
        <v>0</v>
      </c>
      <c r="V193" s="89">
        <f>(COUNTIFS(AI180:AI227,R191,AJ180:AJ227,R193)+COUNTIFS(AK180:AK227,R191,AL180:AL227,R193)+COUNTIFS(AM180:AM227,R191,AN180:AN227,R193)+COUNTIFS(AO180:AO227,R191,AP180:AP227,R193)+COUNTIFS(AQ180:AQ227,R191,AR180:AR227,R193)+COUNTIFS(AS180:AS227,R191,AT180:AT227,R193)+COUNTIFS(AU180:AU227,R191,AV180:AV227,R193))*0.5</f>
        <v>0</v>
      </c>
      <c r="W193" s="90">
        <f>IF(AH176="","-",IF(V193=0,U193,IFERROR((U193/V193)-1,"-")))</f>
        <v>0</v>
      </c>
      <c r="X193" s="200">
        <f t="shared" si="127"/>
        <v>0</v>
      </c>
      <c r="Y193" s="299"/>
      <c r="Z193" s="300"/>
      <c r="AA193" s="300"/>
      <c r="AB193" s="300"/>
      <c r="AC193" s="300"/>
      <c r="AD193" s="300"/>
      <c r="AE193" s="300"/>
      <c r="AF193" s="301"/>
      <c r="AH193" s="136">
        <v>0.27083333333334197</v>
      </c>
      <c r="AI193" s="136" t="s">
        <v>116</v>
      </c>
      <c r="AJ193" s="136" t="s">
        <v>120</v>
      </c>
      <c r="AK193" s="136" t="s">
        <v>116</v>
      </c>
      <c r="AL193" s="136" t="s">
        <v>120</v>
      </c>
      <c r="AM193" s="136" t="s">
        <v>116</v>
      </c>
      <c r="AN193" s="136" t="s">
        <v>120</v>
      </c>
      <c r="AO193" s="136" t="s">
        <v>116</v>
      </c>
      <c r="AP193" s="136" t="s">
        <v>120</v>
      </c>
      <c r="AQ193" s="136" t="s">
        <v>116</v>
      </c>
      <c r="AR193" s="136" t="s">
        <v>120</v>
      </c>
      <c r="AS193" s="136" t="s">
        <v>10</v>
      </c>
      <c r="AT193" s="136" t="s">
        <v>120</v>
      </c>
      <c r="AU193" s="136" t="s">
        <v>10</v>
      </c>
      <c r="AV193" s="136" t="s">
        <v>120</v>
      </c>
      <c r="AX193" s="136" t="str">
        <f>IF(AI176="","",IF(B193="","",B193))</f>
        <v>PV</v>
      </c>
      <c r="AY193" s="136" t="str">
        <f>IF(AI176="","",IF(C193="","",C193))</f>
        <v>-</v>
      </c>
      <c r="AZ193" s="136" t="str">
        <f>IF(AI176="","",IF(D193="","",D193))</f>
        <v>PV</v>
      </c>
      <c r="BA193" s="136" t="str">
        <f>IF(AI176="","",IF(E193="","",E193))</f>
        <v>-</v>
      </c>
      <c r="BB193" s="136" t="str">
        <f>IF(AI176="","",IF(F193="","",F193))</f>
        <v>PV</v>
      </c>
      <c r="BC193" s="136" t="str">
        <f>IF(AI176="","",IF(G193="","",G193))</f>
        <v>-</v>
      </c>
      <c r="BD193" s="136" t="str">
        <f>IF(AI176="","",IF(H193="","",H193))</f>
        <v>PV</v>
      </c>
      <c r="BE193" s="136" t="str">
        <f>IF(AI176="","",IF(I193="","",I193))</f>
        <v>-</v>
      </c>
      <c r="BF193" s="136" t="str">
        <f>IF(AI176="","",IF(J193="","",J193))</f>
        <v>PV</v>
      </c>
      <c r="BG193" s="136" t="str">
        <f>IF(AI176="","",IF(K193="","",K193))</f>
        <v>-</v>
      </c>
      <c r="BH193" s="136" t="str">
        <f>IF(AI176="","",IF(L193="","",L193))</f>
        <v>PV</v>
      </c>
      <c r="BI193" s="136" t="str">
        <f>IF(AI176="","",IF(M193="","",M193))</f>
        <v>-</v>
      </c>
      <c r="BJ193" s="136" t="str">
        <f>IF(AI176="","",IF(N193="","",N193))</f>
        <v>HS</v>
      </c>
      <c r="BK193" s="136" t="str">
        <f>IF(AI176="","",IF(O193="","",O193))</f>
        <v>-</v>
      </c>
      <c r="BM193" s="136" t="str">
        <f t="shared" si="125"/>
        <v>EA</v>
      </c>
      <c r="BN193" s="136" t="str">
        <f t="shared" si="122"/>
        <v>Estudo Autónomo</v>
      </c>
      <c r="BO193" s="136" t="str">
        <f t="shared" si="122"/>
        <v>CDI</v>
      </c>
      <c r="BP193" s="136">
        <f>(COUNTIFS(AX180:AX227,BM193,AY180:AY227,BO193)+COUNTIFS(AZ180:AZ227,BM193,BA180:BA227,BO193)+COUNTIFS(BB180:BB227,BM193,BC180:BC227,BO193)+COUNTIFS(BD180:BD227,BM193,BE180:BE227,BO193)+COUNTIFS(BF180:BF227,BM193,BG180:BG227,BO193)+COUNTIFS(BH180:BH227,BM193,BI180:BI227,BO193)+COUNTIFS(BJ180:BJ227,BM193,BK180:BK227,BO193))*0.5</f>
        <v>0</v>
      </c>
      <c r="BQ193" s="136" t="str">
        <f t="shared" si="123"/>
        <v>Estudo Autónomo</v>
      </c>
      <c r="BR193" s="136" t="str">
        <f t="shared" si="123"/>
        <v>CDI</v>
      </c>
      <c r="BS193" s="136" t="str">
        <f t="shared" si="124"/>
        <v>Estudo Autónomo</v>
      </c>
      <c r="BT193" s="136">
        <f t="shared" si="130"/>
        <v>9.5</v>
      </c>
      <c r="BU193" s="136">
        <f t="shared" si="131"/>
        <v>7.5</v>
      </c>
      <c r="BZ193" s="280"/>
      <c r="CA193" s="183" t="str">
        <f>'INFO BASE'!L256</f>
        <v>-</v>
      </c>
      <c r="CB193" s="183" t="str">
        <f>'INFO BASE'!M256</f>
        <v/>
      </c>
      <c r="CD193" s="136" t="str">
        <f>IF('INFO BASE'!E207="","",'INFO BASE'!E207)</f>
        <v/>
      </c>
      <c r="CR193" s="177" t="str">
        <f t="shared" si="112"/>
        <v>PV</v>
      </c>
      <c r="CS193" s="177">
        <f t="shared" si="113"/>
        <v>0</v>
      </c>
      <c r="CT193" s="177" t="str">
        <f t="shared" si="112"/>
        <v>PV</v>
      </c>
      <c r="CU193" s="177">
        <f t="shared" si="114"/>
        <v>0</v>
      </c>
      <c r="CV193" s="177" t="str">
        <f t="shared" si="112"/>
        <v>PV</v>
      </c>
      <c r="CW193" s="177">
        <f t="shared" si="115"/>
        <v>0</v>
      </c>
      <c r="CX193" s="177" t="str">
        <f t="shared" si="112"/>
        <v>PV</v>
      </c>
      <c r="CY193" s="177">
        <f t="shared" si="116"/>
        <v>0</v>
      </c>
      <c r="CZ193" s="177" t="str">
        <f t="shared" si="112"/>
        <v>PV</v>
      </c>
      <c r="DA193" s="177">
        <f t="shared" si="117"/>
        <v>0</v>
      </c>
      <c r="DB193" s="177" t="str">
        <f t="shared" si="112"/>
        <v>PV</v>
      </c>
      <c r="DC193" s="177">
        <f t="shared" si="118"/>
        <v>0</v>
      </c>
      <c r="DD193" s="177" t="str">
        <f t="shared" si="119"/>
        <v>HS</v>
      </c>
      <c r="DE193" s="177" t="str">
        <f t="shared" si="120"/>
        <v>HS-</v>
      </c>
    </row>
    <row r="194" spans="1:109" ht="18" customHeight="1" x14ac:dyDescent="0.3">
      <c r="A194" s="81">
        <v>0.29166666666667601</v>
      </c>
      <c r="B194" s="166" t="s">
        <v>116</v>
      </c>
      <c r="C194" s="130" t="s">
        <v>120</v>
      </c>
      <c r="D194" s="169" t="s">
        <v>116</v>
      </c>
      <c r="E194" s="130" t="s">
        <v>120</v>
      </c>
      <c r="F194" s="169" t="s">
        <v>116</v>
      </c>
      <c r="G194" s="130" t="s">
        <v>120</v>
      </c>
      <c r="H194" s="169" t="s">
        <v>116</v>
      </c>
      <c r="I194" s="130" t="s">
        <v>120</v>
      </c>
      <c r="J194" s="169" t="s">
        <v>116</v>
      </c>
      <c r="K194" s="130" t="s">
        <v>120</v>
      </c>
      <c r="L194" s="169" t="s">
        <v>116</v>
      </c>
      <c r="M194" s="130" t="s">
        <v>120</v>
      </c>
      <c r="N194" s="169" t="s">
        <v>10</v>
      </c>
      <c r="O194" s="154" t="s">
        <v>120</v>
      </c>
      <c r="P194" s="6">
        <v>0</v>
      </c>
      <c r="Q194" s="111" t="str">
        <f t="shared" si="128"/>
        <v>Estudo Autónomo</v>
      </c>
      <c r="R194" s="105" t="str">
        <f t="shared" si="129"/>
        <v>IAC</v>
      </c>
      <c r="S194" s="88">
        <f t="shared" si="126"/>
        <v>-1</v>
      </c>
      <c r="T194" s="89">
        <f>IF(VLOOKUP(Q194,'INFO BASE'!$B$40:$I$54,IF(R194='INFO BASE'!$B$32,3,IF(R194='INFO BASE'!$B$33,4,IF(R194='INFO BASE'!$B$34,5,IF(R194='INFO BASE'!$B$35,6,IF(R194='INFO BASE'!$B$36,7,IF(R194='INFO BASE'!$B$37,8,2)))))),0)=0,"",VLOOKUP(Q194,'INFO BASE'!$B$40:$I$54,IF(R194='INFO BASE'!$B$32,3,IF(R194='INFO BASE'!$B$33,4,IF(R194='INFO BASE'!$B$34,5,IF(R194='INFO BASE'!$B$35,6,IF(R194='INFO BASE'!$B$36,7,IF(R194='INFO BASE'!$B$37,8,2)))))),0))</f>
        <v>2</v>
      </c>
      <c r="U194" s="89">
        <f>(COUNTIFS(C180:C227,R194,B180:B227,R191)+COUNTIFS(E180:E227,R194,D180:D227,R191)+COUNTIFS(G180:G227,R194,F180:F227,R191)+COUNTIFS(I180:I227,R194,H180:H227,R191)+COUNTIFS(K180:K227,R194,J180:J227,R191)+COUNTIFS(M180:M227,R194,L180:L227,R191)+COUNTIFS(O180:O227,R194,N180:N227,R191))*0.5</f>
        <v>0</v>
      </c>
      <c r="V194" s="89">
        <f>(COUNTIFS(AI180:AI227,R191,AJ180:AJ227,R194)+COUNTIFS(AK180:AK227,R191,AL180:AL227,R194)+COUNTIFS(AM180:AM227,R191,AN180:AN227,R194)+COUNTIFS(AO180:AO227,R191,AP180:AP227,R194)+COUNTIFS(AQ180:AQ227,R191,AR180:AR227,R194)+COUNTIFS(AS180:AS227,R191,AT180:AT227,R194)+COUNTIFS(AU180:AU227,R191,AV180:AV227,R194))*0.5</f>
        <v>0</v>
      </c>
      <c r="W194" s="90">
        <f>IF(AH176="","-",IF(V194=0,U194,IFERROR((U194/V194)-1,"-")))</f>
        <v>0</v>
      </c>
      <c r="X194" s="200">
        <f t="shared" si="127"/>
        <v>0</v>
      </c>
      <c r="Y194" s="299"/>
      <c r="Z194" s="300"/>
      <c r="AA194" s="300"/>
      <c r="AB194" s="300"/>
      <c r="AC194" s="300"/>
      <c r="AD194" s="300"/>
      <c r="AE194" s="300"/>
      <c r="AF194" s="301"/>
      <c r="AH194" s="136">
        <v>0.29166666666667601</v>
      </c>
      <c r="AI194" s="136" t="s">
        <v>116</v>
      </c>
      <c r="AJ194" s="136" t="s">
        <v>120</v>
      </c>
      <c r="AK194" s="136" t="s">
        <v>116</v>
      </c>
      <c r="AL194" s="136" t="s">
        <v>120</v>
      </c>
      <c r="AM194" s="136" t="s">
        <v>116</v>
      </c>
      <c r="AN194" s="136" t="s">
        <v>120</v>
      </c>
      <c r="AO194" s="136" t="s">
        <v>116</v>
      </c>
      <c r="AP194" s="136" t="s">
        <v>120</v>
      </c>
      <c r="AQ194" s="136" t="s">
        <v>116</v>
      </c>
      <c r="AR194" s="136" t="s">
        <v>120</v>
      </c>
      <c r="AS194" s="136" t="s">
        <v>10</v>
      </c>
      <c r="AT194" s="136" t="s">
        <v>120</v>
      </c>
      <c r="AU194" s="136" t="s">
        <v>10</v>
      </c>
      <c r="AV194" s="136" t="s">
        <v>120</v>
      </c>
      <c r="AX194" s="136" t="str">
        <f>IF(AI176="","",IF(B194="","",B194))</f>
        <v>PV</v>
      </c>
      <c r="AY194" s="136" t="str">
        <f>IF(AI176="","",IF(C194="","",C194))</f>
        <v>-</v>
      </c>
      <c r="AZ194" s="136" t="str">
        <f>IF(AI176="","",IF(D194="","",D194))</f>
        <v>PV</v>
      </c>
      <c r="BA194" s="136" t="str">
        <f>IF(AI176="","",IF(E194="","",E194))</f>
        <v>-</v>
      </c>
      <c r="BB194" s="136" t="str">
        <f>IF(AI176="","",IF(F194="","",F194))</f>
        <v>PV</v>
      </c>
      <c r="BC194" s="136" t="str">
        <f>IF(AI176="","",IF(G194="","",G194))</f>
        <v>-</v>
      </c>
      <c r="BD194" s="136" t="str">
        <f>IF(AI176="","",IF(H194="","",H194))</f>
        <v>PV</v>
      </c>
      <c r="BE194" s="136" t="str">
        <f>IF(AI176="","",IF(I194="","",I194))</f>
        <v>-</v>
      </c>
      <c r="BF194" s="136" t="str">
        <f>IF(AI176="","",IF(J194="","",J194))</f>
        <v>PV</v>
      </c>
      <c r="BG194" s="136" t="str">
        <f>IF(AI176="","",IF(K194="","",K194))</f>
        <v>-</v>
      </c>
      <c r="BH194" s="136" t="str">
        <f>IF(AI176="","",IF(L194="","",L194))</f>
        <v>PV</v>
      </c>
      <c r="BI194" s="136" t="str">
        <f>IF(AI176="","",IF(M194="","",M194))</f>
        <v>-</v>
      </c>
      <c r="BJ194" s="136" t="str">
        <f>IF(AI176="","",IF(N194="","",N194))</f>
        <v>HS</v>
      </c>
      <c r="BK194" s="136" t="str">
        <f>IF(AI176="","",IF(O194="","",O194))</f>
        <v>-</v>
      </c>
      <c r="BM194" s="136" t="str">
        <f t="shared" si="125"/>
        <v>EA</v>
      </c>
      <c r="BN194" s="136" t="str">
        <f t="shared" si="122"/>
        <v>Estudo Autónomo</v>
      </c>
      <c r="BO194" s="136" t="str">
        <f t="shared" si="122"/>
        <v/>
      </c>
      <c r="BP194" s="136">
        <f>(COUNTIFS(AX180:AX227,BM194,AY180:AY227,BO194)+COUNTIFS(AZ180:AZ227,BM194,BA180:BA227,BO194)+COUNTIFS(BB180:BB227,BM194,BC180:BC227,BO194)+COUNTIFS(BD180:BD227,BM194,BE180:BE227,BO194)+COUNTIFS(BF180:BF227,BM194,BG180:BG227,BO194)+COUNTIFS(BH180:BH227,BM194,BI180:BI227,BO194)+COUNTIFS(BJ180:BJ227,BM194,BK180:BK227,BO194))*0.5</f>
        <v>0</v>
      </c>
      <c r="BQ194" s="136" t="str">
        <f t="shared" si="123"/>
        <v>Estudo Autónomo</v>
      </c>
      <c r="BR194" s="136" t="str">
        <f t="shared" si="123"/>
        <v/>
      </c>
      <c r="BS194" s="136" t="str">
        <f t="shared" si="124"/>
        <v>Estudo Autónomo</v>
      </c>
      <c r="BT194" s="136">
        <f t="shared" si="130"/>
        <v>0</v>
      </c>
      <c r="BU194" s="136">
        <f t="shared" si="131"/>
        <v>0</v>
      </c>
      <c r="BZ194" s="280"/>
      <c r="CA194" s="183" t="str">
        <f>'INFO BASE'!L257</f>
        <v>-</v>
      </c>
      <c r="CB194" s="183" t="str">
        <f>'INFO BASE'!M257</f>
        <v/>
      </c>
      <c r="CD194" s="136" t="str">
        <f>IF('INFO BASE'!E208="","",'INFO BASE'!E208)</f>
        <v/>
      </c>
      <c r="CR194" s="177" t="str">
        <f t="shared" si="112"/>
        <v>PV</v>
      </c>
      <c r="CS194" s="177">
        <f t="shared" si="113"/>
        <v>0</v>
      </c>
      <c r="CT194" s="177" t="str">
        <f t="shared" si="112"/>
        <v>PV</v>
      </c>
      <c r="CU194" s="177">
        <f t="shared" si="114"/>
        <v>0</v>
      </c>
      <c r="CV194" s="177" t="str">
        <f t="shared" si="112"/>
        <v>PV</v>
      </c>
      <c r="CW194" s="177">
        <f t="shared" si="115"/>
        <v>0</v>
      </c>
      <c r="CX194" s="177" t="str">
        <f t="shared" si="112"/>
        <v>PV</v>
      </c>
      <c r="CY194" s="177">
        <f t="shared" si="116"/>
        <v>0</v>
      </c>
      <c r="CZ194" s="177" t="str">
        <f t="shared" si="112"/>
        <v>PV</v>
      </c>
      <c r="DA194" s="177">
        <f t="shared" si="117"/>
        <v>0</v>
      </c>
      <c r="DB194" s="177" t="str">
        <f t="shared" si="112"/>
        <v>PV</v>
      </c>
      <c r="DC194" s="177">
        <f t="shared" si="118"/>
        <v>0</v>
      </c>
      <c r="DD194" s="177" t="str">
        <f t="shared" si="119"/>
        <v>HS</v>
      </c>
      <c r="DE194" s="177" t="str">
        <f t="shared" si="120"/>
        <v>HS-</v>
      </c>
    </row>
    <row r="195" spans="1:109" ht="18" customHeight="1" x14ac:dyDescent="0.3">
      <c r="A195" s="81">
        <v>0.31250000000000999</v>
      </c>
      <c r="B195" s="166" t="s">
        <v>11</v>
      </c>
      <c r="C195" s="130" t="s">
        <v>120</v>
      </c>
      <c r="D195" s="169" t="s">
        <v>11</v>
      </c>
      <c r="E195" s="130" t="s">
        <v>120</v>
      </c>
      <c r="F195" s="169" t="s">
        <v>11</v>
      </c>
      <c r="G195" s="130" t="s">
        <v>120</v>
      </c>
      <c r="H195" s="169" t="s">
        <v>11</v>
      </c>
      <c r="I195" s="130" t="s">
        <v>120</v>
      </c>
      <c r="J195" s="169" t="s">
        <v>11</v>
      </c>
      <c r="K195" s="130" t="s">
        <v>120</v>
      </c>
      <c r="L195" s="169" t="s">
        <v>10</v>
      </c>
      <c r="M195" s="130" t="s">
        <v>120</v>
      </c>
      <c r="N195" s="169" t="s">
        <v>10</v>
      </c>
      <c r="O195" s="154" t="s">
        <v>120</v>
      </c>
      <c r="P195" s="6">
        <v>0</v>
      </c>
      <c r="Q195" s="110" t="str">
        <f t="shared" si="128"/>
        <v>Estudo Autónomo</v>
      </c>
      <c r="R195" s="105" t="str">
        <f t="shared" si="129"/>
        <v>AL</v>
      </c>
      <c r="S195" s="88">
        <f t="shared" si="126"/>
        <v>0.39999999999999991</v>
      </c>
      <c r="T195" s="89">
        <f>IF(VLOOKUP(Q195,'INFO BASE'!$B$40:$I$54,IF(R195='INFO BASE'!$B$32,3,IF(R195='INFO BASE'!$B$33,4,IF(R195='INFO BASE'!$B$34,5,IF(R195='INFO BASE'!$B$35,6,IF(R195='INFO BASE'!$B$36,7,IF(R195='INFO BASE'!$B$37,8,2)))))),0)=0,"",VLOOKUP(Q195,'INFO BASE'!$B$40:$I$54,IF(R195='INFO BASE'!$B$32,3,IF(R195='INFO BASE'!$B$33,4,IF(R195='INFO BASE'!$B$34,5,IF(R195='INFO BASE'!$B$35,6,IF(R195='INFO BASE'!$B$36,7,IF(R195='INFO BASE'!$B$37,8,2)))))),0))</f>
        <v>5</v>
      </c>
      <c r="U195" s="89">
        <f>(COUNTIFS(C180:C227,R195,B180:B227,R191)+COUNTIFS(E180:E227,R195,D180:D227,R191)+COUNTIFS(G180:G227,R195,F180:F227,R191)+COUNTIFS(I180:I227,R195,H180:H227,R191)+COUNTIFS(K180:K227,R195,J180:J227,R191)+COUNTIFS(M180:M227,R195,L180:L227,R191)+COUNTIFS(O180:O227,R195,N180:N227,R191))*0.5</f>
        <v>7</v>
      </c>
      <c r="V195" s="89">
        <f>(COUNTIFS(AI180:AI227,R191,AJ180:AJ227,R195)+COUNTIFS(AK180:AK227,R191,AL180:AL227,R195)+COUNTIFS(AM180:AM227,R191,AN180:AN227,R195)+COUNTIFS(AO180:AO227,R191,AP180:AP227,R195)+COUNTIFS(AQ180:AQ227,R191,AR180:AR227,R195)+COUNTIFS(AS180:AS227,R191,AT180:AT227,R195)+COUNTIFS(AU180:AU227,R191,AV180:AV227,R195))*0.5</f>
        <v>9</v>
      </c>
      <c r="W195" s="90">
        <f>IF(AH176="","-",IF(V195=0,U195,IFERROR((U195/V195)-1,"-")))</f>
        <v>-0.22222222222222221</v>
      </c>
      <c r="X195" s="200">
        <f t="shared" si="127"/>
        <v>1</v>
      </c>
      <c r="Y195" s="299" t="s">
        <v>248</v>
      </c>
      <c r="Z195" s="300"/>
      <c r="AA195" s="300"/>
      <c r="AB195" s="300"/>
      <c r="AC195" s="300"/>
      <c r="AD195" s="300"/>
      <c r="AE195" s="300"/>
      <c r="AF195" s="301"/>
      <c r="AH195" s="136">
        <v>0.31250000000000999</v>
      </c>
      <c r="AI195" s="136" t="s">
        <v>11</v>
      </c>
      <c r="AJ195" s="136" t="s">
        <v>120</v>
      </c>
      <c r="AK195" s="136" t="s">
        <v>11</v>
      </c>
      <c r="AL195" s="136" t="s">
        <v>120</v>
      </c>
      <c r="AM195" s="136" t="s">
        <v>11</v>
      </c>
      <c r="AN195" s="136" t="s">
        <v>120</v>
      </c>
      <c r="AO195" s="136" t="s">
        <v>11</v>
      </c>
      <c r="AP195" s="136" t="s">
        <v>120</v>
      </c>
      <c r="AQ195" s="136" t="s">
        <v>11</v>
      </c>
      <c r="AR195" s="136" t="s">
        <v>120</v>
      </c>
      <c r="AS195" s="136" t="s">
        <v>10</v>
      </c>
      <c r="AT195" s="136" t="s">
        <v>120</v>
      </c>
      <c r="AU195" s="136" t="s">
        <v>10</v>
      </c>
      <c r="AV195" s="136" t="s">
        <v>120</v>
      </c>
      <c r="AX195" s="136" t="str">
        <f>IF(AI176="","",IF(B195="","",B195))</f>
        <v>HD</v>
      </c>
      <c r="AY195" s="136" t="str">
        <f>IF(AI176="","",IF(C195="","",C195))</f>
        <v>-</v>
      </c>
      <c r="AZ195" s="136" t="str">
        <f>IF(AI176="","",IF(D195="","",D195))</f>
        <v>HD</v>
      </c>
      <c r="BA195" s="136" t="str">
        <f>IF(AI176="","",IF(E195="","",E195))</f>
        <v>-</v>
      </c>
      <c r="BB195" s="136" t="str">
        <f>IF(AI176="","",IF(F195="","",F195))</f>
        <v>HD</v>
      </c>
      <c r="BC195" s="136" t="str">
        <f>IF(AI176="","",IF(G195="","",G195))</f>
        <v>-</v>
      </c>
      <c r="BD195" s="136" t="str">
        <f>IF(AI176="","",IF(H195="","",H195))</f>
        <v>HD</v>
      </c>
      <c r="BE195" s="136" t="str">
        <f>IF(AI176="","",IF(I195="","",I195))</f>
        <v>-</v>
      </c>
      <c r="BF195" s="136" t="str">
        <f>IF(AI176="","",IF(J195="","",J195))</f>
        <v>HD</v>
      </c>
      <c r="BG195" s="136" t="str">
        <f>IF(AI176="","",IF(K195="","",K195))</f>
        <v>-</v>
      </c>
      <c r="BH195" s="136" t="str">
        <f>IF(AI176="","",IF(L195="","",L195))</f>
        <v>HS</v>
      </c>
      <c r="BI195" s="136" t="str">
        <f>IF(AI176="","",IF(M195="","",M195))</f>
        <v>-</v>
      </c>
      <c r="BJ195" s="136" t="str">
        <f>IF(AI176="","",IF(N195="","",N195))</f>
        <v>HS</v>
      </c>
      <c r="BK195" s="136" t="str">
        <f>IF(AI176="","",IF(O195="","",O195))</f>
        <v>-</v>
      </c>
      <c r="BM195" s="136" t="str">
        <f>BO195</f>
        <v>EG</v>
      </c>
      <c r="BN195" s="136" t="str">
        <f t="shared" si="122"/>
        <v>Estudo em Grupo</v>
      </c>
      <c r="BO195" s="136" t="str">
        <f t="shared" si="122"/>
        <v>EG</v>
      </c>
      <c r="BP195" s="136">
        <f>COUNTIFS(AX180:BK227,BO195)*0.5</f>
        <v>6</v>
      </c>
      <c r="BQ195" s="136" t="str">
        <f t="shared" si="123"/>
        <v>Estudo em Grupo</v>
      </c>
      <c r="BR195" s="136" t="str">
        <f t="shared" si="123"/>
        <v>EG</v>
      </c>
      <c r="BS195" s="136" t="str">
        <f t="shared" si="124"/>
        <v>Estudo em Grupo</v>
      </c>
      <c r="BT195" s="136">
        <f t="shared" si="130"/>
        <v>46.5</v>
      </c>
      <c r="BU195" s="136">
        <f t="shared" si="131"/>
        <v>55.5</v>
      </c>
      <c r="CA195" s="183">
        <f>'INFO BASE'!L258</f>
        <v>0</v>
      </c>
      <c r="CB195" s="183">
        <f>'INFO BASE'!M258</f>
        <v>0</v>
      </c>
      <c r="CD195" s="136" t="str">
        <f>IF('INFO BASE'!E209="","",'INFO BASE'!E209)</f>
        <v/>
      </c>
      <c r="CR195" s="177" t="str">
        <f t="shared" si="112"/>
        <v>HD</v>
      </c>
      <c r="CS195" s="177" t="str">
        <f t="shared" si="113"/>
        <v>HD-</v>
      </c>
      <c r="CT195" s="177" t="str">
        <f t="shared" si="112"/>
        <v>HD</v>
      </c>
      <c r="CU195" s="177" t="str">
        <f t="shared" si="114"/>
        <v>HD-</v>
      </c>
      <c r="CV195" s="177" t="str">
        <f t="shared" si="112"/>
        <v>HD</v>
      </c>
      <c r="CW195" s="177" t="str">
        <f t="shared" si="115"/>
        <v>HD-</v>
      </c>
      <c r="CX195" s="177" t="str">
        <f t="shared" si="112"/>
        <v>HD</v>
      </c>
      <c r="CY195" s="177" t="str">
        <f t="shared" si="116"/>
        <v>HD-</v>
      </c>
      <c r="CZ195" s="177" t="str">
        <f t="shared" si="112"/>
        <v>HD</v>
      </c>
      <c r="DA195" s="177" t="str">
        <f t="shared" si="117"/>
        <v>HD-</v>
      </c>
      <c r="DB195" s="177" t="str">
        <f t="shared" si="112"/>
        <v>HS</v>
      </c>
      <c r="DC195" s="177" t="str">
        <f t="shared" si="118"/>
        <v>HS-</v>
      </c>
      <c r="DD195" s="177" t="str">
        <f t="shared" si="119"/>
        <v>HS</v>
      </c>
      <c r="DE195" s="177" t="str">
        <f t="shared" si="120"/>
        <v>HS-</v>
      </c>
    </row>
    <row r="196" spans="1:109" ht="18" customHeight="1" x14ac:dyDescent="0.3">
      <c r="A196" s="81">
        <v>0.33333333333334397</v>
      </c>
      <c r="B196" s="166" t="s">
        <v>11</v>
      </c>
      <c r="C196" s="130" t="s">
        <v>120</v>
      </c>
      <c r="D196" s="169" t="s">
        <v>11</v>
      </c>
      <c r="E196" s="130" t="s">
        <v>120</v>
      </c>
      <c r="F196" s="169" t="s">
        <v>11</v>
      </c>
      <c r="G196" s="130" t="s">
        <v>120</v>
      </c>
      <c r="H196" s="169" t="s">
        <v>11</v>
      </c>
      <c r="I196" s="130" t="s">
        <v>120</v>
      </c>
      <c r="J196" s="169" t="s">
        <v>11</v>
      </c>
      <c r="K196" s="130" t="s">
        <v>120</v>
      </c>
      <c r="L196" s="169" t="s">
        <v>10</v>
      </c>
      <c r="M196" s="130" t="s">
        <v>120</v>
      </c>
      <c r="N196" s="169" t="s">
        <v>10</v>
      </c>
      <c r="O196" s="154" t="s">
        <v>120</v>
      </c>
      <c r="P196" s="6">
        <v>0</v>
      </c>
      <c r="Q196" s="110" t="str">
        <f t="shared" si="128"/>
        <v>Estudo Autónomo</v>
      </c>
      <c r="R196" s="105" t="str">
        <f t="shared" si="129"/>
        <v>CDI</v>
      </c>
      <c r="S196" s="88">
        <f t="shared" si="126"/>
        <v>-1</v>
      </c>
      <c r="T196" s="89">
        <f>IF(VLOOKUP(Q196,'INFO BASE'!$B$40:$I$54,IF(R196='INFO BASE'!$B$32,3,IF(R196='INFO BASE'!$B$33,4,IF(R196='INFO BASE'!$B$34,5,IF(R196='INFO BASE'!$B$35,6,IF(R196='INFO BASE'!$B$36,7,IF(R196='INFO BASE'!$B$37,8,2)))))),0)=0,"",VLOOKUP(Q196,'INFO BASE'!$B$40:$I$54,IF(R196='INFO BASE'!$B$32,3,IF(R196='INFO BASE'!$B$33,4,IF(R196='INFO BASE'!$B$34,5,IF(R196='INFO BASE'!$B$35,6,IF(R196='INFO BASE'!$B$36,7,IF(R196='INFO BASE'!$B$37,8,2)))))),0))</f>
        <v>5</v>
      </c>
      <c r="U196" s="89">
        <f>(COUNTIFS(C180:C227,R196,B180:B227,R191)+COUNTIFS(E180:E227,R196,D180:D227,R191)+COUNTIFS(G180:G227,R196,F180:F227,R191)+COUNTIFS(I180:I227,R196,H180:H227,R191)+COUNTIFS(K180:K227,R196,J180:J227,R191)+COUNTIFS(M180:M227,R196,L180:L227,R191)+COUNTIFS(O180:O227,R196,N180:N227,R191))*0.5</f>
        <v>0</v>
      </c>
      <c r="V196" s="89">
        <f>(COUNTIFS(AI180:AI227,R191,AJ180:AJ227,R196)+COUNTIFS(AK180:AK227,R191,AL180:AL227,R196)+COUNTIFS(AM180:AM227,R191,AN180:AN227,R196)+COUNTIFS(AO180:AO227,R191,AP180:AP227,R196)+COUNTIFS(AQ180:AQ227,R191,AR180:AR227,R196)+COUNTIFS(AS180:AS227,R191,AT180:AT227,R196)+COUNTIFS(AU180:AU227,R191,AV180:AV227,R196))*0.5</f>
        <v>0</v>
      </c>
      <c r="W196" s="90">
        <f>IF(AH176="","-",IF(V196=0,U196,IFERROR((U196/V196)-1,"-")))</f>
        <v>0</v>
      </c>
      <c r="X196" s="200">
        <f t="shared" si="127"/>
        <v>0</v>
      </c>
      <c r="Y196" s="299"/>
      <c r="Z196" s="300"/>
      <c r="AA196" s="300"/>
      <c r="AB196" s="300"/>
      <c r="AC196" s="300"/>
      <c r="AD196" s="300"/>
      <c r="AE196" s="300"/>
      <c r="AF196" s="301"/>
      <c r="AH196" s="136">
        <v>0.33333333333334397</v>
      </c>
      <c r="AI196" s="136" t="s">
        <v>11</v>
      </c>
      <c r="AJ196" s="136" t="s">
        <v>120</v>
      </c>
      <c r="AK196" s="136" t="s">
        <v>11</v>
      </c>
      <c r="AL196" s="136" t="s">
        <v>120</v>
      </c>
      <c r="AM196" s="136" t="s">
        <v>11</v>
      </c>
      <c r="AN196" s="136" t="s">
        <v>120</v>
      </c>
      <c r="AO196" s="136" t="s">
        <v>11</v>
      </c>
      <c r="AP196" s="136" t="s">
        <v>120</v>
      </c>
      <c r="AQ196" s="136" t="s">
        <v>11</v>
      </c>
      <c r="AR196" s="136" t="s">
        <v>120</v>
      </c>
      <c r="AS196" s="136" t="s">
        <v>10</v>
      </c>
      <c r="AT196" s="136" t="s">
        <v>120</v>
      </c>
      <c r="AU196" s="136" t="s">
        <v>10</v>
      </c>
      <c r="AV196" s="136" t="s">
        <v>120</v>
      </c>
      <c r="AX196" s="136" t="str">
        <f>IF(AI176="","",IF(B196="","",B196))</f>
        <v>HD</v>
      </c>
      <c r="AY196" s="136" t="str">
        <f>IF(AI176="","",IF(C196="","",C196))</f>
        <v>-</v>
      </c>
      <c r="AZ196" s="136" t="str">
        <f>IF(AI176="","",IF(D196="","",D196))</f>
        <v>HD</v>
      </c>
      <c r="BA196" s="136" t="str">
        <f>IF(AI176="","",IF(E196="","",E196))</f>
        <v>-</v>
      </c>
      <c r="BB196" s="136" t="str">
        <f>IF(AI176="","",IF(F196="","",F196))</f>
        <v>HD</v>
      </c>
      <c r="BC196" s="136" t="str">
        <f>IF(AI176="","",IF(G196="","",G196))</f>
        <v>-</v>
      </c>
      <c r="BD196" s="136" t="str">
        <f>IF(AI176="","",IF(H196="","",H196))</f>
        <v>HD</v>
      </c>
      <c r="BE196" s="136" t="str">
        <f>IF(AI176="","",IF(I196="","",I196))</f>
        <v>-</v>
      </c>
      <c r="BF196" s="136" t="str">
        <f>IF(AI176="","",IF(J196="","",J196))</f>
        <v>HD</v>
      </c>
      <c r="BG196" s="136" t="str">
        <f>IF(AI176="","",IF(K196="","",K196))</f>
        <v>-</v>
      </c>
      <c r="BH196" s="136" t="str">
        <f>IF(AI176="","",IF(L196="","",L196))</f>
        <v>HS</v>
      </c>
      <c r="BI196" s="136" t="str">
        <f>IF(AI176="","",IF(M196="","",M196))</f>
        <v>-</v>
      </c>
      <c r="BJ196" s="136" t="str">
        <f>IF(AI176="","",IF(N196="","",N196))</f>
        <v>HS</v>
      </c>
      <c r="BK196" s="136" t="str">
        <f>IF(AI176="","",IF(O196="","",O196))</f>
        <v>-</v>
      </c>
      <c r="BM196" s="136" t="str">
        <f>BM195</f>
        <v>EG</v>
      </c>
      <c r="BN196" s="136" t="str">
        <f t="shared" si="122"/>
        <v>Estudo em Grupo</v>
      </c>
      <c r="BO196" s="136" t="str">
        <f t="shared" si="122"/>
        <v>FP</v>
      </c>
      <c r="BP196" s="136">
        <f>(COUNTIFS(AX180:AX227,BM196,AY180:AY227,BO196)+COUNTIFS(AZ180:AZ227,BM196,BA180:BA227,BO196)+COUNTIFS(BB180:BB227,BM196,BC180:BC227,BO196)+COUNTIFS(BD180:BD227,BM196,BE180:BE227,BO196)+COUNTIFS(BF180:BF227,BM196,BG180:BG227,BO196)+COUNTIFS(BH180:BH227,BM196,BI180:BI227,BO196)+COUNTIFS(BJ180:BJ227,BM196,BK180:BK227,BO196))*0.5</f>
        <v>3</v>
      </c>
      <c r="BQ196" s="136" t="str">
        <f t="shared" si="123"/>
        <v>Estudo em Grupo</v>
      </c>
      <c r="BR196" s="136" t="str">
        <f t="shared" si="123"/>
        <v>FP</v>
      </c>
      <c r="BS196" s="136" t="str">
        <f t="shared" si="124"/>
        <v>Estudo em Grupo</v>
      </c>
      <c r="BT196" s="136">
        <f t="shared" si="130"/>
        <v>11</v>
      </c>
      <c r="BU196" s="136">
        <f t="shared" si="131"/>
        <v>12</v>
      </c>
      <c r="CA196" s="183">
        <f>'INFO BASE'!L259</f>
        <v>0</v>
      </c>
      <c r="CB196" s="183">
        <f>'INFO BASE'!M259</f>
        <v>0</v>
      </c>
      <c r="CD196" s="136" t="str">
        <f>IF('INFO BASE'!F210="","",'INFO BASE'!F210)</f>
        <v/>
      </c>
      <c r="CR196" s="177" t="str">
        <f t="shared" si="112"/>
        <v>HD</v>
      </c>
      <c r="CS196" s="177" t="str">
        <f t="shared" si="113"/>
        <v>HD-</v>
      </c>
      <c r="CT196" s="177" t="str">
        <f t="shared" si="112"/>
        <v>HD</v>
      </c>
      <c r="CU196" s="177" t="str">
        <f t="shared" si="114"/>
        <v>HD-</v>
      </c>
      <c r="CV196" s="177" t="str">
        <f t="shared" si="112"/>
        <v>HD</v>
      </c>
      <c r="CW196" s="177" t="str">
        <f t="shared" si="115"/>
        <v>HD-</v>
      </c>
      <c r="CX196" s="177" t="str">
        <f t="shared" si="112"/>
        <v>HD</v>
      </c>
      <c r="CY196" s="177" t="str">
        <f t="shared" si="116"/>
        <v>HD-</v>
      </c>
      <c r="CZ196" s="177" t="str">
        <f t="shared" si="112"/>
        <v>HD</v>
      </c>
      <c r="DA196" s="177" t="str">
        <f t="shared" si="117"/>
        <v>HD-</v>
      </c>
      <c r="DB196" s="177" t="str">
        <f t="shared" si="112"/>
        <v>HS</v>
      </c>
      <c r="DC196" s="177" t="str">
        <f t="shared" si="118"/>
        <v>HS-</v>
      </c>
      <c r="DD196" s="177" t="str">
        <f t="shared" si="119"/>
        <v>HS</v>
      </c>
      <c r="DE196" s="177" t="str">
        <f t="shared" si="120"/>
        <v>HS-</v>
      </c>
    </row>
    <row r="197" spans="1:109" ht="18" customHeight="1" thickBot="1" x14ac:dyDescent="0.35">
      <c r="A197" s="81">
        <v>0.35416666666667801</v>
      </c>
      <c r="B197" s="166" t="s">
        <v>11</v>
      </c>
      <c r="C197" s="130" t="s">
        <v>120</v>
      </c>
      <c r="D197" s="169" t="s">
        <v>11</v>
      </c>
      <c r="E197" s="130" t="s">
        <v>120</v>
      </c>
      <c r="F197" s="169" t="s">
        <v>130</v>
      </c>
      <c r="G197" s="130" t="s">
        <v>230</v>
      </c>
      <c r="H197" s="169" t="s">
        <v>11</v>
      </c>
      <c r="I197" s="130" t="s">
        <v>120</v>
      </c>
      <c r="J197" s="169" t="s">
        <v>11</v>
      </c>
      <c r="K197" s="130" t="s">
        <v>120</v>
      </c>
      <c r="L197" s="169" t="s">
        <v>10</v>
      </c>
      <c r="M197" s="130" t="s">
        <v>120</v>
      </c>
      <c r="N197" s="169" t="s">
        <v>116</v>
      </c>
      <c r="O197" s="154" t="s">
        <v>120</v>
      </c>
      <c r="P197" s="6">
        <v>0</v>
      </c>
      <c r="Q197" s="112" t="str">
        <f t="shared" si="128"/>
        <v>Estudo Autónomo</v>
      </c>
      <c r="R197" s="107" t="str">
        <f t="shared" si="129"/>
        <v/>
      </c>
      <c r="S197" s="94" t="str">
        <f t="shared" si="126"/>
        <v>-</v>
      </c>
      <c r="T197" s="95" t="str">
        <f>IF(VLOOKUP(Q197,'INFO BASE'!$B$40:$I$54,IF(R197='INFO BASE'!$B$32,3,IF(R197='INFO BASE'!$B$33,4,IF(R197='INFO BASE'!$B$34,5,IF(R197='INFO BASE'!$B$35,6,IF(R197='INFO BASE'!$B$36,7,IF(R197='INFO BASE'!$B$37,8,2)))))),0)=0,"",VLOOKUP(Q197,'INFO BASE'!$B$40:$I$54,IF(R197='INFO BASE'!$B$32,3,IF(R197='INFO BASE'!$B$33,4,IF(R197='INFO BASE'!$B$34,5,IF(R197='INFO BASE'!$B$35,6,IF(R197='INFO BASE'!$B$36,7,IF(R197='INFO BASE'!$B$37,8,2)))))),0))</f>
        <v/>
      </c>
      <c r="U197" s="95">
        <f>(COUNTIFS(C180:C227,R197,B180:B227,R191)+COUNTIFS(E180:E227,R197,D180:D227,R191)+COUNTIFS(G180:G227,R197,F180:F227,R191)+COUNTIFS(I180:I227,R197,H180:H227,R191)+COUNTIFS(K180:K227,R197,J180:J227,R191)+COUNTIFS(M180:M227,R197,L180:L227,R191)+COUNTIFS(O180:O227,R197,N180:N227,R191))*0.5</f>
        <v>0</v>
      </c>
      <c r="V197" s="95">
        <f>(COUNTIFS(AI180:AI227,R191,AJ180:AJ227,R197)+COUNTIFS(AK180:AK227,R191,AL180:AL227,R197)+COUNTIFS(AM180:AM227,R191,AN180:AN227,R197)+COUNTIFS(AO180:AO227,R191,AP180:AP227,R197)+COUNTIFS(AQ180:AQ227,R191,AR180:AR227,R197)+COUNTIFS(AS180:AS227,R191,AT180:AT227,R197)+COUNTIFS(AU180:AU227,R191,AV180:AV227,R197))*0.5</f>
        <v>0</v>
      </c>
      <c r="W197" s="96">
        <f>IF(AH176="","-",IF(V197=0,U197,IFERROR((U197/V197)-1,"-")))</f>
        <v>0</v>
      </c>
      <c r="X197" s="201">
        <f t="shared" si="127"/>
        <v>0</v>
      </c>
      <c r="Y197" s="274"/>
      <c r="Z197" s="275"/>
      <c r="AA197" s="275"/>
      <c r="AB197" s="275"/>
      <c r="AC197" s="275"/>
      <c r="AD197" s="275"/>
      <c r="AE197" s="275"/>
      <c r="AF197" s="276"/>
      <c r="AH197" s="136">
        <v>0.35416666666667801</v>
      </c>
      <c r="AI197" s="136" t="s">
        <v>11</v>
      </c>
      <c r="AJ197" s="136" t="s">
        <v>120</v>
      </c>
      <c r="AK197" s="136" t="s">
        <v>11</v>
      </c>
      <c r="AL197" s="136" t="s">
        <v>120</v>
      </c>
      <c r="AM197" s="136" t="s">
        <v>130</v>
      </c>
      <c r="AN197" s="136" t="s">
        <v>230</v>
      </c>
      <c r="AO197" s="136" t="s">
        <v>11</v>
      </c>
      <c r="AP197" s="136" t="s">
        <v>120</v>
      </c>
      <c r="AQ197" s="136" t="s">
        <v>11</v>
      </c>
      <c r="AR197" s="136" t="s">
        <v>120</v>
      </c>
      <c r="AS197" s="136" t="s">
        <v>10</v>
      </c>
      <c r="AT197" s="136" t="s">
        <v>120</v>
      </c>
      <c r="AU197" s="136" t="s">
        <v>116</v>
      </c>
      <c r="AV197" s="136" t="s">
        <v>120</v>
      </c>
      <c r="AX197" s="136" t="str">
        <f>IF(AI176="","",IF(B197="","",B197))</f>
        <v>HD</v>
      </c>
      <c r="AY197" s="136" t="str">
        <f>IF(AI176="","",IF(C197="","",C197))</f>
        <v>-</v>
      </c>
      <c r="AZ197" s="136" t="str">
        <f>IF(AI176="","",IF(D197="","",D197))</f>
        <v>HD</v>
      </c>
      <c r="BA197" s="136" t="str">
        <f>IF(AI176="","",IF(E197="","",E197))</f>
        <v>-</v>
      </c>
      <c r="BB197" s="136" t="str">
        <f>IF(AI176="","",IF(F197="","",F197))</f>
        <v>APB</v>
      </c>
      <c r="BC197" s="136" t="str">
        <f>IF(AI176="","",IF(G197="","",G197))</f>
        <v>AL</v>
      </c>
      <c r="BD197" s="136" t="str">
        <f>IF(AI176="","",IF(H197="","",H197))</f>
        <v>HD</v>
      </c>
      <c r="BE197" s="136" t="str">
        <f>IF(AI176="","",IF(I197="","",I197))</f>
        <v>-</v>
      </c>
      <c r="BF197" s="136" t="str">
        <f>IF(AI176="","",IF(J197="","",J197))</f>
        <v>HD</v>
      </c>
      <c r="BG197" s="136" t="str">
        <f>IF(AI176="","",IF(K197="","",K197))</f>
        <v>-</v>
      </c>
      <c r="BH197" s="136" t="str">
        <f>IF(AI176="","",IF(L197="","",L197))</f>
        <v>HS</v>
      </c>
      <c r="BI197" s="136" t="str">
        <f>IF(AI176="","",IF(M197="","",M197))</f>
        <v>-</v>
      </c>
      <c r="BJ197" s="136" t="str">
        <f>IF(AI176="","",IF(N197="","",N197))</f>
        <v>PV</v>
      </c>
      <c r="BK197" s="136" t="str">
        <f>IF(AI176="","",IF(O197="","",O197))</f>
        <v>-</v>
      </c>
      <c r="BM197" s="136" t="str">
        <f t="shared" ref="BM197:BM201" si="132">BM196</f>
        <v>EG</v>
      </c>
      <c r="BN197" s="136" t="str">
        <f t="shared" si="122"/>
        <v>Estudo em Grupo</v>
      </c>
      <c r="BO197" s="136" t="str">
        <f t="shared" si="122"/>
        <v>IEI</v>
      </c>
      <c r="BP197" s="136">
        <f>(COUNTIFS(AX180:AX227,BM197,AY180:AY227,BO197)+COUNTIFS(AZ180:AZ227,BM197,BA180:BA227,BO197)+COUNTIFS(BB180:BB227,BM197,BC180:BC227,BO197)+COUNTIFS(BD180:BD227,BM197,BE180:BE227,BO197)+COUNTIFS(BF180:BF227,BM197,BG180:BG227,BO197)+COUNTIFS(BH180:BH227,BM197,BI180:BI227,BO197)+COUNTIFS(BJ180:BJ227,BM197,BK180:BK227,BO197))*0.5</f>
        <v>0</v>
      </c>
      <c r="BQ197" s="136" t="str">
        <f t="shared" si="123"/>
        <v>Estudo em Grupo</v>
      </c>
      <c r="BR197" s="136" t="str">
        <f t="shared" si="123"/>
        <v>IEI</v>
      </c>
      <c r="BS197" s="136" t="str">
        <f t="shared" si="124"/>
        <v>Estudo em Grupo</v>
      </c>
      <c r="BT197" s="136">
        <f t="shared" si="130"/>
        <v>2.5</v>
      </c>
      <c r="BU197" s="136">
        <f t="shared" si="131"/>
        <v>7</v>
      </c>
      <c r="CA197" s="183">
        <f>'INFO BASE'!L260</f>
        <v>0</v>
      </c>
      <c r="CB197" s="183">
        <f>'INFO BASE'!M260</f>
        <v>0</v>
      </c>
      <c r="CR197" s="177" t="str">
        <f t="shared" si="112"/>
        <v>HD</v>
      </c>
      <c r="CS197" s="177" t="str">
        <f t="shared" si="113"/>
        <v>HD-</v>
      </c>
      <c r="CT197" s="177" t="str">
        <f t="shared" si="112"/>
        <v>HD</v>
      </c>
      <c r="CU197" s="177" t="str">
        <f t="shared" si="114"/>
        <v>HD-</v>
      </c>
      <c r="CV197" s="177" t="str">
        <f t="shared" si="112"/>
        <v>APB</v>
      </c>
      <c r="CW197" s="177" t="str">
        <f t="shared" si="115"/>
        <v>APBAL</v>
      </c>
      <c r="CX197" s="177" t="str">
        <f t="shared" si="112"/>
        <v>HD</v>
      </c>
      <c r="CY197" s="177" t="str">
        <f t="shared" si="116"/>
        <v>HD-</v>
      </c>
      <c r="CZ197" s="177" t="str">
        <f t="shared" si="112"/>
        <v>HD</v>
      </c>
      <c r="DA197" s="177" t="str">
        <f t="shared" si="117"/>
        <v>HD-</v>
      </c>
      <c r="DB197" s="177" t="str">
        <f t="shared" si="112"/>
        <v>HS</v>
      </c>
      <c r="DC197" s="177" t="str">
        <f t="shared" si="118"/>
        <v>HS-</v>
      </c>
      <c r="DD197" s="177" t="str">
        <f t="shared" si="119"/>
        <v>PV</v>
      </c>
      <c r="DE197" s="177">
        <f t="shared" si="120"/>
        <v>0</v>
      </c>
    </row>
    <row r="198" spans="1:109" ht="18" customHeight="1" x14ac:dyDescent="0.3">
      <c r="A198" s="81">
        <v>0.37500000000001199</v>
      </c>
      <c r="B198" s="166" t="s">
        <v>9</v>
      </c>
      <c r="C198" s="130" t="s">
        <v>228</v>
      </c>
      <c r="D198" s="169" t="s">
        <v>9</v>
      </c>
      <c r="E198" s="130" t="s">
        <v>226</v>
      </c>
      <c r="F198" s="169" t="s">
        <v>130</v>
      </c>
      <c r="G198" s="130" t="s">
        <v>230</v>
      </c>
      <c r="H198" s="169" t="s">
        <v>9</v>
      </c>
      <c r="I198" s="130" t="s">
        <v>228</v>
      </c>
      <c r="J198" s="169" t="s">
        <v>9</v>
      </c>
      <c r="K198" s="130" t="s">
        <v>224</v>
      </c>
      <c r="L198" s="169" t="s">
        <v>10</v>
      </c>
      <c r="M198" s="130" t="s">
        <v>120</v>
      </c>
      <c r="N198" s="169" t="s">
        <v>116</v>
      </c>
      <c r="O198" s="154" t="s">
        <v>120</v>
      </c>
      <c r="P198" s="6">
        <v>0</v>
      </c>
      <c r="Q198" s="113" t="str">
        <f>IF('INFO BASE'!$C$18="","",'INFO BASE'!$C$18)</f>
        <v>Estudo em Grupo</v>
      </c>
      <c r="R198" s="82" t="str">
        <f t="shared" si="129"/>
        <v>EG</v>
      </c>
      <c r="S198" s="83">
        <f t="shared" si="126"/>
        <v>-0.25</v>
      </c>
      <c r="T198" s="84">
        <f>IF(VLOOKUP(Q198,'INFO BASE'!$B$40:$I$54,IF(R198='INFO BASE'!$B$32,3,IF(R198='INFO BASE'!$B$33,4,IF(R198='INFO BASE'!$B$34,5,IF(R198='INFO BASE'!$B$35,6,IF(R198='INFO BASE'!$B$36,7,IF(R198='INFO BASE'!$B$37,8,2)))))),0)=0,"",VLOOKUP(Q198,'INFO BASE'!$B$40:$I$54,IF(R198='INFO BASE'!$B$32,3,IF(R198='INFO BASE'!$B$33,4,IF(R198='INFO BASE'!$B$34,5,IF(R198='INFO BASE'!$B$35,6,IF(R198='INFO BASE'!$B$36,7,IF(R198='INFO BASE'!$B$37,8,2)))))),0))</f>
        <v>8</v>
      </c>
      <c r="U198" s="84">
        <f>IF(R198="","",COUNTIFS(SEMANA4,R198)*0.5)</f>
        <v>6</v>
      </c>
      <c r="V198" s="84">
        <f>IF(R198="","",COUNTIFS(AI180:AV227,R198)*0.5)</f>
        <v>6</v>
      </c>
      <c r="W198" s="85">
        <f>IF(AH176="","-",IF(V198=0,U198,IFERROR((U198/V198)-1,"-")))</f>
        <v>0</v>
      </c>
      <c r="X198" s="201">
        <f t="shared" si="127"/>
        <v>0</v>
      </c>
      <c r="Y198" s="277"/>
      <c r="Z198" s="278"/>
      <c r="AA198" s="278"/>
      <c r="AB198" s="278"/>
      <c r="AC198" s="278"/>
      <c r="AD198" s="278"/>
      <c r="AE198" s="278"/>
      <c r="AF198" s="279"/>
      <c r="AH198" s="136">
        <v>0.37500000000001199</v>
      </c>
      <c r="AI198" s="136" t="s">
        <v>9</v>
      </c>
      <c r="AJ198" s="136" t="s">
        <v>228</v>
      </c>
      <c r="AK198" s="136" t="s">
        <v>9</v>
      </c>
      <c r="AL198" s="136" t="s">
        <v>226</v>
      </c>
      <c r="AM198" s="136" t="s">
        <v>130</v>
      </c>
      <c r="AN198" s="136" t="s">
        <v>230</v>
      </c>
      <c r="AO198" s="136" t="s">
        <v>9</v>
      </c>
      <c r="AP198" s="136" t="s">
        <v>228</v>
      </c>
      <c r="AQ198" s="136" t="s">
        <v>9</v>
      </c>
      <c r="AR198" s="136" t="s">
        <v>224</v>
      </c>
      <c r="AS198" s="136" t="s">
        <v>10</v>
      </c>
      <c r="AT198" s="136" t="s">
        <v>120</v>
      </c>
      <c r="AU198" s="136" t="s">
        <v>116</v>
      </c>
      <c r="AV198" s="136" t="s">
        <v>120</v>
      </c>
      <c r="AX198" s="136" t="str">
        <f>IF(AI176="","",IF(B198="","",B198))</f>
        <v>AT</v>
      </c>
      <c r="AY198" s="136" t="str">
        <f>IF(AI176="","",IF(C198="","",C198))</f>
        <v>IAC</v>
      </c>
      <c r="AZ198" s="136" t="str">
        <f>IF(AI176="","",IF(D198="","",D198))</f>
        <v>AT</v>
      </c>
      <c r="BA198" s="136" t="str">
        <f>IF(AI176="","",IF(E198="","",E198))</f>
        <v>IEI</v>
      </c>
      <c r="BB198" s="136" t="str">
        <f>IF(AI176="","",IF(F198="","",F198))</f>
        <v>APB</v>
      </c>
      <c r="BC198" s="136" t="str">
        <f>IF(AI176="","",IF(G198="","",G198))</f>
        <v>AL</v>
      </c>
      <c r="BD198" s="136" t="str">
        <f>IF(AI176="","",IF(H198="","",H198))</f>
        <v>AT</v>
      </c>
      <c r="BE198" s="136" t="str">
        <f>IF(AI176="","",IF(I198="","",I198))</f>
        <v>IAC</v>
      </c>
      <c r="BF198" s="136" t="str">
        <f>IF(AI176="","",IF(J198="","",J198))</f>
        <v>AT</v>
      </c>
      <c r="BG198" s="136" t="str">
        <f>IF(AI176="","",IF(K198="","",K198))</f>
        <v>FP</v>
      </c>
      <c r="BH198" s="136" t="str">
        <f>IF(AI176="","",IF(L198="","",L198))</f>
        <v>HS</v>
      </c>
      <c r="BI198" s="136" t="str">
        <f>IF(AI176="","",IF(M198="","",M198))</f>
        <v>-</v>
      </c>
      <c r="BJ198" s="136" t="str">
        <f>IF(AI176="","",IF(N198="","",N198))</f>
        <v>PV</v>
      </c>
      <c r="BK198" s="136" t="str">
        <f>IF(AI176="","",IF(O198="","",O198))</f>
        <v>-</v>
      </c>
      <c r="BM198" s="136" t="str">
        <f t="shared" si="132"/>
        <v>EG</v>
      </c>
      <c r="BN198" s="136" t="str">
        <f t="shared" si="122"/>
        <v>Estudo em Grupo</v>
      </c>
      <c r="BO198" s="136" t="str">
        <f t="shared" si="122"/>
        <v>IAC</v>
      </c>
      <c r="BP198" s="136">
        <f>(COUNTIFS(AX180:AX227,BM198,AY180:AY227,BO198)+COUNTIFS(AZ180:AZ227,BM198,BA180:BA227,BO198)+COUNTIFS(BB180:BB227,BM198,BC180:BC227,BO198)+COUNTIFS(BD180:BD227,BM198,BE180:BE227,BO198)+COUNTIFS(BF180:BF227,BM198,BG180:BG227,BO198)+COUNTIFS(BH180:BH227,BM198,BI180:BI227,BO198)+COUNTIFS(BJ180:BJ227,BM198,BK180:BK227,BO198))*0.5</f>
        <v>0</v>
      </c>
      <c r="BQ198" s="136" t="str">
        <f t="shared" si="123"/>
        <v>Estudo em Grupo</v>
      </c>
      <c r="BR198" s="136" t="str">
        <f t="shared" si="123"/>
        <v>IAC</v>
      </c>
      <c r="BS198" s="136" t="str">
        <f t="shared" si="124"/>
        <v>Estudo em Grupo</v>
      </c>
      <c r="BT198" s="136">
        <f t="shared" si="130"/>
        <v>6</v>
      </c>
      <c r="BU198" s="136">
        <f t="shared" si="131"/>
        <v>10.5</v>
      </c>
      <c r="CA198" s="183">
        <f>'INFO BASE'!L261</f>
        <v>0</v>
      </c>
      <c r="CB198" s="183">
        <f>'INFO BASE'!M261</f>
        <v>0</v>
      </c>
      <c r="CR198" s="177" t="str">
        <f t="shared" si="112"/>
        <v>AT</v>
      </c>
      <c r="CS198" s="177" t="str">
        <f t="shared" si="113"/>
        <v>ATIAC</v>
      </c>
      <c r="CT198" s="177" t="str">
        <f t="shared" si="112"/>
        <v>AT</v>
      </c>
      <c r="CU198" s="177" t="str">
        <f t="shared" si="114"/>
        <v>ATIEI</v>
      </c>
      <c r="CV198" s="177" t="str">
        <f t="shared" si="112"/>
        <v>APB</v>
      </c>
      <c r="CW198" s="177" t="str">
        <f t="shared" si="115"/>
        <v>APBAL</v>
      </c>
      <c r="CX198" s="177" t="str">
        <f t="shared" si="112"/>
        <v>AT</v>
      </c>
      <c r="CY198" s="177" t="str">
        <f t="shared" si="116"/>
        <v>ATIAC</v>
      </c>
      <c r="CZ198" s="177" t="str">
        <f t="shared" si="112"/>
        <v>AT</v>
      </c>
      <c r="DA198" s="177" t="str">
        <f t="shared" si="117"/>
        <v>ATFP</v>
      </c>
      <c r="DB198" s="177" t="str">
        <f t="shared" si="112"/>
        <v>HS</v>
      </c>
      <c r="DC198" s="177" t="str">
        <f t="shared" si="118"/>
        <v>HS-</v>
      </c>
      <c r="DD198" s="177" t="str">
        <f t="shared" si="119"/>
        <v>PV</v>
      </c>
      <c r="DE198" s="177">
        <f t="shared" si="120"/>
        <v>0</v>
      </c>
    </row>
    <row r="199" spans="1:109" ht="18" customHeight="1" x14ac:dyDescent="0.3">
      <c r="A199" s="81">
        <v>0.39583333333334603</v>
      </c>
      <c r="B199" s="166" t="s">
        <v>9</v>
      </c>
      <c r="C199" s="130" t="s">
        <v>228</v>
      </c>
      <c r="D199" s="169" t="s">
        <v>9</v>
      </c>
      <c r="E199" s="130" t="s">
        <v>226</v>
      </c>
      <c r="F199" s="169" t="s">
        <v>130</v>
      </c>
      <c r="G199" s="130" t="s">
        <v>230</v>
      </c>
      <c r="H199" s="169" t="s">
        <v>9</v>
      </c>
      <c r="I199" s="130" t="s">
        <v>228</v>
      </c>
      <c r="J199" s="169" t="s">
        <v>9</v>
      </c>
      <c r="K199" s="130" t="s">
        <v>224</v>
      </c>
      <c r="L199" s="169" t="s">
        <v>10</v>
      </c>
      <c r="M199" s="130" t="s">
        <v>120</v>
      </c>
      <c r="N199" s="169" t="s">
        <v>116</v>
      </c>
      <c r="O199" s="154" t="s">
        <v>120</v>
      </c>
      <c r="P199" s="6">
        <v>0</v>
      </c>
      <c r="Q199" s="114" t="str">
        <f t="shared" ref="Q199:Q204" si="133">Q198</f>
        <v>Estudo em Grupo</v>
      </c>
      <c r="R199" s="105" t="str">
        <f t="shared" si="129"/>
        <v>FP</v>
      </c>
      <c r="S199" s="88">
        <f t="shared" si="126"/>
        <v>0.5</v>
      </c>
      <c r="T199" s="89">
        <f>IF(VLOOKUP(Q199,'INFO BASE'!$B$40:$I$54,IF(R199='INFO BASE'!$B$32,3,IF(R199='INFO BASE'!$B$33,4,IF(R199='INFO BASE'!$B$34,5,IF(R199='INFO BASE'!$B$35,6,IF(R199='INFO BASE'!$B$36,7,IF(R199='INFO BASE'!$B$37,8,2)))))),0)=0,"",VLOOKUP(Q199,'INFO BASE'!$B$40:$I$54,IF(R199='INFO BASE'!$B$32,3,IF(R199='INFO BASE'!$B$33,4,IF(R199='INFO BASE'!$B$34,5,IF(R199='INFO BASE'!$B$35,6,IF(R199='INFO BASE'!$B$36,7,IF(R199='INFO BASE'!$B$37,8,2)))))),0))</f>
        <v>2</v>
      </c>
      <c r="U199" s="89">
        <f>(COUNTIFS(C180:C227,R199,B180:B227,R198)+COUNTIFS(E180:E227,R199,D180:D227,R198)+COUNTIFS(G180:G227,R199,F180:F227,R198)+COUNTIFS(I180:I227,R199,H180:H227,R198)+COUNTIFS(K180:K227,R199,J180:J227,R198)+COUNTIFS(M180:M227,R199,L180:L227,R198)+COUNTIFS(O180:O227,R199,N180:N227,R198))*0.5</f>
        <v>3</v>
      </c>
      <c r="V199" s="89">
        <f>(COUNTIFS(AI180:AI227,R198,AJ180:AJ227,R192)+COUNTIFS(AK180:AK227,R198,AL180:AL227,R192)+COUNTIFS(AM180:AM227,R198,AN180:AN227,R192)+COUNTIFS(AO180:AO227,R198,AP180:AP227,R192)+COUNTIFS(AQ180:AQ227,R198,AR180:AR227,R192)+COUNTIFS(AS180:AS227,R198,AT180:AT227,R192)+COUNTIFS(AU180:AU227,R198,AV180:AV227,R192))*0.5</f>
        <v>3</v>
      </c>
      <c r="W199" s="90">
        <f>IF(AH176="","-",IF(V199=0,U199,IFERROR((U199/V199)-1,"-")))</f>
        <v>0</v>
      </c>
      <c r="X199" s="201">
        <f t="shared" si="127"/>
        <v>0</v>
      </c>
      <c r="Y199" s="271"/>
      <c r="Z199" s="272"/>
      <c r="AA199" s="272"/>
      <c r="AB199" s="272"/>
      <c r="AC199" s="272"/>
      <c r="AD199" s="272"/>
      <c r="AE199" s="272"/>
      <c r="AF199" s="273"/>
      <c r="AH199" s="136">
        <v>0.39583333333334603</v>
      </c>
      <c r="AI199" s="136" t="s">
        <v>9</v>
      </c>
      <c r="AJ199" s="136" t="s">
        <v>228</v>
      </c>
      <c r="AK199" s="136" t="s">
        <v>9</v>
      </c>
      <c r="AL199" s="136" t="s">
        <v>226</v>
      </c>
      <c r="AM199" s="136" t="s">
        <v>130</v>
      </c>
      <c r="AN199" s="136" t="s">
        <v>230</v>
      </c>
      <c r="AO199" s="136" t="s">
        <v>9</v>
      </c>
      <c r="AP199" s="136" t="s">
        <v>228</v>
      </c>
      <c r="AQ199" s="136" t="s">
        <v>9</v>
      </c>
      <c r="AR199" s="136" t="s">
        <v>224</v>
      </c>
      <c r="AS199" s="136" t="s">
        <v>10</v>
      </c>
      <c r="AT199" s="136" t="s">
        <v>120</v>
      </c>
      <c r="AU199" s="136" t="s">
        <v>116</v>
      </c>
      <c r="AV199" s="136" t="s">
        <v>120</v>
      </c>
      <c r="AX199" s="136" t="str">
        <f>IF(AI176="","",IF(B199="","",B199))</f>
        <v>AT</v>
      </c>
      <c r="AY199" s="136" t="str">
        <f>IF(AI176="","",IF(C199="","",C199))</f>
        <v>IAC</v>
      </c>
      <c r="AZ199" s="136" t="str">
        <f>IF(AI176="","",IF(D199="","",D199))</f>
        <v>AT</v>
      </c>
      <c r="BA199" s="136" t="str">
        <f>IF(AI176="","",IF(E199="","",E199))</f>
        <v>IEI</v>
      </c>
      <c r="BB199" s="136" t="str">
        <f>IF(AI176="","",IF(F199="","",F199))</f>
        <v>APB</v>
      </c>
      <c r="BC199" s="136" t="str">
        <f>IF(AI176="","",IF(G199="","",G199))</f>
        <v>AL</v>
      </c>
      <c r="BD199" s="136" t="str">
        <f>IF(AI176="","",IF(H199="","",H199))</f>
        <v>AT</v>
      </c>
      <c r="BE199" s="136" t="str">
        <f>IF(AI176="","",IF(I199="","",I199))</f>
        <v>IAC</v>
      </c>
      <c r="BF199" s="136" t="str">
        <f>IF(AI176="","",IF(J199="","",J199))</f>
        <v>AT</v>
      </c>
      <c r="BG199" s="136" t="str">
        <f>IF(AI176="","",IF(K199="","",K199))</f>
        <v>FP</v>
      </c>
      <c r="BH199" s="136" t="str">
        <f>IF(AI176="","",IF(L199="","",L199))</f>
        <v>HS</v>
      </c>
      <c r="BI199" s="136" t="str">
        <f>IF(AI176="","",IF(M199="","",M199))</f>
        <v>-</v>
      </c>
      <c r="BJ199" s="136" t="str">
        <f>IF(AI176="","",IF(N199="","",N199))</f>
        <v>PV</v>
      </c>
      <c r="BK199" s="136" t="str">
        <f>IF(AI176="","",IF(O199="","",O199))</f>
        <v>-</v>
      </c>
      <c r="BM199" s="136" t="str">
        <f t="shared" si="132"/>
        <v>EG</v>
      </c>
      <c r="BN199" s="136" t="str">
        <f t="shared" si="122"/>
        <v>Estudo em Grupo</v>
      </c>
      <c r="BO199" s="136" t="str">
        <f t="shared" si="122"/>
        <v>AL</v>
      </c>
      <c r="BP199" s="136">
        <f>(COUNTIFS(AX180:AX227,BM199,AY180:AY227,BO199)+COUNTIFS(AZ180:AZ227,BM199,BA180:BA227,BO199)+COUNTIFS(BB180:BB227,BM199,BC180:BC227,BO199)+COUNTIFS(BD180:BD227,BM199,BE180:BE227,BO199)+COUNTIFS(BF180:BF227,BM199,BG180:BG227,BO199)+COUNTIFS(BH180:BH227,BM199,BI180:BI227,BO199)+COUNTIFS(BJ180:BJ227,BM199,BK180:BK227,BO199))*0.5</f>
        <v>2</v>
      </c>
      <c r="BQ199" s="136" t="str">
        <f t="shared" si="123"/>
        <v>Estudo em Grupo</v>
      </c>
      <c r="BR199" s="136" t="str">
        <f t="shared" si="123"/>
        <v>AL</v>
      </c>
      <c r="BS199" s="136" t="str">
        <f t="shared" si="124"/>
        <v>Estudo em Grupo</v>
      </c>
      <c r="BT199" s="136">
        <f t="shared" si="130"/>
        <v>16.5</v>
      </c>
      <c r="BU199" s="136">
        <f t="shared" si="131"/>
        <v>17.5</v>
      </c>
      <c r="CA199" s="183">
        <f>'INFO BASE'!L262</f>
        <v>0</v>
      </c>
      <c r="CB199" s="183">
        <f>'INFO BASE'!M262</f>
        <v>0</v>
      </c>
      <c r="CR199" s="177" t="str">
        <f t="shared" si="112"/>
        <v>AT</v>
      </c>
      <c r="CS199" s="177" t="str">
        <f t="shared" si="113"/>
        <v>ATIAC</v>
      </c>
      <c r="CT199" s="177" t="str">
        <f t="shared" si="112"/>
        <v>AT</v>
      </c>
      <c r="CU199" s="177" t="str">
        <f t="shared" si="114"/>
        <v>ATIEI</v>
      </c>
      <c r="CV199" s="177" t="str">
        <f t="shared" si="112"/>
        <v>APB</v>
      </c>
      <c r="CW199" s="177" t="str">
        <f t="shared" si="115"/>
        <v>APBAL</v>
      </c>
      <c r="CX199" s="177" t="str">
        <f t="shared" si="112"/>
        <v>AT</v>
      </c>
      <c r="CY199" s="177" t="str">
        <f t="shared" si="116"/>
        <v>ATIAC</v>
      </c>
      <c r="CZ199" s="177" t="str">
        <f t="shared" si="112"/>
        <v>AT</v>
      </c>
      <c r="DA199" s="177" t="str">
        <f t="shared" si="117"/>
        <v>ATFP</v>
      </c>
      <c r="DB199" s="177" t="str">
        <f t="shared" si="112"/>
        <v>HS</v>
      </c>
      <c r="DC199" s="177" t="str">
        <f t="shared" si="118"/>
        <v>HS-</v>
      </c>
      <c r="DD199" s="177" t="str">
        <f t="shared" si="119"/>
        <v>PV</v>
      </c>
      <c r="DE199" s="177">
        <f t="shared" si="120"/>
        <v>0</v>
      </c>
    </row>
    <row r="200" spans="1:109" ht="18" customHeight="1" x14ac:dyDescent="0.3">
      <c r="A200" s="81">
        <v>0.41666666666668001</v>
      </c>
      <c r="B200" s="166" t="s">
        <v>9</v>
      </c>
      <c r="C200" s="130" t="s">
        <v>228</v>
      </c>
      <c r="D200" s="169" t="s">
        <v>9</v>
      </c>
      <c r="E200" s="130" t="s">
        <v>226</v>
      </c>
      <c r="F200" s="169" t="s">
        <v>9</v>
      </c>
      <c r="G200" s="130" t="s">
        <v>224</v>
      </c>
      <c r="H200" s="169" t="s">
        <v>9</v>
      </c>
      <c r="I200" s="130" t="s">
        <v>228</v>
      </c>
      <c r="J200" s="169" t="s">
        <v>9</v>
      </c>
      <c r="K200" s="130" t="s">
        <v>224</v>
      </c>
      <c r="L200" s="169" t="s">
        <v>10</v>
      </c>
      <c r="M200" s="130" t="s">
        <v>120</v>
      </c>
      <c r="N200" s="169" t="s">
        <v>116</v>
      </c>
      <c r="O200" s="154" t="s">
        <v>120</v>
      </c>
      <c r="P200" s="6">
        <v>0</v>
      </c>
      <c r="Q200" s="114" t="str">
        <f t="shared" si="133"/>
        <v>Estudo em Grupo</v>
      </c>
      <c r="R200" s="105" t="str">
        <f t="shared" si="129"/>
        <v>IEI</v>
      </c>
      <c r="S200" s="88" t="str">
        <f t="shared" si="126"/>
        <v>-</v>
      </c>
      <c r="T200" s="89" t="str">
        <f>IF(VLOOKUP(Q200,'INFO BASE'!$B$40:$I$54,IF(R200='INFO BASE'!$B$32,3,IF(R200='INFO BASE'!$B$33,4,IF(R200='INFO BASE'!$B$34,5,IF(R200='INFO BASE'!$B$35,6,IF(R200='INFO BASE'!$B$36,7,IF(R200='INFO BASE'!$B$37,8,2)))))),0)=0,"",VLOOKUP(Q200,'INFO BASE'!$B$40:$I$54,IF(R200='INFO BASE'!$B$32,3,IF(R200='INFO BASE'!$B$33,4,IF(R200='INFO BASE'!$B$34,5,IF(R200='INFO BASE'!$B$35,6,IF(R200='INFO BASE'!$B$36,7,IF(R200='INFO BASE'!$B$37,8,2)))))),0))</f>
        <v/>
      </c>
      <c r="U200" s="89">
        <f>(COUNTIFS(C180:C227,R200,B180:B227,R198)+COUNTIFS(E180:E227,R200,D180:D227,R198)+COUNTIFS(G180:G227,R200,F180:F227,R198)+COUNTIFS(I180:I227,R200,H180:H227,R198)+COUNTIFS(K180:K227,R200,J180:J227,R198)+COUNTIFS(M180:M227,R200,L180:L227,R198)+COUNTIFS(O180:O227,R200,N180:N227,R198))*0.5</f>
        <v>0</v>
      </c>
      <c r="V200" s="89">
        <f>(COUNTIFS(AI180:AI227,R198,AJ180:AJ227,R193)+COUNTIFS(AK180:AK227,R198,AL180:AL227,R193)+COUNTIFS(AM180:AM227,R198,AN180:AN227,R193)+COUNTIFS(AO180:AO227,R198,AP180:AP227,R193)+COUNTIFS(AQ180:AQ227,R198,AR180:AR227,R193)+COUNTIFS(AS180:AS227,R198,AT180:AT227,R193)+COUNTIFS(AU180:AU227,R198,AV180:AV227,R193))*0.5</f>
        <v>0</v>
      </c>
      <c r="W200" s="90">
        <f>IF(AH176="","-",IF(V200=0,U200,IFERROR((U200/V200)-1,"-")))</f>
        <v>0</v>
      </c>
      <c r="X200" s="201">
        <f t="shared" si="127"/>
        <v>0</v>
      </c>
      <c r="Y200" s="271"/>
      <c r="Z200" s="272"/>
      <c r="AA200" s="272"/>
      <c r="AB200" s="272"/>
      <c r="AC200" s="272"/>
      <c r="AD200" s="272"/>
      <c r="AE200" s="272"/>
      <c r="AF200" s="273"/>
      <c r="AH200" s="136">
        <v>0.41666666666668001</v>
      </c>
      <c r="AI200" s="136" t="s">
        <v>9</v>
      </c>
      <c r="AJ200" s="136" t="s">
        <v>228</v>
      </c>
      <c r="AK200" s="136" t="s">
        <v>9</v>
      </c>
      <c r="AL200" s="136" t="s">
        <v>226</v>
      </c>
      <c r="AM200" s="136" t="s">
        <v>9</v>
      </c>
      <c r="AN200" s="136" t="s">
        <v>224</v>
      </c>
      <c r="AO200" s="136" t="s">
        <v>9</v>
      </c>
      <c r="AP200" s="136" t="s">
        <v>228</v>
      </c>
      <c r="AQ200" s="136" t="s">
        <v>9</v>
      </c>
      <c r="AR200" s="136" t="s">
        <v>224</v>
      </c>
      <c r="AS200" s="136" t="s">
        <v>10</v>
      </c>
      <c r="AT200" s="136" t="s">
        <v>120</v>
      </c>
      <c r="AU200" s="136" t="s">
        <v>116</v>
      </c>
      <c r="AV200" s="136" t="s">
        <v>120</v>
      </c>
      <c r="AX200" s="136" t="str">
        <f>IF(AI176="","",IF(B200="","",B200))</f>
        <v>AT</v>
      </c>
      <c r="AY200" s="136" t="str">
        <f>IF(AI176="","",IF(C200="","",C200))</f>
        <v>IAC</v>
      </c>
      <c r="AZ200" s="136" t="str">
        <f>IF(AI176="","",IF(D200="","",D200))</f>
        <v>AT</v>
      </c>
      <c r="BA200" s="136" t="str">
        <f>IF(AI176="","",IF(E200="","",E200))</f>
        <v>IEI</v>
      </c>
      <c r="BB200" s="136" t="str">
        <f>IF(AI176="","",IF(F200="","",F200))</f>
        <v>AT</v>
      </c>
      <c r="BC200" s="136" t="str">
        <f>IF(AI176="","",IF(G200="","",G200))</f>
        <v>FP</v>
      </c>
      <c r="BD200" s="136" t="str">
        <f>IF(AI176="","",IF(H200="","",H200))</f>
        <v>AT</v>
      </c>
      <c r="BE200" s="136" t="str">
        <f>IF(AI176="","",IF(I200="","",I200))</f>
        <v>IAC</v>
      </c>
      <c r="BF200" s="136" t="str">
        <f>IF(AI176="","",IF(J200="","",J200))</f>
        <v>AT</v>
      </c>
      <c r="BG200" s="136" t="str">
        <f>IF(AI176="","",IF(K200="","",K200))</f>
        <v>FP</v>
      </c>
      <c r="BH200" s="136" t="str">
        <f>IF(AI176="","",IF(L200="","",L200))</f>
        <v>HS</v>
      </c>
      <c r="BI200" s="136" t="str">
        <f>IF(AI176="","",IF(M200="","",M200))</f>
        <v>-</v>
      </c>
      <c r="BJ200" s="136" t="str">
        <f>IF(AI176="","",IF(N200="","",N200))</f>
        <v>PV</v>
      </c>
      <c r="BK200" s="136" t="str">
        <f>IF(AI176="","",IF(O200="","",O200))</f>
        <v>-</v>
      </c>
      <c r="BM200" s="136" t="str">
        <f t="shared" si="132"/>
        <v>EG</v>
      </c>
      <c r="BN200" s="136" t="str">
        <f t="shared" si="122"/>
        <v>Estudo em Grupo</v>
      </c>
      <c r="BO200" s="136" t="str">
        <f t="shared" si="122"/>
        <v>CDI</v>
      </c>
      <c r="BP200" s="136">
        <f>(COUNTIFS(AX180:AX227,BM200,AY180:AY227,BO200)+COUNTIFS(AZ180:AZ227,BM200,BA180:BA227,BO200)+COUNTIFS(BB180:BB227,BM200,BC180:BC227,BO200)+COUNTIFS(BD180:BD227,BM200,BE180:BE227,BO200)+COUNTIFS(BF180:BF227,BM200,BG180:BG227,BO200)+COUNTIFS(BH180:BH227,BM200,BI180:BI227,BO200)+COUNTIFS(BJ180:BJ227,BM200,BK180:BK227,BO200))*0.5</f>
        <v>1</v>
      </c>
      <c r="BQ200" s="136" t="str">
        <f t="shared" si="123"/>
        <v>Estudo em Grupo</v>
      </c>
      <c r="BR200" s="136" t="str">
        <f t="shared" si="123"/>
        <v>CDI</v>
      </c>
      <c r="BS200" s="136" t="str">
        <f t="shared" si="124"/>
        <v>Estudo em Grupo</v>
      </c>
      <c r="BT200" s="136">
        <f t="shared" si="130"/>
        <v>10.5</v>
      </c>
      <c r="BU200" s="136">
        <f t="shared" si="131"/>
        <v>8.5</v>
      </c>
      <c r="CA200" s="183">
        <f>'INFO BASE'!L263</f>
        <v>0</v>
      </c>
      <c r="CB200" s="183">
        <f>'INFO BASE'!M263</f>
        <v>0</v>
      </c>
      <c r="CR200" s="177" t="str">
        <f t="shared" si="112"/>
        <v>AT</v>
      </c>
      <c r="CS200" s="177" t="str">
        <f t="shared" si="113"/>
        <v>ATIAC</v>
      </c>
      <c r="CT200" s="177" t="str">
        <f t="shared" si="112"/>
        <v>AT</v>
      </c>
      <c r="CU200" s="177" t="str">
        <f t="shared" si="114"/>
        <v>ATIEI</v>
      </c>
      <c r="CV200" s="177" t="str">
        <f t="shared" si="112"/>
        <v>AT</v>
      </c>
      <c r="CW200" s="177" t="str">
        <f t="shared" si="115"/>
        <v>ATFP</v>
      </c>
      <c r="CX200" s="177" t="str">
        <f t="shared" si="112"/>
        <v>AT</v>
      </c>
      <c r="CY200" s="177" t="str">
        <f t="shared" si="116"/>
        <v>ATIAC</v>
      </c>
      <c r="CZ200" s="177" t="str">
        <f t="shared" si="112"/>
        <v>AT</v>
      </c>
      <c r="DA200" s="177" t="str">
        <f t="shared" si="117"/>
        <v>ATFP</v>
      </c>
      <c r="DB200" s="177" t="str">
        <f t="shared" si="112"/>
        <v>HS</v>
      </c>
      <c r="DC200" s="177" t="str">
        <f t="shared" si="118"/>
        <v>HS-</v>
      </c>
      <c r="DD200" s="177" t="str">
        <f t="shared" si="119"/>
        <v>PV</v>
      </c>
      <c r="DE200" s="177">
        <f t="shared" si="120"/>
        <v>0</v>
      </c>
    </row>
    <row r="201" spans="1:109" ht="18" customHeight="1" x14ac:dyDescent="0.3">
      <c r="A201" s="81">
        <v>0.43750000000001399</v>
      </c>
      <c r="B201" s="166" t="s">
        <v>130</v>
      </c>
      <c r="C201" s="130" t="s">
        <v>231</v>
      </c>
      <c r="D201" s="169" t="s">
        <v>9</v>
      </c>
      <c r="E201" s="130" t="s">
        <v>226</v>
      </c>
      <c r="F201" s="169" t="s">
        <v>9</v>
      </c>
      <c r="G201" s="130" t="s">
        <v>224</v>
      </c>
      <c r="H201" s="169" t="s">
        <v>132</v>
      </c>
      <c r="I201" s="130" t="s">
        <v>228</v>
      </c>
      <c r="J201" s="169" t="s">
        <v>9</v>
      </c>
      <c r="K201" s="130" t="s">
        <v>230</v>
      </c>
      <c r="L201" s="169" t="s">
        <v>10</v>
      </c>
      <c r="M201" s="130" t="s">
        <v>120</v>
      </c>
      <c r="N201" s="169" t="s">
        <v>116</v>
      </c>
      <c r="O201" s="154" t="s">
        <v>120</v>
      </c>
      <c r="P201" s="6">
        <v>0</v>
      </c>
      <c r="Q201" s="115" t="str">
        <f t="shared" si="133"/>
        <v>Estudo em Grupo</v>
      </c>
      <c r="R201" s="105" t="str">
        <f t="shared" si="129"/>
        <v>IAC</v>
      </c>
      <c r="S201" s="88">
        <f t="shared" si="126"/>
        <v>-1</v>
      </c>
      <c r="T201" s="89">
        <f>IF(VLOOKUP(Q201,'INFO BASE'!$B$40:$I$54,IF(R201='INFO BASE'!$B$32,3,IF(R201='INFO BASE'!$B$33,4,IF(R201='INFO BASE'!$B$34,5,IF(R201='INFO BASE'!$B$35,6,IF(R201='INFO BASE'!$B$36,7,IF(R201='INFO BASE'!$B$37,8,2)))))),0)=0,"",VLOOKUP(Q201,'INFO BASE'!$B$40:$I$54,IF(R201='INFO BASE'!$B$32,3,IF(R201='INFO BASE'!$B$33,4,IF(R201='INFO BASE'!$B$34,5,IF(R201='INFO BASE'!$B$35,6,IF(R201='INFO BASE'!$B$36,7,IF(R201='INFO BASE'!$B$37,8,2)))))),0))</f>
        <v>2</v>
      </c>
      <c r="U201" s="89">
        <f>(COUNTIFS(C180:C227,R201,B180:B227,R198)+COUNTIFS(E180:E227,R201,D180:D227,R198)+COUNTIFS(G180:G227,R201,F180:F227,R198)+COUNTIFS(I180:I227,R201,H180:H227,R198)+COUNTIFS(K180:K227,R201,J180:J227,R198)+COUNTIFS(M180:M227,R201,L180:L227,R198)+COUNTIFS(O180:O227,R201,N180:N227,R198))*0.5</f>
        <v>0</v>
      </c>
      <c r="V201" s="89">
        <f>(COUNTIFS(AI180:AI227,R198,AJ180:AJ227,R194)+COUNTIFS(AK180:AK227,R198,AL180:AL227,R194)+COUNTIFS(AM180:AM227,R198,AN180:AN227,R194)+COUNTIFS(AO180:AO227,R198,AP180:AP227,R194)+COUNTIFS(AQ180:AQ227,R198,AR180:AR227,R194)+COUNTIFS(AS180:AS227,R198,AT180:AT227,R194)+COUNTIFS(AU180:AU227,R198,AV180:AV227,R194))*0.5</f>
        <v>0</v>
      </c>
      <c r="W201" s="90">
        <f>IF(AH176="","-",IF(V201=0,U201,IFERROR((U201/V201)-1,"-")))</f>
        <v>0</v>
      </c>
      <c r="X201" s="201">
        <f t="shared" si="127"/>
        <v>0</v>
      </c>
      <c r="Y201" s="271"/>
      <c r="Z201" s="272"/>
      <c r="AA201" s="272"/>
      <c r="AB201" s="272"/>
      <c r="AC201" s="272"/>
      <c r="AD201" s="272"/>
      <c r="AE201" s="272"/>
      <c r="AF201" s="273"/>
      <c r="AH201" s="136">
        <v>0.43750000000001399</v>
      </c>
      <c r="AI201" s="136" t="s">
        <v>130</v>
      </c>
      <c r="AJ201" s="136" t="s">
        <v>231</v>
      </c>
      <c r="AK201" s="136" t="s">
        <v>9</v>
      </c>
      <c r="AL201" s="136" t="s">
        <v>226</v>
      </c>
      <c r="AM201" s="136" t="s">
        <v>9</v>
      </c>
      <c r="AN201" s="136" t="s">
        <v>224</v>
      </c>
      <c r="AO201" s="136" t="s">
        <v>132</v>
      </c>
      <c r="AP201" s="136" t="s">
        <v>228</v>
      </c>
      <c r="AQ201" s="136" t="s">
        <v>9</v>
      </c>
      <c r="AR201" s="136" t="s">
        <v>230</v>
      </c>
      <c r="AS201" s="136" t="s">
        <v>10</v>
      </c>
      <c r="AT201" s="136" t="s">
        <v>120</v>
      </c>
      <c r="AU201" s="136" t="s">
        <v>116</v>
      </c>
      <c r="AV201" s="136" t="s">
        <v>120</v>
      </c>
      <c r="AX201" s="136" t="str">
        <f>IF(AI176="","",IF(B201="","",B201))</f>
        <v>APB</v>
      </c>
      <c r="AY201" s="136" t="str">
        <f>IF(AI176="","",IF(C201="","",C201))</f>
        <v>CDI</v>
      </c>
      <c r="AZ201" s="136" t="str">
        <f>IF(AI176="","",IF(D201="","",D201))</f>
        <v>AT</v>
      </c>
      <c r="BA201" s="136" t="str">
        <f>IF(AI176="","",IF(E201="","",E201))</f>
        <v>IEI</v>
      </c>
      <c r="BB201" s="136" t="str">
        <f>IF(AI176="","",IF(F201="","",F201))</f>
        <v>AT</v>
      </c>
      <c r="BC201" s="136" t="str">
        <f>IF(AI176="","",IF(G201="","",G201))</f>
        <v>FP</v>
      </c>
      <c r="BD201" s="136" t="str">
        <f>IF(AI176="","",IF(H201="","",H201))</f>
        <v>LAB</v>
      </c>
      <c r="BE201" s="136" t="str">
        <f>IF(AI176="","",IF(I201="","",I201))</f>
        <v>IAC</v>
      </c>
      <c r="BF201" s="136" t="str">
        <f>IF(AI176="","",IF(J201="","",J201))</f>
        <v>AT</v>
      </c>
      <c r="BG201" s="136" t="str">
        <f>IF(AI176="","",IF(K201="","",K201))</f>
        <v>AL</v>
      </c>
      <c r="BH201" s="136" t="str">
        <f>IF(AI176="","",IF(L201="","",L201))</f>
        <v>HS</v>
      </c>
      <c r="BI201" s="136" t="str">
        <f>IF(AI176="","",IF(M201="","",M201))</f>
        <v>-</v>
      </c>
      <c r="BJ201" s="136" t="str">
        <f>IF(AI176="","",IF(N201="","",N201))</f>
        <v>PV</v>
      </c>
      <c r="BK201" s="136" t="str">
        <f>IF(AI176="","",IF(O201="","",O201))</f>
        <v>-</v>
      </c>
      <c r="BM201" s="136" t="str">
        <f t="shared" si="132"/>
        <v>EG</v>
      </c>
      <c r="BN201" s="136" t="str">
        <f t="shared" si="122"/>
        <v>Estudo em Grupo</v>
      </c>
      <c r="BO201" s="136" t="str">
        <f t="shared" si="122"/>
        <v/>
      </c>
      <c r="BP201" s="136">
        <f>(COUNTIFS(AX180:AX227,BM201,AY180:AY227,BO201)+COUNTIFS(AZ180:AZ227,BM201,BA180:BA227,BO201)+COUNTIFS(BB180:BB227,BM201,BC180:BC227,BO201)+COUNTIFS(BD180:BD227,BM201,BE180:BE227,BO201)+COUNTIFS(BF180:BF227,BM201,BG180:BG227,BO201)+COUNTIFS(BH180:BH227,BM201,BI180:BI227,BO201)+COUNTIFS(BJ180:BJ227,BM201,BK180:BK227,BO201))*0.5</f>
        <v>0</v>
      </c>
      <c r="BQ201" s="136" t="str">
        <f t="shared" si="123"/>
        <v>Estudo em Grupo</v>
      </c>
      <c r="BR201" s="136" t="str">
        <f t="shared" si="123"/>
        <v/>
      </c>
      <c r="BS201" s="136" t="str">
        <f t="shared" si="124"/>
        <v>Estudo em Grupo</v>
      </c>
      <c r="BT201" s="136">
        <f t="shared" si="130"/>
        <v>0</v>
      </c>
      <c r="BU201" s="136">
        <f t="shared" si="131"/>
        <v>0</v>
      </c>
      <c r="CA201" s="183">
        <f>'INFO BASE'!L264</f>
        <v>0</v>
      </c>
      <c r="CB201" s="183">
        <f>'INFO BASE'!M264</f>
        <v>0</v>
      </c>
      <c r="CR201" s="177" t="str">
        <f t="shared" si="112"/>
        <v>APB</v>
      </c>
      <c r="CS201" s="177" t="str">
        <f t="shared" si="113"/>
        <v>APBCDI</v>
      </c>
      <c r="CT201" s="177" t="str">
        <f t="shared" si="112"/>
        <v>AT</v>
      </c>
      <c r="CU201" s="177" t="str">
        <f t="shared" si="114"/>
        <v>ATIEI</v>
      </c>
      <c r="CV201" s="177" t="str">
        <f t="shared" si="112"/>
        <v>AT</v>
      </c>
      <c r="CW201" s="177" t="str">
        <f t="shared" si="115"/>
        <v>ATFP</v>
      </c>
      <c r="CX201" s="177" t="str">
        <f t="shared" si="112"/>
        <v>LAB</v>
      </c>
      <c r="CY201" s="177" t="str">
        <f t="shared" si="116"/>
        <v>LABIAC</v>
      </c>
      <c r="CZ201" s="177" t="str">
        <f t="shared" si="112"/>
        <v>AT</v>
      </c>
      <c r="DA201" s="177" t="str">
        <f t="shared" si="117"/>
        <v>ATAL</v>
      </c>
      <c r="DB201" s="177" t="str">
        <f t="shared" si="112"/>
        <v>HS</v>
      </c>
      <c r="DC201" s="177" t="str">
        <f t="shared" si="118"/>
        <v>HS-</v>
      </c>
      <c r="DD201" s="177" t="str">
        <f t="shared" si="119"/>
        <v>PV</v>
      </c>
      <c r="DE201" s="177">
        <f t="shared" si="120"/>
        <v>0</v>
      </c>
    </row>
    <row r="202" spans="1:109" ht="18" customHeight="1" x14ac:dyDescent="0.3">
      <c r="A202" s="81">
        <v>0.45833333333334803</v>
      </c>
      <c r="B202" s="166" t="s">
        <v>130</v>
      </c>
      <c r="C202" s="130" t="s">
        <v>231</v>
      </c>
      <c r="D202" s="169" t="s">
        <v>9</v>
      </c>
      <c r="E202" s="130" t="s">
        <v>226</v>
      </c>
      <c r="F202" s="169" t="s">
        <v>9</v>
      </c>
      <c r="G202" s="130" t="s">
        <v>224</v>
      </c>
      <c r="H202" s="169" t="s">
        <v>132</v>
      </c>
      <c r="I202" s="130" t="s">
        <v>228</v>
      </c>
      <c r="J202" s="169" t="s">
        <v>9</v>
      </c>
      <c r="K202" s="130" t="s">
        <v>230</v>
      </c>
      <c r="L202" s="169" t="s">
        <v>10</v>
      </c>
      <c r="M202" s="130" t="s">
        <v>120</v>
      </c>
      <c r="N202" s="169" t="s">
        <v>116</v>
      </c>
      <c r="O202" s="154" t="s">
        <v>120</v>
      </c>
      <c r="P202" s="6">
        <v>0</v>
      </c>
      <c r="Q202" s="114" t="str">
        <f t="shared" si="133"/>
        <v>Estudo em Grupo</v>
      </c>
      <c r="R202" s="105" t="str">
        <f t="shared" si="129"/>
        <v>AL</v>
      </c>
      <c r="S202" s="88">
        <f t="shared" si="126"/>
        <v>0</v>
      </c>
      <c r="T202" s="89">
        <f>IF(VLOOKUP(Q202,'INFO BASE'!$B$40:$I$54,IF(R202='INFO BASE'!$B$32,3,IF(R202='INFO BASE'!$B$33,4,IF(R202='INFO BASE'!$B$34,5,IF(R202='INFO BASE'!$B$35,6,IF(R202='INFO BASE'!$B$36,7,IF(R202='INFO BASE'!$B$37,8,2)))))),0)=0,"",VLOOKUP(Q202,'INFO BASE'!$B$40:$I$54,IF(R202='INFO BASE'!$B$32,3,IF(R202='INFO BASE'!$B$33,4,IF(R202='INFO BASE'!$B$34,5,IF(R202='INFO BASE'!$B$35,6,IF(R202='INFO BASE'!$B$36,7,IF(R202='INFO BASE'!$B$37,8,2)))))),0))</f>
        <v>2</v>
      </c>
      <c r="U202" s="89">
        <f>(COUNTIFS(C180:C227,R202,B180:B227,R198)+COUNTIFS(E180:E227,R202,D180:D227,R198)+COUNTIFS(G180:G227,R202,F180:F227,R198)+COUNTIFS(I180:I227,R202,H180:H227,R198)+COUNTIFS(K180:K227,R202,J180:J227,R198)+COUNTIFS(M180:M227,R202,L180:L227,R198)+COUNTIFS(O180:O227,R202,N180:N227,R198))*0.5</f>
        <v>2</v>
      </c>
      <c r="V202" s="89">
        <f>(COUNTIFS(AI180:AI227,R198,AJ180:AJ227,R195)+COUNTIFS(AK180:AK227,R198,AL180:AL227,R195)+COUNTIFS(AM180:AM227,R198,AN180:AN227,R195)+COUNTIFS(AO180:AO227,R198,AP180:AP227,R195)+COUNTIFS(AQ180:AQ227,R198,AR180:AR227,R195)+COUNTIFS(AS180:AS227,R198,AT180:AT227,R195)+COUNTIFS(AU180:AU227,R198,AV180:AV227,R195))*0.5</f>
        <v>2</v>
      </c>
      <c r="W202" s="90">
        <f>IF(AH176="","-",IF(V202=0,U202,IFERROR((U202/V202)-1,"-")))</f>
        <v>0</v>
      </c>
      <c r="X202" s="201">
        <f t="shared" si="127"/>
        <v>0</v>
      </c>
      <c r="Y202" s="271"/>
      <c r="Z202" s="272"/>
      <c r="AA202" s="272"/>
      <c r="AB202" s="272"/>
      <c r="AC202" s="272"/>
      <c r="AD202" s="272"/>
      <c r="AE202" s="272"/>
      <c r="AF202" s="273"/>
      <c r="AH202" s="136">
        <v>0.45833333333334803</v>
      </c>
      <c r="AI202" s="136" t="s">
        <v>130</v>
      </c>
      <c r="AJ202" s="136" t="s">
        <v>231</v>
      </c>
      <c r="AK202" s="136" t="s">
        <v>9</v>
      </c>
      <c r="AL202" s="136" t="s">
        <v>226</v>
      </c>
      <c r="AM202" s="136" t="s">
        <v>9</v>
      </c>
      <c r="AN202" s="136" t="s">
        <v>224</v>
      </c>
      <c r="AO202" s="136" t="s">
        <v>132</v>
      </c>
      <c r="AP202" s="136" t="s">
        <v>228</v>
      </c>
      <c r="AQ202" s="136" t="s">
        <v>9</v>
      </c>
      <c r="AR202" s="136" t="s">
        <v>230</v>
      </c>
      <c r="AS202" s="136" t="s">
        <v>10</v>
      </c>
      <c r="AT202" s="136" t="s">
        <v>120</v>
      </c>
      <c r="AU202" s="136" t="s">
        <v>116</v>
      </c>
      <c r="AV202" s="136" t="s">
        <v>120</v>
      </c>
      <c r="AX202" s="136" t="str">
        <f>IF(AI176="","",IF(B202="","",B202))</f>
        <v>APB</v>
      </c>
      <c r="AY202" s="136" t="str">
        <f>IF(AI176="","",IF(C202="","",C202))</f>
        <v>CDI</v>
      </c>
      <c r="AZ202" s="136" t="str">
        <f>IF(AI176="","",IF(D202="","",D202))</f>
        <v>AT</v>
      </c>
      <c r="BA202" s="136" t="str">
        <f>IF(AI176="","",IF(E202="","",E202))</f>
        <v>IEI</v>
      </c>
      <c r="BB202" s="136" t="str">
        <f>IF(AI176="","",IF(F202="","",F202))</f>
        <v>AT</v>
      </c>
      <c r="BC202" s="136" t="str">
        <f>IF(AI176="","",IF(G202="","",G202))</f>
        <v>FP</v>
      </c>
      <c r="BD202" s="136" t="str">
        <f>IF(AI176="","",IF(H202="","",H202))</f>
        <v>LAB</v>
      </c>
      <c r="BE202" s="136" t="str">
        <f>IF(AI176="","",IF(I202="","",I202))</f>
        <v>IAC</v>
      </c>
      <c r="BF202" s="136" t="str">
        <f>IF(AI176="","",IF(J202="","",J202))</f>
        <v>AT</v>
      </c>
      <c r="BG202" s="136" t="str">
        <f>IF(AI176="","",IF(K202="","",K202))</f>
        <v>AL</v>
      </c>
      <c r="BH202" s="136" t="str">
        <f>IF(AI176="","",IF(L202="","",L202))</f>
        <v>HS</v>
      </c>
      <c r="BI202" s="136" t="str">
        <f>IF(AI176="","",IF(M202="","",M202))</f>
        <v>-</v>
      </c>
      <c r="BJ202" s="136" t="str">
        <f>IF(AI176="","",IF(N202="","",N202))</f>
        <v>PV</v>
      </c>
      <c r="BK202" s="136" t="str">
        <f>IF(AI176="","",IF(O202="","",O202))</f>
        <v>-</v>
      </c>
      <c r="BM202" s="136" t="str">
        <f>BO202</f>
        <v>TG</v>
      </c>
      <c r="BN202" s="136" t="str">
        <f t="shared" si="122"/>
        <v>Trabalho de Grupo</v>
      </c>
      <c r="BO202" s="136" t="str">
        <f t="shared" si="122"/>
        <v>TG</v>
      </c>
      <c r="BP202" s="136">
        <f>COUNTIFS(AX180:BK227,BO202)*0.5</f>
        <v>0</v>
      </c>
      <c r="BQ202" s="136" t="str">
        <f t="shared" si="123"/>
        <v>Trabalho de Grupo</v>
      </c>
      <c r="BR202" s="136" t="str">
        <f t="shared" si="123"/>
        <v>TG</v>
      </c>
      <c r="BS202" s="136" t="str">
        <f t="shared" si="124"/>
        <v>Trabalho de Grupo</v>
      </c>
      <c r="BT202" s="136">
        <f t="shared" si="130"/>
        <v>0</v>
      </c>
      <c r="BU202" s="136">
        <f t="shared" si="131"/>
        <v>0</v>
      </c>
      <c r="CA202" s="183">
        <f>'INFO BASE'!L265</f>
        <v>0</v>
      </c>
      <c r="CB202" s="183">
        <f>'INFO BASE'!M265</f>
        <v>0</v>
      </c>
      <c r="CR202" s="177" t="str">
        <f t="shared" si="112"/>
        <v>APB</v>
      </c>
      <c r="CS202" s="177" t="str">
        <f t="shared" si="113"/>
        <v>APBCDI</v>
      </c>
      <c r="CT202" s="177" t="str">
        <f t="shared" si="112"/>
        <v>AT</v>
      </c>
      <c r="CU202" s="177" t="str">
        <f t="shared" si="114"/>
        <v>ATIEI</v>
      </c>
      <c r="CV202" s="177" t="str">
        <f t="shared" si="112"/>
        <v>AT</v>
      </c>
      <c r="CW202" s="177" t="str">
        <f t="shared" si="115"/>
        <v>ATFP</v>
      </c>
      <c r="CX202" s="177" t="str">
        <f t="shared" si="112"/>
        <v>LAB</v>
      </c>
      <c r="CY202" s="177" t="str">
        <f t="shared" si="116"/>
        <v>LABIAC</v>
      </c>
      <c r="CZ202" s="177" t="str">
        <f t="shared" si="112"/>
        <v>AT</v>
      </c>
      <c r="DA202" s="177" t="str">
        <f t="shared" si="117"/>
        <v>ATAL</v>
      </c>
      <c r="DB202" s="177" t="str">
        <f t="shared" si="112"/>
        <v>HS</v>
      </c>
      <c r="DC202" s="177" t="str">
        <f t="shared" si="118"/>
        <v>HS-</v>
      </c>
      <c r="DD202" s="177" t="str">
        <f t="shared" si="119"/>
        <v>PV</v>
      </c>
      <c r="DE202" s="177">
        <f t="shared" si="120"/>
        <v>0</v>
      </c>
    </row>
    <row r="203" spans="1:109" ht="18" customHeight="1" x14ac:dyDescent="0.3">
      <c r="A203" s="81">
        <v>0.47916666666668201</v>
      </c>
      <c r="B203" s="166" t="s">
        <v>130</v>
      </c>
      <c r="C203" s="130" t="s">
        <v>231</v>
      </c>
      <c r="D203" s="169" t="s">
        <v>9</v>
      </c>
      <c r="E203" s="130" t="s">
        <v>226</v>
      </c>
      <c r="F203" s="169" t="s">
        <v>9</v>
      </c>
      <c r="G203" s="130" t="s">
        <v>231</v>
      </c>
      <c r="H203" s="169" t="s">
        <v>132</v>
      </c>
      <c r="I203" s="130" t="s">
        <v>228</v>
      </c>
      <c r="J203" s="169" t="s">
        <v>9</v>
      </c>
      <c r="K203" s="130" t="s">
        <v>231</v>
      </c>
      <c r="L203" s="169" t="s">
        <v>10</v>
      </c>
      <c r="M203" s="130" t="s">
        <v>120</v>
      </c>
      <c r="N203" s="169" t="s">
        <v>116</v>
      </c>
      <c r="O203" s="154" t="s">
        <v>120</v>
      </c>
      <c r="P203" s="6">
        <v>0</v>
      </c>
      <c r="Q203" s="114" t="str">
        <f t="shared" si="133"/>
        <v>Estudo em Grupo</v>
      </c>
      <c r="R203" s="105" t="str">
        <f t="shared" si="129"/>
        <v>CDI</v>
      </c>
      <c r="S203" s="88">
        <f t="shared" si="126"/>
        <v>-0.5</v>
      </c>
      <c r="T203" s="89">
        <f>IF(VLOOKUP(Q203,'INFO BASE'!$B$40:$I$54,IF(R203='INFO BASE'!$B$32,3,IF(R203='INFO BASE'!$B$33,4,IF(R203='INFO BASE'!$B$34,5,IF(R203='INFO BASE'!$B$35,6,IF(R203='INFO BASE'!$B$36,7,IF(R203='INFO BASE'!$B$37,8,2)))))),0)=0,"",VLOOKUP(Q203,'INFO BASE'!$B$40:$I$54,IF(R203='INFO BASE'!$B$32,3,IF(R203='INFO BASE'!$B$33,4,IF(R203='INFO BASE'!$B$34,5,IF(R203='INFO BASE'!$B$35,6,IF(R203='INFO BASE'!$B$36,7,IF(R203='INFO BASE'!$B$37,8,2)))))),0))</f>
        <v>2</v>
      </c>
      <c r="U203" s="89">
        <f>(COUNTIFS(C180:C227,R203,B180:B227,R198)+COUNTIFS(E180:E227,R203,D180:D227,R198)+COUNTIFS(G180:G227,R203,F180:F227,R198)+COUNTIFS(I180:I227,R203,H180:H227,R198)+COUNTIFS(K180:K227,R203,J180:J227,R198)+COUNTIFS(M180:M227,R203,L180:L227,R198)+COUNTIFS(O180:O227,R203,N180:N227,R198))*0.5</f>
        <v>1</v>
      </c>
      <c r="V203" s="89">
        <f>(COUNTIFS(AI180:AI227,R198,AJ180:AJ227,R196)+COUNTIFS(AK180:AK227,R198,AL180:AL227,R196)+COUNTIFS(AM180:AM227,R198,AN180:AN227,R196)+COUNTIFS(AO180:AO227,R198,AP180:AP227,R196)+COUNTIFS(AQ180:AQ227,R198,AR180:AR227,R196)+COUNTIFS(AS180:AS227,R198,AT180:AT227,R196)+COUNTIFS(AU180:AU227,R198,AV180:AV227,R196))*0.5</f>
        <v>1</v>
      </c>
      <c r="W203" s="90">
        <f>IF(AH176="","-",IF(V203=0,U203,IFERROR((U203/V203)-1,"-")))</f>
        <v>0</v>
      </c>
      <c r="X203" s="201">
        <f t="shared" si="127"/>
        <v>0</v>
      </c>
      <c r="Y203" s="271"/>
      <c r="Z203" s="272"/>
      <c r="AA203" s="272"/>
      <c r="AB203" s="272"/>
      <c r="AC203" s="272"/>
      <c r="AD203" s="272"/>
      <c r="AE203" s="272"/>
      <c r="AF203" s="273"/>
      <c r="AH203" s="136">
        <v>0.47916666666668201</v>
      </c>
      <c r="AI203" s="136" t="s">
        <v>130</v>
      </c>
      <c r="AJ203" s="136" t="s">
        <v>231</v>
      </c>
      <c r="AK203" s="136" t="s">
        <v>9</v>
      </c>
      <c r="AL203" s="136" t="s">
        <v>226</v>
      </c>
      <c r="AM203" s="136" t="s">
        <v>9</v>
      </c>
      <c r="AN203" s="136" t="s">
        <v>231</v>
      </c>
      <c r="AO203" s="136" t="s">
        <v>132</v>
      </c>
      <c r="AP203" s="136" t="s">
        <v>228</v>
      </c>
      <c r="AQ203" s="136" t="s">
        <v>9</v>
      </c>
      <c r="AR203" s="136" t="s">
        <v>231</v>
      </c>
      <c r="AS203" s="136" t="s">
        <v>10</v>
      </c>
      <c r="AT203" s="136" t="s">
        <v>120</v>
      </c>
      <c r="AU203" s="136" t="s">
        <v>116</v>
      </c>
      <c r="AV203" s="136" t="s">
        <v>120</v>
      </c>
      <c r="AX203" s="136" t="str">
        <f>IF(AI176="","",IF(B203="","",B203))</f>
        <v>APB</v>
      </c>
      <c r="AY203" s="136" t="str">
        <f>IF(AI176="","",IF(C203="","",C203))</f>
        <v>CDI</v>
      </c>
      <c r="AZ203" s="136" t="str">
        <f>IF(AI176="","",IF(D203="","",D203))</f>
        <v>AT</v>
      </c>
      <c r="BA203" s="136" t="str">
        <f>IF(AI176="","",IF(E203="","",E203))</f>
        <v>IEI</v>
      </c>
      <c r="BB203" s="136" t="str">
        <f>IF(AI176="","",IF(F203="","",F203))</f>
        <v>AT</v>
      </c>
      <c r="BC203" s="136" t="str">
        <f>IF(AI176="","",IF(G203="","",G203))</f>
        <v>CDI</v>
      </c>
      <c r="BD203" s="136" t="str">
        <f>IF(AI176="","",IF(H203="","",H203))</f>
        <v>LAB</v>
      </c>
      <c r="BE203" s="136" t="str">
        <f>IF(AI176="","",IF(I203="","",I203))</f>
        <v>IAC</v>
      </c>
      <c r="BF203" s="136" t="str">
        <f>IF(AI176="","",IF(J203="","",J203))</f>
        <v>AT</v>
      </c>
      <c r="BG203" s="136" t="str">
        <f>IF(AI176="","",IF(K203="","",K203))</f>
        <v>CDI</v>
      </c>
      <c r="BH203" s="136" t="str">
        <f>IF(AI176="","",IF(L203="","",L203))</f>
        <v>HS</v>
      </c>
      <c r="BI203" s="136" t="str">
        <f>IF(AI176="","",IF(M203="","",M203))</f>
        <v>-</v>
      </c>
      <c r="BJ203" s="136" t="str">
        <f>IF(AI176="","",IF(N203="","",N203))</f>
        <v>PV</v>
      </c>
      <c r="BK203" s="136" t="str">
        <f>IF(AI176="","",IF(O203="","",O203))</f>
        <v>-</v>
      </c>
      <c r="BM203" s="136" t="str">
        <f>BM202</f>
        <v>TG</v>
      </c>
      <c r="BN203" s="136" t="str">
        <f t="shared" si="122"/>
        <v>Trabalho de Grupo</v>
      </c>
      <c r="BO203" s="136" t="str">
        <f t="shared" si="122"/>
        <v>FP</v>
      </c>
      <c r="BP203" s="136">
        <f>(COUNTIFS(AX180:AX227,BM203,AY180:AY227,BO203)+COUNTIFS(AZ180:AZ227,BM203,BA180:BA227,BO203)+COUNTIFS(BB180:BB227,BM203,BC180:BC227,BO203)+COUNTIFS(BD180:BD227,BM203,BE180:BE227,BO203)+COUNTIFS(BF180:BF227,BM203,BG180:BG227,BO203)+COUNTIFS(BH180:BH227,BM203,BI180:BI227,BO203)+COUNTIFS(BJ180:BJ227,BM203,BK180:BK227,BO203))*0.5</f>
        <v>0</v>
      </c>
      <c r="BQ203" s="136" t="str">
        <f t="shared" si="123"/>
        <v>Trabalho de Grupo</v>
      </c>
      <c r="BR203" s="136" t="str">
        <f t="shared" si="123"/>
        <v>FP</v>
      </c>
      <c r="BS203" s="136" t="str">
        <f t="shared" si="124"/>
        <v>Trabalho de Grupo</v>
      </c>
      <c r="BT203" s="136">
        <f t="shared" si="130"/>
        <v>0</v>
      </c>
      <c r="BU203" s="136">
        <f t="shared" si="131"/>
        <v>0</v>
      </c>
      <c r="CA203" s="183">
        <f>'INFO BASE'!L266</f>
        <v>0</v>
      </c>
      <c r="CB203" s="183">
        <f>'INFO BASE'!M266</f>
        <v>0</v>
      </c>
      <c r="CR203" s="177" t="str">
        <f t="shared" si="112"/>
        <v>APB</v>
      </c>
      <c r="CS203" s="177" t="str">
        <f t="shared" si="113"/>
        <v>APBCDI</v>
      </c>
      <c r="CT203" s="177" t="str">
        <f t="shared" si="112"/>
        <v>AT</v>
      </c>
      <c r="CU203" s="177" t="str">
        <f t="shared" si="114"/>
        <v>ATIEI</v>
      </c>
      <c r="CV203" s="177" t="str">
        <f t="shared" si="112"/>
        <v>AT</v>
      </c>
      <c r="CW203" s="177" t="str">
        <f t="shared" si="115"/>
        <v>ATCDI</v>
      </c>
      <c r="CX203" s="177" t="str">
        <f t="shared" si="112"/>
        <v>LAB</v>
      </c>
      <c r="CY203" s="177" t="str">
        <f t="shared" si="116"/>
        <v>LABIAC</v>
      </c>
      <c r="CZ203" s="177" t="str">
        <f t="shared" si="112"/>
        <v>AT</v>
      </c>
      <c r="DA203" s="177" t="str">
        <f t="shared" si="117"/>
        <v>ATCDI</v>
      </c>
      <c r="DB203" s="177" t="str">
        <f t="shared" si="112"/>
        <v>HS</v>
      </c>
      <c r="DC203" s="177" t="str">
        <f t="shared" si="118"/>
        <v>HS-</v>
      </c>
      <c r="DD203" s="177" t="str">
        <f t="shared" si="119"/>
        <v>PV</v>
      </c>
      <c r="DE203" s="177">
        <f t="shared" si="120"/>
        <v>0</v>
      </c>
    </row>
    <row r="204" spans="1:109" ht="18" customHeight="1" thickBot="1" x14ac:dyDescent="0.35">
      <c r="A204" s="81">
        <v>0.50000000000001599</v>
      </c>
      <c r="B204" s="166" t="s">
        <v>9</v>
      </c>
      <c r="C204" s="130" t="s">
        <v>230</v>
      </c>
      <c r="D204" s="169" t="s">
        <v>116</v>
      </c>
      <c r="E204" s="130" t="s">
        <v>120</v>
      </c>
      <c r="F204" s="169" t="s">
        <v>9</v>
      </c>
      <c r="G204" s="130" t="s">
        <v>231</v>
      </c>
      <c r="H204" s="169" t="s">
        <v>130</v>
      </c>
      <c r="I204" s="130" t="s">
        <v>224</v>
      </c>
      <c r="J204" s="169" t="s">
        <v>9</v>
      </c>
      <c r="K204" s="130" t="s">
        <v>231</v>
      </c>
      <c r="L204" s="169" t="s">
        <v>10</v>
      </c>
      <c r="M204" s="130" t="s">
        <v>120</v>
      </c>
      <c r="N204" s="169" t="s">
        <v>116</v>
      </c>
      <c r="O204" s="154" t="s">
        <v>120</v>
      </c>
      <c r="P204" s="6">
        <v>0</v>
      </c>
      <c r="Q204" s="116" t="str">
        <f t="shared" si="133"/>
        <v>Estudo em Grupo</v>
      </c>
      <c r="R204" s="107" t="str">
        <f t="shared" si="129"/>
        <v/>
      </c>
      <c r="S204" s="94" t="str">
        <f t="shared" si="126"/>
        <v>-</v>
      </c>
      <c r="T204" s="95" t="str">
        <f>IF(VLOOKUP(Q204,'INFO BASE'!$B$40:$I$54,IF(R204='INFO BASE'!$B$32,3,IF(R204='INFO BASE'!$B$33,4,IF(R204='INFO BASE'!$B$34,5,IF(R204='INFO BASE'!$B$35,6,IF(R204='INFO BASE'!$B$36,7,IF(R204='INFO BASE'!$B$37,8,2)))))),0)=0,"",VLOOKUP(Q204,'INFO BASE'!$B$40:$I$54,IF(R204='INFO BASE'!$B$32,3,IF(R204='INFO BASE'!$B$33,4,IF(R204='INFO BASE'!$B$34,5,IF(R204='INFO BASE'!$B$35,6,IF(R204='INFO BASE'!$B$36,7,IF(R204='INFO BASE'!$B$37,8,2)))))),0))</f>
        <v/>
      </c>
      <c r="U204" s="95">
        <f>(COUNTIFS(C180:C227,R204,B180:B227,R198)+COUNTIFS(E180:E227,R204,D180:D227,R198)+COUNTIFS(G180:G227,R204,F180:F227,R198)+COUNTIFS(I180:I227,R204,H180:H227,R198)+COUNTIFS(K180:K227,R204,J180:J227,R198)+COUNTIFS(M180:M227,R204,L180:L227,R198)+COUNTIFS(O180:O227,R204,N180:N227,R198))*0.5</f>
        <v>0</v>
      </c>
      <c r="V204" s="95">
        <f>(COUNTIFS(AI180:AI227,R198,AJ180:AJ227,R197)+COUNTIFS(AK180:AK227,R198,AL180:AL227,R197)+COUNTIFS(AM180:AM227,R198,AN180:AN227,R197)+COUNTIFS(AO180:AO227,R198,AP180:AP227,R197)+COUNTIFS(AQ180:AQ227,R198,AR180:AR227,R197)+COUNTIFS(AS180:AS227,R198,AT180:AT227,R197)+COUNTIFS(AU180:AU227,R198,AV180:AV227,R197))*0.5</f>
        <v>0</v>
      </c>
      <c r="W204" s="96">
        <f>IF(AH176="","-",IF(V204=0,U204,IFERROR((U204/V204)-1,"-")))</f>
        <v>0</v>
      </c>
      <c r="X204" s="201">
        <f t="shared" si="127"/>
        <v>0</v>
      </c>
      <c r="Y204" s="274"/>
      <c r="Z204" s="275"/>
      <c r="AA204" s="275"/>
      <c r="AB204" s="275"/>
      <c r="AC204" s="275"/>
      <c r="AD204" s="275"/>
      <c r="AE204" s="275"/>
      <c r="AF204" s="276"/>
      <c r="AH204" s="136">
        <v>0.50000000000001599</v>
      </c>
      <c r="AI204" s="136" t="s">
        <v>9</v>
      </c>
      <c r="AJ204" s="136" t="s">
        <v>230</v>
      </c>
      <c r="AK204" s="136" t="s">
        <v>116</v>
      </c>
      <c r="AL204" s="136" t="s">
        <v>120</v>
      </c>
      <c r="AM204" s="136" t="s">
        <v>9</v>
      </c>
      <c r="AN204" s="136" t="s">
        <v>231</v>
      </c>
      <c r="AO204" s="136" t="s">
        <v>130</v>
      </c>
      <c r="AP204" s="136" t="s">
        <v>224</v>
      </c>
      <c r="AQ204" s="136" t="s">
        <v>9</v>
      </c>
      <c r="AR204" s="136" t="s">
        <v>231</v>
      </c>
      <c r="AS204" s="136" t="s">
        <v>10</v>
      </c>
      <c r="AT204" s="136" t="s">
        <v>120</v>
      </c>
      <c r="AU204" s="136" t="s">
        <v>116</v>
      </c>
      <c r="AV204" s="136" t="s">
        <v>120</v>
      </c>
      <c r="AX204" s="136" t="str">
        <f>IF(AI176="","",IF(B204="","",B204))</f>
        <v>AT</v>
      </c>
      <c r="AY204" s="136" t="str">
        <f>IF(AI176="","",IF(C204="","",C204))</f>
        <v>AL</v>
      </c>
      <c r="AZ204" s="136" t="str">
        <f>IF(AI176="","",IF(D204="","",D204))</f>
        <v>PV</v>
      </c>
      <c r="BA204" s="136" t="str">
        <f>IF(AI176="","",IF(E204="","",E204))</f>
        <v>-</v>
      </c>
      <c r="BB204" s="136" t="str">
        <f>IF(AI176="","",IF(F204="","",F204))</f>
        <v>AT</v>
      </c>
      <c r="BC204" s="136" t="str">
        <f>IF(AI176="","",IF(G204="","",G204))</f>
        <v>CDI</v>
      </c>
      <c r="BD204" s="136" t="str">
        <f>IF(AI176="","",IF(H204="","",H204))</f>
        <v>APB</v>
      </c>
      <c r="BE204" s="136" t="str">
        <f>IF(AI176="","",IF(I204="","",I204))</f>
        <v>FP</v>
      </c>
      <c r="BF204" s="136" t="str">
        <f>IF(AI176="","",IF(J204="","",J204))</f>
        <v>AT</v>
      </c>
      <c r="BG204" s="136" t="str">
        <f>IF(AI176="","",IF(K204="","",K204))</f>
        <v>CDI</v>
      </c>
      <c r="BH204" s="136" t="str">
        <f>IF(AI176="","",IF(L204="","",L204))</f>
        <v>HS</v>
      </c>
      <c r="BI204" s="136" t="str">
        <f>IF(AI176="","",IF(M204="","",M204))</f>
        <v>-</v>
      </c>
      <c r="BJ204" s="136" t="str">
        <f>IF(AI176="","",IF(N204="","",N204))</f>
        <v>PV</v>
      </c>
      <c r="BK204" s="136" t="str">
        <f>IF(AI176="","",IF(O204="","",O204))</f>
        <v>-</v>
      </c>
      <c r="BM204" s="136" t="str">
        <f t="shared" ref="BM204:BM208" si="134">BM203</f>
        <v>TG</v>
      </c>
      <c r="BN204" s="136" t="str">
        <f t="shared" si="122"/>
        <v>Trabalho de Grupo</v>
      </c>
      <c r="BO204" s="136" t="str">
        <f t="shared" si="122"/>
        <v>IEI</v>
      </c>
      <c r="BP204" s="136">
        <f>(COUNTIFS(AX180:AX227,BM204,AY180:AY227,BO204)+COUNTIFS(AZ180:AZ227,BM204,BA180:BA227,BO204)+COUNTIFS(BB180:BB227,BM204,BC180:BC227,BO204)+COUNTIFS(BD180:BD227,BM204,BE180:BE227,BO204)+COUNTIFS(BF180:BF227,BM204,BG180:BG227,BO204)+COUNTIFS(BH180:BH227,BM204,BI180:BI227,BO204)+COUNTIFS(BJ180:BJ227,BM204,BK180:BK227,BO204))*0.5</f>
        <v>0</v>
      </c>
      <c r="BQ204" s="136" t="str">
        <f t="shared" si="123"/>
        <v>Trabalho de Grupo</v>
      </c>
      <c r="BR204" s="136" t="str">
        <f t="shared" si="123"/>
        <v>IEI</v>
      </c>
      <c r="BS204" s="136" t="str">
        <f t="shared" si="124"/>
        <v>Trabalho de Grupo</v>
      </c>
      <c r="BT204" s="136">
        <f t="shared" si="130"/>
        <v>0</v>
      </c>
      <c r="BU204" s="136">
        <f t="shared" si="131"/>
        <v>0</v>
      </c>
      <c r="CA204" s="183">
        <f>'INFO BASE'!L267</f>
        <v>0</v>
      </c>
      <c r="CB204" s="183">
        <f>'INFO BASE'!M267</f>
        <v>0</v>
      </c>
      <c r="CR204" s="177" t="str">
        <f t="shared" si="112"/>
        <v>AT</v>
      </c>
      <c r="CS204" s="177" t="str">
        <f t="shared" si="113"/>
        <v>ATAL</v>
      </c>
      <c r="CT204" s="177" t="str">
        <f t="shared" si="112"/>
        <v>PV</v>
      </c>
      <c r="CU204" s="177">
        <f t="shared" si="114"/>
        <v>0</v>
      </c>
      <c r="CV204" s="177" t="str">
        <f t="shared" si="112"/>
        <v>AT</v>
      </c>
      <c r="CW204" s="177" t="str">
        <f t="shared" si="115"/>
        <v>ATCDI</v>
      </c>
      <c r="CX204" s="177" t="str">
        <f t="shared" si="112"/>
        <v>APB</v>
      </c>
      <c r="CY204" s="177" t="str">
        <f t="shared" si="116"/>
        <v>APBFP</v>
      </c>
      <c r="CZ204" s="177" t="str">
        <f t="shared" si="112"/>
        <v>AT</v>
      </c>
      <c r="DA204" s="177" t="str">
        <f t="shared" si="117"/>
        <v>ATCDI</v>
      </c>
      <c r="DB204" s="177" t="str">
        <f t="shared" si="112"/>
        <v>HS</v>
      </c>
      <c r="DC204" s="177" t="str">
        <f t="shared" si="118"/>
        <v>HS-</v>
      </c>
      <c r="DD204" s="177" t="str">
        <f t="shared" si="119"/>
        <v>PV</v>
      </c>
      <c r="DE204" s="177">
        <f t="shared" si="120"/>
        <v>0</v>
      </c>
    </row>
    <row r="205" spans="1:109" ht="18" customHeight="1" x14ac:dyDescent="0.3">
      <c r="A205" s="81">
        <v>0.52083333333335002</v>
      </c>
      <c r="B205" s="166" t="s">
        <v>9</v>
      </c>
      <c r="C205" s="130" t="s">
        <v>230</v>
      </c>
      <c r="D205" s="169" t="s">
        <v>116</v>
      </c>
      <c r="E205" s="130" t="s">
        <v>120</v>
      </c>
      <c r="F205" s="169" t="s">
        <v>9</v>
      </c>
      <c r="G205" s="130" t="s">
        <v>230</v>
      </c>
      <c r="H205" s="169" t="s">
        <v>130</v>
      </c>
      <c r="I205" s="130" t="s">
        <v>224</v>
      </c>
      <c r="J205" s="169" t="s">
        <v>116</v>
      </c>
      <c r="K205" s="130" t="s">
        <v>120</v>
      </c>
      <c r="L205" s="169" t="s">
        <v>10</v>
      </c>
      <c r="M205" s="130" t="s">
        <v>120</v>
      </c>
      <c r="N205" s="169" t="s">
        <v>116</v>
      </c>
      <c r="O205" s="154" t="s">
        <v>120</v>
      </c>
      <c r="P205" s="6">
        <v>0</v>
      </c>
      <c r="Q205" s="117" t="str">
        <f>IF('INFO BASE'!$C$19="","",'INFO BASE'!$C$19)</f>
        <v>Trabalho de Grupo</v>
      </c>
      <c r="R205" s="82" t="str">
        <f t="shared" si="129"/>
        <v>TG</v>
      </c>
      <c r="S205" s="83">
        <f t="shared" si="126"/>
        <v>-1</v>
      </c>
      <c r="T205" s="84">
        <f>IF(VLOOKUP(Q205,'INFO BASE'!$B$40:$I$54,IF(R205='INFO BASE'!$B$32,3,IF(R205='INFO BASE'!$B$33,4,IF(R205='INFO BASE'!$B$34,5,IF(R205='INFO BASE'!$B$35,6,IF(R205='INFO BASE'!$B$36,7,IF(R205='INFO BASE'!$B$37,8,2)))))),0)=0,"",VLOOKUP(Q205,'INFO BASE'!$B$40:$I$54,IF(R205='INFO BASE'!$B$32,3,IF(R205='INFO BASE'!$B$33,4,IF(R205='INFO BASE'!$B$34,5,IF(R205='INFO BASE'!$B$35,6,IF(R205='INFO BASE'!$B$36,7,IF(R205='INFO BASE'!$B$37,8,2)))))),0))</f>
        <v>15</v>
      </c>
      <c r="U205" s="84">
        <f>IF(R205="","",COUNTIFS(SEMANA4,R205)*0.5)</f>
        <v>0</v>
      </c>
      <c r="V205" s="84">
        <f>IF(R205="","",COUNTIFS(AI180:AV227,R205)*0.5)</f>
        <v>0</v>
      </c>
      <c r="W205" s="85">
        <f>IF(AH176="","-",IF(V205=0,U205,IFERROR((U205/V205)-1,"-")))</f>
        <v>0</v>
      </c>
      <c r="X205" s="201">
        <f t="shared" si="127"/>
        <v>0</v>
      </c>
      <c r="Y205" s="277"/>
      <c r="Z205" s="278"/>
      <c r="AA205" s="278"/>
      <c r="AB205" s="278"/>
      <c r="AC205" s="278"/>
      <c r="AD205" s="278"/>
      <c r="AE205" s="278"/>
      <c r="AF205" s="279"/>
      <c r="AH205" s="136">
        <v>0.52083333333335002</v>
      </c>
      <c r="AI205" s="136" t="s">
        <v>9</v>
      </c>
      <c r="AJ205" s="136" t="s">
        <v>230</v>
      </c>
      <c r="AK205" s="136" t="s">
        <v>116</v>
      </c>
      <c r="AL205" s="136" t="s">
        <v>120</v>
      </c>
      <c r="AM205" s="136" t="s">
        <v>9</v>
      </c>
      <c r="AN205" s="136" t="s">
        <v>230</v>
      </c>
      <c r="AO205" s="136" t="s">
        <v>130</v>
      </c>
      <c r="AP205" s="136" t="s">
        <v>224</v>
      </c>
      <c r="AQ205" s="136" t="s">
        <v>116</v>
      </c>
      <c r="AR205" s="136" t="s">
        <v>120</v>
      </c>
      <c r="AS205" s="136" t="s">
        <v>10</v>
      </c>
      <c r="AT205" s="136" t="s">
        <v>120</v>
      </c>
      <c r="AU205" s="136" t="s">
        <v>116</v>
      </c>
      <c r="AV205" s="136" t="s">
        <v>120</v>
      </c>
      <c r="AX205" s="136" t="str">
        <f>IF(AI176="","",IF(B205="","",B205))</f>
        <v>AT</v>
      </c>
      <c r="AY205" s="136" t="str">
        <f>IF(AI176="","",IF(C205="","",C205))</f>
        <v>AL</v>
      </c>
      <c r="AZ205" s="136" t="str">
        <f>IF(AI176="","",IF(D205="","",D205))</f>
        <v>PV</v>
      </c>
      <c r="BA205" s="136" t="str">
        <f>IF(AI176="","",IF(E205="","",E205))</f>
        <v>-</v>
      </c>
      <c r="BB205" s="136" t="str">
        <f>IF(AI176="","",IF(F205="","",F205))</f>
        <v>AT</v>
      </c>
      <c r="BC205" s="136" t="str">
        <f>IF(AI176="","",IF(G205="","",G205))</f>
        <v>AL</v>
      </c>
      <c r="BD205" s="136" t="str">
        <f>IF(AI176="","",IF(H205="","",H205))</f>
        <v>APB</v>
      </c>
      <c r="BE205" s="136" t="str">
        <f>IF(AI176="","",IF(I205="","",I205))</f>
        <v>FP</v>
      </c>
      <c r="BF205" s="136" t="str">
        <f>IF(AI176="","",IF(J205="","",J205))</f>
        <v>PV</v>
      </c>
      <c r="BG205" s="136" t="str">
        <f>IF(AI176="","",IF(K205="","",K205))</f>
        <v>-</v>
      </c>
      <c r="BH205" s="136" t="str">
        <f>IF(AI176="","",IF(L205="","",L205))</f>
        <v>HS</v>
      </c>
      <c r="BI205" s="136" t="str">
        <f>IF(AI176="","",IF(M205="","",M205))</f>
        <v>-</v>
      </c>
      <c r="BJ205" s="136" t="str">
        <f>IF(AI176="","",IF(N205="","",N205))</f>
        <v>PV</v>
      </c>
      <c r="BK205" s="136" t="str">
        <f>IF(AI176="","",IF(O205="","",O205))</f>
        <v>-</v>
      </c>
      <c r="BM205" s="136" t="str">
        <f t="shared" si="134"/>
        <v>TG</v>
      </c>
      <c r="BN205" s="136" t="str">
        <f t="shared" si="122"/>
        <v>Trabalho de Grupo</v>
      </c>
      <c r="BO205" s="136" t="str">
        <f t="shared" si="122"/>
        <v>IAC</v>
      </c>
      <c r="BP205" s="136">
        <f>(COUNTIFS(AX180:AX227,BM205,AY180:AY227,BO205)+COUNTIFS(AZ180:AZ227,BM205,BA180:BA227,BO205)+COUNTIFS(BB180:BB227,BM205,BC180:BC227,BO205)+COUNTIFS(BD180:BD227,BM205,BE180:BE227,BO205)+COUNTIFS(BF180:BF227,BM205,BG180:BG227,BO205)+COUNTIFS(BH180:BH227,BM205,BI180:BI227,BO205)+COUNTIFS(BJ180:BJ227,BM205,BK180:BK227,BO205))*0.5</f>
        <v>0</v>
      </c>
      <c r="BQ205" s="136" t="str">
        <f t="shared" si="123"/>
        <v>Trabalho de Grupo</v>
      </c>
      <c r="BR205" s="136" t="str">
        <f t="shared" si="123"/>
        <v>IAC</v>
      </c>
      <c r="BS205" s="136" t="str">
        <f t="shared" si="124"/>
        <v>Trabalho de Grupo</v>
      </c>
      <c r="BT205" s="136">
        <f t="shared" si="130"/>
        <v>0</v>
      </c>
      <c r="BU205" s="136">
        <f t="shared" si="131"/>
        <v>0</v>
      </c>
      <c r="CA205" s="183">
        <f>'INFO BASE'!L268</f>
        <v>0</v>
      </c>
      <c r="CB205" s="183">
        <f>'INFO BASE'!M268</f>
        <v>0</v>
      </c>
      <c r="CR205" s="177" t="str">
        <f t="shared" si="112"/>
        <v>AT</v>
      </c>
      <c r="CS205" s="177" t="str">
        <f t="shared" si="113"/>
        <v>ATAL</v>
      </c>
      <c r="CT205" s="177" t="str">
        <f t="shared" si="112"/>
        <v>PV</v>
      </c>
      <c r="CU205" s="177">
        <f t="shared" si="114"/>
        <v>0</v>
      </c>
      <c r="CV205" s="177" t="str">
        <f t="shared" si="112"/>
        <v>AT</v>
      </c>
      <c r="CW205" s="177" t="str">
        <f t="shared" si="115"/>
        <v>ATAL</v>
      </c>
      <c r="CX205" s="177" t="str">
        <f t="shared" si="112"/>
        <v>APB</v>
      </c>
      <c r="CY205" s="177" t="str">
        <f t="shared" si="116"/>
        <v>APBFP</v>
      </c>
      <c r="CZ205" s="177" t="str">
        <f t="shared" si="112"/>
        <v>PV</v>
      </c>
      <c r="DA205" s="177">
        <f t="shared" si="117"/>
        <v>0</v>
      </c>
      <c r="DB205" s="177" t="str">
        <f t="shared" si="112"/>
        <v>HS</v>
      </c>
      <c r="DC205" s="177" t="str">
        <f t="shared" si="118"/>
        <v>HS-</v>
      </c>
      <c r="DD205" s="177" t="str">
        <f t="shared" si="119"/>
        <v>PV</v>
      </c>
      <c r="DE205" s="177">
        <f t="shared" si="120"/>
        <v>0</v>
      </c>
    </row>
    <row r="206" spans="1:109" ht="18" customHeight="1" x14ac:dyDescent="0.3">
      <c r="A206" s="81">
        <v>0.54166666666668395</v>
      </c>
      <c r="B206" s="166" t="s">
        <v>9</v>
      </c>
      <c r="C206" s="130" t="s">
        <v>231</v>
      </c>
      <c r="D206" s="169" t="s">
        <v>116</v>
      </c>
      <c r="E206" s="130" t="s">
        <v>120</v>
      </c>
      <c r="F206" s="169" t="s">
        <v>9</v>
      </c>
      <c r="G206" s="130" t="s">
        <v>230</v>
      </c>
      <c r="H206" s="169" t="s">
        <v>130</v>
      </c>
      <c r="I206" s="130" t="s">
        <v>224</v>
      </c>
      <c r="J206" s="169" t="s">
        <v>116</v>
      </c>
      <c r="K206" s="130" t="s">
        <v>120</v>
      </c>
      <c r="L206" s="169" t="s">
        <v>12</v>
      </c>
      <c r="M206" s="130" t="s">
        <v>120</v>
      </c>
      <c r="N206" s="169" t="s">
        <v>116</v>
      </c>
      <c r="O206" s="154" t="s">
        <v>120</v>
      </c>
      <c r="P206" s="6">
        <v>0</v>
      </c>
      <c r="Q206" s="118" t="str">
        <f t="shared" ref="Q206:Q211" si="135">Q205</f>
        <v>Trabalho de Grupo</v>
      </c>
      <c r="R206" s="105" t="str">
        <f t="shared" si="129"/>
        <v>FP</v>
      </c>
      <c r="S206" s="88">
        <f t="shared" si="126"/>
        <v>-1</v>
      </c>
      <c r="T206" s="89">
        <f>IF(VLOOKUP(Q206,'INFO BASE'!$B$40:$I$54,IF(R206='INFO BASE'!$B$32,3,IF(R206='INFO BASE'!$B$33,4,IF(R206='INFO BASE'!$B$34,5,IF(R206='INFO BASE'!$B$35,6,IF(R206='INFO BASE'!$B$36,7,IF(R206='INFO BASE'!$B$37,8,2)))))),0)=0,"",VLOOKUP(Q206,'INFO BASE'!$B$40:$I$54,IF(R206='INFO BASE'!$B$32,3,IF(R206='INFO BASE'!$B$33,4,IF(R206='INFO BASE'!$B$34,5,IF(R206='INFO BASE'!$B$35,6,IF(R206='INFO BASE'!$B$36,7,IF(R206='INFO BASE'!$B$37,8,2)))))),0))</f>
        <v>3</v>
      </c>
      <c r="U206" s="89">
        <f>(COUNTIFS(C180:C227,R206,B180:B227,R205)+COUNTIFS(E180:E227,R206,D180:D227,R205)+COUNTIFS(G180:G227,R206,F180:F227,R205)+COUNTIFS(I180:I227,R206,H180:H227,R205)+COUNTIFS(K180:K227,R206,J180:J227,R205)+COUNTIFS(M180:M227,R206,L180:L227,R205)+COUNTIFS(O180:O227,R206,N180:N227,R205))*0.5</f>
        <v>0</v>
      </c>
      <c r="V206" s="89">
        <f>(COUNTIFS(AI180:AI227,R205,AJ180:AJ227,R199)+COUNTIFS(AK180:AK227,R205,AL180:AL227,R199)+COUNTIFS(AM180:AM227,R205,AN180:AN227,R199)+COUNTIFS(AO180:AO227,R205,AP180:AP227,R199)+COUNTIFS(AQ180:AQ227,R205,AR180:AR227,R199)+COUNTIFS(AS180:AS227,R205,AT180:AT227,R199)+COUNTIFS(AU180:AU227,R205,AV180:AV227,R199))*0.5</f>
        <v>0</v>
      </c>
      <c r="W206" s="90">
        <f>IF(AH176="","-",IF(V206=0,U206,IFERROR((U206/V206)-1,"-")))</f>
        <v>0</v>
      </c>
      <c r="X206" s="201">
        <f t="shared" si="127"/>
        <v>0</v>
      </c>
      <c r="Y206" s="271"/>
      <c r="Z206" s="272"/>
      <c r="AA206" s="272"/>
      <c r="AB206" s="272"/>
      <c r="AC206" s="272"/>
      <c r="AD206" s="272"/>
      <c r="AE206" s="272"/>
      <c r="AF206" s="273"/>
      <c r="AH206" s="136">
        <v>0.54166666666668395</v>
      </c>
      <c r="AI206" s="136" t="s">
        <v>9</v>
      </c>
      <c r="AJ206" s="136" t="s">
        <v>231</v>
      </c>
      <c r="AK206" s="136" t="s">
        <v>116</v>
      </c>
      <c r="AL206" s="136" t="s">
        <v>120</v>
      </c>
      <c r="AM206" s="136" t="s">
        <v>9</v>
      </c>
      <c r="AN206" s="136" t="s">
        <v>230</v>
      </c>
      <c r="AO206" s="136" t="s">
        <v>130</v>
      </c>
      <c r="AP206" s="136" t="s">
        <v>224</v>
      </c>
      <c r="AQ206" s="136" t="s">
        <v>116</v>
      </c>
      <c r="AR206" s="136" t="s">
        <v>120</v>
      </c>
      <c r="AS206" s="136" t="s">
        <v>12</v>
      </c>
      <c r="AT206" s="136" t="s">
        <v>120</v>
      </c>
      <c r="AU206" s="136" t="s">
        <v>116</v>
      </c>
      <c r="AV206" s="136" t="s">
        <v>120</v>
      </c>
      <c r="AX206" s="136" t="str">
        <f>IF(AI176="","",IF(B206="","",B206))</f>
        <v>AT</v>
      </c>
      <c r="AY206" s="136" t="str">
        <f>IF(AI176="","",IF(C206="","",C206))</f>
        <v>CDI</v>
      </c>
      <c r="AZ206" s="136" t="str">
        <f>IF(AI176="","",IF(D206="","",D206))</f>
        <v>PV</v>
      </c>
      <c r="BA206" s="136" t="str">
        <f>IF(AI176="","",IF(E206="","",E206))</f>
        <v>-</v>
      </c>
      <c r="BB206" s="136" t="str">
        <f>IF(AI176="","",IF(F206="","",F206))</f>
        <v>AT</v>
      </c>
      <c r="BC206" s="136" t="str">
        <f>IF(AI176="","",IF(G206="","",G206))</f>
        <v>AL</v>
      </c>
      <c r="BD206" s="136" t="str">
        <f>IF(AI176="","",IF(H206="","",H206))</f>
        <v>APB</v>
      </c>
      <c r="BE206" s="136" t="str">
        <f>IF(AI176="","",IF(I206="","",I206))</f>
        <v>FP</v>
      </c>
      <c r="BF206" s="136" t="str">
        <f>IF(AI176="","",IF(J206="","",J206))</f>
        <v>PV</v>
      </c>
      <c r="BG206" s="136" t="str">
        <f>IF(AI176="","",IF(K206="","",K206))</f>
        <v>-</v>
      </c>
      <c r="BH206" s="136" t="str">
        <f>IF(AI176="","",IF(L206="","",L206))</f>
        <v>HR</v>
      </c>
      <c r="BI206" s="136" t="str">
        <f>IF(AI176="","",IF(M206="","",M206))</f>
        <v>-</v>
      </c>
      <c r="BJ206" s="136" t="str">
        <f>IF(AI176="","",IF(N206="","",N206))</f>
        <v>PV</v>
      </c>
      <c r="BK206" s="136" t="str">
        <f>IF(AI176="","",IF(O206="","",O206))</f>
        <v>-</v>
      </c>
      <c r="BM206" s="136" t="str">
        <f t="shared" si="134"/>
        <v>TG</v>
      </c>
      <c r="BN206" s="136" t="str">
        <f t="shared" si="122"/>
        <v>Trabalho de Grupo</v>
      </c>
      <c r="BO206" s="136" t="str">
        <f t="shared" si="122"/>
        <v>AL</v>
      </c>
      <c r="BP206" s="136">
        <f>(COUNTIFS(AX180:AX227,BM206,AY180:AY227,BO206)+COUNTIFS(AZ180:AZ227,BM206,BA180:BA227,BO206)+COUNTIFS(BB180:BB227,BM206,BC180:BC227,BO206)+COUNTIFS(BD180:BD227,BM206,BE180:BE227,BO206)+COUNTIFS(BF180:BF227,BM206,BG180:BG227,BO206)+COUNTIFS(BH180:BH227,BM206,BI180:BI227,BO206)+COUNTIFS(BJ180:BJ227,BM206,BK180:BK227,BO206))*0.5</f>
        <v>0</v>
      </c>
      <c r="BQ206" s="136" t="str">
        <f t="shared" si="123"/>
        <v>Trabalho de Grupo</v>
      </c>
      <c r="BR206" s="136" t="str">
        <f t="shared" si="123"/>
        <v>AL</v>
      </c>
      <c r="BS206" s="136" t="str">
        <f t="shared" si="124"/>
        <v>Trabalho de Grupo</v>
      </c>
      <c r="BT206" s="136">
        <f t="shared" si="130"/>
        <v>0</v>
      </c>
      <c r="BU206" s="136">
        <f t="shared" si="131"/>
        <v>0</v>
      </c>
      <c r="CA206" s="183">
        <f>'INFO BASE'!L269</f>
        <v>0</v>
      </c>
      <c r="CB206" s="183">
        <f>'INFO BASE'!M269</f>
        <v>0</v>
      </c>
      <c r="CR206" s="177" t="str">
        <f t="shared" si="112"/>
        <v>AT</v>
      </c>
      <c r="CS206" s="177" t="str">
        <f t="shared" si="113"/>
        <v>ATCDI</v>
      </c>
      <c r="CT206" s="177" t="str">
        <f t="shared" si="112"/>
        <v>PV</v>
      </c>
      <c r="CU206" s="177">
        <f t="shared" si="114"/>
        <v>0</v>
      </c>
      <c r="CV206" s="177" t="str">
        <f t="shared" si="112"/>
        <v>AT</v>
      </c>
      <c r="CW206" s="177" t="str">
        <f t="shared" si="115"/>
        <v>ATAL</v>
      </c>
      <c r="CX206" s="177" t="str">
        <f t="shared" si="112"/>
        <v>APB</v>
      </c>
      <c r="CY206" s="177" t="str">
        <f t="shared" si="116"/>
        <v>APBFP</v>
      </c>
      <c r="CZ206" s="177" t="str">
        <f t="shared" si="112"/>
        <v>PV</v>
      </c>
      <c r="DA206" s="177">
        <f t="shared" si="117"/>
        <v>0</v>
      </c>
      <c r="DB206" s="177" t="str">
        <f t="shared" si="112"/>
        <v>HR</v>
      </c>
      <c r="DC206" s="177" t="str">
        <f t="shared" si="118"/>
        <v>HR-</v>
      </c>
      <c r="DD206" s="177" t="str">
        <f t="shared" si="119"/>
        <v>PV</v>
      </c>
      <c r="DE206" s="177">
        <f t="shared" si="120"/>
        <v>0</v>
      </c>
    </row>
    <row r="207" spans="1:109" ht="18" customHeight="1" x14ac:dyDescent="0.3">
      <c r="A207" s="81">
        <v>0.56250000000001799</v>
      </c>
      <c r="B207" s="166" t="s">
        <v>9</v>
      </c>
      <c r="C207" s="130" t="s">
        <v>231</v>
      </c>
      <c r="D207" s="169" t="s">
        <v>116</v>
      </c>
      <c r="E207" s="130" t="s">
        <v>120</v>
      </c>
      <c r="F207" s="169" t="s">
        <v>116</v>
      </c>
      <c r="G207" s="130" t="s">
        <v>120</v>
      </c>
      <c r="H207" s="169" t="s">
        <v>116</v>
      </c>
      <c r="I207" s="130" t="s">
        <v>120</v>
      </c>
      <c r="J207" s="169" t="s">
        <v>116</v>
      </c>
      <c r="K207" s="130" t="s">
        <v>120</v>
      </c>
      <c r="L207" s="169" t="s">
        <v>12</v>
      </c>
      <c r="M207" s="130" t="s">
        <v>120</v>
      </c>
      <c r="N207" s="169" t="s">
        <v>116</v>
      </c>
      <c r="O207" s="154" t="s">
        <v>120</v>
      </c>
      <c r="P207" s="6">
        <v>0</v>
      </c>
      <c r="Q207" s="118" t="str">
        <f t="shared" si="135"/>
        <v>Trabalho de Grupo</v>
      </c>
      <c r="R207" s="105" t="str">
        <f t="shared" si="129"/>
        <v>IEI</v>
      </c>
      <c r="S207" s="88">
        <f t="shared" si="126"/>
        <v>-1</v>
      </c>
      <c r="T207" s="89">
        <f>IF(VLOOKUP(Q207,'INFO BASE'!$B$40:$I$54,IF(R207='INFO BASE'!$B$32,3,IF(R207='INFO BASE'!$B$33,4,IF(R207='INFO BASE'!$B$34,5,IF(R207='INFO BASE'!$B$35,6,IF(R207='INFO BASE'!$B$36,7,IF(R207='INFO BASE'!$B$37,8,2)))))),0)=0,"",VLOOKUP(Q207,'INFO BASE'!$B$40:$I$54,IF(R207='INFO BASE'!$B$32,3,IF(R207='INFO BASE'!$B$33,4,IF(R207='INFO BASE'!$B$34,5,IF(R207='INFO BASE'!$B$35,6,IF(R207='INFO BASE'!$B$36,7,IF(R207='INFO BASE'!$B$37,8,2)))))),0))</f>
        <v>3</v>
      </c>
      <c r="U207" s="89">
        <f>(COUNTIFS(C180:C227,R207,B180:B227,R205)+COUNTIFS(E180:E227,R207,D180:D227,R205)+COUNTIFS(G180:G227,R207,F180:F227,R205)+COUNTIFS(I180:I227,R207,H180:H227,R205)+COUNTIFS(K180:K227,R207,J180:J227,R205)+COUNTIFS(M180:M227,R207,L180:L227,R205)+COUNTIFS(O180:O227,R207,N180:N227,R205))*0.5</f>
        <v>0</v>
      </c>
      <c r="V207" s="89">
        <f>(COUNTIFS(AI180:AI227,R205,AJ180:AJ227,R200)+COUNTIFS(AK180:AK227,R205,AL180:AL227,R200)+COUNTIFS(AM180:AM227,R205,AN180:AN227,R200)+COUNTIFS(AO180:AO227,R205,AP180:AP227,R200)+COUNTIFS(AQ180:AQ227,R205,AR180:AR227,R200)+COUNTIFS(AS180:AS227,R205,AT180:AT227,R200)+COUNTIFS(AU180:AU227,R205,AV180:AV227,R200))*0.5</f>
        <v>0</v>
      </c>
      <c r="W207" s="90">
        <f>IF(AH176="","-",IF(V207=0,U207,IFERROR((U207/V207)-1,"-")))</f>
        <v>0</v>
      </c>
      <c r="X207" s="201">
        <f t="shared" si="127"/>
        <v>0</v>
      </c>
      <c r="Y207" s="271"/>
      <c r="Z207" s="272"/>
      <c r="AA207" s="272"/>
      <c r="AB207" s="272"/>
      <c r="AC207" s="272"/>
      <c r="AD207" s="272"/>
      <c r="AE207" s="272"/>
      <c r="AF207" s="273"/>
      <c r="AH207" s="136">
        <v>0.56250000000001799</v>
      </c>
      <c r="AI207" s="136" t="s">
        <v>9</v>
      </c>
      <c r="AJ207" s="136" t="s">
        <v>231</v>
      </c>
      <c r="AK207" s="136" t="s">
        <v>116</v>
      </c>
      <c r="AL207" s="136" t="s">
        <v>120</v>
      </c>
      <c r="AM207" s="136" t="s">
        <v>116</v>
      </c>
      <c r="AN207" s="136" t="s">
        <v>120</v>
      </c>
      <c r="AO207" s="136" t="s">
        <v>116</v>
      </c>
      <c r="AP207" s="136" t="s">
        <v>120</v>
      </c>
      <c r="AQ207" s="136" t="s">
        <v>116</v>
      </c>
      <c r="AR207" s="136" t="s">
        <v>120</v>
      </c>
      <c r="AS207" s="136" t="s">
        <v>12</v>
      </c>
      <c r="AT207" s="136" t="s">
        <v>120</v>
      </c>
      <c r="AU207" s="136" t="s">
        <v>116</v>
      </c>
      <c r="AV207" s="136" t="s">
        <v>120</v>
      </c>
      <c r="AX207" s="136" t="str">
        <f>IF(AI176="","",IF(B207="","",B207))</f>
        <v>AT</v>
      </c>
      <c r="AY207" s="136" t="str">
        <f>IF(AI176="","",IF(C207="","",C207))</f>
        <v>CDI</v>
      </c>
      <c r="AZ207" s="136" t="str">
        <f>IF(AI176="","",IF(D207="","",D207))</f>
        <v>PV</v>
      </c>
      <c r="BA207" s="136" t="str">
        <f>IF(AI176="","",IF(E207="","",E207))</f>
        <v>-</v>
      </c>
      <c r="BB207" s="136" t="str">
        <f>IF(AI176="","",IF(F207="","",F207))</f>
        <v>PV</v>
      </c>
      <c r="BC207" s="136" t="str">
        <f>IF(AI176="","",IF(G207="","",G207))</f>
        <v>-</v>
      </c>
      <c r="BD207" s="136" t="str">
        <f>IF(AI176="","",IF(H207="","",H207))</f>
        <v>PV</v>
      </c>
      <c r="BE207" s="136" t="str">
        <f>IF(AI176="","",IF(I207="","",I207))</f>
        <v>-</v>
      </c>
      <c r="BF207" s="136" t="str">
        <f>IF(AI176="","",IF(J207="","",J207))</f>
        <v>PV</v>
      </c>
      <c r="BG207" s="136" t="str">
        <f>IF(AI176="","",IF(K207="","",K207))</f>
        <v>-</v>
      </c>
      <c r="BH207" s="136" t="str">
        <f>IF(AI176="","",IF(L207="","",L207))</f>
        <v>HR</v>
      </c>
      <c r="BI207" s="136" t="str">
        <f>IF(AI176="","",IF(M207="","",M207))</f>
        <v>-</v>
      </c>
      <c r="BJ207" s="136" t="str">
        <f>IF(AI176="","",IF(N207="","",N207))</f>
        <v>PV</v>
      </c>
      <c r="BK207" s="136" t="str">
        <f>IF(AI176="","",IF(O207="","",O207))</f>
        <v>-</v>
      </c>
      <c r="BM207" s="136" t="str">
        <f t="shared" si="134"/>
        <v>TG</v>
      </c>
      <c r="BN207" s="136" t="str">
        <f t="shared" si="122"/>
        <v>Trabalho de Grupo</v>
      </c>
      <c r="BO207" s="136" t="str">
        <f t="shared" si="122"/>
        <v>CDI</v>
      </c>
      <c r="BP207" s="136">
        <f>(COUNTIFS(AX180:AX227,BM207,AY180:AY227,BO207)+COUNTIFS(AZ180:AZ227,BM207,BA180:BA227,BO207)+COUNTIFS(BB180:BB227,BM207,BC180:BC227,BO207)+COUNTIFS(BD180:BD227,BM207,BE180:BE227,BO207)+COUNTIFS(BF180:BF227,BM207,BG180:BG227,BO207)+COUNTIFS(BH180:BH227,BM207,BI180:BI227,BO207)+COUNTIFS(BJ180:BJ227,BM207,BK180:BK227,BO207))*0.5</f>
        <v>0</v>
      </c>
      <c r="BQ207" s="136" t="str">
        <f t="shared" si="123"/>
        <v>Trabalho de Grupo</v>
      </c>
      <c r="BR207" s="136" t="str">
        <f t="shared" si="123"/>
        <v>CDI</v>
      </c>
      <c r="BS207" s="136" t="str">
        <f t="shared" si="124"/>
        <v>Trabalho de Grupo</v>
      </c>
      <c r="BT207" s="136">
        <f t="shared" si="130"/>
        <v>0</v>
      </c>
      <c r="BU207" s="136">
        <f t="shared" si="131"/>
        <v>0</v>
      </c>
      <c r="CA207" s="183">
        <f>'INFO BASE'!L270</f>
        <v>0</v>
      </c>
      <c r="CB207" s="183">
        <f>'INFO BASE'!M270</f>
        <v>0</v>
      </c>
      <c r="CR207" s="177" t="str">
        <f t="shared" si="112"/>
        <v>AT</v>
      </c>
      <c r="CS207" s="177" t="str">
        <f t="shared" si="113"/>
        <v>ATCDI</v>
      </c>
      <c r="CT207" s="177" t="str">
        <f t="shared" si="112"/>
        <v>PV</v>
      </c>
      <c r="CU207" s="177">
        <f t="shared" si="114"/>
        <v>0</v>
      </c>
      <c r="CV207" s="177" t="str">
        <f t="shared" si="112"/>
        <v>PV</v>
      </c>
      <c r="CW207" s="177">
        <f t="shared" si="115"/>
        <v>0</v>
      </c>
      <c r="CX207" s="177" t="str">
        <f t="shared" si="112"/>
        <v>PV</v>
      </c>
      <c r="CY207" s="177">
        <f t="shared" si="116"/>
        <v>0</v>
      </c>
      <c r="CZ207" s="177" t="str">
        <f t="shared" si="112"/>
        <v>PV</v>
      </c>
      <c r="DA207" s="177">
        <f t="shared" si="117"/>
        <v>0</v>
      </c>
      <c r="DB207" s="177" t="str">
        <f t="shared" si="112"/>
        <v>HR</v>
      </c>
      <c r="DC207" s="177" t="str">
        <f t="shared" si="118"/>
        <v>HR-</v>
      </c>
      <c r="DD207" s="177" t="str">
        <f t="shared" si="119"/>
        <v>PV</v>
      </c>
      <c r="DE207" s="177">
        <f t="shared" si="120"/>
        <v>0</v>
      </c>
    </row>
    <row r="208" spans="1:109" ht="18" customHeight="1" x14ac:dyDescent="0.3">
      <c r="A208" s="81">
        <v>0.58333333333335202</v>
      </c>
      <c r="B208" s="166" t="s">
        <v>12</v>
      </c>
      <c r="C208" s="130" t="s">
        <v>120</v>
      </c>
      <c r="D208" s="169" t="s">
        <v>12</v>
      </c>
      <c r="E208" s="130" t="s">
        <v>120</v>
      </c>
      <c r="F208" s="169" t="s">
        <v>12</v>
      </c>
      <c r="G208" s="130" t="s">
        <v>120</v>
      </c>
      <c r="H208" s="169" t="s">
        <v>12</v>
      </c>
      <c r="I208" s="130" t="s">
        <v>120</v>
      </c>
      <c r="J208" s="169" t="s">
        <v>12</v>
      </c>
      <c r="K208" s="130" t="s">
        <v>120</v>
      </c>
      <c r="L208" s="169" t="s">
        <v>12</v>
      </c>
      <c r="M208" s="130" t="s">
        <v>120</v>
      </c>
      <c r="N208" s="169" t="s">
        <v>116</v>
      </c>
      <c r="O208" s="154" t="s">
        <v>120</v>
      </c>
      <c r="P208" s="6">
        <v>0</v>
      </c>
      <c r="Q208" s="119" t="str">
        <f t="shared" si="135"/>
        <v>Trabalho de Grupo</v>
      </c>
      <c r="R208" s="105" t="str">
        <f t="shared" si="129"/>
        <v>IAC</v>
      </c>
      <c r="S208" s="88">
        <f t="shared" si="126"/>
        <v>-1</v>
      </c>
      <c r="T208" s="89">
        <f>IF(VLOOKUP(Q208,'INFO BASE'!$B$40:$I$54,IF(R208='INFO BASE'!$B$32,3,IF(R208='INFO BASE'!$B$33,4,IF(R208='INFO BASE'!$B$34,5,IF(R208='INFO BASE'!$B$35,6,IF(R208='INFO BASE'!$B$36,7,IF(R208='INFO BASE'!$B$37,8,2)))))),0)=0,"",VLOOKUP(Q208,'INFO BASE'!$B$40:$I$54,IF(R208='INFO BASE'!$B$32,3,IF(R208='INFO BASE'!$B$33,4,IF(R208='INFO BASE'!$B$34,5,IF(R208='INFO BASE'!$B$35,6,IF(R208='INFO BASE'!$B$36,7,IF(R208='INFO BASE'!$B$37,8,2)))))),0))</f>
        <v>3</v>
      </c>
      <c r="U208" s="89">
        <f>(COUNTIFS(C180:C227,R208,B180:B227,R205)+COUNTIFS(E180:E227,R208,D180:D227,R205)+COUNTIFS(G180:G227,R208,F180:F227,R205)+COUNTIFS(I180:I227,R208,H180:H227,R205)+COUNTIFS(K180:K227,R208,J180:J227,R205)+COUNTIFS(M180:M227,R208,L180:L227,R205)+COUNTIFS(O180:O227,R208,N180:N227,R205))*0.5</f>
        <v>0</v>
      </c>
      <c r="V208" s="89">
        <f>(COUNTIFS(AI180:AI227,R205,AJ180:AJ227,R201)+COUNTIFS(AK180:AK227,R205,AL180:AL227,R201)+COUNTIFS(AM180:AM227,R205,AN180:AN227,R201)+COUNTIFS(AO180:AO227,R205,AP180:AP227,R201)+COUNTIFS(AQ180:AQ227,R205,AR180:AR227,R201)+COUNTIFS(AS180:AS227,R205,AT180:AT227,R201)+COUNTIFS(AU180:AU227,R205,AV180:AV227,R201))*0.5</f>
        <v>0</v>
      </c>
      <c r="W208" s="90">
        <f>IF(AH176="","-",IF(V208=0,U208,IFERROR((U208/V208)-1,"-")))</f>
        <v>0</v>
      </c>
      <c r="X208" s="201">
        <f t="shared" si="127"/>
        <v>0</v>
      </c>
      <c r="Y208" s="271"/>
      <c r="Z208" s="272"/>
      <c r="AA208" s="272"/>
      <c r="AB208" s="272"/>
      <c r="AC208" s="272"/>
      <c r="AD208" s="272"/>
      <c r="AE208" s="272"/>
      <c r="AF208" s="273"/>
      <c r="AH208" s="136">
        <v>0.58333333333335202</v>
      </c>
      <c r="AI208" s="136" t="s">
        <v>12</v>
      </c>
      <c r="AJ208" s="136" t="s">
        <v>120</v>
      </c>
      <c r="AK208" s="136" t="s">
        <v>12</v>
      </c>
      <c r="AL208" s="136" t="s">
        <v>120</v>
      </c>
      <c r="AM208" s="136" t="s">
        <v>12</v>
      </c>
      <c r="AN208" s="136" t="s">
        <v>120</v>
      </c>
      <c r="AO208" s="136" t="s">
        <v>12</v>
      </c>
      <c r="AP208" s="136" t="s">
        <v>120</v>
      </c>
      <c r="AQ208" s="136" t="s">
        <v>12</v>
      </c>
      <c r="AR208" s="136" t="s">
        <v>120</v>
      </c>
      <c r="AS208" s="136" t="s">
        <v>12</v>
      </c>
      <c r="AT208" s="136" t="s">
        <v>120</v>
      </c>
      <c r="AU208" s="136" t="s">
        <v>116</v>
      </c>
      <c r="AV208" s="136" t="s">
        <v>120</v>
      </c>
      <c r="AX208" s="136" t="str">
        <f>IF(AI176="","",IF(B208="","",B208))</f>
        <v>HR</v>
      </c>
      <c r="AY208" s="136" t="str">
        <f>IF(AI176="","",IF(C208="","",C208))</f>
        <v>-</v>
      </c>
      <c r="AZ208" s="136" t="str">
        <f>IF(AI176="","",IF(D208="","",D208))</f>
        <v>HR</v>
      </c>
      <c r="BA208" s="136" t="str">
        <f>IF(AI176="","",IF(E208="","",E208))</f>
        <v>-</v>
      </c>
      <c r="BB208" s="136" t="str">
        <f>IF(AI176="","",IF(F208="","",F208))</f>
        <v>HR</v>
      </c>
      <c r="BC208" s="136" t="str">
        <f>IF(AI176="","",IF(G208="","",G208))</f>
        <v>-</v>
      </c>
      <c r="BD208" s="136" t="str">
        <f>IF(AI176="","",IF(H208="","",H208))</f>
        <v>HR</v>
      </c>
      <c r="BE208" s="136" t="str">
        <f>IF(AI176="","",IF(I208="","",I208))</f>
        <v>-</v>
      </c>
      <c r="BF208" s="136" t="str">
        <f>IF(AI176="","",IF(J208="","",J208))</f>
        <v>HR</v>
      </c>
      <c r="BG208" s="136" t="str">
        <f>IF(AI176="","",IF(K208="","",K208))</f>
        <v>-</v>
      </c>
      <c r="BH208" s="136" t="str">
        <f>IF(AI176="","",IF(L208="","",L208))</f>
        <v>HR</v>
      </c>
      <c r="BI208" s="136" t="str">
        <f>IF(AI176="","",IF(M208="","",M208))</f>
        <v>-</v>
      </c>
      <c r="BJ208" s="136" t="str">
        <f>IF(AI176="","",IF(N208="","",N208))</f>
        <v>PV</v>
      </c>
      <c r="BK208" s="136" t="str">
        <f>IF(AI176="","",IF(O208="","",O208))</f>
        <v>-</v>
      </c>
      <c r="BM208" s="136" t="str">
        <f t="shared" si="134"/>
        <v>TG</v>
      </c>
      <c r="BN208" s="136" t="str">
        <f t="shared" si="122"/>
        <v>Trabalho de Grupo</v>
      </c>
      <c r="BO208" s="136" t="str">
        <f t="shared" si="122"/>
        <v/>
      </c>
      <c r="BP208" s="136">
        <f>(COUNTIFS(AX180:AX227,BM208,AY180:AY227,BO208)+COUNTIFS(AZ180:AZ227,BM208,BA180:BA227,BO208)+COUNTIFS(BB180:BB227,BM208,BC180:BC227,BO208)+COUNTIFS(BD180:BD227,BM208,BE180:BE227,BO208)+COUNTIFS(BF180:BF227,BM208,BG180:BG227,BO208)+COUNTIFS(BH180:BH227,BM208,BI180:BI227,BO208)+COUNTIFS(BJ180:BJ227,BM208,BK180:BK227,BO208))*0.5</f>
        <v>0</v>
      </c>
      <c r="BQ208" s="136" t="str">
        <f t="shared" si="123"/>
        <v>Trabalho de Grupo</v>
      </c>
      <c r="BR208" s="136" t="str">
        <f t="shared" si="123"/>
        <v/>
      </c>
      <c r="BS208" s="136" t="str">
        <f t="shared" si="124"/>
        <v>Trabalho de Grupo</v>
      </c>
      <c r="BT208" s="136">
        <f t="shared" si="130"/>
        <v>0</v>
      </c>
      <c r="BU208" s="136">
        <f t="shared" si="131"/>
        <v>0</v>
      </c>
      <c r="CA208" s="183">
        <f>'INFO BASE'!L271</f>
        <v>0</v>
      </c>
      <c r="CB208" s="183">
        <f>'INFO BASE'!M271</f>
        <v>0</v>
      </c>
      <c r="CR208" s="177" t="str">
        <f t="shared" si="112"/>
        <v>HR</v>
      </c>
      <c r="CS208" s="177" t="str">
        <f t="shared" si="113"/>
        <v>HR-</v>
      </c>
      <c r="CT208" s="177" t="str">
        <f t="shared" si="112"/>
        <v>HR</v>
      </c>
      <c r="CU208" s="177" t="str">
        <f t="shared" si="114"/>
        <v>HR-</v>
      </c>
      <c r="CV208" s="177" t="str">
        <f t="shared" si="112"/>
        <v>HR</v>
      </c>
      <c r="CW208" s="177" t="str">
        <f t="shared" si="115"/>
        <v>HR-</v>
      </c>
      <c r="CX208" s="177" t="str">
        <f t="shared" si="112"/>
        <v>HR</v>
      </c>
      <c r="CY208" s="177" t="str">
        <f t="shared" si="116"/>
        <v>HR-</v>
      </c>
      <c r="CZ208" s="177" t="str">
        <f t="shared" si="112"/>
        <v>HR</v>
      </c>
      <c r="DA208" s="177" t="str">
        <f t="shared" si="117"/>
        <v>HR-</v>
      </c>
      <c r="DB208" s="177" t="str">
        <f t="shared" si="112"/>
        <v>HR</v>
      </c>
      <c r="DC208" s="177" t="str">
        <f t="shared" si="118"/>
        <v>HR-</v>
      </c>
      <c r="DD208" s="177" t="str">
        <f t="shared" si="119"/>
        <v>PV</v>
      </c>
      <c r="DE208" s="177">
        <f t="shared" si="120"/>
        <v>0</v>
      </c>
    </row>
    <row r="209" spans="1:109" ht="18" customHeight="1" x14ac:dyDescent="0.3">
      <c r="A209" s="81">
        <v>0.60416666666668595</v>
      </c>
      <c r="B209" s="166" t="s">
        <v>12</v>
      </c>
      <c r="C209" s="130" t="s">
        <v>120</v>
      </c>
      <c r="D209" s="169" t="s">
        <v>12</v>
      </c>
      <c r="E209" s="130" t="s">
        <v>120</v>
      </c>
      <c r="F209" s="169" t="s">
        <v>12</v>
      </c>
      <c r="G209" s="130" t="s">
        <v>120</v>
      </c>
      <c r="H209" s="169" t="s">
        <v>12</v>
      </c>
      <c r="I209" s="130" t="s">
        <v>120</v>
      </c>
      <c r="J209" s="169" t="s">
        <v>12</v>
      </c>
      <c r="K209" s="130" t="s">
        <v>120</v>
      </c>
      <c r="L209" s="169" t="s">
        <v>116</v>
      </c>
      <c r="M209" s="130" t="s">
        <v>120</v>
      </c>
      <c r="N209" s="169" t="s">
        <v>12</v>
      </c>
      <c r="O209" s="154" t="s">
        <v>120</v>
      </c>
      <c r="P209" s="6">
        <v>0</v>
      </c>
      <c r="Q209" s="118" t="str">
        <f t="shared" si="135"/>
        <v>Trabalho de Grupo</v>
      </c>
      <c r="R209" s="105" t="str">
        <f t="shared" si="129"/>
        <v>AL</v>
      </c>
      <c r="S209" s="88">
        <f t="shared" si="126"/>
        <v>-1</v>
      </c>
      <c r="T209" s="89">
        <f>IF(VLOOKUP(Q209,'INFO BASE'!$B$40:$I$54,IF(R209='INFO BASE'!$B$32,3,IF(R209='INFO BASE'!$B$33,4,IF(R209='INFO BASE'!$B$34,5,IF(R209='INFO BASE'!$B$35,6,IF(R209='INFO BASE'!$B$36,7,IF(R209='INFO BASE'!$B$37,8,2)))))),0)=0,"",VLOOKUP(Q209,'INFO BASE'!$B$40:$I$54,IF(R209='INFO BASE'!$B$32,3,IF(R209='INFO BASE'!$B$33,4,IF(R209='INFO BASE'!$B$34,5,IF(R209='INFO BASE'!$B$35,6,IF(R209='INFO BASE'!$B$36,7,IF(R209='INFO BASE'!$B$37,8,2)))))),0))</f>
        <v>3</v>
      </c>
      <c r="U209" s="89">
        <f>(COUNTIFS(C180:C227,R209,B180:B227,R205)+COUNTIFS(E180:E227,R209,D180:D227,R205)+COUNTIFS(G180:G227,R209,F180:F227,R205)+COUNTIFS(I180:I227,R209,H180:H227,R205)+COUNTIFS(K180:K227,R209,J180:J227,R205)+COUNTIFS(M180:M227,R209,L180:L227,R205)+COUNTIFS(O180:O227,R209,N180:N227,R205))*0.5</f>
        <v>0</v>
      </c>
      <c r="V209" s="89">
        <f>(COUNTIFS(AI180:AI227,R205,AJ180:AJ227,R202)+COUNTIFS(AK180:AK227,R205,AL180:AL227,R202)+COUNTIFS(AM180:AM227,R205,AN180:AN227,R202)+COUNTIFS(AO180:AO227,R205,AP180:AP227,R202)+COUNTIFS(AQ180:AQ227,R205,AR180:AR227,R202)+COUNTIFS(AS180:AS227,R205,AT180:AT227,R202)+COUNTIFS(AU180:AU227,R205,AV180:AV227,R202))*0.5</f>
        <v>0</v>
      </c>
      <c r="W209" s="90">
        <f>IF(AH176="","-",IF(V209=0,U209,IFERROR((U209/V209)-1,"-")))</f>
        <v>0</v>
      </c>
      <c r="X209" s="201">
        <f t="shared" si="127"/>
        <v>0</v>
      </c>
      <c r="Y209" s="271"/>
      <c r="Z209" s="272"/>
      <c r="AA209" s="272"/>
      <c r="AB209" s="272"/>
      <c r="AC209" s="272"/>
      <c r="AD209" s="272"/>
      <c r="AE209" s="272"/>
      <c r="AF209" s="273"/>
      <c r="AH209" s="136">
        <v>0.60416666666668595</v>
      </c>
      <c r="AI209" s="136" t="s">
        <v>12</v>
      </c>
      <c r="AJ209" s="136" t="s">
        <v>120</v>
      </c>
      <c r="AK209" s="136" t="s">
        <v>12</v>
      </c>
      <c r="AL209" s="136" t="s">
        <v>120</v>
      </c>
      <c r="AM209" s="136" t="s">
        <v>12</v>
      </c>
      <c r="AN209" s="136" t="s">
        <v>120</v>
      </c>
      <c r="AO209" s="136" t="s">
        <v>12</v>
      </c>
      <c r="AP209" s="136" t="s">
        <v>120</v>
      </c>
      <c r="AQ209" s="136" t="s">
        <v>12</v>
      </c>
      <c r="AR209" s="136" t="s">
        <v>120</v>
      </c>
      <c r="AS209" s="136" t="s">
        <v>116</v>
      </c>
      <c r="AT209" s="136" t="s">
        <v>120</v>
      </c>
      <c r="AU209" s="136" t="s">
        <v>12</v>
      </c>
      <c r="AV209" s="136" t="s">
        <v>120</v>
      </c>
      <c r="AX209" s="136" t="str">
        <f>IF(AI176="","",IF(B209="","",B209))</f>
        <v>HR</v>
      </c>
      <c r="AY209" s="136" t="str">
        <f>IF(AI176="","",IF(C209="","",C209))</f>
        <v>-</v>
      </c>
      <c r="AZ209" s="136" t="str">
        <f>IF(AI176="","",IF(D209="","",D209))</f>
        <v>HR</v>
      </c>
      <c r="BA209" s="136" t="str">
        <f>IF(AI176="","",IF(E209="","",E209))</f>
        <v>-</v>
      </c>
      <c r="BB209" s="136" t="str">
        <f>IF(AI176="","",IF(F209="","",F209))</f>
        <v>HR</v>
      </c>
      <c r="BC209" s="136" t="str">
        <f>IF(AI176="","",IF(G209="","",G209))</f>
        <v>-</v>
      </c>
      <c r="BD209" s="136" t="str">
        <f>IF(AI176="","",IF(H209="","",H209))</f>
        <v>HR</v>
      </c>
      <c r="BE209" s="136" t="str">
        <f>IF(AI176="","",IF(I209="","",I209))</f>
        <v>-</v>
      </c>
      <c r="BF209" s="136" t="str">
        <f>IF(AI176="","",IF(J209="","",J209))</f>
        <v>HR</v>
      </c>
      <c r="BG209" s="136" t="str">
        <f>IF(AI176="","",IF(K209="","",K209))</f>
        <v>-</v>
      </c>
      <c r="BH209" s="136" t="str">
        <f>IF(AI176="","",IF(L209="","",L209))</f>
        <v>PV</v>
      </c>
      <c r="BI209" s="136" t="str">
        <f>IF(AI176="","",IF(M209="","",M209))</f>
        <v>-</v>
      </c>
      <c r="BJ209" s="136" t="str">
        <f>IF(AI176="","",IF(N209="","",N209))</f>
        <v>HR</v>
      </c>
      <c r="BK209" s="136" t="str">
        <f>IF(AI176="","",IF(O209="","",O209))</f>
        <v>-</v>
      </c>
      <c r="BM209" s="136" t="str">
        <f>BO209</f>
        <v>AT</v>
      </c>
      <c r="BN209" s="136" t="str">
        <f t="shared" si="122"/>
        <v>Aulas Teóricas</v>
      </c>
      <c r="BO209" s="136" t="str">
        <f t="shared" si="122"/>
        <v>AT</v>
      </c>
      <c r="BP209" s="136">
        <f>COUNTIFS(AX180:BK227,BO209)*0.5</f>
        <v>15</v>
      </c>
      <c r="BQ209" s="136" t="str">
        <f t="shared" si="123"/>
        <v>Aulas Teóricas</v>
      </c>
      <c r="BR209" s="136" t="str">
        <f t="shared" si="123"/>
        <v>AT</v>
      </c>
      <c r="BS209" s="136" t="str">
        <f t="shared" si="124"/>
        <v>Aulas Teóricas</v>
      </c>
      <c r="BT209" s="136">
        <f t="shared" si="130"/>
        <v>120</v>
      </c>
      <c r="BU209" s="136">
        <f t="shared" si="131"/>
        <v>120</v>
      </c>
      <c r="CA209" s="183">
        <f>'INFO BASE'!L272</f>
        <v>0</v>
      </c>
      <c r="CB209" s="183">
        <f>'INFO BASE'!M272</f>
        <v>0</v>
      </c>
      <c r="CR209" s="177" t="str">
        <f t="shared" si="112"/>
        <v>HR</v>
      </c>
      <c r="CS209" s="177" t="str">
        <f t="shared" si="113"/>
        <v>HR-</v>
      </c>
      <c r="CT209" s="177" t="str">
        <f t="shared" si="112"/>
        <v>HR</v>
      </c>
      <c r="CU209" s="177" t="str">
        <f t="shared" si="114"/>
        <v>HR-</v>
      </c>
      <c r="CV209" s="177" t="str">
        <f t="shared" si="112"/>
        <v>HR</v>
      </c>
      <c r="CW209" s="177" t="str">
        <f t="shared" si="115"/>
        <v>HR-</v>
      </c>
      <c r="CX209" s="177" t="str">
        <f t="shared" si="112"/>
        <v>HR</v>
      </c>
      <c r="CY209" s="177" t="str">
        <f t="shared" si="116"/>
        <v>HR-</v>
      </c>
      <c r="CZ209" s="177" t="str">
        <f t="shared" si="112"/>
        <v>HR</v>
      </c>
      <c r="DA209" s="177" t="str">
        <f t="shared" si="117"/>
        <v>HR-</v>
      </c>
      <c r="DB209" s="177" t="str">
        <f t="shared" si="112"/>
        <v>PV</v>
      </c>
      <c r="DC209" s="177">
        <f t="shared" si="118"/>
        <v>0</v>
      </c>
      <c r="DD209" s="177" t="str">
        <f t="shared" si="119"/>
        <v>HR</v>
      </c>
      <c r="DE209" s="177" t="str">
        <f t="shared" si="120"/>
        <v>HR-</v>
      </c>
    </row>
    <row r="210" spans="1:109" ht="18" customHeight="1" x14ac:dyDescent="0.3">
      <c r="A210" s="81">
        <v>0.62500000000001998</v>
      </c>
      <c r="B210" s="166" t="s">
        <v>128</v>
      </c>
      <c r="C210" s="130" t="s">
        <v>230</v>
      </c>
      <c r="D210" s="169" t="s">
        <v>128</v>
      </c>
      <c r="E210" s="130" t="s">
        <v>224</v>
      </c>
      <c r="F210" s="169" t="s">
        <v>128</v>
      </c>
      <c r="G210" s="130" t="s">
        <v>224</v>
      </c>
      <c r="H210" s="169" t="s">
        <v>128</v>
      </c>
      <c r="I210" s="130" t="s">
        <v>230</v>
      </c>
      <c r="J210" s="169" t="s">
        <v>128</v>
      </c>
      <c r="K210" s="130" t="s">
        <v>231</v>
      </c>
      <c r="L210" s="169" t="s">
        <v>116</v>
      </c>
      <c r="M210" s="130" t="s">
        <v>120</v>
      </c>
      <c r="N210" s="169" t="s">
        <v>12</v>
      </c>
      <c r="O210" s="154" t="s">
        <v>120</v>
      </c>
      <c r="P210" s="6">
        <v>0</v>
      </c>
      <c r="Q210" s="118" t="str">
        <f t="shared" si="135"/>
        <v>Trabalho de Grupo</v>
      </c>
      <c r="R210" s="105" t="str">
        <f t="shared" si="129"/>
        <v>CDI</v>
      </c>
      <c r="S210" s="88">
        <f t="shared" si="126"/>
        <v>-1</v>
      </c>
      <c r="T210" s="89">
        <f>IF(VLOOKUP(Q210,'INFO BASE'!$B$40:$I$54,IF(R210='INFO BASE'!$B$32,3,IF(R210='INFO BASE'!$B$33,4,IF(R210='INFO BASE'!$B$34,5,IF(R210='INFO BASE'!$B$35,6,IF(R210='INFO BASE'!$B$36,7,IF(R210='INFO BASE'!$B$37,8,2)))))),0)=0,"",VLOOKUP(Q210,'INFO BASE'!$B$40:$I$54,IF(R210='INFO BASE'!$B$32,3,IF(R210='INFO BASE'!$B$33,4,IF(R210='INFO BASE'!$B$34,5,IF(R210='INFO BASE'!$B$35,6,IF(R210='INFO BASE'!$B$36,7,IF(R210='INFO BASE'!$B$37,8,2)))))),0))</f>
        <v>3</v>
      </c>
      <c r="U210" s="89">
        <f>(COUNTIFS(C180:C227,R210,B180:B227,R205)+COUNTIFS(E180:E227,R210,D180:D227,R205)+COUNTIFS(G180:G227,R210,F180:F227,R205)+COUNTIFS(I180:I227,R210,H180:H227,R205)+COUNTIFS(K180:K227,R210,J180:J227,R205)+COUNTIFS(M180:M227,R210,L180:L227,R205)+COUNTIFS(O180:O227,R210,N180:N227,R205))*0.5</f>
        <v>0</v>
      </c>
      <c r="V210" s="89">
        <f>(COUNTIFS(AI180:AI227,R205,AJ180:AJ227,R203)+COUNTIFS(AK180:AK227,R205,AL180:AL227,R203)+COUNTIFS(AM180:AM227,R205,AN180:AN227,R203)+COUNTIFS(AO180:AO227,R205,AP180:AP227,R203)+COUNTIFS(AQ180:AQ227,R205,AR180:AR227,R203)+COUNTIFS(AS180:AS227,R205,AT180:AT227,R203)+COUNTIFS(AU180:AU227,R205,AV180:AV227,R203))*0.5</f>
        <v>0</v>
      </c>
      <c r="W210" s="90">
        <f>IF(AH176="","-",IF(V210=0,U210,IFERROR((U210/V210)-1,"-")))</f>
        <v>0</v>
      </c>
      <c r="X210" s="201">
        <f t="shared" si="127"/>
        <v>0</v>
      </c>
      <c r="Y210" s="271"/>
      <c r="Z210" s="272"/>
      <c r="AA210" s="272"/>
      <c r="AB210" s="272"/>
      <c r="AC210" s="272"/>
      <c r="AD210" s="272"/>
      <c r="AE210" s="272"/>
      <c r="AF210" s="273"/>
      <c r="AH210" s="136">
        <v>0.62500000000001998</v>
      </c>
      <c r="AI210" s="136" t="s">
        <v>128</v>
      </c>
      <c r="AJ210" s="136" t="s">
        <v>230</v>
      </c>
      <c r="AK210" s="136" t="s">
        <v>128</v>
      </c>
      <c r="AL210" s="136" t="s">
        <v>224</v>
      </c>
      <c r="AM210" s="136" t="s">
        <v>128</v>
      </c>
      <c r="AN210" s="136" t="s">
        <v>224</v>
      </c>
      <c r="AO210" s="136" t="s">
        <v>128</v>
      </c>
      <c r="AP210" s="136" t="s">
        <v>230</v>
      </c>
      <c r="AQ210" s="136" t="s">
        <v>128</v>
      </c>
      <c r="AR210" s="136" t="s">
        <v>231</v>
      </c>
      <c r="AS210" s="136" t="s">
        <v>116</v>
      </c>
      <c r="AT210" s="136" t="s">
        <v>120</v>
      </c>
      <c r="AU210" s="136" t="s">
        <v>12</v>
      </c>
      <c r="AV210" s="136" t="s">
        <v>120</v>
      </c>
      <c r="AX210" s="136" t="str">
        <f>IF(AI176="","",IF(B210="","",B210))</f>
        <v>EG</v>
      </c>
      <c r="AY210" s="136" t="str">
        <f>IF(AI176="","",IF(C210="","",C210))</f>
        <v>AL</v>
      </c>
      <c r="AZ210" s="136" t="str">
        <f>IF(AI176="","",IF(D210="","",D210))</f>
        <v>EG</v>
      </c>
      <c r="BA210" s="136" t="str">
        <f>IF(AI176="","",IF(E210="","",E210))</f>
        <v>FP</v>
      </c>
      <c r="BB210" s="136" t="str">
        <f>IF(AI176="","",IF(F210="","",F210))</f>
        <v>EG</v>
      </c>
      <c r="BC210" s="136" t="str">
        <f>IF(AI176="","",IF(G210="","",G210))</f>
        <v>FP</v>
      </c>
      <c r="BD210" s="136" t="str">
        <f>IF(AI176="","",IF(H210="","",H210))</f>
        <v>EG</v>
      </c>
      <c r="BE210" s="136" t="str">
        <f>IF(AI176="","",IF(I210="","",I210))</f>
        <v>AL</v>
      </c>
      <c r="BF210" s="136" t="str">
        <f>IF(AI176="","",IF(J210="","",J210))</f>
        <v>EG</v>
      </c>
      <c r="BG210" s="136" t="str">
        <f>IF(AI176="","",IF(K210="","",K210))</f>
        <v>CDI</v>
      </c>
      <c r="BH210" s="136" t="str">
        <f>IF(AI176="","",IF(L210="","",L210))</f>
        <v>PV</v>
      </c>
      <c r="BI210" s="136" t="str">
        <f>IF(AI176="","",IF(M210="","",M210))</f>
        <v>-</v>
      </c>
      <c r="BJ210" s="136" t="str">
        <f>IF(AI176="","",IF(N210="","",N210))</f>
        <v>HR</v>
      </c>
      <c r="BK210" s="136" t="str">
        <f>IF(AI176="","",IF(O210="","",O210))</f>
        <v>-</v>
      </c>
      <c r="BM210" s="136" t="str">
        <f>BM209</f>
        <v>AT</v>
      </c>
      <c r="BN210" s="136" t="str">
        <f t="shared" si="122"/>
        <v>Aulas Teóricas</v>
      </c>
      <c r="BO210" s="136" t="str">
        <f t="shared" si="122"/>
        <v>FP</v>
      </c>
      <c r="BP210" s="136">
        <f>(COUNTIFS(AX180:AX227,BM210,AY180:AY227,BO210)+COUNTIFS(AZ180:AZ227,BM210,BA180:BA227,BO210)+COUNTIFS(BB180:BB227,BM210,BC180:BC227,BO210)+COUNTIFS(BD180:BD227,BM210,BE180:BE227,BO210)+COUNTIFS(BF180:BF227,BM210,BG180:BG227,BO210)+COUNTIFS(BH180:BH227,BM210,BI180:BI227,BO210)+COUNTIFS(BJ180:BJ227,BM210,BK180:BK227,BO210))*0.5</f>
        <v>3</v>
      </c>
      <c r="BQ210" s="136" t="str">
        <f t="shared" si="123"/>
        <v>Aulas Teóricas</v>
      </c>
      <c r="BR210" s="136" t="str">
        <f t="shared" si="123"/>
        <v>FP</v>
      </c>
      <c r="BS210" s="136" t="str">
        <f t="shared" si="124"/>
        <v>Aulas Teóricas</v>
      </c>
      <c r="BT210" s="136">
        <f t="shared" si="130"/>
        <v>24</v>
      </c>
      <c r="BU210" s="136">
        <f t="shared" si="131"/>
        <v>24</v>
      </c>
      <c r="CA210" s="183">
        <f>'INFO BASE'!L273</f>
        <v>0</v>
      </c>
      <c r="CB210" s="183">
        <f>'INFO BASE'!M273</f>
        <v>0</v>
      </c>
      <c r="CR210" s="177" t="str">
        <f t="shared" si="112"/>
        <v>EG</v>
      </c>
      <c r="CS210" s="177" t="str">
        <f t="shared" si="113"/>
        <v>EGAL</v>
      </c>
      <c r="CT210" s="177" t="str">
        <f t="shared" si="112"/>
        <v>EG</v>
      </c>
      <c r="CU210" s="177" t="str">
        <f t="shared" si="114"/>
        <v>EGFP</v>
      </c>
      <c r="CV210" s="177" t="str">
        <f t="shared" si="112"/>
        <v>EG</v>
      </c>
      <c r="CW210" s="177" t="str">
        <f t="shared" si="115"/>
        <v>EGFP</v>
      </c>
      <c r="CX210" s="177" t="str">
        <f t="shared" si="112"/>
        <v>EG</v>
      </c>
      <c r="CY210" s="177" t="str">
        <f t="shared" si="116"/>
        <v>EGAL</v>
      </c>
      <c r="CZ210" s="177" t="str">
        <f t="shared" si="112"/>
        <v>EG</v>
      </c>
      <c r="DA210" s="177" t="str">
        <f t="shared" si="117"/>
        <v>EGCDI</v>
      </c>
      <c r="DB210" s="177" t="str">
        <f t="shared" si="112"/>
        <v>PV</v>
      </c>
      <c r="DC210" s="177">
        <f t="shared" si="118"/>
        <v>0</v>
      </c>
      <c r="DD210" s="177" t="str">
        <f t="shared" si="119"/>
        <v>HR</v>
      </c>
      <c r="DE210" s="177" t="str">
        <f t="shared" si="120"/>
        <v>HR-</v>
      </c>
    </row>
    <row r="211" spans="1:109" ht="18" customHeight="1" thickBot="1" x14ac:dyDescent="0.35">
      <c r="A211" s="81">
        <v>0.64583333333335402</v>
      </c>
      <c r="B211" s="166" t="s">
        <v>128</v>
      </c>
      <c r="C211" s="130" t="s">
        <v>230</v>
      </c>
      <c r="D211" s="169" t="s">
        <v>128</v>
      </c>
      <c r="E211" s="130" t="s">
        <v>224</v>
      </c>
      <c r="F211" s="169" t="s">
        <v>128</v>
      </c>
      <c r="G211" s="130" t="s">
        <v>224</v>
      </c>
      <c r="H211" s="169" t="s">
        <v>128</v>
      </c>
      <c r="I211" s="130" t="s">
        <v>230</v>
      </c>
      <c r="J211" s="169" t="s">
        <v>128</v>
      </c>
      <c r="K211" s="130" t="s">
        <v>231</v>
      </c>
      <c r="L211" s="169" t="s">
        <v>116</v>
      </c>
      <c r="M211" s="130" t="s">
        <v>120</v>
      </c>
      <c r="N211" s="169" t="s">
        <v>116</v>
      </c>
      <c r="O211" s="154" t="s">
        <v>120</v>
      </c>
      <c r="P211" s="6">
        <v>0</v>
      </c>
      <c r="Q211" s="120" t="str">
        <f t="shared" si="135"/>
        <v>Trabalho de Grupo</v>
      </c>
      <c r="R211" s="107" t="str">
        <f t="shared" si="129"/>
        <v/>
      </c>
      <c r="S211" s="94" t="str">
        <f t="shared" si="126"/>
        <v>-</v>
      </c>
      <c r="T211" s="95" t="str">
        <f>IF(VLOOKUP(Q211,'INFO BASE'!$B$40:$I$54,IF(R211='INFO BASE'!$B$32,3,IF(R211='INFO BASE'!$B$33,4,IF(R211='INFO BASE'!$B$34,5,IF(R211='INFO BASE'!$B$35,6,IF(R211='INFO BASE'!$B$36,7,IF(R211='INFO BASE'!$B$37,8,2)))))),0)=0,"",VLOOKUP(Q211,'INFO BASE'!$B$40:$I$54,IF(R211='INFO BASE'!$B$32,3,IF(R211='INFO BASE'!$B$33,4,IF(R211='INFO BASE'!$B$34,5,IF(R211='INFO BASE'!$B$35,6,IF(R211='INFO BASE'!$B$36,7,IF(R211='INFO BASE'!$B$37,8,2)))))),0))</f>
        <v/>
      </c>
      <c r="U211" s="95">
        <f>(COUNTIFS(C180:C227,R211,B180:B227,R205)+COUNTIFS(E180:E227,R211,D180:D227,R205)+COUNTIFS(G180:G227,R211,F180:F227,R205)+COUNTIFS(I180:I227,R211,H180:H227,R205)+COUNTIFS(K180:K227,R211,J180:J227,R205)+COUNTIFS(M180:M227,R211,L180:L227,R205)+COUNTIFS(O180:O227,R211,N180:N227,R205))*0.5</f>
        <v>0</v>
      </c>
      <c r="V211" s="95">
        <f>(COUNTIFS(AI180:AI227,R205,AJ180:AJ227,R204)+COUNTIFS(AK180:AK227,R205,AL180:AL227,R204)+COUNTIFS(AM180:AM227,R205,AN180:AN227,R204)+COUNTIFS(AO180:AO227,R205,AP180:AP227,R204)+COUNTIFS(AQ180:AQ227,R205,AR180:AR227,R204)+COUNTIFS(AS180:AS227,R205,AT180:AT227,R204)+COUNTIFS(AU180:AU227,R205,AV180:AV227,R204))*0.5</f>
        <v>0</v>
      </c>
      <c r="W211" s="96">
        <f>IF(AH176="","-",IF(V211=0,U211,IFERROR((U211/V211)-1,"-")))</f>
        <v>0</v>
      </c>
      <c r="X211" s="201">
        <f t="shared" si="127"/>
        <v>0</v>
      </c>
      <c r="Y211" s="274"/>
      <c r="Z211" s="275"/>
      <c r="AA211" s="275"/>
      <c r="AB211" s="275"/>
      <c r="AC211" s="275"/>
      <c r="AD211" s="275"/>
      <c r="AE211" s="275"/>
      <c r="AF211" s="276"/>
      <c r="AH211" s="136">
        <v>0.64583333333335402</v>
      </c>
      <c r="AI211" s="136" t="s">
        <v>128</v>
      </c>
      <c r="AJ211" s="136" t="s">
        <v>230</v>
      </c>
      <c r="AK211" s="136" t="s">
        <v>128</v>
      </c>
      <c r="AL211" s="136" t="s">
        <v>224</v>
      </c>
      <c r="AM211" s="136" t="s">
        <v>128</v>
      </c>
      <c r="AN211" s="136" t="s">
        <v>224</v>
      </c>
      <c r="AO211" s="136" t="s">
        <v>128</v>
      </c>
      <c r="AP211" s="136" t="s">
        <v>230</v>
      </c>
      <c r="AQ211" s="136" t="s">
        <v>128</v>
      </c>
      <c r="AR211" s="136" t="s">
        <v>231</v>
      </c>
      <c r="AS211" s="136" t="s">
        <v>8</v>
      </c>
      <c r="AT211" s="136" t="s">
        <v>224</v>
      </c>
      <c r="AU211" s="136" t="s">
        <v>116</v>
      </c>
      <c r="AV211" s="136" t="s">
        <v>120</v>
      </c>
      <c r="AX211" s="136" t="str">
        <f>IF(AI176="","",IF(B211="","",B211))</f>
        <v>EG</v>
      </c>
      <c r="AY211" s="136" t="str">
        <f>IF(AI176="","",IF(C211="","",C211))</f>
        <v>AL</v>
      </c>
      <c r="AZ211" s="136" t="str">
        <f>IF(AI176="","",IF(D211="","",D211))</f>
        <v>EG</v>
      </c>
      <c r="BA211" s="136" t="str">
        <f>IF(AI176="","",IF(E211="","",E211))</f>
        <v>FP</v>
      </c>
      <c r="BB211" s="136" t="str">
        <f>IF(AI176="","",IF(F211="","",F211))</f>
        <v>EG</v>
      </c>
      <c r="BC211" s="136" t="str">
        <f>IF(AI176="","",IF(G211="","",G211))</f>
        <v>FP</v>
      </c>
      <c r="BD211" s="136" t="str">
        <f>IF(AI176="","",IF(H211="","",H211))</f>
        <v>EG</v>
      </c>
      <c r="BE211" s="136" t="str">
        <f>IF(AI176="","",IF(I211="","",I211))</f>
        <v>AL</v>
      </c>
      <c r="BF211" s="136" t="str">
        <f>IF(AI176="","",IF(J211="","",J211))</f>
        <v>EG</v>
      </c>
      <c r="BG211" s="136" t="str">
        <f>IF(AI176="","",IF(K211="","",K211))</f>
        <v>CDI</v>
      </c>
      <c r="BH211" s="136" t="str">
        <f>IF(AI176="","",IF(L211="","",L211))</f>
        <v>PV</v>
      </c>
      <c r="BI211" s="136" t="str">
        <f>IF(AI176="","",IF(M211="","",M211))</f>
        <v>-</v>
      </c>
      <c r="BJ211" s="136" t="str">
        <f>IF(AI176="","",IF(N211="","",N211))</f>
        <v>PV</v>
      </c>
      <c r="BK211" s="136" t="str">
        <f>IF(AI176="","",IF(O211="","",O211))</f>
        <v>-</v>
      </c>
      <c r="BM211" s="136" t="str">
        <f t="shared" ref="BM211:BM215" si="136">BM210</f>
        <v>AT</v>
      </c>
      <c r="BN211" s="136" t="str">
        <f t="shared" si="122"/>
        <v>Aulas Teóricas</v>
      </c>
      <c r="BO211" s="136" t="str">
        <f t="shared" si="122"/>
        <v>IEI</v>
      </c>
      <c r="BP211" s="136">
        <f>(COUNTIFS(AX180:AX227,BM211,AY180:AY227,BO211)+COUNTIFS(AZ180:AZ227,BM211,BA180:BA227,BO211)+COUNTIFS(BB180:BB227,BM211,BC180:BC227,BO211)+COUNTIFS(BD180:BD227,BM211,BE180:BE227,BO211)+COUNTIFS(BF180:BF227,BM211,BG180:BG227,BO211)+COUNTIFS(BH180:BH227,BM211,BI180:BI227,BO211)+COUNTIFS(BJ180:BJ227,BM211,BK180:BK227,BO211))*0.5</f>
        <v>3</v>
      </c>
      <c r="BQ211" s="136" t="str">
        <f t="shared" si="123"/>
        <v>Aulas Teóricas</v>
      </c>
      <c r="BR211" s="136" t="str">
        <f t="shared" si="123"/>
        <v>IEI</v>
      </c>
      <c r="BS211" s="136" t="str">
        <f t="shared" si="124"/>
        <v>Aulas Teóricas</v>
      </c>
      <c r="BT211" s="136">
        <f t="shared" si="130"/>
        <v>24</v>
      </c>
      <c r="BU211" s="136">
        <f t="shared" si="131"/>
        <v>24</v>
      </c>
      <c r="CA211" s="183">
        <f>'INFO BASE'!L274</f>
        <v>0</v>
      </c>
      <c r="CB211" s="183">
        <f>'INFO BASE'!M274</f>
        <v>0</v>
      </c>
      <c r="CR211" s="177" t="str">
        <f t="shared" si="112"/>
        <v>EG</v>
      </c>
      <c r="CS211" s="177" t="str">
        <f t="shared" si="113"/>
        <v>EGAL</v>
      </c>
      <c r="CT211" s="177" t="str">
        <f t="shared" si="112"/>
        <v>EG</v>
      </c>
      <c r="CU211" s="177" t="str">
        <f t="shared" si="114"/>
        <v>EGFP</v>
      </c>
      <c r="CV211" s="177" t="str">
        <f t="shared" si="112"/>
        <v>EG</v>
      </c>
      <c r="CW211" s="177" t="str">
        <f t="shared" si="115"/>
        <v>EGFP</v>
      </c>
      <c r="CX211" s="177" t="str">
        <f t="shared" si="112"/>
        <v>EG</v>
      </c>
      <c r="CY211" s="177" t="str">
        <f t="shared" si="116"/>
        <v>EGAL</v>
      </c>
      <c r="CZ211" s="177" t="str">
        <f t="shared" si="112"/>
        <v>EG</v>
      </c>
      <c r="DA211" s="177" t="str">
        <f t="shared" si="117"/>
        <v>EGCDI</v>
      </c>
      <c r="DB211" s="177" t="str">
        <f t="shared" si="112"/>
        <v>PV</v>
      </c>
      <c r="DC211" s="177">
        <f t="shared" si="118"/>
        <v>0</v>
      </c>
      <c r="DD211" s="177" t="str">
        <f t="shared" si="119"/>
        <v>PV</v>
      </c>
      <c r="DE211" s="177">
        <f t="shared" si="120"/>
        <v>0</v>
      </c>
    </row>
    <row r="212" spans="1:109" ht="18" customHeight="1" x14ac:dyDescent="0.3">
      <c r="A212" s="81">
        <v>0.66666666666668795</v>
      </c>
      <c r="B212" s="166" t="s">
        <v>116</v>
      </c>
      <c r="C212" s="130" t="s">
        <v>120</v>
      </c>
      <c r="D212" s="169" t="s">
        <v>128</v>
      </c>
      <c r="E212" s="130" t="s">
        <v>224</v>
      </c>
      <c r="F212" s="169" t="s">
        <v>116</v>
      </c>
      <c r="G212" s="130" t="s">
        <v>120</v>
      </c>
      <c r="H212" s="169" t="s">
        <v>116</v>
      </c>
      <c r="I212" s="130" t="s">
        <v>120</v>
      </c>
      <c r="J212" s="169" t="s">
        <v>116</v>
      </c>
      <c r="K212" s="130" t="s">
        <v>120</v>
      </c>
      <c r="L212" s="169" t="s">
        <v>116</v>
      </c>
      <c r="M212" s="130" t="s">
        <v>120</v>
      </c>
      <c r="N212" s="169" t="s">
        <v>116</v>
      </c>
      <c r="O212" s="154" t="s">
        <v>120</v>
      </c>
      <c r="P212" s="6">
        <v>0</v>
      </c>
      <c r="Q212" s="121" t="str">
        <f>IF('INFO BASE'!$C$20="","",'INFO BASE'!$C$20)</f>
        <v>Aulas Teóricas</v>
      </c>
      <c r="R212" s="82" t="str">
        <f t="shared" si="129"/>
        <v>AT</v>
      </c>
      <c r="S212" s="83">
        <f t="shared" si="126"/>
        <v>0</v>
      </c>
      <c r="T212" s="84">
        <f>IF(VLOOKUP(Q212,'INFO BASE'!$B$40:$I$54,IF(R212='INFO BASE'!$B$32,3,IF(R212='INFO BASE'!$B$33,4,IF(R212='INFO BASE'!$B$34,5,IF(R212='INFO BASE'!$B$35,6,IF(R212='INFO BASE'!$B$36,7,IF(R212='INFO BASE'!$B$37,8,2)))))),0)=0,"",VLOOKUP(Q212,'INFO BASE'!$B$40:$I$54,IF(R212='INFO BASE'!$B$32,3,IF(R212='INFO BASE'!$B$33,4,IF(R212='INFO BASE'!$B$34,5,IF(R212='INFO BASE'!$B$35,6,IF(R212='INFO BASE'!$B$36,7,IF(R212='INFO BASE'!$B$37,8,2)))))),0))</f>
        <v>15</v>
      </c>
      <c r="U212" s="84">
        <f>IF(R212="","",COUNTIFS(SEMANA4,R212)*0.5)</f>
        <v>15</v>
      </c>
      <c r="V212" s="84">
        <f>IF(R212="","",COUNTIFS(AI180:AV227,R212)*0.5)</f>
        <v>15</v>
      </c>
      <c r="W212" s="85">
        <f>IF(AH176="","-",IF(V212=0,U212,IFERROR((U212/V212)-1,"-")))</f>
        <v>0</v>
      </c>
      <c r="X212" s="201">
        <f t="shared" si="127"/>
        <v>0</v>
      </c>
      <c r="Y212" s="277"/>
      <c r="Z212" s="278"/>
      <c r="AA212" s="278"/>
      <c r="AB212" s="278"/>
      <c r="AC212" s="278"/>
      <c r="AD212" s="278"/>
      <c r="AE212" s="278"/>
      <c r="AF212" s="279"/>
      <c r="AH212" s="136">
        <v>0.66666666666668795</v>
      </c>
      <c r="AI212" s="136" t="s">
        <v>116</v>
      </c>
      <c r="AJ212" s="136" t="s">
        <v>120</v>
      </c>
      <c r="AK212" s="136" t="s">
        <v>128</v>
      </c>
      <c r="AL212" s="136" t="s">
        <v>224</v>
      </c>
      <c r="AM212" s="136" t="s">
        <v>116</v>
      </c>
      <c r="AN212" s="136" t="s">
        <v>120</v>
      </c>
      <c r="AO212" s="136" t="s">
        <v>116</v>
      </c>
      <c r="AP212" s="136" t="s">
        <v>120</v>
      </c>
      <c r="AQ212" s="136" t="s">
        <v>116</v>
      </c>
      <c r="AR212" s="136" t="s">
        <v>120</v>
      </c>
      <c r="AS212" s="136" t="s">
        <v>8</v>
      </c>
      <c r="AT212" s="136" t="s">
        <v>224</v>
      </c>
      <c r="AU212" s="136" t="s">
        <v>116</v>
      </c>
      <c r="AV212" s="136" t="s">
        <v>120</v>
      </c>
      <c r="AX212" s="136" t="str">
        <f>IF(AI176="","",IF(B212="","",B212))</f>
        <v>PV</v>
      </c>
      <c r="AY212" s="136" t="str">
        <f>IF(AI176="","",IF(C212="","",C212))</f>
        <v>-</v>
      </c>
      <c r="AZ212" s="136" t="str">
        <f>IF(AI176="","",IF(D212="","",D212))</f>
        <v>EG</v>
      </c>
      <c r="BA212" s="136" t="str">
        <f>IF(AI176="","",IF(E212="","",E212))</f>
        <v>FP</v>
      </c>
      <c r="BB212" s="136" t="str">
        <f>IF(AI176="","",IF(F212="","",F212))</f>
        <v>PV</v>
      </c>
      <c r="BC212" s="136" t="str">
        <f>IF(AI176="","",IF(G212="","",G212))</f>
        <v>-</v>
      </c>
      <c r="BD212" s="136" t="str">
        <f>IF(AI176="","",IF(H212="","",H212))</f>
        <v>PV</v>
      </c>
      <c r="BE212" s="136" t="str">
        <f>IF(AI176="","",IF(I212="","",I212))</f>
        <v>-</v>
      </c>
      <c r="BF212" s="136" t="str">
        <f>IF(AI176="","",IF(J212="","",J212))</f>
        <v>PV</v>
      </c>
      <c r="BG212" s="136" t="str">
        <f>IF(AI176="","",IF(K212="","",K212))</f>
        <v>-</v>
      </c>
      <c r="BH212" s="136" t="str">
        <f>IF(AI176="","",IF(L212="","",L212))</f>
        <v>PV</v>
      </c>
      <c r="BI212" s="136" t="str">
        <f>IF(AI176="","",IF(M212="","",M212))</f>
        <v>-</v>
      </c>
      <c r="BJ212" s="136" t="str">
        <f>IF(AI176="","",IF(N212="","",N212))</f>
        <v>PV</v>
      </c>
      <c r="BK212" s="136" t="str">
        <f>IF(AI176="","",IF(O212="","",O212))</f>
        <v>-</v>
      </c>
      <c r="BM212" s="136" t="str">
        <f t="shared" si="136"/>
        <v>AT</v>
      </c>
      <c r="BN212" s="136" t="str">
        <f t="shared" si="122"/>
        <v>Aulas Teóricas</v>
      </c>
      <c r="BO212" s="136" t="str">
        <f t="shared" si="122"/>
        <v>IAC</v>
      </c>
      <c r="BP212" s="136">
        <f>(COUNTIFS(AX180:AX227,BM212,AY180:AY227,BO212)+COUNTIFS(AZ180:AZ227,BM212,BA180:BA227,BO212)+COUNTIFS(BB180:BB227,BM212,BC180:BC227,BO212)+COUNTIFS(BD180:BD227,BM212,BE180:BE227,BO212)+COUNTIFS(BF180:BF227,BM212,BG180:BG227,BO212)+COUNTIFS(BH180:BH227,BM212,BI180:BI227,BO212)+COUNTIFS(BJ180:BJ227,BM212,BK180:BK227,BO212))*0.5</f>
        <v>3</v>
      </c>
      <c r="BQ212" s="136" t="str">
        <f t="shared" si="123"/>
        <v>Aulas Teóricas</v>
      </c>
      <c r="BR212" s="136" t="str">
        <f t="shared" si="123"/>
        <v>IAC</v>
      </c>
      <c r="BS212" s="136" t="str">
        <f t="shared" si="124"/>
        <v>Aulas Teóricas</v>
      </c>
      <c r="BT212" s="136">
        <f t="shared" si="130"/>
        <v>24</v>
      </c>
      <c r="BU212" s="136">
        <f t="shared" si="131"/>
        <v>24</v>
      </c>
      <c r="CA212" s="183">
        <f>'INFO BASE'!L275</f>
        <v>0</v>
      </c>
      <c r="CB212" s="183">
        <f>'INFO BASE'!M275</f>
        <v>0</v>
      </c>
      <c r="CR212" s="177" t="str">
        <f t="shared" si="112"/>
        <v>PV</v>
      </c>
      <c r="CS212" s="177">
        <f t="shared" si="113"/>
        <v>0</v>
      </c>
      <c r="CT212" s="177" t="str">
        <f t="shared" si="112"/>
        <v>EG</v>
      </c>
      <c r="CU212" s="177" t="str">
        <f t="shared" si="114"/>
        <v>EGFP</v>
      </c>
      <c r="CV212" s="177" t="str">
        <f t="shared" si="112"/>
        <v>PV</v>
      </c>
      <c r="CW212" s="177">
        <f t="shared" si="115"/>
        <v>0</v>
      </c>
      <c r="CX212" s="177" t="str">
        <f t="shared" si="112"/>
        <v>PV</v>
      </c>
      <c r="CY212" s="177">
        <f t="shared" si="116"/>
        <v>0</v>
      </c>
      <c r="CZ212" s="177" t="str">
        <f t="shared" si="112"/>
        <v>PV</v>
      </c>
      <c r="DA212" s="177">
        <f t="shared" si="117"/>
        <v>0</v>
      </c>
      <c r="DB212" s="177" t="str">
        <f t="shared" si="112"/>
        <v>PV</v>
      </c>
      <c r="DC212" s="177">
        <f t="shared" si="118"/>
        <v>0</v>
      </c>
      <c r="DD212" s="177" t="str">
        <f t="shared" si="119"/>
        <v>PV</v>
      </c>
      <c r="DE212" s="177">
        <f t="shared" si="120"/>
        <v>0</v>
      </c>
    </row>
    <row r="213" spans="1:109" ht="18" customHeight="1" x14ac:dyDescent="0.3">
      <c r="A213" s="81">
        <v>0.68750000000002198</v>
      </c>
      <c r="B213" s="166" t="s">
        <v>116</v>
      </c>
      <c r="C213" s="130" t="s">
        <v>120</v>
      </c>
      <c r="D213" s="169" t="s">
        <v>128</v>
      </c>
      <c r="E213" s="130" t="s">
        <v>224</v>
      </c>
      <c r="F213" s="169" t="s">
        <v>116</v>
      </c>
      <c r="G213" s="130" t="s">
        <v>120</v>
      </c>
      <c r="H213" s="169" t="s">
        <v>116</v>
      </c>
      <c r="I213" s="130" t="s">
        <v>120</v>
      </c>
      <c r="J213" s="169" t="s">
        <v>116</v>
      </c>
      <c r="K213" s="130" t="s">
        <v>120</v>
      </c>
      <c r="L213" s="169" t="s">
        <v>116</v>
      </c>
      <c r="M213" s="130" t="s">
        <v>120</v>
      </c>
      <c r="N213" s="169" t="s">
        <v>116</v>
      </c>
      <c r="O213" s="154" t="s">
        <v>120</v>
      </c>
      <c r="P213" s="6">
        <v>0</v>
      </c>
      <c r="Q213" s="122" t="str">
        <f t="shared" ref="Q213:Q218" si="137">Q212</f>
        <v>Aulas Teóricas</v>
      </c>
      <c r="R213" s="105" t="str">
        <f t="shared" si="129"/>
        <v>FP</v>
      </c>
      <c r="S213" s="88">
        <f t="shared" si="126"/>
        <v>0</v>
      </c>
      <c r="T213" s="89">
        <f>IF(VLOOKUP(Q213,'INFO BASE'!$B$40:$I$54,IF(R213='INFO BASE'!$B$32,3,IF(R213='INFO BASE'!$B$33,4,IF(R213='INFO BASE'!$B$34,5,IF(R213='INFO BASE'!$B$35,6,IF(R213='INFO BASE'!$B$36,7,IF(R213='INFO BASE'!$B$37,8,2)))))),0)=0,"",VLOOKUP(Q213,'INFO BASE'!$B$40:$I$54,IF(R213='INFO BASE'!$B$32,3,IF(R213='INFO BASE'!$B$33,4,IF(R213='INFO BASE'!$B$34,5,IF(R213='INFO BASE'!$B$35,6,IF(R213='INFO BASE'!$B$36,7,IF(R213='INFO BASE'!$B$37,8,2)))))),0))</f>
        <v>3</v>
      </c>
      <c r="U213" s="89">
        <f>(COUNTIFS(C180:C227,R213,B180:B227,R212)+COUNTIFS(E180:E227,R213,D180:D227,R212)+COUNTIFS(G180:G227,R213,F180:F227,R212)+COUNTIFS(I180:I227,R213,H180:H227,R212)+COUNTIFS(K180:K227,R213,J180:J227,R212)+COUNTIFS(M180:M227,R213,L180:L227,R212)+COUNTIFS(O180:O227,R213,N180:N227,R212))*0.5</f>
        <v>3</v>
      </c>
      <c r="V213" s="89">
        <f>(COUNTIFS(AI180:AI227,R212,AJ180:AJ227,R206)+COUNTIFS(AK180:AK227,R212,AL180:AL227,R206)+COUNTIFS(AM180:AM227,R212,AN180:AN227,R206)+COUNTIFS(AO180:AO227,R212,AP180:AP227,R206)+COUNTIFS(AQ180:AQ227,R212,AR180:AR227,R206)+COUNTIFS(AS180:AS227,R212,AT180:AT227,R206)+COUNTIFS(AU180:AU227,R212,AV180:AV227,R206))*0.5</f>
        <v>3</v>
      </c>
      <c r="W213" s="90">
        <f>IF(AH176="","-",IF(V213=0,U213,IFERROR((U213/V213)-1,"-")))</f>
        <v>0</v>
      </c>
      <c r="X213" s="201">
        <f t="shared" si="127"/>
        <v>0</v>
      </c>
      <c r="Y213" s="271"/>
      <c r="Z213" s="272"/>
      <c r="AA213" s="272"/>
      <c r="AB213" s="272"/>
      <c r="AC213" s="272"/>
      <c r="AD213" s="272"/>
      <c r="AE213" s="272"/>
      <c r="AF213" s="273"/>
      <c r="AH213" s="136">
        <v>0.68750000000002198</v>
      </c>
      <c r="AI213" s="136" t="s">
        <v>116</v>
      </c>
      <c r="AJ213" s="136" t="s">
        <v>120</v>
      </c>
      <c r="AK213" s="136" t="s">
        <v>128</v>
      </c>
      <c r="AL213" s="136" t="s">
        <v>224</v>
      </c>
      <c r="AM213" s="136" t="s">
        <v>116</v>
      </c>
      <c r="AN213" s="136" t="s">
        <v>120</v>
      </c>
      <c r="AO213" s="136" t="s">
        <v>116</v>
      </c>
      <c r="AP213" s="136" t="s">
        <v>120</v>
      </c>
      <c r="AQ213" s="136" t="s">
        <v>116</v>
      </c>
      <c r="AR213" s="136" t="s">
        <v>120</v>
      </c>
      <c r="AS213" s="136" t="s">
        <v>8</v>
      </c>
      <c r="AT213" s="136" t="s">
        <v>224</v>
      </c>
      <c r="AU213" s="136" t="s">
        <v>116</v>
      </c>
      <c r="AV213" s="136" t="s">
        <v>120</v>
      </c>
      <c r="AX213" s="136" t="str">
        <f>IF(AI176="","",IF(B213="","",B213))</f>
        <v>PV</v>
      </c>
      <c r="AY213" s="136" t="str">
        <f>IF(AI176="","",IF(C213="","",C213))</f>
        <v>-</v>
      </c>
      <c r="AZ213" s="136" t="str">
        <f>IF(AI176="","",IF(D213="","",D213))</f>
        <v>EG</v>
      </c>
      <c r="BA213" s="136" t="str">
        <f>IF(AI176="","",IF(E213="","",E213))</f>
        <v>FP</v>
      </c>
      <c r="BB213" s="136" t="str">
        <f>IF(AI176="","",IF(F213="","",F213))</f>
        <v>PV</v>
      </c>
      <c r="BC213" s="136" t="str">
        <f>IF(AI176="","",IF(G213="","",G213))</f>
        <v>-</v>
      </c>
      <c r="BD213" s="136" t="str">
        <f>IF(AI176="","",IF(H213="","",H213))</f>
        <v>PV</v>
      </c>
      <c r="BE213" s="136" t="str">
        <f>IF(AI176="","",IF(I213="","",I213))</f>
        <v>-</v>
      </c>
      <c r="BF213" s="136" t="str">
        <f>IF(AI176="","",IF(J213="","",J213))</f>
        <v>PV</v>
      </c>
      <c r="BG213" s="136" t="str">
        <f>IF(AI176="","",IF(K213="","",K213))</f>
        <v>-</v>
      </c>
      <c r="BH213" s="136" t="str">
        <f>IF(AI176="","",IF(L213="","",L213))</f>
        <v>PV</v>
      </c>
      <c r="BI213" s="136" t="str">
        <f>IF(AI176="","",IF(M213="","",M213))</f>
        <v>-</v>
      </c>
      <c r="BJ213" s="136" t="str">
        <f>IF(AI176="","",IF(N213="","",N213))</f>
        <v>PV</v>
      </c>
      <c r="BK213" s="136" t="str">
        <f>IF(AI176="","",IF(O213="","",O213))</f>
        <v>-</v>
      </c>
      <c r="BM213" s="136" t="str">
        <f t="shared" si="136"/>
        <v>AT</v>
      </c>
      <c r="BN213" s="136" t="str">
        <f t="shared" si="122"/>
        <v>Aulas Teóricas</v>
      </c>
      <c r="BO213" s="136" t="str">
        <f t="shared" si="122"/>
        <v>AL</v>
      </c>
      <c r="BP213" s="136">
        <f>(COUNTIFS(AX180:AX227,BM213,AY180:AY227,BO213)+COUNTIFS(AZ180:AZ227,BM213,BA180:BA227,BO213)+COUNTIFS(BB180:BB227,BM213,BC180:BC227,BO213)+COUNTIFS(BD180:BD227,BM213,BE180:BE227,BO213)+COUNTIFS(BF180:BF227,BM213,BG180:BG227,BO213)+COUNTIFS(BH180:BH227,BM213,BI180:BI227,BO213)+COUNTIFS(BJ180:BJ227,BM213,BK180:BK227,BO213))*0.5</f>
        <v>3</v>
      </c>
      <c r="BQ213" s="136" t="str">
        <f t="shared" si="123"/>
        <v>Aulas Teóricas</v>
      </c>
      <c r="BR213" s="136" t="str">
        <f t="shared" si="123"/>
        <v>AL</v>
      </c>
      <c r="BS213" s="136" t="str">
        <f t="shared" si="124"/>
        <v>Aulas Teóricas</v>
      </c>
      <c r="BT213" s="136">
        <f t="shared" si="130"/>
        <v>24</v>
      </c>
      <c r="BU213" s="136">
        <f t="shared" si="131"/>
        <v>24</v>
      </c>
      <c r="CA213" s="183">
        <f>'INFO BASE'!L276</f>
        <v>0</v>
      </c>
      <c r="CB213" s="183">
        <f>'INFO BASE'!M276</f>
        <v>0</v>
      </c>
      <c r="CR213" s="177" t="str">
        <f t="shared" si="112"/>
        <v>PV</v>
      </c>
      <c r="CS213" s="177">
        <f t="shared" si="113"/>
        <v>0</v>
      </c>
      <c r="CT213" s="177" t="str">
        <f t="shared" si="112"/>
        <v>EG</v>
      </c>
      <c r="CU213" s="177" t="str">
        <f t="shared" si="114"/>
        <v>EGFP</v>
      </c>
      <c r="CV213" s="177" t="str">
        <f t="shared" si="112"/>
        <v>PV</v>
      </c>
      <c r="CW213" s="177">
        <f t="shared" si="115"/>
        <v>0</v>
      </c>
      <c r="CX213" s="177" t="str">
        <f t="shared" si="112"/>
        <v>PV</v>
      </c>
      <c r="CY213" s="177">
        <f t="shared" si="116"/>
        <v>0</v>
      </c>
      <c r="CZ213" s="177" t="str">
        <f t="shared" si="112"/>
        <v>PV</v>
      </c>
      <c r="DA213" s="177">
        <f t="shared" si="117"/>
        <v>0</v>
      </c>
      <c r="DB213" s="177" t="str">
        <f t="shared" si="112"/>
        <v>PV</v>
      </c>
      <c r="DC213" s="177">
        <f t="shared" si="118"/>
        <v>0</v>
      </c>
      <c r="DD213" s="177" t="str">
        <f t="shared" si="119"/>
        <v>PV</v>
      </c>
      <c r="DE213" s="177">
        <f t="shared" si="120"/>
        <v>0</v>
      </c>
    </row>
    <row r="214" spans="1:109" ht="18" customHeight="1" x14ac:dyDescent="0.3">
      <c r="A214" s="81">
        <v>0.70833333333335602</v>
      </c>
      <c r="B214" s="166" t="s">
        <v>11</v>
      </c>
      <c r="C214" s="130" t="s">
        <v>120</v>
      </c>
      <c r="D214" s="169" t="s">
        <v>11</v>
      </c>
      <c r="E214" s="130" t="s">
        <v>120</v>
      </c>
      <c r="F214" s="169" t="s">
        <v>11</v>
      </c>
      <c r="G214" s="130" t="s">
        <v>120</v>
      </c>
      <c r="H214" s="169" t="s">
        <v>11</v>
      </c>
      <c r="I214" s="130" t="s">
        <v>120</v>
      </c>
      <c r="J214" s="169" t="s">
        <v>11</v>
      </c>
      <c r="K214" s="130" t="s">
        <v>120</v>
      </c>
      <c r="L214" s="169" t="s">
        <v>116</v>
      </c>
      <c r="M214" s="130" t="s">
        <v>120</v>
      </c>
      <c r="N214" s="169" t="s">
        <v>8</v>
      </c>
      <c r="O214" s="154" t="s">
        <v>230</v>
      </c>
      <c r="P214" s="6">
        <v>0</v>
      </c>
      <c r="Q214" s="122" t="str">
        <f t="shared" si="137"/>
        <v>Aulas Teóricas</v>
      </c>
      <c r="R214" s="105" t="str">
        <f t="shared" si="129"/>
        <v>IEI</v>
      </c>
      <c r="S214" s="88">
        <f t="shared" si="126"/>
        <v>0</v>
      </c>
      <c r="T214" s="106">
        <f>IF(VLOOKUP(Q214,'INFO BASE'!$B$40:$I$54,IF(R214='INFO BASE'!$B$32,3,IF(R214='INFO BASE'!$B$33,4,IF(R214='INFO BASE'!$B$34,5,IF(R214='INFO BASE'!$B$35,6,IF(R214='INFO BASE'!$B$36,7,IF(R214='INFO BASE'!$B$37,8,2)))))),0)=0,"",VLOOKUP(Q214,'INFO BASE'!$B$40:$I$54,IF(R214='INFO BASE'!$B$32,3,IF(R214='INFO BASE'!$B$33,4,IF(R214='INFO BASE'!$B$34,5,IF(R214='INFO BASE'!$B$35,6,IF(R214='INFO BASE'!$B$36,7,IF(R214='INFO BASE'!$B$37,8,2)))))),0))</f>
        <v>3</v>
      </c>
      <c r="U214" s="106">
        <f>(COUNTIFS(C180:C227,R214,B180:B227,R212)+COUNTIFS(E180:E227,R214,D180:D227,R212)+COUNTIFS(G180:G227,R214,F180:F227,R212)+COUNTIFS(I180:I227,R214,H180:H227,R212)+COUNTIFS(K180:K227,R214,J180:J227,R212)+COUNTIFS(M180:M227,R214,L180:L227,R212)+COUNTIFS(O180:O227,R214,N180:N227,R212))*0.5</f>
        <v>3</v>
      </c>
      <c r="V214" s="89">
        <f>(COUNTIFS(AI180:AI227,R212,AJ180:AJ227,R207)+COUNTIFS(AK180:AK227,R212,AL180:AL227,R207)+COUNTIFS(AM180:AM227,R212,AN180:AN227,R207)+COUNTIFS(AO180:AO227,R212,AP180:AP227,R207)+COUNTIFS(AQ180:AQ227,R212,AR180:AR227,R207)+COUNTIFS(AS180:AS227,R212,AT180:AT227,R207)+COUNTIFS(AU180:AU227,R212,AV180:AV227,R207))*0.5</f>
        <v>3</v>
      </c>
      <c r="W214" s="90">
        <f>IF(AH176="","-",IF(V214=0,U214,IFERROR((U214/V214)-1,"-")))</f>
        <v>0</v>
      </c>
      <c r="X214" s="201">
        <f t="shared" si="127"/>
        <v>0</v>
      </c>
      <c r="Y214" s="271"/>
      <c r="Z214" s="272"/>
      <c r="AA214" s="272"/>
      <c r="AB214" s="272"/>
      <c r="AC214" s="272"/>
      <c r="AD214" s="272"/>
      <c r="AE214" s="272"/>
      <c r="AF214" s="273"/>
      <c r="AH214" s="136">
        <v>0.70833333333335602</v>
      </c>
      <c r="AI214" s="136" t="s">
        <v>11</v>
      </c>
      <c r="AJ214" s="136" t="s">
        <v>120</v>
      </c>
      <c r="AK214" s="136" t="s">
        <v>11</v>
      </c>
      <c r="AL214" s="136" t="s">
        <v>120</v>
      </c>
      <c r="AM214" s="136" t="s">
        <v>11</v>
      </c>
      <c r="AN214" s="136" t="s">
        <v>120</v>
      </c>
      <c r="AO214" s="136" t="s">
        <v>11</v>
      </c>
      <c r="AP214" s="136" t="s">
        <v>120</v>
      </c>
      <c r="AQ214" s="136" t="s">
        <v>11</v>
      </c>
      <c r="AR214" s="136" t="s">
        <v>120</v>
      </c>
      <c r="AS214" s="136" t="s">
        <v>8</v>
      </c>
      <c r="AT214" s="136" t="s">
        <v>224</v>
      </c>
      <c r="AU214" s="136" t="s">
        <v>8</v>
      </c>
      <c r="AV214" s="136" t="s">
        <v>230</v>
      </c>
      <c r="AX214" s="136" t="str">
        <f>IF(AI176="","",IF(B214="","",B214))</f>
        <v>HD</v>
      </c>
      <c r="AY214" s="136" t="str">
        <f>IF(AI176="","",IF(C214="","",C214))</f>
        <v>-</v>
      </c>
      <c r="AZ214" s="136" t="str">
        <f>IF(AI176="","",IF(D214="","",D214))</f>
        <v>HD</v>
      </c>
      <c r="BA214" s="136" t="str">
        <f>IF(AI176="","",IF(E214="","",E214))</f>
        <v>-</v>
      </c>
      <c r="BB214" s="136" t="str">
        <f>IF(AI176="","",IF(F214="","",F214))</f>
        <v>HD</v>
      </c>
      <c r="BC214" s="136" t="str">
        <f>IF(AI176="","",IF(G214="","",G214))</f>
        <v>-</v>
      </c>
      <c r="BD214" s="136" t="str">
        <f>IF(AI176="","",IF(H214="","",H214))</f>
        <v>HD</v>
      </c>
      <c r="BE214" s="136" t="str">
        <f>IF(AI176="","",IF(I214="","",I214))</f>
        <v>-</v>
      </c>
      <c r="BF214" s="136" t="str">
        <f>IF(AI176="","",IF(J214="","",J214))</f>
        <v>HD</v>
      </c>
      <c r="BG214" s="136" t="str">
        <f>IF(AI176="","",IF(K214="","",K214))</f>
        <v>-</v>
      </c>
      <c r="BH214" s="136" t="str">
        <f>IF(AI176="","",IF(L214="","",L214))</f>
        <v>PV</v>
      </c>
      <c r="BI214" s="136" t="str">
        <f>IF(AI176="","",IF(M214="","",M214))</f>
        <v>-</v>
      </c>
      <c r="BJ214" s="136" t="str">
        <f>IF(AI176="","",IF(N214="","",N214))</f>
        <v>EA</v>
      </c>
      <c r="BK214" s="136" t="str">
        <f>IF(AI176="","",IF(O214="","",O214))</f>
        <v>AL</v>
      </c>
      <c r="BM214" s="136" t="str">
        <f t="shared" si="136"/>
        <v>AT</v>
      </c>
      <c r="BN214" s="136" t="str">
        <f t="shared" si="122"/>
        <v>Aulas Teóricas</v>
      </c>
      <c r="BO214" s="136" t="str">
        <f t="shared" si="122"/>
        <v>CDI</v>
      </c>
      <c r="BP214" s="136">
        <f>(COUNTIFS(AX180:AX227,BM214,AY180:AY227,BO214)+COUNTIFS(AZ180:AZ227,BM214,BA180:BA227,BO214)+COUNTIFS(BB180:BB227,BM214,BC180:BC227,BO214)+COUNTIFS(BD180:BD227,BM214,BE180:BE227,BO214)+COUNTIFS(BF180:BF227,BM214,BG180:BG227,BO214)+COUNTIFS(BH180:BH227,BM214,BI180:BI227,BO214)+COUNTIFS(BJ180:BJ227,BM214,BK180:BK227,BO214))*0.5</f>
        <v>3</v>
      </c>
      <c r="BQ214" s="136" t="str">
        <f t="shared" si="123"/>
        <v>Aulas Teóricas</v>
      </c>
      <c r="BR214" s="136" t="str">
        <f t="shared" si="123"/>
        <v>CDI</v>
      </c>
      <c r="BS214" s="136" t="str">
        <f t="shared" si="124"/>
        <v>Aulas Teóricas</v>
      </c>
      <c r="BT214" s="136">
        <f t="shared" si="130"/>
        <v>24</v>
      </c>
      <c r="BU214" s="136">
        <f t="shared" si="131"/>
        <v>24</v>
      </c>
      <c r="CA214" s="183">
        <f>'INFO BASE'!L277</f>
        <v>0</v>
      </c>
      <c r="CB214" s="183">
        <f>'INFO BASE'!M277</f>
        <v>0</v>
      </c>
      <c r="CR214" s="177" t="str">
        <f t="shared" si="112"/>
        <v>HD</v>
      </c>
      <c r="CS214" s="177" t="str">
        <f t="shared" si="113"/>
        <v>HD-</v>
      </c>
      <c r="CT214" s="177" t="str">
        <f t="shared" si="112"/>
        <v>HD</v>
      </c>
      <c r="CU214" s="177" t="str">
        <f t="shared" si="114"/>
        <v>HD-</v>
      </c>
      <c r="CV214" s="177" t="str">
        <f t="shared" si="112"/>
        <v>HD</v>
      </c>
      <c r="CW214" s="177" t="str">
        <f t="shared" si="115"/>
        <v>HD-</v>
      </c>
      <c r="CX214" s="177" t="str">
        <f t="shared" si="112"/>
        <v>HD</v>
      </c>
      <c r="CY214" s="177" t="str">
        <f t="shared" si="116"/>
        <v>HD-</v>
      </c>
      <c r="CZ214" s="177" t="str">
        <f t="shared" si="112"/>
        <v>HD</v>
      </c>
      <c r="DA214" s="177" t="str">
        <f t="shared" si="117"/>
        <v>HD-</v>
      </c>
      <c r="DB214" s="177" t="str">
        <f t="shared" si="112"/>
        <v>PV</v>
      </c>
      <c r="DC214" s="177">
        <f t="shared" si="118"/>
        <v>0</v>
      </c>
      <c r="DD214" s="177" t="str">
        <f t="shared" si="119"/>
        <v>EA</v>
      </c>
      <c r="DE214" s="177" t="str">
        <f t="shared" si="120"/>
        <v>EAAL</v>
      </c>
    </row>
    <row r="215" spans="1:109" ht="18" customHeight="1" x14ac:dyDescent="0.3">
      <c r="A215" s="81">
        <v>0.72916666666669006</v>
      </c>
      <c r="B215" s="166" t="s">
        <v>11</v>
      </c>
      <c r="C215" s="130" t="s">
        <v>120</v>
      </c>
      <c r="D215" s="169" t="s">
        <v>11</v>
      </c>
      <c r="E215" s="130" t="s">
        <v>120</v>
      </c>
      <c r="F215" s="169" t="s">
        <v>11</v>
      </c>
      <c r="G215" s="130" t="s">
        <v>120</v>
      </c>
      <c r="H215" s="169" t="s">
        <v>11</v>
      </c>
      <c r="I215" s="130" t="s">
        <v>120</v>
      </c>
      <c r="J215" s="169" t="s">
        <v>11</v>
      </c>
      <c r="K215" s="130" t="s">
        <v>120</v>
      </c>
      <c r="L215" s="169" t="s">
        <v>116</v>
      </c>
      <c r="M215" s="130" t="s">
        <v>120</v>
      </c>
      <c r="N215" s="169" t="s">
        <v>8</v>
      </c>
      <c r="O215" s="154" t="s">
        <v>230</v>
      </c>
      <c r="P215" s="6">
        <v>0</v>
      </c>
      <c r="Q215" s="123" t="str">
        <f t="shared" si="137"/>
        <v>Aulas Teóricas</v>
      </c>
      <c r="R215" s="105" t="str">
        <f t="shared" si="129"/>
        <v>IAC</v>
      </c>
      <c r="S215" s="88">
        <f t="shared" si="126"/>
        <v>0</v>
      </c>
      <c r="T215" s="106">
        <f>IF(VLOOKUP(Q215,'INFO BASE'!$B$40:$I$54,IF(R215='INFO BASE'!$B$32,3,IF(R215='INFO BASE'!$B$33,4,IF(R215='INFO BASE'!$B$34,5,IF(R215='INFO BASE'!$B$35,6,IF(R215='INFO BASE'!$B$36,7,IF(R215='INFO BASE'!$B$37,8,2)))))),0)=0,"",VLOOKUP(Q215,'INFO BASE'!$B$40:$I$54,IF(R215='INFO BASE'!$B$32,3,IF(R215='INFO BASE'!$B$33,4,IF(R215='INFO BASE'!$B$34,5,IF(R215='INFO BASE'!$B$35,6,IF(R215='INFO BASE'!$B$36,7,IF(R215='INFO BASE'!$B$37,8,2)))))),0))</f>
        <v>3</v>
      </c>
      <c r="U215" s="106">
        <f>(COUNTIFS(C180:C227,R215,B180:B227,R212)+COUNTIFS(E180:E227,R215,D180:D227,R212)+COUNTIFS(G180:G227,R215,F180:F227,R212)+COUNTIFS(I180:I227,R215,H180:H227,R212)+COUNTIFS(K180:K227,R215,J180:J227,R212)+COUNTIFS(M180:M227,R215,L180:L227,R212)+COUNTIFS(O180:O227,R215,N180:N227,R212))*0.5</f>
        <v>3</v>
      </c>
      <c r="V215" s="89">
        <f>(COUNTIFS(AI180:AI227,R212,AJ180:AJ227,R208)+COUNTIFS(AK180:AK227,R212,AL180:AL227,R208)+COUNTIFS(AM180:AM227,R212,AN180:AN227,R208)+COUNTIFS(AO180:AO227,R212,AP180:AP227,R208)+COUNTIFS(AQ180:AQ227,R212,AR180:AR227,R208)+COUNTIFS(AS180:AS227,R212,AT180:AT227,R208)+COUNTIFS(AU180:AU227,R212,AV180:AV227,R208))*0.5</f>
        <v>3</v>
      </c>
      <c r="W215" s="90">
        <f>IF(AH176="","-",IF(V215=0,U215,IFERROR((U215/V215)-1,"-")))</f>
        <v>0</v>
      </c>
      <c r="X215" s="201">
        <f t="shared" si="127"/>
        <v>0</v>
      </c>
      <c r="Y215" s="271"/>
      <c r="Z215" s="272"/>
      <c r="AA215" s="272"/>
      <c r="AB215" s="272"/>
      <c r="AC215" s="272"/>
      <c r="AD215" s="272"/>
      <c r="AE215" s="272"/>
      <c r="AF215" s="273"/>
      <c r="AH215" s="136">
        <v>0.72916666666669006</v>
      </c>
      <c r="AI215" s="136" t="s">
        <v>11</v>
      </c>
      <c r="AJ215" s="136" t="s">
        <v>120</v>
      </c>
      <c r="AK215" s="136" t="s">
        <v>11</v>
      </c>
      <c r="AL215" s="136" t="s">
        <v>120</v>
      </c>
      <c r="AM215" s="136" t="s">
        <v>11</v>
      </c>
      <c r="AN215" s="136" t="s">
        <v>120</v>
      </c>
      <c r="AO215" s="136" t="s">
        <v>11</v>
      </c>
      <c r="AP215" s="136" t="s">
        <v>120</v>
      </c>
      <c r="AQ215" s="136" t="s">
        <v>11</v>
      </c>
      <c r="AR215" s="136" t="s">
        <v>120</v>
      </c>
      <c r="AS215" s="136" t="s">
        <v>116</v>
      </c>
      <c r="AT215" s="136" t="s">
        <v>120</v>
      </c>
      <c r="AU215" s="136" t="s">
        <v>8</v>
      </c>
      <c r="AV215" s="136" t="s">
        <v>230</v>
      </c>
      <c r="AX215" s="136" t="str">
        <f>IF(AI176="","",IF(B215="","",B215))</f>
        <v>HD</v>
      </c>
      <c r="AY215" s="136" t="str">
        <f>IF(AI176="","",IF(C215="","",C215))</f>
        <v>-</v>
      </c>
      <c r="AZ215" s="136" t="str">
        <f>IF(AI176="","",IF(D215="","",D215))</f>
        <v>HD</v>
      </c>
      <c r="BA215" s="136" t="str">
        <f>IF(AI176="","",IF(E215="","",E215))</f>
        <v>-</v>
      </c>
      <c r="BB215" s="136" t="str">
        <f>IF(AI176="","",IF(F215="","",F215))</f>
        <v>HD</v>
      </c>
      <c r="BC215" s="136" t="str">
        <f>IF(AI176="","",IF(G215="","",G215))</f>
        <v>-</v>
      </c>
      <c r="BD215" s="136" t="str">
        <f>IF(AI176="","",IF(H215="","",H215))</f>
        <v>HD</v>
      </c>
      <c r="BE215" s="136" t="str">
        <f>IF(AI176="","",IF(I215="","",I215))</f>
        <v>-</v>
      </c>
      <c r="BF215" s="136" t="str">
        <f>IF(AI176="","",IF(J215="","",J215))</f>
        <v>HD</v>
      </c>
      <c r="BG215" s="136" t="str">
        <f>IF(AI176="","",IF(K215="","",K215))</f>
        <v>-</v>
      </c>
      <c r="BH215" s="136" t="str">
        <f>IF(AI176="","",IF(L215="","",L215))</f>
        <v>PV</v>
      </c>
      <c r="BI215" s="136" t="str">
        <f>IF(AI176="","",IF(M215="","",M215))</f>
        <v>-</v>
      </c>
      <c r="BJ215" s="136" t="str">
        <f>IF(AI176="","",IF(N215="","",N215))</f>
        <v>EA</v>
      </c>
      <c r="BK215" s="136" t="str">
        <f>IF(AI176="","",IF(O215="","",O215))</f>
        <v>AL</v>
      </c>
      <c r="BM215" s="136" t="str">
        <f t="shared" si="136"/>
        <v>AT</v>
      </c>
      <c r="BN215" s="136" t="str">
        <f t="shared" si="122"/>
        <v>Aulas Teóricas</v>
      </c>
      <c r="BO215" s="136" t="str">
        <f t="shared" si="122"/>
        <v/>
      </c>
      <c r="BP215" s="136">
        <f>(COUNTIFS(AX180:AX227,BM215,AY180:AY227,BO215)+COUNTIFS(AZ180:AZ227,BM215,BA180:BA227,BO215)+COUNTIFS(BB180:BB227,BM215,BC180:BC227,BO215)+COUNTIFS(BD180:BD227,BM215,BE180:BE227,BO215)+COUNTIFS(BF180:BF227,BM215,BG180:BG227,BO215)+COUNTIFS(BH180:BH227,BM215,BI180:BI227,BO215)+COUNTIFS(BJ180:BJ227,BM215,BK180:BK227,BO215))*0.5</f>
        <v>0</v>
      </c>
      <c r="BQ215" s="136" t="str">
        <f t="shared" si="123"/>
        <v>Aulas Teóricas</v>
      </c>
      <c r="BR215" s="136" t="str">
        <f t="shared" si="123"/>
        <v/>
      </c>
      <c r="BS215" s="136" t="str">
        <f t="shared" si="124"/>
        <v>Aulas Teóricas</v>
      </c>
      <c r="BT215" s="136">
        <f t="shared" si="130"/>
        <v>0</v>
      </c>
      <c r="BU215" s="136">
        <f t="shared" si="131"/>
        <v>0</v>
      </c>
      <c r="CA215" s="183">
        <f>'INFO BASE'!L278</f>
        <v>0</v>
      </c>
      <c r="CB215" s="183">
        <f>'INFO BASE'!M278</f>
        <v>0</v>
      </c>
      <c r="CR215" s="177" t="str">
        <f t="shared" si="112"/>
        <v>HD</v>
      </c>
      <c r="CS215" s="177" t="str">
        <f t="shared" si="113"/>
        <v>HD-</v>
      </c>
      <c r="CT215" s="177" t="str">
        <f t="shared" si="112"/>
        <v>HD</v>
      </c>
      <c r="CU215" s="177" t="str">
        <f t="shared" si="114"/>
        <v>HD-</v>
      </c>
      <c r="CV215" s="177" t="str">
        <f t="shared" si="112"/>
        <v>HD</v>
      </c>
      <c r="CW215" s="177" t="str">
        <f t="shared" si="115"/>
        <v>HD-</v>
      </c>
      <c r="CX215" s="177" t="str">
        <f t="shared" si="112"/>
        <v>HD</v>
      </c>
      <c r="CY215" s="177" t="str">
        <f t="shared" si="116"/>
        <v>HD-</v>
      </c>
      <c r="CZ215" s="177" t="str">
        <f t="shared" si="112"/>
        <v>HD</v>
      </c>
      <c r="DA215" s="177" t="str">
        <f t="shared" si="117"/>
        <v>HD-</v>
      </c>
      <c r="DB215" s="177" t="str">
        <f t="shared" si="112"/>
        <v>PV</v>
      </c>
      <c r="DC215" s="177">
        <f t="shared" si="118"/>
        <v>0</v>
      </c>
      <c r="DD215" s="177" t="str">
        <f t="shared" si="119"/>
        <v>EA</v>
      </c>
      <c r="DE215" s="177" t="str">
        <f t="shared" si="120"/>
        <v>EAAL</v>
      </c>
    </row>
    <row r="216" spans="1:109" ht="18" customHeight="1" x14ac:dyDescent="0.3">
      <c r="A216" s="81">
        <v>0.75000000000002398</v>
      </c>
      <c r="B216" s="166" t="s">
        <v>11</v>
      </c>
      <c r="C216" s="130" t="s">
        <v>120</v>
      </c>
      <c r="D216" s="169" t="s">
        <v>11</v>
      </c>
      <c r="E216" s="130" t="s">
        <v>120</v>
      </c>
      <c r="F216" s="169" t="s">
        <v>11</v>
      </c>
      <c r="G216" s="130" t="s">
        <v>120</v>
      </c>
      <c r="H216" s="169" t="s">
        <v>11</v>
      </c>
      <c r="I216" s="130" t="s">
        <v>120</v>
      </c>
      <c r="J216" s="169" t="s">
        <v>11</v>
      </c>
      <c r="K216" s="130" t="s">
        <v>120</v>
      </c>
      <c r="L216" s="169" t="s">
        <v>116</v>
      </c>
      <c r="M216" s="130" t="s">
        <v>120</v>
      </c>
      <c r="N216" s="169" t="s">
        <v>8</v>
      </c>
      <c r="O216" s="154" t="s">
        <v>230</v>
      </c>
      <c r="P216" s="6">
        <v>0</v>
      </c>
      <c r="Q216" s="122" t="str">
        <f t="shared" si="137"/>
        <v>Aulas Teóricas</v>
      </c>
      <c r="R216" s="105" t="str">
        <f t="shared" si="129"/>
        <v>AL</v>
      </c>
      <c r="S216" s="88">
        <f t="shared" si="126"/>
        <v>0</v>
      </c>
      <c r="T216" s="106">
        <f>IF(VLOOKUP(Q216,'INFO BASE'!$B$40:$I$54,IF(R216='INFO BASE'!$B$32,3,IF(R216='INFO BASE'!$B$33,4,IF(R216='INFO BASE'!$B$34,5,IF(R216='INFO BASE'!$B$35,6,IF(R216='INFO BASE'!$B$36,7,IF(R216='INFO BASE'!$B$37,8,2)))))),0)=0,"",VLOOKUP(Q216,'INFO BASE'!$B$40:$I$54,IF(R216='INFO BASE'!$B$32,3,IF(R216='INFO BASE'!$B$33,4,IF(R216='INFO BASE'!$B$34,5,IF(R216='INFO BASE'!$B$35,6,IF(R216='INFO BASE'!$B$36,7,IF(R216='INFO BASE'!$B$37,8,2)))))),0))</f>
        <v>3</v>
      </c>
      <c r="U216" s="106">
        <f>(COUNTIFS(C180:C227,R216,B180:B227,R212)+COUNTIFS(E180:E227,R216,D180:D227,R212)+COUNTIFS(G180:G227,R216,F180:F227,R212)+COUNTIFS(I180:I227,R216,H180:H227,R212)+COUNTIFS(K180:K227,R216,J180:J227,R212)+COUNTIFS(M180:M227,R216,L180:L227,R212)+COUNTIFS(O180:O227,R216,N180:N227,R212))*0.5</f>
        <v>3</v>
      </c>
      <c r="V216" s="89">
        <f>(COUNTIFS(AI180:AI227,R212,AJ180:AJ227,R209)+COUNTIFS(AK180:AK227,R212,AL180:AL227,R209)+COUNTIFS(AM180:AM227,R212,AN180:AN227,R209)+COUNTIFS(AO180:AO227,R212,AP180:AP227,R209)+COUNTIFS(AQ180:AQ227,R212,AR180:AR227,R209)+COUNTIFS(AS180:AS227,R212,AT180:AT227,R209)+COUNTIFS(AU180:AU227,R212,AV180:AV227,R209))*0.5</f>
        <v>3</v>
      </c>
      <c r="W216" s="90">
        <f>IF(AH176="","-",IF(V216=0,U216,IFERROR((U216/V216)-1,"-")))</f>
        <v>0</v>
      </c>
      <c r="X216" s="201">
        <f t="shared" si="127"/>
        <v>0</v>
      </c>
      <c r="Y216" s="271"/>
      <c r="Z216" s="272"/>
      <c r="AA216" s="272"/>
      <c r="AB216" s="272"/>
      <c r="AC216" s="272"/>
      <c r="AD216" s="272"/>
      <c r="AE216" s="272"/>
      <c r="AF216" s="273"/>
      <c r="AH216" s="136">
        <v>0.75000000000002398</v>
      </c>
      <c r="AI216" s="136" t="s">
        <v>11</v>
      </c>
      <c r="AJ216" s="136" t="s">
        <v>120</v>
      </c>
      <c r="AK216" s="136" t="s">
        <v>11</v>
      </c>
      <c r="AL216" s="136" t="s">
        <v>120</v>
      </c>
      <c r="AM216" s="136" t="s">
        <v>11</v>
      </c>
      <c r="AN216" s="136" t="s">
        <v>120</v>
      </c>
      <c r="AO216" s="136" t="s">
        <v>11</v>
      </c>
      <c r="AP216" s="136" t="s">
        <v>120</v>
      </c>
      <c r="AQ216" s="136" t="s">
        <v>11</v>
      </c>
      <c r="AR216" s="136" t="s">
        <v>120</v>
      </c>
      <c r="AS216" s="136" t="s">
        <v>116</v>
      </c>
      <c r="AT216" s="136" t="s">
        <v>120</v>
      </c>
      <c r="AU216" s="136" t="s">
        <v>8</v>
      </c>
      <c r="AV216" s="136" t="s">
        <v>230</v>
      </c>
      <c r="AX216" s="136" t="str">
        <f>IF(AI176="","",IF(B216="","",B216))</f>
        <v>HD</v>
      </c>
      <c r="AY216" s="136" t="str">
        <f>IF(AI176="","",IF(C216="","",C216))</f>
        <v>-</v>
      </c>
      <c r="AZ216" s="136" t="str">
        <f>IF(AI176="","",IF(D216="","",D216))</f>
        <v>HD</v>
      </c>
      <c r="BA216" s="136" t="str">
        <f>IF(AI176="","",IF(E216="","",E216))</f>
        <v>-</v>
      </c>
      <c r="BB216" s="136" t="str">
        <f>IF(AI176="","",IF(F216="","",F216))</f>
        <v>HD</v>
      </c>
      <c r="BC216" s="136" t="str">
        <f>IF(AI176="","",IF(G216="","",G216))</f>
        <v>-</v>
      </c>
      <c r="BD216" s="136" t="str">
        <f>IF(AI176="","",IF(H216="","",H216))</f>
        <v>HD</v>
      </c>
      <c r="BE216" s="136" t="str">
        <f>IF(AI176="","",IF(I216="","",I216))</f>
        <v>-</v>
      </c>
      <c r="BF216" s="136" t="str">
        <f>IF(AI176="","",IF(J216="","",J216))</f>
        <v>HD</v>
      </c>
      <c r="BG216" s="136" t="str">
        <f>IF(AI176="","",IF(K216="","",K216))</f>
        <v>-</v>
      </c>
      <c r="BH216" s="136" t="str">
        <f>IF(AI176="","",IF(L216="","",L216))</f>
        <v>PV</v>
      </c>
      <c r="BI216" s="136" t="str">
        <f>IF(AI176="","",IF(M216="","",M216))</f>
        <v>-</v>
      </c>
      <c r="BJ216" s="136" t="str">
        <f>IF(AI176="","",IF(N216="","",N216))</f>
        <v>EA</v>
      </c>
      <c r="BK216" s="136" t="str">
        <f>IF(AI176="","",IF(O216="","",O216))</f>
        <v>AL</v>
      </c>
      <c r="BN216" s="136" t="str">
        <f t="shared" si="122"/>
        <v>Aulas Práticas</v>
      </c>
      <c r="BO216" s="136" t="str">
        <f t="shared" si="122"/>
        <v>APA</v>
      </c>
      <c r="BP216" s="136">
        <f>IF(BO216="","",COUNTIFS(AX180:BK227,BO216)*0.5)</f>
        <v>0</v>
      </c>
      <c r="BQ216" s="136" t="str">
        <f t="shared" si="123"/>
        <v>Aulas Práticas</v>
      </c>
      <c r="BR216" s="136" t="str">
        <f t="shared" si="123"/>
        <v>APA</v>
      </c>
      <c r="BS216" s="136" t="str">
        <f t="shared" si="124"/>
        <v>Aulas Práticas</v>
      </c>
      <c r="BT216" s="136">
        <f t="shared" si="130"/>
        <v>0</v>
      </c>
      <c r="BU216" s="136">
        <f t="shared" si="131"/>
        <v>0</v>
      </c>
      <c r="CA216" s="183">
        <f>'INFO BASE'!L279</f>
        <v>0</v>
      </c>
      <c r="CB216" s="183">
        <f>'INFO BASE'!M279</f>
        <v>0</v>
      </c>
      <c r="CR216" s="177" t="str">
        <f t="shared" si="112"/>
        <v>HD</v>
      </c>
      <c r="CS216" s="177" t="str">
        <f t="shared" si="113"/>
        <v>HD-</v>
      </c>
      <c r="CT216" s="177" t="str">
        <f t="shared" si="112"/>
        <v>HD</v>
      </c>
      <c r="CU216" s="177" t="str">
        <f t="shared" si="114"/>
        <v>HD-</v>
      </c>
      <c r="CV216" s="177" t="str">
        <f t="shared" si="112"/>
        <v>HD</v>
      </c>
      <c r="CW216" s="177" t="str">
        <f t="shared" si="115"/>
        <v>HD-</v>
      </c>
      <c r="CX216" s="177" t="str">
        <f t="shared" si="112"/>
        <v>HD</v>
      </c>
      <c r="CY216" s="177" t="str">
        <f t="shared" si="116"/>
        <v>HD-</v>
      </c>
      <c r="CZ216" s="177" t="str">
        <f t="shared" si="112"/>
        <v>HD</v>
      </c>
      <c r="DA216" s="177" t="str">
        <f t="shared" si="117"/>
        <v>HD-</v>
      </c>
      <c r="DB216" s="177" t="str">
        <f t="shared" si="112"/>
        <v>PV</v>
      </c>
      <c r="DC216" s="177">
        <f t="shared" si="118"/>
        <v>0</v>
      </c>
      <c r="DD216" s="177" t="str">
        <f t="shared" si="119"/>
        <v>EA</v>
      </c>
      <c r="DE216" s="177" t="str">
        <f t="shared" si="120"/>
        <v>EAAL</v>
      </c>
    </row>
    <row r="217" spans="1:109" ht="18" customHeight="1" x14ac:dyDescent="0.3">
      <c r="A217" s="81">
        <v>0.77083333333335802</v>
      </c>
      <c r="B217" s="166" t="s">
        <v>116</v>
      </c>
      <c r="C217" s="130" t="s">
        <v>120</v>
      </c>
      <c r="D217" s="169" t="s">
        <v>116</v>
      </c>
      <c r="E217" s="130" t="s">
        <v>120</v>
      </c>
      <c r="F217" s="169" t="s">
        <v>116</v>
      </c>
      <c r="G217" s="130" t="s">
        <v>120</v>
      </c>
      <c r="H217" s="169" t="s">
        <v>116</v>
      </c>
      <c r="I217" s="130" t="s">
        <v>120</v>
      </c>
      <c r="J217" s="169" t="s">
        <v>116</v>
      </c>
      <c r="K217" s="130" t="s">
        <v>120</v>
      </c>
      <c r="L217" s="169" t="s">
        <v>8</v>
      </c>
      <c r="M217" s="130" t="s">
        <v>230</v>
      </c>
      <c r="N217" s="169" t="s">
        <v>8</v>
      </c>
      <c r="O217" s="154" t="s">
        <v>230</v>
      </c>
      <c r="P217" s="6">
        <v>0</v>
      </c>
      <c r="Q217" s="122" t="str">
        <f t="shared" si="137"/>
        <v>Aulas Teóricas</v>
      </c>
      <c r="R217" s="105" t="str">
        <f t="shared" si="129"/>
        <v>CDI</v>
      </c>
      <c r="S217" s="88">
        <f t="shared" si="126"/>
        <v>0</v>
      </c>
      <c r="T217" s="106">
        <f>IF(VLOOKUP(Q217,'INFO BASE'!$B$40:$I$54,IF(R217='INFO BASE'!$B$32,3,IF(R217='INFO BASE'!$B$33,4,IF(R217='INFO BASE'!$B$34,5,IF(R217='INFO BASE'!$B$35,6,IF(R217='INFO BASE'!$B$36,7,IF(R217='INFO BASE'!$B$37,8,2)))))),0)=0,"",VLOOKUP(Q217,'INFO BASE'!$B$40:$I$54,IF(R217='INFO BASE'!$B$32,3,IF(R217='INFO BASE'!$B$33,4,IF(R217='INFO BASE'!$B$34,5,IF(R217='INFO BASE'!$B$35,6,IF(R217='INFO BASE'!$B$36,7,IF(R217='INFO BASE'!$B$37,8,2)))))),0))</f>
        <v>3</v>
      </c>
      <c r="U217" s="106">
        <f>(COUNTIFS(C180:C227,R217,B180:B227,R212)+COUNTIFS(E180:E227,R217,D180:D227,R212)+COUNTIFS(G180:G227,R217,F180:F227,R212)+COUNTIFS(I180:I227,R217,H180:H227,R212)+COUNTIFS(K180:K227,R217,J180:J227,R212)+COUNTIFS(M180:M227,R217,L180:L227,R212)+COUNTIFS(O180:O227,R217,N180:N227,R212))*0.5</f>
        <v>3</v>
      </c>
      <c r="V217" s="89">
        <f>(COUNTIFS(AI180:AI227,R212,AJ180:AJ227,R210)+COUNTIFS(AK180:AK227,R212,AL180:AL227,R210)+COUNTIFS(AM180:AM227,R212,AN180:AN227,R210)+COUNTIFS(AO180:AO227,R212,AP180:AP227,R210)+COUNTIFS(AQ180:AQ227,R212,AR180:AR227,R210)+COUNTIFS(AS180:AS227,R212,AT180:AT227,R210)+COUNTIFS(AU180:AU227,R212,AV180:AV227,R210))*0.5</f>
        <v>3</v>
      </c>
      <c r="W217" s="90">
        <f>IF(AH176="","-",IF(V217=0,U217,IFERROR((U217/V217)-1,"-")))</f>
        <v>0</v>
      </c>
      <c r="X217" s="201">
        <f t="shared" si="127"/>
        <v>0</v>
      </c>
      <c r="Y217" s="271"/>
      <c r="Z217" s="272"/>
      <c r="AA217" s="272"/>
      <c r="AB217" s="272"/>
      <c r="AC217" s="272"/>
      <c r="AD217" s="272"/>
      <c r="AE217" s="272"/>
      <c r="AF217" s="273"/>
      <c r="AH217" s="136">
        <v>0.77083333333335802</v>
      </c>
      <c r="AI217" s="136" t="s">
        <v>116</v>
      </c>
      <c r="AJ217" s="136" t="s">
        <v>120</v>
      </c>
      <c r="AK217" s="136" t="s">
        <v>116</v>
      </c>
      <c r="AL217" s="136" t="s">
        <v>120</v>
      </c>
      <c r="AM217" s="136" t="s">
        <v>116</v>
      </c>
      <c r="AN217" s="136" t="s">
        <v>120</v>
      </c>
      <c r="AO217" s="136" t="s">
        <v>116</v>
      </c>
      <c r="AP217" s="136" t="s">
        <v>120</v>
      </c>
      <c r="AQ217" s="136" t="s">
        <v>116</v>
      </c>
      <c r="AR217" s="136" t="s">
        <v>120</v>
      </c>
      <c r="AS217" s="136" t="s">
        <v>8</v>
      </c>
      <c r="AT217" s="136" t="s">
        <v>230</v>
      </c>
      <c r="AU217" s="136" t="s">
        <v>8</v>
      </c>
      <c r="AV217" s="136" t="s">
        <v>230</v>
      </c>
      <c r="AX217" s="136" t="str">
        <f>IF(AI176="","",IF(B217="","",B217))</f>
        <v>PV</v>
      </c>
      <c r="AY217" s="136" t="str">
        <f>IF(AI176="","",IF(C217="","",C217))</f>
        <v>-</v>
      </c>
      <c r="AZ217" s="136" t="str">
        <f>IF(AI176="","",IF(D217="","",D217))</f>
        <v>PV</v>
      </c>
      <c r="BA217" s="136" t="str">
        <f>IF(AI176="","",IF(E217="","",E217))</f>
        <v>-</v>
      </c>
      <c r="BB217" s="136" t="str">
        <f>IF(AI176="","",IF(F217="","",F217))</f>
        <v>PV</v>
      </c>
      <c r="BC217" s="136" t="str">
        <f>IF(AI176="","",IF(G217="","",G217))</f>
        <v>-</v>
      </c>
      <c r="BD217" s="136" t="str">
        <f>IF(AI176="","",IF(H217="","",H217))</f>
        <v>PV</v>
      </c>
      <c r="BE217" s="136" t="str">
        <f>IF(AI176="","",IF(I217="","",I217))</f>
        <v>-</v>
      </c>
      <c r="BF217" s="136" t="str">
        <f>IF(AI176="","",IF(J217="","",J217))</f>
        <v>PV</v>
      </c>
      <c r="BG217" s="136" t="str">
        <f>IF(AI176="","",IF(K217="","",K217))</f>
        <v>-</v>
      </c>
      <c r="BH217" s="136" t="str">
        <f>IF(AI176="","",IF(L217="","",L217))</f>
        <v>EA</v>
      </c>
      <c r="BI217" s="136" t="str">
        <f>IF(AI176="","",IF(M217="","",M217))</f>
        <v>AL</v>
      </c>
      <c r="BJ217" s="136" t="str">
        <f>IF(AI176="","",IF(N217="","",N217))</f>
        <v>EA</v>
      </c>
      <c r="BK217" s="136" t="str">
        <f>IF(AI176="","",IF(O217="","",O217))</f>
        <v>AL</v>
      </c>
      <c r="BN217" s="136" t="str">
        <f t="shared" si="122"/>
        <v>Aulas Problemas</v>
      </c>
      <c r="BO217" s="136" t="str">
        <f t="shared" si="122"/>
        <v>APB</v>
      </c>
      <c r="BP217" s="136">
        <f>IF(BO217="","",COUNTIFS(AX180:BK227,BO217)*0.5)</f>
        <v>4.5</v>
      </c>
      <c r="BQ217" s="136" t="str">
        <f t="shared" si="123"/>
        <v>Aulas Problemas</v>
      </c>
      <c r="BR217" s="136" t="str">
        <f t="shared" si="123"/>
        <v>APB</v>
      </c>
      <c r="BS217" s="136" t="str">
        <f t="shared" si="124"/>
        <v>Aulas Problemas</v>
      </c>
      <c r="BT217" s="136">
        <f t="shared" si="130"/>
        <v>36</v>
      </c>
      <c r="BU217" s="136">
        <f t="shared" si="131"/>
        <v>36</v>
      </c>
      <c r="CA217" s="183">
        <f>'INFO BASE'!L280</f>
        <v>0</v>
      </c>
      <c r="CB217" s="183">
        <f>'INFO BASE'!M280</f>
        <v>0</v>
      </c>
      <c r="CR217" s="177" t="str">
        <f t="shared" si="112"/>
        <v>PV</v>
      </c>
      <c r="CS217" s="177">
        <f t="shared" si="113"/>
        <v>0</v>
      </c>
      <c r="CT217" s="177" t="str">
        <f t="shared" si="112"/>
        <v>PV</v>
      </c>
      <c r="CU217" s="177">
        <f t="shared" si="114"/>
        <v>0</v>
      </c>
      <c r="CV217" s="177" t="str">
        <f t="shared" si="112"/>
        <v>PV</v>
      </c>
      <c r="CW217" s="177">
        <f t="shared" si="115"/>
        <v>0</v>
      </c>
      <c r="CX217" s="177" t="str">
        <f t="shared" si="112"/>
        <v>PV</v>
      </c>
      <c r="CY217" s="177">
        <f t="shared" si="116"/>
        <v>0</v>
      </c>
      <c r="CZ217" s="177" t="str">
        <f t="shared" si="112"/>
        <v>PV</v>
      </c>
      <c r="DA217" s="177">
        <f t="shared" si="117"/>
        <v>0</v>
      </c>
      <c r="DB217" s="177" t="str">
        <f t="shared" si="112"/>
        <v>EA</v>
      </c>
      <c r="DC217" s="177" t="str">
        <f t="shared" si="118"/>
        <v>EAAL</v>
      </c>
      <c r="DD217" s="177" t="str">
        <f t="shared" si="119"/>
        <v>EA</v>
      </c>
      <c r="DE217" s="177" t="str">
        <f t="shared" si="120"/>
        <v>EAAL</v>
      </c>
    </row>
    <row r="218" spans="1:109" ht="18" customHeight="1" thickBot="1" x14ac:dyDescent="0.35">
      <c r="A218" s="81">
        <v>0.79166666666669205</v>
      </c>
      <c r="B218" s="166" t="s">
        <v>116</v>
      </c>
      <c r="C218" s="130" t="s">
        <v>120</v>
      </c>
      <c r="D218" s="169" t="s">
        <v>8</v>
      </c>
      <c r="E218" s="130" t="s">
        <v>224</v>
      </c>
      <c r="F218" s="169" t="s">
        <v>116</v>
      </c>
      <c r="G218" s="130" t="s">
        <v>120</v>
      </c>
      <c r="H218" s="169" t="s">
        <v>8</v>
      </c>
      <c r="I218" s="130" t="s">
        <v>224</v>
      </c>
      <c r="J218" s="169" t="s">
        <v>116</v>
      </c>
      <c r="K218" s="130" t="s">
        <v>120</v>
      </c>
      <c r="L218" s="169" t="s">
        <v>8</v>
      </c>
      <c r="M218" s="130" t="s">
        <v>230</v>
      </c>
      <c r="N218" s="169" t="s">
        <v>8</v>
      </c>
      <c r="O218" s="154" t="s">
        <v>230</v>
      </c>
      <c r="P218" s="6">
        <v>0</v>
      </c>
      <c r="Q218" s="124" t="str">
        <f t="shared" si="137"/>
        <v>Aulas Teóricas</v>
      </c>
      <c r="R218" s="107" t="str">
        <f t="shared" si="129"/>
        <v/>
      </c>
      <c r="S218" s="94" t="str">
        <f t="shared" si="126"/>
        <v>-</v>
      </c>
      <c r="T218" s="108" t="str">
        <f>IF(VLOOKUP(Q218,'INFO BASE'!$B$40:$I$54,IF(R218='INFO BASE'!$B$32,3,IF(R218='INFO BASE'!$B$33,4,IF(R218='INFO BASE'!$B$34,5,IF(R218='INFO BASE'!$B$35,6,IF(R218='INFO BASE'!$B$36,7,IF(R218='INFO BASE'!$B$37,8,2)))))),0)=0,"",VLOOKUP(Q218,'INFO BASE'!$B$40:$I$54,IF(R218='INFO BASE'!$B$32,3,IF(R218='INFO BASE'!$B$33,4,IF(R218='INFO BASE'!$B$34,5,IF(R218='INFO BASE'!$B$35,6,IF(R218='INFO BASE'!$B$36,7,IF(R218='INFO BASE'!$B$37,8,2)))))),0))</f>
        <v/>
      </c>
      <c r="U218" s="108">
        <f>(COUNTIFS(C180:C227,R218,B180:B227,R212)+COUNTIFS(E180:E227,R218,D180:D227,R212)+COUNTIFS(G180:G227,R218,F180:F227,R212)+COUNTIFS(I180:I227,R218,H180:H227,R212)+COUNTIFS(K180:K227,R218,J180:J227,R212)+COUNTIFS(M180:M227,R218,L180:L227,R212)+COUNTIFS(O180:O227,R218,N180:N227,R212))*0.5</f>
        <v>0</v>
      </c>
      <c r="V218" s="95">
        <f>(COUNTIFS(AI180:AI227,R212,AJ180:AJ227,R211)+COUNTIFS(AK180:AK227,R212,AL180:AL227,R211)+COUNTIFS(AM180:AM227,R212,AN180:AN227,R211)+COUNTIFS(AO180:AO227,R212,AP180:AP227,R211)+COUNTIFS(AQ180:AQ227,R212,AR180:AR227,R211)+COUNTIFS(AS180:AS227,R212,AT180:AT227,R211)+COUNTIFS(AU180:AU227,R212,AV180:AV227,R211))*0.5</f>
        <v>0</v>
      </c>
      <c r="W218" s="96">
        <f>IF(AH176="","-",IF(V218=0,U218,IFERROR((U218/V218)-1,"-")))</f>
        <v>0</v>
      </c>
      <c r="X218" s="201">
        <f t="shared" si="127"/>
        <v>0</v>
      </c>
      <c r="Y218" s="274"/>
      <c r="Z218" s="275"/>
      <c r="AA218" s="275"/>
      <c r="AB218" s="275"/>
      <c r="AC218" s="275"/>
      <c r="AD218" s="275"/>
      <c r="AE218" s="275"/>
      <c r="AF218" s="276"/>
      <c r="AH218" s="136">
        <v>0.79166666666669205</v>
      </c>
      <c r="AI218" s="136" t="s">
        <v>116</v>
      </c>
      <c r="AJ218" s="136" t="s">
        <v>120</v>
      </c>
      <c r="AK218" s="136" t="s">
        <v>8</v>
      </c>
      <c r="AL218" s="136" t="s">
        <v>224</v>
      </c>
      <c r="AM218" s="136" t="s">
        <v>116</v>
      </c>
      <c r="AN218" s="136" t="s">
        <v>120</v>
      </c>
      <c r="AO218" s="136" t="s">
        <v>8</v>
      </c>
      <c r="AP218" s="136" t="s">
        <v>230</v>
      </c>
      <c r="AQ218" s="136" t="s">
        <v>116</v>
      </c>
      <c r="AR218" s="136" t="s">
        <v>120</v>
      </c>
      <c r="AS218" s="136" t="s">
        <v>8</v>
      </c>
      <c r="AT218" s="136" t="s">
        <v>230</v>
      </c>
      <c r="AU218" s="136" t="s">
        <v>8</v>
      </c>
      <c r="AV218" s="136" t="s">
        <v>230</v>
      </c>
      <c r="AX218" s="136" t="str">
        <f>IF(AI176="","",IF(B218="","",B218))</f>
        <v>PV</v>
      </c>
      <c r="AY218" s="136" t="str">
        <f>IF(AI176="","",IF(C218="","",C218))</f>
        <v>-</v>
      </c>
      <c r="AZ218" s="136" t="str">
        <f>IF(AI176="","",IF(D218="","",D218))</f>
        <v>EA</v>
      </c>
      <c r="BA218" s="136" t="str">
        <f>IF(AI176="","",IF(E218="","",E218))</f>
        <v>FP</v>
      </c>
      <c r="BB218" s="136" t="str">
        <f>IF(AI176="","",IF(F218="","",F218))</f>
        <v>PV</v>
      </c>
      <c r="BC218" s="136" t="str">
        <f>IF(AI176="","",IF(G218="","",G218))</f>
        <v>-</v>
      </c>
      <c r="BD218" s="136" t="str">
        <f>IF(AI176="","",IF(H218="","",H218))</f>
        <v>EA</v>
      </c>
      <c r="BE218" s="136" t="str">
        <f>IF(AI176="","",IF(I218="","",I218))</f>
        <v>FP</v>
      </c>
      <c r="BF218" s="136" t="str">
        <f>IF(AI176="","",IF(J218="","",J218))</f>
        <v>PV</v>
      </c>
      <c r="BG218" s="136" t="str">
        <f>IF(AI176="","",IF(K218="","",K218))</f>
        <v>-</v>
      </c>
      <c r="BH218" s="136" t="str">
        <f>IF(AI176="","",IF(L218="","",L218))</f>
        <v>EA</v>
      </c>
      <c r="BI218" s="136" t="str">
        <f>IF(AI176="","",IF(M218="","",M218))</f>
        <v>AL</v>
      </c>
      <c r="BJ218" s="136" t="str">
        <f>IF(AI176="","",IF(N218="","",N218))</f>
        <v>EA</v>
      </c>
      <c r="BK218" s="136" t="str">
        <f>IF(AI176="","",IF(O218="","",O218))</f>
        <v>AL</v>
      </c>
      <c r="BN218" s="136" t="str">
        <f t="shared" si="122"/>
        <v>Laboratórios</v>
      </c>
      <c r="BO218" s="136" t="str">
        <f t="shared" si="122"/>
        <v>LAB</v>
      </c>
      <c r="BP218" s="136">
        <f>IF(BO218="","",COUNTIFS(AX180:BK227,BO218)*0.5)</f>
        <v>1.5</v>
      </c>
      <c r="BQ218" s="136" t="str">
        <f t="shared" si="123"/>
        <v>Laboratórios</v>
      </c>
      <c r="BR218" s="136" t="str">
        <f t="shared" si="123"/>
        <v>LAB</v>
      </c>
      <c r="BS218" s="136" t="str">
        <f t="shared" si="124"/>
        <v>Laboratórios</v>
      </c>
      <c r="BT218" s="136">
        <f t="shared" si="130"/>
        <v>10.5</v>
      </c>
      <c r="BU218" s="136">
        <f t="shared" si="131"/>
        <v>10.5</v>
      </c>
      <c r="CA218" s="183">
        <f>'INFO BASE'!L281</f>
        <v>0</v>
      </c>
      <c r="CB218" s="183">
        <f>'INFO BASE'!M281</f>
        <v>0</v>
      </c>
      <c r="CR218" s="177" t="str">
        <f t="shared" si="112"/>
        <v>PV</v>
      </c>
      <c r="CS218" s="177">
        <f t="shared" si="113"/>
        <v>0</v>
      </c>
      <c r="CT218" s="177" t="str">
        <f t="shared" si="112"/>
        <v>EA</v>
      </c>
      <c r="CU218" s="177" t="str">
        <f t="shared" si="114"/>
        <v>EAFP</v>
      </c>
      <c r="CV218" s="177" t="str">
        <f t="shared" si="112"/>
        <v>PV</v>
      </c>
      <c r="CW218" s="177">
        <f t="shared" si="115"/>
        <v>0</v>
      </c>
      <c r="CX218" s="177" t="str">
        <f t="shared" si="112"/>
        <v>EA</v>
      </c>
      <c r="CY218" s="177" t="str">
        <f t="shared" si="116"/>
        <v>EAFP</v>
      </c>
      <c r="CZ218" s="177" t="str">
        <f t="shared" si="112"/>
        <v>PV</v>
      </c>
      <c r="DA218" s="177">
        <f t="shared" si="117"/>
        <v>0</v>
      </c>
      <c r="DB218" s="177" t="str">
        <f t="shared" si="112"/>
        <v>EA</v>
      </c>
      <c r="DC218" s="177" t="str">
        <f t="shared" si="118"/>
        <v>EAAL</v>
      </c>
      <c r="DD218" s="177" t="str">
        <f t="shared" si="119"/>
        <v>EA</v>
      </c>
      <c r="DE218" s="177" t="str">
        <f t="shared" si="120"/>
        <v>EAAL</v>
      </c>
    </row>
    <row r="219" spans="1:109" ht="18" customHeight="1" x14ac:dyDescent="0.3">
      <c r="A219" s="81">
        <v>0.81250000000002598</v>
      </c>
      <c r="B219" s="166" t="s">
        <v>116</v>
      </c>
      <c r="C219" s="130" t="s">
        <v>120</v>
      </c>
      <c r="D219" s="169" t="s">
        <v>8</v>
      </c>
      <c r="E219" s="130" t="s">
        <v>224</v>
      </c>
      <c r="F219" s="169" t="s">
        <v>116</v>
      </c>
      <c r="G219" s="130" t="s">
        <v>120</v>
      </c>
      <c r="H219" s="169" t="s">
        <v>8</v>
      </c>
      <c r="I219" s="130" t="s">
        <v>224</v>
      </c>
      <c r="J219" s="169" t="s">
        <v>116</v>
      </c>
      <c r="K219" s="130" t="s">
        <v>120</v>
      </c>
      <c r="L219" s="169" t="s">
        <v>8</v>
      </c>
      <c r="M219" s="130" t="s">
        <v>230</v>
      </c>
      <c r="N219" s="169" t="s">
        <v>12</v>
      </c>
      <c r="O219" s="154" t="s">
        <v>120</v>
      </c>
      <c r="P219" s="6">
        <v>0</v>
      </c>
      <c r="Q219" s="97" t="str">
        <f>IF('INFO BASE'!$C$21="","",'INFO BASE'!$C$21)</f>
        <v>Aulas Práticas</v>
      </c>
      <c r="R219" s="82" t="str">
        <f t="shared" si="129"/>
        <v>APA</v>
      </c>
      <c r="S219" s="83" t="str">
        <f t="shared" si="126"/>
        <v>-</v>
      </c>
      <c r="T219" s="98" t="str">
        <f>IF(VLOOKUP(Q219,'INFO BASE'!$B$40:$I$54,IF(R219='INFO BASE'!$B$32,3,IF(R219='INFO BASE'!$B$33,4,IF(R219='INFO BASE'!$B$34,5,IF(R219='INFO BASE'!$B$35,6,IF(R219='INFO BASE'!$B$36,7,IF(R219='INFO BASE'!$B$37,8,2)))))),0)=0,"",VLOOKUP(Q219,'INFO BASE'!$B$40:$I$54,IF(R219='INFO BASE'!$B$32,3,IF(R219='INFO BASE'!$B$33,4,IF(R219='INFO BASE'!$B$34,5,IF(R219='INFO BASE'!$B$35,6,IF(R219='INFO BASE'!$B$36,7,IF(R219='INFO BASE'!$B$37,8,2)))))),0))</f>
        <v/>
      </c>
      <c r="U219" s="84">
        <f t="shared" ref="U219:U227" si="138">IF(R219="","",COUNTIFS(SEMANA4,R219)*0.5)</f>
        <v>0</v>
      </c>
      <c r="V219" s="84">
        <f>IF(R219="","",COUNTIFS(AI180:AV227,R219)*0.5)</f>
        <v>0</v>
      </c>
      <c r="W219" s="85">
        <f>IF(AH176="","-",IF(V219=0,U219,IFERROR((U219/V219)-1,"-")))</f>
        <v>0</v>
      </c>
      <c r="X219" s="201">
        <f t="shared" si="127"/>
        <v>0</v>
      </c>
      <c r="Y219" s="277"/>
      <c r="Z219" s="278"/>
      <c r="AA219" s="278"/>
      <c r="AB219" s="278"/>
      <c r="AC219" s="278"/>
      <c r="AD219" s="278"/>
      <c r="AE219" s="278"/>
      <c r="AF219" s="279"/>
      <c r="AH219" s="136">
        <v>0.81250000000002598</v>
      </c>
      <c r="AI219" s="136" t="s">
        <v>116</v>
      </c>
      <c r="AJ219" s="136" t="s">
        <v>120</v>
      </c>
      <c r="AK219" s="136" t="s">
        <v>8</v>
      </c>
      <c r="AL219" s="136" t="s">
        <v>224</v>
      </c>
      <c r="AM219" s="136" t="s">
        <v>116</v>
      </c>
      <c r="AN219" s="136" t="s">
        <v>120</v>
      </c>
      <c r="AO219" s="136" t="s">
        <v>8</v>
      </c>
      <c r="AP219" s="136" t="s">
        <v>230</v>
      </c>
      <c r="AQ219" s="136" t="s">
        <v>116</v>
      </c>
      <c r="AR219" s="136" t="s">
        <v>120</v>
      </c>
      <c r="AS219" s="136" t="s">
        <v>8</v>
      </c>
      <c r="AT219" s="136" t="s">
        <v>230</v>
      </c>
      <c r="AU219" s="136" t="s">
        <v>12</v>
      </c>
      <c r="AV219" s="136" t="s">
        <v>120</v>
      </c>
      <c r="AX219" s="136" t="str">
        <f>IF(AI176="","",IF(B219="","",B219))</f>
        <v>PV</v>
      </c>
      <c r="AY219" s="136" t="str">
        <f>IF(AI176="","",IF(C219="","",C219))</f>
        <v>-</v>
      </c>
      <c r="AZ219" s="136" t="str">
        <f>IF(AI176="","",IF(D219="","",D219))</f>
        <v>EA</v>
      </c>
      <c r="BA219" s="136" t="str">
        <f>IF(AI176="","",IF(E219="","",E219))</f>
        <v>FP</v>
      </c>
      <c r="BB219" s="136" t="str">
        <f>IF(AI176="","",IF(F219="","",F219))</f>
        <v>PV</v>
      </c>
      <c r="BC219" s="136" t="str">
        <f>IF(AI176="","",IF(G219="","",G219))</f>
        <v>-</v>
      </c>
      <c r="BD219" s="136" t="str">
        <f>IF(AI176="","",IF(H219="","",H219))</f>
        <v>EA</v>
      </c>
      <c r="BE219" s="136" t="str">
        <f>IF(AI176="","",IF(I219="","",I219))</f>
        <v>FP</v>
      </c>
      <c r="BF219" s="136" t="str">
        <f>IF(AI176="","",IF(J219="","",J219))</f>
        <v>PV</v>
      </c>
      <c r="BG219" s="136" t="str">
        <f>IF(AI176="","",IF(K219="","",K219))</f>
        <v>-</v>
      </c>
      <c r="BH219" s="136" t="str">
        <f>IF(AI176="","",IF(L219="","",L219))</f>
        <v>EA</v>
      </c>
      <c r="BI219" s="136" t="str">
        <f>IF(AI176="","",IF(M219="","",M219))</f>
        <v>AL</v>
      </c>
      <c r="BJ219" s="136" t="str">
        <f>IF(AI176="","",IF(N219="","",N219))</f>
        <v>HR</v>
      </c>
      <c r="BK219" s="136" t="str">
        <f>IF(AI176="","",IF(O219="","",O219))</f>
        <v>-</v>
      </c>
      <c r="BN219" s="136" t="str">
        <f t="shared" si="122"/>
        <v>Momento Avaliativo</v>
      </c>
      <c r="BO219" s="136" t="str">
        <f t="shared" si="122"/>
        <v>MA</v>
      </c>
      <c r="BP219" s="136">
        <f>IF(BO219="","",COUNTIFS(AX180:BK227,BO219)*0.5)</f>
        <v>0</v>
      </c>
      <c r="BQ219" s="136" t="str">
        <f t="shared" si="123"/>
        <v>Momento Avaliativo</v>
      </c>
      <c r="BR219" s="136" t="str">
        <f t="shared" si="123"/>
        <v>MA</v>
      </c>
      <c r="BS219" s="136" t="str">
        <f t="shared" si="124"/>
        <v>Momento Avaliativo</v>
      </c>
      <c r="BT219" s="136">
        <f t="shared" si="130"/>
        <v>1.5</v>
      </c>
      <c r="BU219" s="136">
        <f t="shared" si="131"/>
        <v>1.5</v>
      </c>
      <c r="CA219" s="183">
        <f>'INFO BASE'!L282</f>
        <v>0</v>
      </c>
      <c r="CB219" s="183">
        <f>'INFO BASE'!M282</f>
        <v>0</v>
      </c>
      <c r="CR219" s="177" t="str">
        <f t="shared" si="112"/>
        <v>PV</v>
      </c>
      <c r="CS219" s="177">
        <f t="shared" si="113"/>
        <v>0</v>
      </c>
      <c r="CT219" s="177" t="str">
        <f t="shared" si="112"/>
        <v>EA</v>
      </c>
      <c r="CU219" s="177" t="str">
        <f t="shared" si="114"/>
        <v>EAFP</v>
      </c>
      <c r="CV219" s="177" t="str">
        <f t="shared" si="112"/>
        <v>PV</v>
      </c>
      <c r="CW219" s="177">
        <f t="shared" si="115"/>
        <v>0</v>
      </c>
      <c r="CX219" s="177" t="str">
        <f t="shared" si="112"/>
        <v>EA</v>
      </c>
      <c r="CY219" s="177" t="str">
        <f t="shared" si="116"/>
        <v>EAFP</v>
      </c>
      <c r="CZ219" s="177" t="str">
        <f t="shared" si="112"/>
        <v>PV</v>
      </c>
      <c r="DA219" s="177">
        <f t="shared" si="117"/>
        <v>0</v>
      </c>
      <c r="DB219" s="177" t="str">
        <f t="shared" si="112"/>
        <v>EA</v>
      </c>
      <c r="DC219" s="177" t="str">
        <f t="shared" si="118"/>
        <v>EAAL</v>
      </c>
      <c r="DD219" s="177" t="str">
        <f t="shared" si="119"/>
        <v>HR</v>
      </c>
      <c r="DE219" s="177" t="str">
        <f t="shared" si="120"/>
        <v>HR-</v>
      </c>
    </row>
    <row r="220" spans="1:109" ht="18" customHeight="1" x14ac:dyDescent="0.3">
      <c r="A220" s="81">
        <v>0.83333333333336002</v>
      </c>
      <c r="B220" s="166" t="s">
        <v>116</v>
      </c>
      <c r="C220" s="130" t="s">
        <v>120</v>
      </c>
      <c r="D220" s="169" t="s">
        <v>8</v>
      </c>
      <c r="E220" s="130" t="s">
        <v>224</v>
      </c>
      <c r="F220" s="169" t="s">
        <v>116</v>
      </c>
      <c r="G220" s="130" t="s">
        <v>120</v>
      </c>
      <c r="H220" s="169" t="s">
        <v>8</v>
      </c>
      <c r="I220" s="130" t="s">
        <v>224</v>
      </c>
      <c r="J220" s="169" t="s">
        <v>116</v>
      </c>
      <c r="K220" s="130" t="s">
        <v>120</v>
      </c>
      <c r="L220" s="169" t="s">
        <v>8</v>
      </c>
      <c r="M220" s="130" t="s">
        <v>230</v>
      </c>
      <c r="N220" s="169" t="s">
        <v>12</v>
      </c>
      <c r="O220" s="154" t="s">
        <v>120</v>
      </c>
      <c r="P220" s="6">
        <v>0</v>
      </c>
      <c r="Q220" s="99" t="str">
        <f>IF('INFO BASE'!$C$22="","",'INFO BASE'!$C$22)</f>
        <v>Aulas Problemas</v>
      </c>
      <c r="R220" s="87" t="str">
        <f t="shared" si="129"/>
        <v>APB</v>
      </c>
      <c r="S220" s="88">
        <f t="shared" si="126"/>
        <v>-0.25</v>
      </c>
      <c r="T220" s="100">
        <f>IF(VLOOKUP(Q220,'INFO BASE'!$B$40:$I$54,IF(R220='INFO BASE'!$B$32,3,IF(R220='INFO BASE'!$B$33,4,IF(R220='INFO BASE'!$B$34,5,IF(R220='INFO BASE'!$B$35,6,IF(R220='INFO BASE'!$B$36,7,IF(R220='INFO BASE'!$B$37,8,2)))))),0)=0,"",VLOOKUP(Q220,'INFO BASE'!$B$40:$I$54,IF(R220='INFO BASE'!$B$32,3,IF(R220='INFO BASE'!$B$33,4,IF(R220='INFO BASE'!$B$34,5,IF(R220='INFO BASE'!$B$35,6,IF(R220='INFO BASE'!$B$36,7,IF(R220='INFO BASE'!$B$37,8,2)))))),0))</f>
        <v>6</v>
      </c>
      <c r="U220" s="89">
        <f t="shared" si="138"/>
        <v>4.5</v>
      </c>
      <c r="V220" s="100">
        <f>IF(R220="","",COUNTIFS(AI180:AV227,R220)*0.5)</f>
        <v>4.5</v>
      </c>
      <c r="W220" s="90">
        <f>IF(AH176="","-",IF(V220=0,U220,IFERROR((U220/V220)-1,"-")))</f>
        <v>0</v>
      </c>
      <c r="X220" s="201">
        <f t="shared" si="127"/>
        <v>0</v>
      </c>
      <c r="Y220" s="271"/>
      <c r="Z220" s="272"/>
      <c r="AA220" s="272"/>
      <c r="AB220" s="272"/>
      <c r="AC220" s="272"/>
      <c r="AD220" s="272"/>
      <c r="AE220" s="272"/>
      <c r="AF220" s="273"/>
      <c r="AH220" s="136">
        <v>0.83333333333336002</v>
      </c>
      <c r="AI220" s="136" t="s">
        <v>116</v>
      </c>
      <c r="AJ220" s="136" t="s">
        <v>120</v>
      </c>
      <c r="AK220" s="136" t="s">
        <v>8</v>
      </c>
      <c r="AL220" s="136" t="s">
        <v>230</v>
      </c>
      <c r="AM220" s="136" t="s">
        <v>116</v>
      </c>
      <c r="AN220" s="136" t="s">
        <v>120</v>
      </c>
      <c r="AO220" s="136" t="s">
        <v>8</v>
      </c>
      <c r="AP220" s="136" t="s">
        <v>230</v>
      </c>
      <c r="AQ220" s="136" t="s">
        <v>116</v>
      </c>
      <c r="AR220" s="136" t="s">
        <v>120</v>
      </c>
      <c r="AS220" s="136" t="s">
        <v>8</v>
      </c>
      <c r="AT220" s="136" t="s">
        <v>230</v>
      </c>
      <c r="AU220" s="136" t="s">
        <v>12</v>
      </c>
      <c r="AV220" s="136" t="s">
        <v>120</v>
      </c>
      <c r="AX220" s="136" t="str">
        <f>IF(AI176="","",IF(B220="","",B220))</f>
        <v>PV</v>
      </c>
      <c r="AY220" s="136" t="str">
        <f>IF(AI176="","",IF(C220="","",C220))</f>
        <v>-</v>
      </c>
      <c r="AZ220" s="136" t="str">
        <f>IF(AI176="","",IF(D220="","",D220))</f>
        <v>EA</v>
      </c>
      <c r="BA220" s="136" t="str">
        <f>IF(AI176="","",IF(E220="","",E220))</f>
        <v>FP</v>
      </c>
      <c r="BB220" s="136" t="str">
        <f>IF(AI176="","",IF(F220="","",F220))</f>
        <v>PV</v>
      </c>
      <c r="BC220" s="136" t="str">
        <f>IF(AI176="","",IF(G220="","",G220))</f>
        <v>-</v>
      </c>
      <c r="BD220" s="136" t="str">
        <f>IF(AI176="","",IF(H220="","",H220))</f>
        <v>EA</v>
      </c>
      <c r="BE220" s="136" t="str">
        <f>IF(AI176="","",IF(I220="","",I220))</f>
        <v>FP</v>
      </c>
      <c r="BF220" s="136" t="str">
        <f>IF(AI176="","",IF(J220="","",J220))</f>
        <v>PV</v>
      </c>
      <c r="BG220" s="136" t="str">
        <f>IF(AI176="","",IF(K220="","",K220))</f>
        <v>-</v>
      </c>
      <c r="BH220" s="136" t="str">
        <f>IF(AI176="","",IF(L220="","",L220))</f>
        <v>EA</v>
      </c>
      <c r="BI220" s="136" t="str">
        <f>IF(AI176="","",IF(M220="","",M220))</f>
        <v>AL</v>
      </c>
      <c r="BJ220" s="136" t="str">
        <f>IF(AI176="","",IF(N220="","",N220))</f>
        <v>HR</v>
      </c>
      <c r="BK220" s="136" t="str">
        <f>IF(AI176="","",IF(O220="","",O220))</f>
        <v>-</v>
      </c>
      <c r="BN220" s="136" t="str">
        <f t="shared" si="122"/>
        <v>Horário de Dúvidas</v>
      </c>
      <c r="BO220" s="136" t="str">
        <f t="shared" si="122"/>
        <v>HDV</v>
      </c>
      <c r="BP220" s="136">
        <f>IF(BO220="","",COUNTIFS(AX180:BK227,BO220)*0.5)</f>
        <v>0</v>
      </c>
      <c r="BQ220" s="136" t="str">
        <f t="shared" si="123"/>
        <v>Horário de Dúvidas</v>
      </c>
      <c r="BR220" s="136" t="str">
        <f t="shared" si="123"/>
        <v>HDV</v>
      </c>
      <c r="BS220" s="136" t="str">
        <f t="shared" si="124"/>
        <v>Horário de Dúvidas</v>
      </c>
      <c r="BT220" s="136">
        <f t="shared" si="130"/>
        <v>0</v>
      </c>
      <c r="BU220" s="136">
        <f t="shared" si="131"/>
        <v>0</v>
      </c>
      <c r="CA220" s="183">
        <f>'INFO BASE'!L283</f>
        <v>0</v>
      </c>
      <c r="CB220" s="183">
        <f>'INFO BASE'!M283</f>
        <v>0</v>
      </c>
      <c r="CR220" s="177" t="str">
        <f t="shared" si="112"/>
        <v>PV</v>
      </c>
      <c r="CS220" s="177">
        <f t="shared" si="113"/>
        <v>0</v>
      </c>
      <c r="CT220" s="177" t="str">
        <f t="shared" si="112"/>
        <v>EA</v>
      </c>
      <c r="CU220" s="177" t="str">
        <f t="shared" si="114"/>
        <v>EAFP</v>
      </c>
      <c r="CV220" s="177" t="str">
        <f t="shared" si="112"/>
        <v>PV</v>
      </c>
      <c r="CW220" s="177">
        <f t="shared" si="115"/>
        <v>0</v>
      </c>
      <c r="CX220" s="177" t="str">
        <f t="shared" si="112"/>
        <v>EA</v>
      </c>
      <c r="CY220" s="177" t="str">
        <f t="shared" si="116"/>
        <v>EAFP</v>
      </c>
      <c r="CZ220" s="177" t="str">
        <f t="shared" si="112"/>
        <v>PV</v>
      </c>
      <c r="DA220" s="177">
        <f t="shared" si="117"/>
        <v>0</v>
      </c>
      <c r="DB220" s="177" t="str">
        <f t="shared" si="112"/>
        <v>EA</v>
      </c>
      <c r="DC220" s="177" t="str">
        <f t="shared" si="118"/>
        <v>EAAL</v>
      </c>
      <c r="DD220" s="177" t="str">
        <f t="shared" si="119"/>
        <v>HR</v>
      </c>
      <c r="DE220" s="177" t="str">
        <f t="shared" si="120"/>
        <v>HR-</v>
      </c>
    </row>
    <row r="221" spans="1:109" ht="18" customHeight="1" thickBot="1" x14ac:dyDescent="0.35">
      <c r="A221" s="81">
        <v>0.85416666666669405</v>
      </c>
      <c r="B221" s="166" t="s">
        <v>116</v>
      </c>
      <c r="C221" s="130" t="s">
        <v>120</v>
      </c>
      <c r="D221" s="169" t="s">
        <v>116</v>
      </c>
      <c r="E221" s="130" t="s">
        <v>120</v>
      </c>
      <c r="F221" s="169" t="s">
        <v>116</v>
      </c>
      <c r="G221" s="130" t="s">
        <v>120</v>
      </c>
      <c r="H221" s="169" t="s">
        <v>116</v>
      </c>
      <c r="I221" s="130" t="s">
        <v>120</v>
      </c>
      <c r="J221" s="169" t="s">
        <v>116</v>
      </c>
      <c r="K221" s="130" t="s">
        <v>120</v>
      </c>
      <c r="L221" s="169" t="s">
        <v>116</v>
      </c>
      <c r="M221" s="130" t="s">
        <v>120</v>
      </c>
      <c r="N221" s="169" t="s">
        <v>12</v>
      </c>
      <c r="O221" s="154" t="s">
        <v>120</v>
      </c>
      <c r="P221" s="6">
        <v>0</v>
      </c>
      <c r="Q221" s="101" t="str">
        <f>IF('INFO BASE'!$C$23="","",'INFO BASE'!$C$23)</f>
        <v>Laboratórios</v>
      </c>
      <c r="R221" s="93" t="str">
        <f t="shared" si="129"/>
        <v>LAB</v>
      </c>
      <c r="S221" s="94">
        <f t="shared" si="126"/>
        <v>0</v>
      </c>
      <c r="T221" s="95">
        <f>IF(VLOOKUP(Q221,'INFO BASE'!$B$40:$I$54,IF(R221='INFO BASE'!$B$32,3,IF(R221='INFO BASE'!$B$33,4,IF(R221='INFO BASE'!$B$34,5,IF(R221='INFO BASE'!$B$35,6,IF(R221='INFO BASE'!$B$36,7,IF(R221='INFO BASE'!$B$37,8,2)))))),0)=0,"",VLOOKUP(Q221,'INFO BASE'!$B$40:$I$54,IF(R221='INFO BASE'!$B$32,3,IF(R221='INFO BASE'!$B$33,4,IF(R221='INFO BASE'!$B$34,5,IF(R221='INFO BASE'!$B$35,6,IF(R221='INFO BASE'!$B$36,7,IF(R221='INFO BASE'!$B$37,8,2)))))),0))</f>
        <v>1.5</v>
      </c>
      <c r="U221" s="95">
        <f t="shared" si="138"/>
        <v>1.5</v>
      </c>
      <c r="V221" s="95">
        <f>IF(R221="","",COUNTIFS(AI180:AV227,R221)*0.5)</f>
        <v>1.5</v>
      </c>
      <c r="W221" s="96">
        <f>IF(AH176="","-",IF(V221=0,U221,IFERROR((U221/V221)-1,"-")))</f>
        <v>0</v>
      </c>
      <c r="X221" s="201">
        <f t="shared" si="127"/>
        <v>0</v>
      </c>
      <c r="Y221" s="271"/>
      <c r="Z221" s="272"/>
      <c r="AA221" s="272"/>
      <c r="AB221" s="272"/>
      <c r="AC221" s="272"/>
      <c r="AD221" s="272"/>
      <c r="AE221" s="272"/>
      <c r="AF221" s="273"/>
      <c r="AH221" s="136">
        <v>0.85416666666669405</v>
      </c>
      <c r="AI221" s="136" t="s">
        <v>116</v>
      </c>
      <c r="AJ221" s="136" t="s">
        <v>120</v>
      </c>
      <c r="AK221" s="136" t="s">
        <v>116</v>
      </c>
      <c r="AL221" s="136" t="s">
        <v>120</v>
      </c>
      <c r="AM221" s="136" t="s">
        <v>116</v>
      </c>
      <c r="AN221" s="136" t="s">
        <v>120</v>
      </c>
      <c r="AO221" s="136" t="s">
        <v>116</v>
      </c>
      <c r="AP221" s="136" t="s">
        <v>120</v>
      </c>
      <c r="AQ221" s="136" t="s">
        <v>116</v>
      </c>
      <c r="AR221" s="136" t="s">
        <v>120</v>
      </c>
      <c r="AS221" s="136" t="s">
        <v>116</v>
      </c>
      <c r="AT221" s="136" t="s">
        <v>120</v>
      </c>
      <c r="AU221" s="136" t="s">
        <v>12</v>
      </c>
      <c r="AV221" s="136" t="s">
        <v>120</v>
      </c>
      <c r="AX221" s="136" t="str">
        <f>IF(AI176="","",IF(B221="","",B221))</f>
        <v>PV</v>
      </c>
      <c r="AY221" s="136" t="str">
        <f>IF(AI176="","",IF(C221="","",C221))</f>
        <v>-</v>
      </c>
      <c r="AZ221" s="136" t="str">
        <f>IF(AI176="","",IF(D221="","",D221))</f>
        <v>PV</v>
      </c>
      <c r="BA221" s="136" t="str">
        <f>IF(AI176="","",IF(E221="","",E221))</f>
        <v>-</v>
      </c>
      <c r="BB221" s="136" t="str">
        <f>IF(AI176="","",IF(F221="","",F221))</f>
        <v>PV</v>
      </c>
      <c r="BC221" s="136" t="str">
        <f>IF(AI176="","",IF(G221="","",G221))</f>
        <v>-</v>
      </c>
      <c r="BD221" s="136" t="str">
        <f>IF(AI176="","",IF(H221="","",H221))</f>
        <v>PV</v>
      </c>
      <c r="BE221" s="136" t="str">
        <f>IF(AI176="","",IF(I221="","",I221))</f>
        <v>-</v>
      </c>
      <c r="BF221" s="136" t="str">
        <f>IF(AI176="","",IF(J221="","",J221))</f>
        <v>PV</v>
      </c>
      <c r="BG221" s="136" t="str">
        <f>IF(AI176="","",IF(K221="","",K221))</f>
        <v>-</v>
      </c>
      <c r="BH221" s="136" t="str">
        <f>IF(AI176="","",IF(L221="","",L221))</f>
        <v>PV</v>
      </c>
      <c r="BI221" s="136" t="str">
        <f>IF(AI176="","",IF(M221="","",M221))</f>
        <v>-</v>
      </c>
      <c r="BJ221" s="136" t="str">
        <f>IF(AI176="","",IF(N221="","",N221))</f>
        <v>HR</v>
      </c>
      <c r="BK221" s="136" t="str">
        <f>IF(AI176="","",IF(O221="","",O221))</f>
        <v>-</v>
      </c>
      <c r="BN221" s="136" t="str">
        <f t="shared" si="122"/>
        <v>Privado</v>
      </c>
      <c r="BO221" s="136" t="str">
        <f t="shared" si="122"/>
        <v>PV</v>
      </c>
      <c r="BP221" s="136">
        <f>IF(BO221="","",COUNTIFS(AX180:BK227,BO221)*0.5)</f>
        <v>50</v>
      </c>
      <c r="BQ221" s="136" t="str">
        <f t="shared" si="123"/>
        <v>Privado</v>
      </c>
      <c r="BR221" s="136" t="str">
        <f t="shared" si="123"/>
        <v>PV</v>
      </c>
      <c r="BS221" s="136" t="str">
        <f t="shared" si="124"/>
        <v>Privado</v>
      </c>
      <c r="BT221" s="136">
        <f t="shared" si="130"/>
        <v>384</v>
      </c>
      <c r="BU221" s="136">
        <f t="shared" si="131"/>
        <v>369</v>
      </c>
      <c r="CA221" s="183">
        <f>'INFO BASE'!L284</f>
        <v>0</v>
      </c>
      <c r="CB221" s="183">
        <f>'INFO BASE'!M284</f>
        <v>0</v>
      </c>
      <c r="CR221" s="177" t="str">
        <f t="shared" si="112"/>
        <v>PV</v>
      </c>
      <c r="CS221" s="177">
        <f t="shared" si="113"/>
        <v>0</v>
      </c>
      <c r="CT221" s="177" t="str">
        <f t="shared" si="112"/>
        <v>PV</v>
      </c>
      <c r="CU221" s="177">
        <f t="shared" si="114"/>
        <v>0</v>
      </c>
      <c r="CV221" s="177" t="str">
        <f t="shared" si="112"/>
        <v>PV</v>
      </c>
      <c r="CW221" s="177">
        <f t="shared" si="115"/>
        <v>0</v>
      </c>
      <c r="CX221" s="177" t="str">
        <f t="shared" si="112"/>
        <v>PV</v>
      </c>
      <c r="CY221" s="177">
        <f t="shared" si="116"/>
        <v>0</v>
      </c>
      <c r="CZ221" s="177" t="str">
        <f t="shared" si="112"/>
        <v>PV</v>
      </c>
      <c r="DA221" s="177">
        <f t="shared" si="117"/>
        <v>0</v>
      </c>
      <c r="DB221" s="177" t="str">
        <f t="shared" si="112"/>
        <v>PV</v>
      </c>
      <c r="DC221" s="177">
        <f t="shared" si="118"/>
        <v>0</v>
      </c>
      <c r="DD221" s="177" t="str">
        <f t="shared" si="119"/>
        <v>HR</v>
      </c>
      <c r="DE221" s="177" t="str">
        <f t="shared" si="120"/>
        <v>HR-</v>
      </c>
    </row>
    <row r="222" spans="1:109" ht="18" customHeight="1" x14ac:dyDescent="0.3">
      <c r="A222" s="81">
        <v>0.87500000000002798</v>
      </c>
      <c r="B222" s="166" t="s">
        <v>12</v>
      </c>
      <c r="C222" s="130" t="s">
        <v>120</v>
      </c>
      <c r="D222" s="169" t="s">
        <v>12</v>
      </c>
      <c r="E222" s="130" t="s">
        <v>120</v>
      </c>
      <c r="F222" s="169" t="s">
        <v>12</v>
      </c>
      <c r="G222" s="130" t="s">
        <v>120</v>
      </c>
      <c r="H222" s="169" t="s">
        <v>12</v>
      </c>
      <c r="I222" s="130" t="s">
        <v>120</v>
      </c>
      <c r="J222" s="169" t="s">
        <v>12</v>
      </c>
      <c r="K222" s="130" t="s">
        <v>120</v>
      </c>
      <c r="L222" s="169" t="s">
        <v>116</v>
      </c>
      <c r="M222" s="130" t="s">
        <v>120</v>
      </c>
      <c r="N222" s="169" t="s">
        <v>12</v>
      </c>
      <c r="O222" s="154" t="s">
        <v>120</v>
      </c>
      <c r="P222" s="6">
        <v>0</v>
      </c>
      <c r="Q222" s="102" t="str">
        <f>IF('INFO BASE'!$C$24="","",'INFO BASE'!$C$24)</f>
        <v>Momento Avaliativo</v>
      </c>
      <c r="R222" s="82" t="str">
        <f t="shared" si="129"/>
        <v>MA</v>
      </c>
      <c r="S222" s="83" t="str">
        <f t="shared" si="126"/>
        <v>-</v>
      </c>
      <c r="T222" s="84" t="str">
        <f>IF(VLOOKUP(Q222,'INFO BASE'!$B$40:$I$54,IF(R222='INFO BASE'!$B$32,3,IF(R222='INFO BASE'!$B$33,4,IF(R222='INFO BASE'!$B$34,5,IF(R222='INFO BASE'!$B$35,6,IF(R222='INFO BASE'!$B$36,7,IF(R222='INFO BASE'!$B$37,8,2)))))),0)=0,"",VLOOKUP(Q222,'INFO BASE'!$B$40:$I$54,IF(R222='INFO BASE'!$B$32,3,IF(R222='INFO BASE'!$B$33,4,IF(R222='INFO BASE'!$B$34,5,IF(R222='INFO BASE'!$B$35,6,IF(R222='INFO BASE'!$B$36,7,IF(R222='INFO BASE'!$B$37,8,2)))))),0))</f>
        <v/>
      </c>
      <c r="U222" s="84">
        <f t="shared" si="138"/>
        <v>0</v>
      </c>
      <c r="V222" s="84">
        <f>IF(R222="","",COUNTIFS(AI180:AV227,R222)*0.5)</f>
        <v>0</v>
      </c>
      <c r="W222" s="85">
        <f>IF(AH176="","-",IF(V222=0,U222,IFERROR((U222/V222)-1,"-")))</f>
        <v>0</v>
      </c>
      <c r="X222" s="201">
        <f t="shared" si="127"/>
        <v>0</v>
      </c>
      <c r="Y222" s="277"/>
      <c r="Z222" s="278"/>
      <c r="AA222" s="278"/>
      <c r="AB222" s="278"/>
      <c r="AC222" s="278"/>
      <c r="AD222" s="278"/>
      <c r="AE222" s="278"/>
      <c r="AF222" s="279"/>
      <c r="AH222" s="136">
        <v>0.87500000000002798</v>
      </c>
      <c r="AI222" s="136" t="s">
        <v>12</v>
      </c>
      <c r="AJ222" s="136" t="s">
        <v>120</v>
      </c>
      <c r="AK222" s="136" t="s">
        <v>12</v>
      </c>
      <c r="AL222" s="136" t="s">
        <v>120</v>
      </c>
      <c r="AM222" s="136" t="s">
        <v>12</v>
      </c>
      <c r="AN222" s="136" t="s">
        <v>120</v>
      </c>
      <c r="AO222" s="136" t="s">
        <v>12</v>
      </c>
      <c r="AP222" s="136" t="s">
        <v>120</v>
      </c>
      <c r="AQ222" s="136" t="s">
        <v>12</v>
      </c>
      <c r="AR222" s="136" t="s">
        <v>120</v>
      </c>
      <c r="AS222" s="136" t="s">
        <v>116</v>
      </c>
      <c r="AT222" s="136" t="s">
        <v>120</v>
      </c>
      <c r="AU222" s="136" t="s">
        <v>12</v>
      </c>
      <c r="AV222" s="136" t="s">
        <v>120</v>
      </c>
      <c r="AX222" s="136" t="str">
        <f>IF(AI176="","",IF(B222="","",B222))</f>
        <v>HR</v>
      </c>
      <c r="AY222" s="136" t="str">
        <f>IF(AI176="","",IF(C222="","",C222))</f>
        <v>-</v>
      </c>
      <c r="AZ222" s="136" t="str">
        <f>IF(AI176="","",IF(D222="","",D222))</f>
        <v>HR</v>
      </c>
      <c r="BA222" s="136" t="str">
        <f>IF(AI176="","",IF(E222="","",E222))</f>
        <v>-</v>
      </c>
      <c r="BB222" s="136" t="str">
        <f>IF(AI176="","",IF(F222="","",F222))</f>
        <v>HR</v>
      </c>
      <c r="BC222" s="136" t="str">
        <f>IF(AI176="","",IF(G222="","",G222))</f>
        <v>-</v>
      </c>
      <c r="BD222" s="136" t="str">
        <f>IF(AI176="","",IF(H222="","",H222))</f>
        <v>HR</v>
      </c>
      <c r="BE222" s="136" t="str">
        <f>IF(AI176="","",IF(I222="","",I222))</f>
        <v>-</v>
      </c>
      <c r="BF222" s="136" t="str">
        <f>IF(AI176="","",IF(J222="","",J222))</f>
        <v>HR</v>
      </c>
      <c r="BG222" s="136" t="str">
        <f>IF(AI176="","",IF(K222="","",K222))</f>
        <v>-</v>
      </c>
      <c r="BH222" s="136" t="str">
        <f>IF(AI176="","",IF(L222="","",L222))</f>
        <v>PV</v>
      </c>
      <c r="BI222" s="136" t="str">
        <f>IF(AI176="","",IF(M222="","",M222))</f>
        <v>-</v>
      </c>
      <c r="BJ222" s="136" t="str">
        <f>IF(AI176="","",IF(N222="","",N222))</f>
        <v>HR</v>
      </c>
      <c r="BK222" s="136" t="str">
        <f>IF(AI176="","",IF(O222="","",O222))</f>
        <v>-</v>
      </c>
      <c r="BN222" s="136" t="str">
        <f t="shared" si="122"/>
        <v>Deslocação</v>
      </c>
      <c r="BO222" s="136" t="str">
        <f t="shared" si="122"/>
        <v>HD</v>
      </c>
      <c r="BP222" s="136">
        <f>IF(BO222="","",COUNTIFS(AX180:BK227,BO222)*0.5)</f>
        <v>14.5</v>
      </c>
      <c r="BQ222" s="136" t="str">
        <f t="shared" si="123"/>
        <v>Deslocação</v>
      </c>
      <c r="BR222" s="136" t="str">
        <f t="shared" si="123"/>
        <v>HD</v>
      </c>
      <c r="BS222" s="136" t="str">
        <f t="shared" si="124"/>
        <v>Deslocação</v>
      </c>
      <c r="BT222" s="136">
        <f t="shared" si="130"/>
        <v>116.5</v>
      </c>
      <c r="BU222" s="136">
        <f t="shared" si="131"/>
        <v>115</v>
      </c>
      <c r="CA222" s="183">
        <f>'INFO BASE'!L285</f>
        <v>0</v>
      </c>
      <c r="CB222" s="183">
        <f>'INFO BASE'!M285</f>
        <v>0</v>
      </c>
      <c r="CR222" s="177" t="str">
        <f t="shared" si="112"/>
        <v>HR</v>
      </c>
      <c r="CS222" s="177" t="str">
        <f t="shared" si="113"/>
        <v>HR-</v>
      </c>
      <c r="CT222" s="177" t="str">
        <f t="shared" si="112"/>
        <v>HR</v>
      </c>
      <c r="CU222" s="177" t="str">
        <f t="shared" si="114"/>
        <v>HR-</v>
      </c>
      <c r="CV222" s="177" t="str">
        <f t="shared" si="112"/>
        <v>HR</v>
      </c>
      <c r="CW222" s="177" t="str">
        <f t="shared" si="115"/>
        <v>HR-</v>
      </c>
      <c r="CX222" s="177" t="str">
        <f t="shared" si="112"/>
        <v>HR</v>
      </c>
      <c r="CY222" s="177" t="str">
        <f t="shared" si="116"/>
        <v>HR-</v>
      </c>
      <c r="CZ222" s="177" t="str">
        <f t="shared" si="112"/>
        <v>HR</v>
      </c>
      <c r="DA222" s="177" t="str">
        <f t="shared" si="117"/>
        <v>HR-</v>
      </c>
      <c r="DB222" s="177" t="str">
        <f t="shared" si="112"/>
        <v>PV</v>
      </c>
      <c r="DC222" s="177">
        <f t="shared" si="118"/>
        <v>0</v>
      </c>
      <c r="DD222" s="177" t="str">
        <f t="shared" si="119"/>
        <v>HR</v>
      </c>
      <c r="DE222" s="177" t="str">
        <f t="shared" si="120"/>
        <v>HR-</v>
      </c>
    </row>
    <row r="223" spans="1:109" ht="18" customHeight="1" x14ac:dyDescent="0.3">
      <c r="A223" s="81">
        <v>0.89583333333336201</v>
      </c>
      <c r="B223" s="166" t="s">
        <v>12</v>
      </c>
      <c r="C223" s="130" t="s">
        <v>120</v>
      </c>
      <c r="D223" s="169" t="s">
        <v>12</v>
      </c>
      <c r="E223" s="130" t="s">
        <v>120</v>
      </c>
      <c r="F223" s="169" t="s">
        <v>12</v>
      </c>
      <c r="G223" s="130" t="s">
        <v>120</v>
      </c>
      <c r="H223" s="169" t="s">
        <v>12</v>
      </c>
      <c r="I223" s="130" t="s">
        <v>120</v>
      </c>
      <c r="J223" s="169" t="s">
        <v>12</v>
      </c>
      <c r="K223" s="130" t="s">
        <v>120</v>
      </c>
      <c r="L223" s="169" t="s">
        <v>116</v>
      </c>
      <c r="M223" s="130" t="s">
        <v>120</v>
      </c>
      <c r="N223" s="169" t="s">
        <v>8</v>
      </c>
      <c r="O223" s="154" t="s">
        <v>230</v>
      </c>
      <c r="P223" s="6">
        <v>0</v>
      </c>
      <c r="Q223" s="103" t="str">
        <f>IF('INFO BASE'!$C$25="","",'INFO BASE'!$C$25)</f>
        <v>Horário de Dúvidas</v>
      </c>
      <c r="R223" s="87" t="str">
        <f t="shared" si="129"/>
        <v>HDV</v>
      </c>
      <c r="S223" s="88">
        <f t="shared" si="126"/>
        <v>-1</v>
      </c>
      <c r="T223" s="89">
        <f>IF(VLOOKUP(Q223,'INFO BASE'!$B$40:$I$54,IF(R223='INFO BASE'!$B$32,3,IF(R223='INFO BASE'!$B$33,4,IF(R223='INFO BASE'!$B$34,5,IF(R223='INFO BASE'!$B$35,6,IF(R223='INFO BASE'!$B$36,7,IF(R223='INFO BASE'!$B$37,8,2)))))),0)=0,"",VLOOKUP(Q223,'INFO BASE'!$B$40:$I$54,IF(R223='INFO BASE'!$B$32,3,IF(R223='INFO BASE'!$B$33,4,IF(R223='INFO BASE'!$B$34,5,IF(R223='INFO BASE'!$B$35,6,IF(R223='INFO BASE'!$B$36,7,IF(R223='INFO BASE'!$B$37,8,2)))))),0))</f>
        <v>3</v>
      </c>
      <c r="U223" s="89">
        <f t="shared" si="138"/>
        <v>0</v>
      </c>
      <c r="V223" s="89">
        <f>IF(R223="","",COUNTIFS(AI180:AV227,R223)*0.5)</f>
        <v>0</v>
      </c>
      <c r="W223" s="90">
        <f>IF(AH176="","-",IF(V223=0,U223,IFERROR((U223/V223)-1,"-")))</f>
        <v>0</v>
      </c>
      <c r="X223" s="201">
        <f t="shared" si="127"/>
        <v>0</v>
      </c>
      <c r="Y223" s="271"/>
      <c r="Z223" s="272"/>
      <c r="AA223" s="272"/>
      <c r="AB223" s="272"/>
      <c r="AC223" s="272"/>
      <c r="AD223" s="272"/>
      <c r="AE223" s="272"/>
      <c r="AF223" s="273"/>
      <c r="AH223" s="136">
        <v>0.89583333333336201</v>
      </c>
      <c r="AI223" s="136" t="s">
        <v>12</v>
      </c>
      <c r="AJ223" s="136" t="s">
        <v>120</v>
      </c>
      <c r="AK223" s="136" t="s">
        <v>12</v>
      </c>
      <c r="AL223" s="136" t="s">
        <v>120</v>
      </c>
      <c r="AM223" s="136" t="s">
        <v>12</v>
      </c>
      <c r="AN223" s="136" t="s">
        <v>120</v>
      </c>
      <c r="AO223" s="136" t="s">
        <v>12</v>
      </c>
      <c r="AP223" s="136" t="s">
        <v>120</v>
      </c>
      <c r="AQ223" s="136" t="s">
        <v>12</v>
      </c>
      <c r="AR223" s="136" t="s">
        <v>120</v>
      </c>
      <c r="AS223" s="136" t="s">
        <v>116</v>
      </c>
      <c r="AT223" s="136" t="s">
        <v>120</v>
      </c>
      <c r="AU223" s="136" t="s">
        <v>8</v>
      </c>
      <c r="AV223" s="136" t="s">
        <v>230</v>
      </c>
      <c r="AX223" s="136" t="str">
        <f>IF(AI176="","",IF(B223="","",B223))</f>
        <v>HR</v>
      </c>
      <c r="AY223" s="136" t="str">
        <f>IF(AI176="","",IF(C223="","",C223))</f>
        <v>-</v>
      </c>
      <c r="AZ223" s="136" t="str">
        <f>IF(AI176="","",IF(D223="","",D223))</f>
        <v>HR</v>
      </c>
      <c r="BA223" s="136" t="str">
        <f>IF(AI176="","",IF(E223="","",E223))</f>
        <v>-</v>
      </c>
      <c r="BB223" s="136" t="str">
        <f>IF(AI176="","",IF(F223="","",F223))</f>
        <v>HR</v>
      </c>
      <c r="BC223" s="136" t="str">
        <f>IF(AI176="","",IF(G223="","",G223))</f>
        <v>-</v>
      </c>
      <c r="BD223" s="136" t="str">
        <f>IF(AI176="","",IF(H223="","",H223))</f>
        <v>HR</v>
      </c>
      <c r="BE223" s="136" t="str">
        <f>IF(AI176="","",IF(I223="","",I223))</f>
        <v>-</v>
      </c>
      <c r="BF223" s="136" t="str">
        <f>IF(AI176="","",IF(J223="","",J223))</f>
        <v>HR</v>
      </c>
      <c r="BG223" s="136" t="str">
        <f>IF(AI176="","",IF(K223="","",K223))</f>
        <v>-</v>
      </c>
      <c r="BH223" s="136" t="str">
        <f>IF(AI176="","",IF(L223="","",L223))</f>
        <v>PV</v>
      </c>
      <c r="BI223" s="136" t="str">
        <f>IF(AI176="","",IF(M223="","",M223))</f>
        <v>-</v>
      </c>
      <c r="BJ223" s="136" t="str">
        <f>IF(AI176="","",IF(N223="","",N223))</f>
        <v>EA</v>
      </c>
      <c r="BK223" s="136" t="str">
        <f>IF(AI176="","",IF(O223="","",O223))</f>
        <v>AL</v>
      </c>
      <c r="BN223" s="136" t="str">
        <f t="shared" si="122"/>
        <v>Refeição</v>
      </c>
      <c r="BO223" s="136" t="str">
        <f t="shared" si="122"/>
        <v>HR</v>
      </c>
      <c r="BP223" s="136">
        <f>IF(BO223="","",COUNTIFS(AX180:BK227,BO223)*0.5)</f>
        <v>17.5</v>
      </c>
      <c r="BQ223" s="136" t="str">
        <f t="shared" si="123"/>
        <v>Refeição</v>
      </c>
      <c r="BR223" s="136" t="str">
        <f t="shared" si="123"/>
        <v>HR</v>
      </c>
      <c r="BS223" s="136" t="str">
        <f t="shared" si="124"/>
        <v>Refeição</v>
      </c>
      <c r="BT223" s="136">
        <f t="shared" si="130"/>
        <v>126</v>
      </c>
      <c r="BU223" s="136">
        <f t="shared" si="131"/>
        <v>124</v>
      </c>
      <c r="CA223" s="183">
        <f>'INFO BASE'!L286</f>
        <v>0</v>
      </c>
      <c r="CB223" s="183">
        <f>'INFO BASE'!M286</f>
        <v>0</v>
      </c>
      <c r="CR223" s="177" t="str">
        <f t="shared" si="112"/>
        <v>HR</v>
      </c>
      <c r="CS223" s="177" t="str">
        <f t="shared" si="113"/>
        <v>HR-</v>
      </c>
      <c r="CT223" s="177" t="str">
        <f t="shared" si="112"/>
        <v>HR</v>
      </c>
      <c r="CU223" s="177" t="str">
        <f t="shared" si="114"/>
        <v>HR-</v>
      </c>
      <c r="CV223" s="177" t="str">
        <f t="shared" si="112"/>
        <v>HR</v>
      </c>
      <c r="CW223" s="177" t="str">
        <f t="shared" si="115"/>
        <v>HR-</v>
      </c>
      <c r="CX223" s="177" t="str">
        <f t="shared" ref="CX223:CX227" si="139">IF(H223="",1,H223)</f>
        <v>HR</v>
      </c>
      <c r="CY223" s="177" t="str">
        <f t="shared" si="116"/>
        <v>HR-</v>
      </c>
      <c r="CZ223" s="177" t="str">
        <f t="shared" ref="CZ223:CZ227" si="140">IF(J223="",1,J223)</f>
        <v>HR</v>
      </c>
      <c r="DA223" s="177" t="str">
        <f t="shared" si="117"/>
        <v>HR-</v>
      </c>
      <c r="DB223" s="177" t="str">
        <f t="shared" ref="DB223:DB227" si="141">IF(L223="",1,L223)</f>
        <v>PV</v>
      </c>
      <c r="DC223" s="177">
        <f t="shared" si="118"/>
        <v>0</v>
      </c>
      <c r="DD223" s="177" t="str">
        <f t="shared" si="119"/>
        <v>EA</v>
      </c>
      <c r="DE223" s="177" t="str">
        <f t="shared" si="120"/>
        <v>EAAL</v>
      </c>
    </row>
    <row r="224" spans="1:109" ht="18" customHeight="1" x14ac:dyDescent="0.3">
      <c r="A224" s="81">
        <v>0.91666666666669605</v>
      </c>
      <c r="B224" s="166" t="s">
        <v>116</v>
      </c>
      <c r="C224" s="130" t="s">
        <v>120</v>
      </c>
      <c r="D224" s="169" t="s">
        <v>116</v>
      </c>
      <c r="E224" s="130" t="s">
        <v>120</v>
      </c>
      <c r="F224" s="169" t="s">
        <v>116</v>
      </c>
      <c r="G224" s="130" t="s">
        <v>120</v>
      </c>
      <c r="H224" s="169" t="s">
        <v>116</v>
      </c>
      <c r="I224" s="130" t="s">
        <v>120</v>
      </c>
      <c r="J224" s="169" t="s">
        <v>12</v>
      </c>
      <c r="K224" s="130" t="s">
        <v>120</v>
      </c>
      <c r="L224" s="169" t="s">
        <v>12</v>
      </c>
      <c r="M224" s="130" t="s">
        <v>120</v>
      </c>
      <c r="N224" s="169" t="s">
        <v>8</v>
      </c>
      <c r="O224" s="154" t="s">
        <v>230</v>
      </c>
      <c r="P224" s="6">
        <v>0.2</v>
      </c>
      <c r="Q224" s="104" t="str">
        <f>IF('INFO BASE'!$C$26="","",'INFO BASE'!$C$26)</f>
        <v>Privado</v>
      </c>
      <c r="R224" s="87" t="str">
        <f t="shared" si="129"/>
        <v>PV</v>
      </c>
      <c r="S224" s="88">
        <f t="shared" si="126"/>
        <v>0.8867924528301887</v>
      </c>
      <c r="T224" s="89">
        <f>IF(VLOOKUP(Q224,'INFO BASE'!$B$40:$I$54,IF(R224='INFO BASE'!$B$32,3,IF(R224='INFO BASE'!$B$33,4,IF(R224='INFO BASE'!$B$34,5,IF(R224='INFO BASE'!$B$35,6,IF(R224='INFO BASE'!$B$36,7,IF(R224='INFO BASE'!$B$37,8,2)))))),0)=0,"",VLOOKUP(Q224,'INFO BASE'!$B$40:$I$54,IF(R224='INFO BASE'!$B$32,3,IF(R224='INFO BASE'!$B$33,4,IF(R224='INFO BASE'!$B$34,5,IF(R224='INFO BASE'!$B$35,6,IF(R224='INFO BASE'!$B$36,7,IF(R224='INFO BASE'!$B$37,8,2)))))),0))</f>
        <v>26.5</v>
      </c>
      <c r="U224" s="89">
        <f t="shared" si="138"/>
        <v>50</v>
      </c>
      <c r="V224" s="89">
        <f>IF(R224="","",COUNTIFS(AI180:AV227,R224)*0.5)</f>
        <v>45</v>
      </c>
      <c r="W224" s="90">
        <f>IF(AH176="","-",IF(V224=0,U224,IFERROR((U224/V224)-1,"-")))</f>
        <v>0.11111111111111116</v>
      </c>
      <c r="X224" s="202">
        <f t="shared" si="127"/>
        <v>0</v>
      </c>
      <c r="Y224" s="271"/>
      <c r="Z224" s="272"/>
      <c r="AA224" s="272"/>
      <c r="AB224" s="272"/>
      <c r="AC224" s="272"/>
      <c r="AD224" s="272"/>
      <c r="AE224" s="272"/>
      <c r="AF224" s="273"/>
      <c r="AH224" s="136">
        <v>0.91666666666669605</v>
      </c>
      <c r="AI224" s="136" t="s">
        <v>116</v>
      </c>
      <c r="AJ224" s="136" t="s">
        <v>120</v>
      </c>
      <c r="AK224" s="136" t="s">
        <v>116</v>
      </c>
      <c r="AL224" s="136" t="s">
        <v>120</v>
      </c>
      <c r="AM224" s="136" t="s">
        <v>116</v>
      </c>
      <c r="AN224" s="136" t="s">
        <v>120</v>
      </c>
      <c r="AO224" s="136" t="s">
        <v>116</v>
      </c>
      <c r="AP224" s="136" t="s">
        <v>120</v>
      </c>
      <c r="AQ224" s="136" t="s">
        <v>12</v>
      </c>
      <c r="AR224" s="136" t="s">
        <v>120</v>
      </c>
      <c r="AS224" s="136" t="s">
        <v>12</v>
      </c>
      <c r="AT224" s="136" t="s">
        <v>120</v>
      </c>
      <c r="AU224" s="136" t="s">
        <v>8</v>
      </c>
      <c r="AV224" s="136" t="s">
        <v>230</v>
      </c>
      <c r="AX224" s="136" t="str">
        <f>IF(AI176="","",IF(B224="","",B224))</f>
        <v>PV</v>
      </c>
      <c r="AY224" s="136" t="str">
        <f>IF(AI176="","",IF(C224="","",C224))</f>
        <v>-</v>
      </c>
      <c r="AZ224" s="136" t="str">
        <f>IF(AI176="","",IF(D224="","",D224))</f>
        <v>PV</v>
      </c>
      <c r="BA224" s="136" t="str">
        <f>IF(AI176="","",IF(E224="","",E224))</f>
        <v>-</v>
      </c>
      <c r="BB224" s="136" t="str">
        <f>IF(AI176="","",IF(F224="","",F224))</f>
        <v>PV</v>
      </c>
      <c r="BC224" s="136" t="str">
        <f>IF(AI176="","",IF(G224="","",G224))</f>
        <v>-</v>
      </c>
      <c r="BD224" s="136" t="str">
        <f>IF(AI176="","",IF(H224="","",H224))</f>
        <v>PV</v>
      </c>
      <c r="BE224" s="136" t="str">
        <f>IF(AI176="","",IF(I224="","",I224))</f>
        <v>-</v>
      </c>
      <c r="BF224" s="136" t="str">
        <f>IF(AI176="","",IF(J224="","",J224))</f>
        <v>HR</v>
      </c>
      <c r="BG224" s="136" t="str">
        <f>IF(AI176="","",IF(K224="","",K224))</f>
        <v>-</v>
      </c>
      <c r="BH224" s="136" t="str">
        <f>IF(AI176="","",IF(L224="","",L224))</f>
        <v>HR</v>
      </c>
      <c r="BI224" s="136" t="str">
        <f>IF(AI176="","",IF(M224="","",M224))</f>
        <v>-</v>
      </c>
      <c r="BJ224" s="136" t="str">
        <f>IF(AI176="","",IF(N224="","",N224))</f>
        <v>EA</v>
      </c>
      <c r="BK224" s="136" t="str">
        <f>IF(AI176="","",IF(O224="","",O224))</f>
        <v>AL</v>
      </c>
      <c r="BN224" s="136" t="str">
        <f t="shared" si="122"/>
        <v>Sono</v>
      </c>
      <c r="BO224" s="136" t="str">
        <f t="shared" si="122"/>
        <v>HS</v>
      </c>
      <c r="BP224" s="136">
        <f>IF(BO224="","",COUNTIFS(AX180:BK227,BO224)*0.5)</f>
        <v>49</v>
      </c>
      <c r="BQ224" s="136" t="str">
        <f t="shared" si="123"/>
        <v>Sono</v>
      </c>
      <c r="BR224" s="136" t="str">
        <f t="shared" si="123"/>
        <v>HS</v>
      </c>
      <c r="BS224" s="136" t="str">
        <f t="shared" si="124"/>
        <v>Sono</v>
      </c>
      <c r="BT224" s="136">
        <f t="shared" si="130"/>
        <v>417</v>
      </c>
      <c r="BU224" s="136">
        <f t="shared" si="131"/>
        <v>417.5</v>
      </c>
      <c r="CA224" s="183">
        <f>'INFO BASE'!L287</f>
        <v>0</v>
      </c>
      <c r="CB224" s="183">
        <f>'INFO BASE'!M287</f>
        <v>0</v>
      </c>
      <c r="CR224" s="177" t="str">
        <f t="shared" ref="CR224:CR227" si="142">IF(B224="",1,B224)</f>
        <v>PV</v>
      </c>
      <c r="CS224" s="177">
        <f t="shared" si="113"/>
        <v>0</v>
      </c>
      <c r="CT224" s="177" t="str">
        <f t="shared" ref="CT224:CT227" si="143">IF(D224="",1,D224)</f>
        <v>PV</v>
      </c>
      <c r="CU224" s="177">
        <f t="shared" si="114"/>
        <v>0</v>
      </c>
      <c r="CV224" s="177" t="str">
        <f t="shared" ref="CV224:CV227" si="144">IF(F224="",1,F224)</f>
        <v>PV</v>
      </c>
      <c r="CW224" s="177">
        <f t="shared" si="115"/>
        <v>0</v>
      </c>
      <c r="CX224" s="177" t="str">
        <f t="shared" si="139"/>
        <v>PV</v>
      </c>
      <c r="CY224" s="177">
        <f t="shared" si="116"/>
        <v>0</v>
      </c>
      <c r="CZ224" s="177" t="str">
        <f t="shared" si="140"/>
        <v>HR</v>
      </c>
      <c r="DA224" s="177" t="str">
        <f t="shared" si="117"/>
        <v>HR-</v>
      </c>
      <c r="DB224" s="177" t="str">
        <f t="shared" si="141"/>
        <v>HR</v>
      </c>
      <c r="DC224" s="177" t="str">
        <f t="shared" si="118"/>
        <v>HR-</v>
      </c>
      <c r="DD224" s="177" t="str">
        <f t="shared" si="119"/>
        <v>EA</v>
      </c>
      <c r="DE224" s="177" t="str">
        <f t="shared" si="120"/>
        <v>EAAL</v>
      </c>
    </row>
    <row r="225" spans="1:120" ht="18" customHeight="1" x14ac:dyDescent="0.3">
      <c r="A225" s="81">
        <v>0.93750000000002998</v>
      </c>
      <c r="B225" s="166" t="s">
        <v>116</v>
      </c>
      <c r="C225" s="130" t="s">
        <v>120</v>
      </c>
      <c r="D225" s="169" t="s">
        <v>116</v>
      </c>
      <c r="E225" s="130" t="s">
        <v>120</v>
      </c>
      <c r="F225" s="169" t="s">
        <v>116</v>
      </c>
      <c r="G225" s="130" t="s">
        <v>120</v>
      </c>
      <c r="H225" s="169" t="s">
        <v>116</v>
      </c>
      <c r="I225" s="130" t="s">
        <v>120</v>
      </c>
      <c r="J225" s="169" t="s">
        <v>12</v>
      </c>
      <c r="K225" s="130" t="s">
        <v>120</v>
      </c>
      <c r="L225" s="169" t="s">
        <v>12</v>
      </c>
      <c r="M225" s="130" t="s">
        <v>120</v>
      </c>
      <c r="N225" s="169" t="s">
        <v>8</v>
      </c>
      <c r="O225" s="154" t="s">
        <v>230</v>
      </c>
      <c r="P225" s="6">
        <v>0.2</v>
      </c>
      <c r="Q225" s="86" t="str">
        <f>IF('INFO BASE'!$C$27="","",'INFO BASE'!$C$27)</f>
        <v>Deslocação</v>
      </c>
      <c r="R225" s="87" t="str">
        <f t="shared" si="129"/>
        <v>HD</v>
      </c>
      <c r="S225" s="88">
        <f t="shared" si="126"/>
        <v>0.44999999999999996</v>
      </c>
      <c r="T225" s="89">
        <f>IF(VLOOKUP(Q225,'INFO BASE'!$B$40:$I$54,IF(R225='INFO BASE'!$B$32,3,IF(R225='INFO BASE'!$B$33,4,IF(R225='INFO BASE'!$B$34,5,IF(R225='INFO BASE'!$B$35,6,IF(R225='INFO BASE'!$B$36,7,IF(R225='INFO BASE'!$B$37,8,2)))))),0)=0,"",VLOOKUP(Q225,'INFO BASE'!$B$40:$I$54,IF(R225='INFO BASE'!$B$32,3,IF(R225='INFO BASE'!$B$33,4,IF(R225='INFO BASE'!$B$34,5,IF(R225='INFO BASE'!$B$35,6,IF(R225='INFO BASE'!$B$36,7,IF(R225='INFO BASE'!$B$37,8,2)))))),0))</f>
        <v>10</v>
      </c>
      <c r="U225" s="89">
        <f t="shared" si="138"/>
        <v>14.5</v>
      </c>
      <c r="V225" s="89">
        <f>IF(R225="","",COUNTIFS(AI180:AV227,R225)*0.5)</f>
        <v>14.5</v>
      </c>
      <c r="W225" s="90">
        <f>IF(AH176="","-",IF(V225=0,U225,IFERROR((U225/V225)-1,"-")))</f>
        <v>0</v>
      </c>
      <c r="X225" s="203">
        <f t="shared" si="127"/>
        <v>0</v>
      </c>
      <c r="Y225" s="271"/>
      <c r="Z225" s="272"/>
      <c r="AA225" s="272"/>
      <c r="AB225" s="272"/>
      <c r="AC225" s="272"/>
      <c r="AD225" s="272"/>
      <c r="AE225" s="272"/>
      <c r="AF225" s="273"/>
      <c r="AH225" s="136">
        <v>0.93750000000002998</v>
      </c>
      <c r="AI225" s="136" t="s">
        <v>116</v>
      </c>
      <c r="AJ225" s="136" t="s">
        <v>120</v>
      </c>
      <c r="AK225" s="136" t="s">
        <v>116</v>
      </c>
      <c r="AL225" s="136" t="s">
        <v>120</v>
      </c>
      <c r="AM225" s="136" t="s">
        <v>116</v>
      </c>
      <c r="AN225" s="136" t="s">
        <v>120</v>
      </c>
      <c r="AO225" s="136" t="s">
        <v>116</v>
      </c>
      <c r="AP225" s="136" t="s">
        <v>120</v>
      </c>
      <c r="AQ225" s="136" t="s">
        <v>12</v>
      </c>
      <c r="AR225" s="136" t="s">
        <v>120</v>
      </c>
      <c r="AS225" s="136" t="s">
        <v>12</v>
      </c>
      <c r="AT225" s="136" t="s">
        <v>120</v>
      </c>
      <c r="AU225" s="136" t="s">
        <v>8</v>
      </c>
      <c r="AV225" s="136" t="s">
        <v>230</v>
      </c>
      <c r="AX225" s="136" t="str">
        <f>IF(AI176="","",IF(B225="","",B225))</f>
        <v>PV</v>
      </c>
      <c r="AY225" s="136" t="str">
        <f>IF(AI176="","",IF(C225="","",C225))</f>
        <v>-</v>
      </c>
      <c r="AZ225" s="136" t="str">
        <f>IF(AI176="","",IF(D225="","",D225))</f>
        <v>PV</v>
      </c>
      <c r="BA225" s="136" t="str">
        <f>IF(AI176="","",IF(E225="","",E225))</f>
        <v>-</v>
      </c>
      <c r="BB225" s="136" t="str">
        <f>IF(AI176="","",IF(F225="","",F225))</f>
        <v>PV</v>
      </c>
      <c r="BC225" s="136" t="str">
        <f>IF(AI176="","",IF(G225="","",G225))</f>
        <v>-</v>
      </c>
      <c r="BD225" s="136" t="str">
        <f>IF(AI176="","",IF(H225="","",H225))</f>
        <v>PV</v>
      </c>
      <c r="BE225" s="136" t="str">
        <f>IF(AI176="","",IF(I225="","",I225))</f>
        <v>-</v>
      </c>
      <c r="BF225" s="136" t="str">
        <f>IF(AI176="","",IF(J225="","",J225))</f>
        <v>HR</v>
      </c>
      <c r="BG225" s="136" t="str">
        <f>IF(AI176="","",IF(K225="","",K225))</f>
        <v>-</v>
      </c>
      <c r="BH225" s="136" t="str">
        <f>IF(AI176="","",IF(L225="","",L225))</f>
        <v>HR</v>
      </c>
      <c r="BI225" s="136" t="str">
        <f>IF(AI176="","",IF(M225="","",M225))</f>
        <v>-</v>
      </c>
      <c r="BJ225" s="136" t="str">
        <f>IF(AI176="","",IF(N225="","",N225))</f>
        <v>EA</v>
      </c>
      <c r="BK225" s="136" t="str">
        <f>IF(AI176="","",IF(O225="","",O225))</f>
        <v>AL</v>
      </c>
      <c r="BP225" s="136" t="str">
        <f>IF(BO225="","",COUNTIFS(AX180:BK227,BO225)*0.5)</f>
        <v/>
      </c>
      <c r="CA225" s="183">
        <f>'INFO BASE'!L288</f>
        <v>0</v>
      </c>
      <c r="CB225" s="183">
        <f>'INFO BASE'!M288</f>
        <v>0</v>
      </c>
      <c r="CR225" s="177" t="str">
        <f t="shared" si="142"/>
        <v>PV</v>
      </c>
      <c r="CS225" s="177">
        <f t="shared" si="113"/>
        <v>0</v>
      </c>
      <c r="CT225" s="177" t="str">
        <f t="shared" si="143"/>
        <v>PV</v>
      </c>
      <c r="CU225" s="177">
        <f t="shared" si="114"/>
        <v>0</v>
      </c>
      <c r="CV225" s="177" t="str">
        <f t="shared" si="144"/>
        <v>PV</v>
      </c>
      <c r="CW225" s="177">
        <f t="shared" si="115"/>
        <v>0</v>
      </c>
      <c r="CX225" s="177" t="str">
        <f t="shared" si="139"/>
        <v>PV</v>
      </c>
      <c r="CY225" s="177">
        <f t="shared" si="116"/>
        <v>0</v>
      </c>
      <c r="CZ225" s="177" t="str">
        <f t="shared" si="140"/>
        <v>HR</v>
      </c>
      <c r="DA225" s="177" t="str">
        <f t="shared" si="117"/>
        <v>HR-</v>
      </c>
      <c r="DB225" s="177" t="str">
        <f t="shared" si="141"/>
        <v>HR</v>
      </c>
      <c r="DC225" s="177" t="str">
        <f t="shared" si="118"/>
        <v>HR-</v>
      </c>
      <c r="DD225" s="177" t="str">
        <f t="shared" si="119"/>
        <v>EA</v>
      </c>
      <c r="DE225" s="177" t="str">
        <f t="shared" si="120"/>
        <v>EAAL</v>
      </c>
    </row>
    <row r="226" spans="1:120" ht="18" customHeight="1" x14ac:dyDescent="0.3">
      <c r="A226" s="81">
        <v>0.95833333333336401</v>
      </c>
      <c r="B226" s="166" t="s">
        <v>10</v>
      </c>
      <c r="C226" s="130" t="s">
        <v>120</v>
      </c>
      <c r="D226" s="169" t="s">
        <v>10</v>
      </c>
      <c r="E226" s="130" t="s">
        <v>120</v>
      </c>
      <c r="F226" s="169" t="s">
        <v>10</v>
      </c>
      <c r="G226" s="130" t="s">
        <v>120</v>
      </c>
      <c r="H226" s="169" t="s">
        <v>10</v>
      </c>
      <c r="I226" s="130" t="s">
        <v>120</v>
      </c>
      <c r="J226" s="169" t="s">
        <v>116</v>
      </c>
      <c r="K226" s="130" t="s">
        <v>120</v>
      </c>
      <c r="L226" s="169" t="s">
        <v>12</v>
      </c>
      <c r="M226" s="130" t="s">
        <v>120</v>
      </c>
      <c r="N226" s="169" t="s">
        <v>8</v>
      </c>
      <c r="O226" s="154" t="s">
        <v>230</v>
      </c>
      <c r="P226" s="6">
        <v>0.2</v>
      </c>
      <c r="Q226" s="91" t="str">
        <f>IF('INFO BASE'!$C$28="","",'INFO BASE'!$C$28)</f>
        <v>Refeição</v>
      </c>
      <c r="R226" s="87" t="str">
        <f t="shared" si="129"/>
        <v>HR</v>
      </c>
      <c r="S226" s="88">
        <f t="shared" si="126"/>
        <v>0.16666666666666674</v>
      </c>
      <c r="T226" s="89">
        <f>IF(VLOOKUP(Q226,'INFO BASE'!$B$40:$I$54,IF(R226='INFO BASE'!$B$32,3,IF(R226='INFO BASE'!$B$33,4,IF(R226='INFO BASE'!$B$34,5,IF(R226='INFO BASE'!$B$35,6,IF(R226='INFO BASE'!$B$36,7,IF(R226='INFO BASE'!$B$37,8,2)))))),0)=0,"",VLOOKUP(Q226,'INFO BASE'!$B$40:$I$54,IF(R226='INFO BASE'!$B$32,3,IF(R226='INFO BASE'!$B$33,4,IF(R226='INFO BASE'!$B$34,5,IF(R226='INFO BASE'!$B$35,6,IF(R226='INFO BASE'!$B$36,7,IF(R226='INFO BASE'!$B$37,8,2)))))),0))</f>
        <v>15</v>
      </c>
      <c r="U226" s="89">
        <f t="shared" si="138"/>
        <v>17.5</v>
      </c>
      <c r="V226" s="89">
        <f>IF(R226="","",COUNTIFS(AI180:AV227,R226)*0.5)</f>
        <v>17.5</v>
      </c>
      <c r="W226" s="90">
        <f>IF(AH176="","-",IF(V226=0,U226,IFERROR((U226/V226)-1,"-")))</f>
        <v>0</v>
      </c>
      <c r="X226" s="204">
        <f t="shared" si="127"/>
        <v>0</v>
      </c>
      <c r="Y226" s="271"/>
      <c r="Z226" s="272"/>
      <c r="AA226" s="272"/>
      <c r="AB226" s="272"/>
      <c r="AC226" s="272"/>
      <c r="AD226" s="272"/>
      <c r="AE226" s="272"/>
      <c r="AF226" s="273"/>
      <c r="AH226" s="136">
        <v>0.95833333333336401</v>
      </c>
      <c r="AI226" s="136" t="s">
        <v>10</v>
      </c>
      <c r="AJ226" s="136" t="s">
        <v>120</v>
      </c>
      <c r="AK226" s="136" t="s">
        <v>10</v>
      </c>
      <c r="AL226" s="136" t="s">
        <v>120</v>
      </c>
      <c r="AM226" s="136" t="s">
        <v>10</v>
      </c>
      <c r="AN226" s="136" t="s">
        <v>120</v>
      </c>
      <c r="AO226" s="136" t="s">
        <v>10</v>
      </c>
      <c r="AP226" s="136" t="s">
        <v>120</v>
      </c>
      <c r="AQ226" s="136" t="s">
        <v>116</v>
      </c>
      <c r="AR226" s="136" t="s">
        <v>120</v>
      </c>
      <c r="AS226" s="136" t="s">
        <v>12</v>
      </c>
      <c r="AT226" s="136" t="s">
        <v>120</v>
      </c>
      <c r="AU226" s="136" t="s">
        <v>8</v>
      </c>
      <c r="AV226" s="136" t="s">
        <v>230</v>
      </c>
      <c r="AX226" s="136" t="str">
        <f>IF(AI176="","",IF(B226="","",B226))</f>
        <v>HS</v>
      </c>
      <c r="AY226" s="136" t="str">
        <f>IF(AI176="","",IF(C226="","",C226))</f>
        <v>-</v>
      </c>
      <c r="AZ226" s="136" t="str">
        <f>IF(AI176="","",IF(D226="","",D226))</f>
        <v>HS</v>
      </c>
      <c r="BA226" s="136" t="str">
        <f>IF(AI176="","",IF(E226="","",E226))</f>
        <v>-</v>
      </c>
      <c r="BB226" s="136" t="str">
        <f>IF(AI176="","",IF(F226="","",F226))</f>
        <v>HS</v>
      </c>
      <c r="BC226" s="136" t="str">
        <f>IF(AI176="","",IF(G226="","",G226))</f>
        <v>-</v>
      </c>
      <c r="BD226" s="136" t="str">
        <f>IF(AI176="","",IF(H226="","",H226))</f>
        <v>HS</v>
      </c>
      <c r="BE226" s="136" t="str">
        <f>IF(AI176="","",IF(I226="","",I226))</f>
        <v>-</v>
      </c>
      <c r="BF226" s="136" t="str">
        <f>IF(AI176="","",IF(J226="","",J226))</f>
        <v>PV</v>
      </c>
      <c r="BG226" s="136" t="str">
        <f>IF(AI176="","",IF(K226="","",K226))</f>
        <v>-</v>
      </c>
      <c r="BH226" s="136" t="str">
        <f>IF(AI176="","",IF(L226="","",L226))</f>
        <v>HR</v>
      </c>
      <c r="BI226" s="136" t="str">
        <f>IF(AI176="","",IF(M226="","",M226))</f>
        <v>-</v>
      </c>
      <c r="BJ226" s="136" t="str">
        <f>IF(AI176="","",IF(N226="","",N226))</f>
        <v>EA</v>
      </c>
      <c r="BK226" s="136" t="str">
        <f>IF(AI176="","",IF(O226="","",O226))</f>
        <v>AL</v>
      </c>
      <c r="BP226" s="136" t="str">
        <f>IF(BO226="","",COUNTIFS(AX180:BK227,BO226)*0.5)</f>
        <v/>
      </c>
      <c r="CA226" s="183">
        <f>'INFO BASE'!L289</f>
        <v>0</v>
      </c>
      <c r="CB226" s="183">
        <f>'INFO BASE'!M289</f>
        <v>0</v>
      </c>
      <c r="CR226" s="177" t="str">
        <f t="shared" si="142"/>
        <v>HS</v>
      </c>
      <c r="CS226" s="177" t="str">
        <f t="shared" si="113"/>
        <v>HS-</v>
      </c>
      <c r="CT226" s="177" t="str">
        <f t="shared" si="143"/>
        <v>HS</v>
      </c>
      <c r="CU226" s="177" t="str">
        <f t="shared" si="114"/>
        <v>HS-</v>
      </c>
      <c r="CV226" s="177" t="str">
        <f t="shared" si="144"/>
        <v>HS</v>
      </c>
      <c r="CW226" s="177" t="str">
        <f t="shared" si="115"/>
        <v>HS-</v>
      </c>
      <c r="CX226" s="177" t="str">
        <f t="shared" si="139"/>
        <v>HS</v>
      </c>
      <c r="CY226" s="177" t="str">
        <f t="shared" si="116"/>
        <v>HS-</v>
      </c>
      <c r="CZ226" s="177" t="str">
        <f t="shared" si="140"/>
        <v>PV</v>
      </c>
      <c r="DA226" s="177">
        <f t="shared" si="117"/>
        <v>0</v>
      </c>
      <c r="DB226" s="177" t="str">
        <f t="shared" si="141"/>
        <v>HR</v>
      </c>
      <c r="DC226" s="177" t="str">
        <f t="shared" si="118"/>
        <v>HR-</v>
      </c>
      <c r="DD226" s="177" t="str">
        <f t="shared" si="119"/>
        <v>EA</v>
      </c>
      <c r="DE226" s="177" t="str">
        <f t="shared" si="120"/>
        <v>EAAL</v>
      </c>
    </row>
    <row r="227" spans="1:120" ht="18" customHeight="1" thickBot="1" x14ac:dyDescent="0.35">
      <c r="A227" s="180">
        <v>0.97916666666669805</v>
      </c>
      <c r="B227" s="167" t="s">
        <v>10</v>
      </c>
      <c r="C227" s="156" t="s">
        <v>120</v>
      </c>
      <c r="D227" s="170" t="s">
        <v>10</v>
      </c>
      <c r="E227" s="156" t="s">
        <v>120</v>
      </c>
      <c r="F227" s="170" t="s">
        <v>10</v>
      </c>
      <c r="G227" s="156" t="s">
        <v>120</v>
      </c>
      <c r="H227" s="170" t="s">
        <v>10</v>
      </c>
      <c r="I227" s="156" t="s">
        <v>120</v>
      </c>
      <c r="J227" s="170" t="s">
        <v>116</v>
      </c>
      <c r="K227" s="156" t="s">
        <v>120</v>
      </c>
      <c r="L227" s="170" t="s">
        <v>12</v>
      </c>
      <c r="M227" s="156" t="s">
        <v>120</v>
      </c>
      <c r="N227" s="170" t="s">
        <v>8</v>
      </c>
      <c r="O227" s="158" t="s">
        <v>230</v>
      </c>
      <c r="P227" s="6">
        <v>0.2</v>
      </c>
      <c r="Q227" s="92" t="str">
        <f>IF('INFO BASE'!$C$29="","",'INFO BASE'!$C$29)</f>
        <v>Sono</v>
      </c>
      <c r="R227" s="93" t="str">
        <f t="shared" si="129"/>
        <v>HS</v>
      </c>
      <c r="S227" s="94">
        <f t="shared" si="126"/>
        <v>0</v>
      </c>
      <c r="T227" s="95">
        <f>IF(VLOOKUP(Q227,'INFO BASE'!$B$40:$I$54,IF(R227='INFO BASE'!$B$32,3,IF(R227='INFO BASE'!$B$33,4,IF(R227='INFO BASE'!$B$34,5,IF(R227='INFO BASE'!$B$35,6,IF(R227='INFO BASE'!$B$36,7,IF(R227='INFO BASE'!$B$37,8,2)))))),0)=0,"",VLOOKUP(Q227,'INFO BASE'!$B$40:$I$54,IF(R227='INFO BASE'!$B$32,3,IF(R227='INFO BASE'!$B$33,4,IF(R227='INFO BASE'!$B$34,5,IF(R227='INFO BASE'!$B$35,6,IF(R227='INFO BASE'!$B$36,7,IF(R227='INFO BASE'!$B$37,8,2)))))),0))</f>
        <v>49</v>
      </c>
      <c r="U227" s="95">
        <f t="shared" si="138"/>
        <v>49</v>
      </c>
      <c r="V227" s="95">
        <f>IF(R227="","",COUNTIFS(AI180:AV227,R227)*0.5)</f>
        <v>52</v>
      </c>
      <c r="W227" s="96">
        <f>IF(AH176="","-",IF(V227=0,U227,IFERROR((U227/V227)-1,"-")))</f>
        <v>-5.7692307692307709E-2</v>
      </c>
      <c r="X227" s="204">
        <f t="shared" si="127"/>
        <v>0</v>
      </c>
      <c r="Y227" s="274"/>
      <c r="Z227" s="275"/>
      <c r="AA227" s="275"/>
      <c r="AB227" s="275"/>
      <c r="AC227" s="275"/>
      <c r="AD227" s="275"/>
      <c r="AE227" s="275"/>
      <c r="AF227" s="276"/>
      <c r="AH227" s="136">
        <v>0.97916666666669805</v>
      </c>
      <c r="AI227" s="136" t="s">
        <v>10</v>
      </c>
      <c r="AJ227" s="136" t="s">
        <v>120</v>
      </c>
      <c r="AK227" s="136" t="s">
        <v>10</v>
      </c>
      <c r="AL227" s="136" t="s">
        <v>120</v>
      </c>
      <c r="AM227" s="136" t="s">
        <v>10</v>
      </c>
      <c r="AN227" s="136" t="s">
        <v>120</v>
      </c>
      <c r="AO227" s="136" t="s">
        <v>10</v>
      </c>
      <c r="AP227" s="136" t="s">
        <v>120</v>
      </c>
      <c r="AQ227" s="136" t="s">
        <v>116</v>
      </c>
      <c r="AR227" s="136" t="s">
        <v>120</v>
      </c>
      <c r="AS227" s="136" t="s">
        <v>12</v>
      </c>
      <c r="AT227" s="136" t="s">
        <v>120</v>
      </c>
      <c r="AU227" s="136" t="s">
        <v>8</v>
      </c>
      <c r="AV227" s="136" t="s">
        <v>230</v>
      </c>
      <c r="AX227" s="136" t="str">
        <f>IF(AI176="","",IF(B227="","",B227))</f>
        <v>HS</v>
      </c>
      <c r="AY227" s="136" t="str">
        <f>IF(AI176="","",IF(C227="","",C227))</f>
        <v>-</v>
      </c>
      <c r="AZ227" s="136" t="str">
        <f>IF(AI176="","",IF(D227="","",D227))</f>
        <v>HS</v>
      </c>
      <c r="BA227" s="136" t="str">
        <f>IF(AI176="","",IF(E227="","",E227))</f>
        <v>-</v>
      </c>
      <c r="BB227" s="136" t="str">
        <f>IF(AI176="","",IF(F227="","",F227))</f>
        <v>HS</v>
      </c>
      <c r="BC227" s="136" t="str">
        <f>IF(AI176="","",IF(G227="","",G227))</f>
        <v>-</v>
      </c>
      <c r="BD227" s="136" t="str">
        <f>IF(AI176="","",IF(H227="","",H227))</f>
        <v>HS</v>
      </c>
      <c r="BE227" s="136" t="str">
        <f>IF(AI176="","",IF(I227="","",I227))</f>
        <v>-</v>
      </c>
      <c r="BF227" s="136" t="str">
        <f>IF(AI176="","",IF(J227="","",J227))</f>
        <v>PV</v>
      </c>
      <c r="BG227" s="136" t="str">
        <f>IF(AI176="","",IF(K227="","",K227))</f>
        <v>-</v>
      </c>
      <c r="BH227" s="136" t="str">
        <f>IF(AI176="","",IF(L227="","",L227))</f>
        <v>HR</v>
      </c>
      <c r="BI227" s="136" t="str">
        <f>IF(AI176="","",IF(M227="","",M227))</f>
        <v>-</v>
      </c>
      <c r="BJ227" s="136" t="str">
        <f>IF(AI176="","",IF(N227="","",N227))</f>
        <v>EA</v>
      </c>
      <c r="BK227" s="136" t="str">
        <f>IF(AI176="","",IF(O227="","",O227))</f>
        <v>AL</v>
      </c>
      <c r="BP227" s="136" t="str">
        <f>IF(BO227="","",COUNTIFS(AX180:BK227,BO227)*0.5)</f>
        <v/>
      </c>
      <c r="CA227" s="183">
        <f>'INFO BASE'!L290</f>
        <v>0</v>
      </c>
      <c r="CB227" s="183">
        <f>'INFO BASE'!M290</f>
        <v>0</v>
      </c>
      <c r="CR227" s="177" t="str">
        <f t="shared" si="142"/>
        <v>HS</v>
      </c>
      <c r="CS227" s="177" t="str">
        <f t="shared" si="113"/>
        <v>HS-</v>
      </c>
      <c r="CT227" s="177" t="str">
        <f t="shared" si="143"/>
        <v>HS</v>
      </c>
      <c r="CU227" s="177" t="str">
        <f t="shared" si="114"/>
        <v>HS-</v>
      </c>
      <c r="CV227" s="177" t="str">
        <f t="shared" si="144"/>
        <v>HS</v>
      </c>
      <c r="CW227" s="177" t="str">
        <f t="shared" si="115"/>
        <v>HS-</v>
      </c>
      <c r="CX227" s="177" t="str">
        <f t="shared" si="139"/>
        <v>HS</v>
      </c>
      <c r="CY227" s="177" t="str">
        <f t="shared" si="116"/>
        <v>HS-</v>
      </c>
      <c r="CZ227" s="177" t="str">
        <f t="shared" si="140"/>
        <v>PV</v>
      </c>
      <c r="DA227" s="177">
        <f t="shared" si="117"/>
        <v>0</v>
      </c>
      <c r="DB227" s="177" t="str">
        <f t="shared" si="141"/>
        <v>HR</v>
      </c>
      <c r="DC227" s="177" t="str">
        <f t="shared" si="118"/>
        <v>HR-</v>
      </c>
      <c r="DD227" s="177" t="str">
        <f t="shared" si="119"/>
        <v>EA</v>
      </c>
      <c r="DE227" s="177" t="str">
        <f t="shared" si="120"/>
        <v>EAAL</v>
      </c>
    </row>
    <row r="228" spans="1:120" s="139" customFormat="1" ht="16.2" thickTop="1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7">
        <v>1</v>
      </c>
      <c r="Y228" s="6">
        <f>COUNTA(Y191:AF227)</f>
        <v>2</v>
      </c>
      <c r="Z228" s="6">
        <f>SUM(X191:X227)</f>
        <v>2</v>
      </c>
      <c r="AA228" s="6">
        <f>IF(Z228&gt;Y228,"ERRO",0)</f>
        <v>0</v>
      </c>
      <c r="AB228" s="6"/>
      <c r="AC228" s="6"/>
      <c r="AD228" s="6"/>
      <c r="AE228" s="6"/>
      <c r="AF228" s="6"/>
      <c r="AG228" s="6"/>
      <c r="BM228" s="136"/>
      <c r="BN228" s="136"/>
      <c r="BO228" s="136"/>
      <c r="BP228" s="136"/>
      <c r="BQ228" s="136"/>
      <c r="BR228" s="136"/>
      <c r="BS228" s="136"/>
      <c r="BT228" s="136"/>
      <c r="BU228" s="136"/>
      <c r="CA228" s="206">
        <f>'INFO BASE'!L291</f>
        <v>0</v>
      </c>
      <c r="CB228" s="206">
        <f>'INFO BASE'!M291</f>
        <v>0</v>
      </c>
      <c r="DN228" s="194"/>
      <c r="DO228" s="194"/>
      <c r="DP228" s="194"/>
    </row>
    <row r="229" spans="1:120" s="139" customFormat="1" ht="15.6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7">
        <v>1</v>
      </c>
      <c r="Y229" s="6" t="s">
        <v>220</v>
      </c>
      <c r="Z229" s="6" t="s">
        <v>219</v>
      </c>
      <c r="AA229" s="6" t="s">
        <v>221</v>
      </c>
      <c r="AB229" s="6"/>
      <c r="AC229" s="6"/>
      <c r="AD229" s="6"/>
      <c r="AE229" s="6"/>
      <c r="AF229" s="6"/>
      <c r="AG229" s="6"/>
      <c r="BM229" s="136"/>
      <c r="BN229" s="136"/>
      <c r="BO229" s="136"/>
      <c r="BP229" s="136"/>
      <c r="BQ229" s="136"/>
      <c r="BR229" s="136"/>
      <c r="BS229" s="136"/>
      <c r="BT229" s="136"/>
      <c r="BU229" s="136"/>
      <c r="CA229" s="206">
        <f>'INFO BASE'!L292</f>
        <v>0</v>
      </c>
      <c r="CB229" s="206">
        <f>'INFO BASE'!M292</f>
        <v>0</v>
      </c>
      <c r="DN229" s="194"/>
      <c r="DO229" s="194"/>
      <c r="DP229" s="194"/>
    </row>
    <row r="230" spans="1:120" ht="15.6" x14ac:dyDescent="0.3">
      <c r="X230" s="7">
        <v>1</v>
      </c>
      <c r="CA230" s="183">
        <f>'INFO BASE'!L293</f>
        <v>0</v>
      </c>
      <c r="CB230" s="183">
        <f>'INFO BASE'!M293</f>
        <v>0</v>
      </c>
    </row>
    <row r="231" spans="1:120" ht="16.2" thickBot="1" x14ac:dyDescent="0.35">
      <c r="X231" s="7">
        <v>1</v>
      </c>
      <c r="CA231" s="183">
        <f>'INFO BASE'!L294</f>
        <v>0</v>
      </c>
      <c r="CB231" s="183">
        <f>'INFO BASE'!M294</f>
        <v>0</v>
      </c>
    </row>
    <row r="232" spans="1:120" ht="38.25" customHeight="1" thickTop="1" thickBot="1" x14ac:dyDescent="0.35">
      <c r="A232" s="311" t="str">
        <f>IF(LEN(A175)=8,CONCATENATE("SEMANA ",RIGHT(A175,1)+1),CONCATENATE("SEMANA ",RIGHT(A175,2)+1))</f>
        <v>SEMANA 5</v>
      </c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3"/>
      <c r="AG232" s="12"/>
      <c r="CA232" s="183">
        <f>'INFO BASE'!L295</f>
        <v>0</v>
      </c>
      <c r="CB232" s="183">
        <f>'INFO BASE'!M295</f>
        <v>0</v>
      </c>
    </row>
    <row r="233" spans="1:120" ht="9" customHeight="1" thickTop="1" thickBot="1" x14ac:dyDescent="0.35">
      <c r="A233" s="139"/>
      <c r="B233" s="139"/>
      <c r="C233" s="140"/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41">
        <v>1</v>
      </c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44">
        <v>42296.949163310186</v>
      </c>
      <c r="AI233" s="144">
        <v>42296.951726736108</v>
      </c>
      <c r="CA233" s="183">
        <f>'INFO BASE'!L296</f>
        <v>0</v>
      </c>
      <c r="CB233" s="183">
        <f>'INFO BASE'!M296</f>
        <v>0</v>
      </c>
    </row>
    <row r="234" spans="1:120" ht="30.75" customHeight="1" x14ac:dyDescent="0.3">
      <c r="A234" s="145"/>
      <c r="B234" s="314">
        <f>1-(CR234/673)</f>
        <v>1</v>
      </c>
      <c r="C234" s="315"/>
      <c r="D234" s="315"/>
      <c r="E234" s="315"/>
      <c r="F234" s="315"/>
      <c r="G234" s="315"/>
      <c r="H234" s="315"/>
      <c r="I234" s="315"/>
      <c r="J234" s="315"/>
      <c r="K234" s="315"/>
      <c r="L234" s="315"/>
      <c r="M234" s="315"/>
      <c r="N234" s="315"/>
      <c r="O234" s="316"/>
      <c r="Q234" s="205">
        <f>IF(OR(Q237="Registe aqui o que considera serem as suas três principais prioridades para a semana
(Dica - para criar paragráfos Alt+Enter)",LEN(Q237)&lt;10),1,0)</f>
        <v>0</v>
      </c>
      <c r="X234" s="7">
        <v>1</v>
      </c>
      <c r="AM234" s="136" t="str">
        <f>CONCATENATE("PLANEAMENTO ",I234)</f>
        <v xml:space="preserve">PLANEAMENTO </v>
      </c>
      <c r="AX234" s="136">
        <f>IF(AI233="","",IF(B234="","",B234))</f>
        <v>1</v>
      </c>
      <c r="AY234" s="136" t="str">
        <f>IF(AI233="","",IF(C234="","",C234))</f>
        <v/>
      </c>
      <c r="AZ234" s="136" t="str">
        <f>IF(AI233="","",IF(D234="","",D234))</f>
        <v/>
      </c>
      <c r="BA234" s="136" t="str">
        <f>IF(AI233="","",IF(E234="","",E234))</f>
        <v/>
      </c>
      <c r="BB234" s="136" t="str">
        <f>IF(AI233="","",IF(F234="","",F234))</f>
        <v/>
      </c>
      <c r="BC234" s="136" t="str">
        <f>IF(AI233="","",IF(G234="","",G234))</f>
        <v/>
      </c>
      <c r="BD234" s="136" t="str">
        <f>IF(AI233="","",IF(H234="","",H234))</f>
        <v/>
      </c>
      <c r="BE234" s="136" t="str">
        <f>IF(AI233="","",IF(I234="","",I234))</f>
        <v/>
      </c>
      <c r="BF234" s="136" t="str">
        <f>IF(AI233="","",IF(J234="","",J234))</f>
        <v/>
      </c>
      <c r="BG234" s="136" t="str">
        <f>IF(AI233="","",IF(K234="","",K234))</f>
        <v/>
      </c>
      <c r="BH234" s="136" t="str">
        <f>IF(AI233="","",IF(L234="","",L234))</f>
        <v/>
      </c>
      <c r="BI234" s="136" t="str">
        <f>IF(AI233="","",IF(M234="","",M234))</f>
        <v/>
      </c>
      <c r="BJ234" s="136" t="str">
        <f>IF(AI233="","",IF(N234="","",N234))</f>
        <v/>
      </c>
      <c r="BK234" s="136" t="str">
        <f>IF(AI233="","",IF(O234="","",O234))</f>
        <v/>
      </c>
      <c r="CA234" s="183">
        <f>'INFO BASE'!L297</f>
        <v>0</v>
      </c>
      <c r="CB234" s="183">
        <f>'INFO BASE'!M297</f>
        <v>0</v>
      </c>
      <c r="CR234" s="136">
        <f>SUM(CR237:DE284,Q234)</f>
        <v>0</v>
      </c>
    </row>
    <row r="235" spans="1:120" ht="37.5" customHeight="1" thickBot="1" x14ac:dyDescent="0.35">
      <c r="A235" s="146"/>
      <c r="B235" s="330" t="str">
        <f>CONCATENATE("Segunda ",CHAR(10),TEXT(B236,"dd-mm-aaaa"))</f>
        <v>Segunda 
12-10-2015</v>
      </c>
      <c r="C235" s="317"/>
      <c r="D235" s="317" t="str">
        <f>CONCATENATE("Terça ",CHAR(10),TEXT(D236,"dd-mm-aaaa"))</f>
        <v>Terça 
13-10-2015</v>
      </c>
      <c r="E235" s="317"/>
      <c r="F235" s="317" t="str">
        <f>CONCATENATE("Quarta ",CHAR(10),TEXT(F236,"dd-mm-aaaa"))</f>
        <v>Quarta 
14-10-2015</v>
      </c>
      <c r="G235" s="317"/>
      <c r="H235" s="317" t="str">
        <f>CONCATENATE("Quinta ",CHAR(10),TEXT(H236,"dd-mm-aaaa"))</f>
        <v>Quinta 
15-10-2015</v>
      </c>
      <c r="I235" s="317"/>
      <c r="J235" s="317" t="str">
        <f>CONCATENATE("Sexta ",CHAR(10),TEXT(J236,"dd-mm-aaaa"))</f>
        <v>Sexta 
16-10-2015</v>
      </c>
      <c r="K235" s="317"/>
      <c r="L235" s="317" t="str">
        <f>CONCATENATE("Sábado ",CHAR(10),TEXT(L236,"dd-mm-aaaa"))</f>
        <v>Sábado 
17-10-2015</v>
      </c>
      <c r="M235" s="317"/>
      <c r="N235" s="317" t="str">
        <f>CONCATENATE("Domingo ",CHAR(10),TEXT(N236,"dd-mm-aaaa"))</f>
        <v>Domingo 
18-10-2015</v>
      </c>
      <c r="O235" s="329"/>
      <c r="Q235" s="55" t="str">
        <f>'INFO BASE'!$L$3</f>
        <v>PRIORIDADES PARA ESTA SEMANA</v>
      </c>
      <c r="R235" s="132"/>
      <c r="S235" s="132"/>
      <c r="T235" s="132"/>
      <c r="U235" s="132"/>
      <c r="V235" s="132"/>
      <c r="W235" s="195" t="str">
        <f>CONCATENATE("HORÁRIO ",'INFO BASE'!$C$6,"_",'INFO BASE'!$C$5,": ",UPPER(A232))</f>
        <v>HORÁRIO André Fonseca_84698: SEMANA 5</v>
      </c>
      <c r="X235" s="198">
        <v>1</v>
      </c>
      <c r="Y235" s="261" t="str">
        <f>'INFO BASE'!$L$1</f>
        <v>MOMENTOS AVALIATIVOS</v>
      </c>
      <c r="Z235" s="261"/>
      <c r="AA235" s="261"/>
      <c r="AB235" s="261"/>
      <c r="AC235" s="261" t="s">
        <v>215</v>
      </c>
      <c r="AD235" s="261"/>
      <c r="AE235" s="261"/>
      <c r="AF235" s="261"/>
      <c r="AI235" s="136" t="str">
        <f>B235</f>
        <v>Segunda 
12-10-2015</v>
      </c>
      <c r="AK235" s="136" t="str">
        <f>D235</f>
        <v>Terça 
13-10-2015</v>
      </c>
      <c r="AM235" s="136" t="str">
        <f>F235</f>
        <v>Quarta 
14-10-2015</v>
      </c>
      <c r="AO235" s="136" t="str">
        <f>H235</f>
        <v>Quinta 
15-10-2015</v>
      </c>
      <c r="AQ235" s="136" t="str">
        <f>J235</f>
        <v>Sexta 
16-10-2015</v>
      </c>
      <c r="AS235" s="136" t="str">
        <f>L235</f>
        <v>Sábado 
17-10-2015</v>
      </c>
      <c r="AU235" s="136" t="str">
        <f>N235</f>
        <v>Domingo 
18-10-2015</v>
      </c>
      <c r="AX235" s="136" t="str">
        <f>IF(AI233="","",IF(B235="","",B235))</f>
        <v>Segunda 
12-10-2015</v>
      </c>
      <c r="AY235" s="136" t="str">
        <f>IF(AI233="","",IF(C235="","",C235))</f>
        <v/>
      </c>
      <c r="AZ235" s="136" t="str">
        <f>IF(AI233="","",IF(D235="","",D235))</f>
        <v>Terça 
13-10-2015</v>
      </c>
      <c r="BA235" s="136" t="str">
        <f>IF(AI233="","",IF(E235="","",E235))</f>
        <v/>
      </c>
      <c r="BB235" s="136" t="str">
        <f>IF(AI233="","",IF(F235="","",F235))</f>
        <v>Quarta 
14-10-2015</v>
      </c>
      <c r="BC235" s="136" t="str">
        <f>IF(AI233="","",IF(G235="","",G235))</f>
        <v/>
      </c>
      <c r="BD235" s="136" t="str">
        <f>IF(AI233="","",IF(H235="","",H235))</f>
        <v>Quinta 
15-10-2015</v>
      </c>
      <c r="BE235" s="136" t="str">
        <f>IF(AI233="","",IF(I235="","",I235))</f>
        <v/>
      </c>
      <c r="BF235" s="136" t="str">
        <f>IF(AI233="","",IF(J235="","",J235))</f>
        <v>Sexta 
16-10-2015</v>
      </c>
      <c r="BG235" s="136" t="str">
        <f>IF(AI233="","",IF(K235="","",K235))</f>
        <v/>
      </c>
      <c r="BH235" s="136" t="str">
        <f>IF(AI233="","",IF(L235="","",L235))</f>
        <v>Sábado 
17-10-2015</v>
      </c>
      <c r="BI235" s="136" t="str">
        <f>IF(AI233="","",IF(M235="","",M235))</f>
        <v/>
      </c>
      <c r="BJ235" s="136" t="str">
        <f>IF(AI233="","",IF(N235="","",N235))</f>
        <v>Domingo 
18-10-2015</v>
      </c>
      <c r="BK235" s="136" t="str">
        <f>IF(AI233="","",IF(O235="","",O235))</f>
        <v/>
      </c>
      <c r="CA235" s="183">
        <f>'INFO BASE'!L298</f>
        <v>0</v>
      </c>
      <c r="CB235" s="183">
        <f>'INFO BASE'!M298</f>
        <v>0</v>
      </c>
    </row>
    <row r="236" spans="1:120" ht="21" hidden="1" customHeight="1" thickTop="1" thickBot="1" x14ac:dyDescent="0.35">
      <c r="A236" s="142"/>
      <c r="B236" s="333">
        <f>N179+1</f>
        <v>42289</v>
      </c>
      <c r="C236" s="334"/>
      <c r="D236" s="334">
        <f>B236+1</f>
        <v>42290</v>
      </c>
      <c r="E236" s="334"/>
      <c r="F236" s="334">
        <f>D236+1</f>
        <v>42291</v>
      </c>
      <c r="G236" s="334"/>
      <c r="H236" s="334">
        <f>F236+1</f>
        <v>42292</v>
      </c>
      <c r="I236" s="334"/>
      <c r="J236" s="334">
        <f>H236+1</f>
        <v>42293</v>
      </c>
      <c r="K236" s="334"/>
      <c r="L236" s="334">
        <f>J236+1</f>
        <v>42294</v>
      </c>
      <c r="M236" s="334"/>
      <c r="N236" s="334">
        <f>L236+1</f>
        <v>42295</v>
      </c>
      <c r="O236" s="334"/>
      <c r="Q236" s="132"/>
      <c r="R236" s="132"/>
      <c r="S236" s="132"/>
      <c r="T236" s="132"/>
      <c r="U236" s="132"/>
      <c r="V236" s="132"/>
      <c r="W236" s="132"/>
      <c r="X236" s="198">
        <v>1</v>
      </c>
      <c r="Y236" s="132"/>
      <c r="Z236" s="132"/>
      <c r="AA236" s="132"/>
      <c r="AB236" s="131"/>
      <c r="AC236" s="131"/>
      <c r="AD236" s="131"/>
      <c r="AE236" s="131"/>
      <c r="AF236" s="131"/>
      <c r="AI236" s="136">
        <f>B236</f>
        <v>42289</v>
      </c>
      <c r="AK236" s="136">
        <f>D236</f>
        <v>42290</v>
      </c>
      <c r="AM236" s="136">
        <f>F236</f>
        <v>42291</v>
      </c>
      <c r="AO236" s="136">
        <f>H236</f>
        <v>42292</v>
      </c>
      <c r="AQ236" s="136">
        <f>J236</f>
        <v>42293</v>
      </c>
      <c r="AS236" s="136">
        <f>L236</f>
        <v>42294</v>
      </c>
      <c r="AU236" s="136">
        <f>N236</f>
        <v>42295</v>
      </c>
      <c r="AX236" s="136">
        <f>IF(AI233="","",IF(B236="","",B236))</f>
        <v>42289</v>
      </c>
      <c r="AY236" s="136" t="str">
        <f>IF(AI233="","",IF(C236="","",C236))</f>
        <v/>
      </c>
      <c r="AZ236" s="136">
        <f>IF(AI233="","",IF(D236="","",D236))</f>
        <v>42290</v>
      </c>
      <c r="BA236" s="136" t="str">
        <f>IF(AI233="","",IF(E236="","",E236))</f>
        <v/>
      </c>
      <c r="BB236" s="136">
        <f>IF(AI233="","",IF(F236="","",F236))</f>
        <v>42291</v>
      </c>
      <c r="BC236" s="136" t="str">
        <f>IF(AI233="","",IF(G236="","",G236))</f>
        <v/>
      </c>
      <c r="BD236" s="136">
        <f>IF(AI233="","",IF(H236="","",H236))</f>
        <v>42292</v>
      </c>
      <c r="BE236" s="136" t="str">
        <f>IF(AI233="","",IF(I236="","",I236))</f>
        <v/>
      </c>
      <c r="BF236" s="136">
        <f>IF(AI233="","",IF(J236="","",J236))</f>
        <v>42293</v>
      </c>
      <c r="BG236" s="136" t="str">
        <f>IF(AI233="","",IF(K236="","",K236))</f>
        <v/>
      </c>
      <c r="BH236" s="136">
        <f>IF(AI233="","",IF(L236="","",L236))</f>
        <v>42294</v>
      </c>
      <c r="BI236" s="136" t="str">
        <f>IF(AI233="","",IF(M236="","",M236))</f>
        <v/>
      </c>
      <c r="BJ236" s="136">
        <f>IF(AI233="","",IF(N236="","",N236))</f>
        <v>42295</v>
      </c>
      <c r="BK236" s="136" t="str">
        <f>IF(AI233="","",IF(O236="","",O236))</f>
        <v/>
      </c>
      <c r="CA236" s="183">
        <f>'INFO BASE'!L299</f>
        <v>0</v>
      </c>
      <c r="CB236" s="183">
        <f>'INFO BASE'!M299</f>
        <v>0</v>
      </c>
    </row>
    <row r="237" spans="1:120" ht="18" customHeight="1" thickTop="1" x14ac:dyDescent="0.3">
      <c r="A237" s="81">
        <v>0</v>
      </c>
      <c r="B237" s="165" t="s">
        <v>10</v>
      </c>
      <c r="C237" s="150" t="s">
        <v>120</v>
      </c>
      <c r="D237" s="168" t="s">
        <v>10</v>
      </c>
      <c r="E237" s="150" t="s">
        <v>120</v>
      </c>
      <c r="F237" s="168" t="s">
        <v>10</v>
      </c>
      <c r="G237" s="150" t="s">
        <v>120</v>
      </c>
      <c r="H237" s="168" t="s">
        <v>10</v>
      </c>
      <c r="I237" s="150" t="s">
        <v>120</v>
      </c>
      <c r="J237" s="168" t="s">
        <v>10</v>
      </c>
      <c r="K237" s="150" t="s">
        <v>120</v>
      </c>
      <c r="L237" s="168" t="s">
        <v>128</v>
      </c>
      <c r="M237" s="150" t="s">
        <v>230</v>
      </c>
      <c r="N237" s="168" t="s">
        <v>116</v>
      </c>
      <c r="O237" s="152" t="s">
        <v>120</v>
      </c>
      <c r="Q237" s="281" t="s">
        <v>250</v>
      </c>
      <c r="R237" s="282"/>
      <c r="S237" s="282"/>
      <c r="T237" s="282"/>
      <c r="U237" s="282"/>
      <c r="V237" s="282"/>
      <c r="W237" s="283"/>
      <c r="X237" s="199">
        <v>1</v>
      </c>
      <c r="Y237" s="268" t="str">
        <f t="array" ref="Y237">IF(ISERROR(INDEX($CA$2:$CB$200,SMALL(IF($CA$2:$CA$200=$A$232,ROW($CA$2:$CA$200)),ROW(1:1))-1,2)),"",INDEX($CA$2:$CB$200,SMALL(IF($CA$2:$CA$200=$A$232,ROW($CA$2:$CA$200)),ROW(1:1))-1,2))</f>
        <v/>
      </c>
      <c r="Z237" s="269"/>
      <c r="AA237" s="269"/>
      <c r="AB237" s="269"/>
      <c r="AC237" s="269"/>
      <c r="AD237" s="269"/>
      <c r="AE237" s="269"/>
      <c r="AF237" s="270"/>
      <c r="AH237" s="136">
        <v>0</v>
      </c>
      <c r="AI237" s="136" t="s">
        <v>10</v>
      </c>
      <c r="AJ237" s="136" t="s">
        <v>120</v>
      </c>
      <c r="AK237" s="136" t="s">
        <v>10</v>
      </c>
      <c r="AL237" s="136" t="s">
        <v>120</v>
      </c>
      <c r="AM237" s="136" t="s">
        <v>10</v>
      </c>
      <c r="AN237" s="136" t="s">
        <v>120</v>
      </c>
      <c r="AO237" s="136" t="s">
        <v>10</v>
      </c>
      <c r="AP237" s="136" t="s">
        <v>120</v>
      </c>
      <c r="AQ237" s="136" t="s">
        <v>10</v>
      </c>
      <c r="AR237" s="136" t="s">
        <v>120</v>
      </c>
      <c r="AS237" s="136" t="s">
        <v>116</v>
      </c>
      <c r="AT237" s="136" t="s">
        <v>120</v>
      </c>
      <c r="AU237" s="136" t="s">
        <v>116</v>
      </c>
      <c r="AV237" s="136" t="s">
        <v>120</v>
      </c>
      <c r="AX237" s="136" t="str">
        <f>IF(AI233="","",IF(B237="","",B237))</f>
        <v>HS</v>
      </c>
      <c r="AY237" s="136" t="str">
        <f>IF(AI233="","",IF(C237="","",C237))</f>
        <v>-</v>
      </c>
      <c r="AZ237" s="136" t="str">
        <f>IF(AI233="","",IF(D237="","",D237))</f>
        <v>HS</v>
      </c>
      <c r="BA237" s="136" t="str">
        <f>IF(AI233="","",IF(E237="","",E237))</f>
        <v>-</v>
      </c>
      <c r="BB237" s="136" t="str">
        <f>IF(AI233="","",IF(F237="","",F237))</f>
        <v>HS</v>
      </c>
      <c r="BC237" s="136" t="str">
        <f>IF(AI233="","",IF(G237="","",G237))</f>
        <v>-</v>
      </c>
      <c r="BD237" s="136" t="str">
        <f>IF(AI233="","",IF(H237="","",H237))</f>
        <v>HS</v>
      </c>
      <c r="BE237" s="136" t="str">
        <f>IF(AI233="","",IF(I237="","",I237))</f>
        <v>-</v>
      </c>
      <c r="BF237" s="136" t="str">
        <f>IF(AI233="","",IF(J237="","",J237))</f>
        <v>HS</v>
      </c>
      <c r="BG237" s="136" t="str">
        <f>IF(AI233="","",IF(K237="","",K237))</f>
        <v>-</v>
      </c>
      <c r="BH237" s="136" t="str">
        <f>IF(AI233="","",IF(L237="","",L237))</f>
        <v>EG</v>
      </c>
      <c r="BI237" s="136" t="str">
        <f>IF(AI233="","",IF(M237="","",M237))</f>
        <v>AL</v>
      </c>
      <c r="BJ237" s="136" t="str">
        <f>IF(AI233="","",IF(N237="","",N237))</f>
        <v>PV</v>
      </c>
      <c r="BK237" s="136" t="str">
        <f>IF(AI233="","",IF(O237="","",O237))</f>
        <v>-</v>
      </c>
      <c r="CA237" s="183">
        <f>'INFO BASE'!L300</f>
        <v>0</v>
      </c>
      <c r="CB237" s="183">
        <f>'INFO BASE'!M300</f>
        <v>0</v>
      </c>
      <c r="CD237" s="136">
        <f>COUNTA('INFO BASE'!E261:E266)+6</f>
        <v>6</v>
      </c>
      <c r="CR237" s="177" t="str">
        <f>IF(B237="",1,B237)</f>
        <v>HS</v>
      </c>
      <c r="CS237" s="177" t="str">
        <f>IF(B237="PV",0,IFERROR(VLOOKUP(CONCATENATE(B237,C237),$DK$9:$DK$72,1,0),1))</f>
        <v>HS-</v>
      </c>
      <c r="CT237" s="177" t="str">
        <f>IF(D237="",1,D237)</f>
        <v>HS</v>
      </c>
      <c r="CU237" s="177" t="str">
        <f>IF(D237="PV",0,IFERROR(VLOOKUP(CONCATENATE(D237,E237),$DK$9:$DK$72,1,0),1))</f>
        <v>HS-</v>
      </c>
      <c r="CV237" s="177" t="str">
        <f>IF(F237="",1,F237)</f>
        <v>HS</v>
      </c>
      <c r="CW237" s="177" t="str">
        <f>IF(F237="PV",0,IFERROR(VLOOKUP(CONCATENATE(F237,G237),$DK$9:$DK$72,1,0),1))</f>
        <v>HS-</v>
      </c>
      <c r="CX237" s="177" t="str">
        <f>IF(H237="",1,H237)</f>
        <v>HS</v>
      </c>
      <c r="CY237" s="177" t="str">
        <f>IF(H237="PV",0,IFERROR(VLOOKUP(CONCATENATE(H237,I237),$DK$9:$DK$72,1,0),1))</f>
        <v>HS-</v>
      </c>
      <c r="CZ237" s="177" t="str">
        <f>IF(J237="",1,J237)</f>
        <v>HS</v>
      </c>
      <c r="DA237" s="177" t="str">
        <f>IF(J237="PV",0,IFERROR(VLOOKUP(CONCATENATE(J237,K237),$DK$9:$DK$72,1,0),1))</f>
        <v>HS-</v>
      </c>
      <c r="DB237" s="177" t="str">
        <f>IF(L237="",1,L237)</f>
        <v>EG</v>
      </c>
      <c r="DC237" s="177" t="str">
        <f>IF(L237="PV",0,IFERROR(VLOOKUP(CONCATENATE(L237,M237),$DK$9:$DK$72,1,0),1))</f>
        <v>EGAL</v>
      </c>
      <c r="DD237" s="177" t="str">
        <f>IF(N237="",1,N237)</f>
        <v>PV</v>
      </c>
      <c r="DE237" s="177">
        <f>IF(N237="PV",0,IFERROR(VLOOKUP(CONCATENATE(N237,O237),$DK$9:$DK$72,1,0),1))</f>
        <v>0</v>
      </c>
    </row>
    <row r="238" spans="1:120" ht="18" customHeight="1" x14ac:dyDescent="0.3">
      <c r="A238" s="81">
        <v>2.0833333333333998E-2</v>
      </c>
      <c r="B238" s="166" t="s">
        <v>10</v>
      </c>
      <c r="C238" s="130" t="s">
        <v>120</v>
      </c>
      <c r="D238" s="169" t="s">
        <v>10</v>
      </c>
      <c r="E238" s="130" t="s">
        <v>120</v>
      </c>
      <c r="F238" s="169" t="s">
        <v>10</v>
      </c>
      <c r="G238" s="130" t="s">
        <v>120</v>
      </c>
      <c r="H238" s="169" t="s">
        <v>10</v>
      </c>
      <c r="I238" s="130" t="s">
        <v>120</v>
      </c>
      <c r="J238" s="169" t="s">
        <v>10</v>
      </c>
      <c r="K238" s="130" t="s">
        <v>120</v>
      </c>
      <c r="L238" s="169" t="s">
        <v>128</v>
      </c>
      <c r="M238" s="130" t="s">
        <v>230</v>
      </c>
      <c r="N238" s="169" t="s">
        <v>116</v>
      </c>
      <c r="O238" s="154" t="s">
        <v>120</v>
      </c>
      <c r="Q238" s="284"/>
      <c r="R238" s="285"/>
      <c r="S238" s="285"/>
      <c r="T238" s="285"/>
      <c r="U238" s="285"/>
      <c r="V238" s="285"/>
      <c r="W238" s="286"/>
      <c r="X238" s="199">
        <v>1</v>
      </c>
      <c r="Y238" s="262" t="str">
        <f t="array" ref="Y238">IF(ISERROR(INDEX($CA$2:$CB$200,SMALL(IF($CA$2:$CA$200=$A$232,ROW($CA$2:$CA$200)),ROW(2:2))-1,2)),"",INDEX($CA$2:$CB$200,SMALL(IF($CA$2:$CA$200=$A$232,ROW($CA$2:$CA$200)),ROW(2:2))-1,2))</f>
        <v/>
      </c>
      <c r="Z238" s="263"/>
      <c r="AA238" s="263"/>
      <c r="AB238" s="263"/>
      <c r="AC238" s="263"/>
      <c r="AD238" s="263"/>
      <c r="AE238" s="263"/>
      <c r="AF238" s="264"/>
      <c r="AH238" s="136">
        <v>2.0833333333333998E-2</v>
      </c>
      <c r="AI238" s="136" t="s">
        <v>10</v>
      </c>
      <c r="AJ238" s="136" t="s">
        <v>120</v>
      </c>
      <c r="AK238" s="136" t="s">
        <v>10</v>
      </c>
      <c r="AL238" s="136" t="s">
        <v>120</v>
      </c>
      <c r="AM238" s="136" t="s">
        <v>10</v>
      </c>
      <c r="AN238" s="136" t="s">
        <v>120</v>
      </c>
      <c r="AO238" s="136" t="s">
        <v>10</v>
      </c>
      <c r="AP238" s="136" t="s">
        <v>120</v>
      </c>
      <c r="AQ238" s="136" t="s">
        <v>10</v>
      </c>
      <c r="AR238" s="136" t="s">
        <v>120</v>
      </c>
      <c r="AS238" s="136" t="s">
        <v>116</v>
      </c>
      <c r="AT238" s="136" t="s">
        <v>120</v>
      </c>
      <c r="AU238" s="136" t="s">
        <v>116</v>
      </c>
      <c r="AV238" s="136" t="s">
        <v>120</v>
      </c>
      <c r="AX238" s="136" t="str">
        <f>IF(AI233="","",IF(B238="","",B238))</f>
        <v>HS</v>
      </c>
      <c r="AY238" s="136" t="str">
        <f>IF(AI233="","",IF(C238="","",C238))</f>
        <v>-</v>
      </c>
      <c r="AZ238" s="136" t="str">
        <f>IF(AI233="","",IF(D238="","",D238))</f>
        <v>HS</v>
      </c>
      <c r="BA238" s="136" t="str">
        <f>IF(AI233="","",IF(E238="","",E238))</f>
        <v>-</v>
      </c>
      <c r="BB238" s="136" t="str">
        <f>IF(AI233="","",IF(F238="","",F238))</f>
        <v>HS</v>
      </c>
      <c r="BC238" s="136" t="str">
        <f>IF(AI233="","",IF(G238="","",G238))</f>
        <v>-</v>
      </c>
      <c r="BD238" s="136" t="str">
        <f>IF(AI233="","",IF(H238="","",H238))</f>
        <v>HS</v>
      </c>
      <c r="BE238" s="136" t="str">
        <f>IF(AI233="","",IF(I238="","",I238))</f>
        <v>-</v>
      </c>
      <c r="BF238" s="136" t="str">
        <f>IF(AI233="","",IF(J238="","",J238))</f>
        <v>HS</v>
      </c>
      <c r="BG238" s="136" t="str">
        <f>IF(AI233="","",IF(K238="","",K238))</f>
        <v>-</v>
      </c>
      <c r="BH238" s="136" t="str">
        <f>IF(AI233="","",IF(L238="","",L238))</f>
        <v>EG</v>
      </c>
      <c r="BI238" s="136" t="str">
        <f>IF(AI233="","",IF(M238="","",M238))</f>
        <v>AL</v>
      </c>
      <c r="BJ238" s="136" t="str">
        <f>IF(AI233="","",IF(N238="","",N238))</f>
        <v>PV</v>
      </c>
      <c r="BK238" s="136" t="str">
        <f>IF(AI233="","",IF(O238="","",O238))</f>
        <v>-</v>
      </c>
      <c r="CA238" s="183">
        <f>'INFO BASE'!L301</f>
        <v>0</v>
      </c>
      <c r="CB238" s="183">
        <f>'INFO BASE'!M301</f>
        <v>0</v>
      </c>
      <c r="CR238" s="177" t="str">
        <f t="shared" ref="CR238:DB280" si="145">IF(B238="",1,B238)</f>
        <v>HS</v>
      </c>
      <c r="CS238" s="177" t="str">
        <f t="shared" ref="CS238:CS284" si="146">IF(B238="PV",0,IFERROR(VLOOKUP(CONCATENATE(B238,C238),$DK$9:$DK$72,1,0),1))</f>
        <v>HS-</v>
      </c>
      <c r="CT238" s="177" t="str">
        <f t="shared" si="145"/>
        <v>HS</v>
      </c>
      <c r="CU238" s="177" t="str">
        <f t="shared" ref="CU238:CU284" si="147">IF(D238="PV",0,IFERROR(VLOOKUP(CONCATENATE(D238,E238),$DK$9:$DK$72,1,0),1))</f>
        <v>HS-</v>
      </c>
      <c r="CV238" s="177" t="str">
        <f t="shared" si="145"/>
        <v>HS</v>
      </c>
      <c r="CW238" s="177" t="str">
        <f t="shared" ref="CW238:CW284" si="148">IF(F238="PV",0,IFERROR(VLOOKUP(CONCATENATE(F238,G238),$DK$9:$DK$72,1,0),1))</f>
        <v>HS-</v>
      </c>
      <c r="CX238" s="177" t="str">
        <f t="shared" si="145"/>
        <v>HS</v>
      </c>
      <c r="CY238" s="177" t="str">
        <f t="shared" ref="CY238:CY284" si="149">IF(H238="PV",0,IFERROR(VLOOKUP(CONCATENATE(H238,I238),$DK$9:$DK$72,1,0),1))</f>
        <v>HS-</v>
      </c>
      <c r="CZ238" s="177" t="str">
        <f t="shared" si="145"/>
        <v>HS</v>
      </c>
      <c r="DA238" s="177" t="str">
        <f t="shared" ref="DA238:DA284" si="150">IF(J238="PV",0,IFERROR(VLOOKUP(CONCATENATE(J238,K238),$DK$9:$DK$72,1,0),1))</f>
        <v>HS-</v>
      </c>
      <c r="DB238" s="177" t="str">
        <f t="shared" si="145"/>
        <v>EG</v>
      </c>
      <c r="DC238" s="177" t="str">
        <f t="shared" ref="DC238:DC284" si="151">IF(L238="PV",0,IFERROR(VLOOKUP(CONCATENATE(L238,M238),$DK$9:$DK$72,1,0),1))</f>
        <v>EGAL</v>
      </c>
      <c r="DD238" s="177" t="str">
        <f t="shared" ref="DD238:DD284" si="152">IF(N238="",1,N238)</f>
        <v>PV</v>
      </c>
      <c r="DE238" s="177">
        <f t="shared" ref="DE238:DE284" si="153">IF(N238="PV",0,IFERROR(VLOOKUP(CONCATENATE(N238,O238),$DK$9:$DK$72,1,0),1))</f>
        <v>0</v>
      </c>
    </row>
    <row r="239" spans="1:120" ht="18" customHeight="1" x14ac:dyDescent="0.3">
      <c r="A239" s="81">
        <v>4.1666666666667997E-2</v>
      </c>
      <c r="B239" s="166" t="s">
        <v>10</v>
      </c>
      <c r="C239" s="130" t="s">
        <v>120</v>
      </c>
      <c r="D239" s="169" t="s">
        <v>10</v>
      </c>
      <c r="E239" s="130" t="s">
        <v>120</v>
      </c>
      <c r="F239" s="169" t="s">
        <v>10</v>
      </c>
      <c r="G239" s="130" t="s">
        <v>120</v>
      </c>
      <c r="H239" s="169" t="s">
        <v>10</v>
      </c>
      <c r="I239" s="130" t="s">
        <v>120</v>
      </c>
      <c r="J239" s="169" t="s">
        <v>10</v>
      </c>
      <c r="K239" s="130" t="s">
        <v>120</v>
      </c>
      <c r="L239" s="169" t="s">
        <v>128</v>
      </c>
      <c r="M239" s="130" t="s">
        <v>230</v>
      </c>
      <c r="N239" s="169" t="s">
        <v>116</v>
      </c>
      <c r="O239" s="154" t="s">
        <v>120</v>
      </c>
      <c r="Q239" s="284"/>
      <c r="R239" s="285"/>
      <c r="S239" s="285"/>
      <c r="T239" s="285"/>
      <c r="U239" s="285"/>
      <c r="V239" s="285"/>
      <c r="W239" s="286"/>
      <c r="X239" s="199">
        <v>1</v>
      </c>
      <c r="Y239" s="262" t="str">
        <f t="array" ref="Y239">IF(ISERROR(INDEX($CA$2:$CB$200,SMALL(IF($CA$2:$CA$200=$A$232,ROW($CA$2:$CA$200)),ROW(3:3))-1,2)),"",INDEX($CA$2:$CB$200,SMALL(IF($CA$2:$CA$200=$A$232,ROW($CA$2:$CA$200)),ROW(3:3))-1,2))</f>
        <v/>
      </c>
      <c r="Z239" s="263"/>
      <c r="AA239" s="263"/>
      <c r="AB239" s="263"/>
      <c r="AC239" s="263"/>
      <c r="AD239" s="263"/>
      <c r="AE239" s="263"/>
      <c r="AF239" s="264"/>
      <c r="AH239" s="136">
        <v>4.1666666666667997E-2</v>
      </c>
      <c r="AI239" s="136" t="s">
        <v>10</v>
      </c>
      <c r="AJ239" s="136" t="s">
        <v>120</v>
      </c>
      <c r="AK239" s="136" t="s">
        <v>10</v>
      </c>
      <c r="AL239" s="136" t="s">
        <v>120</v>
      </c>
      <c r="AM239" s="136" t="s">
        <v>10</v>
      </c>
      <c r="AN239" s="136" t="s">
        <v>120</v>
      </c>
      <c r="AO239" s="136" t="s">
        <v>10</v>
      </c>
      <c r="AP239" s="136" t="s">
        <v>120</v>
      </c>
      <c r="AQ239" s="136" t="s">
        <v>10</v>
      </c>
      <c r="AR239" s="136" t="s">
        <v>120</v>
      </c>
      <c r="AS239" s="136" t="s">
        <v>116</v>
      </c>
      <c r="AT239" s="136" t="s">
        <v>120</v>
      </c>
      <c r="AU239" s="136" t="s">
        <v>116</v>
      </c>
      <c r="AV239" s="136" t="s">
        <v>120</v>
      </c>
      <c r="AX239" s="136" t="str">
        <f>IF(AI233="","",IF(B239="","",B239))</f>
        <v>HS</v>
      </c>
      <c r="AY239" s="136" t="str">
        <f>IF(AI233="","",IF(C239="","",C239))</f>
        <v>-</v>
      </c>
      <c r="AZ239" s="136" t="str">
        <f>IF(AI233="","",IF(D239="","",D239))</f>
        <v>HS</v>
      </c>
      <c r="BA239" s="136" t="str">
        <f>IF(AI233="","",IF(E239="","",E239))</f>
        <v>-</v>
      </c>
      <c r="BB239" s="136" t="str">
        <f>IF(AI233="","",IF(F239="","",F239))</f>
        <v>HS</v>
      </c>
      <c r="BC239" s="136" t="str">
        <f>IF(AI233="","",IF(G239="","",G239))</f>
        <v>-</v>
      </c>
      <c r="BD239" s="136" t="str">
        <f>IF(AI233="","",IF(H239="","",H239))</f>
        <v>HS</v>
      </c>
      <c r="BE239" s="136" t="str">
        <f>IF(AI233="","",IF(I239="","",I239))</f>
        <v>-</v>
      </c>
      <c r="BF239" s="136" t="str">
        <f>IF(AI233="","",IF(J239="","",J239))</f>
        <v>HS</v>
      </c>
      <c r="BG239" s="136" t="str">
        <f>IF(AI233="","",IF(K239="","",K239))</f>
        <v>-</v>
      </c>
      <c r="BH239" s="136" t="str">
        <f>IF(AI233="","",IF(L239="","",L239))</f>
        <v>EG</v>
      </c>
      <c r="BI239" s="136" t="str">
        <f>IF(AI233="","",IF(M239="","",M239))</f>
        <v>AL</v>
      </c>
      <c r="BJ239" s="136" t="str">
        <f>IF(AI233="","",IF(N239="","",N239))</f>
        <v>PV</v>
      </c>
      <c r="BK239" s="136" t="str">
        <f>IF(AI233="","",IF(O239="","",O239))</f>
        <v>-</v>
      </c>
      <c r="CA239" s="183">
        <f>'INFO BASE'!L302</f>
        <v>0</v>
      </c>
      <c r="CB239" s="183">
        <f>'INFO BASE'!M302</f>
        <v>0</v>
      </c>
      <c r="CR239" s="177" t="str">
        <f t="shared" si="145"/>
        <v>HS</v>
      </c>
      <c r="CS239" s="177" t="str">
        <f t="shared" si="146"/>
        <v>HS-</v>
      </c>
      <c r="CT239" s="177" t="str">
        <f t="shared" si="145"/>
        <v>HS</v>
      </c>
      <c r="CU239" s="177" t="str">
        <f t="shared" si="147"/>
        <v>HS-</v>
      </c>
      <c r="CV239" s="177" t="str">
        <f t="shared" si="145"/>
        <v>HS</v>
      </c>
      <c r="CW239" s="177" t="str">
        <f t="shared" si="148"/>
        <v>HS-</v>
      </c>
      <c r="CX239" s="177" t="str">
        <f t="shared" si="145"/>
        <v>HS</v>
      </c>
      <c r="CY239" s="177" t="str">
        <f t="shared" si="149"/>
        <v>HS-</v>
      </c>
      <c r="CZ239" s="177" t="str">
        <f t="shared" si="145"/>
        <v>HS</v>
      </c>
      <c r="DA239" s="177" t="str">
        <f t="shared" si="150"/>
        <v>HS-</v>
      </c>
      <c r="DB239" s="177" t="str">
        <f t="shared" si="145"/>
        <v>EG</v>
      </c>
      <c r="DC239" s="177" t="str">
        <f t="shared" si="151"/>
        <v>EGAL</v>
      </c>
      <c r="DD239" s="177" t="str">
        <f t="shared" si="152"/>
        <v>PV</v>
      </c>
      <c r="DE239" s="177">
        <f t="shared" si="153"/>
        <v>0</v>
      </c>
    </row>
    <row r="240" spans="1:120" ht="18" customHeight="1" x14ac:dyDescent="0.3">
      <c r="A240" s="81">
        <v>6.2500000000001998E-2</v>
      </c>
      <c r="B240" s="166" t="s">
        <v>10</v>
      </c>
      <c r="C240" s="130" t="s">
        <v>120</v>
      </c>
      <c r="D240" s="169" t="s">
        <v>10</v>
      </c>
      <c r="E240" s="130" t="s">
        <v>120</v>
      </c>
      <c r="F240" s="169" t="s">
        <v>10</v>
      </c>
      <c r="G240" s="130" t="s">
        <v>120</v>
      </c>
      <c r="H240" s="169" t="s">
        <v>10</v>
      </c>
      <c r="I240" s="130" t="s">
        <v>120</v>
      </c>
      <c r="J240" s="169" t="s">
        <v>10</v>
      </c>
      <c r="K240" s="130" t="s">
        <v>120</v>
      </c>
      <c r="L240" s="169" t="s">
        <v>128</v>
      </c>
      <c r="M240" s="130" t="s">
        <v>230</v>
      </c>
      <c r="N240" s="169" t="s">
        <v>10</v>
      </c>
      <c r="O240" s="154" t="s">
        <v>120</v>
      </c>
      <c r="Q240" s="284"/>
      <c r="R240" s="285"/>
      <c r="S240" s="285"/>
      <c r="T240" s="285"/>
      <c r="U240" s="285"/>
      <c r="V240" s="285"/>
      <c r="W240" s="286"/>
      <c r="X240" s="199">
        <v>1</v>
      </c>
      <c r="Y240" s="262" t="str">
        <f t="array" ref="Y240">IF(ISERROR(INDEX($CA$2:$CB$200,SMALL(IF($CA$2:$CA$200=$A$232,ROW($CA$2:$CA$200)),ROW(4:4))-1,2)),"",INDEX($CA$2:$CB$200,SMALL(IF($CA$2:$CA$200=$A$232,ROW($CA$2:$CA$200)),ROW(4:4))-1,2))</f>
        <v/>
      </c>
      <c r="Z240" s="263"/>
      <c r="AA240" s="263"/>
      <c r="AB240" s="263"/>
      <c r="AC240" s="263"/>
      <c r="AD240" s="263"/>
      <c r="AE240" s="263"/>
      <c r="AF240" s="264"/>
      <c r="AH240" s="136">
        <v>6.2500000000001998E-2</v>
      </c>
      <c r="AI240" s="136" t="s">
        <v>10</v>
      </c>
      <c r="AJ240" s="136" t="s">
        <v>120</v>
      </c>
      <c r="AK240" s="136" t="s">
        <v>10</v>
      </c>
      <c r="AL240" s="136" t="s">
        <v>120</v>
      </c>
      <c r="AM240" s="136" t="s">
        <v>10</v>
      </c>
      <c r="AN240" s="136" t="s">
        <v>120</v>
      </c>
      <c r="AO240" s="136" t="s">
        <v>10</v>
      </c>
      <c r="AP240" s="136" t="s">
        <v>120</v>
      </c>
      <c r="AQ240" s="136" t="s">
        <v>10</v>
      </c>
      <c r="AR240" s="136" t="s">
        <v>120</v>
      </c>
      <c r="AS240" s="136" t="s">
        <v>116</v>
      </c>
      <c r="AT240" s="136" t="s">
        <v>120</v>
      </c>
      <c r="AU240" s="136" t="s">
        <v>10</v>
      </c>
      <c r="AV240" s="136" t="s">
        <v>120</v>
      </c>
      <c r="AX240" s="136" t="str">
        <f>IF(AI233="","",IF(B240="","",B240))</f>
        <v>HS</v>
      </c>
      <c r="AY240" s="136" t="str">
        <f>IF(AI233="","",IF(C240="","",C240))</f>
        <v>-</v>
      </c>
      <c r="AZ240" s="136" t="str">
        <f>IF(AI233="","",IF(D240="","",D240))</f>
        <v>HS</v>
      </c>
      <c r="BA240" s="136" t="str">
        <f>IF(AI233="","",IF(E240="","",E240))</f>
        <v>-</v>
      </c>
      <c r="BB240" s="136" t="str">
        <f>IF(AI233="","",IF(F240="","",F240))</f>
        <v>HS</v>
      </c>
      <c r="BC240" s="136" t="str">
        <f>IF(AI233="","",IF(G240="","",G240))</f>
        <v>-</v>
      </c>
      <c r="BD240" s="136" t="str">
        <f>IF(AI233="","",IF(H240="","",H240))</f>
        <v>HS</v>
      </c>
      <c r="BE240" s="136" t="str">
        <f>IF(AI233="","",IF(I240="","",I240))</f>
        <v>-</v>
      </c>
      <c r="BF240" s="136" t="str">
        <f>IF(AI233="","",IF(J240="","",J240))</f>
        <v>HS</v>
      </c>
      <c r="BG240" s="136" t="str">
        <f>IF(AI233="","",IF(K240="","",K240))</f>
        <v>-</v>
      </c>
      <c r="BH240" s="136" t="str">
        <f>IF(AI233="","",IF(L240="","",L240))</f>
        <v>EG</v>
      </c>
      <c r="BI240" s="136" t="str">
        <f>IF(AI233="","",IF(M240="","",M240))</f>
        <v>AL</v>
      </c>
      <c r="BJ240" s="136" t="str">
        <f>IF(AI233="","",IF(N240="","",N240))</f>
        <v>HS</v>
      </c>
      <c r="BK240" s="136" t="str">
        <f>IF(AI233="","",IF(O240="","",O240))</f>
        <v>-</v>
      </c>
      <c r="CA240" s="183">
        <f>'INFO BASE'!L303</f>
        <v>0</v>
      </c>
      <c r="CB240" s="183">
        <f>'INFO BASE'!M303</f>
        <v>0</v>
      </c>
      <c r="CR240" s="177" t="str">
        <f t="shared" si="145"/>
        <v>HS</v>
      </c>
      <c r="CS240" s="177" t="str">
        <f t="shared" si="146"/>
        <v>HS-</v>
      </c>
      <c r="CT240" s="177" t="str">
        <f t="shared" si="145"/>
        <v>HS</v>
      </c>
      <c r="CU240" s="177" t="str">
        <f t="shared" si="147"/>
        <v>HS-</v>
      </c>
      <c r="CV240" s="177" t="str">
        <f t="shared" si="145"/>
        <v>HS</v>
      </c>
      <c r="CW240" s="177" t="str">
        <f t="shared" si="148"/>
        <v>HS-</v>
      </c>
      <c r="CX240" s="177" t="str">
        <f t="shared" si="145"/>
        <v>HS</v>
      </c>
      <c r="CY240" s="177" t="str">
        <f t="shared" si="149"/>
        <v>HS-</v>
      </c>
      <c r="CZ240" s="177" t="str">
        <f t="shared" si="145"/>
        <v>HS</v>
      </c>
      <c r="DA240" s="177" t="str">
        <f t="shared" si="150"/>
        <v>HS-</v>
      </c>
      <c r="DB240" s="177" t="str">
        <f t="shared" si="145"/>
        <v>EG</v>
      </c>
      <c r="DC240" s="177" t="str">
        <f t="shared" si="151"/>
        <v>EGAL</v>
      </c>
      <c r="DD240" s="177" t="str">
        <f t="shared" si="152"/>
        <v>HS</v>
      </c>
      <c r="DE240" s="177" t="str">
        <f t="shared" si="153"/>
        <v>HS-</v>
      </c>
    </row>
    <row r="241" spans="1:109" ht="18" customHeight="1" x14ac:dyDescent="0.3">
      <c r="A241" s="81">
        <v>8.3333333333335993E-2</v>
      </c>
      <c r="B241" s="166" t="s">
        <v>10</v>
      </c>
      <c r="C241" s="130" t="s">
        <v>120</v>
      </c>
      <c r="D241" s="169" t="s">
        <v>10</v>
      </c>
      <c r="E241" s="130" t="s">
        <v>120</v>
      </c>
      <c r="F241" s="169" t="s">
        <v>10</v>
      </c>
      <c r="G241" s="130" t="s">
        <v>120</v>
      </c>
      <c r="H241" s="169" t="s">
        <v>10</v>
      </c>
      <c r="I241" s="130" t="s">
        <v>120</v>
      </c>
      <c r="J241" s="169" t="s">
        <v>10</v>
      </c>
      <c r="K241" s="130" t="s">
        <v>120</v>
      </c>
      <c r="L241" s="169" t="s">
        <v>10</v>
      </c>
      <c r="M241" s="130" t="s">
        <v>120</v>
      </c>
      <c r="N241" s="169" t="s">
        <v>10</v>
      </c>
      <c r="O241" s="154" t="s">
        <v>120</v>
      </c>
      <c r="Q241" s="284"/>
      <c r="R241" s="285"/>
      <c r="S241" s="285"/>
      <c r="T241" s="285"/>
      <c r="U241" s="285"/>
      <c r="V241" s="285"/>
      <c r="W241" s="286"/>
      <c r="X241" s="199">
        <v>1</v>
      </c>
      <c r="Y241" s="262" t="str">
        <f t="array" ref="Y241">IF(ISERROR(INDEX($CA$2:$CB$200,SMALL(IF($CA$2:$CA$200=$A$232,ROW($CA$2:$CA$200)),ROW(5:5))-1,2)),"",INDEX($CA$2:$CB$200,SMALL(IF($CA$2:$CA$200=$A$232,ROW($CA$2:$CA$200)),ROW(5:5))-1,2))</f>
        <v/>
      </c>
      <c r="Z241" s="263"/>
      <c r="AA241" s="263"/>
      <c r="AB241" s="263"/>
      <c r="AC241" s="263"/>
      <c r="AD241" s="263"/>
      <c r="AE241" s="263"/>
      <c r="AF241" s="264"/>
      <c r="AH241" s="136">
        <v>8.3333333333335993E-2</v>
      </c>
      <c r="AI241" s="136" t="s">
        <v>10</v>
      </c>
      <c r="AJ241" s="136" t="s">
        <v>120</v>
      </c>
      <c r="AK241" s="136" t="s">
        <v>10</v>
      </c>
      <c r="AL241" s="136" t="s">
        <v>120</v>
      </c>
      <c r="AM241" s="136" t="s">
        <v>10</v>
      </c>
      <c r="AN241" s="136" t="s">
        <v>120</v>
      </c>
      <c r="AO241" s="136" t="s">
        <v>10</v>
      </c>
      <c r="AP241" s="136" t="s">
        <v>120</v>
      </c>
      <c r="AQ241" s="136" t="s">
        <v>10</v>
      </c>
      <c r="AR241" s="136" t="s">
        <v>120</v>
      </c>
      <c r="AS241" s="136" t="s">
        <v>10</v>
      </c>
      <c r="AT241" s="136" t="s">
        <v>120</v>
      </c>
      <c r="AU241" s="136" t="s">
        <v>10</v>
      </c>
      <c r="AV241" s="136" t="s">
        <v>120</v>
      </c>
      <c r="AX241" s="136" t="str">
        <f>IF(AI233="","",IF(B241="","",B241))</f>
        <v>HS</v>
      </c>
      <c r="AY241" s="136" t="str">
        <f>IF(AI233="","",IF(C241="","",C241))</f>
        <v>-</v>
      </c>
      <c r="AZ241" s="136" t="str">
        <f>IF(AI233="","",IF(D241="","",D241))</f>
        <v>HS</v>
      </c>
      <c r="BA241" s="136" t="str">
        <f>IF(AI233="","",IF(E241="","",E241))</f>
        <v>-</v>
      </c>
      <c r="BB241" s="136" t="str">
        <f>IF(AI233="","",IF(F241="","",F241))</f>
        <v>HS</v>
      </c>
      <c r="BC241" s="136" t="str">
        <f>IF(AI233="","",IF(G241="","",G241))</f>
        <v>-</v>
      </c>
      <c r="BD241" s="136" t="str">
        <f>IF(AI233="","",IF(H241="","",H241))</f>
        <v>HS</v>
      </c>
      <c r="BE241" s="136" t="str">
        <f>IF(AI233="","",IF(I241="","",I241))</f>
        <v>-</v>
      </c>
      <c r="BF241" s="136" t="str">
        <f>IF(AI233="","",IF(J241="","",J241))</f>
        <v>HS</v>
      </c>
      <c r="BG241" s="136" t="str">
        <f>IF(AI233="","",IF(K241="","",K241))</f>
        <v>-</v>
      </c>
      <c r="BH241" s="136" t="str">
        <f>IF(AI233="","",IF(L241="","",L241))</f>
        <v>HS</v>
      </c>
      <c r="BI241" s="136" t="str">
        <f>IF(AI233="","",IF(M241="","",M241))</f>
        <v>-</v>
      </c>
      <c r="BJ241" s="136" t="str">
        <f>IF(AI233="","",IF(N241="","",N241))</f>
        <v>HS</v>
      </c>
      <c r="BK241" s="136" t="str">
        <f>IF(AI233="","",IF(O241="","",O241))</f>
        <v>-</v>
      </c>
      <c r="CA241" s="183">
        <f>'INFO BASE'!L304</f>
        <v>0</v>
      </c>
      <c r="CB241" s="183">
        <f>'INFO BASE'!M304</f>
        <v>0</v>
      </c>
      <c r="CD241" s="136" t="str">
        <f t="shared" ref="CD241:CD246" si="154">R249</f>
        <v>FP</v>
      </c>
      <c r="CR241" s="177" t="str">
        <f t="shared" si="145"/>
        <v>HS</v>
      </c>
      <c r="CS241" s="177" t="str">
        <f t="shared" si="146"/>
        <v>HS-</v>
      </c>
      <c r="CT241" s="177" t="str">
        <f t="shared" si="145"/>
        <v>HS</v>
      </c>
      <c r="CU241" s="177" t="str">
        <f t="shared" si="147"/>
        <v>HS-</v>
      </c>
      <c r="CV241" s="177" t="str">
        <f t="shared" si="145"/>
        <v>HS</v>
      </c>
      <c r="CW241" s="177" t="str">
        <f t="shared" si="148"/>
        <v>HS-</v>
      </c>
      <c r="CX241" s="177" t="str">
        <f t="shared" si="145"/>
        <v>HS</v>
      </c>
      <c r="CY241" s="177" t="str">
        <f t="shared" si="149"/>
        <v>HS-</v>
      </c>
      <c r="CZ241" s="177" t="str">
        <f t="shared" si="145"/>
        <v>HS</v>
      </c>
      <c r="DA241" s="177" t="str">
        <f t="shared" si="150"/>
        <v>HS-</v>
      </c>
      <c r="DB241" s="177" t="str">
        <f t="shared" si="145"/>
        <v>HS</v>
      </c>
      <c r="DC241" s="177" t="str">
        <f t="shared" si="151"/>
        <v>HS-</v>
      </c>
      <c r="DD241" s="177" t="str">
        <f t="shared" si="152"/>
        <v>HS</v>
      </c>
      <c r="DE241" s="177" t="str">
        <f t="shared" si="153"/>
        <v>HS-</v>
      </c>
    </row>
    <row r="242" spans="1:109" ht="18" customHeight="1" x14ac:dyDescent="0.3">
      <c r="A242" s="81">
        <v>0.10416666666667</v>
      </c>
      <c r="B242" s="166" t="s">
        <v>10</v>
      </c>
      <c r="C242" s="130" t="s">
        <v>120</v>
      </c>
      <c r="D242" s="169" t="s">
        <v>10</v>
      </c>
      <c r="E242" s="130" t="s">
        <v>120</v>
      </c>
      <c r="F242" s="169" t="s">
        <v>10</v>
      </c>
      <c r="G242" s="130" t="s">
        <v>120</v>
      </c>
      <c r="H242" s="169" t="s">
        <v>10</v>
      </c>
      <c r="I242" s="130" t="s">
        <v>120</v>
      </c>
      <c r="J242" s="169" t="s">
        <v>10</v>
      </c>
      <c r="K242" s="130" t="s">
        <v>120</v>
      </c>
      <c r="L242" s="169" t="s">
        <v>10</v>
      </c>
      <c r="M242" s="130" t="s">
        <v>120</v>
      </c>
      <c r="N242" s="169" t="s">
        <v>10</v>
      </c>
      <c r="O242" s="154" t="s">
        <v>120</v>
      </c>
      <c r="Q242" s="284"/>
      <c r="R242" s="285"/>
      <c r="S242" s="285"/>
      <c r="T242" s="285"/>
      <c r="U242" s="285"/>
      <c r="V242" s="285"/>
      <c r="W242" s="286"/>
      <c r="X242" s="199">
        <v>1</v>
      </c>
      <c r="Y242" s="262" t="str">
        <f t="array" ref="Y242">IF(ISERROR(INDEX($CA$2:$CB$200,SMALL(IF($CA$2:$CA$200=$A$232,ROW($CA$2:$CA$200)),ROW(6:6))-1,2)),"",INDEX($CA$2:$CB$200,SMALL(IF($CA$2:$CA$200=$A$232,ROW($CA$2:$CA$200)),ROW(6:6))-1,2))</f>
        <v/>
      </c>
      <c r="Z242" s="263"/>
      <c r="AA242" s="263"/>
      <c r="AB242" s="263"/>
      <c r="AC242" s="263"/>
      <c r="AD242" s="263"/>
      <c r="AE242" s="263"/>
      <c r="AF242" s="264"/>
      <c r="AH242" s="136">
        <v>0.10416666666667</v>
      </c>
      <c r="AI242" s="136" t="s">
        <v>10</v>
      </c>
      <c r="AJ242" s="136" t="s">
        <v>120</v>
      </c>
      <c r="AK242" s="136" t="s">
        <v>10</v>
      </c>
      <c r="AL242" s="136" t="s">
        <v>120</v>
      </c>
      <c r="AM242" s="136" t="s">
        <v>10</v>
      </c>
      <c r="AN242" s="136" t="s">
        <v>120</v>
      </c>
      <c r="AO242" s="136" t="s">
        <v>10</v>
      </c>
      <c r="AP242" s="136" t="s">
        <v>120</v>
      </c>
      <c r="AQ242" s="136" t="s">
        <v>10</v>
      </c>
      <c r="AR242" s="136" t="s">
        <v>120</v>
      </c>
      <c r="AS242" s="136" t="s">
        <v>10</v>
      </c>
      <c r="AT242" s="136" t="s">
        <v>120</v>
      </c>
      <c r="AU242" s="136" t="s">
        <v>10</v>
      </c>
      <c r="AV242" s="136" t="s">
        <v>120</v>
      </c>
      <c r="AX242" s="136" t="str">
        <f>IF(AI233="","",IF(B242="","",B242))</f>
        <v>HS</v>
      </c>
      <c r="AY242" s="136" t="str">
        <f>IF(AI233="","",IF(C242="","",C242))</f>
        <v>-</v>
      </c>
      <c r="AZ242" s="136" t="str">
        <f>IF(AI233="","",IF(D242="","",D242))</f>
        <v>HS</v>
      </c>
      <c r="BA242" s="136" t="str">
        <f>IF(AI233="","",IF(E242="","",E242))</f>
        <v>-</v>
      </c>
      <c r="BB242" s="136" t="str">
        <f>IF(AI233="","",IF(F242="","",F242))</f>
        <v>HS</v>
      </c>
      <c r="BC242" s="136" t="str">
        <f>IF(AI233="","",IF(G242="","",G242))</f>
        <v>-</v>
      </c>
      <c r="BD242" s="136" t="str">
        <f>IF(AI233="","",IF(H242="","",H242))</f>
        <v>HS</v>
      </c>
      <c r="BE242" s="136" t="str">
        <f>IF(AI233="","",IF(I242="","",I242))</f>
        <v>-</v>
      </c>
      <c r="BF242" s="136" t="str">
        <f>IF(AI233="","",IF(J242="","",J242))</f>
        <v>HS</v>
      </c>
      <c r="BG242" s="136" t="str">
        <f>IF(AI233="","",IF(K242="","",K242))</f>
        <v>-</v>
      </c>
      <c r="BH242" s="136" t="str">
        <f>IF(AI233="","",IF(L242="","",L242))</f>
        <v>HS</v>
      </c>
      <c r="BI242" s="136" t="str">
        <f>IF(AI233="","",IF(M242="","",M242))</f>
        <v>-</v>
      </c>
      <c r="BJ242" s="136" t="str">
        <f>IF(AI233="","",IF(N242="","",N242))</f>
        <v>HS</v>
      </c>
      <c r="BK242" s="136" t="str">
        <f>IF(AI233="","",IF(O242="","",O242))</f>
        <v>-</v>
      </c>
      <c r="CA242" s="183">
        <f>'INFO BASE'!L305</f>
        <v>0</v>
      </c>
      <c r="CB242" s="183">
        <f>'INFO BASE'!M305</f>
        <v>0</v>
      </c>
      <c r="CD242" s="136" t="str">
        <f t="shared" si="154"/>
        <v>IEI</v>
      </c>
      <c r="CR242" s="177" t="str">
        <f t="shared" si="145"/>
        <v>HS</v>
      </c>
      <c r="CS242" s="177" t="str">
        <f t="shared" si="146"/>
        <v>HS-</v>
      </c>
      <c r="CT242" s="177" t="str">
        <f t="shared" si="145"/>
        <v>HS</v>
      </c>
      <c r="CU242" s="177" t="str">
        <f t="shared" si="147"/>
        <v>HS-</v>
      </c>
      <c r="CV242" s="177" t="str">
        <f t="shared" si="145"/>
        <v>HS</v>
      </c>
      <c r="CW242" s="177" t="str">
        <f t="shared" si="148"/>
        <v>HS-</v>
      </c>
      <c r="CX242" s="177" t="str">
        <f t="shared" si="145"/>
        <v>HS</v>
      </c>
      <c r="CY242" s="177" t="str">
        <f t="shared" si="149"/>
        <v>HS-</v>
      </c>
      <c r="CZ242" s="177" t="str">
        <f t="shared" si="145"/>
        <v>HS</v>
      </c>
      <c r="DA242" s="177" t="str">
        <f t="shared" si="150"/>
        <v>HS-</v>
      </c>
      <c r="DB242" s="177" t="str">
        <f t="shared" si="145"/>
        <v>HS</v>
      </c>
      <c r="DC242" s="177" t="str">
        <f t="shared" si="151"/>
        <v>HS-</v>
      </c>
      <c r="DD242" s="177" t="str">
        <f t="shared" si="152"/>
        <v>HS</v>
      </c>
      <c r="DE242" s="177" t="str">
        <f t="shared" si="153"/>
        <v>HS-</v>
      </c>
    </row>
    <row r="243" spans="1:109" ht="18" customHeight="1" x14ac:dyDescent="0.3">
      <c r="A243" s="81">
        <v>0.125000000000004</v>
      </c>
      <c r="B243" s="166" t="s">
        <v>10</v>
      </c>
      <c r="C243" s="130" t="s">
        <v>120</v>
      </c>
      <c r="D243" s="169" t="s">
        <v>10</v>
      </c>
      <c r="E243" s="130" t="s">
        <v>120</v>
      </c>
      <c r="F243" s="169" t="s">
        <v>10</v>
      </c>
      <c r="G243" s="130" t="s">
        <v>120</v>
      </c>
      <c r="H243" s="169" t="s">
        <v>10</v>
      </c>
      <c r="I243" s="130" t="s">
        <v>120</v>
      </c>
      <c r="J243" s="169" t="s">
        <v>10</v>
      </c>
      <c r="K243" s="130" t="s">
        <v>120</v>
      </c>
      <c r="L243" s="169" t="s">
        <v>10</v>
      </c>
      <c r="M243" s="130" t="s">
        <v>120</v>
      </c>
      <c r="N243" s="169" t="s">
        <v>10</v>
      </c>
      <c r="O243" s="154" t="s">
        <v>120</v>
      </c>
      <c r="Q243" s="284"/>
      <c r="R243" s="285"/>
      <c r="S243" s="285"/>
      <c r="T243" s="285"/>
      <c r="U243" s="285"/>
      <c r="V243" s="285"/>
      <c r="W243" s="286"/>
      <c r="X243" s="199">
        <v>1</v>
      </c>
      <c r="Y243" s="262" t="str">
        <f t="array" ref="Y243">IF(ISERROR(INDEX($CA$2:$CB$200,SMALL(IF($CA$2:$CA$200=$A$232,ROW($CA$2:$CA$200)),ROW(7:7))-1,2)),"",INDEX($CA$2:$CB$200,SMALL(IF($CA$2:$CA$200=$A$232,ROW($CA$2:$CA$200)),ROW(7:7))-1,2))</f>
        <v/>
      </c>
      <c r="Z243" s="263"/>
      <c r="AA243" s="263"/>
      <c r="AB243" s="263"/>
      <c r="AC243" s="263"/>
      <c r="AD243" s="263"/>
      <c r="AE243" s="263"/>
      <c r="AF243" s="264"/>
      <c r="AH243" s="136">
        <v>0.125000000000004</v>
      </c>
      <c r="AI243" s="136" t="s">
        <v>10</v>
      </c>
      <c r="AJ243" s="136" t="s">
        <v>120</v>
      </c>
      <c r="AK243" s="136" t="s">
        <v>10</v>
      </c>
      <c r="AL243" s="136" t="s">
        <v>120</v>
      </c>
      <c r="AM243" s="136" t="s">
        <v>10</v>
      </c>
      <c r="AN243" s="136" t="s">
        <v>120</v>
      </c>
      <c r="AO243" s="136" t="s">
        <v>10</v>
      </c>
      <c r="AP243" s="136" t="s">
        <v>120</v>
      </c>
      <c r="AQ243" s="136" t="s">
        <v>10</v>
      </c>
      <c r="AR243" s="136" t="s">
        <v>120</v>
      </c>
      <c r="AS243" s="136" t="s">
        <v>10</v>
      </c>
      <c r="AT243" s="136" t="s">
        <v>120</v>
      </c>
      <c r="AU243" s="136" t="s">
        <v>10</v>
      </c>
      <c r="AV243" s="136" t="s">
        <v>120</v>
      </c>
      <c r="AX243" s="136" t="str">
        <f>IF(AI233="","",IF(B243="","",B243))</f>
        <v>HS</v>
      </c>
      <c r="AY243" s="136" t="str">
        <f>IF(AI233="","",IF(C243="","",C243))</f>
        <v>-</v>
      </c>
      <c r="AZ243" s="136" t="str">
        <f>IF(AI233="","",IF(D243="","",D243))</f>
        <v>HS</v>
      </c>
      <c r="BA243" s="136" t="str">
        <f>IF(AI233="","",IF(E243="","",E243))</f>
        <v>-</v>
      </c>
      <c r="BB243" s="136" t="str">
        <f>IF(AI233="","",IF(F243="","",F243))</f>
        <v>HS</v>
      </c>
      <c r="BC243" s="136" t="str">
        <f>IF(AI233="","",IF(G243="","",G243))</f>
        <v>-</v>
      </c>
      <c r="BD243" s="136" t="str">
        <f>IF(AI233="","",IF(H243="","",H243))</f>
        <v>HS</v>
      </c>
      <c r="BE243" s="136" t="str">
        <f>IF(AI233="","",IF(I243="","",I243))</f>
        <v>-</v>
      </c>
      <c r="BF243" s="136" t="str">
        <f>IF(AI233="","",IF(J243="","",J243))</f>
        <v>HS</v>
      </c>
      <c r="BG243" s="136" t="str">
        <f>IF(AI233="","",IF(K243="","",K243))</f>
        <v>-</v>
      </c>
      <c r="BH243" s="136" t="str">
        <f>IF(AI233="","",IF(L243="","",L243))</f>
        <v>HS</v>
      </c>
      <c r="BI243" s="136" t="str">
        <f>IF(AI233="","",IF(M243="","",M243))</f>
        <v>-</v>
      </c>
      <c r="BJ243" s="136" t="str">
        <f>IF(AI233="","",IF(N243="","",N243))</f>
        <v>HS</v>
      </c>
      <c r="BK243" s="136" t="str">
        <f>IF(AI233="","",IF(O243="","",O243))</f>
        <v>-</v>
      </c>
      <c r="CA243" s="183">
        <f>'INFO BASE'!L306</f>
        <v>0</v>
      </c>
      <c r="CB243" s="183">
        <f>'INFO BASE'!M306</f>
        <v>0</v>
      </c>
      <c r="CD243" s="136" t="str">
        <f t="shared" si="154"/>
        <v>IAC</v>
      </c>
      <c r="CR243" s="177" t="str">
        <f t="shared" si="145"/>
        <v>HS</v>
      </c>
      <c r="CS243" s="177" t="str">
        <f t="shared" si="146"/>
        <v>HS-</v>
      </c>
      <c r="CT243" s="177" t="str">
        <f t="shared" si="145"/>
        <v>HS</v>
      </c>
      <c r="CU243" s="177" t="str">
        <f t="shared" si="147"/>
        <v>HS-</v>
      </c>
      <c r="CV243" s="177" t="str">
        <f t="shared" si="145"/>
        <v>HS</v>
      </c>
      <c r="CW243" s="177" t="str">
        <f t="shared" si="148"/>
        <v>HS-</v>
      </c>
      <c r="CX243" s="177" t="str">
        <f t="shared" si="145"/>
        <v>HS</v>
      </c>
      <c r="CY243" s="177" t="str">
        <f t="shared" si="149"/>
        <v>HS-</v>
      </c>
      <c r="CZ243" s="177" t="str">
        <f t="shared" si="145"/>
        <v>HS</v>
      </c>
      <c r="DA243" s="177" t="str">
        <f t="shared" si="150"/>
        <v>HS-</v>
      </c>
      <c r="DB243" s="177" t="str">
        <f t="shared" si="145"/>
        <v>HS</v>
      </c>
      <c r="DC243" s="177" t="str">
        <f t="shared" si="151"/>
        <v>HS-</v>
      </c>
      <c r="DD243" s="177" t="str">
        <f t="shared" si="152"/>
        <v>HS</v>
      </c>
      <c r="DE243" s="177" t="str">
        <f t="shared" si="153"/>
        <v>HS-</v>
      </c>
    </row>
    <row r="244" spans="1:109" ht="18" customHeight="1" thickBot="1" x14ac:dyDescent="0.35">
      <c r="A244" s="81">
        <v>0.14583333333333801</v>
      </c>
      <c r="B244" s="166" t="s">
        <v>10</v>
      </c>
      <c r="C244" s="130" t="s">
        <v>120</v>
      </c>
      <c r="D244" s="169" t="s">
        <v>10</v>
      </c>
      <c r="E244" s="130" t="s">
        <v>120</v>
      </c>
      <c r="F244" s="169" t="s">
        <v>10</v>
      </c>
      <c r="G244" s="130" t="s">
        <v>120</v>
      </c>
      <c r="H244" s="169" t="s">
        <v>10</v>
      </c>
      <c r="I244" s="130" t="s">
        <v>120</v>
      </c>
      <c r="J244" s="169" t="s">
        <v>10</v>
      </c>
      <c r="K244" s="130" t="s">
        <v>120</v>
      </c>
      <c r="L244" s="169" t="s">
        <v>10</v>
      </c>
      <c r="M244" s="130" t="s">
        <v>120</v>
      </c>
      <c r="N244" s="169" t="s">
        <v>10</v>
      </c>
      <c r="O244" s="154" t="s">
        <v>120</v>
      </c>
      <c r="Q244" s="287"/>
      <c r="R244" s="288"/>
      <c r="S244" s="288"/>
      <c r="T244" s="288"/>
      <c r="U244" s="288"/>
      <c r="V244" s="288"/>
      <c r="W244" s="289"/>
      <c r="X244" s="199">
        <v>1</v>
      </c>
      <c r="Y244" s="265" t="str">
        <f t="array" ref="Y244">IF(ISERROR(INDEX($CA$2:$CB$200,SMALL(IF($CA$2:$CA$200=$A$232,ROW($CA$2:$CA$200)),ROW(8:8))-1,2)),"",INDEX($CA$2:$CB$200,SMALL(IF($CA$2:$CA$200=$A$232,ROW($CA$2:$CA$200)),ROW(8:8))-1,2))</f>
        <v/>
      </c>
      <c r="Z244" s="266"/>
      <c r="AA244" s="266"/>
      <c r="AB244" s="266"/>
      <c r="AC244" s="266"/>
      <c r="AD244" s="266"/>
      <c r="AE244" s="266"/>
      <c r="AF244" s="267"/>
      <c r="AH244" s="136">
        <v>0.14583333333333801</v>
      </c>
      <c r="AI244" s="136" t="s">
        <v>10</v>
      </c>
      <c r="AJ244" s="136" t="s">
        <v>120</v>
      </c>
      <c r="AK244" s="136" t="s">
        <v>10</v>
      </c>
      <c r="AL244" s="136" t="s">
        <v>120</v>
      </c>
      <c r="AM244" s="136" t="s">
        <v>10</v>
      </c>
      <c r="AN244" s="136" t="s">
        <v>120</v>
      </c>
      <c r="AO244" s="136" t="s">
        <v>10</v>
      </c>
      <c r="AP244" s="136" t="s">
        <v>120</v>
      </c>
      <c r="AQ244" s="136" t="s">
        <v>10</v>
      </c>
      <c r="AR244" s="136" t="s">
        <v>120</v>
      </c>
      <c r="AS244" s="136" t="s">
        <v>10</v>
      </c>
      <c r="AT244" s="136" t="s">
        <v>120</v>
      </c>
      <c r="AU244" s="136" t="s">
        <v>10</v>
      </c>
      <c r="AV244" s="136" t="s">
        <v>120</v>
      </c>
      <c r="AX244" s="136" t="str">
        <f>IF(AI233="","",IF(B244="","",B244))</f>
        <v>HS</v>
      </c>
      <c r="AY244" s="136" t="str">
        <f>IF(AI233="","",IF(C244="","",C244))</f>
        <v>-</v>
      </c>
      <c r="AZ244" s="136" t="str">
        <f>IF(AI233="","",IF(D244="","",D244))</f>
        <v>HS</v>
      </c>
      <c r="BA244" s="136" t="str">
        <f>IF(AI233="","",IF(E244="","",E244))</f>
        <v>-</v>
      </c>
      <c r="BB244" s="136" t="str">
        <f>IF(AI233="","",IF(F244="","",F244))</f>
        <v>HS</v>
      </c>
      <c r="BC244" s="136" t="str">
        <f>IF(AI233="","",IF(G244="","",G244))</f>
        <v>-</v>
      </c>
      <c r="BD244" s="136" t="str">
        <f>IF(AI233="","",IF(H244="","",H244))</f>
        <v>HS</v>
      </c>
      <c r="BE244" s="136" t="str">
        <f>IF(AI233="","",IF(I244="","",I244))</f>
        <v>-</v>
      </c>
      <c r="BF244" s="136" t="str">
        <f>IF(AI233="","",IF(J244="","",J244))</f>
        <v>HS</v>
      </c>
      <c r="BG244" s="136" t="str">
        <f>IF(AI233="","",IF(K244="","",K244))</f>
        <v>-</v>
      </c>
      <c r="BH244" s="136" t="str">
        <f>IF(AI233="","",IF(L244="","",L244))</f>
        <v>HS</v>
      </c>
      <c r="BI244" s="136" t="str">
        <f>IF(AI233="","",IF(M244="","",M244))</f>
        <v>-</v>
      </c>
      <c r="BJ244" s="136" t="str">
        <f>IF(AI233="","",IF(N244="","",N244))</f>
        <v>HS</v>
      </c>
      <c r="BK244" s="136" t="str">
        <f>IF(AI233="","",IF(O244="","",O244))</f>
        <v>-</v>
      </c>
      <c r="CA244" s="183">
        <f>'INFO BASE'!L307</f>
        <v>0</v>
      </c>
      <c r="CB244" s="183">
        <f>'INFO BASE'!M307</f>
        <v>0</v>
      </c>
      <c r="CD244" s="136" t="str">
        <f t="shared" si="154"/>
        <v>AL</v>
      </c>
      <c r="CR244" s="177" t="str">
        <f t="shared" si="145"/>
        <v>HS</v>
      </c>
      <c r="CS244" s="177" t="str">
        <f t="shared" si="146"/>
        <v>HS-</v>
      </c>
      <c r="CT244" s="177" t="str">
        <f t="shared" si="145"/>
        <v>HS</v>
      </c>
      <c r="CU244" s="177" t="str">
        <f t="shared" si="147"/>
        <v>HS-</v>
      </c>
      <c r="CV244" s="177" t="str">
        <f t="shared" si="145"/>
        <v>HS</v>
      </c>
      <c r="CW244" s="177" t="str">
        <f t="shared" si="148"/>
        <v>HS-</v>
      </c>
      <c r="CX244" s="177" t="str">
        <f t="shared" si="145"/>
        <v>HS</v>
      </c>
      <c r="CY244" s="177" t="str">
        <f t="shared" si="149"/>
        <v>HS-</v>
      </c>
      <c r="CZ244" s="177" t="str">
        <f t="shared" si="145"/>
        <v>HS</v>
      </c>
      <c r="DA244" s="177" t="str">
        <f t="shared" si="150"/>
        <v>HS-</v>
      </c>
      <c r="DB244" s="177" t="str">
        <f t="shared" si="145"/>
        <v>HS</v>
      </c>
      <c r="DC244" s="177" t="str">
        <f t="shared" si="151"/>
        <v>HS-</v>
      </c>
      <c r="DD244" s="177" t="str">
        <f t="shared" si="152"/>
        <v>HS</v>
      </c>
      <c r="DE244" s="177" t="str">
        <f t="shared" si="153"/>
        <v>HS-</v>
      </c>
    </row>
    <row r="245" spans="1:109" ht="18" customHeight="1" thickBot="1" x14ac:dyDescent="0.35">
      <c r="A245" s="81">
        <v>0.16666666666667199</v>
      </c>
      <c r="B245" s="166" t="s">
        <v>10</v>
      </c>
      <c r="C245" s="130" t="s">
        <v>120</v>
      </c>
      <c r="D245" s="169" t="s">
        <v>10</v>
      </c>
      <c r="E245" s="130" t="s">
        <v>120</v>
      </c>
      <c r="F245" s="169" t="s">
        <v>10</v>
      </c>
      <c r="G245" s="130" t="s">
        <v>120</v>
      </c>
      <c r="H245" s="169" t="s">
        <v>10</v>
      </c>
      <c r="I245" s="130" t="s">
        <v>120</v>
      </c>
      <c r="J245" s="169" t="s">
        <v>10</v>
      </c>
      <c r="K245" s="130" t="s">
        <v>120</v>
      </c>
      <c r="L245" s="169" t="s">
        <v>10</v>
      </c>
      <c r="M245" s="130" t="s">
        <v>120</v>
      </c>
      <c r="N245" s="169" t="s">
        <v>10</v>
      </c>
      <c r="O245" s="154" t="s">
        <v>120</v>
      </c>
      <c r="Q245" s="63"/>
      <c r="R245" s="64"/>
      <c r="S245" s="65"/>
      <c r="T245" s="65"/>
      <c r="U245" s="65"/>
      <c r="V245" s="65"/>
      <c r="W245" s="65"/>
      <c r="X245" s="199">
        <v>1</v>
      </c>
      <c r="Y245" s="59"/>
      <c r="Z245" s="59"/>
      <c r="AA245" s="59"/>
      <c r="AB245" s="59"/>
      <c r="AC245" s="59"/>
      <c r="AD245" s="59"/>
      <c r="AE245" s="59"/>
      <c r="AF245" s="59"/>
      <c r="AH245" s="136">
        <v>0.16666666666667199</v>
      </c>
      <c r="AI245" s="136" t="s">
        <v>10</v>
      </c>
      <c r="AJ245" s="136" t="s">
        <v>120</v>
      </c>
      <c r="AK245" s="136" t="s">
        <v>10</v>
      </c>
      <c r="AL245" s="136" t="s">
        <v>120</v>
      </c>
      <c r="AM245" s="136" t="s">
        <v>10</v>
      </c>
      <c r="AN245" s="136" t="s">
        <v>120</v>
      </c>
      <c r="AO245" s="136" t="s">
        <v>10</v>
      </c>
      <c r="AP245" s="136" t="s">
        <v>120</v>
      </c>
      <c r="AQ245" s="136" t="s">
        <v>10</v>
      </c>
      <c r="AR245" s="136" t="s">
        <v>120</v>
      </c>
      <c r="AS245" s="136" t="s">
        <v>10</v>
      </c>
      <c r="AT245" s="136" t="s">
        <v>120</v>
      </c>
      <c r="AU245" s="136" t="s">
        <v>10</v>
      </c>
      <c r="AV245" s="136" t="s">
        <v>120</v>
      </c>
      <c r="AX245" s="136" t="str">
        <f>IF(AI233="","",IF(B245="","",B245))</f>
        <v>HS</v>
      </c>
      <c r="AY245" s="136" t="str">
        <f>IF(AI233="","",IF(C245="","",C245))</f>
        <v>-</v>
      </c>
      <c r="AZ245" s="136" t="str">
        <f>IF(AI233="","",IF(D245="","",D245))</f>
        <v>HS</v>
      </c>
      <c r="BA245" s="136" t="str">
        <f>IF(AI233="","",IF(E245="","",E245))</f>
        <v>-</v>
      </c>
      <c r="BB245" s="136" t="str">
        <f>IF(AI233="","",IF(F245="","",F245))</f>
        <v>HS</v>
      </c>
      <c r="BC245" s="136" t="str">
        <f>IF(AI233="","",IF(G245="","",G245))</f>
        <v>-</v>
      </c>
      <c r="BD245" s="136" t="str">
        <f>IF(AI233="","",IF(H245="","",H245))</f>
        <v>HS</v>
      </c>
      <c r="BE245" s="136" t="str">
        <f>IF(AI233="","",IF(I245="","",I245))</f>
        <v>-</v>
      </c>
      <c r="BF245" s="136" t="str">
        <f>IF(AI233="","",IF(J245="","",J245))</f>
        <v>HS</v>
      </c>
      <c r="BG245" s="136" t="str">
        <f>IF(AI233="","",IF(K245="","",K245))</f>
        <v>-</v>
      </c>
      <c r="BH245" s="136" t="str">
        <f>IF(AI233="","",IF(L245="","",L245))</f>
        <v>HS</v>
      </c>
      <c r="BI245" s="136" t="str">
        <f>IF(AI233="","",IF(M245="","",M245))</f>
        <v>-</v>
      </c>
      <c r="BJ245" s="136" t="str">
        <f>IF(AI233="","",IF(N245="","",N245))</f>
        <v>HS</v>
      </c>
      <c r="BK245" s="136" t="str">
        <f>IF(AI233="","",IF(O245="","",O245))</f>
        <v>-</v>
      </c>
      <c r="BM245" s="136" t="str">
        <f>BO245</f>
        <v>EA</v>
      </c>
      <c r="BN245" s="136" t="str">
        <f t="shared" ref="BN245:BO281" si="155">Q248</f>
        <v>Estudo Autónomo</v>
      </c>
      <c r="BO245" s="136" t="str">
        <f t="shared" si="155"/>
        <v>EA</v>
      </c>
      <c r="BP245" s="136">
        <f>COUNTIFS(AX237:BK284,BO245)*0.5</f>
        <v>10</v>
      </c>
      <c r="BQ245" s="136" t="str">
        <f t="shared" ref="BQ245:BR281" si="156">BN245</f>
        <v>Estudo Autónomo</v>
      </c>
      <c r="BR245" s="136" t="str">
        <f t="shared" si="156"/>
        <v>EA</v>
      </c>
      <c r="BS245" s="136" t="str">
        <f>BQ245</f>
        <v>Estudo Autónomo</v>
      </c>
      <c r="BT245" s="136">
        <f>SUMIFS(V:V,Q:Q,BQ245,R:R,BR245)</f>
        <v>86.5</v>
      </c>
      <c r="BU245" s="136">
        <f>SUMIFS(BP:BP,BN:BN,BQ245,BO:BO,BR245)</f>
        <v>95.5</v>
      </c>
      <c r="CA245" s="183">
        <f>'INFO BASE'!L308</f>
        <v>0</v>
      </c>
      <c r="CB245" s="183">
        <f>'INFO BASE'!M308</f>
        <v>0</v>
      </c>
      <c r="CD245" s="136" t="str">
        <f t="shared" si="154"/>
        <v>CDI</v>
      </c>
      <c r="CR245" s="177" t="str">
        <f t="shared" si="145"/>
        <v>HS</v>
      </c>
      <c r="CS245" s="177" t="str">
        <f t="shared" si="146"/>
        <v>HS-</v>
      </c>
      <c r="CT245" s="177" t="str">
        <f t="shared" si="145"/>
        <v>HS</v>
      </c>
      <c r="CU245" s="177" t="str">
        <f t="shared" si="147"/>
        <v>HS-</v>
      </c>
      <c r="CV245" s="177" t="str">
        <f t="shared" si="145"/>
        <v>HS</v>
      </c>
      <c r="CW245" s="177" t="str">
        <f t="shared" si="148"/>
        <v>HS-</v>
      </c>
      <c r="CX245" s="177" t="str">
        <f t="shared" si="145"/>
        <v>HS</v>
      </c>
      <c r="CY245" s="177" t="str">
        <f t="shared" si="149"/>
        <v>HS-</v>
      </c>
      <c r="CZ245" s="177" t="str">
        <f t="shared" si="145"/>
        <v>HS</v>
      </c>
      <c r="DA245" s="177" t="str">
        <f t="shared" si="150"/>
        <v>HS-</v>
      </c>
      <c r="DB245" s="177" t="str">
        <f t="shared" si="145"/>
        <v>HS</v>
      </c>
      <c r="DC245" s="177" t="str">
        <f t="shared" si="151"/>
        <v>HS-</v>
      </c>
      <c r="DD245" s="177" t="str">
        <f t="shared" si="152"/>
        <v>HS</v>
      </c>
      <c r="DE245" s="177" t="str">
        <f t="shared" si="153"/>
        <v>HS-</v>
      </c>
    </row>
    <row r="246" spans="1:109" ht="18" customHeight="1" x14ac:dyDescent="0.3">
      <c r="A246" s="81">
        <v>0.187500000000006</v>
      </c>
      <c r="B246" s="166" t="s">
        <v>10</v>
      </c>
      <c r="C246" s="130" t="s">
        <v>120</v>
      </c>
      <c r="D246" s="169" t="s">
        <v>10</v>
      </c>
      <c r="E246" s="130" t="s">
        <v>120</v>
      </c>
      <c r="F246" s="169" t="s">
        <v>10</v>
      </c>
      <c r="G246" s="130" t="s">
        <v>120</v>
      </c>
      <c r="H246" s="169" t="s">
        <v>10</v>
      </c>
      <c r="I246" s="130" t="s">
        <v>120</v>
      </c>
      <c r="J246" s="169" t="s">
        <v>10</v>
      </c>
      <c r="K246" s="130" t="s">
        <v>120</v>
      </c>
      <c r="L246" s="169" t="s">
        <v>10</v>
      </c>
      <c r="M246" s="130" t="s">
        <v>120</v>
      </c>
      <c r="N246" s="169" t="s">
        <v>10</v>
      </c>
      <c r="O246" s="154" t="s">
        <v>120</v>
      </c>
      <c r="Q246" s="294" t="s">
        <v>14</v>
      </c>
      <c r="R246" s="290" t="s">
        <v>88</v>
      </c>
      <c r="S246" s="290" t="s">
        <v>87</v>
      </c>
      <c r="T246" s="290" t="s">
        <v>89</v>
      </c>
      <c r="U246" s="290" t="s">
        <v>41</v>
      </c>
      <c r="V246" s="290" t="s">
        <v>91</v>
      </c>
      <c r="W246" s="292" t="s">
        <v>90</v>
      </c>
      <c r="X246" s="199">
        <v>1</v>
      </c>
      <c r="Y246" s="302" t="s">
        <v>21</v>
      </c>
      <c r="Z246" s="303"/>
      <c r="AA246" s="303"/>
      <c r="AB246" s="303"/>
      <c r="AC246" s="303"/>
      <c r="AD246" s="303"/>
      <c r="AE246" s="303"/>
      <c r="AF246" s="304"/>
      <c r="AH246" s="136">
        <v>0.187500000000006</v>
      </c>
      <c r="AI246" s="136" t="s">
        <v>10</v>
      </c>
      <c r="AJ246" s="136" t="s">
        <v>120</v>
      </c>
      <c r="AK246" s="136" t="s">
        <v>10</v>
      </c>
      <c r="AL246" s="136" t="s">
        <v>120</v>
      </c>
      <c r="AM246" s="136" t="s">
        <v>10</v>
      </c>
      <c r="AN246" s="136" t="s">
        <v>120</v>
      </c>
      <c r="AO246" s="136" t="s">
        <v>10</v>
      </c>
      <c r="AP246" s="136" t="s">
        <v>120</v>
      </c>
      <c r="AQ246" s="136" t="s">
        <v>10</v>
      </c>
      <c r="AR246" s="136" t="s">
        <v>120</v>
      </c>
      <c r="AS246" s="136" t="s">
        <v>10</v>
      </c>
      <c r="AT246" s="136" t="s">
        <v>120</v>
      </c>
      <c r="AU246" s="136" t="s">
        <v>10</v>
      </c>
      <c r="AV246" s="136" t="s">
        <v>120</v>
      </c>
      <c r="AX246" s="136" t="str">
        <f>IF(AI233="","",IF(B246="","",B246))</f>
        <v>HS</v>
      </c>
      <c r="AY246" s="136" t="str">
        <f>IF(AI233="","",IF(C246="","",C246))</f>
        <v>-</v>
      </c>
      <c r="AZ246" s="136" t="str">
        <f>IF(AI233="","",IF(D246="","",D246))</f>
        <v>HS</v>
      </c>
      <c r="BA246" s="136" t="str">
        <f>IF(AI233="","",IF(E246="","",E246))</f>
        <v>-</v>
      </c>
      <c r="BB246" s="136" t="str">
        <f>IF(AI233="","",IF(F246="","",F246))</f>
        <v>HS</v>
      </c>
      <c r="BC246" s="136" t="str">
        <f>IF(AI233="","",IF(G246="","",G246))</f>
        <v>-</v>
      </c>
      <c r="BD246" s="136" t="str">
        <f>IF(AI233="","",IF(H246="","",H246))</f>
        <v>HS</v>
      </c>
      <c r="BE246" s="136" t="str">
        <f>IF(AI233="","",IF(I246="","",I246))</f>
        <v>-</v>
      </c>
      <c r="BF246" s="136" t="str">
        <f>IF(AI233="","",IF(J246="","",J246))</f>
        <v>HS</v>
      </c>
      <c r="BG246" s="136" t="str">
        <f>IF(AI233="","",IF(K246="","",K246))</f>
        <v>-</v>
      </c>
      <c r="BH246" s="136" t="str">
        <f>IF(AI233="","",IF(L246="","",L246))</f>
        <v>HS</v>
      </c>
      <c r="BI246" s="136" t="str">
        <f>IF(AI233="","",IF(M246="","",M246))</f>
        <v>-</v>
      </c>
      <c r="BJ246" s="136" t="str">
        <f>IF(AI233="","",IF(N246="","",N246))</f>
        <v>HS</v>
      </c>
      <c r="BK246" s="136" t="str">
        <f>IF(AI233="","",IF(O246="","",O246))</f>
        <v>-</v>
      </c>
      <c r="BM246" s="136" t="str">
        <f>BM245</f>
        <v>EA</v>
      </c>
      <c r="BN246" s="136" t="str">
        <f t="shared" si="155"/>
        <v>Estudo Autónomo</v>
      </c>
      <c r="BO246" s="136" t="str">
        <f t="shared" si="155"/>
        <v>FP</v>
      </c>
      <c r="BP246" s="136">
        <f>(COUNTIFS(AX237:AX284,BM246,AY237:AY284,BO246)+COUNTIFS(AZ237:AZ284,BM246,BA237:BA284,BO246)+COUNTIFS(BB237:BB284,BM246,BC237:BC284,BO246)+COUNTIFS(BD237:BD284,BM246,BE237:BE284,BO246)+COUNTIFS(BF237:BF284,BM246,BG237:BG284,BO246)+COUNTIFS(BH237:BH284,BM246,BI237:BI284,BO246)+COUNTIFS(BJ237:BJ284,BM246,BK237:BK284,BO246))*0.5</f>
        <v>5</v>
      </c>
      <c r="BQ246" s="136" t="str">
        <f t="shared" si="156"/>
        <v>Estudo Autónomo</v>
      </c>
      <c r="BR246" s="136" t="str">
        <f>$R$20</f>
        <v>EA</v>
      </c>
      <c r="BS246" s="136" t="str">
        <f t="shared" ref="BS246:BS281" si="157">BQ246</f>
        <v>Estudo Autónomo</v>
      </c>
      <c r="BT246" s="136">
        <f>SUMIFS(V:V,Q:Q,BQ246,R:R,BR246)</f>
        <v>86.5</v>
      </c>
      <c r="BU246" s="136">
        <f>SUMIFS(BP:BP,BN:BN,BQ246,BO:BO,BR246)</f>
        <v>95.5</v>
      </c>
      <c r="CA246" s="183">
        <f>'INFO BASE'!L309</f>
        <v>0</v>
      </c>
      <c r="CB246" s="183">
        <f>'INFO BASE'!M309</f>
        <v>0</v>
      </c>
      <c r="CD246" s="136" t="str">
        <f t="shared" si="154"/>
        <v/>
      </c>
      <c r="CR246" s="177" t="str">
        <f t="shared" si="145"/>
        <v>HS</v>
      </c>
      <c r="CS246" s="177" t="str">
        <f t="shared" si="146"/>
        <v>HS-</v>
      </c>
      <c r="CT246" s="177" t="str">
        <f t="shared" si="145"/>
        <v>HS</v>
      </c>
      <c r="CU246" s="177" t="str">
        <f t="shared" si="147"/>
        <v>HS-</v>
      </c>
      <c r="CV246" s="177" t="str">
        <f t="shared" si="145"/>
        <v>HS</v>
      </c>
      <c r="CW246" s="177" t="str">
        <f t="shared" si="148"/>
        <v>HS-</v>
      </c>
      <c r="CX246" s="177" t="str">
        <f t="shared" si="145"/>
        <v>HS</v>
      </c>
      <c r="CY246" s="177" t="str">
        <f t="shared" si="149"/>
        <v>HS-</v>
      </c>
      <c r="CZ246" s="177" t="str">
        <f t="shared" si="145"/>
        <v>HS</v>
      </c>
      <c r="DA246" s="177" t="str">
        <f t="shared" si="150"/>
        <v>HS-</v>
      </c>
      <c r="DB246" s="177" t="str">
        <f t="shared" si="145"/>
        <v>HS</v>
      </c>
      <c r="DC246" s="177" t="str">
        <f t="shared" si="151"/>
        <v>HS-</v>
      </c>
      <c r="DD246" s="177" t="str">
        <f t="shared" si="152"/>
        <v>HS</v>
      </c>
      <c r="DE246" s="177" t="str">
        <f t="shared" si="153"/>
        <v>HS-</v>
      </c>
    </row>
    <row r="247" spans="1:109" ht="18" customHeight="1" thickBot="1" x14ac:dyDescent="0.35">
      <c r="A247" s="81">
        <v>0.20833333333334</v>
      </c>
      <c r="B247" s="166" t="s">
        <v>10</v>
      </c>
      <c r="C247" s="130" t="s">
        <v>120</v>
      </c>
      <c r="D247" s="169" t="s">
        <v>10</v>
      </c>
      <c r="E247" s="130" t="s">
        <v>120</v>
      </c>
      <c r="F247" s="169" t="s">
        <v>10</v>
      </c>
      <c r="G247" s="130" t="s">
        <v>120</v>
      </c>
      <c r="H247" s="169" t="s">
        <v>10</v>
      </c>
      <c r="I247" s="130" t="s">
        <v>120</v>
      </c>
      <c r="J247" s="169" t="s">
        <v>10</v>
      </c>
      <c r="K247" s="130" t="s">
        <v>120</v>
      </c>
      <c r="L247" s="169" t="s">
        <v>10</v>
      </c>
      <c r="M247" s="130" t="s">
        <v>120</v>
      </c>
      <c r="N247" s="169" t="s">
        <v>10</v>
      </c>
      <c r="O247" s="154" t="s">
        <v>120</v>
      </c>
      <c r="Q247" s="295"/>
      <c r="R247" s="291"/>
      <c r="S247" s="291"/>
      <c r="T247" s="291"/>
      <c r="U247" s="291"/>
      <c r="V247" s="291"/>
      <c r="W247" s="293"/>
      <c r="X247" s="199">
        <v>1</v>
      </c>
      <c r="Y247" s="305"/>
      <c r="Z247" s="306"/>
      <c r="AA247" s="306"/>
      <c r="AB247" s="306"/>
      <c r="AC247" s="306"/>
      <c r="AD247" s="306"/>
      <c r="AE247" s="306"/>
      <c r="AF247" s="307"/>
      <c r="AH247" s="136">
        <v>0.20833333333334</v>
      </c>
      <c r="AI247" s="136" t="s">
        <v>10</v>
      </c>
      <c r="AJ247" s="136" t="s">
        <v>120</v>
      </c>
      <c r="AK247" s="136" t="s">
        <v>10</v>
      </c>
      <c r="AL247" s="136" t="s">
        <v>120</v>
      </c>
      <c r="AM247" s="136" t="s">
        <v>10</v>
      </c>
      <c r="AN247" s="136" t="s">
        <v>120</v>
      </c>
      <c r="AO247" s="136" t="s">
        <v>10</v>
      </c>
      <c r="AP247" s="136" t="s">
        <v>120</v>
      </c>
      <c r="AQ247" s="136" t="s">
        <v>10</v>
      </c>
      <c r="AR247" s="136" t="s">
        <v>120</v>
      </c>
      <c r="AS247" s="136" t="s">
        <v>10</v>
      </c>
      <c r="AT247" s="136" t="s">
        <v>120</v>
      </c>
      <c r="AU247" s="136" t="s">
        <v>10</v>
      </c>
      <c r="AV247" s="136" t="s">
        <v>120</v>
      </c>
      <c r="AX247" s="136" t="str">
        <f>IF(AI233="","",IF(B247="","",B247))</f>
        <v>HS</v>
      </c>
      <c r="AY247" s="136" t="str">
        <f>IF(AI233="","",IF(C247="","",C247))</f>
        <v>-</v>
      </c>
      <c r="AZ247" s="136" t="str">
        <f>IF(AI233="","",IF(D247="","",D247))</f>
        <v>HS</v>
      </c>
      <c r="BA247" s="136" t="str">
        <f>IF(AI233="","",IF(E247="","",E247))</f>
        <v>-</v>
      </c>
      <c r="BB247" s="136" t="str">
        <f>IF(AI233="","",IF(F247="","",F247))</f>
        <v>HS</v>
      </c>
      <c r="BC247" s="136" t="str">
        <f>IF(AI233="","",IF(G247="","",G247))</f>
        <v>-</v>
      </c>
      <c r="BD247" s="136" t="str">
        <f>IF(AI233="","",IF(H247="","",H247))</f>
        <v>HS</v>
      </c>
      <c r="BE247" s="136" t="str">
        <f>IF(AI233="","",IF(I247="","",I247))</f>
        <v>-</v>
      </c>
      <c r="BF247" s="136" t="str">
        <f>IF(AI233="","",IF(J247="","",J247))</f>
        <v>HS</v>
      </c>
      <c r="BG247" s="136" t="str">
        <f>IF(AI233="","",IF(K247="","",K247))</f>
        <v>-</v>
      </c>
      <c r="BH247" s="136" t="str">
        <f>IF(AI233="","",IF(L247="","",L247))</f>
        <v>HS</v>
      </c>
      <c r="BI247" s="136" t="str">
        <f>IF(AI233="","",IF(M247="","",M247))</f>
        <v>-</v>
      </c>
      <c r="BJ247" s="136" t="str">
        <f>IF(AI233="","",IF(N247="","",N247))</f>
        <v>HS</v>
      </c>
      <c r="BK247" s="136" t="str">
        <f>IF(AI233="","",IF(O247="","",O247))</f>
        <v>-</v>
      </c>
      <c r="BM247" s="136" t="str">
        <f t="shared" ref="BM247:BM251" si="158">BM246</f>
        <v>EA</v>
      </c>
      <c r="BN247" s="136" t="str">
        <f t="shared" si="155"/>
        <v>Estudo Autónomo</v>
      </c>
      <c r="BO247" s="136" t="str">
        <f t="shared" si="155"/>
        <v>IEI</v>
      </c>
      <c r="BP247" s="136">
        <f>(COUNTIFS(AX237:AX284,BM247,AY237:AY284,BO247)+COUNTIFS(AZ237:AZ284,BM247,BA237:BA284,BO247)+COUNTIFS(BB237:BB284,BM247,BC237:BC284,BO247)+COUNTIFS(BD237:BD284,BM247,BE237:BE284,BO247)+COUNTIFS(BF237:BF284,BM247,BG237:BG284,BO247)+COUNTIFS(BH237:BH284,BM247,BI237:BI284,BO247)+COUNTIFS(BJ237:BJ284,BM247,BK237:BK284,BO247))*0.5</f>
        <v>5</v>
      </c>
      <c r="BQ247" s="136" t="str">
        <f t="shared" si="156"/>
        <v>Estudo Autónomo</v>
      </c>
      <c r="BR247" s="136" t="str">
        <f t="shared" si="156"/>
        <v>IEI</v>
      </c>
      <c r="BS247" s="136" t="str">
        <f t="shared" si="157"/>
        <v>Estudo Autónomo</v>
      </c>
      <c r="BT247" s="136">
        <f>SUMIFS(V:V,Q:Q,BQ247,R:R,BR247)</f>
        <v>20</v>
      </c>
      <c r="BU247" s="136">
        <f>SUMIFS(BP:BP,BN:BN,BQ247,BO:BO,BR247)</f>
        <v>36.5</v>
      </c>
      <c r="CA247" s="183">
        <f>'INFO BASE'!L310</f>
        <v>0</v>
      </c>
      <c r="CB247" s="183">
        <f>'INFO BASE'!M310</f>
        <v>0</v>
      </c>
      <c r="CD247" s="136" t="str">
        <f>IF('INFO BASE'!E261="","",'INFO BASE'!E261)</f>
        <v/>
      </c>
      <c r="CR247" s="177" t="str">
        <f t="shared" si="145"/>
        <v>HS</v>
      </c>
      <c r="CS247" s="177" t="str">
        <f t="shared" si="146"/>
        <v>HS-</v>
      </c>
      <c r="CT247" s="177" t="str">
        <f t="shared" si="145"/>
        <v>HS</v>
      </c>
      <c r="CU247" s="177" t="str">
        <f t="shared" si="147"/>
        <v>HS-</v>
      </c>
      <c r="CV247" s="177" t="str">
        <f t="shared" si="145"/>
        <v>HS</v>
      </c>
      <c r="CW247" s="177" t="str">
        <f t="shared" si="148"/>
        <v>HS-</v>
      </c>
      <c r="CX247" s="177" t="str">
        <f t="shared" si="145"/>
        <v>HS</v>
      </c>
      <c r="CY247" s="177" t="str">
        <f t="shared" si="149"/>
        <v>HS-</v>
      </c>
      <c r="CZ247" s="177" t="str">
        <f t="shared" si="145"/>
        <v>HS</v>
      </c>
      <c r="DA247" s="177" t="str">
        <f t="shared" si="150"/>
        <v>HS-</v>
      </c>
      <c r="DB247" s="177" t="str">
        <f t="shared" si="145"/>
        <v>HS</v>
      </c>
      <c r="DC247" s="177" t="str">
        <f t="shared" si="151"/>
        <v>HS-</v>
      </c>
      <c r="DD247" s="177" t="str">
        <f t="shared" si="152"/>
        <v>HS</v>
      </c>
      <c r="DE247" s="177" t="str">
        <f t="shared" si="153"/>
        <v>HS-</v>
      </c>
    </row>
    <row r="248" spans="1:109" ht="18" customHeight="1" x14ac:dyDescent="0.3">
      <c r="A248" s="81">
        <v>0.22916666666667401</v>
      </c>
      <c r="B248" s="166" t="s">
        <v>10</v>
      </c>
      <c r="C248" s="130" t="s">
        <v>120</v>
      </c>
      <c r="D248" s="169" t="s">
        <v>10</v>
      </c>
      <c r="E248" s="130" t="s">
        <v>120</v>
      </c>
      <c r="F248" s="169" t="s">
        <v>10</v>
      </c>
      <c r="G248" s="130" t="s">
        <v>120</v>
      </c>
      <c r="H248" s="169" t="s">
        <v>10</v>
      </c>
      <c r="I248" s="130" t="s">
        <v>120</v>
      </c>
      <c r="J248" s="169" t="s">
        <v>10</v>
      </c>
      <c r="K248" s="130" t="s">
        <v>120</v>
      </c>
      <c r="L248" s="169" t="s">
        <v>10</v>
      </c>
      <c r="M248" s="130" t="s">
        <v>120</v>
      </c>
      <c r="N248" s="169" t="s">
        <v>10</v>
      </c>
      <c r="O248" s="154" t="s">
        <v>120</v>
      </c>
      <c r="P248" s="6">
        <v>0</v>
      </c>
      <c r="Q248" s="109" t="str">
        <f>IF('INFO BASE'!$C$17="","",'INFO BASE'!$C$17)</f>
        <v>Estudo Autónomo</v>
      </c>
      <c r="R248" s="82" t="str">
        <f>R191</f>
        <v>EA</v>
      </c>
      <c r="S248" s="83">
        <f t="shared" ref="S248:S284" si="159">IFERROR((U248/T248)-1,"-")</f>
        <v>-0.47368421052631582</v>
      </c>
      <c r="T248" s="84">
        <f>IF(VLOOKUP(Q248,'INFO BASE'!$B$40:$I$54,IF(R248='INFO BASE'!$B$32,3,IF(R248='INFO BASE'!$B$33,4,IF(R248='INFO BASE'!$B$34,5,IF(R248='INFO BASE'!$B$35,6,IF(R248='INFO BASE'!$B$36,7,IF(R248='INFO BASE'!$B$37,8,2)))))),0)=0,"",VLOOKUP(Q248,'INFO BASE'!$B$40:$I$54,IF(R248='INFO BASE'!$B$32,3,IF(R248='INFO BASE'!$B$33,4,IF(R248='INFO BASE'!$B$34,5,IF(R248='INFO BASE'!$B$35,6,IF(R248='INFO BASE'!$B$36,7,IF(R248='INFO BASE'!$B$37,8,2)))))),0))</f>
        <v>19</v>
      </c>
      <c r="U248" s="84">
        <f>IF(R248="","",COUNTIFS(SEMANA5,R248)*0.5)</f>
        <v>10</v>
      </c>
      <c r="V248" s="84">
        <f>IF(R248="","",COUNTIFS(AI237:AV284,R248)*0.5)</f>
        <v>10</v>
      </c>
      <c r="W248" s="85">
        <f>IF(AH233="","-",IF(V248=0,U248,IFERROR((U248/V248)-1,"-")))</f>
        <v>0</v>
      </c>
      <c r="X248" s="200">
        <f t="shared" ref="X248:X284" si="160">IFERROR(IF(ABS(W248)&gt;P248,1,0),0)</f>
        <v>0</v>
      </c>
      <c r="Y248" s="296"/>
      <c r="Z248" s="297"/>
      <c r="AA248" s="297"/>
      <c r="AB248" s="297"/>
      <c r="AC248" s="297"/>
      <c r="AD248" s="297"/>
      <c r="AE248" s="297"/>
      <c r="AF248" s="298"/>
      <c r="AH248" s="136">
        <v>0.22916666666667401</v>
      </c>
      <c r="AI248" s="136" t="s">
        <v>10</v>
      </c>
      <c r="AJ248" s="136" t="s">
        <v>120</v>
      </c>
      <c r="AK248" s="136" t="s">
        <v>10</v>
      </c>
      <c r="AL248" s="136" t="s">
        <v>120</v>
      </c>
      <c r="AM248" s="136" t="s">
        <v>10</v>
      </c>
      <c r="AN248" s="136" t="s">
        <v>120</v>
      </c>
      <c r="AO248" s="136" t="s">
        <v>10</v>
      </c>
      <c r="AP248" s="136" t="s">
        <v>120</v>
      </c>
      <c r="AQ248" s="136" t="s">
        <v>10</v>
      </c>
      <c r="AR248" s="136" t="s">
        <v>120</v>
      </c>
      <c r="AS248" s="136" t="s">
        <v>10</v>
      </c>
      <c r="AT248" s="136" t="s">
        <v>120</v>
      </c>
      <c r="AU248" s="136" t="s">
        <v>10</v>
      </c>
      <c r="AV248" s="136" t="s">
        <v>120</v>
      </c>
      <c r="AX248" s="136" t="str">
        <f>IF(AI233="","",IF(B248="","",B248))</f>
        <v>HS</v>
      </c>
      <c r="AY248" s="136" t="str">
        <f>IF(AI233="","",IF(C248="","",C248))</f>
        <v>-</v>
      </c>
      <c r="AZ248" s="136" t="str">
        <f>IF(AI233="","",IF(D248="","",D248))</f>
        <v>HS</v>
      </c>
      <c r="BA248" s="136" t="str">
        <f>IF(AI233="","",IF(E248="","",E248))</f>
        <v>-</v>
      </c>
      <c r="BB248" s="136" t="str">
        <f>IF(AI233="","",IF(F248="","",F248))</f>
        <v>HS</v>
      </c>
      <c r="BC248" s="136" t="str">
        <f>IF(AI233="","",IF(G248="","",G248))</f>
        <v>-</v>
      </c>
      <c r="BD248" s="136" t="str">
        <f>IF(AI233="","",IF(H248="","",H248))</f>
        <v>HS</v>
      </c>
      <c r="BE248" s="136" t="str">
        <f>IF(AI233="","",IF(I248="","",I248))</f>
        <v>-</v>
      </c>
      <c r="BF248" s="136" t="str">
        <f>IF(AI233="","",IF(J248="","",J248))</f>
        <v>HS</v>
      </c>
      <c r="BG248" s="136" t="str">
        <f>IF(AI233="","",IF(K248="","",K248))</f>
        <v>-</v>
      </c>
      <c r="BH248" s="136" t="str">
        <f>IF(AI233="","",IF(L248="","",L248))</f>
        <v>HS</v>
      </c>
      <c r="BI248" s="136" t="str">
        <f>IF(AI233="","",IF(M248="","",M248))</f>
        <v>-</v>
      </c>
      <c r="BJ248" s="136" t="str">
        <f>IF(AI233="","",IF(N248="","",N248))</f>
        <v>HS</v>
      </c>
      <c r="BK248" s="136" t="str">
        <f>IF(AI233="","",IF(O248="","",O248))</f>
        <v>-</v>
      </c>
      <c r="BM248" s="136" t="str">
        <f t="shared" si="158"/>
        <v>EA</v>
      </c>
      <c r="BN248" s="136" t="str">
        <f t="shared" si="155"/>
        <v>Estudo Autónomo</v>
      </c>
      <c r="BO248" s="136" t="str">
        <f t="shared" si="155"/>
        <v>IAC</v>
      </c>
      <c r="BP248" s="136">
        <f>(COUNTIFS(AX237:AX284,BM248,AY237:AY284,BO248)+COUNTIFS(AZ237:AZ284,BM248,BA237:BA284,BO248)+COUNTIFS(BB237:BB284,BM248,BC237:BC284,BO248)+COUNTIFS(BD237:BD284,BM248,BE237:BE284,BO248)+COUNTIFS(BF237:BF284,BM248,BG237:BG284,BO248)+COUNTIFS(BH237:BH284,BM248,BI237:BI284,BO248)+COUNTIFS(BJ237:BJ284,BM248,BK237:BK284,BO248))*0.5</f>
        <v>0</v>
      </c>
      <c r="BQ248" s="136" t="str">
        <f t="shared" si="156"/>
        <v>Estudo Autónomo</v>
      </c>
      <c r="BR248" s="136" t="str">
        <f t="shared" si="156"/>
        <v>IAC</v>
      </c>
      <c r="BS248" s="136" t="str">
        <f t="shared" si="157"/>
        <v>Estudo Autónomo</v>
      </c>
      <c r="BT248" s="136">
        <f>SUMIFS(V:V,Q:Q,BQ248,R:R,BBO246)</f>
        <v>0</v>
      </c>
      <c r="BU248" s="136">
        <f>SUMIFS(BP:BP,BN:BN,BQ248,BO:BO,BBO246)</f>
        <v>0</v>
      </c>
      <c r="CA248" s="183">
        <f>'INFO BASE'!L311</f>
        <v>0</v>
      </c>
      <c r="CB248" s="183">
        <f>'INFO BASE'!M311</f>
        <v>0</v>
      </c>
      <c r="CD248" s="136" t="str">
        <f>IF('INFO BASE'!E262="","",'INFO BASE'!E262)</f>
        <v/>
      </c>
      <c r="CR248" s="177" t="str">
        <f t="shared" si="145"/>
        <v>HS</v>
      </c>
      <c r="CS248" s="177" t="str">
        <f t="shared" si="146"/>
        <v>HS-</v>
      </c>
      <c r="CT248" s="177" t="str">
        <f t="shared" si="145"/>
        <v>HS</v>
      </c>
      <c r="CU248" s="177" t="str">
        <f t="shared" si="147"/>
        <v>HS-</v>
      </c>
      <c r="CV248" s="177" t="str">
        <f t="shared" si="145"/>
        <v>HS</v>
      </c>
      <c r="CW248" s="177" t="str">
        <f t="shared" si="148"/>
        <v>HS-</v>
      </c>
      <c r="CX248" s="177" t="str">
        <f t="shared" si="145"/>
        <v>HS</v>
      </c>
      <c r="CY248" s="177" t="str">
        <f t="shared" si="149"/>
        <v>HS-</v>
      </c>
      <c r="CZ248" s="177" t="str">
        <f t="shared" si="145"/>
        <v>HS</v>
      </c>
      <c r="DA248" s="177" t="str">
        <f t="shared" si="150"/>
        <v>HS-</v>
      </c>
      <c r="DB248" s="177" t="str">
        <f t="shared" si="145"/>
        <v>HS</v>
      </c>
      <c r="DC248" s="177" t="str">
        <f t="shared" si="151"/>
        <v>HS-</v>
      </c>
      <c r="DD248" s="177" t="str">
        <f t="shared" si="152"/>
        <v>HS</v>
      </c>
      <c r="DE248" s="177" t="str">
        <f t="shared" si="153"/>
        <v>HS-</v>
      </c>
    </row>
    <row r="249" spans="1:109" ht="18" customHeight="1" x14ac:dyDescent="0.3">
      <c r="A249" s="81">
        <v>0.25000000000000799</v>
      </c>
      <c r="B249" s="166" t="s">
        <v>10</v>
      </c>
      <c r="C249" s="130" t="s">
        <v>120</v>
      </c>
      <c r="D249" s="169" t="s">
        <v>10</v>
      </c>
      <c r="E249" s="130" t="s">
        <v>120</v>
      </c>
      <c r="F249" s="169" t="s">
        <v>10</v>
      </c>
      <c r="G249" s="130" t="s">
        <v>120</v>
      </c>
      <c r="H249" s="169" t="s">
        <v>10</v>
      </c>
      <c r="I249" s="130" t="s">
        <v>120</v>
      </c>
      <c r="J249" s="169" t="s">
        <v>10</v>
      </c>
      <c r="K249" s="130" t="s">
        <v>120</v>
      </c>
      <c r="L249" s="169" t="s">
        <v>10</v>
      </c>
      <c r="M249" s="130" t="s">
        <v>120</v>
      </c>
      <c r="N249" s="169" t="s">
        <v>10</v>
      </c>
      <c r="O249" s="154" t="s">
        <v>120</v>
      </c>
      <c r="P249" s="6">
        <v>0</v>
      </c>
      <c r="Q249" s="110" t="str">
        <f t="shared" ref="Q249:Q254" si="161">Q248</f>
        <v>Estudo Autónomo</v>
      </c>
      <c r="R249" s="105" t="str">
        <f t="shared" ref="R249:R284" si="162">R192</f>
        <v>FP</v>
      </c>
      <c r="S249" s="88">
        <f t="shared" si="159"/>
        <v>0</v>
      </c>
      <c r="T249" s="89">
        <f>IF(VLOOKUP(Q249,'INFO BASE'!$B$40:$I$54,IF(R249='INFO BASE'!$B$32,3,IF(R249='INFO BASE'!$B$33,4,IF(R249='INFO BASE'!$B$34,5,IF(R249='INFO BASE'!$B$35,6,IF(R249='INFO BASE'!$B$36,7,IF(R249='INFO BASE'!$B$37,8,2)))))),0)=0,"",VLOOKUP(Q249,'INFO BASE'!$B$40:$I$54,IF(R249='INFO BASE'!$B$32,3,IF(R249='INFO BASE'!$B$33,4,IF(R249='INFO BASE'!$B$34,5,IF(R249='INFO BASE'!$B$35,6,IF(R249='INFO BASE'!$B$36,7,IF(R249='INFO BASE'!$B$37,8,2)))))),0))</f>
        <v>5</v>
      </c>
      <c r="U249" s="89">
        <f>(COUNTIFS(C237:C284,R249,B237:B284,R248)+COUNTIFS(E237:E284,R249,D237:D284,R248)+COUNTIFS(G237:G284,R249,F237:F284,R248)+COUNTIFS(I237:I284,R249,H237:H284,R248)+COUNTIFS(K237:K284,R249,J237:J284,R248)+COUNTIFS(M237:M284,R249,L237:L284,R248)+COUNTIFS(O237:O284,R249,N237:N284,R248))*0.5</f>
        <v>5</v>
      </c>
      <c r="V249" s="89">
        <f>(COUNTIFS(AI237:AI284,R248,AJ237:AJ284,R249)+COUNTIFS(AK237:AK284,R248,AL237:AL284,R249)+COUNTIFS(AM237:AM284,R248,AN237:AN284,R249)+COUNTIFS(AO237:AO284,R248,AP237:AP284,R249)+COUNTIFS(AQ237:AQ284,R248,AR237:AR284,R249)+COUNTIFS(AS237:AS284,R248,AT237:AT284,R249)+COUNTIFS(AU237:AU284,R248,AV237:AV284,R249))*0.5</f>
        <v>5</v>
      </c>
      <c r="W249" s="90">
        <f>IF(AH233="","-",IF(V249=0,U249,IFERROR((U249/V249)-1,"-")))</f>
        <v>0</v>
      </c>
      <c r="X249" s="200">
        <f t="shared" si="160"/>
        <v>0</v>
      </c>
      <c r="Y249" s="299"/>
      <c r="Z249" s="300"/>
      <c r="AA249" s="300"/>
      <c r="AB249" s="300"/>
      <c r="AC249" s="300"/>
      <c r="AD249" s="300"/>
      <c r="AE249" s="300"/>
      <c r="AF249" s="301"/>
      <c r="AH249" s="136">
        <v>0.25000000000000799</v>
      </c>
      <c r="AI249" s="136" t="s">
        <v>10</v>
      </c>
      <c r="AJ249" s="136" t="s">
        <v>120</v>
      </c>
      <c r="AK249" s="136" t="s">
        <v>10</v>
      </c>
      <c r="AL249" s="136" t="s">
        <v>120</v>
      </c>
      <c r="AM249" s="136" t="s">
        <v>10</v>
      </c>
      <c r="AN249" s="136" t="s">
        <v>120</v>
      </c>
      <c r="AO249" s="136" t="s">
        <v>10</v>
      </c>
      <c r="AP249" s="136" t="s">
        <v>120</v>
      </c>
      <c r="AQ249" s="136" t="s">
        <v>10</v>
      </c>
      <c r="AR249" s="136" t="s">
        <v>120</v>
      </c>
      <c r="AS249" s="136" t="s">
        <v>10</v>
      </c>
      <c r="AT249" s="136" t="s">
        <v>120</v>
      </c>
      <c r="AU249" s="136" t="s">
        <v>10</v>
      </c>
      <c r="AV249" s="136" t="s">
        <v>120</v>
      </c>
      <c r="AX249" s="136" t="str">
        <f>IF(AI233="","",IF(B249="","",B249))</f>
        <v>HS</v>
      </c>
      <c r="AY249" s="136" t="str">
        <f>IF(AI233="","",IF(C249="","",C249))</f>
        <v>-</v>
      </c>
      <c r="AZ249" s="136" t="str">
        <f>IF(AI233="","",IF(D249="","",D249))</f>
        <v>HS</v>
      </c>
      <c r="BA249" s="136" t="str">
        <f>IF(AI233="","",IF(E249="","",E249))</f>
        <v>-</v>
      </c>
      <c r="BB249" s="136" t="str">
        <f>IF(AI233="","",IF(F249="","",F249))</f>
        <v>HS</v>
      </c>
      <c r="BC249" s="136" t="str">
        <f>IF(AI233="","",IF(G249="","",G249))</f>
        <v>-</v>
      </c>
      <c r="BD249" s="136" t="str">
        <f>IF(AI233="","",IF(H249="","",H249))</f>
        <v>HS</v>
      </c>
      <c r="BE249" s="136" t="str">
        <f>IF(AI233="","",IF(I249="","",I249))</f>
        <v>-</v>
      </c>
      <c r="BF249" s="136" t="str">
        <f>IF(AI233="","",IF(J249="","",J249))</f>
        <v>HS</v>
      </c>
      <c r="BG249" s="136" t="str">
        <f>IF(AI233="","",IF(K249="","",K249))</f>
        <v>-</v>
      </c>
      <c r="BH249" s="136" t="str">
        <f>IF(AI233="","",IF(L249="","",L249))</f>
        <v>HS</v>
      </c>
      <c r="BI249" s="136" t="str">
        <f>IF(AI233="","",IF(M249="","",M249))</f>
        <v>-</v>
      </c>
      <c r="BJ249" s="136" t="str">
        <f>IF(AI233="","",IF(N249="","",N249))</f>
        <v>HS</v>
      </c>
      <c r="BK249" s="136" t="str">
        <f>IF(AI233="","",IF(O249="","",O249))</f>
        <v>-</v>
      </c>
      <c r="BM249" s="136" t="str">
        <f t="shared" si="158"/>
        <v>EA</v>
      </c>
      <c r="BN249" s="136" t="str">
        <f t="shared" si="155"/>
        <v>Estudo Autónomo</v>
      </c>
      <c r="BO249" s="136" t="str">
        <f t="shared" si="155"/>
        <v>AL</v>
      </c>
      <c r="BP249" s="136">
        <f>(COUNTIFS(AX237:AX284,BM249,AY237:AY284,BO249)+COUNTIFS(AZ237:AZ284,BM249,BA237:BA284,BO249)+COUNTIFS(BB237:BB284,BM249,BC237:BC284,BO249)+COUNTIFS(BD237:BD284,BM249,BE237:BE284,BO249)+COUNTIFS(BF237:BF284,BM249,BG237:BG284,BO249)+COUNTIFS(BH237:BH284,BM249,BI237:BI284,BO249)+COUNTIFS(BJ237:BJ284,BM249,BK237:BK284,BO249))*0.5</f>
        <v>0</v>
      </c>
      <c r="BQ249" s="136" t="str">
        <f t="shared" si="156"/>
        <v>Estudo Autónomo</v>
      </c>
      <c r="BR249" s="136" t="str">
        <f t="shared" si="156"/>
        <v>AL</v>
      </c>
      <c r="BS249" s="136" t="str">
        <f t="shared" si="157"/>
        <v>Estudo Autónomo</v>
      </c>
      <c r="BT249" s="136">
        <f t="shared" ref="BT249:BT281" si="163">SUMIFS(V:V,Q:Q,BQ249,R:R,BR249)</f>
        <v>24</v>
      </c>
      <c r="BU249" s="136">
        <f t="shared" ref="BU249:BU281" si="164">SUMIFS(BP:BP,BN:BN,BQ249,BO:BO,BR249)</f>
        <v>25.5</v>
      </c>
      <c r="CA249" s="183">
        <f>'INFO BASE'!L312</f>
        <v>0</v>
      </c>
      <c r="CB249" s="183">
        <f>'INFO BASE'!M312</f>
        <v>0</v>
      </c>
      <c r="CD249" s="136" t="str">
        <f>IF('INFO BASE'!E263="","",'INFO BASE'!E263)</f>
        <v/>
      </c>
      <c r="CR249" s="177" t="str">
        <f t="shared" si="145"/>
        <v>HS</v>
      </c>
      <c r="CS249" s="177" t="str">
        <f t="shared" si="146"/>
        <v>HS-</v>
      </c>
      <c r="CT249" s="177" t="str">
        <f t="shared" si="145"/>
        <v>HS</v>
      </c>
      <c r="CU249" s="177" t="str">
        <f t="shared" si="147"/>
        <v>HS-</v>
      </c>
      <c r="CV249" s="177" t="str">
        <f t="shared" si="145"/>
        <v>HS</v>
      </c>
      <c r="CW249" s="177" t="str">
        <f t="shared" si="148"/>
        <v>HS-</v>
      </c>
      <c r="CX249" s="177" t="str">
        <f t="shared" si="145"/>
        <v>HS</v>
      </c>
      <c r="CY249" s="177" t="str">
        <f t="shared" si="149"/>
        <v>HS-</v>
      </c>
      <c r="CZ249" s="177" t="str">
        <f t="shared" si="145"/>
        <v>HS</v>
      </c>
      <c r="DA249" s="177" t="str">
        <f t="shared" si="150"/>
        <v>HS-</v>
      </c>
      <c r="DB249" s="177" t="str">
        <f t="shared" si="145"/>
        <v>HS</v>
      </c>
      <c r="DC249" s="177" t="str">
        <f t="shared" si="151"/>
        <v>HS-</v>
      </c>
      <c r="DD249" s="177" t="str">
        <f t="shared" si="152"/>
        <v>HS</v>
      </c>
      <c r="DE249" s="177" t="str">
        <f t="shared" si="153"/>
        <v>HS-</v>
      </c>
    </row>
    <row r="250" spans="1:109" ht="18" customHeight="1" x14ac:dyDescent="0.3">
      <c r="A250" s="81">
        <v>0.27083333333334197</v>
      </c>
      <c r="B250" s="166" t="s">
        <v>116</v>
      </c>
      <c r="C250" s="130" t="s">
        <v>120</v>
      </c>
      <c r="D250" s="169" t="s">
        <v>116</v>
      </c>
      <c r="E250" s="130" t="s">
        <v>120</v>
      </c>
      <c r="F250" s="169" t="s">
        <v>116</v>
      </c>
      <c r="G250" s="130" t="s">
        <v>120</v>
      </c>
      <c r="H250" s="169" t="s">
        <v>116</v>
      </c>
      <c r="I250" s="130" t="s">
        <v>120</v>
      </c>
      <c r="J250" s="169" t="s">
        <v>116</v>
      </c>
      <c r="K250" s="130" t="s">
        <v>120</v>
      </c>
      <c r="L250" s="169" t="s">
        <v>10</v>
      </c>
      <c r="M250" s="130" t="s">
        <v>120</v>
      </c>
      <c r="N250" s="169" t="s">
        <v>10</v>
      </c>
      <c r="O250" s="154" t="s">
        <v>120</v>
      </c>
      <c r="P250" s="6">
        <v>0</v>
      </c>
      <c r="Q250" s="110" t="str">
        <f t="shared" si="161"/>
        <v>Estudo Autónomo</v>
      </c>
      <c r="R250" s="105" t="str">
        <f t="shared" si="162"/>
        <v>IEI</v>
      </c>
      <c r="S250" s="88">
        <f t="shared" si="159"/>
        <v>1.5</v>
      </c>
      <c r="T250" s="89">
        <f>IF(VLOOKUP(Q250,'INFO BASE'!$B$40:$I$54,IF(R250='INFO BASE'!$B$32,3,IF(R250='INFO BASE'!$B$33,4,IF(R250='INFO BASE'!$B$34,5,IF(R250='INFO BASE'!$B$35,6,IF(R250='INFO BASE'!$B$36,7,IF(R250='INFO BASE'!$B$37,8,2)))))),0)=0,"",VLOOKUP(Q250,'INFO BASE'!$B$40:$I$54,IF(R250='INFO BASE'!$B$32,3,IF(R250='INFO BASE'!$B$33,4,IF(R250='INFO BASE'!$B$34,5,IF(R250='INFO BASE'!$B$35,6,IF(R250='INFO BASE'!$B$36,7,IF(R250='INFO BASE'!$B$37,8,2)))))),0))</f>
        <v>2</v>
      </c>
      <c r="U250" s="89">
        <f>(COUNTIFS(C237:C284,R250,B237:B284,R248)+COUNTIFS(E237:E284,R250,D237:D284,R248)+COUNTIFS(G237:G284,R250,F237:F284,R248)+COUNTIFS(I237:I284,R250,H237:H284,R248)+COUNTIFS(K237:K284,R250,J237:J284,R248)+COUNTIFS(M237:M284,R250,L237:L284,R248)+COUNTIFS(O237:O284,R250,N237:N284,R248))*0.5</f>
        <v>5</v>
      </c>
      <c r="V250" s="89">
        <f>(COUNTIFS(AI237:AI284,R248,AJ237:AJ284,R250)+COUNTIFS(AK237:AK284,R248,AL237:AL284,R250)+COUNTIFS(AM237:AM284,R248,AN237:AN284,R250)+COUNTIFS(AO237:AO284,R248,AP237:AP284,R250)+COUNTIFS(AQ237:AQ284,R248,AR237:AR284,R250)+COUNTIFS(AS237:AS284,R248,AT237:AT284,R250)+COUNTIFS(AU237:AU284,R248,AV237:AV284,R250))*0.5</f>
        <v>5</v>
      </c>
      <c r="W250" s="90">
        <f>IF(AH233="","-",IF(V250=0,U250,IFERROR((U250/V250)-1,"-")))</f>
        <v>0</v>
      </c>
      <c r="X250" s="200">
        <f t="shared" si="160"/>
        <v>0</v>
      </c>
      <c r="Y250" s="299"/>
      <c r="Z250" s="300"/>
      <c r="AA250" s="300"/>
      <c r="AB250" s="300"/>
      <c r="AC250" s="300"/>
      <c r="AD250" s="300"/>
      <c r="AE250" s="300"/>
      <c r="AF250" s="301"/>
      <c r="AH250" s="136">
        <v>0.27083333333334197</v>
      </c>
      <c r="AI250" s="136" t="s">
        <v>116</v>
      </c>
      <c r="AJ250" s="136" t="s">
        <v>120</v>
      </c>
      <c r="AK250" s="136" t="s">
        <v>116</v>
      </c>
      <c r="AL250" s="136" t="s">
        <v>120</v>
      </c>
      <c r="AM250" s="136" t="s">
        <v>116</v>
      </c>
      <c r="AN250" s="136" t="s">
        <v>120</v>
      </c>
      <c r="AO250" s="136" t="s">
        <v>116</v>
      </c>
      <c r="AP250" s="136" t="s">
        <v>120</v>
      </c>
      <c r="AQ250" s="136" t="s">
        <v>116</v>
      </c>
      <c r="AR250" s="136" t="s">
        <v>120</v>
      </c>
      <c r="AS250" s="136" t="s">
        <v>10</v>
      </c>
      <c r="AT250" s="136" t="s">
        <v>120</v>
      </c>
      <c r="AU250" s="136" t="s">
        <v>10</v>
      </c>
      <c r="AV250" s="136" t="s">
        <v>120</v>
      </c>
      <c r="AX250" s="136" t="str">
        <f>IF(AI233="","",IF(B250="","",B250))</f>
        <v>PV</v>
      </c>
      <c r="AY250" s="136" t="str">
        <f>IF(AI233="","",IF(C250="","",C250))</f>
        <v>-</v>
      </c>
      <c r="AZ250" s="136" t="str">
        <f>IF(AI233="","",IF(D250="","",D250))</f>
        <v>PV</v>
      </c>
      <c r="BA250" s="136" t="str">
        <f>IF(AI233="","",IF(E250="","",E250))</f>
        <v>-</v>
      </c>
      <c r="BB250" s="136" t="str">
        <f>IF(AI233="","",IF(F250="","",F250))</f>
        <v>PV</v>
      </c>
      <c r="BC250" s="136" t="str">
        <f>IF(AI233="","",IF(G250="","",G250))</f>
        <v>-</v>
      </c>
      <c r="BD250" s="136" t="str">
        <f>IF(AI233="","",IF(H250="","",H250))</f>
        <v>PV</v>
      </c>
      <c r="BE250" s="136" t="str">
        <f>IF(AI233="","",IF(I250="","",I250))</f>
        <v>-</v>
      </c>
      <c r="BF250" s="136" t="str">
        <f>IF(AI233="","",IF(J250="","",J250))</f>
        <v>PV</v>
      </c>
      <c r="BG250" s="136" t="str">
        <f>IF(AI233="","",IF(K250="","",K250))</f>
        <v>-</v>
      </c>
      <c r="BH250" s="136" t="str">
        <f>IF(AI233="","",IF(L250="","",L250))</f>
        <v>HS</v>
      </c>
      <c r="BI250" s="136" t="str">
        <f>IF(AI233="","",IF(M250="","",M250))</f>
        <v>-</v>
      </c>
      <c r="BJ250" s="136" t="str">
        <f>IF(AI233="","",IF(N250="","",N250))</f>
        <v>HS</v>
      </c>
      <c r="BK250" s="136" t="str">
        <f>IF(AI233="","",IF(O250="","",O250))</f>
        <v>-</v>
      </c>
      <c r="BM250" s="136" t="str">
        <f t="shared" si="158"/>
        <v>EA</v>
      </c>
      <c r="BN250" s="136" t="str">
        <f t="shared" si="155"/>
        <v>Estudo Autónomo</v>
      </c>
      <c r="BO250" s="136" t="str">
        <f t="shared" si="155"/>
        <v>CDI</v>
      </c>
      <c r="BP250" s="136">
        <f>(COUNTIFS(AX237:AX284,BM250,AY237:AY284,BO250)+COUNTIFS(AZ237:AZ284,BM250,BA237:BA284,BO250)+COUNTIFS(BB237:BB284,BM250,BC237:BC284,BO250)+COUNTIFS(BD237:BD284,BM250,BE237:BE284,BO250)+COUNTIFS(BF237:BF284,BM250,BG237:BG284,BO250)+COUNTIFS(BH237:BH284,BM250,BI237:BI284,BO250)+COUNTIFS(BJ237:BJ284,BM250,BK237:BK284,BO250))*0.5</f>
        <v>0</v>
      </c>
      <c r="BQ250" s="136" t="str">
        <f t="shared" si="156"/>
        <v>Estudo Autónomo</v>
      </c>
      <c r="BR250" s="136" t="str">
        <f t="shared" si="156"/>
        <v>CDI</v>
      </c>
      <c r="BS250" s="136" t="str">
        <f t="shared" si="157"/>
        <v>Estudo Autónomo</v>
      </c>
      <c r="BT250" s="136">
        <f t="shared" si="163"/>
        <v>9.5</v>
      </c>
      <c r="BU250" s="136">
        <f t="shared" si="164"/>
        <v>7.5</v>
      </c>
      <c r="CA250" s="183">
        <f>'INFO BASE'!L313</f>
        <v>0</v>
      </c>
      <c r="CB250" s="183">
        <f>'INFO BASE'!M313</f>
        <v>0</v>
      </c>
      <c r="CD250" s="136" t="str">
        <f>IF('INFO BASE'!E264="","",'INFO BASE'!E264)</f>
        <v/>
      </c>
      <c r="CR250" s="177" t="str">
        <f t="shared" si="145"/>
        <v>PV</v>
      </c>
      <c r="CS250" s="177">
        <f t="shared" si="146"/>
        <v>0</v>
      </c>
      <c r="CT250" s="177" t="str">
        <f t="shared" si="145"/>
        <v>PV</v>
      </c>
      <c r="CU250" s="177">
        <f t="shared" si="147"/>
        <v>0</v>
      </c>
      <c r="CV250" s="177" t="str">
        <f t="shared" si="145"/>
        <v>PV</v>
      </c>
      <c r="CW250" s="177">
        <f t="shared" si="148"/>
        <v>0</v>
      </c>
      <c r="CX250" s="177" t="str">
        <f t="shared" si="145"/>
        <v>PV</v>
      </c>
      <c r="CY250" s="177">
        <f t="shared" si="149"/>
        <v>0</v>
      </c>
      <c r="CZ250" s="177" t="str">
        <f t="shared" si="145"/>
        <v>PV</v>
      </c>
      <c r="DA250" s="177">
        <f t="shared" si="150"/>
        <v>0</v>
      </c>
      <c r="DB250" s="177" t="str">
        <f t="shared" si="145"/>
        <v>HS</v>
      </c>
      <c r="DC250" s="177" t="str">
        <f t="shared" si="151"/>
        <v>HS-</v>
      </c>
      <c r="DD250" s="177" t="str">
        <f t="shared" si="152"/>
        <v>HS</v>
      </c>
      <c r="DE250" s="177" t="str">
        <f t="shared" si="153"/>
        <v>HS-</v>
      </c>
    </row>
    <row r="251" spans="1:109" ht="18" customHeight="1" x14ac:dyDescent="0.3">
      <c r="A251" s="81">
        <v>0.29166666666667601</v>
      </c>
      <c r="B251" s="166" t="s">
        <v>116</v>
      </c>
      <c r="C251" s="130" t="s">
        <v>120</v>
      </c>
      <c r="D251" s="169" t="s">
        <v>116</v>
      </c>
      <c r="E251" s="130" t="s">
        <v>120</v>
      </c>
      <c r="F251" s="169" t="s">
        <v>116</v>
      </c>
      <c r="G251" s="130" t="s">
        <v>120</v>
      </c>
      <c r="H251" s="169" t="s">
        <v>116</v>
      </c>
      <c r="I251" s="130" t="s">
        <v>120</v>
      </c>
      <c r="J251" s="169" t="s">
        <v>116</v>
      </c>
      <c r="K251" s="130" t="s">
        <v>120</v>
      </c>
      <c r="L251" s="169" t="s">
        <v>10</v>
      </c>
      <c r="M251" s="130" t="s">
        <v>120</v>
      </c>
      <c r="N251" s="169" t="s">
        <v>10</v>
      </c>
      <c r="O251" s="154" t="s">
        <v>120</v>
      </c>
      <c r="P251" s="6">
        <v>0</v>
      </c>
      <c r="Q251" s="111" t="str">
        <f t="shared" si="161"/>
        <v>Estudo Autónomo</v>
      </c>
      <c r="R251" s="105" t="str">
        <f t="shared" si="162"/>
        <v>IAC</v>
      </c>
      <c r="S251" s="88">
        <f t="shared" si="159"/>
        <v>-1</v>
      </c>
      <c r="T251" s="89">
        <f>IF(VLOOKUP(Q251,'INFO BASE'!$B$40:$I$54,IF(R251='INFO BASE'!$B$32,3,IF(R251='INFO BASE'!$B$33,4,IF(R251='INFO BASE'!$B$34,5,IF(R251='INFO BASE'!$B$35,6,IF(R251='INFO BASE'!$B$36,7,IF(R251='INFO BASE'!$B$37,8,2)))))),0)=0,"",VLOOKUP(Q251,'INFO BASE'!$B$40:$I$54,IF(R251='INFO BASE'!$B$32,3,IF(R251='INFO BASE'!$B$33,4,IF(R251='INFO BASE'!$B$34,5,IF(R251='INFO BASE'!$B$35,6,IF(R251='INFO BASE'!$B$36,7,IF(R251='INFO BASE'!$B$37,8,2)))))),0))</f>
        <v>2</v>
      </c>
      <c r="U251" s="89">
        <f>(COUNTIFS(C237:C284,R251,B237:B284,R248)+COUNTIFS(E237:E284,R251,D237:D284,R248)+COUNTIFS(G237:G284,R251,F237:F284,R248)+COUNTIFS(I237:I284,R251,H237:H284,R248)+COUNTIFS(K237:K284,R251,J237:J284,R248)+COUNTIFS(M237:M284,R251,L237:L284,R248)+COUNTIFS(O237:O284,R251,N237:N284,R248))*0.5</f>
        <v>0</v>
      </c>
      <c r="V251" s="89">
        <f>(COUNTIFS(AI237:AI284,R248,AJ237:AJ284,R251)+COUNTIFS(AK237:AK284,R248,AL237:AL284,R251)+COUNTIFS(AM237:AM284,R248,AN237:AN284,R251)+COUNTIFS(AO237:AO284,R248,AP237:AP284,R251)+COUNTIFS(AQ237:AQ284,R248,AR237:AR284,R251)+COUNTIFS(AS237:AS284,R248,AT237:AT284,R251)+COUNTIFS(AU237:AU284,R248,AV237:AV284,R251))*0.5</f>
        <v>0</v>
      </c>
      <c r="W251" s="90">
        <f>IF(AH233="","-",IF(V251=0,U251,IFERROR((U251/V251)-1,"-")))</f>
        <v>0</v>
      </c>
      <c r="X251" s="200">
        <f t="shared" si="160"/>
        <v>0</v>
      </c>
      <c r="Y251" s="299"/>
      <c r="Z251" s="300"/>
      <c r="AA251" s="300"/>
      <c r="AB251" s="300"/>
      <c r="AC251" s="300"/>
      <c r="AD251" s="300"/>
      <c r="AE251" s="300"/>
      <c r="AF251" s="301"/>
      <c r="AH251" s="136">
        <v>0.29166666666667601</v>
      </c>
      <c r="AI251" s="136" t="s">
        <v>116</v>
      </c>
      <c r="AJ251" s="136" t="s">
        <v>120</v>
      </c>
      <c r="AK251" s="136" t="s">
        <v>116</v>
      </c>
      <c r="AL251" s="136" t="s">
        <v>120</v>
      </c>
      <c r="AM251" s="136" t="s">
        <v>116</v>
      </c>
      <c r="AN251" s="136" t="s">
        <v>120</v>
      </c>
      <c r="AO251" s="136" t="s">
        <v>116</v>
      </c>
      <c r="AP251" s="136" t="s">
        <v>120</v>
      </c>
      <c r="AQ251" s="136" t="s">
        <v>116</v>
      </c>
      <c r="AR251" s="136" t="s">
        <v>120</v>
      </c>
      <c r="AS251" s="136" t="s">
        <v>10</v>
      </c>
      <c r="AT251" s="136" t="s">
        <v>120</v>
      </c>
      <c r="AU251" s="136" t="s">
        <v>10</v>
      </c>
      <c r="AV251" s="136" t="s">
        <v>120</v>
      </c>
      <c r="AX251" s="136" t="str">
        <f>IF(AI233="","",IF(B251="","",B251))</f>
        <v>PV</v>
      </c>
      <c r="AY251" s="136" t="str">
        <f>IF(AI233="","",IF(C251="","",C251))</f>
        <v>-</v>
      </c>
      <c r="AZ251" s="136" t="str">
        <f>IF(AI233="","",IF(D251="","",D251))</f>
        <v>PV</v>
      </c>
      <c r="BA251" s="136" t="str">
        <f>IF(AI233="","",IF(E251="","",E251))</f>
        <v>-</v>
      </c>
      <c r="BB251" s="136" t="str">
        <f>IF(AI233="","",IF(F251="","",F251))</f>
        <v>PV</v>
      </c>
      <c r="BC251" s="136" t="str">
        <f>IF(AI233="","",IF(G251="","",G251))</f>
        <v>-</v>
      </c>
      <c r="BD251" s="136" t="str">
        <f>IF(AI233="","",IF(H251="","",H251))</f>
        <v>PV</v>
      </c>
      <c r="BE251" s="136" t="str">
        <f>IF(AI233="","",IF(I251="","",I251))</f>
        <v>-</v>
      </c>
      <c r="BF251" s="136" t="str">
        <f>IF(AI233="","",IF(J251="","",J251))</f>
        <v>PV</v>
      </c>
      <c r="BG251" s="136" t="str">
        <f>IF(AI233="","",IF(K251="","",K251))</f>
        <v>-</v>
      </c>
      <c r="BH251" s="136" t="str">
        <f>IF(AI233="","",IF(L251="","",L251))</f>
        <v>HS</v>
      </c>
      <c r="BI251" s="136" t="str">
        <f>IF(AI233="","",IF(M251="","",M251))</f>
        <v>-</v>
      </c>
      <c r="BJ251" s="136" t="str">
        <f>IF(AI233="","",IF(N251="","",N251))</f>
        <v>HS</v>
      </c>
      <c r="BK251" s="136" t="str">
        <f>IF(AI233="","",IF(O251="","",O251))</f>
        <v>-</v>
      </c>
      <c r="BM251" s="136" t="str">
        <f t="shared" si="158"/>
        <v>EA</v>
      </c>
      <c r="BN251" s="136" t="str">
        <f t="shared" si="155"/>
        <v>Estudo Autónomo</v>
      </c>
      <c r="BO251" s="136" t="str">
        <f t="shared" si="155"/>
        <v/>
      </c>
      <c r="BP251" s="136">
        <f>(COUNTIFS(AX237:AX284,BM251,AY237:AY284,BO251)+COUNTIFS(AZ237:AZ284,BM251,BA237:BA284,BO251)+COUNTIFS(BB237:BB284,BM251,BC237:BC284,BO251)+COUNTIFS(BD237:BD284,BM251,BE237:BE284,BO251)+COUNTIFS(BF237:BF284,BM251,BG237:BG284,BO251)+COUNTIFS(BH237:BH284,BM251,BI237:BI284,BO251)+COUNTIFS(BJ237:BJ284,BM251,BK237:BK284,BO251))*0.5</f>
        <v>0</v>
      </c>
      <c r="BQ251" s="136" t="str">
        <f t="shared" si="156"/>
        <v>Estudo Autónomo</v>
      </c>
      <c r="BR251" s="136" t="str">
        <f t="shared" si="156"/>
        <v/>
      </c>
      <c r="BS251" s="136" t="str">
        <f t="shared" si="157"/>
        <v>Estudo Autónomo</v>
      </c>
      <c r="BT251" s="136">
        <f t="shared" si="163"/>
        <v>0</v>
      </c>
      <c r="BU251" s="136">
        <f t="shared" si="164"/>
        <v>0</v>
      </c>
      <c r="CA251" s="183">
        <f>'INFO BASE'!L314</f>
        <v>0</v>
      </c>
      <c r="CB251" s="183">
        <f>'INFO BASE'!M314</f>
        <v>0</v>
      </c>
      <c r="CD251" s="136" t="str">
        <f>IF('INFO BASE'!E265="","",'INFO BASE'!E265)</f>
        <v/>
      </c>
      <c r="CR251" s="177" t="str">
        <f t="shared" si="145"/>
        <v>PV</v>
      </c>
      <c r="CS251" s="177">
        <f t="shared" si="146"/>
        <v>0</v>
      </c>
      <c r="CT251" s="177" t="str">
        <f t="shared" si="145"/>
        <v>PV</v>
      </c>
      <c r="CU251" s="177">
        <f t="shared" si="147"/>
        <v>0</v>
      </c>
      <c r="CV251" s="177" t="str">
        <f t="shared" si="145"/>
        <v>PV</v>
      </c>
      <c r="CW251" s="177">
        <f t="shared" si="148"/>
        <v>0</v>
      </c>
      <c r="CX251" s="177" t="str">
        <f t="shared" si="145"/>
        <v>PV</v>
      </c>
      <c r="CY251" s="177">
        <f t="shared" si="149"/>
        <v>0</v>
      </c>
      <c r="CZ251" s="177" t="str">
        <f t="shared" si="145"/>
        <v>PV</v>
      </c>
      <c r="DA251" s="177">
        <f t="shared" si="150"/>
        <v>0</v>
      </c>
      <c r="DB251" s="177" t="str">
        <f t="shared" si="145"/>
        <v>HS</v>
      </c>
      <c r="DC251" s="177" t="str">
        <f t="shared" si="151"/>
        <v>HS-</v>
      </c>
      <c r="DD251" s="177" t="str">
        <f t="shared" si="152"/>
        <v>HS</v>
      </c>
      <c r="DE251" s="177" t="str">
        <f t="shared" si="153"/>
        <v>HS-</v>
      </c>
    </row>
    <row r="252" spans="1:109" ht="18" customHeight="1" x14ac:dyDescent="0.3">
      <c r="A252" s="81">
        <v>0.31250000000000999</v>
      </c>
      <c r="B252" s="166" t="s">
        <v>11</v>
      </c>
      <c r="C252" s="130" t="s">
        <v>120</v>
      </c>
      <c r="D252" s="169" t="s">
        <v>11</v>
      </c>
      <c r="E252" s="130" t="s">
        <v>120</v>
      </c>
      <c r="F252" s="169" t="s">
        <v>11</v>
      </c>
      <c r="G252" s="130" t="s">
        <v>120</v>
      </c>
      <c r="H252" s="169" t="s">
        <v>11</v>
      </c>
      <c r="I252" s="130" t="s">
        <v>120</v>
      </c>
      <c r="J252" s="169" t="s">
        <v>11</v>
      </c>
      <c r="K252" s="130" t="s">
        <v>120</v>
      </c>
      <c r="L252" s="169" t="s">
        <v>10</v>
      </c>
      <c r="M252" s="130" t="s">
        <v>120</v>
      </c>
      <c r="N252" s="169" t="s">
        <v>10</v>
      </c>
      <c r="O252" s="154" t="s">
        <v>120</v>
      </c>
      <c r="P252" s="6">
        <v>0</v>
      </c>
      <c r="Q252" s="110" t="str">
        <f t="shared" si="161"/>
        <v>Estudo Autónomo</v>
      </c>
      <c r="R252" s="105" t="str">
        <f t="shared" si="162"/>
        <v>AL</v>
      </c>
      <c r="S252" s="88">
        <f t="shared" si="159"/>
        <v>-1</v>
      </c>
      <c r="T252" s="89">
        <f>IF(VLOOKUP(Q252,'INFO BASE'!$B$40:$I$54,IF(R252='INFO BASE'!$B$32,3,IF(R252='INFO BASE'!$B$33,4,IF(R252='INFO BASE'!$B$34,5,IF(R252='INFO BASE'!$B$35,6,IF(R252='INFO BASE'!$B$36,7,IF(R252='INFO BASE'!$B$37,8,2)))))),0)=0,"",VLOOKUP(Q252,'INFO BASE'!$B$40:$I$54,IF(R252='INFO BASE'!$B$32,3,IF(R252='INFO BASE'!$B$33,4,IF(R252='INFO BASE'!$B$34,5,IF(R252='INFO BASE'!$B$35,6,IF(R252='INFO BASE'!$B$36,7,IF(R252='INFO BASE'!$B$37,8,2)))))),0))</f>
        <v>5</v>
      </c>
      <c r="U252" s="89">
        <f>(COUNTIFS(C237:C284,R252,B237:B284,R248)+COUNTIFS(E237:E284,R252,D237:D284,R248)+COUNTIFS(G237:G284,R252,F237:F284,R248)+COUNTIFS(I237:I284,R252,H237:H284,R248)+COUNTIFS(K237:K284,R252,J237:J284,R248)+COUNTIFS(M237:M284,R252,L237:L284,R248)+COUNTIFS(O237:O284,R252,N237:N284,R248))*0.5</f>
        <v>0</v>
      </c>
      <c r="V252" s="89">
        <f>(COUNTIFS(AI237:AI284,R248,AJ237:AJ284,R252)+COUNTIFS(AK237:AK284,R248,AL237:AL284,R252)+COUNTIFS(AM237:AM284,R248,AN237:AN284,R252)+COUNTIFS(AO237:AO284,R248,AP237:AP284,R252)+COUNTIFS(AQ237:AQ284,R248,AR237:AR284,R252)+COUNTIFS(AS237:AS284,R248,AT237:AT284,R252)+COUNTIFS(AU237:AU284,R248,AV237:AV284,R252))*0.5</f>
        <v>0</v>
      </c>
      <c r="W252" s="90">
        <f>IF(AH233="","-",IF(V252=0,U252,IFERROR((U252/V252)-1,"-")))</f>
        <v>0</v>
      </c>
      <c r="X252" s="200">
        <f t="shared" si="160"/>
        <v>0</v>
      </c>
      <c r="Y252" s="299"/>
      <c r="Z252" s="300"/>
      <c r="AA252" s="300"/>
      <c r="AB252" s="300"/>
      <c r="AC252" s="300"/>
      <c r="AD252" s="300"/>
      <c r="AE252" s="300"/>
      <c r="AF252" s="301"/>
      <c r="AH252" s="136">
        <v>0.31250000000000999</v>
      </c>
      <c r="AI252" s="136" t="s">
        <v>11</v>
      </c>
      <c r="AJ252" s="136" t="s">
        <v>120</v>
      </c>
      <c r="AK252" s="136" t="s">
        <v>11</v>
      </c>
      <c r="AL252" s="136" t="s">
        <v>120</v>
      </c>
      <c r="AM252" s="136" t="s">
        <v>11</v>
      </c>
      <c r="AN252" s="136" t="s">
        <v>120</v>
      </c>
      <c r="AO252" s="136" t="s">
        <v>11</v>
      </c>
      <c r="AP252" s="136" t="s">
        <v>120</v>
      </c>
      <c r="AQ252" s="136" t="s">
        <v>11</v>
      </c>
      <c r="AR252" s="136" t="s">
        <v>120</v>
      </c>
      <c r="AS252" s="136" t="s">
        <v>10</v>
      </c>
      <c r="AT252" s="136" t="s">
        <v>120</v>
      </c>
      <c r="AU252" s="136" t="s">
        <v>10</v>
      </c>
      <c r="AV252" s="136" t="s">
        <v>120</v>
      </c>
      <c r="AX252" s="136" t="str">
        <f>IF(AI233="","",IF(B252="","",B252))</f>
        <v>HD</v>
      </c>
      <c r="AY252" s="136" t="str">
        <f>IF(AI233="","",IF(C252="","",C252))</f>
        <v>-</v>
      </c>
      <c r="AZ252" s="136" t="str">
        <f>IF(AI233="","",IF(D252="","",D252))</f>
        <v>HD</v>
      </c>
      <c r="BA252" s="136" t="str">
        <f>IF(AI233="","",IF(E252="","",E252))</f>
        <v>-</v>
      </c>
      <c r="BB252" s="136" t="str">
        <f>IF(AI233="","",IF(F252="","",F252))</f>
        <v>HD</v>
      </c>
      <c r="BC252" s="136" t="str">
        <f>IF(AI233="","",IF(G252="","",G252))</f>
        <v>-</v>
      </c>
      <c r="BD252" s="136" t="str">
        <f>IF(AI233="","",IF(H252="","",H252))</f>
        <v>HD</v>
      </c>
      <c r="BE252" s="136" t="str">
        <f>IF(AI233="","",IF(I252="","",I252))</f>
        <v>-</v>
      </c>
      <c r="BF252" s="136" t="str">
        <f>IF(AI233="","",IF(J252="","",J252))</f>
        <v>HD</v>
      </c>
      <c r="BG252" s="136" t="str">
        <f>IF(AI233="","",IF(K252="","",K252))</f>
        <v>-</v>
      </c>
      <c r="BH252" s="136" t="str">
        <f>IF(AI233="","",IF(L252="","",L252))</f>
        <v>HS</v>
      </c>
      <c r="BI252" s="136" t="str">
        <f>IF(AI233="","",IF(M252="","",M252))</f>
        <v>-</v>
      </c>
      <c r="BJ252" s="136" t="str">
        <f>IF(AI233="","",IF(N252="","",N252))</f>
        <v>HS</v>
      </c>
      <c r="BK252" s="136" t="str">
        <f>IF(AI233="","",IF(O252="","",O252))</f>
        <v>-</v>
      </c>
      <c r="BM252" s="136" t="str">
        <f>BO252</f>
        <v>EG</v>
      </c>
      <c r="BN252" s="136" t="str">
        <f t="shared" si="155"/>
        <v>Estudo em Grupo</v>
      </c>
      <c r="BO252" s="136" t="str">
        <f t="shared" si="155"/>
        <v>EG</v>
      </c>
      <c r="BP252" s="136">
        <f>COUNTIFS(AX237:BK284,BO252)*0.5</f>
        <v>9.5</v>
      </c>
      <c r="BQ252" s="136" t="str">
        <f t="shared" si="156"/>
        <v>Estudo em Grupo</v>
      </c>
      <c r="BR252" s="136" t="str">
        <f t="shared" si="156"/>
        <v>EG</v>
      </c>
      <c r="BS252" s="136" t="str">
        <f t="shared" si="157"/>
        <v>Estudo em Grupo</v>
      </c>
      <c r="BT252" s="136">
        <f t="shared" si="163"/>
        <v>46.5</v>
      </c>
      <c r="BU252" s="136">
        <f t="shared" si="164"/>
        <v>55.5</v>
      </c>
      <c r="CA252" s="183">
        <f>'INFO BASE'!L315</f>
        <v>0</v>
      </c>
      <c r="CB252" s="183">
        <f>'INFO BASE'!M315</f>
        <v>0</v>
      </c>
      <c r="CD252" s="136" t="str">
        <f>IF('INFO BASE'!E266="","",'INFO BASE'!E266)</f>
        <v/>
      </c>
      <c r="CR252" s="177" t="str">
        <f t="shared" si="145"/>
        <v>HD</v>
      </c>
      <c r="CS252" s="177" t="str">
        <f t="shared" si="146"/>
        <v>HD-</v>
      </c>
      <c r="CT252" s="177" t="str">
        <f t="shared" si="145"/>
        <v>HD</v>
      </c>
      <c r="CU252" s="177" t="str">
        <f t="shared" si="147"/>
        <v>HD-</v>
      </c>
      <c r="CV252" s="177" t="str">
        <f t="shared" si="145"/>
        <v>HD</v>
      </c>
      <c r="CW252" s="177" t="str">
        <f t="shared" si="148"/>
        <v>HD-</v>
      </c>
      <c r="CX252" s="177" t="str">
        <f t="shared" si="145"/>
        <v>HD</v>
      </c>
      <c r="CY252" s="177" t="str">
        <f t="shared" si="149"/>
        <v>HD-</v>
      </c>
      <c r="CZ252" s="177" t="str">
        <f t="shared" si="145"/>
        <v>HD</v>
      </c>
      <c r="DA252" s="177" t="str">
        <f t="shared" si="150"/>
        <v>HD-</v>
      </c>
      <c r="DB252" s="177" t="str">
        <f t="shared" si="145"/>
        <v>HS</v>
      </c>
      <c r="DC252" s="177" t="str">
        <f t="shared" si="151"/>
        <v>HS-</v>
      </c>
      <c r="DD252" s="177" t="str">
        <f t="shared" si="152"/>
        <v>HS</v>
      </c>
      <c r="DE252" s="177" t="str">
        <f t="shared" si="153"/>
        <v>HS-</v>
      </c>
    </row>
    <row r="253" spans="1:109" ht="18" customHeight="1" x14ac:dyDescent="0.3">
      <c r="A253" s="81">
        <v>0.33333333333334397</v>
      </c>
      <c r="B253" s="166" t="s">
        <v>11</v>
      </c>
      <c r="C253" s="130" t="s">
        <v>120</v>
      </c>
      <c r="D253" s="169" t="s">
        <v>11</v>
      </c>
      <c r="E253" s="130" t="s">
        <v>120</v>
      </c>
      <c r="F253" s="169" t="s">
        <v>11</v>
      </c>
      <c r="G253" s="130" t="s">
        <v>120</v>
      </c>
      <c r="H253" s="169" t="s">
        <v>11</v>
      </c>
      <c r="I253" s="130" t="s">
        <v>120</v>
      </c>
      <c r="J253" s="169" t="s">
        <v>11</v>
      </c>
      <c r="K253" s="130" t="s">
        <v>120</v>
      </c>
      <c r="L253" s="169" t="s">
        <v>10</v>
      </c>
      <c r="M253" s="130" t="s">
        <v>120</v>
      </c>
      <c r="N253" s="169" t="s">
        <v>10</v>
      </c>
      <c r="O253" s="154" t="s">
        <v>120</v>
      </c>
      <c r="P253" s="6">
        <v>0</v>
      </c>
      <c r="Q253" s="110" t="str">
        <f t="shared" si="161"/>
        <v>Estudo Autónomo</v>
      </c>
      <c r="R253" s="105" t="str">
        <f t="shared" si="162"/>
        <v>CDI</v>
      </c>
      <c r="S253" s="88">
        <f t="shared" si="159"/>
        <v>-1</v>
      </c>
      <c r="T253" s="89">
        <f>IF(VLOOKUP(Q253,'INFO BASE'!$B$40:$I$54,IF(R253='INFO BASE'!$B$32,3,IF(R253='INFO BASE'!$B$33,4,IF(R253='INFO BASE'!$B$34,5,IF(R253='INFO BASE'!$B$35,6,IF(R253='INFO BASE'!$B$36,7,IF(R253='INFO BASE'!$B$37,8,2)))))),0)=0,"",VLOOKUP(Q253,'INFO BASE'!$B$40:$I$54,IF(R253='INFO BASE'!$B$32,3,IF(R253='INFO BASE'!$B$33,4,IF(R253='INFO BASE'!$B$34,5,IF(R253='INFO BASE'!$B$35,6,IF(R253='INFO BASE'!$B$36,7,IF(R253='INFO BASE'!$B$37,8,2)))))),0))</f>
        <v>5</v>
      </c>
      <c r="U253" s="89">
        <f>(COUNTIFS(C237:C284,R253,B237:B284,R248)+COUNTIFS(E237:E284,R253,D237:D284,R248)+COUNTIFS(G237:G284,R253,F237:F284,R248)+COUNTIFS(I237:I284,R253,H237:H284,R248)+COUNTIFS(K237:K284,R253,J237:J284,R248)+COUNTIFS(M237:M284,R253,L237:L284,R248)+COUNTIFS(O237:O284,R253,N237:N284,R248))*0.5</f>
        <v>0</v>
      </c>
      <c r="V253" s="89">
        <f>(COUNTIFS(AI237:AI284,R248,AJ237:AJ284,R253)+COUNTIFS(AK237:AK284,R248,AL237:AL284,R253)+COUNTIFS(AM237:AM284,R248,AN237:AN284,R253)+COUNTIFS(AO237:AO284,R248,AP237:AP284,R253)+COUNTIFS(AQ237:AQ284,R248,AR237:AR284,R253)+COUNTIFS(AS237:AS284,R248,AT237:AT284,R253)+COUNTIFS(AU237:AU284,R248,AV237:AV284,R253))*0.5</f>
        <v>0</v>
      </c>
      <c r="W253" s="90">
        <f>IF(AH233="","-",IF(V253=0,U253,IFERROR((U253/V253)-1,"-")))</f>
        <v>0</v>
      </c>
      <c r="X253" s="200">
        <f t="shared" si="160"/>
        <v>0</v>
      </c>
      <c r="Y253" s="299"/>
      <c r="Z253" s="300"/>
      <c r="AA253" s="300"/>
      <c r="AB253" s="300"/>
      <c r="AC253" s="300"/>
      <c r="AD253" s="300"/>
      <c r="AE253" s="300"/>
      <c r="AF253" s="301"/>
      <c r="AH253" s="136">
        <v>0.33333333333334397</v>
      </c>
      <c r="AI253" s="136" t="s">
        <v>11</v>
      </c>
      <c r="AJ253" s="136" t="s">
        <v>120</v>
      </c>
      <c r="AK253" s="136" t="s">
        <v>11</v>
      </c>
      <c r="AL253" s="136" t="s">
        <v>120</v>
      </c>
      <c r="AM253" s="136" t="s">
        <v>11</v>
      </c>
      <c r="AN253" s="136" t="s">
        <v>120</v>
      </c>
      <c r="AO253" s="136" t="s">
        <v>11</v>
      </c>
      <c r="AP253" s="136" t="s">
        <v>120</v>
      </c>
      <c r="AQ253" s="136" t="s">
        <v>11</v>
      </c>
      <c r="AR253" s="136" t="s">
        <v>120</v>
      </c>
      <c r="AS253" s="136" t="s">
        <v>10</v>
      </c>
      <c r="AT253" s="136" t="s">
        <v>120</v>
      </c>
      <c r="AU253" s="136" t="s">
        <v>10</v>
      </c>
      <c r="AV253" s="136" t="s">
        <v>120</v>
      </c>
      <c r="AX253" s="136" t="str">
        <f>IF(AI233="","",IF(B253="","",B253))</f>
        <v>HD</v>
      </c>
      <c r="AY253" s="136" t="str">
        <f>IF(AI233="","",IF(C253="","",C253))</f>
        <v>-</v>
      </c>
      <c r="AZ253" s="136" t="str">
        <f>IF(AI233="","",IF(D253="","",D253))</f>
        <v>HD</v>
      </c>
      <c r="BA253" s="136" t="str">
        <f>IF(AI233="","",IF(E253="","",E253))</f>
        <v>-</v>
      </c>
      <c r="BB253" s="136" t="str">
        <f>IF(AI233="","",IF(F253="","",F253))</f>
        <v>HD</v>
      </c>
      <c r="BC253" s="136" t="str">
        <f>IF(AI233="","",IF(G253="","",G253))</f>
        <v>-</v>
      </c>
      <c r="BD253" s="136" t="str">
        <f>IF(AI233="","",IF(H253="","",H253))</f>
        <v>HD</v>
      </c>
      <c r="BE253" s="136" t="str">
        <f>IF(AI233="","",IF(I253="","",I253))</f>
        <v>-</v>
      </c>
      <c r="BF253" s="136" t="str">
        <f>IF(AI233="","",IF(J253="","",J253))</f>
        <v>HD</v>
      </c>
      <c r="BG253" s="136" t="str">
        <f>IF(AI233="","",IF(K253="","",K253))</f>
        <v>-</v>
      </c>
      <c r="BH253" s="136" t="str">
        <f>IF(AI233="","",IF(L253="","",L253))</f>
        <v>HS</v>
      </c>
      <c r="BI253" s="136" t="str">
        <f>IF(AI233="","",IF(M253="","",M253))</f>
        <v>-</v>
      </c>
      <c r="BJ253" s="136" t="str">
        <f>IF(AI233="","",IF(N253="","",N253))</f>
        <v>HS</v>
      </c>
      <c r="BK253" s="136" t="str">
        <f>IF(AI233="","",IF(O253="","",O253))</f>
        <v>-</v>
      </c>
      <c r="BM253" s="136" t="str">
        <f>BM252</f>
        <v>EG</v>
      </c>
      <c r="BN253" s="136" t="str">
        <f t="shared" si="155"/>
        <v>Estudo em Grupo</v>
      </c>
      <c r="BO253" s="136" t="str">
        <f t="shared" si="155"/>
        <v>FP</v>
      </c>
      <c r="BP253" s="136">
        <f>(COUNTIFS(AX237:AX284,BM253,AY237:AY284,BO253)+COUNTIFS(AZ237:AZ284,BM253,BA237:BA284,BO253)+COUNTIFS(BB237:BB284,BM253,BC237:BC284,BO253)+COUNTIFS(BD237:BD284,BM253,BE237:BE284,BO253)+COUNTIFS(BF237:BF284,BM253,BG237:BG284,BO253)+COUNTIFS(BH237:BH284,BM253,BI237:BI284,BO253)+COUNTIFS(BJ237:BJ284,BM253,BK237:BK284,BO253))*0.5</f>
        <v>2</v>
      </c>
      <c r="BQ253" s="136" t="str">
        <f t="shared" si="156"/>
        <v>Estudo em Grupo</v>
      </c>
      <c r="BR253" s="136" t="str">
        <f t="shared" si="156"/>
        <v>FP</v>
      </c>
      <c r="BS253" s="136" t="str">
        <f t="shared" si="157"/>
        <v>Estudo em Grupo</v>
      </c>
      <c r="BT253" s="136">
        <f t="shared" si="163"/>
        <v>11</v>
      </c>
      <c r="BU253" s="136">
        <f t="shared" si="164"/>
        <v>12</v>
      </c>
      <c r="CA253" s="183">
        <f>'INFO BASE'!L316</f>
        <v>0</v>
      </c>
      <c r="CB253" s="183">
        <f>'INFO BASE'!M316</f>
        <v>0</v>
      </c>
      <c r="CD253" s="136" t="str">
        <f>IF('INFO BASE'!F267="","",'INFO BASE'!F267)</f>
        <v/>
      </c>
      <c r="CR253" s="177" t="str">
        <f t="shared" si="145"/>
        <v>HD</v>
      </c>
      <c r="CS253" s="177" t="str">
        <f t="shared" si="146"/>
        <v>HD-</v>
      </c>
      <c r="CT253" s="177" t="str">
        <f t="shared" si="145"/>
        <v>HD</v>
      </c>
      <c r="CU253" s="177" t="str">
        <f t="shared" si="147"/>
        <v>HD-</v>
      </c>
      <c r="CV253" s="177" t="str">
        <f t="shared" si="145"/>
        <v>HD</v>
      </c>
      <c r="CW253" s="177" t="str">
        <f t="shared" si="148"/>
        <v>HD-</v>
      </c>
      <c r="CX253" s="177" t="str">
        <f t="shared" si="145"/>
        <v>HD</v>
      </c>
      <c r="CY253" s="177" t="str">
        <f t="shared" si="149"/>
        <v>HD-</v>
      </c>
      <c r="CZ253" s="177" t="str">
        <f t="shared" si="145"/>
        <v>HD</v>
      </c>
      <c r="DA253" s="177" t="str">
        <f t="shared" si="150"/>
        <v>HD-</v>
      </c>
      <c r="DB253" s="177" t="str">
        <f t="shared" si="145"/>
        <v>HS</v>
      </c>
      <c r="DC253" s="177" t="str">
        <f t="shared" si="151"/>
        <v>HS-</v>
      </c>
      <c r="DD253" s="177" t="str">
        <f t="shared" si="152"/>
        <v>HS</v>
      </c>
      <c r="DE253" s="177" t="str">
        <f t="shared" si="153"/>
        <v>HS-</v>
      </c>
    </row>
    <row r="254" spans="1:109" ht="18" customHeight="1" thickBot="1" x14ac:dyDescent="0.35">
      <c r="A254" s="81">
        <v>0.35416666666667801</v>
      </c>
      <c r="B254" s="166" t="s">
        <v>11</v>
      </c>
      <c r="C254" s="130" t="s">
        <v>120</v>
      </c>
      <c r="D254" s="169" t="s">
        <v>11</v>
      </c>
      <c r="E254" s="130" t="s">
        <v>120</v>
      </c>
      <c r="F254" s="169" t="s">
        <v>130</v>
      </c>
      <c r="G254" s="130" t="s">
        <v>230</v>
      </c>
      <c r="H254" s="169" t="s">
        <v>11</v>
      </c>
      <c r="I254" s="130" t="s">
        <v>120</v>
      </c>
      <c r="J254" s="169" t="s">
        <v>11</v>
      </c>
      <c r="K254" s="130" t="s">
        <v>120</v>
      </c>
      <c r="L254" s="169" t="s">
        <v>10</v>
      </c>
      <c r="M254" s="130" t="s">
        <v>120</v>
      </c>
      <c r="N254" s="169" t="s">
        <v>116</v>
      </c>
      <c r="O254" s="154" t="s">
        <v>120</v>
      </c>
      <c r="P254" s="6">
        <v>0</v>
      </c>
      <c r="Q254" s="112" t="str">
        <f t="shared" si="161"/>
        <v>Estudo Autónomo</v>
      </c>
      <c r="R254" s="107" t="str">
        <f t="shared" si="162"/>
        <v/>
      </c>
      <c r="S254" s="94" t="str">
        <f t="shared" si="159"/>
        <v>-</v>
      </c>
      <c r="T254" s="95" t="str">
        <f>IF(VLOOKUP(Q254,'INFO BASE'!$B$40:$I$54,IF(R254='INFO BASE'!$B$32,3,IF(R254='INFO BASE'!$B$33,4,IF(R254='INFO BASE'!$B$34,5,IF(R254='INFO BASE'!$B$35,6,IF(R254='INFO BASE'!$B$36,7,IF(R254='INFO BASE'!$B$37,8,2)))))),0)=0,"",VLOOKUP(Q254,'INFO BASE'!$B$40:$I$54,IF(R254='INFO BASE'!$B$32,3,IF(R254='INFO BASE'!$B$33,4,IF(R254='INFO BASE'!$B$34,5,IF(R254='INFO BASE'!$B$35,6,IF(R254='INFO BASE'!$B$36,7,IF(R254='INFO BASE'!$B$37,8,2)))))),0))</f>
        <v/>
      </c>
      <c r="U254" s="95">
        <f>(COUNTIFS(C237:C284,R254,B237:B284,R248)+COUNTIFS(E237:E284,R254,D237:D284,R248)+COUNTIFS(G237:G284,R254,F237:F284,R248)+COUNTIFS(I237:I284,R254,H237:H284,R248)+COUNTIFS(K237:K284,R254,J237:J284,R248)+COUNTIFS(M237:M284,R254,L237:L284,R248)+COUNTIFS(O237:O284,R254,N237:N284,R248))*0.5</f>
        <v>0</v>
      </c>
      <c r="V254" s="95">
        <f>(COUNTIFS(AI237:AI284,R248,AJ237:AJ284,R254)+COUNTIFS(AK237:AK284,R248,AL237:AL284,R254)+COUNTIFS(AM237:AM284,R248,AN237:AN284,R254)+COUNTIFS(AO237:AO284,R248,AP237:AP284,R254)+COUNTIFS(AQ237:AQ284,R248,AR237:AR284,R254)+COUNTIFS(AS237:AS284,R248,AT237:AT284,R254)+COUNTIFS(AU237:AU284,R248,AV237:AV284,R254))*0.5</f>
        <v>0</v>
      </c>
      <c r="W254" s="96">
        <f>IF(AH233="","-",IF(V254=0,U254,IFERROR((U254/V254)-1,"-")))</f>
        <v>0</v>
      </c>
      <c r="X254" s="201">
        <f t="shared" si="160"/>
        <v>0</v>
      </c>
      <c r="Y254" s="274"/>
      <c r="Z254" s="275"/>
      <c r="AA254" s="275"/>
      <c r="AB254" s="275"/>
      <c r="AC254" s="275"/>
      <c r="AD254" s="275"/>
      <c r="AE254" s="275"/>
      <c r="AF254" s="276"/>
      <c r="AH254" s="136">
        <v>0.35416666666667801</v>
      </c>
      <c r="AI254" s="136" t="s">
        <v>11</v>
      </c>
      <c r="AJ254" s="136" t="s">
        <v>120</v>
      </c>
      <c r="AK254" s="136" t="s">
        <v>11</v>
      </c>
      <c r="AL254" s="136" t="s">
        <v>120</v>
      </c>
      <c r="AM254" s="136" t="s">
        <v>130</v>
      </c>
      <c r="AN254" s="136" t="s">
        <v>230</v>
      </c>
      <c r="AO254" s="136" t="s">
        <v>11</v>
      </c>
      <c r="AP254" s="136" t="s">
        <v>120</v>
      </c>
      <c r="AQ254" s="136" t="s">
        <v>11</v>
      </c>
      <c r="AR254" s="136" t="s">
        <v>120</v>
      </c>
      <c r="AS254" s="136" t="s">
        <v>10</v>
      </c>
      <c r="AT254" s="136" t="s">
        <v>120</v>
      </c>
      <c r="AU254" s="136" t="s">
        <v>116</v>
      </c>
      <c r="AV254" s="136" t="s">
        <v>120</v>
      </c>
      <c r="AX254" s="136" t="str">
        <f>IF(AI233="","",IF(B254="","",B254))</f>
        <v>HD</v>
      </c>
      <c r="AY254" s="136" t="str">
        <f>IF(AI233="","",IF(C254="","",C254))</f>
        <v>-</v>
      </c>
      <c r="AZ254" s="136" t="str">
        <f>IF(AI233="","",IF(D254="","",D254))</f>
        <v>HD</v>
      </c>
      <c r="BA254" s="136" t="str">
        <f>IF(AI233="","",IF(E254="","",E254))</f>
        <v>-</v>
      </c>
      <c r="BB254" s="136" t="str">
        <f>IF(AI233="","",IF(F254="","",F254))</f>
        <v>APB</v>
      </c>
      <c r="BC254" s="136" t="str">
        <f>IF(AI233="","",IF(G254="","",G254))</f>
        <v>AL</v>
      </c>
      <c r="BD254" s="136" t="str">
        <f>IF(AI233="","",IF(H254="","",H254))</f>
        <v>HD</v>
      </c>
      <c r="BE254" s="136" t="str">
        <f>IF(AI233="","",IF(I254="","",I254))</f>
        <v>-</v>
      </c>
      <c r="BF254" s="136" t="str">
        <f>IF(AI233="","",IF(J254="","",J254))</f>
        <v>HD</v>
      </c>
      <c r="BG254" s="136" t="str">
        <f>IF(AI233="","",IF(K254="","",K254))</f>
        <v>-</v>
      </c>
      <c r="BH254" s="136" t="str">
        <f>IF(AI233="","",IF(L254="","",L254))</f>
        <v>HS</v>
      </c>
      <c r="BI254" s="136" t="str">
        <f>IF(AI233="","",IF(M254="","",M254))</f>
        <v>-</v>
      </c>
      <c r="BJ254" s="136" t="str">
        <f>IF(AI233="","",IF(N254="","",N254))</f>
        <v>PV</v>
      </c>
      <c r="BK254" s="136" t="str">
        <f>IF(AI233="","",IF(O254="","",O254))</f>
        <v>-</v>
      </c>
      <c r="BM254" s="136" t="str">
        <f t="shared" ref="BM254:BM258" si="165">BM253</f>
        <v>EG</v>
      </c>
      <c r="BN254" s="136" t="str">
        <f t="shared" si="155"/>
        <v>Estudo em Grupo</v>
      </c>
      <c r="BO254" s="136" t="str">
        <f t="shared" si="155"/>
        <v>IEI</v>
      </c>
      <c r="BP254" s="136">
        <f>(COUNTIFS(AX237:AX284,BM254,AY237:AY284,BO254)+COUNTIFS(AZ237:AZ284,BM254,BA237:BA284,BO254)+COUNTIFS(BB237:BB284,BM254,BC237:BC284,BO254)+COUNTIFS(BD237:BD284,BM254,BE237:BE284,BO254)+COUNTIFS(BF237:BF284,BM254,BG237:BG284,BO254)+COUNTIFS(BH237:BH284,BM254,BI237:BI284,BO254)+COUNTIFS(BJ237:BJ284,BM254,BK237:BK284,BO254))*0.5</f>
        <v>0</v>
      </c>
      <c r="BQ254" s="136" t="str">
        <f t="shared" si="156"/>
        <v>Estudo em Grupo</v>
      </c>
      <c r="BR254" s="136" t="str">
        <f t="shared" si="156"/>
        <v>IEI</v>
      </c>
      <c r="BS254" s="136" t="str">
        <f t="shared" si="157"/>
        <v>Estudo em Grupo</v>
      </c>
      <c r="BT254" s="136">
        <f t="shared" si="163"/>
        <v>2.5</v>
      </c>
      <c r="BU254" s="136">
        <f t="shared" si="164"/>
        <v>7</v>
      </c>
      <c r="CA254" s="183">
        <f>'INFO BASE'!L317</f>
        <v>0</v>
      </c>
      <c r="CB254" s="183">
        <f>'INFO BASE'!M317</f>
        <v>0</v>
      </c>
      <c r="CR254" s="177" t="str">
        <f t="shared" si="145"/>
        <v>HD</v>
      </c>
      <c r="CS254" s="177" t="str">
        <f t="shared" si="146"/>
        <v>HD-</v>
      </c>
      <c r="CT254" s="177" t="str">
        <f t="shared" si="145"/>
        <v>HD</v>
      </c>
      <c r="CU254" s="177" t="str">
        <f t="shared" si="147"/>
        <v>HD-</v>
      </c>
      <c r="CV254" s="177" t="str">
        <f t="shared" si="145"/>
        <v>APB</v>
      </c>
      <c r="CW254" s="177" t="str">
        <f t="shared" si="148"/>
        <v>APBAL</v>
      </c>
      <c r="CX254" s="177" t="str">
        <f t="shared" si="145"/>
        <v>HD</v>
      </c>
      <c r="CY254" s="177" t="str">
        <f t="shared" si="149"/>
        <v>HD-</v>
      </c>
      <c r="CZ254" s="177" t="str">
        <f t="shared" si="145"/>
        <v>HD</v>
      </c>
      <c r="DA254" s="177" t="str">
        <f t="shared" si="150"/>
        <v>HD-</v>
      </c>
      <c r="DB254" s="177" t="str">
        <f t="shared" si="145"/>
        <v>HS</v>
      </c>
      <c r="DC254" s="177" t="str">
        <f t="shared" si="151"/>
        <v>HS-</v>
      </c>
      <c r="DD254" s="177" t="str">
        <f t="shared" si="152"/>
        <v>PV</v>
      </c>
      <c r="DE254" s="177">
        <f t="shared" si="153"/>
        <v>0</v>
      </c>
    </row>
    <row r="255" spans="1:109" ht="18" customHeight="1" x14ac:dyDescent="0.3">
      <c r="A255" s="81">
        <v>0.37500000000001199</v>
      </c>
      <c r="B255" s="166" t="s">
        <v>9</v>
      </c>
      <c r="C255" s="130" t="s">
        <v>228</v>
      </c>
      <c r="D255" s="169" t="s">
        <v>9</v>
      </c>
      <c r="E255" s="130" t="s">
        <v>226</v>
      </c>
      <c r="F255" s="169" t="s">
        <v>130</v>
      </c>
      <c r="G255" s="130" t="s">
        <v>230</v>
      </c>
      <c r="H255" s="169" t="s">
        <v>9</v>
      </c>
      <c r="I255" s="130" t="s">
        <v>228</v>
      </c>
      <c r="J255" s="169" t="s">
        <v>9</v>
      </c>
      <c r="K255" s="130" t="s">
        <v>224</v>
      </c>
      <c r="L255" s="169" t="s">
        <v>10</v>
      </c>
      <c r="M255" s="130" t="s">
        <v>120</v>
      </c>
      <c r="N255" s="169" t="s">
        <v>116</v>
      </c>
      <c r="O255" s="154" t="s">
        <v>120</v>
      </c>
      <c r="P255" s="6">
        <v>0</v>
      </c>
      <c r="Q255" s="113" t="str">
        <f>IF('INFO BASE'!$C$18="","",'INFO BASE'!$C$18)</f>
        <v>Estudo em Grupo</v>
      </c>
      <c r="R255" s="82" t="str">
        <f t="shared" si="162"/>
        <v>EG</v>
      </c>
      <c r="S255" s="83">
        <f t="shared" si="159"/>
        <v>0.1875</v>
      </c>
      <c r="T255" s="84">
        <f>IF(VLOOKUP(Q255,'INFO BASE'!$B$40:$I$54,IF(R255='INFO BASE'!$B$32,3,IF(R255='INFO BASE'!$B$33,4,IF(R255='INFO BASE'!$B$34,5,IF(R255='INFO BASE'!$B$35,6,IF(R255='INFO BASE'!$B$36,7,IF(R255='INFO BASE'!$B$37,8,2)))))),0)=0,"",VLOOKUP(Q255,'INFO BASE'!$B$40:$I$54,IF(R255='INFO BASE'!$B$32,3,IF(R255='INFO BASE'!$B$33,4,IF(R255='INFO BASE'!$B$34,5,IF(R255='INFO BASE'!$B$35,6,IF(R255='INFO BASE'!$B$36,7,IF(R255='INFO BASE'!$B$37,8,2)))))),0))</f>
        <v>8</v>
      </c>
      <c r="U255" s="84">
        <f>IF(R255="","",COUNTIFS(SEMANA5,R255)*0.5)</f>
        <v>9.5</v>
      </c>
      <c r="V255" s="84">
        <f>IF(R255="","",COUNTIFS(AI237:AV284,R255)*0.5)</f>
        <v>5.5</v>
      </c>
      <c r="W255" s="85">
        <f>IF(AH233="","-",IF(V255=0,U255,IFERROR((U255/V255)-1,"-")))</f>
        <v>0.72727272727272729</v>
      </c>
      <c r="X255" s="201">
        <f t="shared" si="160"/>
        <v>1</v>
      </c>
      <c r="Y255" s="277" t="s">
        <v>251</v>
      </c>
      <c r="Z255" s="278"/>
      <c r="AA255" s="278"/>
      <c r="AB255" s="278"/>
      <c r="AC255" s="278"/>
      <c r="AD255" s="278"/>
      <c r="AE255" s="278"/>
      <c r="AF255" s="279"/>
      <c r="AH255" s="136">
        <v>0.37500000000001199</v>
      </c>
      <c r="AI255" s="136" t="s">
        <v>9</v>
      </c>
      <c r="AJ255" s="136" t="s">
        <v>228</v>
      </c>
      <c r="AK255" s="136" t="s">
        <v>9</v>
      </c>
      <c r="AL255" s="136" t="s">
        <v>226</v>
      </c>
      <c r="AM255" s="136" t="s">
        <v>130</v>
      </c>
      <c r="AN255" s="136" t="s">
        <v>230</v>
      </c>
      <c r="AO255" s="136" t="s">
        <v>9</v>
      </c>
      <c r="AP255" s="136" t="s">
        <v>228</v>
      </c>
      <c r="AQ255" s="136" t="s">
        <v>9</v>
      </c>
      <c r="AR255" s="136" t="s">
        <v>224</v>
      </c>
      <c r="AS255" s="136" t="s">
        <v>10</v>
      </c>
      <c r="AT255" s="136" t="s">
        <v>120</v>
      </c>
      <c r="AU255" s="136" t="s">
        <v>116</v>
      </c>
      <c r="AV255" s="136" t="s">
        <v>120</v>
      </c>
      <c r="AX255" s="136" t="str">
        <f>IF(AI233="","",IF(B255="","",B255))</f>
        <v>AT</v>
      </c>
      <c r="AY255" s="136" t="str">
        <f>IF(AI233="","",IF(C255="","",C255))</f>
        <v>IAC</v>
      </c>
      <c r="AZ255" s="136" t="str">
        <f>IF(AI233="","",IF(D255="","",D255))</f>
        <v>AT</v>
      </c>
      <c r="BA255" s="136" t="str">
        <f>IF(AI233="","",IF(E255="","",E255))</f>
        <v>IEI</v>
      </c>
      <c r="BB255" s="136" t="str">
        <f>IF(AI233="","",IF(F255="","",F255))</f>
        <v>APB</v>
      </c>
      <c r="BC255" s="136" t="str">
        <f>IF(AI233="","",IF(G255="","",G255))</f>
        <v>AL</v>
      </c>
      <c r="BD255" s="136" t="str">
        <f>IF(AI233="","",IF(H255="","",H255))</f>
        <v>AT</v>
      </c>
      <c r="BE255" s="136" t="str">
        <f>IF(AI233="","",IF(I255="","",I255))</f>
        <v>IAC</v>
      </c>
      <c r="BF255" s="136" t="str">
        <f>IF(AI233="","",IF(J255="","",J255))</f>
        <v>AT</v>
      </c>
      <c r="BG255" s="136" t="str">
        <f>IF(AI233="","",IF(K255="","",K255))</f>
        <v>FP</v>
      </c>
      <c r="BH255" s="136" t="str">
        <f>IF(AI233="","",IF(L255="","",L255))</f>
        <v>HS</v>
      </c>
      <c r="BI255" s="136" t="str">
        <f>IF(AI233="","",IF(M255="","",M255))</f>
        <v>-</v>
      </c>
      <c r="BJ255" s="136" t="str">
        <f>IF(AI233="","",IF(N255="","",N255))</f>
        <v>PV</v>
      </c>
      <c r="BK255" s="136" t="str">
        <f>IF(AI233="","",IF(O255="","",O255))</f>
        <v>-</v>
      </c>
      <c r="BM255" s="136" t="str">
        <f t="shared" si="165"/>
        <v>EG</v>
      </c>
      <c r="BN255" s="136" t="str">
        <f t="shared" si="155"/>
        <v>Estudo em Grupo</v>
      </c>
      <c r="BO255" s="136" t="str">
        <f t="shared" si="155"/>
        <v>IAC</v>
      </c>
      <c r="BP255" s="136">
        <f>(COUNTIFS(AX237:AX284,BM255,AY237:AY284,BO255)+COUNTIFS(AZ237:AZ284,BM255,BA237:BA284,BO255)+COUNTIFS(BB237:BB284,BM255,BC237:BC284,BO255)+COUNTIFS(BD237:BD284,BM255,BE237:BE284,BO255)+COUNTIFS(BF237:BF284,BM255,BG237:BG284,BO255)+COUNTIFS(BH237:BH284,BM255,BI237:BI284,BO255)+COUNTIFS(BJ237:BJ284,BM255,BK237:BK284,BO255))*0.5</f>
        <v>0</v>
      </c>
      <c r="BQ255" s="136" t="str">
        <f t="shared" si="156"/>
        <v>Estudo em Grupo</v>
      </c>
      <c r="BR255" s="136" t="str">
        <f t="shared" si="156"/>
        <v>IAC</v>
      </c>
      <c r="BS255" s="136" t="str">
        <f t="shared" si="157"/>
        <v>Estudo em Grupo</v>
      </c>
      <c r="BT255" s="136">
        <f t="shared" si="163"/>
        <v>6</v>
      </c>
      <c r="BU255" s="136">
        <f t="shared" si="164"/>
        <v>10.5</v>
      </c>
      <c r="CA255" s="183">
        <f>'INFO BASE'!L318</f>
        <v>0</v>
      </c>
      <c r="CB255" s="183">
        <f>'INFO BASE'!M318</f>
        <v>0</v>
      </c>
      <c r="CR255" s="177" t="str">
        <f t="shared" si="145"/>
        <v>AT</v>
      </c>
      <c r="CS255" s="177" t="str">
        <f t="shared" si="146"/>
        <v>ATIAC</v>
      </c>
      <c r="CT255" s="177" t="str">
        <f t="shared" si="145"/>
        <v>AT</v>
      </c>
      <c r="CU255" s="177" t="str">
        <f t="shared" si="147"/>
        <v>ATIEI</v>
      </c>
      <c r="CV255" s="177" t="str">
        <f t="shared" si="145"/>
        <v>APB</v>
      </c>
      <c r="CW255" s="177" t="str">
        <f t="shared" si="148"/>
        <v>APBAL</v>
      </c>
      <c r="CX255" s="177" t="str">
        <f t="shared" si="145"/>
        <v>AT</v>
      </c>
      <c r="CY255" s="177" t="str">
        <f t="shared" si="149"/>
        <v>ATIAC</v>
      </c>
      <c r="CZ255" s="177" t="str">
        <f t="shared" si="145"/>
        <v>AT</v>
      </c>
      <c r="DA255" s="177" t="str">
        <f t="shared" si="150"/>
        <v>ATFP</v>
      </c>
      <c r="DB255" s="177" t="str">
        <f t="shared" si="145"/>
        <v>HS</v>
      </c>
      <c r="DC255" s="177" t="str">
        <f t="shared" si="151"/>
        <v>HS-</v>
      </c>
      <c r="DD255" s="177" t="str">
        <f t="shared" si="152"/>
        <v>PV</v>
      </c>
      <c r="DE255" s="177">
        <f t="shared" si="153"/>
        <v>0</v>
      </c>
    </row>
    <row r="256" spans="1:109" ht="18" customHeight="1" x14ac:dyDescent="0.3">
      <c r="A256" s="81">
        <v>0.39583333333334603</v>
      </c>
      <c r="B256" s="166" t="s">
        <v>9</v>
      </c>
      <c r="C256" s="130" t="s">
        <v>228</v>
      </c>
      <c r="D256" s="169" t="s">
        <v>9</v>
      </c>
      <c r="E256" s="130" t="s">
        <v>226</v>
      </c>
      <c r="F256" s="169" t="s">
        <v>130</v>
      </c>
      <c r="G256" s="130" t="s">
        <v>230</v>
      </c>
      <c r="H256" s="169" t="s">
        <v>9</v>
      </c>
      <c r="I256" s="130" t="s">
        <v>228</v>
      </c>
      <c r="J256" s="169" t="s">
        <v>9</v>
      </c>
      <c r="K256" s="130" t="s">
        <v>224</v>
      </c>
      <c r="L256" s="169" t="s">
        <v>10</v>
      </c>
      <c r="M256" s="130" t="s">
        <v>120</v>
      </c>
      <c r="N256" s="169" t="s">
        <v>116</v>
      </c>
      <c r="O256" s="154" t="s">
        <v>120</v>
      </c>
      <c r="P256" s="6">
        <v>0</v>
      </c>
      <c r="Q256" s="114" t="str">
        <f t="shared" ref="Q256:Q261" si="166">Q255</f>
        <v>Estudo em Grupo</v>
      </c>
      <c r="R256" s="105" t="str">
        <f t="shared" si="162"/>
        <v>FP</v>
      </c>
      <c r="S256" s="88">
        <f t="shared" si="159"/>
        <v>0</v>
      </c>
      <c r="T256" s="89">
        <f>IF(VLOOKUP(Q256,'INFO BASE'!$B$40:$I$54,IF(R256='INFO BASE'!$B$32,3,IF(R256='INFO BASE'!$B$33,4,IF(R256='INFO BASE'!$B$34,5,IF(R256='INFO BASE'!$B$35,6,IF(R256='INFO BASE'!$B$36,7,IF(R256='INFO BASE'!$B$37,8,2)))))),0)=0,"",VLOOKUP(Q256,'INFO BASE'!$B$40:$I$54,IF(R256='INFO BASE'!$B$32,3,IF(R256='INFO BASE'!$B$33,4,IF(R256='INFO BASE'!$B$34,5,IF(R256='INFO BASE'!$B$35,6,IF(R256='INFO BASE'!$B$36,7,IF(R256='INFO BASE'!$B$37,8,2)))))),0))</f>
        <v>2</v>
      </c>
      <c r="U256" s="89">
        <f>(COUNTIFS(C237:C284,R256,B237:B284,R255)+COUNTIFS(E237:E284,R256,D237:D284,R255)+COUNTIFS(G237:G284,R256,F237:F284,R255)+COUNTIFS(I237:I284,R256,H237:H284,R255)+COUNTIFS(K237:K284,R256,J237:J284,R255)+COUNTIFS(M237:M284,R256,L237:L284,R255)+COUNTIFS(O237:O284,R256,N237:N284,R255))*0.5</f>
        <v>2</v>
      </c>
      <c r="V256" s="89">
        <f>(COUNTIFS(AI237:AI284,R255,AJ237:AJ284,R249)+COUNTIFS(AK237:AK284,R255,AL237:AL284,R249)+COUNTIFS(AM237:AM284,R255,AN237:AN284,R249)+COUNTIFS(AO237:AO284,R255,AP237:AP284,R249)+COUNTIFS(AQ237:AQ284,R255,AR237:AR284,R249)+COUNTIFS(AS237:AS284,R255,AT237:AT284,R249)+COUNTIFS(AU237:AU284,R255,AV237:AV284,R249))*0.5</f>
        <v>1</v>
      </c>
      <c r="W256" s="90">
        <f>IF(AH233="","-",IF(V256=0,U256,IFERROR((U256/V256)-1,"-")))</f>
        <v>1</v>
      </c>
      <c r="X256" s="201">
        <f t="shared" si="160"/>
        <v>1</v>
      </c>
      <c r="Y256" s="271" t="s">
        <v>252</v>
      </c>
      <c r="Z256" s="272"/>
      <c r="AA256" s="272"/>
      <c r="AB256" s="272"/>
      <c r="AC256" s="272"/>
      <c r="AD256" s="272"/>
      <c r="AE256" s="272"/>
      <c r="AF256" s="273"/>
      <c r="AH256" s="136">
        <v>0.39583333333334603</v>
      </c>
      <c r="AI256" s="136" t="s">
        <v>9</v>
      </c>
      <c r="AJ256" s="136" t="s">
        <v>228</v>
      </c>
      <c r="AK256" s="136" t="s">
        <v>9</v>
      </c>
      <c r="AL256" s="136" t="s">
        <v>226</v>
      </c>
      <c r="AM256" s="136" t="s">
        <v>130</v>
      </c>
      <c r="AN256" s="136" t="s">
        <v>230</v>
      </c>
      <c r="AO256" s="136" t="s">
        <v>9</v>
      </c>
      <c r="AP256" s="136" t="s">
        <v>228</v>
      </c>
      <c r="AQ256" s="136" t="s">
        <v>9</v>
      </c>
      <c r="AR256" s="136" t="s">
        <v>224</v>
      </c>
      <c r="AS256" s="136" t="s">
        <v>10</v>
      </c>
      <c r="AT256" s="136" t="s">
        <v>120</v>
      </c>
      <c r="AU256" s="136" t="s">
        <v>116</v>
      </c>
      <c r="AV256" s="136" t="s">
        <v>120</v>
      </c>
      <c r="AX256" s="136" t="str">
        <f>IF(AI233="","",IF(B256="","",B256))</f>
        <v>AT</v>
      </c>
      <c r="AY256" s="136" t="str">
        <f>IF(AI233="","",IF(C256="","",C256))</f>
        <v>IAC</v>
      </c>
      <c r="AZ256" s="136" t="str">
        <f>IF(AI233="","",IF(D256="","",D256))</f>
        <v>AT</v>
      </c>
      <c r="BA256" s="136" t="str">
        <f>IF(AI233="","",IF(E256="","",E256))</f>
        <v>IEI</v>
      </c>
      <c r="BB256" s="136" t="str">
        <f>IF(AI233="","",IF(F256="","",F256))</f>
        <v>APB</v>
      </c>
      <c r="BC256" s="136" t="str">
        <f>IF(AI233="","",IF(G256="","",G256))</f>
        <v>AL</v>
      </c>
      <c r="BD256" s="136" t="str">
        <f>IF(AI233="","",IF(H256="","",H256))</f>
        <v>AT</v>
      </c>
      <c r="BE256" s="136" t="str">
        <f>IF(AI233="","",IF(I256="","",I256))</f>
        <v>IAC</v>
      </c>
      <c r="BF256" s="136" t="str">
        <f>IF(AI233="","",IF(J256="","",J256))</f>
        <v>AT</v>
      </c>
      <c r="BG256" s="136" t="str">
        <f>IF(AI233="","",IF(K256="","",K256))</f>
        <v>FP</v>
      </c>
      <c r="BH256" s="136" t="str">
        <f>IF(AI233="","",IF(L256="","",L256))</f>
        <v>HS</v>
      </c>
      <c r="BI256" s="136" t="str">
        <f>IF(AI233="","",IF(M256="","",M256))</f>
        <v>-</v>
      </c>
      <c r="BJ256" s="136" t="str">
        <f>IF(AI233="","",IF(N256="","",N256))</f>
        <v>PV</v>
      </c>
      <c r="BK256" s="136" t="str">
        <f>IF(AI233="","",IF(O256="","",O256))</f>
        <v>-</v>
      </c>
      <c r="BM256" s="136" t="str">
        <f t="shared" si="165"/>
        <v>EG</v>
      </c>
      <c r="BN256" s="136" t="str">
        <f t="shared" si="155"/>
        <v>Estudo em Grupo</v>
      </c>
      <c r="BO256" s="136" t="str">
        <f t="shared" si="155"/>
        <v>AL</v>
      </c>
      <c r="BP256" s="136">
        <f>(COUNTIFS(AX237:AX284,BM256,AY237:AY284,BO256)+COUNTIFS(AZ237:AZ284,BM256,BA237:BA284,BO256)+COUNTIFS(BB237:BB284,BM256,BC237:BC284,BO256)+COUNTIFS(BD237:BD284,BM256,BE237:BE284,BO256)+COUNTIFS(BF237:BF284,BM256,BG237:BG284,BO256)+COUNTIFS(BH237:BH284,BM256,BI237:BI284,BO256)+COUNTIFS(BJ237:BJ284,BM256,BK237:BK284,BO256))*0.5</f>
        <v>7.5</v>
      </c>
      <c r="BQ256" s="136" t="str">
        <f t="shared" si="156"/>
        <v>Estudo em Grupo</v>
      </c>
      <c r="BR256" s="136" t="str">
        <f t="shared" si="156"/>
        <v>AL</v>
      </c>
      <c r="BS256" s="136" t="str">
        <f t="shared" si="157"/>
        <v>Estudo em Grupo</v>
      </c>
      <c r="BT256" s="136">
        <f t="shared" si="163"/>
        <v>16.5</v>
      </c>
      <c r="BU256" s="136">
        <f t="shared" si="164"/>
        <v>17.5</v>
      </c>
      <c r="CA256" s="183">
        <f>'INFO BASE'!L319</f>
        <v>0</v>
      </c>
      <c r="CB256" s="183">
        <f>'INFO BASE'!M319</f>
        <v>0</v>
      </c>
      <c r="CR256" s="177" t="str">
        <f t="shared" si="145"/>
        <v>AT</v>
      </c>
      <c r="CS256" s="177" t="str">
        <f t="shared" si="146"/>
        <v>ATIAC</v>
      </c>
      <c r="CT256" s="177" t="str">
        <f t="shared" si="145"/>
        <v>AT</v>
      </c>
      <c r="CU256" s="177" t="str">
        <f t="shared" si="147"/>
        <v>ATIEI</v>
      </c>
      <c r="CV256" s="177" t="str">
        <f t="shared" si="145"/>
        <v>APB</v>
      </c>
      <c r="CW256" s="177" t="str">
        <f t="shared" si="148"/>
        <v>APBAL</v>
      </c>
      <c r="CX256" s="177" t="str">
        <f t="shared" si="145"/>
        <v>AT</v>
      </c>
      <c r="CY256" s="177" t="str">
        <f t="shared" si="149"/>
        <v>ATIAC</v>
      </c>
      <c r="CZ256" s="177" t="str">
        <f t="shared" si="145"/>
        <v>AT</v>
      </c>
      <c r="DA256" s="177" t="str">
        <f t="shared" si="150"/>
        <v>ATFP</v>
      </c>
      <c r="DB256" s="177" t="str">
        <f t="shared" si="145"/>
        <v>HS</v>
      </c>
      <c r="DC256" s="177" t="str">
        <f t="shared" si="151"/>
        <v>HS-</v>
      </c>
      <c r="DD256" s="177" t="str">
        <f t="shared" si="152"/>
        <v>PV</v>
      </c>
      <c r="DE256" s="177">
        <f t="shared" si="153"/>
        <v>0</v>
      </c>
    </row>
    <row r="257" spans="1:109" ht="18" customHeight="1" x14ac:dyDescent="0.3">
      <c r="A257" s="81">
        <v>0.41666666666668001</v>
      </c>
      <c r="B257" s="166" t="s">
        <v>9</v>
      </c>
      <c r="C257" s="130" t="s">
        <v>228</v>
      </c>
      <c r="D257" s="169" t="s">
        <v>9</v>
      </c>
      <c r="E257" s="130" t="s">
        <v>226</v>
      </c>
      <c r="F257" s="169" t="s">
        <v>9</v>
      </c>
      <c r="G257" s="130" t="s">
        <v>224</v>
      </c>
      <c r="H257" s="169" t="s">
        <v>9</v>
      </c>
      <c r="I257" s="130" t="s">
        <v>228</v>
      </c>
      <c r="J257" s="169" t="s">
        <v>9</v>
      </c>
      <c r="K257" s="130" t="s">
        <v>224</v>
      </c>
      <c r="L257" s="169" t="s">
        <v>10</v>
      </c>
      <c r="M257" s="130" t="s">
        <v>120</v>
      </c>
      <c r="N257" s="169" t="s">
        <v>116</v>
      </c>
      <c r="O257" s="154" t="s">
        <v>120</v>
      </c>
      <c r="P257" s="6">
        <v>0</v>
      </c>
      <c r="Q257" s="114" t="str">
        <f t="shared" si="166"/>
        <v>Estudo em Grupo</v>
      </c>
      <c r="R257" s="105" t="str">
        <f t="shared" si="162"/>
        <v>IEI</v>
      </c>
      <c r="S257" s="88" t="str">
        <f t="shared" si="159"/>
        <v>-</v>
      </c>
      <c r="T257" s="89" t="str">
        <f>IF(VLOOKUP(Q257,'INFO BASE'!$B$40:$I$54,IF(R257='INFO BASE'!$B$32,3,IF(R257='INFO BASE'!$B$33,4,IF(R257='INFO BASE'!$B$34,5,IF(R257='INFO BASE'!$B$35,6,IF(R257='INFO BASE'!$B$36,7,IF(R257='INFO BASE'!$B$37,8,2)))))),0)=0,"",VLOOKUP(Q257,'INFO BASE'!$B$40:$I$54,IF(R257='INFO BASE'!$B$32,3,IF(R257='INFO BASE'!$B$33,4,IF(R257='INFO BASE'!$B$34,5,IF(R257='INFO BASE'!$B$35,6,IF(R257='INFO BASE'!$B$36,7,IF(R257='INFO BASE'!$B$37,8,2)))))),0))</f>
        <v/>
      </c>
      <c r="U257" s="89">
        <f>(COUNTIFS(C237:C284,R257,B237:B284,R255)+COUNTIFS(E237:E284,R257,D237:D284,R255)+COUNTIFS(G237:G284,R257,F237:F284,R255)+COUNTIFS(I237:I284,R257,H237:H284,R255)+COUNTIFS(K237:K284,R257,J237:J284,R255)+COUNTIFS(M237:M284,R257,L237:L284,R255)+COUNTIFS(O237:O284,R257,N237:N284,R255))*0.5</f>
        <v>0</v>
      </c>
      <c r="V257" s="89">
        <f>(COUNTIFS(AI237:AI284,R255,AJ237:AJ284,R250)+COUNTIFS(AK237:AK284,R255,AL237:AL284,R250)+COUNTIFS(AM237:AM284,R255,AN237:AN284,R250)+COUNTIFS(AO237:AO284,R255,AP237:AP284,R250)+COUNTIFS(AQ237:AQ284,R255,AR237:AR284,R250)+COUNTIFS(AS237:AS284,R255,AT237:AT284,R250)+COUNTIFS(AU237:AU284,R255,AV237:AV284,R250))*0.5</f>
        <v>0</v>
      </c>
      <c r="W257" s="90">
        <f>IF(AH233="","-",IF(V257=0,U257,IFERROR((U257/V257)-1,"-")))</f>
        <v>0</v>
      </c>
      <c r="X257" s="201">
        <f t="shared" si="160"/>
        <v>0</v>
      </c>
      <c r="Y257" s="271"/>
      <c r="Z257" s="272"/>
      <c r="AA257" s="272"/>
      <c r="AB257" s="272"/>
      <c r="AC257" s="272"/>
      <c r="AD257" s="272"/>
      <c r="AE257" s="272"/>
      <c r="AF257" s="273"/>
      <c r="AH257" s="136">
        <v>0.41666666666668001</v>
      </c>
      <c r="AI257" s="136" t="s">
        <v>9</v>
      </c>
      <c r="AJ257" s="136" t="s">
        <v>228</v>
      </c>
      <c r="AK257" s="136" t="s">
        <v>9</v>
      </c>
      <c r="AL257" s="136" t="s">
        <v>226</v>
      </c>
      <c r="AM257" s="136" t="s">
        <v>9</v>
      </c>
      <c r="AN257" s="136" t="s">
        <v>224</v>
      </c>
      <c r="AO257" s="136" t="s">
        <v>9</v>
      </c>
      <c r="AP257" s="136" t="s">
        <v>228</v>
      </c>
      <c r="AQ257" s="136" t="s">
        <v>9</v>
      </c>
      <c r="AR257" s="136" t="s">
        <v>224</v>
      </c>
      <c r="AS257" s="136" t="s">
        <v>10</v>
      </c>
      <c r="AT257" s="136" t="s">
        <v>120</v>
      </c>
      <c r="AU257" s="136" t="s">
        <v>116</v>
      </c>
      <c r="AV257" s="136" t="s">
        <v>120</v>
      </c>
      <c r="AX257" s="136" t="str">
        <f>IF(AI233="","",IF(B257="","",B257))</f>
        <v>AT</v>
      </c>
      <c r="AY257" s="136" t="str">
        <f>IF(AI233="","",IF(C257="","",C257))</f>
        <v>IAC</v>
      </c>
      <c r="AZ257" s="136" t="str">
        <f>IF(AI233="","",IF(D257="","",D257))</f>
        <v>AT</v>
      </c>
      <c r="BA257" s="136" t="str">
        <f>IF(AI233="","",IF(E257="","",E257))</f>
        <v>IEI</v>
      </c>
      <c r="BB257" s="136" t="str">
        <f>IF(AI233="","",IF(F257="","",F257))</f>
        <v>AT</v>
      </c>
      <c r="BC257" s="136" t="str">
        <f>IF(AI233="","",IF(G257="","",G257))</f>
        <v>FP</v>
      </c>
      <c r="BD257" s="136" t="str">
        <f>IF(AI233="","",IF(H257="","",H257))</f>
        <v>AT</v>
      </c>
      <c r="BE257" s="136" t="str">
        <f>IF(AI233="","",IF(I257="","",I257))</f>
        <v>IAC</v>
      </c>
      <c r="BF257" s="136" t="str">
        <f>IF(AI233="","",IF(J257="","",J257))</f>
        <v>AT</v>
      </c>
      <c r="BG257" s="136" t="str">
        <f>IF(AI233="","",IF(K257="","",K257))</f>
        <v>FP</v>
      </c>
      <c r="BH257" s="136" t="str">
        <f>IF(AI233="","",IF(L257="","",L257))</f>
        <v>HS</v>
      </c>
      <c r="BI257" s="136" t="str">
        <f>IF(AI233="","",IF(M257="","",M257))</f>
        <v>-</v>
      </c>
      <c r="BJ257" s="136" t="str">
        <f>IF(AI233="","",IF(N257="","",N257))</f>
        <v>PV</v>
      </c>
      <c r="BK257" s="136" t="str">
        <f>IF(AI233="","",IF(O257="","",O257))</f>
        <v>-</v>
      </c>
      <c r="BM257" s="136" t="str">
        <f t="shared" si="165"/>
        <v>EG</v>
      </c>
      <c r="BN257" s="136" t="str">
        <f t="shared" si="155"/>
        <v>Estudo em Grupo</v>
      </c>
      <c r="BO257" s="136" t="str">
        <f t="shared" si="155"/>
        <v>CDI</v>
      </c>
      <c r="BP257" s="136">
        <f>(COUNTIFS(AX237:AX284,BM257,AY237:AY284,BO257)+COUNTIFS(AZ237:AZ284,BM257,BA237:BA284,BO257)+COUNTIFS(BB237:BB284,BM257,BC237:BC284,BO257)+COUNTIFS(BD237:BD284,BM257,BE237:BE284,BO257)+COUNTIFS(BF237:BF284,BM257,BG237:BG284,BO257)+COUNTIFS(BH237:BH284,BM257,BI237:BI284,BO257)+COUNTIFS(BJ237:BJ284,BM257,BK237:BK284,BO257))*0.5</f>
        <v>0</v>
      </c>
      <c r="BQ257" s="136" t="str">
        <f t="shared" si="156"/>
        <v>Estudo em Grupo</v>
      </c>
      <c r="BR257" s="136" t="str">
        <f t="shared" si="156"/>
        <v>CDI</v>
      </c>
      <c r="BS257" s="136" t="str">
        <f t="shared" si="157"/>
        <v>Estudo em Grupo</v>
      </c>
      <c r="BT257" s="136">
        <f t="shared" si="163"/>
        <v>10.5</v>
      </c>
      <c r="BU257" s="136">
        <f t="shared" si="164"/>
        <v>8.5</v>
      </c>
      <c r="CA257" s="183">
        <f>'INFO BASE'!L320</f>
        <v>0</v>
      </c>
      <c r="CB257" s="183">
        <f>'INFO BASE'!M320</f>
        <v>0</v>
      </c>
      <c r="CR257" s="177" t="str">
        <f t="shared" si="145"/>
        <v>AT</v>
      </c>
      <c r="CS257" s="177" t="str">
        <f t="shared" si="146"/>
        <v>ATIAC</v>
      </c>
      <c r="CT257" s="177" t="str">
        <f t="shared" si="145"/>
        <v>AT</v>
      </c>
      <c r="CU257" s="177" t="str">
        <f t="shared" si="147"/>
        <v>ATIEI</v>
      </c>
      <c r="CV257" s="177" t="str">
        <f t="shared" si="145"/>
        <v>AT</v>
      </c>
      <c r="CW257" s="177" t="str">
        <f t="shared" si="148"/>
        <v>ATFP</v>
      </c>
      <c r="CX257" s="177" t="str">
        <f t="shared" si="145"/>
        <v>AT</v>
      </c>
      <c r="CY257" s="177" t="str">
        <f t="shared" si="149"/>
        <v>ATIAC</v>
      </c>
      <c r="CZ257" s="177" t="str">
        <f t="shared" si="145"/>
        <v>AT</v>
      </c>
      <c r="DA257" s="177" t="str">
        <f t="shared" si="150"/>
        <v>ATFP</v>
      </c>
      <c r="DB257" s="177" t="str">
        <f t="shared" si="145"/>
        <v>HS</v>
      </c>
      <c r="DC257" s="177" t="str">
        <f t="shared" si="151"/>
        <v>HS-</v>
      </c>
      <c r="DD257" s="177" t="str">
        <f t="shared" si="152"/>
        <v>PV</v>
      </c>
      <c r="DE257" s="177">
        <f t="shared" si="153"/>
        <v>0</v>
      </c>
    </row>
    <row r="258" spans="1:109" ht="18" customHeight="1" x14ac:dyDescent="0.3">
      <c r="A258" s="81">
        <v>0.43750000000001399</v>
      </c>
      <c r="B258" s="166" t="s">
        <v>130</v>
      </c>
      <c r="C258" s="130" t="s">
        <v>231</v>
      </c>
      <c r="D258" s="169" t="s">
        <v>9</v>
      </c>
      <c r="E258" s="130" t="s">
        <v>226</v>
      </c>
      <c r="F258" s="169" t="s">
        <v>9</v>
      </c>
      <c r="G258" s="130" t="s">
        <v>224</v>
      </c>
      <c r="H258" s="169" t="s">
        <v>132</v>
      </c>
      <c r="I258" s="130" t="s">
        <v>228</v>
      </c>
      <c r="J258" s="169" t="s">
        <v>9</v>
      </c>
      <c r="K258" s="130" t="s">
        <v>230</v>
      </c>
      <c r="L258" s="169" t="s">
        <v>10</v>
      </c>
      <c r="M258" s="130" t="s">
        <v>120</v>
      </c>
      <c r="N258" s="169" t="s">
        <v>116</v>
      </c>
      <c r="O258" s="154" t="s">
        <v>120</v>
      </c>
      <c r="P258" s="6">
        <v>0</v>
      </c>
      <c r="Q258" s="115" t="str">
        <f t="shared" si="166"/>
        <v>Estudo em Grupo</v>
      </c>
      <c r="R258" s="105" t="str">
        <f t="shared" si="162"/>
        <v>IAC</v>
      </c>
      <c r="S258" s="88">
        <f t="shared" si="159"/>
        <v>-1</v>
      </c>
      <c r="T258" s="89">
        <f>IF(VLOOKUP(Q258,'INFO BASE'!$B$40:$I$54,IF(R258='INFO BASE'!$B$32,3,IF(R258='INFO BASE'!$B$33,4,IF(R258='INFO BASE'!$B$34,5,IF(R258='INFO BASE'!$B$35,6,IF(R258='INFO BASE'!$B$36,7,IF(R258='INFO BASE'!$B$37,8,2)))))),0)=0,"",VLOOKUP(Q258,'INFO BASE'!$B$40:$I$54,IF(R258='INFO BASE'!$B$32,3,IF(R258='INFO BASE'!$B$33,4,IF(R258='INFO BASE'!$B$34,5,IF(R258='INFO BASE'!$B$35,6,IF(R258='INFO BASE'!$B$36,7,IF(R258='INFO BASE'!$B$37,8,2)))))),0))</f>
        <v>2</v>
      </c>
      <c r="U258" s="89">
        <f>(COUNTIFS(C237:C284,R258,B237:B284,R255)+COUNTIFS(E237:E284,R258,D237:D284,R255)+COUNTIFS(G237:G284,R258,F237:F284,R255)+COUNTIFS(I237:I284,R258,H237:H284,R255)+COUNTIFS(K237:K284,R258,J237:J284,R255)+COUNTIFS(M237:M284,R258,L237:L284,R255)+COUNTIFS(O237:O284,R258,N237:N284,R255))*0.5</f>
        <v>0</v>
      </c>
      <c r="V258" s="89">
        <f>(COUNTIFS(AI237:AI284,R255,AJ237:AJ284,R251)+COUNTIFS(AK237:AK284,R255,AL237:AL284,R251)+COUNTIFS(AM237:AM284,R255,AN237:AN284,R251)+COUNTIFS(AO237:AO284,R255,AP237:AP284,R251)+COUNTIFS(AQ237:AQ284,R255,AR237:AR284,R251)+COUNTIFS(AS237:AS284,R255,AT237:AT284,R251)+COUNTIFS(AU237:AU284,R255,AV237:AV284,R251))*0.5</f>
        <v>0</v>
      </c>
      <c r="W258" s="90">
        <f>IF(AH233="","-",IF(V258=0,U258,IFERROR((U258/V258)-1,"-")))</f>
        <v>0</v>
      </c>
      <c r="X258" s="201">
        <f t="shared" si="160"/>
        <v>0</v>
      </c>
      <c r="Y258" s="271"/>
      <c r="Z258" s="272"/>
      <c r="AA258" s="272"/>
      <c r="AB258" s="272"/>
      <c r="AC258" s="272"/>
      <c r="AD258" s="272"/>
      <c r="AE258" s="272"/>
      <c r="AF258" s="273"/>
      <c r="AH258" s="136">
        <v>0.43750000000001399</v>
      </c>
      <c r="AI258" s="136" t="s">
        <v>130</v>
      </c>
      <c r="AJ258" s="136" t="s">
        <v>231</v>
      </c>
      <c r="AK258" s="136" t="s">
        <v>9</v>
      </c>
      <c r="AL258" s="136" t="s">
        <v>226</v>
      </c>
      <c r="AM258" s="136" t="s">
        <v>9</v>
      </c>
      <c r="AN258" s="136" t="s">
        <v>224</v>
      </c>
      <c r="AO258" s="136" t="s">
        <v>132</v>
      </c>
      <c r="AP258" s="136" t="s">
        <v>228</v>
      </c>
      <c r="AQ258" s="136" t="s">
        <v>9</v>
      </c>
      <c r="AR258" s="136" t="s">
        <v>230</v>
      </c>
      <c r="AS258" s="136" t="s">
        <v>10</v>
      </c>
      <c r="AT258" s="136" t="s">
        <v>120</v>
      </c>
      <c r="AU258" s="136" t="s">
        <v>116</v>
      </c>
      <c r="AV258" s="136" t="s">
        <v>120</v>
      </c>
      <c r="AX258" s="136" t="str">
        <f>IF(AI233="","",IF(B258="","",B258))</f>
        <v>APB</v>
      </c>
      <c r="AY258" s="136" t="str">
        <f>IF(AI233="","",IF(C258="","",C258))</f>
        <v>CDI</v>
      </c>
      <c r="AZ258" s="136" t="str">
        <f>IF(AI233="","",IF(D258="","",D258))</f>
        <v>AT</v>
      </c>
      <c r="BA258" s="136" t="str">
        <f>IF(AI233="","",IF(E258="","",E258))</f>
        <v>IEI</v>
      </c>
      <c r="BB258" s="136" t="str">
        <f>IF(AI233="","",IF(F258="","",F258))</f>
        <v>AT</v>
      </c>
      <c r="BC258" s="136" t="str">
        <f>IF(AI233="","",IF(G258="","",G258))</f>
        <v>FP</v>
      </c>
      <c r="BD258" s="136" t="str">
        <f>IF(AI233="","",IF(H258="","",H258))</f>
        <v>LAB</v>
      </c>
      <c r="BE258" s="136" t="str">
        <f>IF(AI233="","",IF(I258="","",I258))</f>
        <v>IAC</v>
      </c>
      <c r="BF258" s="136" t="str">
        <f>IF(AI233="","",IF(J258="","",J258))</f>
        <v>AT</v>
      </c>
      <c r="BG258" s="136" t="str">
        <f>IF(AI233="","",IF(K258="","",K258))</f>
        <v>AL</v>
      </c>
      <c r="BH258" s="136" t="str">
        <f>IF(AI233="","",IF(L258="","",L258))</f>
        <v>HS</v>
      </c>
      <c r="BI258" s="136" t="str">
        <f>IF(AI233="","",IF(M258="","",M258))</f>
        <v>-</v>
      </c>
      <c r="BJ258" s="136" t="str">
        <f>IF(AI233="","",IF(N258="","",N258))</f>
        <v>PV</v>
      </c>
      <c r="BK258" s="136" t="str">
        <f>IF(AI233="","",IF(O258="","",O258))</f>
        <v>-</v>
      </c>
      <c r="BM258" s="136" t="str">
        <f t="shared" si="165"/>
        <v>EG</v>
      </c>
      <c r="BN258" s="136" t="str">
        <f t="shared" si="155"/>
        <v>Estudo em Grupo</v>
      </c>
      <c r="BO258" s="136" t="str">
        <f t="shared" si="155"/>
        <v/>
      </c>
      <c r="BP258" s="136">
        <f>(COUNTIFS(AX237:AX284,BM258,AY237:AY284,BO258)+COUNTIFS(AZ237:AZ284,BM258,BA237:BA284,BO258)+COUNTIFS(BB237:BB284,BM258,BC237:BC284,BO258)+COUNTIFS(BD237:BD284,BM258,BE237:BE284,BO258)+COUNTIFS(BF237:BF284,BM258,BG237:BG284,BO258)+COUNTIFS(BH237:BH284,BM258,BI237:BI284,BO258)+COUNTIFS(BJ237:BJ284,BM258,BK237:BK284,BO258))*0.5</f>
        <v>0</v>
      </c>
      <c r="BQ258" s="136" t="str">
        <f t="shared" si="156"/>
        <v>Estudo em Grupo</v>
      </c>
      <c r="BR258" s="136" t="str">
        <f t="shared" si="156"/>
        <v/>
      </c>
      <c r="BS258" s="136" t="str">
        <f t="shared" si="157"/>
        <v>Estudo em Grupo</v>
      </c>
      <c r="BT258" s="136">
        <f t="shared" si="163"/>
        <v>0</v>
      </c>
      <c r="BU258" s="136">
        <f t="shared" si="164"/>
        <v>0</v>
      </c>
      <c r="CA258" s="183">
        <f>'INFO BASE'!L321</f>
        <v>0</v>
      </c>
      <c r="CB258" s="183">
        <f>'INFO BASE'!M321</f>
        <v>0</v>
      </c>
      <c r="CR258" s="177" t="str">
        <f t="shared" si="145"/>
        <v>APB</v>
      </c>
      <c r="CS258" s="177" t="str">
        <f t="shared" si="146"/>
        <v>APBCDI</v>
      </c>
      <c r="CT258" s="177" t="str">
        <f t="shared" si="145"/>
        <v>AT</v>
      </c>
      <c r="CU258" s="177" t="str">
        <f t="shared" si="147"/>
        <v>ATIEI</v>
      </c>
      <c r="CV258" s="177" t="str">
        <f t="shared" si="145"/>
        <v>AT</v>
      </c>
      <c r="CW258" s="177" t="str">
        <f t="shared" si="148"/>
        <v>ATFP</v>
      </c>
      <c r="CX258" s="177" t="str">
        <f t="shared" si="145"/>
        <v>LAB</v>
      </c>
      <c r="CY258" s="177" t="str">
        <f t="shared" si="149"/>
        <v>LABIAC</v>
      </c>
      <c r="CZ258" s="177" t="str">
        <f t="shared" si="145"/>
        <v>AT</v>
      </c>
      <c r="DA258" s="177" t="str">
        <f t="shared" si="150"/>
        <v>ATAL</v>
      </c>
      <c r="DB258" s="177" t="str">
        <f t="shared" si="145"/>
        <v>HS</v>
      </c>
      <c r="DC258" s="177" t="str">
        <f t="shared" si="151"/>
        <v>HS-</v>
      </c>
      <c r="DD258" s="177" t="str">
        <f t="shared" si="152"/>
        <v>PV</v>
      </c>
      <c r="DE258" s="177">
        <f t="shared" si="153"/>
        <v>0</v>
      </c>
    </row>
    <row r="259" spans="1:109" ht="18" customHeight="1" x14ac:dyDescent="0.3">
      <c r="A259" s="81">
        <v>0.45833333333334803</v>
      </c>
      <c r="B259" s="166" t="s">
        <v>130</v>
      </c>
      <c r="C259" s="130" t="s">
        <v>231</v>
      </c>
      <c r="D259" s="169" t="s">
        <v>9</v>
      </c>
      <c r="E259" s="130" t="s">
        <v>226</v>
      </c>
      <c r="F259" s="169" t="s">
        <v>9</v>
      </c>
      <c r="G259" s="130" t="s">
        <v>224</v>
      </c>
      <c r="H259" s="169" t="s">
        <v>132</v>
      </c>
      <c r="I259" s="130" t="s">
        <v>228</v>
      </c>
      <c r="J259" s="169" t="s">
        <v>9</v>
      </c>
      <c r="K259" s="130" t="s">
        <v>230</v>
      </c>
      <c r="L259" s="169" t="s">
        <v>10</v>
      </c>
      <c r="M259" s="130" t="s">
        <v>120</v>
      </c>
      <c r="N259" s="169" t="s">
        <v>116</v>
      </c>
      <c r="O259" s="154" t="s">
        <v>120</v>
      </c>
      <c r="P259" s="6">
        <v>0</v>
      </c>
      <c r="Q259" s="114" t="str">
        <f t="shared" si="166"/>
        <v>Estudo em Grupo</v>
      </c>
      <c r="R259" s="105" t="str">
        <f t="shared" si="162"/>
        <v>AL</v>
      </c>
      <c r="S259" s="88">
        <f t="shared" si="159"/>
        <v>2.75</v>
      </c>
      <c r="T259" s="89">
        <f>IF(VLOOKUP(Q259,'INFO BASE'!$B$40:$I$54,IF(R259='INFO BASE'!$B$32,3,IF(R259='INFO BASE'!$B$33,4,IF(R259='INFO BASE'!$B$34,5,IF(R259='INFO BASE'!$B$35,6,IF(R259='INFO BASE'!$B$36,7,IF(R259='INFO BASE'!$B$37,8,2)))))),0)=0,"",VLOOKUP(Q259,'INFO BASE'!$B$40:$I$54,IF(R259='INFO BASE'!$B$32,3,IF(R259='INFO BASE'!$B$33,4,IF(R259='INFO BASE'!$B$34,5,IF(R259='INFO BASE'!$B$35,6,IF(R259='INFO BASE'!$B$36,7,IF(R259='INFO BASE'!$B$37,8,2)))))),0))</f>
        <v>2</v>
      </c>
      <c r="U259" s="89">
        <f>(COUNTIFS(C237:C284,R259,B237:B284,R255)+COUNTIFS(E237:E284,R259,D237:D284,R255)+COUNTIFS(G237:G284,R259,F237:F284,R255)+COUNTIFS(I237:I284,R259,H237:H284,R255)+COUNTIFS(K237:K284,R259,J237:J284,R255)+COUNTIFS(M237:M284,R259,L237:L284,R255)+COUNTIFS(O237:O284,R259,N237:N284,R255))*0.5</f>
        <v>7.5</v>
      </c>
      <c r="V259" s="89">
        <f>(COUNTIFS(AI237:AI284,R255,AJ237:AJ284,R252)+COUNTIFS(AK237:AK284,R255,AL237:AL284,R252)+COUNTIFS(AM237:AM284,R255,AN237:AN284,R252)+COUNTIFS(AO237:AO284,R255,AP237:AP284,R252)+COUNTIFS(AQ237:AQ284,R255,AR237:AR284,R252)+COUNTIFS(AS237:AS284,R255,AT237:AT284,R252)+COUNTIFS(AU237:AU284,R255,AV237:AV284,R252))*0.5</f>
        <v>3.5</v>
      </c>
      <c r="W259" s="90">
        <f>IF(AH233="","-",IF(V259=0,U259,IFERROR((U259/V259)-1,"-")))</f>
        <v>1.1428571428571428</v>
      </c>
      <c r="X259" s="201">
        <f t="shared" si="160"/>
        <v>1</v>
      </c>
      <c r="Y259" s="271" t="s">
        <v>251</v>
      </c>
      <c r="Z259" s="272"/>
      <c r="AA259" s="272"/>
      <c r="AB259" s="272"/>
      <c r="AC259" s="272"/>
      <c r="AD259" s="272"/>
      <c r="AE259" s="272"/>
      <c r="AF259" s="273"/>
      <c r="AH259" s="136">
        <v>0.45833333333334803</v>
      </c>
      <c r="AI259" s="136" t="s">
        <v>130</v>
      </c>
      <c r="AJ259" s="136" t="s">
        <v>231</v>
      </c>
      <c r="AK259" s="136" t="s">
        <v>9</v>
      </c>
      <c r="AL259" s="136" t="s">
        <v>226</v>
      </c>
      <c r="AM259" s="136" t="s">
        <v>9</v>
      </c>
      <c r="AN259" s="136" t="s">
        <v>224</v>
      </c>
      <c r="AO259" s="136" t="s">
        <v>132</v>
      </c>
      <c r="AP259" s="136" t="s">
        <v>228</v>
      </c>
      <c r="AQ259" s="136" t="s">
        <v>9</v>
      </c>
      <c r="AR259" s="136" t="s">
        <v>230</v>
      </c>
      <c r="AS259" s="136" t="s">
        <v>10</v>
      </c>
      <c r="AT259" s="136" t="s">
        <v>120</v>
      </c>
      <c r="AU259" s="136" t="s">
        <v>116</v>
      </c>
      <c r="AV259" s="136" t="s">
        <v>120</v>
      </c>
      <c r="AX259" s="136" t="str">
        <f>IF(AI233="","",IF(B259="","",B259))</f>
        <v>APB</v>
      </c>
      <c r="AY259" s="136" t="str">
        <f>IF(AI233="","",IF(C259="","",C259))</f>
        <v>CDI</v>
      </c>
      <c r="AZ259" s="136" t="str">
        <f>IF(AI233="","",IF(D259="","",D259))</f>
        <v>AT</v>
      </c>
      <c r="BA259" s="136" t="str">
        <f>IF(AI233="","",IF(E259="","",E259))</f>
        <v>IEI</v>
      </c>
      <c r="BB259" s="136" t="str">
        <f>IF(AI233="","",IF(F259="","",F259))</f>
        <v>AT</v>
      </c>
      <c r="BC259" s="136" t="str">
        <f>IF(AI233="","",IF(G259="","",G259))</f>
        <v>FP</v>
      </c>
      <c r="BD259" s="136" t="str">
        <f>IF(AI233="","",IF(H259="","",H259))</f>
        <v>LAB</v>
      </c>
      <c r="BE259" s="136" t="str">
        <f>IF(AI233="","",IF(I259="","",I259))</f>
        <v>IAC</v>
      </c>
      <c r="BF259" s="136" t="str">
        <f>IF(AI233="","",IF(J259="","",J259))</f>
        <v>AT</v>
      </c>
      <c r="BG259" s="136" t="str">
        <f>IF(AI233="","",IF(K259="","",K259))</f>
        <v>AL</v>
      </c>
      <c r="BH259" s="136" t="str">
        <f>IF(AI233="","",IF(L259="","",L259))</f>
        <v>HS</v>
      </c>
      <c r="BI259" s="136" t="str">
        <f>IF(AI233="","",IF(M259="","",M259))</f>
        <v>-</v>
      </c>
      <c r="BJ259" s="136" t="str">
        <f>IF(AI233="","",IF(N259="","",N259))</f>
        <v>PV</v>
      </c>
      <c r="BK259" s="136" t="str">
        <f>IF(AI233="","",IF(O259="","",O259))</f>
        <v>-</v>
      </c>
      <c r="BM259" s="136" t="str">
        <f>BO259</f>
        <v>TG</v>
      </c>
      <c r="BN259" s="136" t="str">
        <f t="shared" si="155"/>
        <v>Trabalho de Grupo</v>
      </c>
      <c r="BO259" s="136" t="str">
        <f t="shared" si="155"/>
        <v>TG</v>
      </c>
      <c r="BP259" s="136">
        <f>COUNTIFS(AX237:BK284,BO259)*0.5</f>
        <v>0</v>
      </c>
      <c r="BQ259" s="136" t="str">
        <f t="shared" si="156"/>
        <v>Trabalho de Grupo</v>
      </c>
      <c r="BR259" s="136" t="str">
        <f t="shared" si="156"/>
        <v>TG</v>
      </c>
      <c r="BS259" s="136" t="str">
        <f t="shared" si="157"/>
        <v>Trabalho de Grupo</v>
      </c>
      <c r="BT259" s="136">
        <f t="shared" si="163"/>
        <v>0</v>
      </c>
      <c r="BU259" s="136">
        <f t="shared" si="164"/>
        <v>0</v>
      </c>
      <c r="CA259" s="183">
        <f>'INFO BASE'!L322</f>
        <v>0</v>
      </c>
      <c r="CB259" s="183">
        <f>'INFO BASE'!M322</f>
        <v>0</v>
      </c>
      <c r="CR259" s="177" t="str">
        <f t="shared" si="145"/>
        <v>APB</v>
      </c>
      <c r="CS259" s="177" t="str">
        <f t="shared" si="146"/>
        <v>APBCDI</v>
      </c>
      <c r="CT259" s="177" t="str">
        <f t="shared" si="145"/>
        <v>AT</v>
      </c>
      <c r="CU259" s="177" t="str">
        <f t="shared" si="147"/>
        <v>ATIEI</v>
      </c>
      <c r="CV259" s="177" t="str">
        <f t="shared" si="145"/>
        <v>AT</v>
      </c>
      <c r="CW259" s="177" t="str">
        <f t="shared" si="148"/>
        <v>ATFP</v>
      </c>
      <c r="CX259" s="177" t="str">
        <f t="shared" si="145"/>
        <v>LAB</v>
      </c>
      <c r="CY259" s="177" t="str">
        <f t="shared" si="149"/>
        <v>LABIAC</v>
      </c>
      <c r="CZ259" s="177" t="str">
        <f t="shared" si="145"/>
        <v>AT</v>
      </c>
      <c r="DA259" s="177" t="str">
        <f t="shared" si="150"/>
        <v>ATAL</v>
      </c>
      <c r="DB259" s="177" t="str">
        <f t="shared" si="145"/>
        <v>HS</v>
      </c>
      <c r="DC259" s="177" t="str">
        <f t="shared" si="151"/>
        <v>HS-</v>
      </c>
      <c r="DD259" s="177" t="str">
        <f t="shared" si="152"/>
        <v>PV</v>
      </c>
      <c r="DE259" s="177">
        <f t="shared" si="153"/>
        <v>0</v>
      </c>
    </row>
    <row r="260" spans="1:109" ht="18" customHeight="1" x14ac:dyDescent="0.3">
      <c r="A260" s="81">
        <v>0.47916666666668201</v>
      </c>
      <c r="B260" s="166" t="s">
        <v>130</v>
      </c>
      <c r="C260" s="130" t="s">
        <v>231</v>
      </c>
      <c r="D260" s="169" t="s">
        <v>9</v>
      </c>
      <c r="E260" s="130" t="s">
        <v>226</v>
      </c>
      <c r="F260" s="169" t="s">
        <v>9</v>
      </c>
      <c r="G260" s="130" t="s">
        <v>231</v>
      </c>
      <c r="H260" s="169" t="s">
        <v>132</v>
      </c>
      <c r="I260" s="130" t="s">
        <v>228</v>
      </c>
      <c r="J260" s="169" t="s">
        <v>9</v>
      </c>
      <c r="K260" s="130" t="s">
        <v>231</v>
      </c>
      <c r="L260" s="169" t="s">
        <v>10</v>
      </c>
      <c r="M260" s="130" t="s">
        <v>120</v>
      </c>
      <c r="N260" s="169" t="s">
        <v>116</v>
      </c>
      <c r="O260" s="154" t="s">
        <v>120</v>
      </c>
      <c r="P260" s="6">
        <v>0</v>
      </c>
      <c r="Q260" s="114" t="str">
        <f t="shared" si="166"/>
        <v>Estudo em Grupo</v>
      </c>
      <c r="R260" s="105" t="str">
        <f t="shared" si="162"/>
        <v>CDI</v>
      </c>
      <c r="S260" s="88">
        <f t="shared" si="159"/>
        <v>-1</v>
      </c>
      <c r="T260" s="89">
        <f>IF(VLOOKUP(Q260,'INFO BASE'!$B$40:$I$54,IF(R260='INFO BASE'!$B$32,3,IF(R260='INFO BASE'!$B$33,4,IF(R260='INFO BASE'!$B$34,5,IF(R260='INFO BASE'!$B$35,6,IF(R260='INFO BASE'!$B$36,7,IF(R260='INFO BASE'!$B$37,8,2)))))),0)=0,"",VLOOKUP(Q260,'INFO BASE'!$B$40:$I$54,IF(R260='INFO BASE'!$B$32,3,IF(R260='INFO BASE'!$B$33,4,IF(R260='INFO BASE'!$B$34,5,IF(R260='INFO BASE'!$B$35,6,IF(R260='INFO BASE'!$B$36,7,IF(R260='INFO BASE'!$B$37,8,2)))))),0))</f>
        <v>2</v>
      </c>
      <c r="U260" s="89">
        <f>(COUNTIFS(C237:C284,R260,B237:B284,R255)+COUNTIFS(E237:E284,R260,D237:D284,R255)+COUNTIFS(G237:G284,R260,F237:F284,R255)+COUNTIFS(I237:I284,R260,H237:H284,R255)+COUNTIFS(K237:K284,R260,J237:J284,R255)+COUNTIFS(M237:M284,R260,L237:L284,R255)+COUNTIFS(O237:O284,R260,N237:N284,R255))*0.5</f>
        <v>0</v>
      </c>
      <c r="V260" s="89">
        <f>(COUNTIFS(AI237:AI284,R255,AJ237:AJ284,R253)+COUNTIFS(AK237:AK284,R255,AL237:AL284,R253)+COUNTIFS(AM237:AM284,R255,AN237:AN284,R253)+COUNTIFS(AO237:AO284,R255,AP237:AP284,R253)+COUNTIFS(AQ237:AQ284,R255,AR237:AR284,R253)+COUNTIFS(AS237:AS284,R255,AT237:AT284,R253)+COUNTIFS(AU237:AU284,R255,AV237:AV284,R253))*0.5</f>
        <v>1</v>
      </c>
      <c r="W260" s="90">
        <f>IF(AH233="","-",IF(V260=0,U260,IFERROR((U260/V260)-1,"-")))</f>
        <v>-1</v>
      </c>
      <c r="X260" s="201">
        <f t="shared" si="160"/>
        <v>1</v>
      </c>
      <c r="Y260" s="271" t="s">
        <v>251</v>
      </c>
      <c r="Z260" s="272"/>
      <c r="AA260" s="272"/>
      <c r="AB260" s="272"/>
      <c r="AC260" s="272"/>
      <c r="AD260" s="272"/>
      <c r="AE260" s="272"/>
      <c r="AF260" s="273"/>
      <c r="AH260" s="136">
        <v>0.47916666666668201</v>
      </c>
      <c r="AI260" s="136" t="s">
        <v>130</v>
      </c>
      <c r="AJ260" s="136" t="s">
        <v>231</v>
      </c>
      <c r="AK260" s="136" t="s">
        <v>9</v>
      </c>
      <c r="AL260" s="136" t="s">
        <v>226</v>
      </c>
      <c r="AM260" s="136" t="s">
        <v>9</v>
      </c>
      <c r="AN260" s="136" t="s">
        <v>231</v>
      </c>
      <c r="AO260" s="136" t="s">
        <v>132</v>
      </c>
      <c r="AP260" s="136" t="s">
        <v>228</v>
      </c>
      <c r="AQ260" s="136" t="s">
        <v>9</v>
      </c>
      <c r="AR260" s="136" t="s">
        <v>231</v>
      </c>
      <c r="AS260" s="136" t="s">
        <v>10</v>
      </c>
      <c r="AT260" s="136" t="s">
        <v>120</v>
      </c>
      <c r="AU260" s="136" t="s">
        <v>116</v>
      </c>
      <c r="AV260" s="136" t="s">
        <v>120</v>
      </c>
      <c r="AX260" s="136" t="str">
        <f>IF(AI233="","",IF(B260="","",B260))</f>
        <v>APB</v>
      </c>
      <c r="AY260" s="136" t="str">
        <f>IF(AI233="","",IF(C260="","",C260))</f>
        <v>CDI</v>
      </c>
      <c r="AZ260" s="136" t="str">
        <f>IF(AI233="","",IF(D260="","",D260))</f>
        <v>AT</v>
      </c>
      <c r="BA260" s="136" t="str">
        <f>IF(AI233="","",IF(E260="","",E260))</f>
        <v>IEI</v>
      </c>
      <c r="BB260" s="136" t="str">
        <f>IF(AI233="","",IF(F260="","",F260))</f>
        <v>AT</v>
      </c>
      <c r="BC260" s="136" t="str">
        <f>IF(AI233="","",IF(G260="","",G260))</f>
        <v>CDI</v>
      </c>
      <c r="BD260" s="136" t="str">
        <f>IF(AI233="","",IF(H260="","",H260))</f>
        <v>LAB</v>
      </c>
      <c r="BE260" s="136" t="str">
        <f>IF(AI233="","",IF(I260="","",I260))</f>
        <v>IAC</v>
      </c>
      <c r="BF260" s="136" t="str">
        <f>IF(AI233="","",IF(J260="","",J260))</f>
        <v>AT</v>
      </c>
      <c r="BG260" s="136" t="str">
        <f>IF(AI233="","",IF(K260="","",K260))</f>
        <v>CDI</v>
      </c>
      <c r="BH260" s="136" t="str">
        <f>IF(AI233="","",IF(L260="","",L260))</f>
        <v>HS</v>
      </c>
      <c r="BI260" s="136" t="str">
        <f>IF(AI233="","",IF(M260="","",M260))</f>
        <v>-</v>
      </c>
      <c r="BJ260" s="136" t="str">
        <f>IF(AI233="","",IF(N260="","",N260))</f>
        <v>PV</v>
      </c>
      <c r="BK260" s="136" t="str">
        <f>IF(AI233="","",IF(O260="","",O260))</f>
        <v>-</v>
      </c>
      <c r="BM260" s="136" t="str">
        <f>BM259</f>
        <v>TG</v>
      </c>
      <c r="BN260" s="136" t="str">
        <f t="shared" si="155"/>
        <v>Trabalho de Grupo</v>
      </c>
      <c r="BO260" s="136" t="str">
        <f t="shared" si="155"/>
        <v>FP</v>
      </c>
      <c r="BP260" s="136">
        <f>(COUNTIFS(AX237:AX284,BM260,AY237:AY284,BO260)+COUNTIFS(AZ237:AZ284,BM260,BA237:BA284,BO260)+COUNTIFS(BB237:BB284,BM260,BC237:BC284,BO260)+COUNTIFS(BD237:BD284,BM260,BE237:BE284,BO260)+COUNTIFS(BF237:BF284,BM260,BG237:BG284,BO260)+COUNTIFS(BH237:BH284,BM260,BI237:BI284,BO260)+COUNTIFS(BJ237:BJ284,BM260,BK237:BK284,BO260))*0.5</f>
        <v>0</v>
      </c>
      <c r="BQ260" s="136" t="str">
        <f t="shared" si="156"/>
        <v>Trabalho de Grupo</v>
      </c>
      <c r="BR260" s="136" t="str">
        <f t="shared" si="156"/>
        <v>FP</v>
      </c>
      <c r="BS260" s="136" t="str">
        <f t="shared" si="157"/>
        <v>Trabalho de Grupo</v>
      </c>
      <c r="BT260" s="136">
        <f t="shared" si="163"/>
        <v>0</v>
      </c>
      <c r="BU260" s="136">
        <f t="shared" si="164"/>
        <v>0</v>
      </c>
      <c r="CA260" s="183">
        <f>'INFO BASE'!L323</f>
        <v>0</v>
      </c>
      <c r="CB260" s="183">
        <f>'INFO BASE'!M323</f>
        <v>0</v>
      </c>
      <c r="CR260" s="177" t="str">
        <f t="shared" si="145"/>
        <v>APB</v>
      </c>
      <c r="CS260" s="177" t="str">
        <f t="shared" si="146"/>
        <v>APBCDI</v>
      </c>
      <c r="CT260" s="177" t="str">
        <f t="shared" si="145"/>
        <v>AT</v>
      </c>
      <c r="CU260" s="177" t="str">
        <f t="shared" si="147"/>
        <v>ATIEI</v>
      </c>
      <c r="CV260" s="177" t="str">
        <f t="shared" si="145"/>
        <v>AT</v>
      </c>
      <c r="CW260" s="177" t="str">
        <f t="shared" si="148"/>
        <v>ATCDI</v>
      </c>
      <c r="CX260" s="177" t="str">
        <f t="shared" si="145"/>
        <v>LAB</v>
      </c>
      <c r="CY260" s="177" t="str">
        <f t="shared" si="149"/>
        <v>LABIAC</v>
      </c>
      <c r="CZ260" s="177" t="str">
        <f t="shared" si="145"/>
        <v>AT</v>
      </c>
      <c r="DA260" s="177" t="str">
        <f t="shared" si="150"/>
        <v>ATCDI</v>
      </c>
      <c r="DB260" s="177" t="str">
        <f t="shared" si="145"/>
        <v>HS</v>
      </c>
      <c r="DC260" s="177" t="str">
        <f t="shared" si="151"/>
        <v>HS-</v>
      </c>
      <c r="DD260" s="177" t="str">
        <f t="shared" si="152"/>
        <v>PV</v>
      </c>
      <c r="DE260" s="177">
        <f t="shared" si="153"/>
        <v>0</v>
      </c>
    </row>
    <row r="261" spans="1:109" ht="18" customHeight="1" thickBot="1" x14ac:dyDescent="0.35">
      <c r="A261" s="81">
        <v>0.50000000000001599</v>
      </c>
      <c r="B261" s="166" t="s">
        <v>9</v>
      </c>
      <c r="C261" s="130" t="s">
        <v>230</v>
      </c>
      <c r="D261" s="169" t="s">
        <v>116</v>
      </c>
      <c r="E261" s="130" t="s">
        <v>120</v>
      </c>
      <c r="F261" s="169" t="s">
        <v>9</v>
      </c>
      <c r="G261" s="130" t="s">
        <v>231</v>
      </c>
      <c r="H261" s="169" t="s">
        <v>130</v>
      </c>
      <c r="I261" s="130" t="s">
        <v>224</v>
      </c>
      <c r="J261" s="169" t="s">
        <v>9</v>
      </c>
      <c r="K261" s="130" t="s">
        <v>231</v>
      </c>
      <c r="L261" s="169" t="s">
        <v>10</v>
      </c>
      <c r="M261" s="130" t="s">
        <v>120</v>
      </c>
      <c r="N261" s="169" t="s">
        <v>116</v>
      </c>
      <c r="O261" s="154" t="s">
        <v>120</v>
      </c>
      <c r="P261" s="6">
        <v>0</v>
      </c>
      <c r="Q261" s="116" t="str">
        <f t="shared" si="166"/>
        <v>Estudo em Grupo</v>
      </c>
      <c r="R261" s="107" t="str">
        <f t="shared" si="162"/>
        <v/>
      </c>
      <c r="S261" s="94" t="str">
        <f t="shared" si="159"/>
        <v>-</v>
      </c>
      <c r="T261" s="95" t="str">
        <f>IF(VLOOKUP(Q261,'INFO BASE'!$B$40:$I$54,IF(R261='INFO BASE'!$B$32,3,IF(R261='INFO BASE'!$B$33,4,IF(R261='INFO BASE'!$B$34,5,IF(R261='INFO BASE'!$B$35,6,IF(R261='INFO BASE'!$B$36,7,IF(R261='INFO BASE'!$B$37,8,2)))))),0)=0,"",VLOOKUP(Q261,'INFO BASE'!$B$40:$I$54,IF(R261='INFO BASE'!$B$32,3,IF(R261='INFO BASE'!$B$33,4,IF(R261='INFO BASE'!$B$34,5,IF(R261='INFO BASE'!$B$35,6,IF(R261='INFO BASE'!$B$36,7,IF(R261='INFO BASE'!$B$37,8,2)))))),0))</f>
        <v/>
      </c>
      <c r="U261" s="95">
        <f>(COUNTIFS(C237:C284,R261,B237:B284,R255)+COUNTIFS(E237:E284,R261,D237:D284,R255)+COUNTIFS(G237:G284,R261,F237:F284,R255)+COUNTIFS(I237:I284,R261,H237:H284,R255)+COUNTIFS(K237:K284,R261,J237:J284,R255)+COUNTIFS(M237:M284,R261,L237:L284,R255)+COUNTIFS(O237:O284,R261,N237:N284,R255))*0.5</f>
        <v>0</v>
      </c>
      <c r="V261" s="95">
        <f>(COUNTIFS(AI237:AI284,R255,AJ237:AJ284,R254)+COUNTIFS(AK237:AK284,R255,AL237:AL284,R254)+COUNTIFS(AM237:AM284,R255,AN237:AN284,R254)+COUNTIFS(AO237:AO284,R255,AP237:AP284,R254)+COUNTIFS(AQ237:AQ284,R255,AR237:AR284,R254)+COUNTIFS(AS237:AS284,R255,AT237:AT284,R254)+COUNTIFS(AU237:AU284,R255,AV237:AV284,R254))*0.5</f>
        <v>0</v>
      </c>
      <c r="W261" s="96">
        <f>IF(AH233="","-",IF(V261=0,U261,IFERROR((U261/V261)-1,"-")))</f>
        <v>0</v>
      </c>
      <c r="X261" s="201">
        <f t="shared" si="160"/>
        <v>0</v>
      </c>
      <c r="Y261" s="274"/>
      <c r="Z261" s="275"/>
      <c r="AA261" s="275"/>
      <c r="AB261" s="275"/>
      <c r="AC261" s="275"/>
      <c r="AD261" s="275"/>
      <c r="AE261" s="275"/>
      <c r="AF261" s="276"/>
      <c r="AH261" s="136">
        <v>0.50000000000001599</v>
      </c>
      <c r="AI261" s="136" t="s">
        <v>9</v>
      </c>
      <c r="AJ261" s="136" t="s">
        <v>230</v>
      </c>
      <c r="AK261" s="136" t="s">
        <v>116</v>
      </c>
      <c r="AL261" s="136" t="s">
        <v>120</v>
      </c>
      <c r="AM261" s="136" t="s">
        <v>9</v>
      </c>
      <c r="AN261" s="136" t="s">
        <v>231</v>
      </c>
      <c r="AO261" s="136" t="s">
        <v>130</v>
      </c>
      <c r="AP261" s="136" t="s">
        <v>224</v>
      </c>
      <c r="AQ261" s="136" t="s">
        <v>9</v>
      </c>
      <c r="AR261" s="136" t="s">
        <v>231</v>
      </c>
      <c r="AS261" s="136" t="s">
        <v>10</v>
      </c>
      <c r="AT261" s="136" t="s">
        <v>120</v>
      </c>
      <c r="AU261" s="136" t="s">
        <v>116</v>
      </c>
      <c r="AV261" s="136" t="s">
        <v>120</v>
      </c>
      <c r="AX261" s="136" t="str">
        <f>IF(AI233="","",IF(B261="","",B261))</f>
        <v>AT</v>
      </c>
      <c r="AY261" s="136" t="str">
        <f>IF(AI233="","",IF(C261="","",C261))</f>
        <v>AL</v>
      </c>
      <c r="AZ261" s="136" t="str">
        <f>IF(AI233="","",IF(D261="","",D261))</f>
        <v>PV</v>
      </c>
      <c r="BA261" s="136" t="str">
        <f>IF(AI233="","",IF(E261="","",E261))</f>
        <v>-</v>
      </c>
      <c r="BB261" s="136" t="str">
        <f>IF(AI233="","",IF(F261="","",F261))</f>
        <v>AT</v>
      </c>
      <c r="BC261" s="136" t="str">
        <f>IF(AI233="","",IF(G261="","",G261))</f>
        <v>CDI</v>
      </c>
      <c r="BD261" s="136" t="str">
        <f>IF(AI233="","",IF(H261="","",H261))</f>
        <v>APB</v>
      </c>
      <c r="BE261" s="136" t="str">
        <f>IF(AI233="","",IF(I261="","",I261))</f>
        <v>FP</v>
      </c>
      <c r="BF261" s="136" t="str">
        <f>IF(AI233="","",IF(J261="","",J261))</f>
        <v>AT</v>
      </c>
      <c r="BG261" s="136" t="str">
        <f>IF(AI233="","",IF(K261="","",K261))</f>
        <v>CDI</v>
      </c>
      <c r="BH261" s="136" t="str">
        <f>IF(AI233="","",IF(L261="","",L261))</f>
        <v>HS</v>
      </c>
      <c r="BI261" s="136" t="str">
        <f>IF(AI233="","",IF(M261="","",M261))</f>
        <v>-</v>
      </c>
      <c r="BJ261" s="136" t="str">
        <f>IF(AI233="","",IF(N261="","",N261))</f>
        <v>PV</v>
      </c>
      <c r="BK261" s="136" t="str">
        <f>IF(AI233="","",IF(O261="","",O261))</f>
        <v>-</v>
      </c>
      <c r="BM261" s="136" t="str">
        <f t="shared" ref="BM261:BM265" si="167">BM260</f>
        <v>TG</v>
      </c>
      <c r="BN261" s="136" t="str">
        <f t="shared" si="155"/>
        <v>Trabalho de Grupo</v>
      </c>
      <c r="BO261" s="136" t="str">
        <f t="shared" si="155"/>
        <v>IEI</v>
      </c>
      <c r="BP261" s="136">
        <f>(COUNTIFS(AX237:AX284,BM261,AY237:AY284,BO261)+COUNTIFS(AZ237:AZ284,BM261,BA237:BA284,BO261)+COUNTIFS(BB237:BB284,BM261,BC237:BC284,BO261)+COUNTIFS(BD237:BD284,BM261,BE237:BE284,BO261)+COUNTIFS(BF237:BF284,BM261,BG237:BG284,BO261)+COUNTIFS(BH237:BH284,BM261,BI237:BI284,BO261)+COUNTIFS(BJ237:BJ284,BM261,BK237:BK284,BO261))*0.5</f>
        <v>0</v>
      </c>
      <c r="BQ261" s="136" t="str">
        <f t="shared" si="156"/>
        <v>Trabalho de Grupo</v>
      </c>
      <c r="BR261" s="136" t="str">
        <f t="shared" si="156"/>
        <v>IEI</v>
      </c>
      <c r="BS261" s="136" t="str">
        <f t="shared" si="157"/>
        <v>Trabalho de Grupo</v>
      </c>
      <c r="BT261" s="136">
        <f t="shared" si="163"/>
        <v>0</v>
      </c>
      <c r="BU261" s="136">
        <f t="shared" si="164"/>
        <v>0</v>
      </c>
      <c r="CA261" s="183">
        <f>'INFO BASE'!L324</f>
        <v>0</v>
      </c>
      <c r="CB261" s="183">
        <f>'INFO BASE'!M324</f>
        <v>0</v>
      </c>
      <c r="CR261" s="177" t="str">
        <f t="shared" si="145"/>
        <v>AT</v>
      </c>
      <c r="CS261" s="177" t="str">
        <f t="shared" si="146"/>
        <v>ATAL</v>
      </c>
      <c r="CT261" s="177" t="str">
        <f t="shared" si="145"/>
        <v>PV</v>
      </c>
      <c r="CU261" s="177">
        <f t="shared" si="147"/>
        <v>0</v>
      </c>
      <c r="CV261" s="177" t="str">
        <f t="shared" si="145"/>
        <v>AT</v>
      </c>
      <c r="CW261" s="177" t="str">
        <f t="shared" si="148"/>
        <v>ATCDI</v>
      </c>
      <c r="CX261" s="177" t="str">
        <f t="shared" si="145"/>
        <v>APB</v>
      </c>
      <c r="CY261" s="177" t="str">
        <f t="shared" si="149"/>
        <v>APBFP</v>
      </c>
      <c r="CZ261" s="177" t="str">
        <f t="shared" si="145"/>
        <v>AT</v>
      </c>
      <c r="DA261" s="177" t="str">
        <f t="shared" si="150"/>
        <v>ATCDI</v>
      </c>
      <c r="DB261" s="177" t="str">
        <f t="shared" si="145"/>
        <v>HS</v>
      </c>
      <c r="DC261" s="177" t="str">
        <f t="shared" si="151"/>
        <v>HS-</v>
      </c>
      <c r="DD261" s="177" t="str">
        <f t="shared" si="152"/>
        <v>PV</v>
      </c>
      <c r="DE261" s="177">
        <f t="shared" si="153"/>
        <v>0</v>
      </c>
    </row>
    <row r="262" spans="1:109" ht="18" customHeight="1" x14ac:dyDescent="0.3">
      <c r="A262" s="81">
        <v>0.52083333333335002</v>
      </c>
      <c r="B262" s="166" t="s">
        <v>9</v>
      </c>
      <c r="C262" s="130" t="s">
        <v>230</v>
      </c>
      <c r="D262" s="169" t="s">
        <v>116</v>
      </c>
      <c r="E262" s="130" t="s">
        <v>120</v>
      </c>
      <c r="F262" s="169" t="s">
        <v>9</v>
      </c>
      <c r="G262" s="130" t="s">
        <v>230</v>
      </c>
      <c r="H262" s="169" t="s">
        <v>130</v>
      </c>
      <c r="I262" s="130" t="s">
        <v>224</v>
      </c>
      <c r="J262" s="169" t="s">
        <v>116</v>
      </c>
      <c r="K262" s="130" t="s">
        <v>120</v>
      </c>
      <c r="L262" s="169" t="s">
        <v>10</v>
      </c>
      <c r="M262" s="130" t="s">
        <v>120</v>
      </c>
      <c r="N262" s="169" t="s">
        <v>116</v>
      </c>
      <c r="O262" s="154" t="s">
        <v>120</v>
      </c>
      <c r="P262" s="6">
        <v>0</v>
      </c>
      <c r="Q262" s="117" t="str">
        <f>IF('INFO BASE'!$C$19="","",'INFO BASE'!$C$19)</f>
        <v>Trabalho de Grupo</v>
      </c>
      <c r="R262" s="82" t="str">
        <f t="shared" si="162"/>
        <v>TG</v>
      </c>
      <c r="S262" s="83">
        <f t="shared" si="159"/>
        <v>-1</v>
      </c>
      <c r="T262" s="84">
        <f>IF(VLOOKUP(Q262,'INFO BASE'!$B$40:$I$54,IF(R262='INFO BASE'!$B$32,3,IF(R262='INFO BASE'!$B$33,4,IF(R262='INFO BASE'!$B$34,5,IF(R262='INFO BASE'!$B$35,6,IF(R262='INFO BASE'!$B$36,7,IF(R262='INFO BASE'!$B$37,8,2)))))),0)=0,"",VLOOKUP(Q262,'INFO BASE'!$B$40:$I$54,IF(R262='INFO BASE'!$B$32,3,IF(R262='INFO BASE'!$B$33,4,IF(R262='INFO BASE'!$B$34,5,IF(R262='INFO BASE'!$B$35,6,IF(R262='INFO BASE'!$B$36,7,IF(R262='INFO BASE'!$B$37,8,2)))))),0))</f>
        <v>15</v>
      </c>
      <c r="U262" s="84">
        <f>IF(R262="","",COUNTIFS(SEMANA5,R262)*0.5)</f>
        <v>0</v>
      </c>
      <c r="V262" s="84">
        <f>IF(R262="","",COUNTIFS(AI237:AV284,R262)*0.5)</f>
        <v>0</v>
      </c>
      <c r="W262" s="85">
        <f>IF(AH233="","-",IF(V262=0,U262,IFERROR((U262/V262)-1,"-")))</f>
        <v>0</v>
      </c>
      <c r="X262" s="201">
        <f t="shared" si="160"/>
        <v>0</v>
      </c>
      <c r="Y262" s="277"/>
      <c r="Z262" s="278"/>
      <c r="AA262" s="278"/>
      <c r="AB262" s="278"/>
      <c r="AC262" s="278"/>
      <c r="AD262" s="278"/>
      <c r="AE262" s="278"/>
      <c r="AF262" s="279"/>
      <c r="AH262" s="136">
        <v>0.52083333333335002</v>
      </c>
      <c r="AI262" s="136" t="s">
        <v>9</v>
      </c>
      <c r="AJ262" s="136" t="s">
        <v>230</v>
      </c>
      <c r="AK262" s="136" t="s">
        <v>116</v>
      </c>
      <c r="AL262" s="136" t="s">
        <v>120</v>
      </c>
      <c r="AM262" s="136" t="s">
        <v>9</v>
      </c>
      <c r="AN262" s="136" t="s">
        <v>230</v>
      </c>
      <c r="AO262" s="136" t="s">
        <v>130</v>
      </c>
      <c r="AP262" s="136" t="s">
        <v>224</v>
      </c>
      <c r="AQ262" s="136" t="s">
        <v>116</v>
      </c>
      <c r="AR262" s="136" t="s">
        <v>120</v>
      </c>
      <c r="AS262" s="136" t="s">
        <v>10</v>
      </c>
      <c r="AT262" s="136" t="s">
        <v>120</v>
      </c>
      <c r="AU262" s="136" t="s">
        <v>116</v>
      </c>
      <c r="AV262" s="136" t="s">
        <v>120</v>
      </c>
      <c r="AX262" s="136" t="str">
        <f>IF(AI233="","",IF(B262="","",B262))</f>
        <v>AT</v>
      </c>
      <c r="AY262" s="136" t="str">
        <f>IF(AI233="","",IF(C262="","",C262))</f>
        <v>AL</v>
      </c>
      <c r="AZ262" s="136" t="str">
        <f>IF(AI233="","",IF(D262="","",D262))</f>
        <v>PV</v>
      </c>
      <c r="BA262" s="136" t="str">
        <f>IF(AI233="","",IF(E262="","",E262))</f>
        <v>-</v>
      </c>
      <c r="BB262" s="136" t="str">
        <f>IF(AI233="","",IF(F262="","",F262))</f>
        <v>AT</v>
      </c>
      <c r="BC262" s="136" t="str">
        <f>IF(AI233="","",IF(G262="","",G262))</f>
        <v>AL</v>
      </c>
      <c r="BD262" s="136" t="str">
        <f>IF(AI233="","",IF(H262="","",H262))</f>
        <v>APB</v>
      </c>
      <c r="BE262" s="136" t="str">
        <f>IF(AI233="","",IF(I262="","",I262))</f>
        <v>FP</v>
      </c>
      <c r="BF262" s="136" t="str">
        <f>IF(AI233="","",IF(J262="","",J262))</f>
        <v>PV</v>
      </c>
      <c r="BG262" s="136" t="str">
        <f>IF(AI233="","",IF(K262="","",K262))</f>
        <v>-</v>
      </c>
      <c r="BH262" s="136" t="str">
        <f>IF(AI233="","",IF(L262="","",L262))</f>
        <v>HS</v>
      </c>
      <c r="BI262" s="136" t="str">
        <f>IF(AI233="","",IF(M262="","",M262))</f>
        <v>-</v>
      </c>
      <c r="BJ262" s="136" t="str">
        <f>IF(AI233="","",IF(N262="","",N262))</f>
        <v>PV</v>
      </c>
      <c r="BK262" s="136" t="str">
        <f>IF(AI233="","",IF(O262="","",O262))</f>
        <v>-</v>
      </c>
      <c r="BM262" s="136" t="str">
        <f t="shared" si="167"/>
        <v>TG</v>
      </c>
      <c r="BN262" s="136" t="str">
        <f t="shared" si="155"/>
        <v>Trabalho de Grupo</v>
      </c>
      <c r="BO262" s="136" t="str">
        <f t="shared" si="155"/>
        <v>IAC</v>
      </c>
      <c r="BP262" s="136">
        <f>(COUNTIFS(AX237:AX284,BM262,AY237:AY284,BO262)+COUNTIFS(AZ237:AZ284,BM262,BA237:BA284,BO262)+COUNTIFS(BB237:BB284,BM262,BC237:BC284,BO262)+COUNTIFS(BD237:BD284,BM262,BE237:BE284,BO262)+COUNTIFS(BF237:BF284,BM262,BG237:BG284,BO262)+COUNTIFS(BH237:BH284,BM262,BI237:BI284,BO262)+COUNTIFS(BJ237:BJ284,BM262,BK237:BK284,BO262))*0.5</f>
        <v>0</v>
      </c>
      <c r="BQ262" s="136" t="str">
        <f t="shared" si="156"/>
        <v>Trabalho de Grupo</v>
      </c>
      <c r="BR262" s="136" t="str">
        <f t="shared" si="156"/>
        <v>IAC</v>
      </c>
      <c r="BS262" s="136" t="str">
        <f t="shared" si="157"/>
        <v>Trabalho de Grupo</v>
      </c>
      <c r="BT262" s="136">
        <f t="shared" si="163"/>
        <v>0</v>
      </c>
      <c r="BU262" s="136">
        <f t="shared" si="164"/>
        <v>0</v>
      </c>
      <c r="CA262" s="183">
        <f>'INFO BASE'!L325</f>
        <v>0</v>
      </c>
      <c r="CB262" s="183">
        <f>'INFO BASE'!M325</f>
        <v>0</v>
      </c>
      <c r="CR262" s="177" t="str">
        <f t="shared" si="145"/>
        <v>AT</v>
      </c>
      <c r="CS262" s="177" t="str">
        <f t="shared" si="146"/>
        <v>ATAL</v>
      </c>
      <c r="CT262" s="177" t="str">
        <f t="shared" si="145"/>
        <v>PV</v>
      </c>
      <c r="CU262" s="177">
        <f t="shared" si="147"/>
        <v>0</v>
      </c>
      <c r="CV262" s="177" t="str">
        <f t="shared" si="145"/>
        <v>AT</v>
      </c>
      <c r="CW262" s="177" t="str">
        <f t="shared" si="148"/>
        <v>ATAL</v>
      </c>
      <c r="CX262" s="177" t="str">
        <f t="shared" si="145"/>
        <v>APB</v>
      </c>
      <c r="CY262" s="177" t="str">
        <f t="shared" si="149"/>
        <v>APBFP</v>
      </c>
      <c r="CZ262" s="177" t="str">
        <f t="shared" si="145"/>
        <v>PV</v>
      </c>
      <c r="DA262" s="177">
        <f t="shared" si="150"/>
        <v>0</v>
      </c>
      <c r="DB262" s="177" t="str">
        <f t="shared" si="145"/>
        <v>HS</v>
      </c>
      <c r="DC262" s="177" t="str">
        <f t="shared" si="151"/>
        <v>HS-</v>
      </c>
      <c r="DD262" s="177" t="str">
        <f t="shared" si="152"/>
        <v>PV</v>
      </c>
      <c r="DE262" s="177">
        <f t="shared" si="153"/>
        <v>0</v>
      </c>
    </row>
    <row r="263" spans="1:109" ht="18" customHeight="1" x14ac:dyDescent="0.3">
      <c r="A263" s="81">
        <v>0.54166666666668395</v>
      </c>
      <c r="B263" s="166" t="s">
        <v>9</v>
      </c>
      <c r="C263" s="130" t="s">
        <v>231</v>
      </c>
      <c r="D263" s="169" t="s">
        <v>116</v>
      </c>
      <c r="E263" s="130" t="s">
        <v>120</v>
      </c>
      <c r="F263" s="169" t="s">
        <v>9</v>
      </c>
      <c r="G263" s="130" t="s">
        <v>230</v>
      </c>
      <c r="H263" s="169" t="s">
        <v>130</v>
      </c>
      <c r="I263" s="130" t="s">
        <v>224</v>
      </c>
      <c r="J263" s="169" t="s">
        <v>116</v>
      </c>
      <c r="K263" s="130" t="s">
        <v>120</v>
      </c>
      <c r="L263" s="169" t="s">
        <v>12</v>
      </c>
      <c r="M263" s="130" t="s">
        <v>120</v>
      </c>
      <c r="N263" s="169" t="s">
        <v>116</v>
      </c>
      <c r="O263" s="154" t="s">
        <v>120</v>
      </c>
      <c r="P263" s="6">
        <v>0</v>
      </c>
      <c r="Q263" s="118" t="str">
        <f t="shared" ref="Q263:Q268" si="168">Q262</f>
        <v>Trabalho de Grupo</v>
      </c>
      <c r="R263" s="105" t="str">
        <f t="shared" si="162"/>
        <v>FP</v>
      </c>
      <c r="S263" s="88">
        <f t="shared" si="159"/>
        <v>-1</v>
      </c>
      <c r="T263" s="89">
        <f>IF(VLOOKUP(Q263,'INFO BASE'!$B$40:$I$54,IF(R263='INFO BASE'!$B$32,3,IF(R263='INFO BASE'!$B$33,4,IF(R263='INFO BASE'!$B$34,5,IF(R263='INFO BASE'!$B$35,6,IF(R263='INFO BASE'!$B$36,7,IF(R263='INFO BASE'!$B$37,8,2)))))),0)=0,"",VLOOKUP(Q263,'INFO BASE'!$B$40:$I$54,IF(R263='INFO BASE'!$B$32,3,IF(R263='INFO BASE'!$B$33,4,IF(R263='INFO BASE'!$B$34,5,IF(R263='INFO BASE'!$B$35,6,IF(R263='INFO BASE'!$B$36,7,IF(R263='INFO BASE'!$B$37,8,2)))))),0))</f>
        <v>3</v>
      </c>
      <c r="U263" s="89">
        <f>(COUNTIFS(C237:C284,R263,B237:B284,R262)+COUNTIFS(E237:E284,R263,D237:D284,R262)+COUNTIFS(G237:G284,R263,F237:F284,R262)+COUNTIFS(I237:I284,R263,H237:H284,R262)+COUNTIFS(K237:K284,R263,J237:J284,R262)+COUNTIFS(M237:M284,R263,L237:L284,R262)+COUNTIFS(O237:O284,R263,N237:N284,R262))*0.5</f>
        <v>0</v>
      </c>
      <c r="V263" s="89">
        <f>(COUNTIFS(AI237:AI284,R262,AJ237:AJ284,R256)+COUNTIFS(AK237:AK284,R262,AL237:AL284,R256)+COUNTIFS(AM237:AM284,R262,AN237:AN284,R256)+COUNTIFS(AO237:AO284,R262,AP237:AP284,R256)+COUNTIFS(AQ237:AQ284,R262,AR237:AR284,R256)+COUNTIFS(AS237:AS284,R262,AT237:AT284,R256)+COUNTIFS(AU237:AU284,R262,AV237:AV284,R256))*0.5</f>
        <v>0</v>
      </c>
      <c r="W263" s="90">
        <f>IF(AH233="","-",IF(V263=0,U263,IFERROR((U263/V263)-1,"-")))</f>
        <v>0</v>
      </c>
      <c r="X263" s="201">
        <f t="shared" si="160"/>
        <v>0</v>
      </c>
      <c r="Y263" s="271"/>
      <c r="Z263" s="272"/>
      <c r="AA263" s="272"/>
      <c r="AB263" s="272"/>
      <c r="AC263" s="272"/>
      <c r="AD263" s="272"/>
      <c r="AE263" s="272"/>
      <c r="AF263" s="273"/>
      <c r="AH263" s="136">
        <v>0.54166666666668395</v>
      </c>
      <c r="AI263" s="136" t="s">
        <v>9</v>
      </c>
      <c r="AJ263" s="136" t="s">
        <v>231</v>
      </c>
      <c r="AK263" s="136" t="s">
        <v>116</v>
      </c>
      <c r="AL263" s="136" t="s">
        <v>120</v>
      </c>
      <c r="AM263" s="136" t="s">
        <v>9</v>
      </c>
      <c r="AN263" s="136" t="s">
        <v>230</v>
      </c>
      <c r="AO263" s="136" t="s">
        <v>130</v>
      </c>
      <c r="AP263" s="136" t="s">
        <v>224</v>
      </c>
      <c r="AQ263" s="136" t="s">
        <v>116</v>
      </c>
      <c r="AR263" s="136" t="s">
        <v>120</v>
      </c>
      <c r="AS263" s="136" t="s">
        <v>12</v>
      </c>
      <c r="AT263" s="136" t="s">
        <v>120</v>
      </c>
      <c r="AU263" s="136" t="s">
        <v>116</v>
      </c>
      <c r="AV263" s="136" t="s">
        <v>120</v>
      </c>
      <c r="AX263" s="136" t="str">
        <f>IF(AI233="","",IF(B263="","",B263))</f>
        <v>AT</v>
      </c>
      <c r="AY263" s="136" t="str">
        <f>IF(AI233="","",IF(C263="","",C263))</f>
        <v>CDI</v>
      </c>
      <c r="AZ263" s="136" t="str">
        <f>IF(AI233="","",IF(D263="","",D263))</f>
        <v>PV</v>
      </c>
      <c r="BA263" s="136" t="str">
        <f>IF(AI233="","",IF(E263="","",E263))</f>
        <v>-</v>
      </c>
      <c r="BB263" s="136" t="str">
        <f>IF(AI233="","",IF(F263="","",F263))</f>
        <v>AT</v>
      </c>
      <c r="BC263" s="136" t="str">
        <f>IF(AI233="","",IF(G263="","",G263))</f>
        <v>AL</v>
      </c>
      <c r="BD263" s="136" t="str">
        <f>IF(AI233="","",IF(H263="","",H263))</f>
        <v>APB</v>
      </c>
      <c r="BE263" s="136" t="str">
        <f>IF(AI233="","",IF(I263="","",I263))</f>
        <v>FP</v>
      </c>
      <c r="BF263" s="136" t="str">
        <f>IF(AI233="","",IF(J263="","",J263))</f>
        <v>PV</v>
      </c>
      <c r="BG263" s="136" t="str">
        <f>IF(AI233="","",IF(K263="","",K263))</f>
        <v>-</v>
      </c>
      <c r="BH263" s="136" t="str">
        <f>IF(AI233="","",IF(L263="","",L263))</f>
        <v>HR</v>
      </c>
      <c r="BI263" s="136" t="str">
        <f>IF(AI233="","",IF(M263="","",M263))</f>
        <v>-</v>
      </c>
      <c r="BJ263" s="136" t="str">
        <f>IF(AI233="","",IF(N263="","",N263))</f>
        <v>PV</v>
      </c>
      <c r="BK263" s="136" t="str">
        <f>IF(AI233="","",IF(O263="","",O263))</f>
        <v>-</v>
      </c>
      <c r="BM263" s="136" t="str">
        <f t="shared" si="167"/>
        <v>TG</v>
      </c>
      <c r="BN263" s="136" t="str">
        <f t="shared" si="155"/>
        <v>Trabalho de Grupo</v>
      </c>
      <c r="BO263" s="136" t="str">
        <f t="shared" si="155"/>
        <v>AL</v>
      </c>
      <c r="BP263" s="136">
        <f>(COUNTIFS(AX237:AX284,BM263,AY237:AY284,BO263)+COUNTIFS(AZ237:AZ284,BM263,BA237:BA284,BO263)+COUNTIFS(BB237:BB284,BM263,BC237:BC284,BO263)+COUNTIFS(BD237:BD284,BM263,BE237:BE284,BO263)+COUNTIFS(BF237:BF284,BM263,BG237:BG284,BO263)+COUNTIFS(BH237:BH284,BM263,BI237:BI284,BO263)+COUNTIFS(BJ237:BJ284,BM263,BK237:BK284,BO263))*0.5</f>
        <v>0</v>
      </c>
      <c r="BQ263" s="136" t="str">
        <f t="shared" si="156"/>
        <v>Trabalho de Grupo</v>
      </c>
      <c r="BR263" s="136" t="str">
        <f t="shared" si="156"/>
        <v>AL</v>
      </c>
      <c r="BS263" s="136" t="str">
        <f t="shared" si="157"/>
        <v>Trabalho de Grupo</v>
      </c>
      <c r="BT263" s="136">
        <f t="shared" si="163"/>
        <v>0</v>
      </c>
      <c r="BU263" s="136">
        <f t="shared" si="164"/>
        <v>0</v>
      </c>
      <c r="CA263" s="183">
        <f>'INFO BASE'!L326</f>
        <v>0</v>
      </c>
      <c r="CB263" s="183">
        <f>'INFO BASE'!M326</f>
        <v>0</v>
      </c>
      <c r="CR263" s="177" t="str">
        <f t="shared" si="145"/>
        <v>AT</v>
      </c>
      <c r="CS263" s="177" t="str">
        <f t="shared" si="146"/>
        <v>ATCDI</v>
      </c>
      <c r="CT263" s="177" t="str">
        <f t="shared" si="145"/>
        <v>PV</v>
      </c>
      <c r="CU263" s="177">
        <f t="shared" si="147"/>
        <v>0</v>
      </c>
      <c r="CV263" s="177" t="str">
        <f t="shared" si="145"/>
        <v>AT</v>
      </c>
      <c r="CW263" s="177" t="str">
        <f t="shared" si="148"/>
        <v>ATAL</v>
      </c>
      <c r="CX263" s="177" t="str">
        <f t="shared" si="145"/>
        <v>APB</v>
      </c>
      <c r="CY263" s="177" t="str">
        <f t="shared" si="149"/>
        <v>APBFP</v>
      </c>
      <c r="CZ263" s="177" t="str">
        <f t="shared" si="145"/>
        <v>PV</v>
      </c>
      <c r="DA263" s="177">
        <f t="shared" si="150"/>
        <v>0</v>
      </c>
      <c r="DB263" s="177" t="str">
        <f t="shared" si="145"/>
        <v>HR</v>
      </c>
      <c r="DC263" s="177" t="str">
        <f t="shared" si="151"/>
        <v>HR-</v>
      </c>
      <c r="DD263" s="177" t="str">
        <f t="shared" si="152"/>
        <v>PV</v>
      </c>
      <c r="DE263" s="177">
        <f t="shared" si="153"/>
        <v>0</v>
      </c>
    </row>
    <row r="264" spans="1:109" ht="18" customHeight="1" x14ac:dyDescent="0.3">
      <c r="A264" s="81">
        <v>0.56250000000001799</v>
      </c>
      <c r="B264" s="166" t="s">
        <v>9</v>
      </c>
      <c r="C264" s="130" t="s">
        <v>231</v>
      </c>
      <c r="D264" s="169" t="s">
        <v>116</v>
      </c>
      <c r="E264" s="130" t="s">
        <v>120</v>
      </c>
      <c r="F264" s="169" t="s">
        <v>116</v>
      </c>
      <c r="G264" s="130" t="s">
        <v>120</v>
      </c>
      <c r="H264" s="169" t="s">
        <v>116</v>
      </c>
      <c r="I264" s="130" t="s">
        <v>120</v>
      </c>
      <c r="J264" s="169" t="s">
        <v>116</v>
      </c>
      <c r="K264" s="130" t="s">
        <v>120</v>
      </c>
      <c r="L264" s="169" t="s">
        <v>12</v>
      </c>
      <c r="M264" s="130" t="s">
        <v>120</v>
      </c>
      <c r="N264" s="169" t="s">
        <v>116</v>
      </c>
      <c r="O264" s="154" t="s">
        <v>120</v>
      </c>
      <c r="P264" s="6">
        <v>0</v>
      </c>
      <c r="Q264" s="118" t="str">
        <f t="shared" si="168"/>
        <v>Trabalho de Grupo</v>
      </c>
      <c r="R264" s="105" t="str">
        <f t="shared" si="162"/>
        <v>IEI</v>
      </c>
      <c r="S264" s="88">
        <f t="shared" si="159"/>
        <v>-1</v>
      </c>
      <c r="T264" s="89">
        <f>IF(VLOOKUP(Q264,'INFO BASE'!$B$40:$I$54,IF(R264='INFO BASE'!$B$32,3,IF(R264='INFO BASE'!$B$33,4,IF(R264='INFO BASE'!$B$34,5,IF(R264='INFO BASE'!$B$35,6,IF(R264='INFO BASE'!$B$36,7,IF(R264='INFO BASE'!$B$37,8,2)))))),0)=0,"",VLOOKUP(Q264,'INFO BASE'!$B$40:$I$54,IF(R264='INFO BASE'!$B$32,3,IF(R264='INFO BASE'!$B$33,4,IF(R264='INFO BASE'!$B$34,5,IF(R264='INFO BASE'!$B$35,6,IF(R264='INFO BASE'!$B$36,7,IF(R264='INFO BASE'!$B$37,8,2)))))),0))</f>
        <v>3</v>
      </c>
      <c r="U264" s="89">
        <f>(COUNTIFS(C237:C284,R264,B237:B284,R262)+COUNTIFS(E237:E284,R264,D237:D284,R262)+COUNTIFS(G237:G284,R264,F237:F284,R262)+COUNTIFS(I237:I284,R264,H237:H284,R262)+COUNTIFS(K237:K284,R264,J237:J284,R262)+COUNTIFS(M237:M284,R264,L237:L284,R262)+COUNTIFS(O237:O284,R264,N237:N284,R262))*0.5</f>
        <v>0</v>
      </c>
      <c r="V264" s="89">
        <f>(COUNTIFS(AI237:AI284,R262,AJ237:AJ284,R257)+COUNTIFS(AK237:AK284,R262,AL237:AL284,R257)+COUNTIFS(AM237:AM284,R262,AN237:AN284,R257)+COUNTIFS(AO237:AO284,R262,AP237:AP284,R257)+COUNTIFS(AQ237:AQ284,R262,AR237:AR284,R257)+COUNTIFS(AS237:AS284,R262,AT237:AT284,R257)+COUNTIFS(AU237:AU284,R262,AV237:AV284,R257))*0.5</f>
        <v>0</v>
      </c>
      <c r="W264" s="90">
        <f>IF(AH233="","-",IF(V264=0,U264,IFERROR((U264/V264)-1,"-")))</f>
        <v>0</v>
      </c>
      <c r="X264" s="201">
        <f t="shared" si="160"/>
        <v>0</v>
      </c>
      <c r="Y264" s="271"/>
      <c r="Z264" s="272"/>
      <c r="AA264" s="272"/>
      <c r="AB264" s="272"/>
      <c r="AC264" s="272"/>
      <c r="AD264" s="272"/>
      <c r="AE264" s="272"/>
      <c r="AF264" s="273"/>
      <c r="AH264" s="136">
        <v>0.56250000000001799</v>
      </c>
      <c r="AI264" s="136" t="s">
        <v>9</v>
      </c>
      <c r="AJ264" s="136" t="s">
        <v>231</v>
      </c>
      <c r="AK264" s="136" t="s">
        <v>116</v>
      </c>
      <c r="AL264" s="136" t="s">
        <v>120</v>
      </c>
      <c r="AM264" s="136" t="s">
        <v>116</v>
      </c>
      <c r="AN264" s="136" t="s">
        <v>120</v>
      </c>
      <c r="AO264" s="136" t="s">
        <v>116</v>
      </c>
      <c r="AP264" s="136" t="s">
        <v>120</v>
      </c>
      <c r="AQ264" s="136" t="s">
        <v>116</v>
      </c>
      <c r="AR264" s="136" t="s">
        <v>120</v>
      </c>
      <c r="AS264" s="136" t="s">
        <v>12</v>
      </c>
      <c r="AT264" s="136" t="s">
        <v>120</v>
      </c>
      <c r="AU264" s="136" t="s">
        <v>116</v>
      </c>
      <c r="AV264" s="136" t="s">
        <v>120</v>
      </c>
      <c r="AX264" s="136" t="str">
        <f>IF(AI233="","",IF(B264="","",B264))</f>
        <v>AT</v>
      </c>
      <c r="AY264" s="136" t="str">
        <f>IF(AI233="","",IF(C264="","",C264))</f>
        <v>CDI</v>
      </c>
      <c r="AZ264" s="136" t="str">
        <f>IF(AI233="","",IF(D264="","",D264))</f>
        <v>PV</v>
      </c>
      <c r="BA264" s="136" t="str">
        <f>IF(AI233="","",IF(E264="","",E264))</f>
        <v>-</v>
      </c>
      <c r="BB264" s="136" t="str">
        <f>IF(AI233="","",IF(F264="","",F264))</f>
        <v>PV</v>
      </c>
      <c r="BC264" s="136" t="str">
        <f>IF(AI233="","",IF(G264="","",G264))</f>
        <v>-</v>
      </c>
      <c r="BD264" s="136" t="str">
        <f>IF(AI233="","",IF(H264="","",H264))</f>
        <v>PV</v>
      </c>
      <c r="BE264" s="136" t="str">
        <f>IF(AI233="","",IF(I264="","",I264))</f>
        <v>-</v>
      </c>
      <c r="BF264" s="136" t="str">
        <f>IF(AI233="","",IF(J264="","",J264))</f>
        <v>PV</v>
      </c>
      <c r="BG264" s="136" t="str">
        <f>IF(AI233="","",IF(K264="","",K264))</f>
        <v>-</v>
      </c>
      <c r="BH264" s="136" t="str">
        <f>IF(AI233="","",IF(L264="","",L264))</f>
        <v>HR</v>
      </c>
      <c r="BI264" s="136" t="str">
        <f>IF(AI233="","",IF(M264="","",M264))</f>
        <v>-</v>
      </c>
      <c r="BJ264" s="136" t="str">
        <f>IF(AI233="","",IF(N264="","",N264))</f>
        <v>PV</v>
      </c>
      <c r="BK264" s="136" t="str">
        <f>IF(AI233="","",IF(O264="","",O264))</f>
        <v>-</v>
      </c>
      <c r="BM264" s="136" t="str">
        <f t="shared" si="167"/>
        <v>TG</v>
      </c>
      <c r="BN264" s="136" t="str">
        <f t="shared" si="155"/>
        <v>Trabalho de Grupo</v>
      </c>
      <c r="BO264" s="136" t="str">
        <f t="shared" si="155"/>
        <v>CDI</v>
      </c>
      <c r="BP264" s="136">
        <f>(COUNTIFS(AX237:AX284,BM264,AY237:AY284,BO264)+COUNTIFS(AZ237:AZ284,BM264,BA237:BA284,BO264)+COUNTIFS(BB237:BB284,BM264,BC237:BC284,BO264)+COUNTIFS(BD237:BD284,BM264,BE237:BE284,BO264)+COUNTIFS(BF237:BF284,BM264,BG237:BG284,BO264)+COUNTIFS(BH237:BH284,BM264,BI237:BI284,BO264)+COUNTIFS(BJ237:BJ284,BM264,BK237:BK284,BO264))*0.5</f>
        <v>0</v>
      </c>
      <c r="BQ264" s="136" t="str">
        <f t="shared" si="156"/>
        <v>Trabalho de Grupo</v>
      </c>
      <c r="BR264" s="136" t="str">
        <f t="shared" si="156"/>
        <v>CDI</v>
      </c>
      <c r="BS264" s="136" t="str">
        <f t="shared" si="157"/>
        <v>Trabalho de Grupo</v>
      </c>
      <c r="BT264" s="136">
        <f t="shared" si="163"/>
        <v>0</v>
      </c>
      <c r="BU264" s="136">
        <f t="shared" si="164"/>
        <v>0</v>
      </c>
      <c r="CA264" s="183">
        <f>'INFO BASE'!L327</f>
        <v>0</v>
      </c>
      <c r="CB264" s="183">
        <f>'INFO BASE'!M327</f>
        <v>0</v>
      </c>
      <c r="CR264" s="177" t="str">
        <f t="shared" si="145"/>
        <v>AT</v>
      </c>
      <c r="CS264" s="177" t="str">
        <f t="shared" si="146"/>
        <v>ATCDI</v>
      </c>
      <c r="CT264" s="177" t="str">
        <f t="shared" si="145"/>
        <v>PV</v>
      </c>
      <c r="CU264" s="177">
        <f t="shared" si="147"/>
        <v>0</v>
      </c>
      <c r="CV264" s="177" t="str">
        <f t="shared" si="145"/>
        <v>PV</v>
      </c>
      <c r="CW264" s="177">
        <f t="shared" si="148"/>
        <v>0</v>
      </c>
      <c r="CX264" s="177" t="str">
        <f t="shared" si="145"/>
        <v>PV</v>
      </c>
      <c r="CY264" s="177">
        <f t="shared" si="149"/>
        <v>0</v>
      </c>
      <c r="CZ264" s="177" t="str">
        <f t="shared" si="145"/>
        <v>PV</v>
      </c>
      <c r="DA264" s="177">
        <f t="shared" si="150"/>
        <v>0</v>
      </c>
      <c r="DB264" s="177" t="str">
        <f t="shared" si="145"/>
        <v>HR</v>
      </c>
      <c r="DC264" s="177" t="str">
        <f t="shared" si="151"/>
        <v>HR-</v>
      </c>
      <c r="DD264" s="177" t="str">
        <f t="shared" si="152"/>
        <v>PV</v>
      </c>
      <c r="DE264" s="177">
        <f t="shared" si="153"/>
        <v>0</v>
      </c>
    </row>
    <row r="265" spans="1:109" ht="18" customHeight="1" x14ac:dyDescent="0.3">
      <c r="A265" s="81">
        <v>0.58333333333335202</v>
      </c>
      <c r="B265" s="166" t="s">
        <v>12</v>
      </c>
      <c r="C265" s="130" t="s">
        <v>120</v>
      </c>
      <c r="D265" s="169" t="s">
        <v>12</v>
      </c>
      <c r="E265" s="130" t="s">
        <v>120</v>
      </c>
      <c r="F265" s="169" t="s">
        <v>12</v>
      </c>
      <c r="G265" s="130" t="s">
        <v>120</v>
      </c>
      <c r="H265" s="169" t="s">
        <v>12</v>
      </c>
      <c r="I265" s="130" t="s">
        <v>120</v>
      </c>
      <c r="J265" s="169" t="s">
        <v>12</v>
      </c>
      <c r="K265" s="130" t="s">
        <v>120</v>
      </c>
      <c r="L265" s="169" t="s">
        <v>12</v>
      </c>
      <c r="M265" s="130" t="s">
        <v>120</v>
      </c>
      <c r="N265" s="169" t="s">
        <v>116</v>
      </c>
      <c r="O265" s="154" t="s">
        <v>120</v>
      </c>
      <c r="P265" s="6">
        <v>0</v>
      </c>
      <c r="Q265" s="119" t="str">
        <f t="shared" si="168"/>
        <v>Trabalho de Grupo</v>
      </c>
      <c r="R265" s="105" t="str">
        <f t="shared" si="162"/>
        <v>IAC</v>
      </c>
      <c r="S265" s="88">
        <f t="shared" si="159"/>
        <v>-1</v>
      </c>
      <c r="T265" s="89">
        <f>IF(VLOOKUP(Q265,'INFO BASE'!$B$40:$I$54,IF(R265='INFO BASE'!$B$32,3,IF(R265='INFO BASE'!$B$33,4,IF(R265='INFO BASE'!$B$34,5,IF(R265='INFO BASE'!$B$35,6,IF(R265='INFO BASE'!$B$36,7,IF(R265='INFO BASE'!$B$37,8,2)))))),0)=0,"",VLOOKUP(Q265,'INFO BASE'!$B$40:$I$54,IF(R265='INFO BASE'!$B$32,3,IF(R265='INFO BASE'!$B$33,4,IF(R265='INFO BASE'!$B$34,5,IF(R265='INFO BASE'!$B$35,6,IF(R265='INFO BASE'!$B$36,7,IF(R265='INFO BASE'!$B$37,8,2)))))),0))</f>
        <v>3</v>
      </c>
      <c r="U265" s="89">
        <f>(COUNTIFS(C237:C284,R265,B237:B284,R262)+COUNTIFS(E237:E284,R265,D237:D284,R262)+COUNTIFS(G237:G284,R265,F237:F284,R262)+COUNTIFS(I237:I284,R265,H237:H284,R262)+COUNTIFS(K237:K284,R265,J237:J284,R262)+COUNTIFS(M237:M284,R265,L237:L284,R262)+COUNTIFS(O237:O284,R265,N237:N284,R262))*0.5</f>
        <v>0</v>
      </c>
      <c r="V265" s="89">
        <f>(COUNTIFS(AI237:AI284,R262,AJ237:AJ284,R258)+COUNTIFS(AK237:AK284,R262,AL237:AL284,R258)+COUNTIFS(AM237:AM284,R262,AN237:AN284,R258)+COUNTIFS(AO237:AO284,R262,AP237:AP284,R258)+COUNTIFS(AQ237:AQ284,R262,AR237:AR284,R258)+COUNTIFS(AS237:AS284,R262,AT237:AT284,R258)+COUNTIFS(AU237:AU284,R262,AV237:AV284,R258))*0.5</f>
        <v>0</v>
      </c>
      <c r="W265" s="90">
        <f>IF(AH233="","-",IF(V265=0,U265,IFERROR((U265/V265)-1,"-")))</f>
        <v>0</v>
      </c>
      <c r="X265" s="201">
        <f t="shared" si="160"/>
        <v>0</v>
      </c>
      <c r="Y265" s="271"/>
      <c r="Z265" s="272"/>
      <c r="AA265" s="272"/>
      <c r="AB265" s="272"/>
      <c r="AC265" s="272"/>
      <c r="AD265" s="272"/>
      <c r="AE265" s="272"/>
      <c r="AF265" s="273"/>
      <c r="AH265" s="136">
        <v>0.58333333333335202</v>
      </c>
      <c r="AI265" s="136" t="s">
        <v>12</v>
      </c>
      <c r="AJ265" s="136" t="s">
        <v>120</v>
      </c>
      <c r="AK265" s="136" t="s">
        <v>12</v>
      </c>
      <c r="AL265" s="136" t="s">
        <v>120</v>
      </c>
      <c r="AM265" s="136" t="s">
        <v>12</v>
      </c>
      <c r="AN265" s="136" t="s">
        <v>120</v>
      </c>
      <c r="AO265" s="136" t="s">
        <v>12</v>
      </c>
      <c r="AP265" s="136" t="s">
        <v>120</v>
      </c>
      <c r="AQ265" s="136" t="s">
        <v>12</v>
      </c>
      <c r="AR265" s="136" t="s">
        <v>120</v>
      </c>
      <c r="AS265" s="136" t="s">
        <v>12</v>
      </c>
      <c r="AT265" s="136" t="s">
        <v>120</v>
      </c>
      <c r="AU265" s="136" t="s">
        <v>116</v>
      </c>
      <c r="AV265" s="136" t="s">
        <v>120</v>
      </c>
      <c r="AX265" s="136" t="str">
        <f>IF(AI233="","",IF(B265="","",B265))</f>
        <v>HR</v>
      </c>
      <c r="AY265" s="136" t="str">
        <f>IF(AI233="","",IF(C265="","",C265))</f>
        <v>-</v>
      </c>
      <c r="AZ265" s="136" t="str">
        <f>IF(AI233="","",IF(D265="","",D265))</f>
        <v>HR</v>
      </c>
      <c r="BA265" s="136" t="str">
        <f>IF(AI233="","",IF(E265="","",E265))</f>
        <v>-</v>
      </c>
      <c r="BB265" s="136" t="str">
        <f>IF(AI233="","",IF(F265="","",F265))</f>
        <v>HR</v>
      </c>
      <c r="BC265" s="136" t="str">
        <f>IF(AI233="","",IF(G265="","",G265))</f>
        <v>-</v>
      </c>
      <c r="BD265" s="136" t="str">
        <f>IF(AI233="","",IF(H265="","",H265))</f>
        <v>HR</v>
      </c>
      <c r="BE265" s="136" t="str">
        <f>IF(AI233="","",IF(I265="","",I265))</f>
        <v>-</v>
      </c>
      <c r="BF265" s="136" t="str">
        <f>IF(AI233="","",IF(J265="","",J265))</f>
        <v>HR</v>
      </c>
      <c r="BG265" s="136" t="str">
        <f>IF(AI233="","",IF(K265="","",K265))</f>
        <v>-</v>
      </c>
      <c r="BH265" s="136" t="str">
        <f>IF(AI233="","",IF(L265="","",L265))</f>
        <v>HR</v>
      </c>
      <c r="BI265" s="136" t="str">
        <f>IF(AI233="","",IF(M265="","",M265))</f>
        <v>-</v>
      </c>
      <c r="BJ265" s="136" t="str">
        <f>IF(AI233="","",IF(N265="","",N265))</f>
        <v>PV</v>
      </c>
      <c r="BK265" s="136" t="str">
        <f>IF(AI233="","",IF(O265="","",O265))</f>
        <v>-</v>
      </c>
      <c r="BM265" s="136" t="str">
        <f t="shared" si="167"/>
        <v>TG</v>
      </c>
      <c r="BN265" s="136" t="str">
        <f t="shared" si="155"/>
        <v>Trabalho de Grupo</v>
      </c>
      <c r="BO265" s="136" t="str">
        <f t="shared" si="155"/>
        <v/>
      </c>
      <c r="BP265" s="136">
        <f>(COUNTIFS(AX237:AX284,BM265,AY237:AY284,BO265)+COUNTIFS(AZ237:AZ284,BM265,BA237:BA284,BO265)+COUNTIFS(BB237:BB284,BM265,BC237:BC284,BO265)+COUNTIFS(BD237:BD284,BM265,BE237:BE284,BO265)+COUNTIFS(BF237:BF284,BM265,BG237:BG284,BO265)+COUNTIFS(BH237:BH284,BM265,BI237:BI284,BO265)+COUNTIFS(BJ237:BJ284,BM265,BK237:BK284,BO265))*0.5</f>
        <v>0</v>
      </c>
      <c r="BQ265" s="136" t="str">
        <f t="shared" si="156"/>
        <v>Trabalho de Grupo</v>
      </c>
      <c r="BR265" s="136" t="str">
        <f t="shared" si="156"/>
        <v/>
      </c>
      <c r="BS265" s="136" t="str">
        <f t="shared" si="157"/>
        <v>Trabalho de Grupo</v>
      </c>
      <c r="BT265" s="136">
        <f t="shared" si="163"/>
        <v>0</v>
      </c>
      <c r="BU265" s="136">
        <f t="shared" si="164"/>
        <v>0</v>
      </c>
      <c r="CA265" s="183">
        <f>'INFO BASE'!L328</f>
        <v>0</v>
      </c>
      <c r="CB265" s="183">
        <f>'INFO BASE'!M328</f>
        <v>0</v>
      </c>
      <c r="CR265" s="177" t="str">
        <f t="shared" si="145"/>
        <v>HR</v>
      </c>
      <c r="CS265" s="177" t="str">
        <f t="shared" si="146"/>
        <v>HR-</v>
      </c>
      <c r="CT265" s="177" t="str">
        <f t="shared" si="145"/>
        <v>HR</v>
      </c>
      <c r="CU265" s="177" t="str">
        <f t="shared" si="147"/>
        <v>HR-</v>
      </c>
      <c r="CV265" s="177" t="str">
        <f t="shared" si="145"/>
        <v>HR</v>
      </c>
      <c r="CW265" s="177" t="str">
        <f t="shared" si="148"/>
        <v>HR-</v>
      </c>
      <c r="CX265" s="177" t="str">
        <f t="shared" si="145"/>
        <v>HR</v>
      </c>
      <c r="CY265" s="177" t="str">
        <f t="shared" si="149"/>
        <v>HR-</v>
      </c>
      <c r="CZ265" s="177" t="str">
        <f t="shared" si="145"/>
        <v>HR</v>
      </c>
      <c r="DA265" s="177" t="str">
        <f t="shared" si="150"/>
        <v>HR-</v>
      </c>
      <c r="DB265" s="177" t="str">
        <f t="shared" si="145"/>
        <v>HR</v>
      </c>
      <c r="DC265" s="177" t="str">
        <f t="shared" si="151"/>
        <v>HR-</v>
      </c>
      <c r="DD265" s="177" t="str">
        <f t="shared" si="152"/>
        <v>PV</v>
      </c>
      <c r="DE265" s="177">
        <f t="shared" si="153"/>
        <v>0</v>
      </c>
    </row>
    <row r="266" spans="1:109" ht="18" customHeight="1" x14ac:dyDescent="0.3">
      <c r="A266" s="81">
        <v>0.60416666666668595</v>
      </c>
      <c r="B266" s="166" t="s">
        <v>12</v>
      </c>
      <c r="C266" s="130" t="s">
        <v>120</v>
      </c>
      <c r="D266" s="169" t="s">
        <v>12</v>
      </c>
      <c r="E266" s="130" t="s">
        <v>120</v>
      </c>
      <c r="F266" s="169" t="s">
        <v>12</v>
      </c>
      <c r="G266" s="130" t="s">
        <v>120</v>
      </c>
      <c r="H266" s="169" t="s">
        <v>12</v>
      </c>
      <c r="I266" s="130" t="s">
        <v>120</v>
      </c>
      <c r="J266" s="169" t="s">
        <v>12</v>
      </c>
      <c r="K266" s="130" t="s">
        <v>120</v>
      </c>
      <c r="L266" s="169" t="s">
        <v>116</v>
      </c>
      <c r="M266" s="130" t="s">
        <v>120</v>
      </c>
      <c r="N266" s="169" t="s">
        <v>12</v>
      </c>
      <c r="O266" s="154" t="s">
        <v>120</v>
      </c>
      <c r="P266" s="6">
        <v>0</v>
      </c>
      <c r="Q266" s="118" t="str">
        <f t="shared" si="168"/>
        <v>Trabalho de Grupo</v>
      </c>
      <c r="R266" s="105" t="str">
        <f t="shared" si="162"/>
        <v>AL</v>
      </c>
      <c r="S266" s="88">
        <f t="shared" si="159"/>
        <v>-1</v>
      </c>
      <c r="T266" s="89">
        <f>IF(VLOOKUP(Q266,'INFO BASE'!$B$40:$I$54,IF(R266='INFO BASE'!$B$32,3,IF(R266='INFO BASE'!$B$33,4,IF(R266='INFO BASE'!$B$34,5,IF(R266='INFO BASE'!$B$35,6,IF(R266='INFO BASE'!$B$36,7,IF(R266='INFO BASE'!$B$37,8,2)))))),0)=0,"",VLOOKUP(Q266,'INFO BASE'!$B$40:$I$54,IF(R266='INFO BASE'!$B$32,3,IF(R266='INFO BASE'!$B$33,4,IF(R266='INFO BASE'!$B$34,5,IF(R266='INFO BASE'!$B$35,6,IF(R266='INFO BASE'!$B$36,7,IF(R266='INFO BASE'!$B$37,8,2)))))),0))</f>
        <v>3</v>
      </c>
      <c r="U266" s="89">
        <f>(COUNTIFS(C237:C284,R266,B237:B284,R262)+COUNTIFS(E237:E284,R266,D237:D284,R262)+COUNTIFS(G237:G284,R266,F237:F284,R262)+COUNTIFS(I237:I284,R266,H237:H284,R262)+COUNTIFS(K237:K284,R266,J237:J284,R262)+COUNTIFS(M237:M284,R266,L237:L284,R262)+COUNTIFS(O237:O284,R266,N237:N284,R262))*0.5</f>
        <v>0</v>
      </c>
      <c r="V266" s="89">
        <f>(COUNTIFS(AI237:AI284,R262,AJ237:AJ284,R259)+COUNTIFS(AK237:AK284,R262,AL237:AL284,R259)+COUNTIFS(AM237:AM284,R262,AN237:AN284,R259)+COUNTIFS(AO237:AO284,R262,AP237:AP284,R259)+COUNTIFS(AQ237:AQ284,R262,AR237:AR284,R259)+COUNTIFS(AS237:AS284,R262,AT237:AT284,R259)+COUNTIFS(AU237:AU284,R262,AV237:AV284,R259))*0.5</f>
        <v>0</v>
      </c>
      <c r="W266" s="90">
        <f>IF(AH233="","-",IF(V266=0,U266,IFERROR((U266/V266)-1,"-")))</f>
        <v>0</v>
      </c>
      <c r="X266" s="201">
        <f t="shared" si="160"/>
        <v>0</v>
      </c>
      <c r="Y266" s="271"/>
      <c r="Z266" s="272"/>
      <c r="AA266" s="272"/>
      <c r="AB266" s="272"/>
      <c r="AC266" s="272"/>
      <c r="AD266" s="272"/>
      <c r="AE266" s="272"/>
      <c r="AF266" s="273"/>
      <c r="AH266" s="136">
        <v>0.60416666666668595</v>
      </c>
      <c r="AI266" s="136" t="s">
        <v>12</v>
      </c>
      <c r="AJ266" s="136" t="s">
        <v>120</v>
      </c>
      <c r="AK266" s="136" t="s">
        <v>12</v>
      </c>
      <c r="AL266" s="136" t="s">
        <v>120</v>
      </c>
      <c r="AM266" s="136" t="s">
        <v>12</v>
      </c>
      <c r="AN266" s="136" t="s">
        <v>120</v>
      </c>
      <c r="AO266" s="136" t="s">
        <v>12</v>
      </c>
      <c r="AP266" s="136" t="s">
        <v>120</v>
      </c>
      <c r="AQ266" s="136" t="s">
        <v>12</v>
      </c>
      <c r="AR266" s="136" t="s">
        <v>120</v>
      </c>
      <c r="AS266" s="136" t="s">
        <v>116</v>
      </c>
      <c r="AT266" s="136" t="s">
        <v>120</v>
      </c>
      <c r="AU266" s="136" t="s">
        <v>12</v>
      </c>
      <c r="AV266" s="136" t="s">
        <v>120</v>
      </c>
      <c r="AX266" s="136" t="str">
        <f>IF(AI233="","",IF(B266="","",B266))</f>
        <v>HR</v>
      </c>
      <c r="AY266" s="136" t="str">
        <f>IF(AI233="","",IF(C266="","",C266))</f>
        <v>-</v>
      </c>
      <c r="AZ266" s="136" t="str">
        <f>IF(AI233="","",IF(D266="","",D266))</f>
        <v>HR</v>
      </c>
      <c r="BA266" s="136" t="str">
        <f>IF(AI233="","",IF(E266="","",E266))</f>
        <v>-</v>
      </c>
      <c r="BB266" s="136" t="str">
        <f>IF(AI233="","",IF(F266="","",F266))</f>
        <v>HR</v>
      </c>
      <c r="BC266" s="136" t="str">
        <f>IF(AI233="","",IF(G266="","",G266))</f>
        <v>-</v>
      </c>
      <c r="BD266" s="136" t="str">
        <f>IF(AI233="","",IF(H266="","",H266))</f>
        <v>HR</v>
      </c>
      <c r="BE266" s="136" t="str">
        <f>IF(AI233="","",IF(I266="","",I266))</f>
        <v>-</v>
      </c>
      <c r="BF266" s="136" t="str">
        <f>IF(AI233="","",IF(J266="","",J266))</f>
        <v>HR</v>
      </c>
      <c r="BG266" s="136" t="str">
        <f>IF(AI233="","",IF(K266="","",K266))</f>
        <v>-</v>
      </c>
      <c r="BH266" s="136" t="str">
        <f>IF(AI233="","",IF(L266="","",L266))</f>
        <v>PV</v>
      </c>
      <c r="BI266" s="136" t="str">
        <f>IF(AI233="","",IF(M266="","",M266))</f>
        <v>-</v>
      </c>
      <c r="BJ266" s="136" t="str">
        <f>IF(AI233="","",IF(N266="","",N266))</f>
        <v>HR</v>
      </c>
      <c r="BK266" s="136" t="str">
        <f>IF(AI233="","",IF(O266="","",O266))</f>
        <v>-</v>
      </c>
      <c r="BM266" s="136" t="str">
        <f>BO266</f>
        <v>AT</v>
      </c>
      <c r="BN266" s="136" t="str">
        <f t="shared" si="155"/>
        <v>Aulas Teóricas</v>
      </c>
      <c r="BO266" s="136" t="str">
        <f t="shared" si="155"/>
        <v>AT</v>
      </c>
      <c r="BP266" s="136">
        <f>COUNTIFS(AX237:BK284,BO266)*0.5</f>
        <v>15</v>
      </c>
      <c r="BQ266" s="136" t="str">
        <f t="shared" si="156"/>
        <v>Aulas Teóricas</v>
      </c>
      <c r="BR266" s="136" t="str">
        <f t="shared" si="156"/>
        <v>AT</v>
      </c>
      <c r="BS266" s="136" t="str">
        <f t="shared" si="157"/>
        <v>Aulas Teóricas</v>
      </c>
      <c r="BT266" s="136">
        <f t="shared" si="163"/>
        <v>120</v>
      </c>
      <c r="BU266" s="136">
        <f t="shared" si="164"/>
        <v>120</v>
      </c>
      <c r="CA266" s="183">
        <f>'INFO BASE'!L329</f>
        <v>0</v>
      </c>
      <c r="CB266" s="183">
        <f>'INFO BASE'!M329</f>
        <v>0</v>
      </c>
      <c r="CR266" s="177" t="str">
        <f t="shared" si="145"/>
        <v>HR</v>
      </c>
      <c r="CS266" s="177" t="str">
        <f t="shared" si="146"/>
        <v>HR-</v>
      </c>
      <c r="CT266" s="177" t="str">
        <f t="shared" si="145"/>
        <v>HR</v>
      </c>
      <c r="CU266" s="177" t="str">
        <f t="shared" si="147"/>
        <v>HR-</v>
      </c>
      <c r="CV266" s="177" t="str">
        <f t="shared" si="145"/>
        <v>HR</v>
      </c>
      <c r="CW266" s="177" t="str">
        <f t="shared" si="148"/>
        <v>HR-</v>
      </c>
      <c r="CX266" s="177" t="str">
        <f t="shared" si="145"/>
        <v>HR</v>
      </c>
      <c r="CY266" s="177" t="str">
        <f t="shared" si="149"/>
        <v>HR-</v>
      </c>
      <c r="CZ266" s="177" t="str">
        <f t="shared" si="145"/>
        <v>HR</v>
      </c>
      <c r="DA266" s="177" t="str">
        <f t="shared" si="150"/>
        <v>HR-</v>
      </c>
      <c r="DB266" s="177" t="str">
        <f t="shared" si="145"/>
        <v>PV</v>
      </c>
      <c r="DC266" s="177">
        <f t="shared" si="151"/>
        <v>0</v>
      </c>
      <c r="DD266" s="177" t="str">
        <f t="shared" si="152"/>
        <v>HR</v>
      </c>
      <c r="DE266" s="177" t="str">
        <f t="shared" si="153"/>
        <v>HR-</v>
      </c>
    </row>
    <row r="267" spans="1:109" ht="18" customHeight="1" x14ac:dyDescent="0.3">
      <c r="A267" s="81">
        <v>0.62500000000001998</v>
      </c>
      <c r="B267" s="166" t="s">
        <v>128</v>
      </c>
      <c r="C267" s="130" t="s">
        <v>230</v>
      </c>
      <c r="D267" s="169" t="s">
        <v>8</v>
      </c>
      <c r="E267" s="130" t="s">
        <v>224</v>
      </c>
      <c r="F267" s="169" t="s">
        <v>128</v>
      </c>
      <c r="G267" s="130" t="s">
        <v>224</v>
      </c>
      <c r="H267" s="169" t="s">
        <v>128</v>
      </c>
      <c r="I267" s="130" t="s">
        <v>230</v>
      </c>
      <c r="J267" s="169" t="s">
        <v>128</v>
      </c>
      <c r="K267" s="130" t="s">
        <v>224</v>
      </c>
      <c r="L267" s="169" t="s">
        <v>116</v>
      </c>
      <c r="M267" s="130" t="s">
        <v>120</v>
      </c>
      <c r="N267" s="169" t="s">
        <v>12</v>
      </c>
      <c r="O267" s="154" t="s">
        <v>120</v>
      </c>
      <c r="P267" s="6">
        <v>0</v>
      </c>
      <c r="Q267" s="118" t="str">
        <f t="shared" si="168"/>
        <v>Trabalho de Grupo</v>
      </c>
      <c r="R267" s="105" t="str">
        <f t="shared" si="162"/>
        <v>CDI</v>
      </c>
      <c r="S267" s="88">
        <f t="shared" si="159"/>
        <v>-1</v>
      </c>
      <c r="T267" s="89">
        <f>IF(VLOOKUP(Q267,'INFO BASE'!$B$40:$I$54,IF(R267='INFO BASE'!$B$32,3,IF(R267='INFO BASE'!$B$33,4,IF(R267='INFO BASE'!$B$34,5,IF(R267='INFO BASE'!$B$35,6,IF(R267='INFO BASE'!$B$36,7,IF(R267='INFO BASE'!$B$37,8,2)))))),0)=0,"",VLOOKUP(Q267,'INFO BASE'!$B$40:$I$54,IF(R267='INFO BASE'!$B$32,3,IF(R267='INFO BASE'!$B$33,4,IF(R267='INFO BASE'!$B$34,5,IF(R267='INFO BASE'!$B$35,6,IF(R267='INFO BASE'!$B$36,7,IF(R267='INFO BASE'!$B$37,8,2)))))),0))</f>
        <v>3</v>
      </c>
      <c r="U267" s="89">
        <f>(COUNTIFS(C237:C284,R267,B237:B284,R262)+COUNTIFS(E237:E284,R267,D237:D284,R262)+COUNTIFS(G237:G284,R267,F237:F284,R262)+COUNTIFS(I237:I284,R267,H237:H284,R262)+COUNTIFS(K237:K284,R267,J237:J284,R262)+COUNTIFS(M237:M284,R267,L237:L284,R262)+COUNTIFS(O237:O284,R267,N237:N284,R262))*0.5</f>
        <v>0</v>
      </c>
      <c r="V267" s="89">
        <f>(COUNTIFS(AI237:AI284,R262,AJ237:AJ284,R260)+COUNTIFS(AK237:AK284,R262,AL237:AL284,R260)+COUNTIFS(AM237:AM284,R262,AN237:AN284,R260)+COUNTIFS(AO237:AO284,R262,AP237:AP284,R260)+COUNTIFS(AQ237:AQ284,R262,AR237:AR284,R260)+COUNTIFS(AS237:AS284,R262,AT237:AT284,R260)+COUNTIFS(AU237:AU284,R262,AV237:AV284,R260))*0.5</f>
        <v>0</v>
      </c>
      <c r="W267" s="90">
        <f>IF(AH233="","-",IF(V267=0,U267,IFERROR((U267/V267)-1,"-")))</f>
        <v>0</v>
      </c>
      <c r="X267" s="201">
        <f t="shared" si="160"/>
        <v>0</v>
      </c>
      <c r="Y267" s="271"/>
      <c r="Z267" s="272"/>
      <c r="AA267" s="272"/>
      <c r="AB267" s="272"/>
      <c r="AC267" s="272"/>
      <c r="AD267" s="272"/>
      <c r="AE267" s="272"/>
      <c r="AF267" s="273"/>
      <c r="AH267" s="136">
        <v>0.62500000000001998</v>
      </c>
      <c r="AI267" s="136" t="s">
        <v>128</v>
      </c>
      <c r="AJ267" s="136" t="s">
        <v>230</v>
      </c>
      <c r="AK267" s="136" t="s">
        <v>8</v>
      </c>
      <c r="AL267" s="136" t="s">
        <v>224</v>
      </c>
      <c r="AM267" s="136" t="s">
        <v>128</v>
      </c>
      <c r="AN267" s="136" t="s">
        <v>224</v>
      </c>
      <c r="AO267" s="136" t="s">
        <v>128</v>
      </c>
      <c r="AP267" s="136" t="s">
        <v>230</v>
      </c>
      <c r="AQ267" s="136" t="s">
        <v>128</v>
      </c>
      <c r="AR267" s="136" t="s">
        <v>231</v>
      </c>
      <c r="AS267" s="136" t="s">
        <v>116</v>
      </c>
      <c r="AT267" s="136" t="s">
        <v>120</v>
      </c>
      <c r="AU267" s="136" t="s">
        <v>12</v>
      </c>
      <c r="AV267" s="136" t="s">
        <v>120</v>
      </c>
      <c r="AX267" s="136" t="str">
        <f>IF(AI233="","",IF(B267="","",B267))</f>
        <v>EG</v>
      </c>
      <c r="AY267" s="136" t="str">
        <f>IF(AI233="","",IF(C267="","",C267))</f>
        <v>AL</v>
      </c>
      <c r="AZ267" s="136" t="str">
        <f>IF(AI233="","",IF(D267="","",D267))</f>
        <v>EA</v>
      </c>
      <c r="BA267" s="136" t="str">
        <f>IF(AI233="","",IF(E267="","",E267))</f>
        <v>FP</v>
      </c>
      <c r="BB267" s="136" t="str">
        <f>IF(AI233="","",IF(F267="","",F267))</f>
        <v>EG</v>
      </c>
      <c r="BC267" s="136" t="str">
        <f>IF(AI233="","",IF(G267="","",G267))</f>
        <v>FP</v>
      </c>
      <c r="BD267" s="136" t="str">
        <f>IF(AI233="","",IF(H267="","",H267))</f>
        <v>EG</v>
      </c>
      <c r="BE267" s="136" t="str">
        <f>IF(AI233="","",IF(I267="","",I267))</f>
        <v>AL</v>
      </c>
      <c r="BF267" s="136" t="str">
        <f>IF(AI233="","",IF(J267="","",J267))</f>
        <v>EG</v>
      </c>
      <c r="BG267" s="136" t="str">
        <f>IF(AI233="","",IF(K267="","",K267))</f>
        <v>FP</v>
      </c>
      <c r="BH267" s="136" t="str">
        <f>IF(AI233="","",IF(L267="","",L267))</f>
        <v>PV</v>
      </c>
      <c r="BI267" s="136" t="str">
        <f>IF(AI233="","",IF(M267="","",M267))</f>
        <v>-</v>
      </c>
      <c r="BJ267" s="136" t="str">
        <f>IF(AI233="","",IF(N267="","",N267))</f>
        <v>HR</v>
      </c>
      <c r="BK267" s="136" t="str">
        <f>IF(AI233="","",IF(O267="","",O267))</f>
        <v>-</v>
      </c>
      <c r="BM267" s="136" t="str">
        <f>BM266</f>
        <v>AT</v>
      </c>
      <c r="BN267" s="136" t="str">
        <f t="shared" si="155"/>
        <v>Aulas Teóricas</v>
      </c>
      <c r="BO267" s="136" t="str">
        <f t="shared" si="155"/>
        <v>FP</v>
      </c>
      <c r="BP267" s="136">
        <f>(COUNTIFS(AX237:AX284,BM267,AY237:AY284,BO267)+COUNTIFS(AZ237:AZ284,BM267,BA237:BA284,BO267)+COUNTIFS(BB237:BB284,BM267,BC237:BC284,BO267)+COUNTIFS(BD237:BD284,BM267,BE237:BE284,BO267)+COUNTIFS(BF237:BF284,BM267,BG237:BG284,BO267)+COUNTIFS(BH237:BH284,BM267,BI237:BI284,BO267)+COUNTIFS(BJ237:BJ284,BM267,BK237:BK284,BO267))*0.5</f>
        <v>3</v>
      </c>
      <c r="BQ267" s="136" t="str">
        <f t="shared" si="156"/>
        <v>Aulas Teóricas</v>
      </c>
      <c r="BR267" s="136" t="str">
        <f t="shared" si="156"/>
        <v>FP</v>
      </c>
      <c r="BS267" s="136" t="str">
        <f t="shared" si="157"/>
        <v>Aulas Teóricas</v>
      </c>
      <c r="BT267" s="136">
        <f t="shared" si="163"/>
        <v>24</v>
      </c>
      <c r="BU267" s="136">
        <f t="shared" si="164"/>
        <v>24</v>
      </c>
      <c r="CA267" s="183">
        <f>'INFO BASE'!L330</f>
        <v>0</v>
      </c>
      <c r="CB267" s="183">
        <f>'INFO BASE'!M330</f>
        <v>0</v>
      </c>
      <c r="CR267" s="177" t="str">
        <f t="shared" si="145"/>
        <v>EG</v>
      </c>
      <c r="CS267" s="177" t="str">
        <f t="shared" si="146"/>
        <v>EGAL</v>
      </c>
      <c r="CT267" s="177" t="str">
        <f t="shared" si="145"/>
        <v>EA</v>
      </c>
      <c r="CU267" s="177" t="str">
        <f t="shared" si="147"/>
        <v>EAFP</v>
      </c>
      <c r="CV267" s="177" t="str">
        <f t="shared" si="145"/>
        <v>EG</v>
      </c>
      <c r="CW267" s="177" t="str">
        <f t="shared" si="148"/>
        <v>EGFP</v>
      </c>
      <c r="CX267" s="177" t="str">
        <f t="shared" si="145"/>
        <v>EG</v>
      </c>
      <c r="CY267" s="177" t="str">
        <f t="shared" si="149"/>
        <v>EGAL</v>
      </c>
      <c r="CZ267" s="177" t="str">
        <f t="shared" si="145"/>
        <v>EG</v>
      </c>
      <c r="DA267" s="177" t="str">
        <f t="shared" si="150"/>
        <v>EGFP</v>
      </c>
      <c r="DB267" s="177" t="str">
        <f t="shared" si="145"/>
        <v>PV</v>
      </c>
      <c r="DC267" s="177">
        <f t="shared" si="151"/>
        <v>0</v>
      </c>
      <c r="DD267" s="177" t="str">
        <f t="shared" si="152"/>
        <v>HR</v>
      </c>
      <c r="DE267" s="177" t="str">
        <f t="shared" si="153"/>
        <v>HR-</v>
      </c>
    </row>
    <row r="268" spans="1:109" ht="18" customHeight="1" thickBot="1" x14ac:dyDescent="0.35">
      <c r="A268" s="81">
        <v>0.64583333333335402</v>
      </c>
      <c r="B268" s="166" t="s">
        <v>128</v>
      </c>
      <c r="C268" s="130" t="s">
        <v>230</v>
      </c>
      <c r="D268" s="169" t="s">
        <v>8</v>
      </c>
      <c r="E268" s="130" t="s">
        <v>224</v>
      </c>
      <c r="F268" s="169" t="s">
        <v>128</v>
      </c>
      <c r="G268" s="130" t="s">
        <v>224</v>
      </c>
      <c r="H268" s="169" t="s">
        <v>128</v>
      </c>
      <c r="I268" s="130" t="s">
        <v>230</v>
      </c>
      <c r="J268" s="169" t="s">
        <v>128</v>
      </c>
      <c r="K268" s="130" t="s">
        <v>224</v>
      </c>
      <c r="L268" s="169" t="s">
        <v>116</v>
      </c>
      <c r="M268" s="130" t="s">
        <v>120</v>
      </c>
      <c r="N268" s="169" t="s">
        <v>116</v>
      </c>
      <c r="O268" s="154" t="s">
        <v>120</v>
      </c>
      <c r="P268" s="6">
        <v>0</v>
      </c>
      <c r="Q268" s="120" t="str">
        <f t="shared" si="168"/>
        <v>Trabalho de Grupo</v>
      </c>
      <c r="R268" s="107" t="str">
        <f t="shared" si="162"/>
        <v/>
      </c>
      <c r="S268" s="94" t="str">
        <f t="shared" si="159"/>
        <v>-</v>
      </c>
      <c r="T268" s="95" t="str">
        <f>IF(VLOOKUP(Q268,'INFO BASE'!$B$40:$I$54,IF(R268='INFO BASE'!$B$32,3,IF(R268='INFO BASE'!$B$33,4,IF(R268='INFO BASE'!$B$34,5,IF(R268='INFO BASE'!$B$35,6,IF(R268='INFO BASE'!$B$36,7,IF(R268='INFO BASE'!$B$37,8,2)))))),0)=0,"",VLOOKUP(Q268,'INFO BASE'!$B$40:$I$54,IF(R268='INFO BASE'!$B$32,3,IF(R268='INFO BASE'!$B$33,4,IF(R268='INFO BASE'!$B$34,5,IF(R268='INFO BASE'!$B$35,6,IF(R268='INFO BASE'!$B$36,7,IF(R268='INFO BASE'!$B$37,8,2)))))),0))</f>
        <v/>
      </c>
      <c r="U268" s="95">
        <f>(COUNTIFS(C237:C284,R268,B237:B284,R262)+COUNTIFS(E237:E284,R268,D237:D284,R262)+COUNTIFS(G237:G284,R268,F237:F284,R262)+COUNTIFS(I237:I284,R268,H237:H284,R262)+COUNTIFS(K237:K284,R268,J237:J284,R262)+COUNTIFS(M237:M284,R268,L237:L284,R262)+COUNTIFS(O237:O284,R268,N237:N284,R262))*0.5</f>
        <v>0</v>
      </c>
      <c r="V268" s="95">
        <f>(COUNTIFS(AI237:AI284,R262,AJ237:AJ284,R261)+COUNTIFS(AK237:AK284,R262,AL237:AL284,R261)+COUNTIFS(AM237:AM284,R262,AN237:AN284,R261)+COUNTIFS(AO237:AO284,R262,AP237:AP284,R261)+COUNTIFS(AQ237:AQ284,R262,AR237:AR284,R261)+COUNTIFS(AS237:AS284,R262,AT237:AT284,R261)+COUNTIFS(AU237:AU284,R262,AV237:AV284,R261))*0.5</f>
        <v>0</v>
      </c>
      <c r="W268" s="96">
        <f>IF(AH233="","-",IF(V268=0,U268,IFERROR((U268/V268)-1,"-")))</f>
        <v>0</v>
      </c>
      <c r="X268" s="201">
        <f t="shared" si="160"/>
        <v>0</v>
      </c>
      <c r="Y268" s="274"/>
      <c r="Z268" s="275"/>
      <c r="AA268" s="275"/>
      <c r="AB268" s="275"/>
      <c r="AC268" s="275"/>
      <c r="AD268" s="275"/>
      <c r="AE268" s="275"/>
      <c r="AF268" s="276"/>
      <c r="AH268" s="136">
        <v>0.64583333333335402</v>
      </c>
      <c r="AI268" s="136" t="s">
        <v>128</v>
      </c>
      <c r="AJ268" s="136" t="s">
        <v>230</v>
      </c>
      <c r="AK268" s="136" t="s">
        <v>8</v>
      </c>
      <c r="AL268" s="136" t="s">
        <v>224</v>
      </c>
      <c r="AM268" s="136" t="s">
        <v>128</v>
      </c>
      <c r="AN268" s="136" t="s">
        <v>224</v>
      </c>
      <c r="AO268" s="136" t="s">
        <v>128</v>
      </c>
      <c r="AP268" s="136" t="s">
        <v>230</v>
      </c>
      <c r="AQ268" s="136" t="s">
        <v>128</v>
      </c>
      <c r="AR268" s="136" t="s">
        <v>231</v>
      </c>
      <c r="AS268" s="136" t="s">
        <v>116</v>
      </c>
      <c r="AT268" s="136" t="s">
        <v>120</v>
      </c>
      <c r="AU268" s="136" t="s">
        <v>116</v>
      </c>
      <c r="AV268" s="136" t="s">
        <v>120</v>
      </c>
      <c r="AX268" s="136" t="str">
        <f>IF(AI233="","",IF(B268="","",B268))</f>
        <v>EG</v>
      </c>
      <c r="AY268" s="136" t="str">
        <f>IF(AI233="","",IF(C268="","",C268))</f>
        <v>AL</v>
      </c>
      <c r="AZ268" s="136" t="str">
        <f>IF(AI233="","",IF(D268="","",D268))</f>
        <v>EA</v>
      </c>
      <c r="BA268" s="136" t="str">
        <f>IF(AI233="","",IF(E268="","",E268))</f>
        <v>FP</v>
      </c>
      <c r="BB268" s="136" t="str">
        <f>IF(AI233="","",IF(F268="","",F268))</f>
        <v>EG</v>
      </c>
      <c r="BC268" s="136" t="str">
        <f>IF(AI233="","",IF(G268="","",G268))</f>
        <v>FP</v>
      </c>
      <c r="BD268" s="136" t="str">
        <f>IF(AI233="","",IF(H268="","",H268))</f>
        <v>EG</v>
      </c>
      <c r="BE268" s="136" t="str">
        <f>IF(AI233="","",IF(I268="","",I268))</f>
        <v>AL</v>
      </c>
      <c r="BF268" s="136" t="str">
        <f>IF(AI233="","",IF(J268="","",J268))</f>
        <v>EG</v>
      </c>
      <c r="BG268" s="136" t="str">
        <f>IF(AI233="","",IF(K268="","",K268))</f>
        <v>FP</v>
      </c>
      <c r="BH268" s="136" t="str">
        <f>IF(AI233="","",IF(L268="","",L268))</f>
        <v>PV</v>
      </c>
      <c r="BI268" s="136" t="str">
        <f>IF(AI233="","",IF(M268="","",M268))</f>
        <v>-</v>
      </c>
      <c r="BJ268" s="136" t="str">
        <f>IF(AI233="","",IF(N268="","",N268))</f>
        <v>PV</v>
      </c>
      <c r="BK268" s="136" t="str">
        <f>IF(AI233="","",IF(O268="","",O268))</f>
        <v>-</v>
      </c>
      <c r="BM268" s="136" t="str">
        <f t="shared" ref="BM268:BM272" si="169">BM267</f>
        <v>AT</v>
      </c>
      <c r="BN268" s="136" t="str">
        <f t="shared" si="155"/>
        <v>Aulas Teóricas</v>
      </c>
      <c r="BO268" s="136" t="str">
        <f t="shared" si="155"/>
        <v>IEI</v>
      </c>
      <c r="BP268" s="136">
        <f>(COUNTIFS(AX237:AX284,BM268,AY237:AY284,BO268)+COUNTIFS(AZ237:AZ284,BM268,BA237:BA284,BO268)+COUNTIFS(BB237:BB284,BM268,BC237:BC284,BO268)+COUNTIFS(BD237:BD284,BM268,BE237:BE284,BO268)+COUNTIFS(BF237:BF284,BM268,BG237:BG284,BO268)+COUNTIFS(BH237:BH284,BM268,BI237:BI284,BO268)+COUNTIFS(BJ237:BJ284,BM268,BK237:BK284,BO268))*0.5</f>
        <v>3</v>
      </c>
      <c r="BQ268" s="136" t="str">
        <f t="shared" si="156"/>
        <v>Aulas Teóricas</v>
      </c>
      <c r="BR268" s="136" t="str">
        <f t="shared" si="156"/>
        <v>IEI</v>
      </c>
      <c r="BS268" s="136" t="str">
        <f t="shared" si="157"/>
        <v>Aulas Teóricas</v>
      </c>
      <c r="BT268" s="136">
        <f t="shared" si="163"/>
        <v>24</v>
      </c>
      <c r="BU268" s="136">
        <f t="shared" si="164"/>
        <v>24</v>
      </c>
      <c r="CA268" s="183">
        <f>'INFO BASE'!L331</f>
        <v>0</v>
      </c>
      <c r="CB268" s="183">
        <f>'INFO BASE'!M331</f>
        <v>0</v>
      </c>
      <c r="CR268" s="177" t="str">
        <f t="shared" si="145"/>
        <v>EG</v>
      </c>
      <c r="CS268" s="177" t="str">
        <f t="shared" si="146"/>
        <v>EGAL</v>
      </c>
      <c r="CT268" s="177" t="str">
        <f t="shared" si="145"/>
        <v>EA</v>
      </c>
      <c r="CU268" s="177" t="str">
        <f t="shared" si="147"/>
        <v>EAFP</v>
      </c>
      <c r="CV268" s="177" t="str">
        <f t="shared" si="145"/>
        <v>EG</v>
      </c>
      <c r="CW268" s="177" t="str">
        <f t="shared" si="148"/>
        <v>EGFP</v>
      </c>
      <c r="CX268" s="177" t="str">
        <f t="shared" si="145"/>
        <v>EG</v>
      </c>
      <c r="CY268" s="177" t="str">
        <f t="shared" si="149"/>
        <v>EGAL</v>
      </c>
      <c r="CZ268" s="177" t="str">
        <f t="shared" si="145"/>
        <v>EG</v>
      </c>
      <c r="DA268" s="177" t="str">
        <f t="shared" si="150"/>
        <v>EGFP</v>
      </c>
      <c r="DB268" s="177" t="str">
        <f t="shared" si="145"/>
        <v>PV</v>
      </c>
      <c r="DC268" s="177">
        <f t="shared" si="151"/>
        <v>0</v>
      </c>
      <c r="DD268" s="177" t="str">
        <f t="shared" si="152"/>
        <v>PV</v>
      </c>
      <c r="DE268" s="177">
        <f t="shared" si="153"/>
        <v>0</v>
      </c>
    </row>
    <row r="269" spans="1:109" ht="18" customHeight="1" x14ac:dyDescent="0.3">
      <c r="A269" s="81">
        <v>0.66666666666668795</v>
      </c>
      <c r="B269" s="166" t="s">
        <v>116</v>
      </c>
      <c r="C269" s="130" t="s">
        <v>120</v>
      </c>
      <c r="D269" s="169" t="s">
        <v>8</v>
      </c>
      <c r="E269" s="130" t="s">
        <v>224</v>
      </c>
      <c r="F269" s="169" t="s">
        <v>116</v>
      </c>
      <c r="G269" s="130" t="s">
        <v>120</v>
      </c>
      <c r="H269" s="169" t="s">
        <v>116</v>
      </c>
      <c r="I269" s="130" t="s">
        <v>120</v>
      </c>
      <c r="J269" s="169" t="s">
        <v>116</v>
      </c>
      <c r="K269" s="130" t="s">
        <v>120</v>
      </c>
      <c r="L269" s="169" t="s">
        <v>116</v>
      </c>
      <c r="M269" s="130" t="s">
        <v>120</v>
      </c>
      <c r="N269" s="169" t="s">
        <v>116</v>
      </c>
      <c r="O269" s="154" t="s">
        <v>120</v>
      </c>
      <c r="P269" s="6">
        <v>0</v>
      </c>
      <c r="Q269" s="121" t="str">
        <f>IF('INFO BASE'!$C$20="","",'INFO BASE'!$C$20)</f>
        <v>Aulas Teóricas</v>
      </c>
      <c r="R269" s="82" t="str">
        <f t="shared" si="162"/>
        <v>AT</v>
      </c>
      <c r="S269" s="83">
        <f t="shared" si="159"/>
        <v>0</v>
      </c>
      <c r="T269" s="84">
        <f>IF(VLOOKUP(Q269,'INFO BASE'!$B$40:$I$54,IF(R269='INFO BASE'!$B$32,3,IF(R269='INFO BASE'!$B$33,4,IF(R269='INFO BASE'!$B$34,5,IF(R269='INFO BASE'!$B$35,6,IF(R269='INFO BASE'!$B$36,7,IF(R269='INFO BASE'!$B$37,8,2)))))),0)=0,"",VLOOKUP(Q269,'INFO BASE'!$B$40:$I$54,IF(R269='INFO BASE'!$B$32,3,IF(R269='INFO BASE'!$B$33,4,IF(R269='INFO BASE'!$B$34,5,IF(R269='INFO BASE'!$B$35,6,IF(R269='INFO BASE'!$B$36,7,IF(R269='INFO BASE'!$B$37,8,2)))))),0))</f>
        <v>15</v>
      </c>
      <c r="U269" s="84">
        <f>IF(R269="","",COUNTIFS(SEMANA5,R269)*0.5)</f>
        <v>15</v>
      </c>
      <c r="V269" s="84">
        <f>IF(R269="","",COUNTIFS(AI237:AV284,R269)*0.5)</f>
        <v>15</v>
      </c>
      <c r="W269" s="85">
        <f>IF(AH233="","-",IF(V269=0,U269,IFERROR((U269/V269)-1,"-")))</f>
        <v>0</v>
      </c>
      <c r="X269" s="201">
        <f t="shared" si="160"/>
        <v>0</v>
      </c>
      <c r="Y269" s="277"/>
      <c r="Z269" s="278"/>
      <c r="AA269" s="278"/>
      <c r="AB269" s="278"/>
      <c r="AC269" s="278"/>
      <c r="AD269" s="278"/>
      <c r="AE269" s="278"/>
      <c r="AF269" s="279"/>
      <c r="AH269" s="136">
        <v>0.66666666666668795</v>
      </c>
      <c r="AI269" s="136" t="s">
        <v>116</v>
      </c>
      <c r="AJ269" s="136" t="s">
        <v>120</v>
      </c>
      <c r="AK269" s="136" t="s">
        <v>8</v>
      </c>
      <c r="AL269" s="136" t="s">
        <v>224</v>
      </c>
      <c r="AM269" s="136" t="s">
        <v>116</v>
      </c>
      <c r="AN269" s="136" t="s">
        <v>120</v>
      </c>
      <c r="AO269" s="136" t="s">
        <v>116</v>
      </c>
      <c r="AP269" s="136" t="s">
        <v>120</v>
      </c>
      <c r="AQ269" s="136" t="s">
        <v>116</v>
      </c>
      <c r="AR269" s="136" t="s">
        <v>120</v>
      </c>
      <c r="AS269" s="136" t="s">
        <v>116</v>
      </c>
      <c r="AT269" s="136" t="s">
        <v>120</v>
      </c>
      <c r="AU269" s="136" t="s">
        <v>116</v>
      </c>
      <c r="AV269" s="136" t="s">
        <v>120</v>
      </c>
      <c r="AX269" s="136" t="str">
        <f>IF(AI233="","",IF(B269="","",B269))</f>
        <v>PV</v>
      </c>
      <c r="AY269" s="136" t="str">
        <f>IF(AI233="","",IF(C269="","",C269))</f>
        <v>-</v>
      </c>
      <c r="AZ269" s="136" t="str">
        <f>IF(AI233="","",IF(D269="","",D269))</f>
        <v>EA</v>
      </c>
      <c r="BA269" s="136" t="str">
        <f>IF(AI233="","",IF(E269="","",E269))</f>
        <v>FP</v>
      </c>
      <c r="BB269" s="136" t="str">
        <f>IF(AI233="","",IF(F269="","",F269))</f>
        <v>PV</v>
      </c>
      <c r="BC269" s="136" t="str">
        <f>IF(AI233="","",IF(G269="","",G269))</f>
        <v>-</v>
      </c>
      <c r="BD269" s="136" t="str">
        <f>IF(AI233="","",IF(H269="","",H269))</f>
        <v>PV</v>
      </c>
      <c r="BE269" s="136" t="str">
        <f>IF(AI233="","",IF(I269="","",I269))</f>
        <v>-</v>
      </c>
      <c r="BF269" s="136" t="str">
        <f>IF(AI233="","",IF(J269="","",J269))</f>
        <v>PV</v>
      </c>
      <c r="BG269" s="136" t="str">
        <f>IF(AI233="","",IF(K269="","",K269))</f>
        <v>-</v>
      </c>
      <c r="BH269" s="136" t="str">
        <f>IF(AI233="","",IF(L269="","",L269))</f>
        <v>PV</v>
      </c>
      <c r="BI269" s="136" t="str">
        <f>IF(AI233="","",IF(M269="","",M269))</f>
        <v>-</v>
      </c>
      <c r="BJ269" s="136" t="str">
        <f>IF(AI233="","",IF(N269="","",N269))</f>
        <v>PV</v>
      </c>
      <c r="BK269" s="136" t="str">
        <f>IF(AI233="","",IF(O269="","",O269))</f>
        <v>-</v>
      </c>
      <c r="BM269" s="136" t="str">
        <f t="shared" si="169"/>
        <v>AT</v>
      </c>
      <c r="BN269" s="136" t="str">
        <f t="shared" si="155"/>
        <v>Aulas Teóricas</v>
      </c>
      <c r="BO269" s="136" t="str">
        <f t="shared" si="155"/>
        <v>IAC</v>
      </c>
      <c r="BP269" s="136">
        <f>(COUNTIFS(AX237:AX284,BM269,AY237:AY284,BO269)+COUNTIFS(AZ237:AZ284,BM269,BA237:BA284,BO269)+COUNTIFS(BB237:BB284,BM269,BC237:BC284,BO269)+COUNTIFS(BD237:BD284,BM269,BE237:BE284,BO269)+COUNTIFS(BF237:BF284,BM269,BG237:BG284,BO269)+COUNTIFS(BH237:BH284,BM269,BI237:BI284,BO269)+COUNTIFS(BJ237:BJ284,BM269,BK237:BK284,BO269))*0.5</f>
        <v>3</v>
      </c>
      <c r="BQ269" s="136" t="str">
        <f t="shared" si="156"/>
        <v>Aulas Teóricas</v>
      </c>
      <c r="BR269" s="136" t="str">
        <f t="shared" si="156"/>
        <v>IAC</v>
      </c>
      <c r="BS269" s="136" t="str">
        <f t="shared" si="157"/>
        <v>Aulas Teóricas</v>
      </c>
      <c r="BT269" s="136">
        <f t="shared" si="163"/>
        <v>24</v>
      </c>
      <c r="BU269" s="136">
        <f t="shared" si="164"/>
        <v>24</v>
      </c>
      <c r="CA269" s="183">
        <f>'INFO BASE'!L332</f>
        <v>0</v>
      </c>
      <c r="CB269" s="183">
        <f>'INFO BASE'!M332</f>
        <v>0</v>
      </c>
      <c r="CR269" s="177" t="str">
        <f t="shared" si="145"/>
        <v>PV</v>
      </c>
      <c r="CS269" s="177">
        <f t="shared" si="146"/>
        <v>0</v>
      </c>
      <c r="CT269" s="177" t="str">
        <f t="shared" si="145"/>
        <v>EA</v>
      </c>
      <c r="CU269" s="177" t="str">
        <f t="shared" si="147"/>
        <v>EAFP</v>
      </c>
      <c r="CV269" s="177" t="str">
        <f t="shared" si="145"/>
        <v>PV</v>
      </c>
      <c r="CW269" s="177">
        <f t="shared" si="148"/>
        <v>0</v>
      </c>
      <c r="CX269" s="177" t="str">
        <f t="shared" si="145"/>
        <v>PV</v>
      </c>
      <c r="CY269" s="177">
        <f t="shared" si="149"/>
        <v>0</v>
      </c>
      <c r="CZ269" s="177" t="str">
        <f t="shared" si="145"/>
        <v>PV</v>
      </c>
      <c r="DA269" s="177">
        <f t="shared" si="150"/>
        <v>0</v>
      </c>
      <c r="DB269" s="177" t="str">
        <f t="shared" si="145"/>
        <v>PV</v>
      </c>
      <c r="DC269" s="177">
        <f t="shared" si="151"/>
        <v>0</v>
      </c>
      <c r="DD269" s="177" t="str">
        <f t="shared" si="152"/>
        <v>PV</v>
      </c>
      <c r="DE269" s="177">
        <f t="shared" si="153"/>
        <v>0</v>
      </c>
    </row>
    <row r="270" spans="1:109" ht="18" customHeight="1" x14ac:dyDescent="0.3">
      <c r="A270" s="81">
        <v>0.68750000000002198</v>
      </c>
      <c r="B270" s="166" t="s">
        <v>116</v>
      </c>
      <c r="C270" s="130" t="s">
        <v>120</v>
      </c>
      <c r="D270" s="169" t="s">
        <v>8</v>
      </c>
      <c r="E270" s="130" t="s">
        <v>224</v>
      </c>
      <c r="F270" s="169" t="s">
        <v>116</v>
      </c>
      <c r="G270" s="130" t="s">
        <v>120</v>
      </c>
      <c r="H270" s="169" t="s">
        <v>116</v>
      </c>
      <c r="I270" s="130" t="s">
        <v>120</v>
      </c>
      <c r="J270" s="169" t="s">
        <v>116</v>
      </c>
      <c r="K270" s="130" t="s">
        <v>120</v>
      </c>
      <c r="L270" s="169" t="s">
        <v>116</v>
      </c>
      <c r="M270" s="130" t="s">
        <v>120</v>
      </c>
      <c r="N270" s="169" t="s">
        <v>116</v>
      </c>
      <c r="O270" s="154" t="s">
        <v>120</v>
      </c>
      <c r="P270" s="6">
        <v>0</v>
      </c>
      <c r="Q270" s="122" t="str">
        <f t="shared" ref="Q270:Q275" si="170">Q269</f>
        <v>Aulas Teóricas</v>
      </c>
      <c r="R270" s="105" t="str">
        <f t="shared" si="162"/>
        <v>FP</v>
      </c>
      <c r="S270" s="88">
        <f t="shared" si="159"/>
        <v>0</v>
      </c>
      <c r="T270" s="89">
        <f>IF(VLOOKUP(Q270,'INFO BASE'!$B$40:$I$54,IF(R270='INFO BASE'!$B$32,3,IF(R270='INFO BASE'!$B$33,4,IF(R270='INFO BASE'!$B$34,5,IF(R270='INFO BASE'!$B$35,6,IF(R270='INFO BASE'!$B$36,7,IF(R270='INFO BASE'!$B$37,8,2)))))),0)=0,"",VLOOKUP(Q270,'INFO BASE'!$B$40:$I$54,IF(R270='INFO BASE'!$B$32,3,IF(R270='INFO BASE'!$B$33,4,IF(R270='INFO BASE'!$B$34,5,IF(R270='INFO BASE'!$B$35,6,IF(R270='INFO BASE'!$B$36,7,IF(R270='INFO BASE'!$B$37,8,2)))))),0))</f>
        <v>3</v>
      </c>
      <c r="U270" s="89">
        <f>(COUNTIFS(C237:C284,R270,B237:B284,R269)+COUNTIFS(E237:E284,R270,D237:D284,R269)+COUNTIFS(G237:G284,R270,F237:F284,R269)+COUNTIFS(I237:I284,R270,H237:H284,R269)+COUNTIFS(K237:K284,R270,J237:J284,R269)+COUNTIFS(M237:M284,R270,L237:L284,R269)+COUNTIFS(O237:O284,R270,N237:N284,R269))*0.5</f>
        <v>3</v>
      </c>
      <c r="V270" s="89">
        <f>(COUNTIFS(AI237:AI284,R269,AJ237:AJ284,R263)+COUNTIFS(AK237:AK284,R269,AL237:AL284,R263)+COUNTIFS(AM237:AM284,R269,AN237:AN284,R263)+COUNTIFS(AO237:AO284,R269,AP237:AP284,R263)+COUNTIFS(AQ237:AQ284,R269,AR237:AR284,R263)+COUNTIFS(AS237:AS284,R269,AT237:AT284,R263)+COUNTIFS(AU237:AU284,R269,AV237:AV284,R263))*0.5</f>
        <v>3</v>
      </c>
      <c r="W270" s="90">
        <f>IF(AH233="","-",IF(V270=0,U270,IFERROR((U270/V270)-1,"-")))</f>
        <v>0</v>
      </c>
      <c r="X270" s="201">
        <f t="shared" si="160"/>
        <v>0</v>
      </c>
      <c r="Y270" s="271"/>
      <c r="Z270" s="272"/>
      <c r="AA270" s="272"/>
      <c r="AB270" s="272"/>
      <c r="AC270" s="272"/>
      <c r="AD270" s="272"/>
      <c r="AE270" s="272"/>
      <c r="AF270" s="273"/>
      <c r="AH270" s="136">
        <v>0.68750000000002198</v>
      </c>
      <c r="AI270" s="136" t="s">
        <v>116</v>
      </c>
      <c r="AJ270" s="136" t="s">
        <v>120</v>
      </c>
      <c r="AK270" s="136" t="s">
        <v>8</v>
      </c>
      <c r="AL270" s="136" t="s">
        <v>224</v>
      </c>
      <c r="AM270" s="136" t="s">
        <v>116</v>
      </c>
      <c r="AN270" s="136" t="s">
        <v>120</v>
      </c>
      <c r="AO270" s="136" t="s">
        <v>116</v>
      </c>
      <c r="AP270" s="136" t="s">
        <v>120</v>
      </c>
      <c r="AQ270" s="136" t="s">
        <v>116</v>
      </c>
      <c r="AR270" s="136" t="s">
        <v>120</v>
      </c>
      <c r="AS270" s="136" t="s">
        <v>116</v>
      </c>
      <c r="AT270" s="136" t="s">
        <v>120</v>
      </c>
      <c r="AU270" s="136" t="s">
        <v>116</v>
      </c>
      <c r="AV270" s="136" t="s">
        <v>120</v>
      </c>
      <c r="AX270" s="136" t="str">
        <f>IF(AI233="","",IF(B270="","",B270))</f>
        <v>PV</v>
      </c>
      <c r="AY270" s="136" t="str">
        <f>IF(AI233="","",IF(C270="","",C270))</f>
        <v>-</v>
      </c>
      <c r="AZ270" s="136" t="str">
        <f>IF(AI233="","",IF(D270="","",D270))</f>
        <v>EA</v>
      </c>
      <c r="BA270" s="136" t="str">
        <f>IF(AI233="","",IF(E270="","",E270))</f>
        <v>FP</v>
      </c>
      <c r="BB270" s="136" t="str">
        <f>IF(AI233="","",IF(F270="","",F270))</f>
        <v>PV</v>
      </c>
      <c r="BC270" s="136" t="str">
        <f>IF(AI233="","",IF(G270="","",G270))</f>
        <v>-</v>
      </c>
      <c r="BD270" s="136" t="str">
        <f>IF(AI233="","",IF(H270="","",H270))</f>
        <v>PV</v>
      </c>
      <c r="BE270" s="136" t="str">
        <f>IF(AI233="","",IF(I270="","",I270))</f>
        <v>-</v>
      </c>
      <c r="BF270" s="136" t="str">
        <f>IF(AI233="","",IF(J270="","",J270))</f>
        <v>PV</v>
      </c>
      <c r="BG270" s="136" t="str">
        <f>IF(AI233="","",IF(K270="","",K270))</f>
        <v>-</v>
      </c>
      <c r="BH270" s="136" t="str">
        <f>IF(AI233="","",IF(L270="","",L270))</f>
        <v>PV</v>
      </c>
      <c r="BI270" s="136" t="str">
        <f>IF(AI233="","",IF(M270="","",M270))</f>
        <v>-</v>
      </c>
      <c r="BJ270" s="136" t="str">
        <f>IF(AI233="","",IF(N270="","",N270))</f>
        <v>PV</v>
      </c>
      <c r="BK270" s="136" t="str">
        <f>IF(AI233="","",IF(O270="","",O270))</f>
        <v>-</v>
      </c>
      <c r="BM270" s="136" t="str">
        <f t="shared" si="169"/>
        <v>AT</v>
      </c>
      <c r="BN270" s="136" t="str">
        <f t="shared" si="155"/>
        <v>Aulas Teóricas</v>
      </c>
      <c r="BO270" s="136" t="str">
        <f t="shared" si="155"/>
        <v>AL</v>
      </c>
      <c r="BP270" s="136">
        <f>(COUNTIFS(AX237:AX284,BM270,AY237:AY284,BO270)+COUNTIFS(AZ237:AZ284,BM270,BA237:BA284,BO270)+COUNTIFS(BB237:BB284,BM270,BC237:BC284,BO270)+COUNTIFS(BD237:BD284,BM270,BE237:BE284,BO270)+COUNTIFS(BF237:BF284,BM270,BG237:BG284,BO270)+COUNTIFS(BH237:BH284,BM270,BI237:BI284,BO270)+COUNTIFS(BJ237:BJ284,BM270,BK237:BK284,BO270))*0.5</f>
        <v>3</v>
      </c>
      <c r="BQ270" s="136" t="str">
        <f t="shared" si="156"/>
        <v>Aulas Teóricas</v>
      </c>
      <c r="BR270" s="136" t="str">
        <f t="shared" si="156"/>
        <v>AL</v>
      </c>
      <c r="BS270" s="136" t="str">
        <f t="shared" si="157"/>
        <v>Aulas Teóricas</v>
      </c>
      <c r="BT270" s="136">
        <f t="shared" si="163"/>
        <v>24</v>
      </c>
      <c r="BU270" s="136">
        <f t="shared" si="164"/>
        <v>24</v>
      </c>
      <c r="CA270" s="183">
        <f>'INFO BASE'!L333</f>
        <v>0</v>
      </c>
      <c r="CB270" s="183">
        <f>'INFO BASE'!M333</f>
        <v>0</v>
      </c>
      <c r="CR270" s="177" t="str">
        <f t="shared" si="145"/>
        <v>PV</v>
      </c>
      <c r="CS270" s="177">
        <f t="shared" si="146"/>
        <v>0</v>
      </c>
      <c r="CT270" s="177" t="str">
        <f t="shared" si="145"/>
        <v>EA</v>
      </c>
      <c r="CU270" s="177" t="str">
        <f t="shared" si="147"/>
        <v>EAFP</v>
      </c>
      <c r="CV270" s="177" t="str">
        <f t="shared" si="145"/>
        <v>PV</v>
      </c>
      <c r="CW270" s="177">
        <f t="shared" si="148"/>
        <v>0</v>
      </c>
      <c r="CX270" s="177" t="str">
        <f t="shared" si="145"/>
        <v>PV</v>
      </c>
      <c r="CY270" s="177">
        <f t="shared" si="149"/>
        <v>0</v>
      </c>
      <c r="CZ270" s="177" t="str">
        <f t="shared" si="145"/>
        <v>PV</v>
      </c>
      <c r="DA270" s="177">
        <f t="shared" si="150"/>
        <v>0</v>
      </c>
      <c r="DB270" s="177" t="str">
        <f t="shared" si="145"/>
        <v>PV</v>
      </c>
      <c r="DC270" s="177">
        <f t="shared" si="151"/>
        <v>0</v>
      </c>
      <c r="DD270" s="177" t="str">
        <f t="shared" si="152"/>
        <v>PV</v>
      </c>
      <c r="DE270" s="177">
        <f t="shared" si="153"/>
        <v>0</v>
      </c>
    </row>
    <row r="271" spans="1:109" ht="18" customHeight="1" x14ac:dyDescent="0.3">
      <c r="A271" s="81">
        <v>0.70833333333335602</v>
      </c>
      <c r="B271" s="166" t="s">
        <v>11</v>
      </c>
      <c r="C271" s="130" t="s">
        <v>120</v>
      </c>
      <c r="D271" s="169" t="s">
        <v>11</v>
      </c>
      <c r="E271" s="130" t="s">
        <v>120</v>
      </c>
      <c r="F271" s="169" t="s">
        <v>11</v>
      </c>
      <c r="G271" s="130" t="s">
        <v>120</v>
      </c>
      <c r="H271" s="169" t="s">
        <v>11</v>
      </c>
      <c r="I271" s="130" t="s">
        <v>120</v>
      </c>
      <c r="J271" s="169" t="s">
        <v>11</v>
      </c>
      <c r="K271" s="130" t="s">
        <v>120</v>
      </c>
      <c r="L271" s="169" t="s">
        <v>116</v>
      </c>
      <c r="M271" s="130" t="s">
        <v>120</v>
      </c>
      <c r="N271" s="169" t="s">
        <v>8</v>
      </c>
      <c r="O271" s="154" t="s">
        <v>226</v>
      </c>
      <c r="P271" s="6">
        <v>0</v>
      </c>
      <c r="Q271" s="122" t="str">
        <f t="shared" si="170"/>
        <v>Aulas Teóricas</v>
      </c>
      <c r="R271" s="105" t="str">
        <f t="shared" si="162"/>
        <v>IEI</v>
      </c>
      <c r="S271" s="88">
        <f t="shared" si="159"/>
        <v>0</v>
      </c>
      <c r="T271" s="106">
        <f>IF(VLOOKUP(Q271,'INFO BASE'!$B$40:$I$54,IF(R271='INFO BASE'!$B$32,3,IF(R271='INFO BASE'!$B$33,4,IF(R271='INFO BASE'!$B$34,5,IF(R271='INFO BASE'!$B$35,6,IF(R271='INFO BASE'!$B$36,7,IF(R271='INFO BASE'!$B$37,8,2)))))),0)=0,"",VLOOKUP(Q271,'INFO BASE'!$B$40:$I$54,IF(R271='INFO BASE'!$B$32,3,IF(R271='INFO BASE'!$B$33,4,IF(R271='INFO BASE'!$B$34,5,IF(R271='INFO BASE'!$B$35,6,IF(R271='INFO BASE'!$B$36,7,IF(R271='INFO BASE'!$B$37,8,2)))))),0))</f>
        <v>3</v>
      </c>
      <c r="U271" s="106">
        <f>(COUNTIFS(C237:C284,R271,B237:B284,R269)+COUNTIFS(E237:E284,R271,D237:D284,R269)+COUNTIFS(G237:G284,R271,F237:F284,R269)+COUNTIFS(I237:I284,R271,H237:H284,R269)+COUNTIFS(K237:K284,R271,J237:J284,R269)+COUNTIFS(M237:M284,R271,L237:L284,R269)+COUNTIFS(O237:O284,R271,N237:N284,R269))*0.5</f>
        <v>3</v>
      </c>
      <c r="V271" s="89">
        <f>(COUNTIFS(AI237:AI284,R269,AJ237:AJ284,R264)+COUNTIFS(AK237:AK284,R269,AL237:AL284,R264)+COUNTIFS(AM237:AM284,R269,AN237:AN284,R264)+COUNTIFS(AO237:AO284,R269,AP237:AP284,R264)+COUNTIFS(AQ237:AQ284,R269,AR237:AR284,R264)+COUNTIFS(AS237:AS284,R269,AT237:AT284,R264)+COUNTIFS(AU237:AU284,R269,AV237:AV284,R264))*0.5</f>
        <v>3</v>
      </c>
      <c r="W271" s="90">
        <f>IF(AH233="","-",IF(V271=0,U271,IFERROR((U271/V271)-1,"-")))</f>
        <v>0</v>
      </c>
      <c r="X271" s="201">
        <f t="shared" si="160"/>
        <v>0</v>
      </c>
      <c r="Y271" s="271"/>
      <c r="Z271" s="272"/>
      <c r="AA271" s="272"/>
      <c r="AB271" s="272"/>
      <c r="AC271" s="272"/>
      <c r="AD271" s="272"/>
      <c r="AE271" s="272"/>
      <c r="AF271" s="273"/>
      <c r="AH271" s="136">
        <v>0.70833333333335602</v>
      </c>
      <c r="AI271" s="136" t="s">
        <v>11</v>
      </c>
      <c r="AJ271" s="136" t="s">
        <v>120</v>
      </c>
      <c r="AK271" s="136" t="s">
        <v>11</v>
      </c>
      <c r="AL271" s="136" t="s">
        <v>120</v>
      </c>
      <c r="AM271" s="136" t="s">
        <v>11</v>
      </c>
      <c r="AN271" s="136" t="s">
        <v>120</v>
      </c>
      <c r="AO271" s="136" t="s">
        <v>11</v>
      </c>
      <c r="AP271" s="136" t="s">
        <v>120</v>
      </c>
      <c r="AQ271" s="136" t="s">
        <v>11</v>
      </c>
      <c r="AR271" s="136" t="s">
        <v>120</v>
      </c>
      <c r="AS271" s="136" t="s">
        <v>116</v>
      </c>
      <c r="AT271" s="136" t="s">
        <v>120</v>
      </c>
      <c r="AU271" s="136" t="s">
        <v>8</v>
      </c>
      <c r="AV271" s="136" t="s">
        <v>226</v>
      </c>
      <c r="AX271" s="136" t="str">
        <f>IF(AI233="","",IF(B271="","",B271))</f>
        <v>HD</v>
      </c>
      <c r="AY271" s="136" t="str">
        <f>IF(AI233="","",IF(C271="","",C271))</f>
        <v>-</v>
      </c>
      <c r="AZ271" s="136" t="str">
        <f>IF(AI233="","",IF(D271="","",D271))</f>
        <v>HD</v>
      </c>
      <c r="BA271" s="136" t="str">
        <f>IF(AI233="","",IF(E271="","",E271))</f>
        <v>-</v>
      </c>
      <c r="BB271" s="136" t="str">
        <f>IF(AI233="","",IF(F271="","",F271))</f>
        <v>HD</v>
      </c>
      <c r="BC271" s="136" t="str">
        <f>IF(AI233="","",IF(G271="","",G271))</f>
        <v>-</v>
      </c>
      <c r="BD271" s="136" t="str">
        <f>IF(AI233="","",IF(H271="","",H271))</f>
        <v>HD</v>
      </c>
      <c r="BE271" s="136" t="str">
        <f>IF(AI233="","",IF(I271="","",I271))</f>
        <v>-</v>
      </c>
      <c r="BF271" s="136" t="str">
        <f>IF(AI233="","",IF(J271="","",J271))</f>
        <v>HD</v>
      </c>
      <c r="BG271" s="136" t="str">
        <f>IF(AI233="","",IF(K271="","",K271))</f>
        <v>-</v>
      </c>
      <c r="BH271" s="136" t="str">
        <f>IF(AI233="","",IF(L271="","",L271))</f>
        <v>PV</v>
      </c>
      <c r="BI271" s="136" t="str">
        <f>IF(AI233="","",IF(M271="","",M271))</f>
        <v>-</v>
      </c>
      <c r="BJ271" s="136" t="str">
        <f>IF(AI233="","",IF(N271="","",N271))</f>
        <v>EA</v>
      </c>
      <c r="BK271" s="136" t="str">
        <f>IF(AI233="","",IF(O271="","",O271))</f>
        <v>IEI</v>
      </c>
      <c r="BM271" s="136" t="str">
        <f t="shared" si="169"/>
        <v>AT</v>
      </c>
      <c r="BN271" s="136" t="str">
        <f t="shared" si="155"/>
        <v>Aulas Teóricas</v>
      </c>
      <c r="BO271" s="136" t="str">
        <f t="shared" si="155"/>
        <v>CDI</v>
      </c>
      <c r="BP271" s="136">
        <f>(COUNTIFS(AX237:AX284,BM271,AY237:AY284,BO271)+COUNTIFS(AZ237:AZ284,BM271,BA237:BA284,BO271)+COUNTIFS(BB237:BB284,BM271,BC237:BC284,BO271)+COUNTIFS(BD237:BD284,BM271,BE237:BE284,BO271)+COUNTIFS(BF237:BF284,BM271,BG237:BG284,BO271)+COUNTIFS(BH237:BH284,BM271,BI237:BI284,BO271)+COUNTIFS(BJ237:BJ284,BM271,BK237:BK284,BO271))*0.5</f>
        <v>3</v>
      </c>
      <c r="BQ271" s="136" t="str">
        <f t="shared" si="156"/>
        <v>Aulas Teóricas</v>
      </c>
      <c r="BR271" s="136" t="str">
        <f t="shared" si="156"/>
        <v>CDI</v>
      </c>
      <c r="BS271" s="136" t="str">
        <f t="shared" si="157"/>
        <v>Aulas Teóricas</v>
      </c>
      <c r="BT271" s="136">
        <f t="shared" si="163"/>
        <v>24</v>
      </c>
      <c r="BU271" s="136">
        <f t="shared" si="164"/>
        <v>24</v>
      </c>
      <c r="CA271" s="183">
        <f>'INFO BASE'!L334</f>
        <v>0</v>
      </c>
      <c r="CB271" s="183">
        <f>'INFO BASE'!M334</f>
        <v>0</v>
      </c>
      <c r="CR271" s="177" t="str">
        <f t="shared" si="145"/>
        <v>HD</v>
      </c>
      <c r="CS271" s="177" t="str">
        <f t="shared" si="146"/>
        <v>HD-</v>
      </c>
      <c r="CT271" s="177" t="str">
        <f t="shared" si="145"/>
        <v>HD</v>
      </c>
      <c r="CU271" s="177" t="str">
        <f t="shared" si="147"/>
        <v>HD-</v>
      </c>
      <c r="CV271" s="177" t="str">
        <f t="shared" si="145"/>
        <v>HD</v>
      </c>
      <c r="CW271" s="177" t="str">
        <f t="shared" si="148"/>
        <v>HD-</v>
      </c>
      <c r="CX271" s="177" t="str">
        <f t="shared" si="145"/>
        <v>HD</v>
      </c>
      <c r="CY271" s="177" t="str">
        <f t="shared" si="149"/>
        <v>HD-</v>
      </c>
      <c r="CZ271" s="177" t="str">
        <f t="shared" si="145"/>
        <v>HD</v>
      </c>
      <c r="DA271" s="177" t="str">
        <f t="shared" si="150"/>
        <v>HD-</v>
      </c>
      <c r="DB271" s="177" t="str">
        <f t="shared" si="145"/>
        <v>PV</v>
      </c>
      <c r="DC271" s="177">
        <f t="shared" si="151"/>
        <v>0</v>
      </c>
      <c r="DD271" s="177" t="str">
        <f t="shared" si="152"/>
        <v>EA</v>
      </c>
      <c r="DE271" s="177" t="str">
        <f t="shared" si="153"/>
        <v>EAIEI</v>
      </c>
    </row>
    <row r="272" spans="1:109" ht="18" customHeight="1" x14ac:dyDescent="0.3">
      <c r="A272" s="81">
        <v>0.72916666666669006</v>
      </c>
      <c r="B272" s="166" t="s">
        <v>11</v>
      </c>
      <c r="C272" s="130" t="s">
        <v>120</v>
      </c>
      <c r="D272" s="169" t="s">
        <v>11</v>
      </c>
      <c r="E272" s="130" t="s">
        <v>120</v>
      </c>
      <c r="F272" s="169" t="s">
        <v>11</v>
      </c>
      <c r="G272" s="130" t="s">
        <v>120</v>
      </c>
      <c r="H272" s="169" t="s">
        <v>11</v>
      </c>
      <c r="I272" s="130" t="s">
        <v>120</v>
      </c>
      <c r="J272" s="169" t="s">
        <v>11</v>
      </c>
      <c r="K272" s="130" t="s">
        <v>120</v>
      </c>
      <c r="L272" s="169" t="s">
        <v>116</v>
      </c>
      <c r="M272" s="130" t="s">
        <v>120</v>
      </c>
      <c r="N272" s="169" t="s">
        <v>8</v>
      </c>
      <c r="O272" s="154" t="s">
        <v>226</v>
      </c>
      <c r="P272" s="6">
        <v>0</v>
      </c>
      <c r="Q272" s="123" t="str">
        <f t="shared" si="170"/>
        <v>Aulas Teóricas</v>
      </c>
      <c r="R272" s="105" t="str">
        <f t="shared" si="162"/>
        <v>IAC</v>
      </c>
      <c r="S272" s="88">
        <f t="shared" si="159"/>
        <v>0</v>
      </c>
      <c r="T272" s="106">
        <f>IF(VLOOKUP(Q272,'INFO BASE'!$B$40:$I$54,IF(R272='INFO BASE'!$B$32,3,IF(R272='INFO BASE'!$B$33,4,IF(R272='INFO BASE'!$B$34,5,IF(R272='INFO BASE'!$B$35,6,IF(R272='INFO BASE'!$B$36,7,IF(R272='INFO BASE'!$B$37,8,2)))))),0)=0,"",VLOOKUP(Q272,'INFO BASE'!$B$40:$I$54,IF(R272='INFO BASE'!$B$32,3,IF(R272='INFO BASE'!$B$33,4,IF(R272='INFO BASE'!$B$34,5,IF(R272='INFO BASE'!$B$35,6,IF(R272='INFO BASE'!$B$36,7,IF(R272='INFO BASE'!$B$37,8,2)))))),0))</f>
        <v>3</v>
      </c>
      <c r="U272" s="106">
        <f>(COUNTIFS(C237:C284,R272,B237:B284,R269)+COUNTIFS(E237:E284,R272,D237:D284,R269)+COUNTIFS(G237:G284,R272,F237:F284,R269)+COUNTIFS(I237:I284,R272,H237:H284,R269)+COUNTIFS(K237:K284,R272,J237:J284,R269)+COUNTIFS(M237:M284,R272,L237:L284,R269)+COUNTIFS(O237:O284,R272,N237:N284,R269))*0.5</f>
        <v>3</v>
      </c>
      <c r="V272" s="89">
        <f>(COUNTIFS(AI237:AI284,R269,AJ237:AJ284,R265)+COUNTIFS(AK237:AK284,R269,AL237:AL284,R265)+COUNTIFS(AM237:AM284,R269,AN237:AN284,R265)+COUNTIFS(AO237:AO284,R269,AP237:AP284,R265)+COUNTIFS(AQ237:AQ284,R269,AR237:AR284,R265)+COUNTIFS(AS237:AS284,R269,AT237:AT284,R265)+COUNTIFS(AU237:AU284,R269,AV237:AV284,R265))*0.5</f>
        <v>3</v>
      </c>
      <c r="W272" s="90">
        <f>IF(AH233="","-",IF(V272=0,U272,IFERROR((U272/V272)-1,"-")))</f>
        <v>0</v>
      </c>
      <c r="X272" s="201">
        <f t="shared" si="160"/>
        <v>0</v>
      </c>
      <c r="Y272" s="271"/>
      <c r="Z272" s="272"/>
      <c r="AA272" s="272"/>
      <c r="AB272" s="272"/>
      <c r="AC272" s="272"/>
      <c r="AD272" s="272"/>
      <c r="AE272" s="272"/>
      <c r="AF272" s="273"/>
      <c r="AH272" s="136">
        <v>0.72916666666669006</v>
      </c>
      <c r="AI272" s="136" t="s">
        <v>11</v>
      </c>
      <c r="AJ272" s="136" t="s">
        <v>120</v>
      </c>
      <c r="AK272" s="136" t="s">
        <v>11</v>
      </c>
      <c r="AL272" s="136" t="s">
        <v>120</v>
      </c>
      <c r="AM272" s="136" t="s">
        <v>11</v>
      </c>
      <c r="AN272" s="136" t="s">
        <v>120</v>
      </c>
      <c r="AO272" s="136" t="s">
        <v>11</v>
      </c>
      <c r="AP272" s="136" t="s">
        <v>120</v>
      </c>
      <c r="AQ272" s="136" t="s">
        <v>11</v>
      </c>
      <c r="AR272" s="136" t="s">
        <v>120</v>
      </c>
      <c r="AS272" s="136" t="s">
        <v>116</v>
      </c>
      <c r="AT272" s="136" t="s">
        <v>120</v>
      </c>
      <c r="AU272" s="136" t="s">
        <v>8</v>
      </c>
      <c r="AV272" s="136" t="s">
        <v>226</v>
      </c>
      <c r="AX272" s="136" t="str">
        <f>IF(AI233="","",IF(B272="","",B272))</f>
        <v>HD</v>
      </c>
      <c r="AY272" s="136" t="str">
        <f>IF(AI233="","",IF(C272="","",C272))</f>
        <v>-</v>
      </c>
      <c r="AZ272" s="136" t="str">
        <f>IF(AI233="","",IF(D272="","",D272))</f>
        <v>HD</v>
      </c>
      <c r="BA272" s="136" t="str">
        <f>IF(AI233="","",IF(E272="","",E272))</f>
        <v>-</v>
      </c>
      <c r="BB272" s="136" t="str">
        <f>IF(AI233="","",IF(F272="","",F272))</f>
        <v>HD</v>
      </c>
      <c r="BC272" s="136" t="str">
        <f>IF(AI233="","",IF(G272="","",G272))</f>
        <v>-</v>
      </c>
      <c r="BD272" s="136" t="str">
        <f>IF(AI233="","",IF(H272="","",H272))</f>
        <v>HD</v>
      </c>
      <c r="BE272" s="136" t="str">
        <f>IF(AI233="","",IF(I272="","",I272))</f>
        <v>-</v>
      </c>
      <c r="BF272" s="136" t="str">
        <f>IF(AI233="","",IF(J272="","",J272))</f>
        <v>HD</v>
      </c>
      <c r="BG272" s="136" t="str">
        <f>IF(AI233="","",IF(K272="","",K272))</f>
        <v>-</v>
      </c>
      <c r="BH272" s="136" t="str">
        <f>IF(AI233="","",IF(L272="","",L272))</f>
        <v>PV</v>
      </c>
      <c r="BI272" s="136" t="str">
        <f>IF(AI233="","",IF(M272="","",M272))</f>
        <v>-</v>
      </c>
      <c r="BJ272" s="136" t="str">
        <f>IF(AI233="","",IF(N272="","",N272))</f>
        <v>EA</v>
      </c>
      <c r="BK272" s="136" t="str">
        <f>IF(AI233="","",IF(O272="","",O272))</f>
        <v>IEI</v>
      </c>
      <c r="BM272" s="136" t="str">
        <f t="shared" si="169"/>
        <v>AT</v>
      </c>
      <c r="BN272" s="136" t="str">
        <f t="shared" si="155"/>
        <v>Aulas Teóricas</v>
      </c>
      <c r="BO272" s="136" t="str">
        <f t="shared" si="155"/>
        <v/>
      </c>
      <c r="BP272" s="136">
        <f>(COUNTIFS(AX237:AX284,BM272,AY237:AY284,BO272)+COUNTIFS(AZ237:AZ284,BM272,BA237:BA284,BO272)+COUNTIFS(BB237:BB284,BM272,BC237:BC284,BO272)+COUNTIFS(BD237:BD284,BM272,BE237:BE284,BO272)+COUNTIFS(BF237:BF284,BM272,BG237:BG284,BO272)+COUNTIFS(BH237:BH284,BM272,BI237:BI284,BO272)+COUNTIFS(BJ237:BJ284,BM272,BK237:BK284,BO272))*0.5</f>
        <v>0</v>
      </c>
      <c r="BQ272" s="136" t="str">
        <f t="shared" si="156"/>
        <v>Aulas Teóricas</v>
      </c>
      <c r="BR272" s="136" t="str">
        <f t="shared" si="156"/>
        <v/>
      </c>
      <c r="BS272" s="136" t="str">
        <f t="shared" si="157"/>
        <v>Aulas Teóricas</v>
      </c>
      <c r="BT272" s="136">
        <f t="shared" si="163"/>
        <v>0</v>
      </c>
      <c r="BU272" s="136">
        <f t="shared" si="164"/>
        <v>0</v>
      </c>
      <c r="CA272" s="183">
        <f>'INFO BASE'!L335</f>
        <v>0</v>
      </c>
      <c r="CB272" s="183">
        <f>'INFO BASE'!M335</f>
        <v>0</v>
      </c>
      <c r="CR272" s="177" t="str">
        <f t="shared" si="145"/>
        <v>HD</v>
      </c>
      <c r="CS272" s="177" t="str">
        <f t="shared" si="146"/>
        <v>HD-</v>
      </c>
      <c r="CT272" s="177" t="str">
        <f t="shared" si="145"/>
        <v>HD</v>
      </c>
      <c r="CU272" s="177" t="str">
        <f t="shared" si="147"/>
        <v>HD-</v>
      </c>
      <c r="CV272" s="177" t="str">
        <f t="shared" si="145"/>
        <v>HD</v>
      </c>
      <c r="CW272" s="177" t="str">
        <f t="shared" si="148"/>
        <v>HD-</v>
      </c>
      <c r="CX272" s="177" t="str">
        <f t="shared" si="145"/>
        <v>HD</v>
      </c>
      <c r="CY272" s="177" t="str">
        <f t="shared" si="149"/>
        <v>HD-</v>
      </c>
      <c r="CZ272" s="177" t="str">
        <f t="shared" si="145"/>
        <v>HD</v>
      </c>
      <c r="DA272" s="177" t="str">
        <f t="shared" si="150"/>
        <v>HD-</v>
      </c>
      <c r="DB272" s="177" t="str">
        <f t="shared" si="145"/>
        <v>PV</v>
      </c>
      <c r="DC272" s="177">
        <f t="shared" si="151"/>
        <v>0</v>
      </c>
      <c r="DD272" s="177" t="str">
        <f t="shared" si="152"/>
        <v>EA</v>
      </c>
      <c r="DE272" s="177" t="str">
        <f t="shared" si="153"/>
        <v>EAIEI</v>
      </c>
    </row>
    <row r="273" spans="1:120" ht="18" customHeight="1" x14ac:dyDescent="0.3">
      <c r="A273" s="81">
        <v>0.75000000000002398</v>
      </c>
      <c r="B273" s="166" t="s">
        <v>11</v>
      </c>
      <c r="C273" s="130" t="s">
        <v>120</v>
      </c>
      <c r="D273" s="169" t="s">
        <v>11</v>
      </c>
      <c r="E273" s="130" t="s">
        <v>120</v>
      </c>
      <c r="F273" s="169" t="s">
        <v>11</v>
      </c>
      <c r="G273" s="130" t="s">
        <v>120</v>
      </c>
      <c r="H273" s="169" t="s">
        <v>11</v>
      </c>
      <c r="I273" s="130" t="s">
        <v>120</v>
      </c>
      <c r="J273" s="169" t="s">
        <v>11</v>
      </c>
      <c r="K273" s="130" t="s">
        <v>120</v>
      </c>
      <c r="L273" s="169" t="s">
        <v>116</v>
      </c>
      <c r="M273" s="130" t="s">
        <v>120</v>
      </c>
      <c r="N273" s="169" t="s">
        <v>8</v>
      </c>
      <c r="O273" s="154" t="s">
        <v>226</v>
      </c>
      <c r="P273" s="6">
        <v>0</v>
      </c>
      <c r="Q273" s="122" t="str">
        <f t="shared" si="170"/>
        <v>Aulas Teóricas</v>
      </c>
      <c r="R273" s="105" t="str">
        <f t="shared" si="162"/>
        <v>AL</v>
      </c>
      <c r="S273" s="88">
        <f t="shared" si="159"/>
        <v>0</v>
      </c>
      <c r="T273" s="106">
        <f>IF(VLOOKUP(Q273,'INFO BASE'!$B$40:$I$54,IF(R273='INFO BASE'!$B$32,3,IF(R273='INFO BASE'!$B$33,4,IF(R273='INFO BASE'!$B$34,5,IF(R273='INFO BASE'!$B$35,6,IF(R273='INFO BASE'!$B$36,7,IF(R273='INFO BASE'!$B$37,8,2)))))),0)=0,"",VLOOKUP(Q273,'INFO BASE'!$B$40:$I$54,IF(R273='INFO BASE'!$B$32,3,IF(R273='INFO BASE'!$B$33,4,IF(R273='INFO BASE'!$B$34,5,IF(R273='INFO BASE'!$B$35,6,IF(R273='INFO BASE'!$B$36,7,IF(R273='INFO BASE'!$B$37,8,2)))))),0))</f>
        <v>3</v>
      </c>
      <c r="U273" s="106">
        <f>(COUNTIFS(C237:C284,R273,B237:B284,R269)+COUNTIFS(E237:E284,R273,D237:D284,R269)+COUNTIFS(G237:G284,R273,F237:F284,R269)+COUNTIFS(I237:I284,R273,H237:H284,R269)+COUNTIFS(K237:K284,R273,J237:J284,R269)+COUNTIFS(M237:M284,R273,L237:L284,R269)+COUNTIFS(O237:O284,R273,N237:N284,R269))*0.5</f>
        <v>3</v>
      </c>
      <c r="V273" s="89">
        <f>(COUNTIFS(AI237:AI284,R269,AJ237:AJ284,R266)+COUNTIFS(AK237:AK284,R269,AL237:AL284,R266)+COUNTIFS(AM237:AM284,R269,AN237:AN284,R266)+COUNTIFS(AO237:AO284,R269,AP237:AP284,R266)+COUNTIFS(AQ237:AQ284,R269,AR237:AR284,R266)+COUNTIFS(AS237:AS284,R269,AT237:AT284,R266)+COUNTIFS(AU237:AU284,R269,AV237:AV284,R266))*0.5</f>
        <v>3</v>
      </c>
      <c r="W273" s="90">
        <f>IF(AH233="","-",IF(V273=0,U273,IFERROR((U273/V273)-1,"-")))</f>
        <v>0</v>
      </c>
      <c r="X273" s="201">
        <f t="shared" si="160"/>
        <v>0</v>
      </c>
      <c r="Y273" s="271"/>
      <c r="Z273" s="272"/>
      <c r="AA273" s="272"/>
      <c r="AB273" s="272"/>
      <c r="AC273" s="272"/>
      <c r="AD273" s="272"/>
      <c r="AE273" s="272"/>
      <c r="AF273" s="273"/>
      <c r="AH273" s="136">
        <v>0.75000000000002398</v>
      </c>
      <c r="AI273" s="136" t="s">
        <v>11</v>
      </c>
      <c r="AJ273" s="136" t="s">
        <v>120</v>
      </c>
      <c r="AK273" s="136" t="s">
        <v>11</v>
      </c>
      <c r="AL273" s="136" t="s">
        <v>120</v>
      </c>
      <c r="AM273" s="136" t="s">
        <v>11</v>
      </c>
      <c r="AN273" s="136" t="s">
        <v>120</v>
      </c>
      <c r="AO273" s="136" t="s">
        <v>11</v>
      </c>
      <c r="AP273" s="136" t="s">
        <v>120</v>
      </c>
      <c r="AQ273" s="136" t="s">
        <v>11</v>
      </c>
      <c r="AR273" s="136" t="s">
        <v>120</v>
      </c>
      <c r="AS273" s="136" t="s">
        <v>116</v>
      </c>
      <c r="AT273" s="136" t="s">
        <v>120</v>
      </c>
      <c r="AU273" s="136" t="s">
        <v>8</v>
      </c>
      <c r="AV273" s="136" t="s">
        <v>226</v>
      </c>
      <c r="AX273" s="136" t="str">
        <f>IF(AI233="","",IF(B273="","",B273))</f>
        <v>HD</v>
      </c>
      <c r="AY273" s="136" t="str">
        <f>IF(AI233="","",IF(C273="","",C273))</f>
        <v>-</v>
      </c>
      <c r="AZ273" s="136" t="str">
        <f>IF(AI233="","",IF(D273="","",D273))</f>
        <v>HD</v>
      </c>
      <c r="BA273" s="136" t="str">
        <f>IF(AI233="","",IF(E273="","",E273))</f>
        <v>-</v>
      </c>
      <c r="BB273" s="136" t="str">
        <f>IF(AI233="","",IF(F273="","",F273))</f>
        <v>HD</v>
      </c>
      <c r="BC273" s="136" t="str">
        <f>IF(AI233="","",IF(G273="","",G273))</f>
        <v>-</v>
      </c>
      <c r="BD273" s="136" t="str">
        <f>IF(AI233="","",IF(H273="","",H273))</f>
        <v>HD</v>
      </c>
      <c r="BE273" s="136" t="str">
        <f>IF(AI233="","",IF(I273="","",I273))</f>
        <v>-</v>
      </c>
      <c r="BF273" s="136" t="str">
        <f>IF(AI233="","",IF(J273="","",J273))</f>
        <v>HD</v>
      </c>
      <c r="BG273" s="136" t="str">
        <f>IF(AI233="","",IF(K273="","",K273))</f>
        <v>-</v>
      </c>
      <c r="BH273" s="136" t="str">
        <f>IF(AI233="","",IF(L273="","",L273))</f>
        <v>PV</v>
      </c>
      <c r="BI273" s="136" t="str">
        <f>IF(AI233="","",IF(M273="","",M273))</f>
        <v>-</v>
      </c>
      <c r="BJ273" s="136" t="str">
        <f>IF(AI233="","",IF(N273="","",N273))</f>
        <v>EA</v>
      </c>
      <c r="BK273" s="136" t="str">
        <f>IF(AI233="","",IF(O273="","",O273))</f>
        <v>IEI</v>
      </c>
      <c r="BN273" s="136" t="str">
        <f t="shared" si="155"/>
        <v>Aulas Práticas</v>
      </c>
      <c r="BO273" s="136" t="str">
        <f t="shared" si="155"/>
        <v>APA</v>
      </c>
      <c r="BP273" s="136">
        <f>IF(BO273="","",COUNTIFS(AX237:BK284,BO273)*0.5)</f>
        <v>0</v>
      </c>
      <c r="BQ273" s="136" t="str">
        <f t="shared" si="156"/>
        <v>Aulas Práticas</v>
      </c>
      <c r="BR273" s="136" t="str">
        <f t="shared" si="156"/>
        <v>APA</v>
      </c>
      <c r="BS273" s="136" t="str">
        <f t="shared" si="157"/>
        <v>Aulas Práticas</v>
      </c>
      <c r="BT273" s="136">
        <f t="shared" si="163"/>
        <v>0</v>
      </c>
      <c r="BU273" s="136">
        <f t="shared" si="164"/>
        <v>0</v>
      </c>
      <c r="CA273" s="183">
        <f>'INFO BASE'!L336</f>
        <v>0</v>
      </c>
      <c r="CB273" s="183">
        <f>'INFO BASE'!M336</f>
        <v>0</v>
      </c>
      <c r="CR273" s="177" t="str">
        <f t="shared" si="145"/>
        <v>HD</v>
      </c>
      <c r="CS273" s="177" t="str">
        <f t="shared" si="146"/>
        <v>HD-</v>
      </c>
      <c r="CT273" s="177" t="str">
        <f t="shared" si="145"/>
        <v>HD</v>
      </c>
      <c r="CU273" s="177" t="str">
        <f t="shared" si="147"/>
        <v>HD-</v>
      </c>
      <c r="CV273" s="177" t="str">
        <f t="shared" si="145"/>
        <v>HD</v>
      </c>
      <c r="CW273" s="177" t="str">
        <f t="shared" si="148"/>
        <v>HD-</v>
      </c>
      <c r="CX273" s="177" t="str">
        <f t="shared" si="145"/>
        <v>HD</v>
      </c>
      <c r="CY273" s="177" t="str">
        <f t="shared" si="149"/>
        <v>HD-</v>
      </c>
      <c r="CZ273" s="177" t="str">
        <f t="shared" si="145"/>
        <v>HD</v>
      </c>
      <c r="DA273" s="177" t="str">
        <f t="shared" si="150"/>
        <v>HD-</v>
      </c>
      <c r="DB273" s="177" t="str">
        <f t="shared" si="145"/>
        <v>PV</v>
      </c>
      <c r="DC273" s="177">
        <f t="shared" si="151"/>
        <v>0</v>
      </c>
      <c r="DD273" s="177" t="str">
        <f t="shared" si="152"/>
        <v>EA</v>
      </c>
      <c r="DE273" s="177" t="str">
        <f t="shared" si="153"/>
        <v>EAIEI</v>
      </c>
    </row>
    <row r="274" spans="1:120" ht="18" customHeight="1" x14ac:dyDescent="0.3">
      <c r="A274" s="81">
        <v>0.77083333333335802</v>
      </c>
      <c r="B274" s="166" t="s">
        <v>116</v>
      </c>
      <c r="C274" s="130" t="s">
        <v>120</v>
      </c>
      <c r="D274" s="169" t="s">
        <v>116</v>
      </c>
      <c r="E274" s="130" t="s">
        <v>120</v>
      </c>
      <c r="F274" s="169" t="s">
        <v>116</v>
      </c>
      <c r="G274" s="130" t="s">
        <v>120</v>
      </c>
      <c r="H274" s="169" t="s">
        <v>116</v>
      </c>
      <c r="I274" s="130" t="s">
        <v>120</v>
      </c>
      <c r="J274" s="169" t="s">
        <v>116</v>
      </c>
      <c r="K274" s="130" t="s">
        <v>120</v>
      </c>
      <c r="L274" s="169" t="s">
        <v>116</v>
      </c>
      <c r="M274" s="130" t="s">
        <v>120</v>
      </c>
      <c r="N274" s="169" t="s">
        <v>8</v>
      </c>
      <c r="O274" s="154" t="s">
        <v>226</v>
      </c>
      <c r="P274" s="6">
        <v>0</v>
      </c>
      <c r="Q274" s="122" t="str">
        <f t="shared" si="170"/>
        <v>Aulas Teóricas</v>
      </c>
      <c r="R274" s="105" t="str">
        <f t="shared" si="162"/>
        <v>CDI</v>
      </c>
      <c r="S274" s="88">
        <f t="shared" si="159"/>
        <v>0</v>
      </c>
      <c r="T274" s="106">
        <f>IF(VLOOKUP(Q274,'INFO BASE'!$B$40:$I$54,IF(R274='INFO BASE'!$B$32,3,IF(R274='INFO BASE'!$B$33,4,IF(R274='INFO BASE'!$B$34,5,IF(R274='INFO BASE'!$B$35,6,IF(R274='INFO BASE'!$B$36,7,IF(R274='INFO BASE'!$B$37,8,2)))))),0)=0,"",VLOOKUP(Q274,'INFO BASE'!$B$40:$I$54,IF(R274='INFO BASE'!$B$32,3,IF(R274='INFO BASE'!$B$33,4,IF(R274='INFO BASE'!$B$34,5,IF(R274='INFO BASE'!$B$35,6,IF(R274='INFO BASE'!$B$36,7,IF(R274='INFO BASE'!$B$37,8,2)))))),0))</f>
        <v>3</v>
      </c>
      <c r="U274" s="106">
        <f>(COUNTIFS(C237:C284,R274,B237:B284,R269)+COUNTIFS(E237:E284,R274,D237:D284,R269)+COUNTIFS(G237:G284,R274,F237:F284,R269)+COUNTIFS(I237:I284,R274,H237:H284,R269)+COUNTIFS(K237:K284,R274,J237:J284,R269)+COUNTIFS(M237:M284,R274,L237:L284,R269)+COUNTIFS(O237:O284,R274,N237:N284,R269))*0.5</f>
        <v>3</v>
      </c>
      <c r="V274" s="89">
        <f>(COUNTIFS(AI237:AI284,R269,AJ237:AJ284,R267)+COUNTIFS(AK237:AK284,R269,AL237:AL284,R267)+COUNTIFS(AM237:AM284,R269,AN237:AN284,R267)+COUNTIFS(AO237:AO284,R269,AP237:AP284,R267)+COUNTIFS(AQ237:AQ284,R269,AR237:AR284,R267)+COUNTIFS(AS237:AS284,R269,AT237:AT284,R267)+COUNTIFS(AU237:AU284,R269,AV237:AV284,R267))*0.5</f>
        <v>3</v>
      </c>
      <c r="W274" s="90">
        <f>IF(AH233="","-",IF(V274=0,U274,IFERROR((U274/V274)-1,"-")))</f>
        <v>0</v>
      </c>
      <c r="X274" s="201">
        <f t="shared" si="160"/>
        <v>0</v>
      </c>
      <c r="Y274" s="271"/>
      <c r="Z274" s="272"/>
      <c r="AA274" s="272"/>
      <c r="AB274" s="272"/>
      <c r="AC274" s="272"/>
      <c r="AD274" s="272"/>
      <c r="AE274" s="272"/>
      <c r="AF274" s="273"/>
      <c r="AH274" s="136">
        <v>0.77083333333335802</v>
      </c>
      <c r="AI274" s="136" t="s">
        <v>116</v>
      </c>
      <c r="AJ274" s="136" t="s">
        <v>120</v>
      </c>
      <c r="AK274" s="136" t="s">
        <v>116</v>
      </c>
      <c r="AL274" s="136" t="s">
        <v>120</v>
      </c>
      <c r="AM274" s="136" t="s">
        <v>116</v>
      </c>
      <c r="AN274" s="136" t="s">
        <v>120</v>
      </c>
      <c r="AO274" s="136" t="s">
        <v>116</v>
      </c>
      <c r="AP274" s="136" t="s">
        <v>120</v>
      </c>
      <c r="AQ274" s="136" t="s">
        <v>116</v>
      </c>
      <c r="AR274" s="136" t="s">
        <v>120</v>
      </c>
      <c r="AS274" s="136" t="s">
        <v>116</v>
      </c>
      <c r="AT274" s="136" t="s">
        <v>120</v>
      </c>
      <c r="AU274" s="136" t="s">
        <v>8</v>
      </c>
      <c r="AV274" s="136" t="s">
        <v>226</v>
      </c>
      <c r="AX274" s="136" t="str">
        <f>IF(AI233="","",IF(B274="","",B274))</f>
        <v>PV</v>
      </c>
      <c r="AY274" s="136" t="str">
        <f>IF(AI233="","",IF(C274="","",C274))</f>
        <v>-</v>
      </c>
      <c r="AZ274" s="136" t="str">
        <f>IF(AI233="","",IF(D274="","",D274))</f>
        <v>PV</v>
      </c>
      <c r="BA274" s="136" t="str">
        <f>IF(AI233="","",IF(E274="","",E274))</f>
        <v>-</v>
      </c>
      <c r="BB274" s="136" t="str">
        <f>IF(AI233="","",IF(F274="","",F274))</f>
        <v>PV</v>
      </c>
      <c r="BC274" s="136" t="str">
        <f>IF(AI233="","",IF(G274="","",G274))</f>
        <v>-</v>
      </c>
      <c r="BD274" s="136" t="str">
        <f>IF(AI233="","",IF(H274="","",H274))</f>
        <v>PV</v>
      </c>
      <c r="BE274" s="136" t="str">
        <f>IF(AI233="","",IF(I274="","",I274))</f>
        <v>-</v>
      </c>
      <c r="BF274" s="136" t="str">
        <f>IF(AI233="","",IF(J274="","",J274))</f>
        <v>PV</v>
      </c>
      <c r="BG274" s="136" t="str">
        <f>IF(AI233="","",IF(K274="","",K274))</f>
        <v>-</v>
      </c>
      <c r="BH274" s="136" t="str">
        <f>IF(AI233="","",IF(L274="","",L274))</f>
        <v>PV</v>
      </c>
      <c r="BI274" s="136" t="str">
        <f>IF(AI233="","",IF(M274="","",M274))</f>
        <v>-</v>
      </c>
      <c r="BJ274" s="136" t="str">
        <f>IF(AI233="","",IF(N274="","",N274))</f>
        <v>EA</v>
      </c>
      <c r="BK274" s="136" t="str">
        <f>IF(AI233="","",IF(O274="","",O274))</f>
        <v>IEI</v>
      </c>
      <c r="BN274" s="136" t="str">
        <f t="shared" si="155"/>
        <v>Aulas Problemas</v>
      </c>
      <c r="BO274" s="136" t="str">
        <f t="shared" si="155"/>
        <v>APB</v>
      </c>
      <c r="BP274" s="136">
        <f>IF(BO274="","",COUNTIFS(AX237:BK284,BO274)*0.5)</f>
        <v>4.5</v>
      </c>
      <c r="BQ274" s="136" t="str">
        <f t="shared" si="156"/>
        <v>Aulas Problemas</v>
      </c>
      <c r="BR274" s="136" t="str">
        <f t="shared" si="156"/>
        <v>APB</v>
      </c>
      <c r="BS274" s="136" t="str">
        <f t="shared" si="157"/>
        <v>Aulas Problemas</v>
      </c>
      <c r="BT274" s="136">
        <f t="shared" si="163"/>
        <v>36</v>
      </c>
      <c r="BU274" s="136">
        <f t="shared" si="164"/>
        <v>36</v>
      </c>
      <c r="CA274" s="183">
        <f>'INFO BASE'!L337</f>
        <v>0</v>
      </c>
      <c r="CB274" s="183">
        <f>'INFO BASE'!M337</f>
        <v>0</v>
      </c>
      <c r="CR274" s="177" t="str">
        <f t="shared" si="145"/>
        <v>PV</v>
      </c>
      <c r="CS274" s="177">
        <f t="shared" si="146"/>
        <v>0</v>
      </c>
      <c r="CT274" s="177" t="str">
        <f t="shared" si="145"/>
        <v>PV</v>
      </c>
      <c r="CU274" s="177">
        <f t="shared" si="147"/>
        <v>0</v>
      </c>
      <c r="CV274" s="177" t="str">
        <f t="shared" si="145"/>
        <v>PV</v>
      </c>
      <c r="CW274" s="177">
        <f t="shared" si="148"/>
        <v>0</v>
      </c>
      <c r="CX274" s="177" t="str">
        <f t="shared" si="145"/>
        <v>PV</v>
      </c>
      <c r="CY274" s="177">
        <f t="shared" si="149"/>
        <v>0</v>
      </c>
      <c r="CZ274" s="177" t="str">
        <f t="shared" si="145"/>
        <v>PV</v>
      </c>
      <c r="DA274" s="177">
        <f t="shared" si="150"/>
        <v>0</v>
      </c>
      <c r="DB274" s="177" t="str">
        <f t="shared" si="145"/>
        <v>PV</v>
      </c>
      <c r="DC274" s="177">
        <f t="shared" si="151"/>
        <v>0</v>
      </c>
      <c r="DD274" s="177" t="str">
        <f t="shared" si="152"/>
        <v>EA</v>
      </c>
      <c r="DE274" s="177" t="str">
        <f t="shared" si="153"/>
        <v>EAIEI</v>
      </c>
    </row>
    <row r="275" spans="1:120" ht="18" customHeight="1" thickBot="1" x14ac:dyDescent="0.35">
      <c r="A275" s="81">
        <v>0.79166666666669205</v>
      </c>
      <c r="B275" s="166" t="s">
        <v>116</v>
      </c>
      <c r="C275" s="130" t="s">
        <v>120</v>
      </c>
      <c r="D275" s="169" t="s">
        <v>8</v>
      </c>
      <c r="E275" s="130" t="s">
        <v>224</v>
      </c>
      <c r="F275" s="169" t="s">
        <v>116</v>
      </c>
      <c r="G275" s="130" t="s">
        <v>120</v>
      </c>
      <c r="H275" s="169" t="s">
        <v>8</v>
      </c>
      <c r="I275" s="130" t="s">
        <v>224</v>
      </c>
      <c r="J275" s="169" t="s">
        <v>116</v>
      </c>
      <c r="K275" s="130" t="s">
        <v>120</v>
      </c>
      <c r="L275" s="169" t="s">
        <v>116</v>
      </c>
      <c r="M275" s="130" t="s">
        <v>120</v>
      </c>
      <c r="N275" s="169" t="s">
        <v>8</v>
      </c>
      <c r="O275" s="154" t="s">
        <v>226</v>
      </c>
      <c r="P275" s="6">
        <v>0</v>
      </c>
      <c r="Q275" s="124" t="str">
        <f t="shared" si="170"/>
        <v>Aulas Teóricas</v>
      </c>
      <c r="R275" s="107" t="str">
        <f t="shared" si="162"/>
        <v/>
      </c>
      <c r="S275" s="94" t="str">
        <f t="shared" si="159"/>
        <v>-</v>
      </c>
      <c r="T275" s="108" t="str">
        <f>IF(VLOOKUP(Q275,'INFO BASE'!$B$40:$I$54,IF(R275='INFO BASE'!$B$32,3,IF(R275='INFO BASE'!$B$33,4,IF(R275='INFO BASE'!$B$34,5,IF(R275='INFO BASE'!$B$35,6,IF(R275='INFO BASE'!$B$36,7,IF(R275='INFO BASE'!$B$37,8,2)))))),0)=0,"",VLOOKUP(Q275,'INFO BASE'!$B$40:$I$54,IF(R275='INFO BASE'!$B$32,3,IF(R275='INFO BASE'!$B$33,4,IF(R275='INFO BASE'!$B$34,5,IF(R275='INFO BASE'!$B$35,6,IF(R275='INFO BASE'!$B$36,7,IF(R275='INFO BASE'!$B$37,8,2)))))),0))</f>
        <v/>
      </c>
      <c r="U275" s="108">
        <f>(COUNTIFS(C237:C284,R275,B237:B284,R269)+COUNTIFS(E237:E284,R275,D237:D284,R269)+COUNTIFS(G237:G284,R275,F237:F284,R269)+COUNTIFS(I237:I284,R275,H237:H284,R269)+COUNTIFS(K237:K284,R275,J237:J284,R269)+COUNTIFS(M237:M284,R275,L237:L284,R269)+COUNTIFS(O237:O284,R275,N237:N284,R269))*0.5</f>
        <v>0</v>
      </c>
      <c r="V275" s="95">
        <f>(COUNTIFS(AI237:AI284,R269,AJ237:AJ284,R268)+COUNTIFS(AK237:AK284,R269,AL237:AL284,R268)+COUNTIFS(AM237:AM284,R269,AN237:AN284,R268)+COUNTIFS(AO237:AO284,R269,AP237:AP284,R268)+COUNTIFS(AQ237:AQ284,R269,AR237:AR284,R268)+COUNTIFS(AS237:AS284,R269,AT237:AT284,R268)+COUNTIFS(AU237:AU284,R269,AV237:AV284,R268))*0.5</f>
        <v>0</v>
      </c>
      <c r="W275" s="96">
        <f>IF(AH233="","-",IF(V275=0,U275,IFERROR((U275/V275)-1,"-")))</f>
        <v>0</v>
      </c>
      <c r="X275" s="201">
        <f t="shared" si="160"/>
        <v>0</v>
      </c>
      <c r="Y275" s="274"/>
      <c r="Z275" s="275"/>
      <c r="AA275" s="275"/>
      <c r="AB275" s="275"/>
      <c r="AC275" s="275"/>
      <c r="AD275" s="275"/>
      <c r="AE275" s="275"/>
      <c r="AF275" s="276"/>
      <c r="AH275" s="136">
        <v>0.79166666666669205</v>
      </c>
      <c r="AI275" s="136" t="s">
        <v>116</v>
      </c>
      <c r="AJ275" s="136" t="s">
        <v>120</v>
      </c>
      <c r="AK275" s="136" t="s">
        <v>8</v>
      </c>
      <c r="AL275" s="136" t="s">
        <v>224</v>
      </c>
      <c r="AM275" s="136" t="s">
        <v>116</v>
      </c>
      <c r="AN275" s="136" t="s">
        <v>120</v>
      </c>
      <c r="AO275" s="136" t="s">
        <v>8</v>
      </c>
      <c r="AP275" s="136" t="s">
        <v>224</v>
      </c>
      <c r="AQ275" s="136" t="s">
        <v>116</v>
      </c>
      <c r="AR275" s="136" t="s">
        <v>120</v>
      </c>
      <c r="AS275" s="136" t="s">
        <v>116</v>
      </c>
      <c r="AT275" s="136" t="s">
        <v>120</v>
      </c>
      <c r="AU275" s="136" t="s">
        <v>8</v>
      </c>
      <c r="AV275" s="136" t="s">
        <v>226</v>
      </c>
      <c r="AX275" s="136" t="str">
        <f>IF(AI233="","",IF(B275="","",B275))</f>
        <v>PV</v>
      </c>
      <c r="AY275" s="136" t="str">
        <f>IF(AI233="","",IF(C275="","",C275))</f>
        <v>-</v>
      </c>
      <c r="AZ275" s="136" t="str">
        <f>IF(AI233="","",IF(D275="","",D275))</f>
        <v>EA</v>
      </c>
      <c r="BA275" s="136" t="str">
        <f>IF(AI233="","",IF(E275="","",E275))</f>
        <v>FP</v>
      </c>
      <c r="BB275" s="136" t="str">
        <f>IF(AI233="","",IF(F275="","",F275))</f>
        <v>PV</v>
      </c>
      <c r="BC275" s="136" t="str">
        <f>IF(AI233="","",IF(G275="","",G275))</f>
        <v>-</v>
      </c>
      <c r="BD275" s="136" t="str">
        <f>IF(AI233="","",IF(H275="","",H275))</f>
        <v>EA</v>
      </c>
      <c r="BE275" s="136" t="str">
        <f>IF(AI233="","",IF(I275="","",I275))</f>
        <v>FP</v>
      </c>
      <c r="BF275" s="136" t="str">
        <f>IF(AI233="","",IF(J275="","",J275))</f>
        <v>PV</v>
      </c>
      <c r="BG275" s="136" t="str">
        <f>IF(AI233="","",IF(K275="","",K275))</f>
        <v>-</v>
      </c>
      <c r="BH275" s="136" t="str">
        <f>IF(AI233="","",IF(L275="","",L275))</f>
        <v>PV</v>
      </c>
      <c r="BI275" s="136" t="str">
        <f>IF(AI233="","",IF(M275="","",M275))</f>
        <v>-</v>
      </c>
      <c r="BJ275" s="136" t="str">
        <f>IF(AI233="","",IF(N275="","",N275))</f>
        <v>EA</v>
      </c>
      <c r="BK275" s="136" t="str">
        <f>IF(AI233="","",IF(O275="","",O275))</f>
        <v>IEI</v>
      </c>
      <c r="BN275" s="136" t="str">
        <f t="shared" si="155"/>
        <v>Laboratórios</v>
      </c>
      <c r="BO275" s="136" t="str">
        <f t="shared" si="155"/>
        <v>LAB</v>
      </c>
      <c r="BP275" s="136">
        <f>IF(BO275="","",COUNTIFS(AX237:BK284,BO275)*0.5)</f>
        <v>1.5</v>
      </c>
      <c r="BQ275" s="136" t="str">
        <f t="shared" si="156"/>
        <v>Laboratórios</v>
      </c>
      <c r="BR275" s="136" t="str">
        <f t="shared" si="156"/>
        <v>LAB</v>
      </c>
      <c r="BS275" s="136" t="str">
        <f t="shared" si="157"/>
        <v>Laboratórios</v>
      </c>
      <c r="BT275" s="136">
        <f t="shared" si="163"/>
        <v>10.5</v>
      </c>
      <c r="BU275" s="136">
        <f t="shared" si="164"/>
        <v>10.5</v>
      </c>
      <c r="CA275" s="183">
        <f>'INFO BASE'!L338</f>
        <v>0</v>
      </c>
      <c r="CB275" s="183">
        <f>'INFO BASE'!M338</f>
        <v>0</v>
      </c>
      <c r="CR275" s="177" t="str">
        <f t="shared" si="145"/>
        <v>PV</v>
      </c>
      <c r="CS275" s="177">
        <f t="shared" si="146"/>
        <v>0</v>
      </c>
      <c r="CT275" s="177" t="str">
        <f t="shared" si="145"/>
        <v>EA</v>
      </c>
      <c r="CU275" s="177" t="str">
        <f t="shared" si="147"/>
        <v>EAFP</v>
      </c>
      <c r="CV275" s="177" t="str">
        <f t="shared" si="145"/>
        <v>PV</v>
      </c>
      <c r="CW275" s="177">
        <f t="shared" si="148"/>
        <v>0</v>
      </c>
      <c r="CX275" s="177" t="str">
        <f t="shared" si="145"/>
        <v>EA</v>
      </c>
      <c r="CY275" s="177" t="str">
        <f t="shared" si="149"/>
        <v>EAFP</v>
      </c>
      <c r="CZ275" s="177" t="str">
        <f t="shared" si="145"/>
        <v>PV</v>
      </c>
      <c r="DA275" s="177">
        <f t="shared" si="150"/>
        <v>0</v>
      </c>
      <c r="DB275" s="177" t="str">
        <f t="shared" si="145"/>
        <v>PV</v>
      </c>
      <c r="DC275" s="177">
        <f t="shared" si="151"/>
        <v>0</v>
      </c>
      <c r="DD275" s="177" t="str">
        <f t="shared" si="152"/>
        <v>EA</v>
      </c>
      <c r="DE275" s="177" t="str">
        <f t="shared" si="153"/>
        <v>EAIEI</v>
      </c>
    </row>
    <row r="276" spans="1:120" ht="18" customHeight="1" x14ac:dyDescent="0.3">
      <c r="A276" s="81">
        <v>0.81250000000002598</v>
      </c>
      <c r="B276" s="166" t="s">
        <v>116</v>
      </c>
      <c r="C276" s="130" t="s">
        <v>120</v>
      </c>
      <c r="D276" s="169" t="s">
        <v>8</v>
      </c>
      <c r="E276" s="130" t="s">
        <v>224</v>
      </c>
      <c r="F276" s="169" t="s">
        <v>116</v>
      </c>
      <c r="G276" s="130" t="s">
        <v>120</v>
      </c>
      <c r="H276" s="169" t="s">
        <v>8</v>
      </c>
      <c r="I276" s="130" t="s">
        <v>224</v>
      </c>
      <c r="J276" s="169" t="s">
        <v>128</v>
      </c>
      <c r="K276" s="130" t="s">
        <v>230</v>
      </c>
      <c r="L276" s="169" t="s">
        <v>116</v>
      </c>
      <c r="M276" s="130" t="s">
        <v>120</v>
      </c>
      <c r="N276" s="169" t="s">
        <v>12</v>
      </c>
      <c r="O276" s="154" t="s">
        <v>120</v>
      </c>
      <c r="P276" s="6">
        <v>0</v>
      </c>
      <c r="Q276" s="97" t="str">
        <f>IF('INFO BASE'!$C$21="","",'INFO BASE'!$C$21)</f>
        <v>Aulas Práticas</v>
      </c>
      <c r="R276" s="82" t="str">
        <f t="shared" si="162"/>
        <v>APA</v>
      </c>
      <c r="S276" s="83" t="str">
        <f t="shared" si="159"/>
        <v>-</v>
      </c>
      <c r="T276" s="98" t="str">
        <f>IF(VLOOKUP(Q276,'INFO BASE'!$B$40:$I$54,IF(R276='INFO BASE'!$B$32,3,IF(R276='INFO BASE'!$B$33,4,IF(R276='INFO BASE'!$B$34,5,IF(R276='INFO BASE'!$B$35,6,IF(R276='INFO BASE'!$B$36,7,IF(R276='INFO BASE'!$B$37,8,2)))))),0)=0,"",VLOOKUP(Q276,'INFO BASE'!$B$40:$I$54,IF(R276='INFO BASE'!$B$32,3,IF(R276='INFO BASE'!$B$33,4,IF(R276='INFO BASE'!$B$34,5,IF(R276='INFO BASE'!$B$35,6,IF(R276='INFO BASE'!$B$36,7,IF(R276='INFO BASE'!$B$37,8,2)))))),0))</f>
        <v/>
      </c>
      <c r="U276" s="84">
        <f t="shared" ref="U276:U284" si="171">IF(R276="","",COUNTIFS(SEMANA5,R276)*0.5)</f>
        <v>0</v>
      </c>
      <c r="V276" s="84">
        <f>IF(R276="","",COUNTIFS(AI237:AV284,R276)*0.5)</f>
        <v>0</v>
      </c>
      <c r="W276" s="85">
        <f>IF(AH233="","-",IF(V276=0,U276,IFERROR((U276/V276)-1,"-")))</f>
        <v>0</v>
      </c>
      <c r="X276" s="201">
        <f t="shared" si="160"/>
        <v>0</v>
      </c>
      <c r="Y276" s="277"/>
      <c r="Z276" s="278"/>
      <c r="AA276" s="278"/>
      <c r="AB276" s="278"/>
      <c r="AC276" s="278"/>
      <c r="AD276" s="278"/>
      <c r="AE276" s="278"/>
      <c r="AF276" s="279"/>
      <c r="AH276" s="136">
        <v>0.81250000000002598</v>
      </c>
      <c r="AI276" s="136" t="s">
        <v>116</v>
      </c>
      <c r="AJ276" s="136" t="s">
        <v>120</v>
      </c>
      <c r="AK276" s="136" t="s">
        <v>8</v>
      </c>
      <c r="AL276" s="136" t="s">
        <v>224</v>
      </c>
      <c r="AM276" s="136" t="s">
        <v>116</v>
      </c>
      <c r="AN276" s="136" t="s">
        <v>120</v>
      </c>
      <c r="AO276" s="136" t="s">
        <v>8</v>
      </c>
      <c r="AP276" s="136" t="s">
        <v>224</v>
      </c>
      <c r="AQ276" s="136" t="s">
        <v>128</v>
      </c>
      <c r="AR276" s="136" t="s">
        <v>230</v>
      </c>
      <c r="AS276" s="136" t="s">
        <v>116</v>
      </c>
      <c r="AT276" s="136" t="s">
        <v>120</v>
      </c>
      <c r="AU276" s="136" t="s">
        <v>12</v>
      </c>
      <c r="AV276" s="136" t="s">
        <v>120</v>
      </c>
      <c r="AX276" s="136" t="str">
        <f>IF(AI233="","",IF(B276="","",B276))</f>
        <v>PV</v>
      </c>
      <c r="AY276" s="136" t="str">
        <f>IF(AI233="","",IF(C276="","",C276))</f>
        <v>-</v>
      </c>
      <c r="AZ276" s="136" t="str">
        <f>IF(AI233="","",IF(D276="","",D276))</f>
        <v>EA</v>
      </c>
      <c r="BA276" s="136" t="str">
        <f>IF(AI233="","",IF(E276="","",E276))</f>
        <v>FP</v>
      </c>
      <c r="BB276" s="136" t="str">
        <f>IF(AI233="","",IF(F276="","",F276))</f>
        <v>PV</v>
      </c>
      <c r="BC276" s="136" t="str">
        <f>IF(AI233="","",IF(G276="","",G276))</f>
        <v>-</v>
      </c>
      <c r="BD276" s="136" t="str">
        <f>IF(AI233="","",IF(H276="","",H276))</f>
        <v>EA</v>
      </c>
      <c r="BE276" s="136" t="str">
        <f>IF(AI233="","",IF(I276="","",I276))</f>
        <v>FP</v>
      </c>
      <c r="BF276" s="136" t="str">
        <f>IF(AI233="","",IF(J276="","",J276))</f>
        <v>EG</v>
      </c>
      <c r="BG276" s="136" t="str">
        <f>IF(AI233="","",IF(K276="","",K276))</f>
        <v>AL</v>
      </c>
      <c r="BH276" s="136" t="str">
        <f>IF(AI233="","",IF(L276="","",L276))</f>
        <v>PV</v>
      </c>
      <c r="BI276" s="136" t="str">
        <f>IF(AI233="","",IF(M276="","",M276))</f>
        <v>-</v>
      </c>
      <c r="BJ276" s="136" t="str">
        <f>IF(AI233="","",IF(N276="","",N276))</f>
        <v>HR</v>
      </c>
      <c r="BK276" s="136" t="str">
        <f>IF(AI233="","",IF(O276="","",O276))</f>
        <v>-</v>
      </c>
      <c r="BN276" s="136" t="str">
        <f t="shared" si="155"/>
        <v>Momento Avaliativo</v>
      </c>
      <c r="BO276" s="136" t="str">
        <f t="shared" si="155"/>
        <v>MA</v>
      </c>
      <c r="BP276" s="136">
        <f>IF(BO276="","",COUNTIFS(AX237:BK284,BO276)*0.5)</f>
        <v>0</v>
      </c>
      <c r="BQ276" s="136" t="str">
        <f t="shared" si="156"/>
        <v>Momento Avaliativo</v>
      </c>
      <c r="BR276" s="136" t="str">
        <f t="shared" si="156"/>
        <v>MA</v>
      </c>
      <c r="BS276" s="136" t="str">
        <f t="shared" si="157"/>
        <v>Momento Avaliativo</v>
      </c>
      <c r="BT276" s="136">
        <f t="shared" si="163"/>
        <v>1.5</v>
      </c>
      <c r="BU276" s="136">
        <f t="shared" si="164"/>
        <v>1.5</v>
      </c>
      <c r="CA276" s="183">
        <f>'INFO BASE'!L339</f>
        <v>0</v>
      </c>
      <c r="CB276" s="183">
        <f>'INFO BASE'!M339</f>
        <v>0</v>
      </c>
      <c r="CR276" s="177" t="str">
        <f t="shared" si="145"/>
        <v>PV</v>
      </c>
      <c r="CS276" s="177">
        <f t="shared" si="146"/>
        <v>0</v>
      </c>
      <c r="CT276" s="177" t="str">
        <f t="shared" si="145"/>
        <v>EA</v>
      </c>
      <c r="CU276" s="177" t="str">
        <f t="shared" si="147"/>
        <v>EAFP</v>
      </c>
      <c r="CV276" s="177" t="str">
        <f t="shared" si="145"/>
        <v>PV</v>
      </c>
      <c r="CW276" s="177">
        <f t="shared" si="148"/>
        <v>0</v>
      </c>
      <c r="CX276" s="177" t="str">
        <f t="shared" si="145"/>
        <v>EA</v>
      </c>
      <c r="CY276" s="177" t="str">
        <f t="shared" si="149"/>
        <v>EAFP</v>
      </c>
      <c r="CZ276" s="177" t="str">
        <f t="shared" si="145"/>
        <v>EG</v>
      </c>
      <c r="DA276" s="177" t="str">
        <f t="shared" si="150"/>
        <v>EGAL</v>
      </c>
      <c r="DB276" s="177" t="str">
        <f t="shared" si="145"/>
        <v>PV</v>
      </c>
      <c r="DC276" s="177">
        <f t="shared" si="151"/>
        <v>0</v>
      </c>
      <c r="DD276" s="177" t="str">
        <f t="shared" si="152"/>
        <v>HR</v>
      </c>
      <c r="DE276" s="177" t="str">
        <f t="shared" si="153"/>
        <v>HR-</v>
      </c>
    </row>
    <row r="277" spans="1:120" ht="18" customHeight="1" x14ac:dyDescent="0.3">
      <c r="A277" s="81">
        <v>0.83333333333336002</v>
      </c>
      <c r="B277" s="166" t="s">
        <v>116</v>
      </c>
      <c r="C277" s="130" t="s">
        <v>120</v>
      </c>
      <c r="D277" s="169" t="s">
        <v>8</v>
      </c>
      <c r="E277" s="130" t="s">
        <v>224</v>
      </c>
      <c r="F277" s="169" t="s">
        <v>116</v>
      </c>
      <c r="G277" s="130" t="s">
        <v>120</v>
      </c>
      <c r="H277" s="169" t="s">
        <v>8</v>
      </c>
      <c r="I277" s="130" t="s">
        <v>224</v>
      </c>
      <c r="J277" s="169" t="s">
        <v>128</v>
      </c>
      <c r="K277" s="130" t="s">
        <v>230</v>
      </c>
      <c r="L277" s="169" t="s">
        <v>116</v>
      </c>
      <c r="M277" s="130" t="s">
        <v>120</v>
      </c>
      <c r="N277" s="169" t="s">
        <v>12</v>
      </c>
      <c r="O277" s="154" t="s">
        <v>120</v>
      </c>
      <c r="P277" s="6">
        <v>0</v>
      </c>
      <c r="Q277" s="99" t="str">
        <f>IF('INFO BASE'!$C$22="","",'INFO BASE'!$C$22)</f>
        <v>Aulas Problemas</v>
      </c>
      <c r="R277" s="87" t="str">
        <f t="shared" si="162"/>
        <v>APB</v>
      </c>
      <c r="S277" s="88">
        <f t="shared" si="159"/>
        <v>-0.25</v>
      </c>
      <c r="T277" s="100">
        <f>IF(VLOOKUP(Q277,'INFO BASE'!$B$40:$I$54,IF(R277='INFO BASE'!$B$32,3,IF(R277='INFO BASE'!$B$33,4,IF(R277='INFO BASE'!$B$34,5,IF(R277='INFO BASE'!$B$35,6,IF(R277='INFO BASE'!$B$36,7,IF(R277='INFO BASE'!$B$37,8,2)))))),0)=0,"",VLOOKUP(Q277,'INFO BASE'!$B$40:$I$54,IF(R277='INFO BASE'!$B$32,3,IF(R277='INFO BASE'!$B$33,4,IF(R277='INFO BASE'!$B$34,5,IF(R277='INFO BASE'!$B$35,6,IF(R277='INFO BASE'!$B$36,7,IF(R277='INFO BASE'!$B$37,8,2)))))),0))</f>
        <v>6</v>
      </c>
      <c r="U277" s="89">
        <f t="shared" si="171"/>
        <v>4.5</v>
      </c>
      <c r="V277" s="100">
        <f>IF(R277="","",COUNTIFS(AI237:AV284,R277)*0.5)</f>
        <v>4.5</v>
      </c>
      <c r="W277" s="90">
        <f>IF(AH233="","-",IF(V277=0,U277,IFERROR((U277/V277)-1,"-")))</f>
        <v>0</v>
      </c>
      <c r="X277" s="201">
        <f t="shared" si="160"/>
        <v>0</v>
      </c>
      <c r="Y277" s="271"/>
      <c r="Z277" s="272"/>
      <c r="AA277" s="272"/>
      <c r="AB277" s="272"/>
      <c r="AC277" s="272"/>
      <c r="AD277" s="272"/>
      <c r="AE277" s="272"/>
      <c r="AF277" s="273"/>
      <c r="AH277" s="136">
        <v>0.83333333333336002</v>
      </c>
      <c r="AI277" s="136" t="s">
        <v>116</v>
      </c>
      <c r="AJ277" s="136" t="s">
        <v>120</v>
      </c>
      <c r="AK277" s="136" t="s">
        <v>8</v>
      </c>
      <c r="AL277" s="136" t="s">
        <v>224</v>
      </c>
      <c r="AM277" s="136" t="s">
        <v>116</v>
      </c>
      <c r="AN277" s="136" t="s">
        <v>120</v>
      </c>
      <c r="AO277" s="136" t="s">
        <v>8</v>
      </c>
      <c r="AP277" s="136" t="s">
        <v>224</v>
      </c>
      <c r="AQ277" s="136" t="s">
        <v>128</v>
      </c>
      <c r="AR277" s="136" t="s">
        <v>230</v>
      </c>
      <c r="AS277" s="136" t="s">
        <v>116</v>
      </c>
      <c r="AT277" s="136" t="s">
        <v>120</v>
      </c>
      <c r="AU277" s="136" t="s">
        <v>12</v>
      </c>
      <c r="AV277" s="136" t="s">
        <v>120</v>
      </c>
      <c r="AX277" s="136" t="str">
        <f>IF(AI233="","",IF(B277="","",B277))</f>
        <v>PV</v>
      </c>
      <c r="AY277" s="136" t="str">
        <f>IF(AI233="","",IF(C277="","",C277))</f>
        <v>-</v>
      </c>
      <c r="AZ277" s="136" t="str">
        <f>IF(AI233="","",IF(D277="","",D277))</f>
        <v>EA</v>
      </c>
      <c r="BA277" s="136" t="str">
        <f>IF(AI233="","",IF(E277="","",E277))</f>
        <v>FP</v>
      </c>
      <c r="BB277" s="136" t="str">
        <f>IF(AI233="","",IF(F277="","",F277))</f>
        <v>PV</v>
      </c>
      <c r="BC277" s="136" t="str">
        <f>IF(AI233="","",IF(G277="","",G277))</f>
        <v>-</v>
      </c>
      <c r="BD277" s="136" t="str">
        <f>IF(AI233="","",IF(H277="","",H277))</f>
        <v>EA</v>
      </c>
      <c r="BE277" s="136" t="str">
        <f>IF(AI233="","",IF(I277="","",I277))</f>
        <v>FP</v>
      </c>
      <c r="BF277" s="136" t="str">
        <f>IF(AI233="","",IF(J277="","",J277))</f>
        <v>EG</v>
      </c>
      <c r="BG277" s="136" t="str">
        <f>IF(AI233="","",IF(K277="","",K277))</f>
        <v>AL</v>
      </c>
      <c r="BH277" s="136" t="str">
        <f>IF(AI233="","",IF(L277="","",L277))</f>
        <v>PV</v>
      </c>
      <c r="BI277" s="136" t="str">
        <f>IF(AI233="","",IF(M277="","",M277))</f>
        <v>-</v>
      </c>
      <c r="BJ277" s="136" t="str">
        <f>IF(AI233="","",IF(N277="","",N277))</f>
        <v>HR</v>
      </c>
      <c r="BK277" s="136" t="str">
        <f>IF(AI233="","",IF(O277="","",O277))</f>
        <v>-</v>
      </c>
      <c r="BN277" s="136" t="str">
        <f t="shared" si="155"/>
        <v>Horário de Dúvidas</v>
      </c>
      <c r="BO277" s="136" t="str">
        <f t="shared" si="155"/>
        <v>HDV</v>
      </c>
      <c r="BP277" s="136">
        <f>IF(BO277="","",COUNTIFS(AX237:BK284,BO277)*0.5)</f>
        <v>0</v>
      </c>
      <c r="BQ277" s="136" t="str">
        <f t="shared" si="156"/>
        <v>Horário de Dúvidas</v>
      </c>
      <c r="BR277" s="136" t="str">
        <f t="shared" si="156"/>
        <v>HDV</v>
      </c>
      <c r="BS277" s="136" t="str">
        <f t="shared" si="157"/>
        <v>Horário de Dúvidas</v>
      </c>
      <c r="BT277" s="136">
        <f t="shared" si="163"/>
        <v>0</v>
      </c>
      <c r="BU277" s="136">
        <f t="shared" si="164"/>
        <v>0</v>
      </c>
      <c r="CA277" s="183">
        <f>'INFO BASE'!L340</f>
        <v>0</v>
      </c>
      <c r="CB277" s="183">
        <f>'INFO BASE'!M340</f>
        <v>0</v>
      </c>
      <c r="CR277" s="177" t="str">
        <f t="shared" si="145"/>
        <v>PV</v>
      </c>
      <c r="CS277" s="177">
        <f t="shared" si="146"/>
        <v>0</v>
      </c>
      <c r="CT277" s="177" t="str">
        <f t="shared" si="145"/>
        <v>EA</v>
      </c>
      <c r="CU277" s="177" t="str">
        <f t="shared" si="147"/>
        <v>EAFP</v>
      </c>
      <c r="CV277" s="177" t="str">
        <f t="shared" si="145"/>
        <v>PV</v>
      </c>
      <c r="CW277" s="177">
        <f t="shared" si="148"/>
        <v>0</v>
      </c>
      <c r="CX277" s="177" t="str">
        <f t="shared" si="145"/>
        <v>EA</v>
      </c>
      <c r="CY277" s="177" t="str">
        <f t="shared" si="149"/>
        <v>EAFP</v>
      </c>
      <c r="CZ277" s="177" t="str">
        <f t="shared" si="145"/>
        <v>EG</v>
      </c>
      <c r="DA277" s="177" t="str">
        <f t="shared" si="150"/>
        <v>EGAL</v>
      </c>
      <c r="DB277" s="177" t="str">
        <f t="shared" si="145"/>
        <v>PV</v>
      </c>
      <c r="DC277" s="177">
        <f t="shared" si="151"/>
        <v>0</v>
      </c>
      <c r="DD277" s="177" t="str">
        <f t="shared" si="152"/>
        <v>HR</v>
      </c>
      <c r="DE277" s="177" t="str">
        <f t="shared" si="153"/>
        <v>HR-</v>
      </c>
    </row>
    <row r="278" spans="1:120" ht="18" customHeight="1" thickBot="1" x14ac:dyDescent="0.35">
      <c r="A278" s="81">
        <v>0.85416666666669405</v>
      </c>
      <c r="B278" s="166" t="s">
        <v>116</v>
      </c>
      <c r="C278" s="130" t="s">
        <v>120</v>
      </c>
      <c r="D278" s="169" t="s">
        <v>116</v>
      </c>
      <c r="E278" s="130" t="s">
        <v>120</v>
      </c>
      <c r="F278" s="169" t="s">
        <v>116</v>
      </c>
      <c r="G278" s="130" t="s">
        <v>120</v>
      </c>
      <c r="H278" s="169" t="s">
        <v>116</v>
      </c>
      <c r="I278" s="130" t="s">
        <v>120</v>
      </c>
      <c r="J278" s="169" t="s">
        <v>128</v>
      </c>
      <c r="K278" s="130" t="s">
        <v>230</v>
      </c>
      <c r="L278" s="169" t="s">
        <v>116</v>
      </c>
      <c r="M278" s="130" t="s">
        <v>120</v>
      </c>
      <c r="N278" s="169" t="s">
        <v>12</v>
      </c>
      <c r="O278" s="154" t="s">
        <v>120</v>
      </c>
      <c r="P278" s="6">
        <v>0</v>
      </c>
      <c r="Q278" s="101" t="str">
        <f>IF('INFO BASE'!$C$23="","",'INFO BASE'!$C$23)</f>
        <v>Laboratórios</v>
      </c>
      <c r="R278" s="93" t="str">
        <f t="shared" si="162"/>
        <v>LAB</v>
      </c>
      <c r="S278" s="94">
        <f t="shared" si="159"/>
        <v>0</v>
      </c>
      <c r="T278" s="95">
        <f>IF(VLOOKUP(Q278,'INFO BASE'!$B$40:$I$54,IF(R278='INFO BASE'!$B$32,3,IF(R278='INFO BASE'!$B$33,4,IF(R278='INFO BASE'!$B$34,5,IF(R278='INFO BASE'!$B$35,6,IF(R278='INFO BASE'!$B$36,7,IF(R278='INFO BASE'!$B$37,8,2)))))),0)=0,"",VLOOKUP(Q278,'INFO BASE'!$B$40:$I$54,IF(R278='INFO BASE'!$B$32,3,IF(R278='INFO BASE'!$B$33,4,IF(R278='INFO BASE'!$B$34,5,IF(R278='INFO BASE'!$B$35,6,IF(R278='INFO BASE'!$B$36,7,IF(R278='INFO BASE'!$B$37,8,2)))))),0))</f>
        <v>1.5</v>
      </c>
      <c r="U278" s="95">
        <f t="shared" si="171"/>
        <v>1.5</v>
      </c>
      <c r="V278" s="95">
        <f>IF(R278="","",COUNTIFS(AI237:AV284,R278)*0.5)</f>
        <v>1.5</v>
      </c>
      <c r="W278" s="96">
        <f>IF(AH233="","-",IF(V278=0,U278,IFERROR((U278/V278)-1,"-")))</f>
        <v>0</v>
      </c>
      <c r="X278" s="201">
        <f t="shared" si="160"/>
        <v>0</v>
      </c>
      <c r="Y278" s="271"/>
      <c r="Z278" s="272"/>
      <c r="AA278" s="272"/>
      <c r="AB278" s="272"/>
      <c r="AC278" s="272"/>
      <c r="AD278" s="272"/>
      <c r="AE278" s="272"/>
      <c r="AF278" s="273"/>
      <c r="AH278" s="136">
        <v>0.85416666666669405</v>
      </c>
      <c r="AI278" s="136" t="s">
        <v>116</v>
      </c>
      <c r="AJ278" s="136" t="s">
        <v>120</v>
      </c>
      <c r="AK278" s="136" t="s">
        <v>116</v>
      </c>
      <c r="AL278" s="136" t="s">
        <v>120</v>
      </c>
      <c r="AM278" s="136" t="s">
        <v>116</v>
      </c>
      <c r="AN278" s="136" t="s">
        <v>120</v>
      </c>
      <c r="AO278" s="136" t="s">
        <v>116</v>
      </c>
      <c r="AP278" s="136" t="s">
        <v>120</v>
      </c>
      <c r="AQ278" s="136" t="s">
        <v>128</v>
      </c>
      <c r="AR278" s="136" t="s">
        <v>230</v>
      </c>
      <c r="AS278" s="136" t="s">
        <v>116</v>
      </c>
      <c r="AT278" s="136" t="s">
        <v>120</v>
      </c>
      <c r="AU278" s="136" t="s">
        <v>12</v>
      </c>
      <c r="AV278" s="136" t="s">
        <v>120</v>
      </c>
      <c r="AX278" s="136" t="str">
        <f>IF(AI233="","",IF(B278="","",B278))</f>
        <v>PV</v>
      </c>
      <c r="AY278" s="136" t="str">
        <f>IF(AI233="","",IF(C278="","",C278))</f>
        <v>-</v>
      </c>
      <c r="AZ278" s="136" t="str">
        <f>IF(AI233="","",IF(D278="","",D278))</f>
        <v>PV</v>
      </c>
      <c r="BA278" s="136" t="str">
        <f>IF(AI233="","",IF(E278="","",E278))</f>
        <v>-</v>
      </c>
      <c r="BB278" s="136" t="str">
        <f>IF(AI233="","",IF(F278="","",F278))</f>
        <v>PV</v>
      </c>
      <c r="BC278" s="136" t="str">
        <f>IF(AI233="","",IF(G278="","",G278))</f>
        <v>-</v>
      </c>
      <c r="BD278" s="136" t="str">
        <f>IF(AI233="","",IF(H278="","",H278))</f>
        <v>PV</v>
      </c>
      <c r="BE278" s="136" t="str">
        <f>IF(AI233="","",IF(I278="","",I278))</f>
        <v>-</v>
      </c>
      <c r="BF278" s="136" t="str">
        <f>IF(AI233="","",IF(J278="","",J278))</f>
        <v>EG</v>
      </c>
      <c r="BG278" s="136" t="str">
        <f>IF(AI233="","",IF(K278="","",K278))</f>
        <v>AL</v>
      </c>
      <c r="BH278" s="136" t="str">
        <f>IF(AI233="","",IF(L278="","",L278))</f>
        <v>PV</v>
      </c>
      <c r="BI278" s="136" t="str">
        <f>IF(AI233="","",IF(M278="","",M278))</f>
        <v>-</v>
      </c>
      <c r="BJ278" s="136" t="str">
        <f>IF(AI233="","",IF(N278="","",N278))</f>
        <v>HR</v>
      </c>
      <c r="BK278" s="136" t="str">
        <f>IF(AI233="","",IF(O278="","",O278))</f>
        <v>-</v>
      </c>
      <c r="BN278" s="136" t="str">
        <f t="shared" si="155"/>
        <v>Privado</v>
      </c>
      <c r="BO278" s="136" t="str">
        <f t="shared" si="155"/>
        <v>PV</v>
      </c>
      <c r="BP278" s="136">
        <f>IF(BO278="","",COUNTIFS(AX237:BK284,BO278)*0.5)</f>
        <v>42</v>
      </c>
      <c r="BQ278" s="136" t="str">
        <f t="shared" si="156"/>
        <v>Privado</v>
      </c>
      <c r="BR278" s="136" t="str">
        <f t="shared" si="156"/>
        <v>PV</v>
      </c>
      <c r="BS278" s="136" t="str">
        <f t="shared" si="157"/>
        <v>Privado</v>
      </c>
      <c r="BT278" s="136">
        <f t="shared" si="163"/>
        <v>384</v>
      </c>
      <c r="BU278" s="136">
        <f t="shared" si="164"/>
        <v>369</v>
      </c>
      <c r="CA278" s="183">
        <f>'INFO BASE'!L341</f>
        <v>0</v>
      </c>
      <c r="CB278" s="183">
        <f>'INFO BASE'!M341</f>
        <v>0</v>
      </c>
      <c r="CR278" s="177" t="str">
        <f t="shared" si="145"/>
        <v>PV</v>
      </c>
      <c r="CS278" s="177">
        <f t="shared" si="146"/>
        <v>0</v>
      </c>
      <c r="CT278" s="177" t="str">
        <f t="shared" si="145"/>
        <v>PV</v>
      </c>
      <c r="CU278" s="177">
        <f t="shared" si="147"/>
        <v>0</v>
      </c>
      <c r="CV278" s="177" t="str">
        <f t="shared" si="145"/>
        <v>PV</v>
      </c>
      <c r="CW278" s="177">
        <f t="shared" si="148"/>
        <v>0</v>
      </c>
      <c r="CX278" s="177" t="str">
        <f t="shared" si="145"/>
        <v>PV</v>
      </c>
      <c r="CY278" s="177">
        <f t="shared" si="149"/>
        <v>0</v>
      </c>
      <c r="CZ278" s="177" t="str">
        <f t="shared" si="145"/>
        <v>EG</v>
      </c>
      <c r="DA278" s="177" t="str">
        <f t="shared" si="150"/>
        <v>EGAL</v>
      </c>
      <c r="DB278" s="177" t="str">
        <f t="shared" si="145"/>
        <v>PV</v>
      </c>
      <c r="DC278" s="177">
        <f t="shared" si="151"/>
        <v>0</v>
      </c>
      <c r="DD278" s="177" t="str">
        <f t="shared" si="152"/>
        <v>HR</v>
      </c>
      <c r="DE278" s="177" t="str">
        <f t="shared" si="153"/>
        <v>HR-</v>
      </c>
    </row>
    <row r="279" spans="1:120" ht="18" customHeight="1" x14ac:dyDescent="0.3">
      <c r="A279" s="81">
        <v>0.87500000000002798</v>
      </c>
      <c r="B279" s="166" t="s">
        <v>12</v>
      </c>
      <c r="C279" s="130" t="s">
        <v>120</v>
      </c>
      <c r="D279" s="169" t="s">
        <v>12</v>
      </c>
      <c r="E279" s="130" t="s">
        <v>120</v>
      </c>
      <c r="F279" s="169" t="s">
        <v>12</v>
      </c>
      <c r="G279" s="130" t="s">
        <v>120</v>
      </c>
      <c r="H279" s="169" t="s">
        <v>12</v>
      </c>
      <c r="I279" s="130" t="s">
        <v>120</v>
      </c>
      <c r="J279" s="169" t="s">
        <v>12</v>
      </c>
      <c r="K279" s="130" t="s">
        <v>120</v>
      </c>
      <c r="L279" s="169" t="s">
        <v>116</v>
      </c>
      <c r="M279" s="130" t="s">
        <v>120</v>
      </c>
      <c r="N279" s="169" t="s">
        <v>12</v>
      </c>
      <c r="O279" s="154" t="s">
        <v>120</v>
      </c>
      <c r="P279" s="6">
        <v>0</v>
      </c>
      <c r="Q279" s="102" t="str">
        <f>IF('INFO BASE'!$C$24="","",'INFO BASE'!$C$24)</f>
        <v>Momento Avaliativo</v>
      </c>
      <c r="R279" s="82" t="str">
        <f t="shared" si="162"/>
        <v>MA</v>
      </c>
      <c r="S279" s="83" t="str">
        <f t="shared" si="159"/>
        <v>-</v>
      </c>
      <c r="T279" s="84" t="str">
        <f>IF(VLOOKUP(Q279,'INFO BASE'!$B$40:$I$54,IF(R279='INFO BASE'!$B$32,3,IF(R279='INFO BASE'!$B$33,4,IF(R279='INFO BASE'!$B$34,5,IF(R279='INFO BASE'!$B$35,6,IF(R279='INFO BASE'!$B$36,7,IF(R279='INFO BASE'!$B$37,8,2)))))),0)=0,"",VLOOKUP(Q279,'INFO BASE'!$B$40:$I$54,IF(R279='INFO BASE'!$B$32,3,IF(R279='INFO BASE'!$B$33,4,IF(R279='INFO BASE'!$B$34,5,IF(R279='INFO BASE'!$B$35,6,IF(R279='INFO BASE'!$B$36,7,IF(R279='INFO BASE'!$B$37,8,2)))))),0))</f>
        <v/>
      </c>
      <c r="U279" s="84">
        <f t="shared" si="171"/>
        <v>0</v>
      </c>
      <c r="V279" s="84">
        <f>IF(R279="","",COUNTIFS(AI237:AV284,R279)*0.5)</f>
        <v>0</v>
      </c>
      <c r="W279" s="85">
        <f>IF(AH233="","-",IF(V279=0,U279,IFERROR((U279/V279)-1,"-")))</f>
        <v>0</v>
      </c>
      <c r="X279" s="201">
        <f t="shared" si="160"/>
        <v>0</v>
      </c>
      <c r="Y279" s="277"/>
      <c r="Z279" s="278"/>
      <c r="AA279" s="278"/>
      <c r="AB279" s="278"/>
      <c r="AC279" s="278"/>
      <c r="AD279" s="278"/>
      <c r="AE279" s="278"/>
      <c r="AF279" s="279"/>
      <c r="AH279" s="136">
        <v>0.87500000000002798</v>
      </c>
      <c r="AI279" s="136" t="s">
        <v>12</v>
      </c>
      <c r="AJ279" s="136" t="s">
        <v>120</v>
      </c>
      <c r="AK279" s="136" t="s">
        <v>12</v>
      </c>
      <c r="AL279" s="136" t="s">
        <v>120</v>
      </c>
      <c r="AM279" s="136" t="s">
        <v>12</v>
      </c>
      <c r="AN279" s="136" t="s">
        <v>120</v>
      </c>
      <c r="AO279" s="136" t="s">
        <v>12</v>
      </c>
      <c r="AP279" s="136" t="s">
        <v>120</v>
      </c>
      <c r="AQ279" s="136" t="s">
        <v>12</v>
      </c>
      <c r="AR279" s="136" t="s">
        <v>120</v>
      </c>
      <c r="AS279" s="136" t="s">
        <v>116</v>
      </c>
      <c r="AT279" s="136" t="s">
        <v>120</v>
      </c>
      <c r="AU279" s="136" t="s">
        <v>12</v>
      </c>
      <c r="AV279" s="136" t="s">
        <v>120</v>
      </c>
      <c r="AX279" s="136" t="str">
        <f>IF(AI233="","",IF(B279="","",B279))</f>
        <v>HR</v>
      </c>
      <c r="AY279" s="136" t="str">
        <f>IF(AI233="","",IF(C279="","",C279))</f>
        <v>-</v>
      </c>
      <c r="AZ279" s="136" t="str">
        <f>IF(AI233="","",IF(D279="","",D279))</f>
        <v>HR</v>
      </c>
      <c r="BA279" s="136" t="str">
        <f>IF(AI233="","",IF(E279="","",E279))</f>
        <v>-</v>
      </c>
      <c r="BB279" s="136" t="str">
        <f>IF(AI233="","",IF(F279="","",F279))</f>
        <v>HR</v>
      </c>
      <c r="BC279" s="136" t="str">
        <f>IF(AI233="","",IF(G279="","",G279))</f>
        <v>-</v>
      </c>
      <c r="BD279" s="136" t="str">
        <f>IF(AI233="","",IF(H279="","",H279))</f>
        <v>HR</v>
      </c>
      <c r="BE279" s="136" t="str">
        <f>IF(AI233="","",IF(I279="","",I279))</f>
        <v>-</v>
      </c>
      <c r="BF279" s="136" t="str">
        <f>IF(AI233="","",IF(J279="","",J279))</f>
        <v>HR</v>
      </c>
      <c r="BG279" s="136" t="str">
        <f>IF(AI233="","",IF(K279="","",K279))</f>
        <v>-</v>
      </c>
      <c r="BH279" s="136" t="str">
        <f>IF(AI233="","",IF(L279="","",L279))</f>
        <v>PV</v>
      </c>
      <c r="BI279" s="136" t="str">
        <f>IF(AI233="","",IF(M279="","",M279))</f>
        <v>-</v>
      </c>
      <c r="BJ279" s="136" t="str">
        <f>IF(AI233="","",IF(N279="","",N279))</f>
        <v>HR</v>
      </c>
      <c r="BK279" s="136" t="str">
        <f>IF(AI233="","",IF(O279="","",O279))</f>
        <v>-</v>
      </c>
      <c r="BN279" s="136" t="str">
        <f t="shared" si="155"/>
        <v>Deslocação</v>
      </c>
      <c r="BO279" s="136" t="str">
        <f t="shared" si="155"/>
        <v>HD</v>
      </c>
      <c r="BP279" s="136">
        <f>IF(BO279="","",COUNTIFS(AX237:BK284,BO279)*0.5)</f>
        <v>14.5</v>
      </c>
      <c r="BQ279" s="136" t="str">
        <f t="shared" si="156"/>
        <v>Deslocação</v>
      </c>
      <c r="BR279" s="136" t="str">
        <f t="shared" si="156"/>
        <v>HD</v>
      </c>
      <c r="BS279" s="136" t="str">
        <f t="shared" si="157"/>
        <v>Deslocação</v>
      </c>
      <c r="BT279" s="136">
        <f t="shared" si="163"/>
        <v>116.5</v>
      </c>
      <c r="BU279" s="136">
        <f t="shared" si="164"/>
        <v>115</v>
      </c>
      <c r="CA279" s="183">
        <f>'INFO BASE'!L342</f>
        <v>0</v>
      </c>
      <c r="CB279" s="183">
        <f>'INFO BASE'!M342</f>
        <v>0</v>
      </c>
      <c r="CR279" s="177" t="str">
        <f t="shared" si="145"/>
        <v>HR</v>
      </c>
      <c r="CS279" s="177" t="str">
        <f t="shared" si="146"/>
        <v>HR-</v>
      </c>
      <c r="CT279" s="177" t="str">
        <f t="shared" si="145"/>
        <v>HR</v>
      </c>
      <c r="CU279" s="177" t="str">
        <f t="shared" si="147"/>
        <v>HR-</v>
      </c>
      <c r="CV279" s="177" t="str">
        <f t="shared" si="145"/>
        <v>HR</v>
      </c>
      <c r="CW279" s="177" t="str">
        <f t="shared" si="148"/>
        <v>HR-</v>
      </c>
      <c r="CX279" s="177" t="str">
        <f t="shared" si="145"/>
        <v>HR</v>
      </c>
      <c r="CY279" s="177" t="str">
        <f t="shared" si="149"/>
        <v>HR-</v>
      </c>
      <c r="CZ279" s="177" t="str">
        <f t="shared" si="145"/>
        <v>HR</v>
      </c>
      <c r="DA279" s="177" t="str">
        <f t="shared" si="150"/>
        <v>HR-</v>
      </c>
      <c r="DB279" s="177" t="str">
        <f t="shared" si="145"/>
        <v>PV</v>
      </c>
      <c r="DC279" s="177">
        <f t="shared" si="151"/>
        <v>0</v>
      </c>
      <c r="DD279" s="177" t="str">
        <f t="shared" si="152"/>
        <v>HR</v>
      </c>
      <c r="DE279" s="177" t="str">
        <f t="shared" si="153"/>
        <v>HR-</v>
      </c>
    </row>
    <row r="280" spans="1:120" ht="18" customHeight="1" x14ac:dyDescent="0.3">
      <c r="A280" s="81">
        <v>0.89583333333336201</v>
      </c>
      <c r="B280" s="166" t="s">
        <v>12</v>
      </c>
      <c r="C280" s="130" t="s">
        <v>120</v>
      </c>
      <c r="D280" s="169" t="s">
        <v>12</v>
      </c>
      <c r="E280" s="130" t="s">
        <v>120</v>
      </c>
      <c r="F280" s="169" t="s">
        <v>12</v>
      </c>
      <c r="G280" s="130" t="s">
        <v>120</v>
      </c>
      <c r="H280" s="169" t="s">
        <v>12</v>
      </c>
      <c r="I280" s="130" t="s">
        <v>120</v>
      </c>
      <c r="J280" s="169" t="s">
        <v>12</v>
      </c>
      <c r="K280" s="130" t="s">
        <v>120</v>
      </c>
      <c r="L280" s="169" t="s">
        <v>116</v>
      </c>
      <c r="M280" s="130" t="s">
        <v>120</v>
      </c>
      <c r="N280" s="169" t="s">
        <v>8</v>
      </c>
      <c r="O280" s="154" t="s">
        <v>226</v>
      </c>
      <c r="P280" s="6">
        <v>0</v>
      </c>
      <c r="Q280" s="103" t="str">
        <f>IF('INFO BASE'!$C$25="","",'INFO BASE'!$C$25)</f>
        <v>Horário de Dúvidas</v>
      </c>
      <c r="R280" s="87" t="str">
        <f t="shared" si="162"/>
        <v>HDV</v>
      </c>
      <c r="S280" s="88">
        <f t="shared" si="159"/>
        <v>-1</v>
      </c>
      <c r="T280" s="89">
        <f>IF(VLOOKUP(Q280,'INFO BASE'!$B$40:$I$54,IF(R280='INFO BASE'!$B$32,3,IF(R280='INFO BASE'!$B$33,4,IF(R280='INFO BASE'!$B$34,5,IF(R280='INFO BASE'!$B$35,6,IF(R280='INFO BASE'!$B$36,7,IF(R280='INFO BASE'!$B$37,8,2)))))),0)=0,"",VLOOKUP(Q280,'INFO BASE'!$B$40:$I$54,IF(R280='INFO BASE'!$B$32,3,IF(R280='INFO BASE'!$B$33,4,IF(R280='INFO BASE'!$B$34,5,IF(R280='INFO BASE'!$B$35,6,IF(R280='INFO BASE'!$B$36,7,IF(R280='INFO BASE'!$B$37,8,2)))))),0))</f>
        <v>3</v>
      </c>
      <c r="U280" s="89">
        <f t="shared" si="171"/>
        <v>0</v>
      </c>
      <c r="V280" s="89">
        <f>IF(R280="","",COUNTIFS(AI237:AV284,R280)*0.5)</f>
        <v>0</v>
      </c>
      <c r="W280" s="90">
        <f>IF(AH233="","-",IF(V280=0,U280,IFERROR((U280/V280)-1,"-")))</f>
        <v>0</v>
      </c>
      <c r="X280" s="201">
        <f t="shared" si="160"/>
        <v>0</v>
      </c>
      <c r="Y280" s="271"/>
      <c r="Z280" s="272"/>
      <c r="AA280" s="272"/>
      <c r="AB280" s="272"/>
      <c r="AC280" s="272"/>
      <c r="AD280" s="272"/>
      <c r="AE280" s="272"/>
      <c r="AF280" s="273"/>
      <c r="AH280" s="136">
        <v>0.89583333333336201</v>
      </c>
      <c r="AI280" s="136" t="s">
        <v>12</v>
      </c>
      <c r="AJ280" s="136" t="s">
        <v>120</v>
      </c>
      <c r="AK280" s="136" t="s">
        <v>12</v>
      </c>
      <c r="AL280" s="136" t="s">
        <v>120</v>
      </c>
      <c r="AM280" s="136" t="s">
        <v>12</v>
      </c>
      <c r="AN280" s="136" t="s">
        <v>120</v>
      </c>
      <c r="AO280" s="136" t="s">
        <v>12</v>
      </c>
      <c r="AP280" s="136" t="s">
        <v>120</v>
      </c>
      <c r="AQ280" s="136" t="s">
        <v>12</v>
      </c>
      <c r="AR280" s="136" t="s">
        <v>120</v>
      </c>
      <c r="AS280" s="136" t="s">
        <v>116</v>
      </c>
      <c r="AT280" s="136" t="s">
        <v>120</v>
      </c>
      <c r="AU280" s="136" t="s">
        <v>8</v>
      </c>
      <c r="AV280" s="136" t="s">
        <v>226</v>
      </c>
      <c r="AX280" s="136" t="str">
        <f>IF(AI233="","",IF(B280="","",B280))</f>
        <v>HR</v>
      </c>
      <c r="AY280" s="136" t="str">
        <f>IF(AI233="","",IF(C280="","",C280))</f>
        <v>-</v>
      </c>
      <c r="AZ280" s="136" t="str">
        <f>IF(AI233="","",IF(D280="","",D280))</f>
        <v>HR</v>
      </c>
      <c r="BA280" s="136" t="str">
        <f>IF(AI233="","",IF(E280="","",E280))</f>
        <v>-</v>
      </c>
      <c r="BB280" s="136" t="str">
        <f>IF(AI233="","",IF(F280="","",F280))</f>
        <v>HR</v>
      </c>
      <c r="BC280" s="136" t="str">
        <f>IF(AI233="","",IF(G280="","",G280))</f>
        <v>-</v>
      </c>
      <c r="BD280" s="136" t="str">
        <f>IF(AI233="","",IF(H280="","",H280))</f>
        <v>HR</v>
      </c>
      <c r="BE280" s="136" t="str">
        <f>IF(AI233="","",IF(I280="","",I280))</f>
        <v>-</v>
      </c>
      <c r="BF280" s="136" t="str">
        <f>IF(AI233="","",IF(J280="","",J280))</f>
        <v>HR</v>
      </c>
      <c r="BG280" s="136" t="str">
        <f>IF(AI233="","",IF(K280="","",K280))</f>
        <v>-</v>
      </c>
      <c r="BH280" s="136" t="str">
        <f>IF(AI233="","",IF(L280="","",L280))</f>
        <v>PV</v>
      </c>
      <c r="BI280" s="136" t="str">
        <f>IF(AI233="","",IF(M280="","",M280))</f>
        <v>-</v>
      </c>
      <c r="BJ280" s="136" t="str">
        <f>IF(AI233="","",IF(N280="","",N280))</f>
        <v>EA</v>
      </c>
      <c r="BK280" s="136" t="str">
        <f>IF(AI233="","",IF(O280="","",O280))</f>
        <v>IEI</v>
      </c>
      <c r="BN280" s="136" t="str">
        <f t="shared" si="155"/>
        <v>Refeição</v>
      </c>
      <c r="BO280" s="136" t="str">
        <f t="shared" si="155"/>
        <v>HR</v>
      </c>
      <c r="BP280" s="136">
        <f>IF(BO280="","",COUNTIFS(AX237:BK284,BO280)*0.5)</f>
        <v>16.5</v>
      </c>
      <c r="BQ280" s="136" t="str">
        <f t="shared" si="156"/>
        <v>Refeição</v>
      </c>
      <c r="BR280" s="136" t="str">
        <f t="shared" si="156"/>
        <v>HR</v>
      </c>
      <c r="BS280" s="136" t="str">
        <f t="shared" si="157"/>
        <v>Refeição</v>
      </c>
      <c r="BT280" s="136">
        <f t="shared" si="163"/>
        <v>126</v>
      </c>
      <c r="BU280" s="136">
        <f t="shared" si="164"/>
        <v>124</v>
      </c>
      <c r="CA280" s="183">
        <f>'INFO BASE'!L343</f>
        <v>0</v>
      </c>
      <c r="CB280" s="183">
        <f>'INFO BASE'!M343</f>
        <v>0</v>
      </c>
      <c r="CR280" s="177" t="str">
        <f t="shared" si="145"/>
        <v>HR</v>
      </c>
      <c r="CS280" s="177" t="str">
        <f t="shared" si="146"/>
        <v>HR-</v>
      </c>
      <c r="CT280" s="177" t="str">
        <f t="shared" si="145"/>
        <v>HR</v>
      </c>
      <c r="CU280" s="177" t="str">
        <f t="shared" si="147"/>
        <v>HR-</v>
      </c>
      <c r="CV280" s="177" t="str">
        <f t="shared" si="145"/>
        <v>HR</v>
      </c>
      <c r="CW280" s="177" t="str">
        <f t="shared" si="148"/>
        <v>HR-</v>
      </c>
      <c r="CX280" s="177" t="str">
        <f t="shared" ref="CR280:CZ284" si="172">IF(H280="",1,H280)</f>
        <v>HR</v>
      </c>
      <c r="CY280" s="177" t="str">
        <f t="shared" si="149"/>
        <v>HR-</v>
      </c>
      <c r="CZ280" s="177" t="str">
        <f t="shared" si="172"/>
        <v>HR</v>
      </c>
      <c r="DA280" s="177" t="str">
        <f t="shared" si="150"/>
        <v>HR-</v>
      </c>
      <c r="DB280" s="177" t="str">
        <f t="shared" ref="DB280:DB284" si="173">IF(L280="",1,L280)</f>
        <v>PV</v>
      </c>
      <c r="DC280" s="177">
        <f t="shared" si="151"/>
        <v>0</v>
      </c>
      <c r="DD280" s="177" t="str">
        <f t="shared" si="152"/>
        <v>EA</v>
      </c>
      <c r="DE280" s="177" t="str">
        <f t="shared" si="153"/>
        <v>EAIEI</v>
      </c>
    </row>
    <row r="281" spans="1:120" ht="18" customHeight="1" x14ac:dyDescent="0.3">
      <c r="A281" s="81">
        <v>0.91666666666669605</v>
      </c>
      <c r="B281" s="166" t="s">
        <v>116</v>
      </c>
      <c r="C281" s="130" t="s">
        <v>120</v>
      </c>
      <c r="D281" s="169" t="s">
        <v>116</v>
      </c>
      <c r="E281" s="130" t="s">
        <v>120</v>
      </c>
      <c r="F281" s="169" t="s">
        <v>116</v>
      </c>
      <c r="G281" s="130" t="s">
        <v>120</v>
      </c>
      <c r="H281" s="169" t="s">
        <v>116</v>
      </c>
      <c r="I281" s="130" t="s">
        <v>120</v>
      </c>
      <c r="J281" s="169" t="s">
        <v>128</v>
      </c>
      <c r="K281" s="130" t="s">
        <v>230</v>
      </c>
      <c r="L281" s="169" t="s">
        <v>12</v>
      </c>
      <c r="M281" s="130" t="s">
        <v>120</v>
      </c>
      <c r="N281" s="169" t="s">
        <v>8</v>
      </c>
      <c r="O281" s="154" t="s">
        <v>226</v>
      </c>
      <c r="P281" s="6">
        <v>0.2</v>
      </c>
      <c r="Q281" s="104" t="str">
        <f>IF('INFO BASE'!$C$26="","",'INFO BASE'!$C$26)</f>
        <v>Privado</v>
      </c>
      <c r="R281" s="87" t="str">
        <f t="shared" si="162"/>
        <v>PV</v>
      </c>
      <c r="S281" s="88">
        <f t="shared" si="159"/>
        <v>0.58490566037735858</v>
      </c>
      <c r="T281" s="89">
        <f>IF(VLOOKUP(Q281,'INFO BASE'!$B$40:$I$54,IF(R281='INFO BASE'!$B$32,3,IF(R281='INFO BASE'!$B$33,4,IF(R281='INFO BASE'!$B$34,5,IF(R281='INFO BASE'!$B$35,6,IF(R281='INFO BASE'!$B$36,7,IF(R281='INFO BASE'!$B$37,8,2)))))),0)=0,"",VLOOKUP(Q281,'INFO BASE'!$B$40:$I$54,IF(R281='INFO BASE'!$B$32,3,IF(R281='INFO BASE'!$B$33,4,IF(R281='INFO BASE'!$B$34,5,IF(R281='INFO BASE'!$B$35,6,IF(R281='INFO BASE'!$B$36,7,IF(R281='INFO BASE'!$B$37,8,2)))))),0))</f>
        <v>26.5</v>
      </c>
      <c r="U281" s="89">
        <f t="shared" si="171"/>
        <v>42</v>
      </c>
      <c r="V281" s="89">
        <f>IF(R281="","",COUNTIFS(AI237:AV284,R281)*0.5)</f>
        <v>46</v>
      </c>
      <c r="W281" s="90">
        <f>IF(AH233="","-",IF(V281=0,U281,IFERROR((U281/V281)-1,"-")))</f>
        <v>-8.6956521739130488E-2</v>
      </c>
      <c r="X281" s="202">
        <f t="shared" si="160"/>
        <v>0</v>
      </c>
      <c r="Y281" s="271"/>
      <c r="Z281" s="272"/>
      <c r="AA281" s="272"/>
      <c r="AB281" s="272"/>
      <c r="AC281" s="272"/>
      <c r="AD281" s="272"/>
      <c r="AE281" s="272"/>
      <c r="AF281" s="273"/>
      <c r="AH281" s="136">
        <v>0.91666666666669605</v>
      </c>
      <c r="AI281" s="136" t="s">
        <v>116</v>
      </c>
      <c r="AJ281" s="136" t="s">
        <v>120</v>
      </c>
      <c r="AK281" s="136" t="s">
        <v>116</v>
      </c>
      <c r="AL281" s="136" t="s">
        <v>120</v>
      </c>
      <c r="AM281" s="136" t="s">
        <v>116</v>
      </c>
      <c r="AN281" s="136" t="s">
        <v>120</v>
      </c>
      <c r="AO281" s="136" t="s">
        <v>116</v>
      </c>
      <c r="AP281" s="136" t="s">
        <v>120</v>
      </c>
      <c r="AQ281" s="136" t="s">
        <v>116</v>
      </c>
      <c r="AR281" s="136" t="s">
        <v>120</v>
      </c>
      <c r="AS281" s="136" t="s">
        <v>12</v>
      </c>
      <c r="AT281" s="136" t="s">
        <v>120</v>
      </c>
      <c r="AU281" s="136" t="s">
        <v>8</v>
      </c>
      <c r="AV281" s="136" t="s">
        <v>226</v>
      </c>
      <c r="AX281" s="136" t="str">
        <f>IF(AI233="","",IF(B281="","",B281))</f>
        <v>PV</v>
      </c>
      <c r="AY281" s="136" t="str">
        <f>IF(AI233="","",IF(C281="","",C281))</f>
        <v>-</v>
      </c>
      <c r="AZ281" s="136" t="str">
        <f>IF(AI233="","",IF(D281="","",D281))</f>
        <v>PV</v>
      </c>
      <c r="BA281" s="136" t="str">
        <f>IF(AI233="","",IF(E281="","",E281))</f>
        <v>-</v>
      </c>
      <c r="BB281" s="136" t="str">
        <f>IF(AI233="","",IF(F281="","",F281))</f>
        <v>PV</v>
      </c>
      <c r="BC281" s="136" t="str">
        <f>IF(AI233="","",IF(G281="","",G281))</f>
        <v>-</v>
      </c>
      <c r="BD281" s="136" t="str">
        <f>IF(AI233="","",IF(H281="","",H281))</f>
        <v>PV</v>
      </c>
      <c r="BE281" s="136" t="str">
        <f>IF(AI233="","",IF(I281="","",I281))</f>
        <v>-</v>
      </c>
      <c r="BF281" s="136" t="str">
        <f>IF(AI233="","",IF(J281="","",J281))</f>
        <v>EG</v>
      </c>
      <c r="BG281" s="136" t="str">
        <f>IF(AI233="","",IF(K281="","",K281))</f>
        <v>AL</v>
      </c>
      <c r="BH281" s="136" t="str">
        <f>IF(AI233="","",IF(L281="","",L281))</f>
        <v>HR</v>
      </c>
      <c r="BI281" s="136" t="str">
        <f>IF(AI233="","",IF(M281="","",M281))</f>
        <v>-</v>
      </c>
      <c r="BJ281" s="136" t="str">
        <f>IF(AI233="","",IF(N281="","",N281))</f>
        <v>EA</v>
      </c>
      <c r="BK281" s="136" t="str">
        <f>IF(AI233="","",IF(O281="","",O281))</f>
        <v>IEI</v>
      </c>
      <c r="BN281" s="136" t="str">
        <f t="shared" si="155"/>
        <v>Sono</v>
      </c>
      <c r="BO281" s="136" t="str">
        <f t="shared" si="155"/>
        <v>HS</v>
      </c>
      <c r="BP281" s="136">
        <f>IF(BO281="","",COUNTIFS(AX237:BK284,BO281)*0.5)</f>
        <v>54.5</v>
      </c>
      <c r="BQ281" s="136" t="str">
        <f t="shared" si="156"/>
        <v>Sono</v>
      </c>
      <c r="BR281" s="136" t="str">
        <f t="shared" si="156"/>
        <v>HS</v>
      </c>
      <c r="BS281" s="136" t="str">
        <f t="shared" si="157"/>
        <v>Sono</v>
      </c>
      <c r="BT281" s="136">
        <f t="shared" si="163"/>
        <v>417</v>
      </c>
      <c r="BU281" s="136">
        <f t="shared" si="164"/>
        <v>417.5</v>
      </c>
      <c r="CA281" s="183">
        <f>'INFO BASE'!L344</f>
        <v>0</v>
      </c>
      <c r="CB281" s="183">
        <f>'INFO BASE'!M344</f>
        <v>0</v>
      </c>
      <c r="CR281" s="177" t="str">
        <f t="shared" si="172"/>
        <v>PV</v>
      </c>
      <c r="CS281" s="177">
        <f t="shared" si="146"/>
        <v>0</v>
      </c>
      <c r="CT281" s="177" t="str">
        <f t="shared" si="172"/>
        <v>PV</v>
      </c>
      <c r="CU281" s="177">
        <f t="shared" si="147"/>
        <v>0</v>
      </c>
      <c r="CV281" s="177" t="str">
        <f t="shared" si="172"/>
        <v>PV</v>
      </c>
      <c r="CW281" s="177">
        <f t="shared" si="148"/>
        <v>0</v>
      </c>
      <c r="CX281" s="177" t="str">
        <f t="shared" si="172"/>
        <v>PV</v>
      </c>
      <c r="CY281" s="177">
        <f t="shared" si="149"/>
        <v>0</v>
      </c>
      <c r="CZ281" s="177" t="str">
        <f t="shared" si="172"/>
        <v>EG</v>
      </c>
      <c r="DA281" s="177" t="str">
        <f t="shared" si="150"/>
        <v>EGAL</v>
      </c>
      <c r="DB281" s="177" t="str">
        <f t="shared" si="173"/>
        <v>HR</v>
      </c>
      <c r="DC281" s="177" t="str">
        <f t="shared" si="151"/>
        <v>HR-</v>
      </c>
      <c r="DD281" s="177" t="str">
        <f t="shared" si="152"/>
        <v>EA</v>
      </c>
      <c r="DE281" s="177" t="str">
        <f t="shared" si="153"/>
        <v>EAIEI</v>
      </c>
    </row>
    <row r="282" spans="1:120" ht="18" customHeight="1" x14ac:dyDescent="0.3">
      <c r="A282" s="81">
        <v>0.93750000000002998</v>
      </c>
      <c r="B282" s="166" t="s">
        <v>116</v>
      </c>
      <c r="C282" s="130" t="s">
        <v>120</v>
      </c>
      <c r="D282" s="169" t="s">
        <v>116</v>
      </c>
      <c r="E282" s="130" t="s">
        <v>120</v>
      </c>
      <c r="F282" s="169" t="s">
        <v>116</v>
      </c>
      <c r="G282" s="130" t="s">
        <v>120</v>
      </c>
      <c r="H282" s="169" t="s">
        <v>116</v>
      </c>
      <c r="I282" s="130" t="s">
        <v>120</v>
      </c>
      <c r="J282" s="169" t="s">
        <v>128</v>
      </c>
      <c r="K282" s="130" t="s">
        <v>230</v>
      </c>
      <c r="L282" s="169" t="s">
        <v>12</v>
      </c>
      <c r="M282" s="130" t="s">
        <v>120</v>
      </c>
      <c r="N282" s="169" t="s">
        <v>8</v>
      </c>
      <c r="O282" s="154" t="s">
        <v>226</v>
      </c>
      <c r="P282" s="6">
        <v>0.2</v>
      </c>
      <c r="Q282" s="86" t="str">
        <f>IF('INFO BASE'!$C$27="","",'INFO BASE'!$C$27)</f>
        <v>Deslocação</v>
      </c>
      <c r="R282" s="87" t="str">
        <f t="shared" si="162"/>
        <v>HD</v>
      </c>
      <c r="S282" s="88">
        <f t="shared" si="159"/>
        <v>0.44999999999999996</v>
      </c>
      <c r="T282" s="89">
        <f>IF(VLOOKUP(Q282,'INFO BASE'!$B$40:$I$54,IF(R282='INFO BASE'!$B$32,3,IF(R282='INFO BASE'!$B$33,4,IF(R282='INFO BASE'!$B$34,5,IF(R282='INFO BASE'!$B$35,6,IF(R282='INFO BASE'!$B$36,7,IF(R282='INFO BASE'!$B$37,8,2)))))),0)=0,"",VLOOKUP(Q282,'INFO BASE'!$B$40:$I$54,IF(R282='INFO BASE'!$B$32,3,IF(R282='INFO BASE'!$B$33,4,IF(R282='INFO BASE'!$B$34,5,IF(R282='INFO BASE'!$B$35,6,IF(R282='INFO BASE'!$B$36,7,IF(R282='INFO BASE'!$B$37,8,2)))))),0))</f>
        <v>10</v>
      </c>
      <c r="U282" s="89">
        <f t="shared" si="171"/>
        <v>14.5</v>
      </c>
      <c r="V282" s="89">
        <f>IF(R282="","",COUNTIFS(AI237:AV284,R282)*0.5)</f>
        <v>14.5</v>
      </c>
      <c r="W282" s="90">
        <f>IF(AH233="","-",IF(V282=0,U282,IFERROR((U282/V282)-1,"-")))</f>
        <v>0</v>
      </c>
      <c r="X282" s="203">
        <f t="shared" si="160"/>
        <v>0</v>
      </c>
      <c r="Y282" s="271"/>
      <c r="Z282" s="272"/>
      <c r="AA282" s="272"/>
      <c r="AB282" s="272"/>
      <c r="AC282" s="272"/>
      <c r="AD282" s="272"/>
      <c r="AE282" s="272"/>
      <c r="AF282" s="273"/>
      <c r="AH282" s="136">
        <v>0.93750000000002998</v>
      </c>
      <c r="AI282" s="136" t="s">
        <v>116</v>
      </c>
      <c r="AJ282" s="136" t="s">
        <v>120</v>
      </c>
      <c r="AK282" s="136" t="s">
        <v>116</v>
      </c>
      <c r="AL282" s="136" t="s">
        <v>120</v>
      </c>
      <c r="AM282" s="136" t="s">
        <v>116</v>
      </c>
      <c r="AN282" s="136" t="s">
        <v>120</v>
      </c>
      <c r="AO282" s="136" t="s">
        <v>116</v>
      </c>
      <c r="AP282" s="136" t="s">
        <v>120</v>
      </c>
      <c r="AQ282" s="136" t="s">
        <v>116</v>
      </c>
      <c r="AR282" s="136" t="s">
        <v>120</v>
      </c>
      <c r="AS282" s="136" t="s">
        <v>12</v>
      </c>
      <c r="AT282" s="136" t="s">
        <v>120</v>
      </c>
      <c r="AU282" s="136" t="s">
        <v>8</v>
      </c>
      <c r="AV282" s="136" t="s">
        <v>226</v>
      </c>
      <c r="AX282" s="136" t="str">
        <f>IF(AI233="","",IF(B282="","",B282))</f>
        <v>PV</v>
      </c>
      <c r="AY282" s="136" t="str">
        <f>IF(AI233="","",IF(C282="","",C282))</f>
        <v>-</v>
      </c>
      <c r="AZ282" s="136" t="str">
        <f>IF(AI233="","",IF(D282="","",D282))</f>
        <v>PV</v>
      </c>
      <c r="BA282" s="136" t="str">
        <f>IF(AI233="","",IF(E282="","",E282))</f>
        <v>-</v>
      </c>
      <c r="BB282" s="136" t="str">
        <f>IF(AI233="","",IF(F282="","",F282))</f>
        <v>PV</v>
      </c>
      <c r="BC282" s="136" t="str">
        <f>IF(AI233="","",IF(G282="","",G282))</f>
        <v>-</v>
      </c>
      <c r="BD282" s="136" t="str">
        <f>IF(AI233="","",IF(H282="","",H282))</f>
        <v>PV</v>
      </c>
      <c r="BE282" s="136" t="str">
        <f>IF(AI233="","",IF(I282="","",I282))</f>
        <v>-</v>
      </c>
      <c r="BF282" s="136" t="str">
        <f>IF(AI233="","",IF(J282="","",J282))</f>
        <v>EG</v>
      </c>
      <c r="BG282" s="136" t="str">
        <f>IF(AI233="","",IF(K282="","",K282))</f>
        <v>AL</v>
      </c>
      <c r="BH282" s="136" t="str">
        <f>IF(AI233="","",IF(L282="","",L282))</f>
        <v>HR</v>
      </c>
      <c r="BI282" s="136" t="str">
        <f>IF(AI233="","",IF(M282="","",M282))</f>
        <v>-</v>
      </c>
      <c r="BJ282" s="136" t="str">
        <f>IF(AI233="","",IF(N282="","",N282))</f>
        <v>EA</v>
      </c>
      <c r="BK282" s="136" t="str">
        <f>IF(AI233="","",IF(O282="","",O282))</f>
        <v>IEI</v>
      </c>
      <c r="BP282" s="136" t="str">
        <f>IF(BO282="","",COUNTIFS(AX237:BK284,BO282)*0.5)</f>
        <v/>
      </c>
      <c r="CA282" s="183">
        <f>'INFO BASE'!L345</f>
        <v>0</v>
      </c>
      <c r="CB282" s="183">
        <f>'INFO BASE'!M345</f>
        <v>0</v>
      </c>
      <c r="CR282" s="177" t="str">
        <f t="shared" si="172"/>
        <v>PV</v>
      </c>
      <c r="CS282" s="177">
        <f t="shared" si="146"/>
        <v>0</v>
      </c>
      <c r="CT282" s="177" t="str">
        <f t="shared" si="172"/>
        <v>PV</v>
      </c>
      <c r="CU282" s="177">
        <f t="shared" si="147"/>
        <v>0</v>
      </c>
      <c r="CV282" s="177" t="str">
        <f t="shared" si="172"/>
        <v>PV</v>
      </c>
      <c r="CW282" s="177">
        <f t="shared" si="148"/>
        <v>0</v>
      </c>
      <c r="CX282" s="177" t="str">
        <f t="shared" si="172"/>
        <v>PV</v>
      </c>
      <c r="CY282" s="177">
        <f t="shared" si="149"/>
        <v>0</v>
      </c>
      <c r="CZ282" s="177" t="str">
        <f t="shared" si="172"/>
        <v>EG</v>
      </c>
      <c r="DA282" s="177" t="str">
        <f t="shared" si="150"/>
        <v>EGAL</v>
      </c>
      <c r="DB282" s="177" t="str">
        <f t="shared" si="173"/>
        <v>HR</v>
      </c>
      <c r="DC282" s="177" t="str">
        <f t="shared" si="151"/>
        <v>HR-</v>
      </c>
      <c r="DD282" s="177" t="str">
        <f t="shared" si="152"/>
        <v>EA</v>
      </c>
      <c r="DE282" s="177" t="str">
        <f t="shared" si="153"/>
        <v>EAIEI</v>
      </c>
    </row>
    <row r="283" spans="1:120" ht="18" customHeight="1" x14ac:dyDescent="0.3">
      <c r="A283" s="81">
        <v>0.95833333333336401</v>
      </c>
      <c r="B283" s="166" t="s">
        <v>10</v>
      </c>
      <c r="C283" s="130" t="s">
        <v>120</v>
      </c>
      <c r="D283" s="169" t="s">
        <v>10</v>
      </c>
      <c r="E283" s="130" t="s">
        <v>120</v>
      </c>
      <c r="F283" s="169" t="s">
        <v>10</v>
      </c>
      <c r="G283" s="130" t="s">
        <v>120</v>
      </c>
      <c r="H283" s="169" t="s">
        <v>10</v>
      </c>
      <c r="I283" s="130" t="s">
        <v>120</v>
      </c>
      <c r="J283" s="169" t="s">
        <v>128</v>
      </c>
      <c r="K283" s="130" t="s">
        <v>230</v>
      </c>
      <c r="L283" s="169" t="s">
        <v>12</v>
      </c>
      <c r="M283" s="130" t="s">
        <v>120</v>
      </c>
      <c r="N283" s="169" t="s">
        <v>8</v>
      </c>
      <c r="O283" s="154" t="s">
        <v>226</v>
      </c>
      <c r="P283" s="6">
        <v>0.2</v>
      </c>
      <c r="Q283" s="91" t="str">
        <f>IF('INFO BASE'!$C$28="","",'INFO BASE'!$C$28)</f>
        <v>Refeição</v>
      </c>
      <c r="R283" s="87" t="str">
        <f t="shared" si="162"/>
        <v>HR</v>
      </c>
      <c r="S283" s="88">
        <f t="shared" si="159"/>
        <v>0.10000000000000009</v>
      </c>
      <c r="T283" s="89">
        <f>IF(VLOOKUP(Q283,'INFO BASE'!$B$40:$I$54,IF(R283='INFO BASE'!$B$32,3,IF(R283='INFO BASE'!$B$33,4,IF(R283='INFO BASE'!$B$34,5,IF(R283='INFO BASE'!$B$35,6,IF(R283='INFO BASE'!$B$36,7,IF(R283='INFO BASE'!$B$37,8,2)))))),0)=0,"",VLOOKUP(Q283,'INFO BASE'!$B$40:$I$54,IF(R283='INFO BASE'!$B$32,3,IF(R283='INFO BASE'!$B$33,4,IF(R283='INFO BASE'!$B$34,5,IF(R283='INFO BASE'!$B$35,6,IF(R283='INFO BASE'!$B$36,7,IF(R283='INFO BASE'!$B$37,8,2)))))),0))</f>
        <v>15</v>
      </c>
      <c r="U283" s="89">
        <f t="shared" si="171"/>
        <v>16.5</v>
      </c>
      <c r="V283" s="89">
        <f>IF(R283="","",COUNTIFS(AI237:AV284,R283)*0.5)</f>
        <v>16.5</v>
      </c>
      <c r="W283" s="90">
        <f>IF(AH233="","-",IF(V283=0,U283,IFERROR((U283/V283)-1,"-")))</f>
        <v>0</v>
      </c>
      <c r="X283" s="204">
        <f t="shared" si="160"/>
        <v>0</v>
      </c>
      <c r="Y283" s="271"/>
      <c r="Z283" s="272"/>
      <c r="AA283" s="272"/>
      <c r="AB283" s="272"/>
      <c r="AC283" s="272"/>
      <c r="AD283" s="272"/>
      <c r="AE283" s="272"/>
      <c r="AF283" s="273"/>
      <c r="AH283" s="136">
        <v>0.95833333333336401</v>
      </c>
      <c r="AI283" s="136" t="s">
        <v>10</v>
      </c>
      <c r="AJ283" s="136" t="s">
        <v>120</v>
      </c>
      <c r="AK283" s="136" t="s">
        <v>10</v>
      </c>
      <c r="AL283" s="136" t="s">
        <v>120</v>
      </c>
      <c r="AM283" s="136" t="s">
        <v>10</v>
      </c>
      <c r="AN283" s="136" t="s">
        <v>120</v>
      </c>
      <c r="AO283" s="136" t="s">
        <v>10</v>
      </c>
      <c r="AP283" s="136" t="s">
        <v>120</v>
      </c>
      <c r="AQ283" s="136" t="s">
        <v>116</v>
      </c>
      <c r="AR283" s="136" t="s">
        <v>120</v>
      </c>
      <c r="AS283" s="136" t="s">
        <v>12</v>
      </c>
      <c r="AT283" s="136" t="s">
        <v>120</v>
      </c>
      <c r="AU283" s="136" t="s">
        <v>8</v>
      </c>
      <c r="AV283" s="136" t="s">
        <v>226</v>
      </c>
      <c r="AX283" s="136" t="str">
        <f>IF(AI233="","",IF(B283="","",B283))</f>
        <v>HS</v>
      </c>
      <c r="AY283" s="136" t="str">
        <f>IF(AI233="","",IF(C283="","",C283))</f>
        <v>-</v>
      </c>
      <c r="AZ283" s="136" t="str">
        <f>IF(AI233="","",IF(D283="","",D283))</f>
        <v>HS</v>
      </c>
      <c r="BA283" s="136" t="str">
        <f>IF(AI233="","",IF(E283="","",E283))</f>
        <v>-</v>
      </c>
      <c r="BB283" s="136" t="str">
        <f>IF(AI233="","",IF(F283="","",F283))</f>
        <v>HS</v>
      </c>
      <c r="BC283" s="136" t="str">
        <f>IF(AI233="","",IF(G283="","",G283))</f>
        <v>-</v>
      </c>
      <c r="BD283" s="136" t="str">
        <f>IF(AI233="","",IF(H283="","",H283))</f>
        <v>HS</v>
      </c>
      <c r="BE283" s="136" t="str">
        <f>IF(AI233="","",IF(I283="","",I283))</f>
        <v>-</v>
      </c>
      <c r="BF283" s="136" t="str">
        <f>IF(AI233="","",IF(J283="","",J283))</f>
        <v>EG</v>
      </c>
      <c r="BG283" s="136" t="str">
        <f>IF(AI233="","",IF(K283="","",K283))</f>
        <v>AL</v>
      </c>
      <c r="BH283" s="136" t="str">
        <f>IF(AI233="","",IF(L283="","",L283))</f>
        <v>HR</v>
      </c>
      <c r="BI283" s="136" t="str">
        <f>IF(AI233="","",IF(M283="","",M283))</f>
        <v>-</v>
      </c>
      <c r="BJ283" s="136" t="str">
        <f>IF(AI233="","",IF(N283="","",N283))</f>
        <v>EA</v>
      </c>
      <c r="BK283" s="136" t="str">
        <f>IF(AI233="","",IF(O283="","",O283))</f>
        <v>IEI</v>
      </c>
      <c r="BP283" s="136" t="str">
        <f>IF(BO283="","",COUNTIFS(AX237:BK284,BO283)*0.5)</f>
        <v/>
      </c>
      <c r="CA283" s="183">
        <f>'INFO BASE'!L346</f>
        <v>0</v>
      </c>
      <c r="CB283" s="183">
        <f>'INFO BASE'!M346</f>
        <v>0</v>
      </c>
      <c r="CR283" s="177" t="str">
        <f t="shared" si="172"/>
        <v>HS</v>
      </c>
      <c r="CS283" s="177" t="str">
        <f t="shared" si="146"/>
        <v>HS-</v>
      </c>
      <c r="CT283" s="177" t="str">
        <f t="shared" si="172"/>
        <v>HS</v>
      </c>
      <c r="CU283" s="177" t="str">
        <f t="shared" si="147"/>
        <v>HS-</v>
      </c>
      <c r="CV283" s="177" t="str">
        <f t="shared" si="172"/>
        <v>HS</v>
      </c>
      <c r="CW283" s="177" t="str">
        <f t="shared" si="148"/>
        <v>HS-</v>
      </c>
      <c r="CX283" s="177" t="str">
        <f t="shared" si="172"/>
        <v>HS</v>
      </c>
      <c r="CY283" s="177" t="str">
        <f t="shared" si="149"/>
        <v>HS-</v>
      </c>
      <c r="CZ283" s="177" t="str">
        <f t="shared" si="172"/>
        <v>EG</v>
      </c>
      <c r="DA283" s="177" t="str">
        <f t="shared" si="150"/>
        <v>EGAL</v>
      </c>
      <c r="DB283" s="177" t="str">
        <f t="shared" si="173"/>
        <v>HR</v>
      </c>
      <c r="DC283" s="177" t="str">
        <f t="shared" si="151"/>
        <v>HR-</v>
      </c>
      <c r="DD283" s="177" t="str">
        <f t="shared" si="152"/>
        <v>EA</v>
      </c>
      <c r="DE283" s="177" t="str">
        <f t="shared" si="153"/>
        <v>EAIEI</v>
      </c>
    </row>
    <row r="284" spans="1:120" ht="18" customHeight="1" thickBot="1" x14ac:dyDescent="0.35">
      <c r="A284" s="180">
        <v>0.97916666666669805</v>
      </c>
      <c r="B284" s="167" t="s">
        <v>10</v>
      </c>
      <c r="C284" s="156" t="s">
        <v>120</v>
      </c>
      <c r="D284" s="170" t="s">
        <v>10</v>
      </c>
      <c r="E284" s="156" t="s">
        <v>120</v>
      </c>
      <c r="F284" s="170" t="s">
        <v>10</v>
      </c>
      <c r="G284" s="156" t="s">
        <v>120</v>
      </c>
      <c r="H284" s="170" t="s">
        <v>10</v>
      </c>
      <c r="I284" s="156" t="s">
        <v>120</v>
      </c>
      <c r="J284" s="170" t="s">
        <v>128</v>
      </c>
      <c r="K284" s="156" t="s">
        <v>230</v>
      </c>
      <c r="L284" s="170" t="s">
        <v>12</v>
      </c>
      <c r="M284" s="156" t="s">
        <v>120</v>
      </c>
      <c r="N284" s="170" t="s">
        <v>8</v>
      </c>
      <c r="O284" s="158" t="s">
        <v>226</v>
      </c>
      <c r="P284" s="6">
        <v>0.2</v>
      </c>
      <c r="Q284" s="92" t="str">
        <f>IF('INFO BASE'!$C$29="","",'INFO BASE'!$C$29)</f>
        <v>Sono</v>
      </c>
      <c r="R284" s="93" t="str">
        <f t="shared" si="162"/>
        <v>HS</v>
      </c>
      <c r="S284" s="94">
        <f t="shared" si="159"/>
        <v>0.11224489795918369</v>
      </c>
      <c r="T284" s="95">
        <f>IF(VLOOKUP(Q284,'INFO BASE'!$B$40:$I$54,IF(R284='INFO BASE'!$B$32,3,IF(R284='INFO BASE'!$B$33,4,IF(R284='INFO BASE'!$B$34,5,IF(R284='INFO BASE'!$B$35,6,IF(R284='INFO BASE'!$B$36,7,IF(R284='INFO BASE'!$B$37,8,2)))))),0)=0,"",VLOOKUP(Q284,'INFO BASE'!$B$40:$I$54,IF(R284='INFO BASE'!$B$32,3,IF(R284='INFO BASE'!$B$33,4,IF(R284='INFO BASE'!$B$34,5,IF(R284='INFO BASE'!$B$35,6,IF(R284='INFO BASE'!$B$36,7,IF(R284='INFO BASE'!$B$37,8,2)))))),0))</f>
        <v>49</v>
      </c>
      <c r="U284" s="95">
        <f t="shared" si="171"/>
        <v>54.5</v>
      </c>
      <c r="V284" s="95">
        <f>IF(R284="","",COUNTIFS(AI237:AV284,R284)*0.5)</f>
        <v>54.5</v>
      </c>
      <c r="W284" s="96">
        <f>IF(AH233="","-",IF(V284=0,U284,IFERROR((U284/V284)-1,"-")))</f>
        <v>0</v>
      </c>
      <c r="X284" s="204">
        <f t="shared" si="160"/>
        <v>0</v>
      </c>
      <c r="Y284" s="274"/>
      <c r="Z284" s="275"/>
      <c r="AA284" s="275"/>
      <c r="AB284" s="275"/>
      <c r="AC284" s="275"/>
      <c r="AD284" s="275"/>
      <c r="AE284" s="275"/>
      <c r="AF284" s="276"/>
      <c r="AH284" s="136">
        <v>0.97916666666669805</v>
      </c>
      <c r="AI284" s="136" t="s">
        <v>10</v>
      </c>
      <c r="AJ284" s="136" t="s">
        <v>120</v>
      </c>
      <c r="AK284" s="136" t="s">
        <v>10</v>
      </c>
      <c r="AL284" s="136" t="s">
        <v>120</v>
      </c>
      <c r="AM284" s="136" t="s">
        <v>10</v>
      </c>
      <c r="AN284" s="136" t="s">
        <v>120</v>
      </c>
      <c r="AO284" s="136" t="s">
        <v>10</v>
      </c>
      <c r="AP284" s="136" t="s">
        <v>120</v>
      </c>
      <c r="AQ284" s="136" t="s">
        <v>116</v>
      </c>
      <c r="AR284" s="136" t="s">
        <v>120</v>
      </c>
      <c r="AS284" s="136" t="s">
        <v>12</v>
      </c>
      <c r="AT284" s="136" t="s">
        <v>120</v>
      </c>
      <c r="AU284" s="136" t="s">
        <v>8</v>
      </c>
      <c r="AV284" s="136" t="s">
        <v>226</v>
      </c>
      <c r="AX284" s="136" t="str">
        <f>IF(AI233="","",IF(B284="","",B284))</f>
        <v>HS</v>
      </c>
      <c r="AY284" s="136" t="str">
        <f>IF(AI233="","",IF(C284="","",C284))</f>
        <v>-</v>
      </c>
      <c r="AZ284" s="136" t="str">
        <f>IF(AI233="","",IF(D284="","",D284))</f>
        <v>HS</v>
      </c>
      <c r="BA284" s="136" t="str">
        <f>IF(AI233="","",IF(E284="","",E284))</f>
        <v>-</v>
      </c>
      <c r="BB284" s="136" t="str">
        <f>IF(AI233="","",IF(F284="","",F284))</f>
        <v>HS</v>
      </c>
      <c r="BC284" s="136" t="str">
        <f>IF(AI233="","",IF(G284="","",G284))</f>
        <v>-</v>
      </c>
      <c r="BD284" s="136" t="str">
        <f>IF(AI233="","",IF(H284="","",H284))</f>
        <v>HS</v>
      </c>
      <c r="BE284" s="136" t="str">
        <f>IF(AI233="","",IF(I284="","",I284))</f>
        <v>-</v>
      </c>
      <c r="BF284" s="136" t="str">
        <f>IF(AI233="","",IF(J284="","",J284))</f>
        <v>EG</v>
      </c>
      <c r="BG284" s="136" t="str">
        <f>IF(AI233="","",IF(K284="","",K284))</f>
        <v>AL</v>
      </c>
      <c r="BH284" s="136" t="str">
        <f>IF(AI233="","",IF(L284="","",L284))</f>
        <v>HR</v>
      </c>
      <c r="BI284" s="136" t="str">
        <f>IF(AI233="","",IF(M284="","",M284))</f>
        <v>-</v>
      </c>
      <c r="BJ284" s="136" t="str">
        <f>IF(AI233="","",IF(N284="","",N284))</f>
        <v>EA</v>
      </c>
      <c r="BK284" s="136" t="str">
        <f>IF(AI233="","",IF(O284="","",O284))</f>
        <v>IEI</v>
      </c>
      <c r="BP284" s="136" t="str">
        <f>IF(BO284="","",COUNTIFS(AX237:BK284,BO284)*0.5)</f>
        <v/>
      </c>
      <c r="CA284" s="183">
        <f>'INFO BASE'!L347</f>
        <v>0</v>
      </c>
      <c r="CB284" s="183">
        <f>'INFO BASE'!M347</f>
        <v>0</v>
      </c>
      <c r="CR284" s="177" t="str">
        <f t="shared" si="172"/>
        <v>HS</v>
      </c>
      <c r="CS284" s="177" t="str">
        <f t="shared" si="146"/>
        <v>HS-</v>
      </c>
      <c r="CT284" s="177" t="str">
        <f t="shared" si="172"/>
        <v>HS</v>
      </c>
      <c r="CU284" s="177" t="str">
        <f t="shared" si="147"/>
        <v>HS-</v>
      </c>
      <c r="CV284" s="177" t="str">
        <f t="shared" si="172"/>
        <v>HS</v>
      </c>
      <c r="CW284" s="177" t="str">
        <f t="shared" si="148"/>
        <v>HS-</v>
      </c>
      <c r="CX284" s="177" t="str">
        <f t="shared" si="172"/>
        <v>HS</v>
      </c>
      <c r="CY284" s="177" t="str">
        <f t="shared" si="149"/>
        <v>HS-</v>
      </c>
      <c r="CZ284" s="177" t="str">
        <f t="shared" si="172"/>
        <v>EG</v>
      </c>
      <c r="DA284" s="177" t="str">
        <f t="shared" si="150"/>
        <v>EGAL</v>
      </c>
      <c r="DB284" s="177" t="str">
        <f t="shared" si="173"/>
        <v>HR</v>
      </c>
      <c r="DC284" s="177" t="str">
        <f t="shared" si="151"/>
        <v>HR-</v>
      </c>
      <c r="DD284" s="177" t="str">
        <f t="shared" si="152"/>
        <v>EA</v>
      </c>
      <c r="DE284" s="177" t="str">
        <f t="shared" si="153"/>
        <v>EAIEI</v>
      </c>
    </row>
    <row r="285" spans="1:120" s="139" customFormat="1" ht="16.2" thickTop="1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7">
        <v>1</v>
      </c>
      <c r="Y285" s="6">
        <f>COUNTA(Y248:AF284)</f>
        <v>4</v>
      </c>
      <c r="Z285" s="6">
        <f>SUM(X248:X284)</f>
        <v>4</v>
      </c>
      <c r="AA285" s="6">
        <f>IF(Z285&gt;Y285,"ERRO",0)</f>
        <v>0</v>
      </c>
      <c r="AB285" s="6"/>
      <c r="AC285" s="6"/>
      <c r="AD285" s="6"/>
      <c r="AE285" s="6"/>
      <c r="AF285" s="6"/>
      <c r="AG285" s="6"/>
      <c r="BM285" s="136"/>
      <c r="BN285" s="136"/>
      <c r="BO285" s="136"/>
      <c r="BP285" s="136"/>
      <c r="BQ285" s="136"/>
      <c r="BR285" s="136"/>
      <c r="BS285" s="136"/>
      <c r="BT285" s="136"/>
      <c r="BU285" s="136"/>
      <c r="CA285" s="206">
        <f>'INFO BASE'!L348</f>
        <v>0</v>
      </c>
      <c r="CB285" s="206">
        <f>'INFO BASE'!M348</f>
        <v>0</v>
      </c>
      <c r="DN285" s="194"/>
      <c r="DO285" s="194"/>
      <c r="DP285" s="194"/>
    </row>
    <row r="286" spans="1:120" s="139" customFormat="1" ht="15.6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7">
        <v>1</v>
      </c>
      <c r="Y286" s="6" t="s">
        <v>220</v>
      </c>
      <c r="Z286" s="6" t="s">
        <v>219</v>
      </c>
      <c r="AA286" s="6" t="s">
        <v>221</v>
      </c>
      <c r="AB286" s="6"/>
      <c r="AC286" s="6"/>
      <c r="AD286" s="6"/>
      <c r="AE286" s="6"/>
      <c r="AF286" s="6"/>
      <c r="AG286" s="6"/>
      <c r="BM286" s="136"/>
      <c r="BN286" s="136"/>
      <c r="BO286" s="136"/>
      <c r="BP286" s="136"/>
      <c r="BQ286" s="136"/>
      <c r="BR286" s="136"/>
      <c r="BS286" s="136"/>
      <c r="BT286" s="136"/>
      <c r="BU286" s="136"/>
      <c r="CA286" s="206">
        <f>'INFO BASE'!L349</f>
        <v>0</v>
      </c>
      <c r="CB286" s="206">
        <f>'INFO BASE'!M349</f>
        <v>0</v>
      </c>
      <c r="DN286" s="194"/>
      <c r="DO286" s="194"/>
      <c r="DP286" s="194"/>
    </row>
    <row r="287" spans="1:120" ht="15.6" x14ac:dyDescent="0.3">
      <c r="X287" s="7">
        <v>1</v>
      </c>
      <c r="CA287" s="183">
        <f>'INFO BASE'!L350</f>
        <v>0</v>
      </c>
      <c r="CB287" s="183">
        <f>'INFO BASE'!M350</f>
        <v>0</v>
      </c>
    </row>
    <row r="288" spans="1:120" ht="16.2" thickBot="1" x14ac:dyDescent="0.35">
      <c r="X288" s="7">
        <v>1</v>
      </c>
      <c r="CA288" s="183">
        <f>'INFO BASE'!L351</f>
        <v>0</v>
      </c>
      <c r="CB288" s="183">
        <f>'INFO BASE'!M351</f>
        <v>0</v>
      </c>
    </row>
    <row r="289" spans="1:109" ht="38.25" customHeight="1" thickTop="1" thickBot="1" x14ac:dyDescent="0.35">
      <c r="A289" s="311" t="str">
        <f>IF(LEN(A232)=8,CONCATENATE("SEMANA ",RIGHT(A232,1)+1),CONCATENATE("SEMANA ",RIGHT(A232,2)+1))</f>
        <v>SEMANA 6</v>
      </c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3"/>
      <c r="AG289" s="12"/>
      <c r="CA289" s="183">
        <f>'INFO BASE'!L352</f>
        <v>0</v>
      </c>
      <c r="CB289" s="183">
        <f>'INFO BASE'!M352</f>
        <v>0</v>
      </c>
    </row>
    <row r="290" spans="1:109" ht="9" customHeight="1" thickTop="1" thickBot="1" x14ac:dyDescent="0.35">
      <c r="A290" s="139"/>
      <c r="B290" s="139"/>
      <c r="C290" s="140"/>
      <c r="D290" s="139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 t="s">
        <v>249</v>
      </c>
      <c r="R290" s="139"/>
      <c r="S290" s="139"/>
      <c r="T290" s="139"/>
      <c r="U290" s="139"/>
      <c r="V290" s="139"/>
      <c r="W290" s="139"/>
      <c r="X290" s="141">
        <v>1</v>
      </c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44">
        <v>42303.362798958333</v>
      </c>
      <c r="AI290" s="144">
        <v>42303.365836226854</v>
      </c>
      <c r="CA290" s="183">
        <f>'INFO BASE'!L353</f>
        <v>0</v>
      </c>
      <c r="CB290" s="183">
        <f>'INFO BASE'!M353</f>
        <v>0</v>
      </c>
    </row>
    <row r="291" spans="1:109" ht="30.75" customHeight="1" x14ac:dyDescent="0.3">
      <c r="A291" s="145"/>
      <c r="B291" s="314">
        <f>1-(CR291/673)</f>
        <v>1</v>
      </c>
      <c r="C291" s="315"/>
      <c r="D291" s="315"/>
      <c r="E291" s="315"/>
      <c r="F291" s="315"/>
      <c r="G291" s="315"/>
      <c r="H291" s="315"/>
      <c r="I291" s="315"/>
      <c r="J291" s="315"/>
      <c r="K291" s="315"/>
      <c r="L291" s="315"/>
      <c r="M291" s="315"/>
      <c r="N291" s="315"/>
      <c r="O291" s="316"/>
      <c r="Q291" s="205">
        <f>IF(OR(Q294="Registe aqui o que considera serem as suas três principais prioridades para a semana
(Dica - para criar paragráfos Alt+Enter)",LEN(Q294)&lt;10),1,0)</f>
        <v>0</v>
      </c>
      <c r="X291" s="7">
        <v>1</v>
      </c>
      <c r="AM291" s="136" t="str">
        <f>CONCATENATE("PLANEAMENTO ",I291)</f>
        <v xml:space="preserve">PLANEAMENTO </v>
      </c>
      <c r="AX291" s="136">
        <f>IF(AI290="","",IF(B291="","",B291))</f>
        <v>1</v>
      </c>
      <c r="AY291" s="136" t="str">
        <f>IF(AI290="","",IF(C291="","",C291))</f>
        <v/>
      </c>
      <c r="AZ291" s="136" t="str">
        <f>IF(AI290="","",IF(D291="","",D291))</f>
        <v/>
      </c>
      <c r="BA291" s="136" t="str">
        <f>IF(AI290="","",IF(E291="","",E291))</f>
        <v/>
      </c>
      <c r="BB291" s="136" t="str">
        <f>IF(AI290="","",IF(F291="","",F291))</f>
        <v/>
      </c>
      <c r="BC291" s="136" t="str">
        <f>IF(AI290="","",IF(G291="","",G291))</f>
        <v/>
      </c>
      <c r="BD291" s="136" t="str">
        <f>IF(AI290="","",IF(H291="","",H291))</f>
        <v/>
      </c>
      <c r="BE291" s="136" t="str">
        <f>IF(AI290="","",IF(I291="","",I291))</f>
        <v/>
      </c>
      <c r="BF291" s="136" t="str">
        <f>IF(AI290="","",IF(J291="","",J291))</f>
        <v/>
      </c>
      <c r="BG291" s="136" t="str">
        <f>IF(AI290="","",IF(K291="","",K291))</f>
        <v/>
      </c>
      <c r="BH291" s="136" t="str">
        <f>IF(AI290="","",IF(L291="","",L291))</f>
        <v/>
      </c>
      <c r="BI291" s="136" t="str">
        <f>IF(AI290="","",IF(M291="","",M291))</f>
        <v/>
      </c>
      <c r="BJ291" s="136" t="str">
        <f>IF(AI290="","",IF(N291="","",N291))</f>
        <v/>
      </c>
      <c r="BK291" s="136" t="str">
        <f>IF(AI290="","",IF(O291="","",O291))</f>
        <v/>
      </c>
      <c r="CA291" s="183">
        <f>'INFO BASE'!L354</f>
        <v>0</v>
      </c>
      <c r="CB291" s="183">
        <f>'INFO BASE'!M354</f>
        <v>0</v>
      </c>
      <c r="CR291" s="136">
        <f>SUM(CR294:DE341,Q291)</f>
        <v>0</v>
      </c>
    </row>
    <row r="292" spans="1:109" ht="37.5" customHeight="1" thickBot="1" x14ac:dyDescent="0.35">
      <c r="A292" s="146"/>
      <c r="B292" s="330" t="str">
        <f>CONCATENATE("Segunda ",CHAR(10),TEXT(B293,"dd-mm-aaaa"))</f>
        <v>Segunda 
19-10-2015</v>
      </c>
      <c r="C292" s="317"/>
      <c r="D292" s="317" t="str">
        <f>CONCATENATE("Terça ",CHAR(10),TEXT(D293,"dd-mm-aaaa"))</f>
        <v>Terça 
20-10-2015</v>
      </c>
      <c r="E292" s="317"/>
      <c r="F292" s="317" t="str">
        <f>CONCATENATE("Quarta ",CHAR(10),TEXT(F293,"dd-mm-aaaa"))</f>
        <v>Quarta 
21-10-2015</v>
      </c>
      <c r="G292" s="317"/>
      <c r="H292" s="317" t="str">
        <f>CONCATENATE("Quinta ",CHAR(10),TEXT(H293,"dd-mm-aaaa"))</f>
        <v>Quinta 
22-10-2015</v>
      </c>
      <c r="I292" s="317"/>
      <c r="J292" s="317" t="str">
        <f>CONCATENATE("Sexta ",CHAR(10),TEXT(J293,"dd-mm-aaaa"))</f>
        <v>Sexta 
23-10-2015</v>
      </c>
      <c r="K292" s="317"/>
      <c r="L292" s="317" t="str">
        <f>CONCATENATE("Sábado ",CHAR(10),TEXT(L293,"dd-mm-aaaa"))</f>
        <v>Sábado 
24-10-2015</v>
      </c>
      <c r="M292" s="317"/>
      <c r="N292" s="317" t="str">
        <f>CONCATENATE("Domingo ",CHAR(10),TEXT(N293,"dd-mm-aaaa"))</f>
        <v>Domingo 
25-10-2015</v>
      </c>
      <c r="O292" s="329"/>
      <c r="Q292" s="55" t="str">
        <f>'INFO BASE'!$L$3</f>
        <v>PRIORIDADES PARA ESTA SEMANA</v>
      </c>
      <c r="R292" s="132"/>
      <c r="S292" s="132"/>
      <c r="T292" s="132"/>
      <c r="U292" s="132"/>
      <c r="V292" s="132"/>
      <c r="W292" s="195" t="str">
        <f>CONCATENATE("HORÁRIO ",'INFO BASE'!$C$6,"_",'INFO BASE'!$C$5,": ",UPPER(A289))</f>
        <v>HORÁRIO André Fonseca_84698: SEMANA 6</v>
      </c>
      <c r="X292" s="198">
        <v>1</v>
      </c>
      <c r="Y292" s="261" t="str">
        <f>'INFO BASE'!$L$1</f>
        <v>MOMENTOS AVALIATIVOS</v>
      </c>
      <c r="Z292" s="261"/>
      <c r="AA292" s="261"/>
      <c r="AB292" s="261"/>
      <c r="AC292" s="261" t="s">
        <v>215</v>
      </c>
      <c r="AD292" s="261"/>
      <c r="AE292" s="261"/>
      <c r="AF292" s="261"/>
      <c r="AI292" s="136" t="str">
        <f>B292</f>
        <v>Segunda 
19-10-2015</v>
      </c>
      <c r="AK292" s="136" t="str">
        <f>D292</f>
        <v>Terça 
20-10-2015</v>
      </c>
      <c r="AM292" s="136" t="str">
        <f>F292</f>
        <v>Quarta 
21-10-2015</v>
      </c>
      <c r="AO292" s="136" t="str">
        <f>H292</f>
        <v>Quinta 
22-10-2015</v>
      </c>
      <c r="AQ292" s="136" t="str">
        <f>J292</f>
        <v>Sexta 
23-10-2015</v>
      </c>
      <c r="AS292" s="136" t="str">
        <f>L292</f>
        <v>Sábado 
24-10-2015</v>
      </c>
      <c r="AU292" s="136" t="str">
        <f>N292</f>
        <v>Domingo 
25-10-2015</v>
      </c>
      <c r="AX292" s="136" t="str">
        <f>IF(AI290="","",IF(B292="","",B292))</f>
        <v>Segunda 
19-10-2015</v>
      </c>
      <c r="AY292" s="136" t="str">
        <f>IF(AI290="","",IF(C292="","",C292))</f>
        <v/>
      </c>
      <c r="AZ292" s="136" t="str">
        <f>IF(AI290="","",IF(D292="","",D292))</f>
        <v>Terça 
20-10-2015</v>
      </c>
      <c r="BA292" s="136" t="str">
        <f>IF(AI290="","",IF(E292="","",E292))</f>
        <v/>
      </c>
      <c r="BB292" s="136" t="str">
        <f>IF(AI290="","",IF(F292="","",F292))</f>
        <v>Quarta 
21-10-2015</v>
      </c>
      <c r="BC292" s="136" t="str">
        <f>IF(AI290="","",IF(G292="","",G292))</f>
        <v/>
      </c>
      <c r="BD292" s="136" t="str">
        <f>IF(AI290="","",IF(H292="","",H292))</f>
        <v>Quinta 
22-10-2015</v>
      </c>
      <c r="BE292" s="136" t="str">
        <f>IF(AI290="","",IF(I292="","",I292))</f>
        <v/>
      </c>
      <c r="BF292" s="136" t="str">
        <f>IF(AI290="","",IF(J292="","",J292))</f>
        <v>Sexta 
23-10-2015</v>
      </c>
      <c r="BG292" s="136" t="str">
        <f>IF(AI290="","",IF(K292="","",K292))</f>
        <v/>
      </c>
      <c r="BH292" s="136" t="str">
        <f>IF(AI290="","",IF(L292="","",L292))</f>
        <v>Sábado 
24-10-2015</v>
      </c>
      <c r="BI292" s="136" t="str">
        <f>IF(AI290="","",IF(M292="","",M292))</f>
        <v/>
      </c>
      <c r="BJ292" s="136" t="str">
        <f>IF(AI290="","",IF(N292="","",N292))</f>
        <v>Domingo 
25-10-2015</v>
      </c>
      <c r="BK292" s="136" t="str">
        <f>IF(AI290="","",IF(O292="","",O292))</f>
        <v/>
      </c>
      <c r="CA292" s="183">
        <f>'INFO BASE'!L355</f>
        <v>0</v>
      </c>
      <c r="CB292" s="183">
        <f>'INFO BASE'!M355</f>
        <v>0</v>
      </c>
    </row>
    <row r="293" spans="1:109" ht="21" hidden="1" customHeight="1" thickTop="1" thickBot="1" x14ac:dyDescent="0.35">
      <c r="A293" s="142"/>
      <c r="B293" s="333">
        <f>N236+1</f>
        <v>42296</v>
      </c>
      <c r="C293" s="334"/>
      <c r="D293" s="334">
        <f>B293+1</f>
        <v>42297</v>
      </c>
      <c r="E293" s="334"/>
      <c r="F293" s="334">
        <f>D293+1</f>
        <v>42298</v>
      </c>
      <c r="G293" s="334"/>
      <c r="H293" s="334">
        <f>F293+1</f>
        <v>42299</v>
      </c>
      <c r="I293" s="334"/>
      <c r="J293" s="334">
        <f>H293+1</f>
        <v>42300</v>
      </c>
      <c r="K293" s="334"/>
      <c r="L293" s="334">
        <f>J293+1</f>
        <v>42301</v>
      </c>
      <c r="M293" s="334"/>
      <c r="N293" s="334">
        <f>L293+1</f>
        <v>42302</v>
      </c>
      <c r="O293" s="334"/>
      <c r="Q293" s="132"/>
      <c r="R293" s="132"/>
      <c r="S293" s="132"/>
      <c r="T293" s="132"/>
      <c r="U293" s="132"/>
      <c r="V293" s="132"/>
      <c r="W293" s="132"/>
      <c r="X293" s="198">
        <v>1</v>
      </c>
      <c r="Y293" s="132"/>
      <c r="Z293" s="132"/>
      <c r="AA293" s="132"/>
      <c r="AB293" s="131"/>
      <c r="AC293" s="131"/>
      <c r="AD293" s="131"/>
      <c r="AE293" s="131"/>
      <c r="AF293" s="131"/>
      <c r="AI293" s="136">
        <f>B293</f>
        <v>42296</v>
      </c>
      <c r="AK293" s="136">
        <f>D293</f>
        <v>42297</v>
      </c>
      <c r="AM293" s="136">
        <f>F293</f>
        <v>42298</v>
      </c>
      <c r="AO293" s="136">
        <f>H293</f>
        <v>42299</v>
      </c>
      <c r="AQ293" s="136">
        <f>J293</f>
        <v>42300</v>
      </c>
      <c r="AS293" s="136">
        <f>L293</f>
        <v>42301</v>
      </c>
      <c r="AU293" s="136">
        <f>N293</f>
        <v>42302</v>
      </c>
      <c r="AX293" s="136">
        <f>IF(AI290="","",IF(B293="","",B293))</f>
        <v>42296</v>
      </c>
      <c r="AY293" s="136" t="str">
        <f>IF(AI290="","",IF(C293="","",C293))</f>
        <v/>
      </c>
      <c r="AZ293" s="136">
        <f>IF(AI290="","",IF(D293="","",D293))</f>
        <v>42297</v>
      </c>
      <c r="BA293" s="136" t="str">
        <f>IF(AI290="","",IF(E293="","",E293))</f>
        <v/>
      </c>
      <c r="BB293" s="136">
        <f>IF(AI290="","",IF(F293="","",F293))</f>
        <v>42298</v>
      </c>
      <c r="BC293" s="136" t="str">
        <f>IF(AI290="","",IF(G293="","",G293))</f>
        <v/>
      </c>
      <c r="BD293" s="136">
        <f>IF(AI290="","",IF(H293="","",H293))</f>
        <v>42299</v>
      </c>
      <c r="BE293" s="136" t="str">
        <f>IF(AI290="","",IF(I293="","",I293))</f>
        <v/>
      </c>
      <c r="BF293" s="136">
        <f>IF(AI290="","",IF(J293="","",J293))</f>
        <v>42300</v>
      </c>
      <c r="BG293" s="136" t="str">
        <f>IF(AI290="","",IF(K293="","",K293))</f>
        <v/>
      </c>
      <c r="BH293" s="136">
        <f>IF(AI290="","",IF(L293="","",L293))</f>
        <v>42301</v>
      </c>
      <c r="BI293" s="136" t="str">
        <f>IF(AI290="","",IF(M293="","",M293))</f>
        <v/>
      </c>
      <c r="BJ293" s="136">
        <f>IF(AI290="","",IF(N293="","",N293))</f>
        <v>42302</v>
      </c>
      <c r="BK293" s="136" t="str">
        <f>IF(AI290="","",IF(O293="","",O293))</f>
        <v/>
      </c>
      <c r="CA293" s="183">
        <f>'INFO BASE'!L356</f>
        <v>0</v>
      </c>
      <c r="CB293" s="183">
        <f>'INFO BASE'!M356</f>
        <v>0</v>
      </c>
    </row>
    <row r="294" spans="1:109" ht="18" customHeight="1" thickTop="1" x14ac:dyDescent="0.3">
      <c r="A294" s="81">
        <v>0</v>
      </c>
      <c r="B294" s="165" t="s">
        <v>10</v>
      </c>
      <c r="C294" s="150" t="s">
        <v>120</v>
      </c>
      <c r="D294" s="168" t="s">
        <v>10</v>
      </c>
      <c r="E294" s="150" t="s">
        <v>120</v>
      </c>
      <c r="F294" s="168" t="s">
        <v>10</v>
      </c>
      <c r="G294" s="150" t="s">
        <v>120</v>
      </c>
      <c r="H294" s="168" t="s">
        <v>10</v>
      </c>
      <c r="I294" s="150" t="s">
        <v>120</v>
      </c>
      <c r="J294" s="168" t="s">
        <v>10</v>
      </c>
      <c r="K294" s="150" t="s">
        <v>120</v>
      </c>
      <c r="L294" s="168" t="s">
        <v>116</v>
      </c>
      <c r="M294" s="150" t="s">
        <v>120</v>
      </c>
      <c r="N294" s="168" t="s">
        <v>116</v>
      </c>
      <c r="O294" s="152" t="s">
        <v>120</v>
      </c>
      <c r="Q294" s="281" t="s">
        <v>253</v>
      </c>
      <c r="R294" s="282"/>
      <c r="S294" s="282"/>
      <c r="T294" s="282"/>
      <c r="U294" s="282"/>
      <c r="V294" s="282"/>
      <c r="W294" s="283"/>
      <c r="X294" s="199">
        <v>1</v>
      </c>
      <c r="Y294" s="268" t="str">
        <f t="array" ref="Y294">IF(ISERROR(INDEX($CA$2:$CB$200,SMALL(IF($CA$2:$CA$200=$A$289,ROW($CA$2:$CA$200)),ROW(1:1))-1,2)),"",INDEX($CA$2:$CB$200,SMALL(IF($CA$2:$CA$200=$A$289,ROW($CA$2:$CA$200)),ROW(1:1))-1,2))</f>
        <v/>
      </c>
      <c r="Z294" s="269"/>
      <c r="AA294" s="269"/>
      <c r="AB294" s="269"/>
      <c r="AC294" s="269"/>
      <c r="AD294" s="269"/>
      <c r="AE294" s="269"/>
      <c r="AF294" s="270"/>
      <c r="AH294" s="136">
        <v>0</v>
      </c>
      <c r="AI294" s="136" t="s">
        <v>10</v>
      </c>
      <c r="AJ294" s="136" t="s">
        <v>120</v>
      </c>
      <c r="AK294" s="136" t="s">
        <v>10</v>
      </c>
      <c r="AL294" s="136" t="s">
        <v>120</v>
      </c>
      <c r="AM294" s="136" t="s">
        <v>10</v>
      </c>
      <c r="AN294" s="136" t="s">
        <v>120</v>
      </c>
      <c r="AO294" s="136" t="s">
        <v>10</v>
      </c>
      <c r="AP294" s="136" t="s">
        <v>120</v>
      </c>
      <c r="AQ294" s="136" t="s">
        <v>10</v>
      </c>
      <c r="AR294" s="136" t="s">
        <v>120</v>
      </c>
      <c r="AS294" s="136" t="s">
        <v>116</v>
      </c>
      <c r="AT294" s="136" t="s">
        <v>120</v>
      </c>
      <c r="AU294" s="136" t="s">
        <v>116</v>
      </c>
      <c r="AV294" s="136" t="s">
        <v>120</v>
      </c>
      <c r="AX294" s="136" t="str">
        <f>IF(AI290="","",IF(B294="","",B294))</f>
        <v>HS</v>
      </c>
      <c r="AY294" s="136" t="str">
        <f>IF(AI290="","",IF(C294="","",C294))</f>
        <v>-</v>
      </c>
      <c r="AZ294" s="136" t="str">
        <f>IF(AI290="","",IF(D294="","",D294))</f>
        <v>HS</v>
      </c>
      <c r="BA294" s="136" t="str">
        <f>IF(AI290="","",IF(E294="","",E294))</f>
        <v>-</v>
      </c>
      <c r="BB294" s="136" t="str">
        <f>IF(AI290="","",IF(F294="","",F294))</f>
        <v>HS</v>
      </c>
      <c r="BC294" s="136" t="str">
        <f>IF(AI290="","",IF(G294="","",G294))</f>
        <v>-</v>
      </c>
      <c r="BD294" s="136" t="str">
        <f>IF(AI290="","",IF(H294="","",H294))</f>
        <v>HS</v>
      </c>
      <c r="BE294" s="136" t="str">
        <f>IF(AI290="","",IF(I294="","",I294))</f>
        <v>-</v>
      </c>
      <c r="BF294" s="136" t="str">
        <f>IF(AI290="","",IF(J294="","",J294))</f>
        <v>HS</v>
      </c>
      <c r="BG294" s="136" t="str">
        <f>IF(AI290="","",IF(K294="","",K294))</f>
        <v>-</v>
      </c>
      <c r="BH294" s="136" t="str">
        <f>IF(AI290="","",IF(L294="","",L294))</f>
        <v>PV</v>
      </c>
      <c r="BI294" s="136" t="str">
        <f>IF(AI290="","",IF(M294="","",M294))</f>
        <v>-</v>
      </c>
      <c r="BJ294" s="136" t="str">
        <f>IF(AI290="","",IF(N294="","",N294))</f>
        <v>PV</v>
      </c>
      <c r="BK294" s="136" t="str">
        <f>IF(AI290="","",IF(O294="","",O294))</f>
        <v>-</v>
      </c>
      <c r="CA294" s="183">
        <f>'INFO BASE'!L357</f>
        <v>0</v>
      </c>
      <c r="CB294" s="183">
        <f>'INFO BASE'!M357</f>
        <v>0</v>
      </c>
      <c r="CD294" s="136">
        <f>COUNTA('INFO BASE'!E318:E323)+6</f>
        <v>6</v>
      </c>
      <c r="CR294" s="177" t="str">
        <f>IF(B294="",1,B294)</f>
        <v>HS</v>
      </c>
      <c r="CS294" s="177" t="str">
        <f>IF(B294="PV",0,IFERROR(VLOOKUP(CONCATENATE(B294,C294),$DK$9:$DK$72,1,0),1))</f>
        <v>HS-</v>
      </c>
      <c r="CT294" s="177" t="str">
        <f>IF(D294="",1,D294)</f>
        <v>HS</v>
      </c>
      <c r="CU294" s="177" t="str">
        <f>IF(D294="PV",0,IFERROR(VLOOKUP(CONCATENATE(D294,E294),$DK$9:$DK$72,1,0),1))</f>
        <v>HS-</v>
      </c>
      <c r="CV294" s="177" t="str">
        <f>IF(F294="",1,F294)</f>
        <v>HS</v>
      </c>
      <c r="CW294" s="177" t="str">
        <f>IF(F294="PV",0,IFERROR(VLOOKUP(CONCATENATE(F294,G294),$DK$9:$DK$72,1,0),1))</f>
        <v>HS-</v>
      </c>
      <c r="CX294" s="177" t="str">
        <f>IF(H294="",1,H294)</f>
        <v>HS</v>
      </c>
      <c r="CY294" s="177" t="str">
        <f>IF(H294="PV",0,IFERROR(VLOOKUP(CONCATENATE(H294,I294),$DK$9:$DK$72,1,0),1))</f>
        <v>HS-</v>
      </c>
      <c r="CZ294" s="177" t="str">
        <f>IF(J294="",1,J294)</f>
        <v>HS</v>
      </c>
      <c r="DA294" s="177" t="str">
        <f>IF(J294="PV",0,IFERROR(VLOOKUP(CONCATENATE(J294,K294),$DK$9:$DK$72,1,0),1))</f>
        <v>HS-</v>
      </c>
      <c r="DB294" s="177" t="str">
        <f>IF(L294="",1,L294)</f>
        <v>PV</v>
      </c>
      <c r="DC294" s="177">
        <f>IF(L294="PV",0,IFERROR(VLOOKUP(CONCATENATE(L294,M294),$DK$9:$DK$72,1,0),1))</f>
        <v>0</v>
      </c>
      <c r="DD294" s="177" t="str">
        <f>IF(N294="",1,N294)</f>
        <v>PV</v>
      </c>
      <c r="DE294" s="177">
        <f>IF(N294="PV",0,IFERROR(VLOOKUP(CONCATENATE(N294,O294),$DK$9:$DK$72,1,0),1))</f>
        <v>0</v>
      </c>
    </row>
    <row r="295" spans="1:109" ht="18" customHeight="1" x14ac:dyDescent="0.3">
      <c r="A295" s="81">
        <v>2.0833333333333998E-2</v>
      </c>
      <c r="B295" s="166" t="s">
        <v>10</v>
      </c>
      <c r="C295" s="130" t="s">
        <v>120</v>
      </c>
      <c r="D295" s="169" t="s">
        <v>10</v>
      </c>
      <c r="E295" s="130" t="s">
        <v>120</v>
      </c>
      <c r="F295" s="169" t="s">
        <v>10</v>
      </c>
      <c r="G295" s="130" t="s">
        <v>120</v>
      </c>
      <c r="H295" s="169" t="s">
        <v>10</v>
      </c>
      <c r="I295" s="130" t="s">
        <v>120</v>
      </c>
      <c r="J295" s="169" t="s">
        <v>10</v>
      </c>
      <c r="K295" s="130" t="s">
        <v>120</v>
      </c>
      <c r="L295" s="169" t="s">
        <v>116</v>
      </c>
      <c r="M295" s="130" t="s">
        <v>120</v>
      </c>
      <c r="N295" s="169" t="s">
        <v>116</v>
      </c>
      <c r="O295" s="154" t="s">
        <v>120</v>
      </c>
      <c r="Q295" s="284"/>
      <c r="R295" s="285"/>
      <c r="S295" s="285"/>
      <c r="T295" s="285"/>
      <c r="U295" s="285"/>
      <c r="V295" s="285"/>
      <c r="W295" s="286"/>
      <c r="X295" s="199">
        <v>1</v>
      </c>
      <c r="Y295" s="262" t="str">
        <f t="array" ref="Y295">IF(ISERROR(INDEX($CA$2:$CB$200,SMALL(IF($CA$2:$CA$200=$A$289,ROW($CA$2:$CA$200)),ROW(2:2))-1,2)),"",INDEX($CA$2:$CB$200,SMALL(IF($CA$2:$CA$200=$A$289,ROW($CA$2:$CA$200)),ROW(2:2))-1,2))</f>
        <v/>
      </c>
      <c r="Z295" s="263"/>
      <c r="AA295" s="263"/>
      <c r="AB295" s="263"/>
      <c r="AC295" s="263"/>
      <c r="AD295" s="263"/>
      <c r="AE295" s="263"/>
      <c r="AF295" s="264"/>
      <c r="AH295" s="136">
        <v>2.0833333333333998E-2</v>
      </c>
      <c r="AI295" s="136" t="s">
        <v>10</v>
      </c>
      <c r="AJ295" s="136" t="s">
        <v>120</v>
      </c>
      <c r="AK295" s="136" t="s">
        <v>10</v>
      </c>
      <c r="AL295" s="136" t="s">
        <v>120</v>
      </c>
      <c r="AM295" s="136" t="s">
        <v>10</v>
      </c>
      <c r="AN295" s="136" t="s">
        <v>120</v>
      </c>
      <c r="AO295" s="136" t="s">
        <v>10</v>
      </c>
      <c r="AP295" s="136" t="s">
        <v>120</v>
      </c>
      <c r="AQ295" s="136" t="s">
        <v>10</v>
      </c>
      <c r="AR295" s="136" t="s">
        <v>120</v>
      </c>
      <c r="AS295" s="136" t="s">
        <v>116</v>
      </c>
      <c r="AT295" s="136" t="s">
        <v>120</v>
      </c>
      <c r="AU295" s="136" t="s">
        <v>116</v>
      </c>
      <c r="AV295" s="136" t="s">
        <v>120</v>
      </c>
      <c r="AX295" s="136" t="str">
        <f>IF(AI290="","",IF(B295="","",B295))</f>
        <v>HS</v>
      </c>
      <c r="AY295" s="136" t="str">
        <f>IF(AI290="","",IF(C295="","",C295))</f>
        <v>-</v>
      </c>
      <c r="AZ295" s="136" t="str">
        <f>IF(AI290="","",IF(D295="","",D295))</f>
        <v>HS</v>
      </c>
      <c r="BA295" s="136" t="str">
        <f>IF(AI290="","",IF(E295="","",E295))</f>
        <v>-</v>
      </c>
      <c r="BB295" s="136" t="str">
        <f>IF(AI290="","",IF(F295="","",F295))</f>
        <v>HS</v>
      </c>
      <c r="BC295" s="136" t="str">
        <f>IF(AI290="","",IF(G295="","",G295))</f>
        <v>-</v>
      </c>
      <c r="BD295" s="136" t="str">
        <f>IF(AI290="","",IF(H295="","",H295))</f>
        <v>HS</v>
      </c>
      <c r="BE295" s="136" t="str">
        <f>IF(AI290="","",IF(I295="","",I295))</f>
        <v>-</v>
      </c>
      <c r="BF295" s="136" t="str">
        <f>IF(AI290="","",IF(J295="","",J295))</f>
        <v>HS</v>
      </c>
      <c r="BG295" s="136" t="str">
        <f>IF(AI290="","",IF(K295="","",K295))</f>
        <v>-</v>
      </c>
      <c r="BH295" s="136" t="str">
        <f>IF(AI290="","",IF(L295="","",L295))</f>
        <v>PV</v>
      </c>
      <c r="BI295" s="136" t="str">
        <f>IF(AI290="","",IF(M295="","",M295))</f>
        <v>-</v>
      </c>
      <c r="BJ295" s="136" t="str">
        <f>IF(AI290="","",IF(N295="","",N295))</f>
        <v>PV</v>
      </c>
      <c r="BK295" s="136" t="str">
        <f>IF(AI290="","",IF(O295="","",O295))</f>
        <v>-</v>
      </c>
      <c r="CA295" s="183">
        <f>'INFO BASE'!L358</f>
        <v>0</v>
      </c>
      <c r="CB295" s="183">
        <f>'INFO BASE'!M358</f>
        <v>0</v>
      </c>
      <c r="CR295" s="177" t="str">
        <f t="shared" ref="CR295:DB337" si="174">IF(B295="",1,B295)</f>
        <v>HS</v>
      </c>
      <c r="CS295" s="177" t="str">
        <f t="shared" ref="CS295:CS341" si="175">IF(B295="PV",0,IFERROR(VLOOKUP(CONCATENATE(B295,C295),$DK$9:$DK$72,1,0),1))</f>
        <v>HS-</v>
      </c>
      <c r="CT295" s="177" t="str">
        <f t="shared" si="174"/>
        <v>HS</v>
      </c>
      <c r="CU295" s="177" t="str">
        <f t="shared" ref="CU295:CU341" si="176">IF(D295="PV",0,IFERROR(VLOOKUP(CONCATENATE(D295,E295),$DK$9:$DK$72,1,0),1))</f>
        <v>HS-</v>
      </c>
      <c r="CV295" s="177" t="str">
        <f t="shared" si="174"/>
        <v>HS</v>
      </c>
      <c r="CW295" s="177" t="str">
        <f t="shared" ref="CW295:CW341" si="177">IF(F295="PV",0,IFERROR(VLOOKUP(CONCATENATE(F295,G295),$DK$9:$DK$72,1,0),1))</f>
        <v>HS-</v>
      </c>
      <c r="CX295" s="177" t="str">
        <f t="shared" si="174"/>
        <v>HS</v>
      </c>
      <c r="CY295" s="177" t="str">
        <f t="shared" ref="CY295:CY341" si="178">IF(H295="PV",0,IFERROR(VLOOKUP(CONCATENATE(H295,I295),$DK$9:$DK$72,1,0),1))</f>
        <v>HS-</v>
      </c>
      <c r="CZ295" s="177" t="str">
        <f t="shared" si="174"/>
        <v>HS</v>
      </c>
      <c r="DA295" s="177" t="str">
        <f t="shared" ref="DA295:DA341" si="179">IF(J295="PV",0,IFERROR(VLOOKUP(CONCATENATE(J295,K295),$DK$9:$DK$72,1,0),1))</f>
        <v>HS-</v>
      </c>
      <c r="DB295" s="177" t="str">
        <f t="shared" si="174"/>
        <v>PV</v>
      </c>
      <c r="DC295" s="177">
        <f t="shared" ref="DC295:DC341" si="180">IF(L295="PV",0,IFERROR(VLOOKUP(CONCATENATE(L295,M295),$DK$9:$DK$72,1,0),1))</f>
        <v>0</v>
      </c>
      <c r="DD295" s="177" t="str">
        <f t="shared" ref="DD295:DD341" si="181">IF(N295="",1,N295)</f>
        <v>PV</v>
      </c>
      <c r="DE295" s="177">
        <f t="shared" ref="DE295:DE341" si="182">IF(N295="PV",0,IFERROR(VLOOKUP(CONCATENATE(N295,O295),$DK$9:$DK$72,1,0),1))</f>
        <v>0</v>
      </c>
    </row>
    <row r="296" spans="1:109" ht="18" customHeight="1" x14ac:dyDescent="0.3">
      <c r="A296" s="81">
        <v>4.1666666666667997E-2</v>
      </c>
      <c r="B296" s="166" t="s">
        <v>10</v>
      </c>
      <c r="C296" s="130" t="s">
        <v>120</v>
      </c>
      <c r="D296" s="169" t="s">
        <v>10</v>
      </c>
      <c r="E296" s="130" t="s">
        <v>120</v>
      </c>
      <c r="F296" s="169" t="s">
        <v>10</v>
      </c>
      <c r="G296" s="130" t="s">
        <v>120</v>
      </c>
      <c r="H296" s="169" t="s">
        <v>10</v>
      </c>
      <c r="I296" s="130" t="s">
        <v>120</v>
      </c>
      <c r="J296" s="169" t="s">
        <v>10</v>
      </c>
      <c r="K296" s="130" t="s">
        <v>120</v>
      </c>
      <c r="L296" s="169" t="s">
        <v>116</v>
      </c>
      <c r="M296" s="130" t="s">
        <v>120</v>
      </c>
      <c r="N296" s="169" t="s">
        <v>116</v>
      </c>
      <c r="O296" s="154" t="s">
        <v>120</v>
      </c>
      <c r="Q296" s="284"/>
      <c r="R296" s="285"/>
      <c r="S296" s="285"/>
      <c r="T296" s="285"/>
      <c r="U296" s="285"/>
      <c r="V296" s="285"/>
      <c r="W296" s="286"/>
      <c r="X296" s="199">
        <v>1</v>
      </c>
      <c r="Y296" s="262" t="str">
        <f t="array" ref="Y296">IF(ISERROR(INDEX($CA$2:$CB$200,SMALL(IF($CA$2:$CA$200=$A$289,ROW($CA$2:$CA$200)),ROW(3:3))-1,2)),"",INDEX($CA$2:$CB$200,SMALL(IF($CA$2:$CA$200=$A$289,ROW($CA$2:$CA$200)),ROW(3:3))-1,2))</f>
        <v/>
      </c>
      <c r="Z296" s="263"/>
      <c r="AA296" s="263"/>
      <c r="AB296" s="263"/>
      <c r="AC296" s="263"/>
      <c r="AD296" s="263"/>
      <c r="AE296" s="263"/>
      <c r="AF296" s="264"/>
      <c r="AH296" s="136">
        <v>4.1666666666667997E-2</v>
      </c>
      <c r="AI296" s="136" t="s">
        <v>10</v>
      </c>
      <c r="AJ296" s="136" t="s">
        <v>120</v>
      </c>
      <c r="AK296" s="136" t="s">
        <v>10</v>
      </c>
      <c r="AL296" s="136" t="s">
        <v>120</v>
      </c>
      <c r="AM296" s="136" t="s">
        <v>10</v>
      </c>
      <c r="AN296" s="136" t="s">
        <v>120</v>
      </c>
      <c r="AO296" s="136" t="s">
        <v>10</v>
      </c>
      <c r="AP296" s="136" t="s">
        <v>120</v>
      </c>
      <c r="AQ296" s="136" t="s">
        <v>10</v>
      </c>
      <c r="AR296" s="136" t="s">
        <v>120</v>
      </c>
      <c r="AS296" s="136" t="s">
        <v>116</v>
      </c>
      <c r="AT296" s="136" t="s">
        <v>120</v>
      </c>
      <c r="AU296" s="136" t="s">
        <v>116</v>
      </c>
      <c r="AV296" s="136" t="s">
        <v>120</v>
      </c>
      <c r="AX296" s="136" t="str">
        <f>IF(AI290="","",IF(B296="","",B296))</f>
        <v>HS</v>
      </c>
      <c r="AY296" s="136" t="str">
        <f>IF(AI290="","",IF(C296="","",C296))</f>
        <v>-</v>
      </c>
      <c r="AZ296" s="136" t="str">
        <f>IF(AI290="","",IF(D296="","",D296))</f>
        <v>HS</v>
      </c>
      <c r="BA296" s="136" t="str">
        <f>IF(AI290="","",IF(E296="","",E296))</f>
        <v>-</v>
      </c>
      <c r="BB296" s="136" t="str">
        <f>IF(AI290="","",IF(F296="","",F296))</f>
        <v>HS</v>
      </c>
      <c r="BC296" s="136" t="str">
        <f>IF(AI290="","",IF(G296="","",G296))</f>
        <v>-</v>
      </c>
      <c r="BD296" s="136" t="str">
        <f>IF(AI290="","",IF(H296="","",H296))</f>
        <v>HS</v>
      </c>
      <c r="BE296" s="136" t="str">
        <f>IF(AI290="","",IF(I296="","",I296))</f>
        <v>-</v>
      </c>
      <c r="BF296" s="136" t="str">
        <f>IF(AI290="","",IF(J296="","",J296))</f>
        <v>HS</v>
      </c>
      <c r="BG296" s="136" t="str">
        <f>IF(AI290="","",IF(K296="","",K296))</f>
        <v>-</v>
      </c>
      <c r="BH296" s="136" t="str">
        <f>IF(AI290="","",IF(L296="","",L296))</f>
        <v>PV</v>
      </c>
      <c r="BI296" s="136" t="str">
        <f>IF(AI290="","",IF(M296="","",M296))</f>
        <v>-</v>
      </c>
      <c r="BJ296" s="136" t="str">
        <f>IF(AI290="","",IF(N296="","",N296))</f>
        <v>PV</v>
      </c>
      <c r="BK296" s="136" t="str">
        <f>IF(AI290="","",IF(O296="","",O296))</f>
        <v>-</v>
      </c>
      <c r="CA296" s="183">
        <f>'INFO BASE'!L359</f>
        <v>0</v>
      </c>
      <c r="CB296" s="183">
        <f>'INFO BASE'!M359</f>
        <v>0</v>
      </c>
      <c r="CR296" s="177" t="str">
        <f t="shared" si="174"/>
        <v>HS</v>
      </c>
      <c r="CS296" s="177" t="str">
        <f t="shared" si="175"/>
        <v>HS-</v>
      </c>
      <c r="CT296" s="177" t="str">
        <f t="shared" si="174"/>
        <v>HS</v>
      </c>
      <c r="CU296" s="177" t="str">
        <f t="shared" si="176"/>
        <v>HS-</v>
      </c>
      <c r="CV296" s="177" t="str">
        <f t="shared" si="174"/>
        <v>HS</v>
      </c>
      <c r="CW296" s="177" t="str">
        <f t="shared" si="177"/>
        <v>HS-</v>
      </c>
      <c r="CX296" s="177" t="str">
        <f t="shared" si="174"/>
        <v>HS</v>
      </c>
      <c r="CY296" s="177" t="str">
        <f t="shared" si="178"/>
        <v>HS-</v>
      </c>
      <c r="CZ296" s="177" t="str">
        <f t="shared" si="174"/>
        <v>HS</v>
      </c>
      <c r="DA296" s="177" t="str">
        <f t="shared" si="179"/>
        <v>HS-</v>
      </c>
      <c r="DB296" s="177" t="str">
        <f t="shared" si="174"/>
        <v>PV</v>
      </c>
      <c r="DC296" s="177">
        <f t="shared" si="180"/>
        <v>0</v>
      </c>
      <c r="DD296" s="177" t="str">
        <f t="shared" si="181"/>
        <v>PV</v>
      </c>
      <c r="DE296" s="177">
        <f t="shared" si="182"/>
        <v>0</v>
      </c>
    </row>
    <row r="297" spans="1:109" ht="18" customHeight="1" x14ac:dyDescent="0.3">
      <c r="A297" s="81">
        <v>6.2500000000001998E-2</v>
      </c>
      <c r="B297" s="166" t="s">
        <v>10</v>
      </c>
      <c r="C297" s="130" t="s">
        <v>120</v>
      </c>
      <c r="D297" s="169" t="s">
        <v>10</v>
      </c>
      <c r="E297" s="130" t="s">
        <v>120</v>
      </c>
      <c r="F297" s="169" t="s">
        <v>10</v>
      </c>
      <c r="G297" s="130" t="s">
        <v>120</v>
      </c>
      <c r="H297" s="169" t="s">
        <v>10</v>
      </c>
      <c r="I297" s="130" t="s">
        <v>120</v>
      </c>
      <c r="J297" s="169" t="s">
        <v>10</v>
      </c>
      <c r="K297" s="130" t="s">
        <v>120</v>
      </c>
      <c r="L297" s="169" t="s">
        <v>116</v>
      </c>
      <c r="M297" s="130" t="s">
        <v>120</v>
      </c>
      <c r="N297" s="169" t="s">
        <v>10</v>
      </c>
      <c r="O297" s="154" t="s">
        <v>120</v>
      </c>
      <c r="Q297" s="284"/>
      <c r="R297" s="285"/>
      <c r="S297" s="285"/>
      <c r="T297" s="285"/>
      <c r="U297" s="285"/>
      <c r="V297" s="285"/>
      <c r="W297" s="286"/>
      <c r="X297" s="199">
        <v>1</v>
      </c>
      <c r="Y297" s="262" t="str">
        <f t="array" ref="Y297">IF(ISERROR(INDEX($CA$2:$CB$200,SMALL(IF($CA$2:$CA$200=$A$289,ROW($CA$2:$CA$200)),ROW(4:4))-1,2)),"",INDEX($CA$2:$CB$200,SMALL(IF($CA$2:$CA$200=$A$289,ROW($CA$2:$CA$200)),ROW(4:4))-1,2))</f>
        <v/>
      </c>
      <c r="Z297" s="263"/>
      <c r="AA297" s="263"/>
      <c r="AB297" s="263"/>
      <c r="AC297" s="263"/>
      <c r="AD297" s="263"/>
      <c r="AE297" s="263"/>
      <c r="AF297" s="264"/>
      <c r="AH297" s="136">
        <v>6.2500000000001998E-2</v>
      </c>
      <c r="AI297" s="136" t="s">
        <v>10</v>
      </c>
      <c r="AJ297" s="136" t="s">
        <v>120</v>
      </c>
      <c r="AK297" s="136" t="s">
        <v>10</v>
      </c>
      <c r="AL297" s="136" t="s">
        <v>120</v>
      </c>
      <c r="AM297" s="136" t="s">
        <v>10</v>
      </c>
      <c r="AN297" s="136" t="s">
        <v>120</v>
      </c>
      <c r="AO297" s="136" t="s">
        <v>10</v>
      </c>
      <c r="AP297" s="136" t="s">
        <v>120</v>
      </c>
      <c r="AQ297" s="136" t="s">
        <v>10</v>
      </c>
      <c r="AR297" s="136" t="s">
        <v>120</v>
      </c>
      <c r="AS297" s="136" t="s">
        <v>116</v>
      </c>
      <c r="AT297" s="136" t="s">
        <v>120</v>
      </c>
      <c r="AU297" s="136" t="s">
        <v>10</v>
      </c>
      <c r="AV297" s="136" t="s">
        <v>120</v>
      </c>
      <c r="AX297" s="136" t="str">
        <f>IF(AI290="","",IF(B297="","",B297))</f>
        <v>HS</v>
      </c>
      <c r="AY297" s="136" t="str">
        <f>IF(AI290="","",IF(C297="","",C297))</f>
        <v>-</v>
      </c>
      <c r="AZ297" s="136" t="str">
        <f>IF(AI290="","",IF(D297="","",D297))</f>
        <v>HS</v>
      </c>
      <c r="BA297" s="136" t="str">
        <f>IF(AI290="","",IF(E297="","",E297))</f>
        <v>-</v>
      </c>
      <c r="BB297" s="136" t="str">
        <f>IF(AI290="","",IF(F297="","",F297))</f>
        <v>HS</v>
      </c>
      <c r="BC297" s="136" t="str">
        <f>IF(AI290="","",IF(G297="","",G297))</f>
        <v>-</v>
      </c>
      <c r="BD297" s="136" t="str">
        <f>IF(AI290="","",IF(H297="","",H297))</f>
        <v>HS</v>
      </c>
      <c r="BE297" s="136" t="str">
        <f>IF(AI290="","",IF(I297="","",I297))</f>
        <v>-</v>
      </c>
      <c r="BF297" s="136" t="str">
        <f>IF(AI290="","",IF(J297="","",J297))</f>
        <v>HS</v>
      </c>
      <c r="BG297" s="136" t="str">
        <f>IF(AI290="","",IF(K297="","",K297))</f>
        <v>-</v>
      </c>
      <c r="BH297" s="136" t="str">
        <f>IF(AI290="","",IF(L297="","",L297))</f>
        <v>PV</v>
      </c>
      <c r="BI297" s="136" t="str">
        <f>IF(AI290="","",IF(M297="","",M297))</f>
        <v>-</v>
      </c>
      <c r="BJ297" s="136" t="str">
        <f>IF(AI290="","",IF(N297="","",N297))</f>
        <v>HS</v>
      </c>
      <c r="BK297" s="136" t="str">
        <f>IF(AI290="","",IF(O297="","",O297))</f>
        <v>-</v>
      </c>
      <c r="CA297" s="183">
        <f>'INFO BASE'!L360</f>
        <v>0</v>
      </c>
      <c r="CB297" s="183">
        <f>'INFO BASE'!M360</f>
        <v>0</v>
      </c>
      <c r="CR297" s="177" t="str">
        <f t="shared" si="174"/>
        <v>HS</v>
      </c>
      <c r="CS297" s="177" t="str">
        <f t="shared" si="175"/>
        <v>HS-</v>
      </c>
      <c r="CT297" s="177" t="str">
        <f t="shared" si="174"/>
        <v>HS</v>
      </c>
      <c r="CU297" s="177" t="str">
        <f t="shared" si="176"/>
        <v>HS-</v>
      </c>
      <c r="CV297" s="177" t="str">
        <f t="shared" si="174"/>
        <v>HS</v>
      </c>
      <c r="CW297" s="177" t="str">
        <f t="shared" si="177"/>
        <v>HS-</v>
      </c>
      <c r="CX297" s="177" t="str">
        <f t="shared" si="174"/>
        <v>HS</v>
      </c>
      <c r="CY297" s="177" t="str">
        <f t="shared" si="178"/>
        <v>HS-</v>
      </c>
      <c r="CZ297" s="177" t="str">
        <f t="shared" si="174"/>
        <v>HS</v>
      </c>
      <c r="DA297" s="177" t="str">
        <f t="shared" si="179"/>
        <v>HS-</v>
      </c>
      <c r="DB297" s="177" t="str">
        <f t="shared" si="174"/>
        <v>PV</v>
      </c>
      <c r="DC297" s="177">
        <f t="shared" si="180"/>
        <v>0</v>
      </c>
      <c r="DD297" s="177" t="str">
        <f t="shared" si="181"/>
        <v>HS</v>
      </c>
      <c r="DE297" s="177" t="str">
        <f t="shared" si="182"/>
        <v>HS-</v>
      </c>
    </row>
    <row r="298" spans="1:109" ht="18" customHeight="1" x14ac:dyDescent="0.3">
      <c r="A298" s="81">
        <v>8.3333333333335993E-2</v>
      </c>
      <c r="B298" s="166" t="s">
        <v>10</v>
      </c>
      <c r="C298" s="130" t="s">
        <v>120</v>
      </c>
      <c r="D298" s="169" t="s">
        <v>10</v>
      </c>
      <c r="E298" s="130" t="s">
        <v>120</v>
      </c>
      <c r="F298" s="169" t="s">
        <v>10</v>
      </c>
      <c r="G298" s="130" t="s">
        <v>120</v>
      </c>
      <c r="H298" s="169" t="s">
        <v>10</v>
      </c>
      <c r="I298" s="130" t="s">
        <v>120</v>
      </c>
      <c r="J298" s="169" t="s">
        <v>10</v>
      </c>
      <c r="K298" s="130" t="s">
        <v>120</v>
      </c>
      <c r="L298" s="169" t="s">
        <v>10</v>
      </c>
      <c r="M298" s="130" t="s">
        <v>120</v>
      </c>
      <c r="N298" s="169" t="s">
        <v>10</v>
      </c>
      <c r="O298" s="154" t="s">
        <v>120</v>
      </c>
      <c r="Q298" s="284"/>
      <c r="R298" s="285"/>
      <c r="S298" s="285"/>
      <c r="T298" s="285"/>
      <c r="U298" s="285"/>
      <c r="V298" s="285"/>
      <c r="W298" s="286"/>
      <c r="X298" s="199">
        <v>1</v>
      </c>
      <c r="Y298" s="262" t="str">
        <f t="array" ref="Y298">IF(ISERROR(INDEX($CA$2:$CB$200,SMALL(IF($CA$2:$CA$200=$A$289,ROW($CA$2:$CA$200)),ROW(5:5))-1,2)),"",INDEX($CA$2:$CB$200,SMALL(IF($CA$2:$CA$200=$A$289,ROW($CA$2:$CA$200)),ROW(5:5))-1,2))</f>
        <v/>
      </c>
      <c r="Z298" s="263"/>
      <c r="AA298" s="263"/>
      <c r="AB298" s="263"/>
      <c r="AC298" s="263"/>
      <c r="AD298" s="263"/>
      <c r="AE298" s="263"/>
      <c r="AF298" s="264"/>
      <c r="AH298" s="136">
        <v>8.3333333333335993E-2</v>
      </c>
      <c r="AI298" s="136" t="s">
        <v>10</v>
      </c>
      <c r="AJ298" s="136" t="s">
        <v>120</v>
      </c>
      <c r="AK298" s="136" t="s">
        <v>10</v>
      </c>
      <c r="AL298" s="136" t="s">
        <v>120</v>
      </c>
      <c r="AM298" s="136" t="s">
        <v>10</v>
      </c>
      <c r="AN298" s="136" t="s">
        <v>120</v>
      </c>
      <c r="AO298" s="136" t="s">
        <v>10</v>
      </c>
      <c r="AP298" s="136" t="s">
        <v>120</v>
      </c>
      <c r="AQ298" s="136" t="s">
        <v>10</v>
      </c>
      <c r="AR298" s="136" t="s">
        <v>120</v>
      </c>
      <c r="AS298" s="136" t="s">
        <v>10</v>
      </c>
      <c r="AT298" s="136" t="s">
        <v>120</v>
      </c>
      <c r="AU298" s="136" t="s">
        <v>10</v>
      </c>
      <c r="AV298" s="136" t="s">
        <v>120</v>
      </c>
      <c r="AX298" s="136" t="str">
        <f>IF(AI290="","",IF(B298="","",B298))</f>
        <v>HS</v>
      </c>
      <c r="AY298" s="136" t="str">
        <f>IF(AI290="","",IF(C298="","",C298))</f>
        <v>-</v>
      </c>
      <c r="AZ298" s="136" t="str">
        <f>IF(AI290="","",IF(D298="","",D298))</f>
        <v>HS</v>
      </c>
      <c r="BA298" s="136" t="str">
        <f>IF(AI290="","",IF(E298="","",E298))</f>
        <v>-</v>
      </c>
      <c r="BB298" s="136" t="str">
        <f>IF(AI290="","",IF(F298="","",F298))</f>
        <v>HS</v>
      </c>
      <c r="BC298" s="136" t="str">
        <f>IF(AI290="","",IF(G298="","",G298))</f>
        <v>-</v>
      </c>
      <c r="BD298" s="136" t="str">
        <f>IF(AI290="","",IF(H298="","",H298))</f>
        <v>HS</v>
      </c>
      <c r="BE298" s="136" t="str">
        <f>IF(AI290="","",IF(I298="","",I298))</f>
        <v>-</v>
      </c>
      <c r="BF298" s="136" t="str">
        <f>IF(AI290="","",IF(J298="","",J298))</f>
        <v>HS</v>
      </c>
      <c r="BG298" s="136" t="str">
        <f>IF(AI290="","",IF(K298="","",K298))</f>
        <v>-</v>
      </c>
      <c r="BH298" s="136" t="str">
        <f>IF(AI290="","",IF(L298="","",L298))</f>
        <v>HS</v>
      </c>
      <c r="BI298" s="136" t="str">
        <f>IF(AI290="","",IF(M298="","",M298))</f>
        <v>-</v>
      </c>
      <c r="BJ298" s="136" t="str">
        <f>IF(AI290="","",IF(N298="","",N298))</f>
        <v>HS</v>
      </c>
      <c r="BK298" s="136" t="str">
        <f>IF(AI290="","",IF(O298="","",O298))</f>
        <v>-</v>
      </c>
      <c r="CA298" s="183">
        <f>'INFO BASE'!L361</f>
        <v>0</v>
      </c>
      <c r="CB298" s="183">
        <f>'INFO BASE'!M361</f>
        <v>0</v>
      </c>
      <c r="CD298" s="136" t="str">
        <f t="shared" ref="CD298:CD303" si="183">R306</f>
        <v>FP</v>
      </c>
      <c r="CR298" s="177" t="str">
        <f t="shared" si="174"/>
        <v>HS</v>
      </c>
      <c r="CS298" s="177" t="str">
        <f t="shared" si="175"/>
        <v>HS-</v>
      </c>
      <c r="CT298" s="177" t="str">
        <f t="shared" si="174"/>
        <v>HS</v>
      </c>
      <c r="CU298" s="177" t="str">
        <f t="shared" si="176"/>
        <v>HS-</v>
      </c>
      <c r="CV298" s="177" t="str">
        <f t="shared" si="174"/>
        <v>HS</v>
      </c>
      <c r="CW298" s="177" t="str">
        <f t="shared" si="177"/>
        <v>HS-</v>
      </c>
      <c r="CX298" s="177" t="str">
        <f t="shared" si="174"/>
        <v>HS</v>
      </c>
      <c r="CY298" s="177" t="str">
        <f t="shared" si="178"/>
        <v>HS-</v>
      </c>
      <c r="CZ298" s="177" t="str">
        <f t="shared" si="174"/>
        <v>HS</v>
      </c>
      <c r="DA298" s="177" t="str">
        <f t="shared" si="179"/>
        <v>HS-</v>
      </c>
      <c r="DB298" s="177" t="str">
        <f t="shared" si="174"/>
        <v>HS</v>
      </c>
      <c r="DC298" s="177" t="str">
        <f t="shared" si="180"/>
        <v>HS-</v>
      </c>
      <c r="DD298" s="177" t="str">
        <f t="shared" si="181"/>
        <v>HS</v>
      </c>
      <c r="DE298" s="177" t="str">
        <f t="shared" si="182"/>
        <v>HS-</v>
      </c>
    </row>
    <row r="299" spans="1:109" ht="18" customHeight="1" x14ac:dyDescent="0.3">
      <c r="A299" s="81">
        <v>0.10416666666667</v>
      </c>
      <c r="B299" s="166" t="s">
        <v>10</v>
      </c>
      <c r="C299" s="130" t="s">
        <v>120</v>
      </c>
      <c r="D299" s="169" t="s">
        <v>10</v>
      </c>
      <c r="E299" s="130" t="s">
        <v>120</v>
      </c>
      <c r="F299" s="169" t="s">
        <v>10</v>
      </c>
      <c r="G299" s="130" t="s">
        <v>120</v>
      </c>
      <c r="H299" s="169" t="s">
        <v>10</v>
      </c>
      <c r="I299" s="130" t="s">
        <v>120</v>
      </c>
      <c r="J299" s="169" t="s">
        <v>10</v>
      </c>
      <c r="K299" s="130" t="s">
        <v>120</v>
      </c>
      <c r="L299" s="169" t="s">
        <v>10</v>
      </c>
      <c r="M299" s="130" t="s">
        <v>120</v>
      </c>
      <c r="N299" s="169" t="s">
        <v>10</v>
      </c>
      <c r="O299" s="154" t="s">
        <v>120</v>
      </c>
      <c r="Q299" s="284"/>
      <c r="R299" s="285"/>
      <c r="S299" s="285"/>
      <c r="T299" s="285"/>
      <c r="U299" s="285"/>
      <c r="V299" s="285"/>
      <c r="W299" s="286"/>
      <c r="X299" s="199">
        <v>1</v>
      </c>
      <c r="Y299" s="262" t="str">
        <f t="array" ref="Y299">IF(ISERROR(INDEX($CA$2:$CB$200,SMALL(IF($CA$2:$CA$200=$A$289,ROW($CA$2:$CA$200)),ROW(6:6))-1,2)),"",INDEX($CA$2:$CB$200,SMALL(IF($CA$2:$CA$200=$A$289,ROW($CA$2:$CA$200)),ROW(6:6))-1,2))</f>
        <v/>
      </c>
      <c r="Z299" s="263"/>
      <c r="AA299" s="263"/>
      <c r="AB299" s="263"/>
      <c r="AC299" s="263"/>
      <c r="AD299" s="263"/>
      <c r="AE299" s="263"/>
      <c r="AF299" s="264"/>
      <c r="AH299" s="136">
        <v>0.10416666666667</v>
      </c>
      <c r="AI299" s="136" t="s">
        <v>10</v>
      </c>
      <c r="AJ299" s="136" t="s">
        <v>120</v>
      </c>
      <c r="AK299" s="136" t="s">
        <v>10</v>
      </c>
      <c r="AL299" s="136" t="s">
        <v>120</v>
      </c>
      <c r="AM299" s="136" t="s">
        <v>10</v>
      </c>
      <c r="AN299" s="136" t="s">
        <v>120</v>
      </c>
      <c r="AO299" s="136" t="s">
        <v>10</v>
      </c>
      <c r="AP299" s="136" t="s">
        <v>120</v>
      </c>
      <c r="AQ299" s="136" t="s">
        <v>10</v>
      </c>
      <c r="AR299" s="136" t="s">
        <v>120</v>
      </c>
      <c r="AS299" s="136" t="s">
        <v>10</v>
      </c>
      <c r="AT299" s="136" t="s">
        <v>120</v>
      </c>
      <c r="AU299" s="136" t="s">
        <v>10</v>
      </c>
      <c r="AV299" s="136" t="s">
        <v>120</v>
      </c>
      <c r="AX299" s="136" t="str">
        <f>IF(AI290="","",IF(B299="","",B299))</f>
        <v>HS</v>
      </c>
      <c r="AY299" s="136" t="str">
        <f>IF(AI290="","",IF(C299="","",C299))</f>
        <v>-</v>
      </c>
      <c r="AZ299" s="136" t="str">
        <f>IF(AI290="","",IF(D299="","",D299))</f>
        <v>HS</v>
      </c>
      <c r="BA299" s="136" t="str">
        <f>IF(AI290="","",IF(E299="","",E299))</f>
        <v>-</v>
      </c>
      <c r="BB299" s="136" t="str">
        <f>IF(AI290="","",IF(F299="","",F299))</f>
        <v>HS</v>
      </c>
      <c r="BC299" s="136" t="str">
        <f>IF(AI290="","",IF(G299="","",G299))</f>
        <v>-</v>
      </c>
      <c r="BD299" s="136" t="str">
        <f>IF(AI290="","",IF(H299="","",H299))</f>
        <v>HS</v>
      </c>
      <c r="BE299" s="136" t="str">
        <f>IF(AI290="","",IF(I299="","",I299))</f>
        <v>-</v>
      </c>
      <c r="BF299" s="136" t="str">
        <f>IF(AI290="","",IF(J299="","",J299))</f>
        <v>HS</v>
      </c>
      <c r="BG299" s="136" t="str">
        <f>IF(AI290="","",IF(K299="","",K299))</f>
        <v>-</v>
      </c>
      <c r="BH299" s="136" t="str">
        <f>IF(AI290="","",IF(L299="","",L299))</f>
        <v>HS</v>
      </c>
      <c r="BI299" s="136" t="str">
        <f>IF(AI290="","",IF(M299="","",M299))</f>
        <v>-</v>
      </c>
      <c r="BJ299" s="136" t="str">
        <f>IF(AI290="","",IF(N299="","",N299))</f>
        <v>HS</v>
      </c>
      <c r="BK299" s="136" t="str">
        <f>IF(AI290="","",IF(O299="","",O299))</f>
        <v>-</v>
      </c>
      <c r="CA299" s="183">
        <f>'INFO BASE'!L362</f>
        <v>0</v>
      </c>
      <c r="CB299" s="183">
        <f>'INFO BASE'!M362</f>
        <v>0</v>
      </c>
      <c r="CD299" s="136" t="str">
        <f t="shared" si="183"/>
        <v>IEI</v>
      </c>
      <c r="CR299" s="177" t="str">
        <f t="shared" si="174"/>
        <v>HS</v>
      </c>
      <c r="CS299" s="177" t="str">
        <f t="shared" si="175"/>
        <v>HS-</v>
      </c>
      <c r="CT299" s="177" t="str">
        <f t="shared" si="174"/>
        <v>HS</v>
      </c>
      <c r="CU299" s="177" t="str">
        <f t="shared" si="176"/>
        <v>HS-</v>
      </c>
      <c r="CV299" s="177" t="str">
        <f t="shared" si="174"/>
        <v>HS</v>
      </c>
      <c r="CW299" s="177" t="str">
        <f t="shared" si="177"/>
        <v>HS-</v>
      </c>
      <c r="CX299" s="177" t="str">
        <f t="shared" si="174"/>
        <v>HS</v>
      </c>
      <c r="CY299" s="177" t="str">
        <f t="shared" si="178"/>
        <v>HS-</v>
      </c>
      <c r="CZ299" s="177" t="str">
        <f t="shared" si="174"/>
        <v>HS</v>
      </c>
      <c r="DA299" s="177" t="str">
        <f t="shared" si="179"/>
        <v>HS-</v>
      </c>
      <c r="DB299" s="177" t="str">
        <f t="shared" si="174"/>
        <v>HS</v>
      </c>
      <c r="DC299" s="177" t="str">
        <f t="shared" si="180"/>
        <v>HS-</v>
      </c>
      <c r="DD299" s="177" t="str">
        <f t="shared" si="181"/>
        <v>HS</v>
      </c>
      <c r="DE299" s="177" t="str">
        <f t="shared" si="182"/>
        <v>HS-</v>
      </c>
    </row>
    <row r="300" spans="1:109" ht="18" customHeight="1" x14ac:dyDescent="0.3">
      <c r="A300" s="81">
        <v>0.125000000000004</v>
      </c>
      <c r="B300" s="166" t="s">
        <v>10</v>
      </c>
      <c r="C300" s="130" t="s">
        <v>120</v>
      </c>
      <c r="D300" s="169" t="s">
        <v>10</v>
      </c>
      <c r="E300" s="130" t="s">
        <v>120</v>
      </c>
      <c r="F300" s="169" t="s">
        <v>10</v>
      </c>
      <c r="G300" s="130" t="s">
        <v>120</v>
      </c>
      <c r="H300" s="169" t="s">
        <v>10</v>
      </c>
      <c r="I300" s="130" t="s">
        <v>120</v>
      </c>
      <c r="J300" s="169" t="s">
        <v>10</v>
      </c>
      <c r="K300" s="130" t="s">
        <v>120</v>
      </c>
      <c r="L300" s="169" t="s">
        <v>10</v>
      </c>
      <c r="M300" s="130" t="s">
        <v>120</v>
      </c>
      <c r="N300" s="169" t="s">
        <v>10</v>
      </c>
      <c r="O300" s="154" t="s">
        <v>120</v>
      </c>
      <c r="Q300" s="284"/>
      <c r="R300" s="285"/>
      <c r="S300" s="285"/>
      <c r="T300" s="285"/>
      <c r="U300" s="285"/>
      <c r="V300" s="285"/>
      <c r="W300" s="286"/>
      <c r="X300" s="199">
        <v>1</v>
      </c>
      <c r="Y300" s="262" t="str">
        <f t="array" ref="Y300">IF(ISERROR(INDEX($CA$2:$CB$200,SMALL(IF($CA$2:$CA$200=$A$289,ROW($CA$2:$CA$200)),ROW(7:7))-1,2)),"",INDEX($CA$2:$CB$200,SMALL(IF($CA$2:$CA$200=$A$289,ROW($CA$2:$CA$200)),ROW(7:7))-1,2))</f>
        <v/>
      </c>
      <c r="Z300" s="263"/>
      <c r="AA300" s="263"/>
      <c r="AB300" s="263"/>
      <c r="AC300" s="263"/>
      <c r="AD300" s="263"/>
      <c r="AE300" s="263"/>
      <c r="AF300" s="264"/>
      <c r="AH300" s="136">
        <v>0.125000000000004</v>
      </c>
      <c r="AI300" s="136" t="s">
        <v>10</v>
      </c>
      <c r="AJ300" s="136" t="s">
        <v>120</v>
      </c>
      <c r="AK300" s="136" t="s">
        <v>10</v>
      </c>
      <c r="AL300" s="136" t="s">
        <v>120</v>
      </c>
      <c r="AM300" s="136" t="s">
        <v>10</v>
      </c>
      <c r="AN300" s="136" t="s">
        <v>120</v>
      </c>
      <c r="AO300" s="136" t="s">
        <v>10</v>
      </c>
      <c r="AP300" s="136" t="s">
        <v>120</v>
      </c>
      <c r="AQ300" s="136" t="s">
        <v>10</v>
      </c>
      <c r="AR300" s="136" t="s">
        <v>120</v>
      </c>
      <c r="AS300" s="136" t="s">
        <v>10</v>
      </c>
      <c r="AT300" s="136" t="s">
        <v>120</v>
      </c>
      <c r="AU300" s="136" t="s">
        <v>10</v>
      </c>
      <c r="AV300" s="136" t="s">
        <v>120</v>
      </c>
      <c r="AX300" s="136" t="str">
        <f>IF(AI290="","",IF(B300="","",B300))</f>
        <v>HS</v>
      </c>
      <c r="AY300" s="136" t="str">
        <f>IF(AI290="","",IF(C300="","",C300))</f>
        <v>-</v>
      </c>
      <c r="AZ300" s="136" t="str">
        <f>IF(AI290="","",IF(D300="","",D300))</f>
        <v>HS</v>
      </c>
      <c r="BA300" s="136" t="str">
        <f>IF(AI290="","",IF(E300="","",E300))</f>
        <v>-</v>
      </c>
      <c r="BB300" s="136" t="str">
        <f>IF(AI290="","",IF(F300="","",F300))</f>
        <v>HS</v>
      </c>
      <c r="BC300" s="136" t="str">
        <f>IF(AI290="","",IF(G300="","",G300))</f>
        <v>-</v>
      </c>
      <c r="BD300" s="136" t="str">
        <f>IF(AI290="","",IF(H300="","",H300))</f>
        <v>HS</v>
      </c>
      <c r="BE300" s="136" t="str">
        <f>IF(AI290="","",IF(I300="","",I300))</f>
        <v>-</v>
      </c>
      <c r="BF300" s="136" t="str">
        <f>IF(AI290="","",IF(J300="","",J300))</f>
        <v>HS</v>
      </c>
      <c r="BG300" s="136" t="str">
        <f>IF(AI290="","",IF(K300="","",K300))</f>
        <v>-</v>
      </c>
      <c r="BH300" s="136" t="str">
        <f>IF(AI290="","",IF(L300="","",L300))</f>
        <v>HS</v>
      </c>
      <c r="BI300" s="136" t="str">
        <f>IF(AI290="","",IF(M300="","",M300))</f>
        <v>-</v>
      </c>
      <c r="BJ300" s="136" t="str">
        <f>IF(AI290="","",IF(N300="","",N300))</f>
        <v>HS</v>
      </c>
      <c r="BK300" s="136" t="str">
        <f>IF(AI290="","",IF(O300="","",O300))</f>
        <v>-</v>
      </c>
      <c r="CA300" s="183">
        <f>'INFO BASE'!L363</f>
        <v>0</v>
      </c>
      <c r="CB300" s="183">
        <f>'INFO BASE'!M363</f>
        <v>0</v>
      </c>
      <c r="CD300" s="136" t="str">
        <f t="shared" si="183"/>
        <v>IAC</v>
      </c>
      <c r="CR300" s="177" t="str">
        <f t="shared" si="174"/>
        <v>HS</v>
      </c>
      <c r="CS300" s="177" t="str">
        <f t="shared" si="175"/>
        <v>HS-</v>
      </c>
      <c r="CT300" s="177" t="str">
        <f t="shared" si="174"/>
        <v>HS</v>
      </c>
      <c r="CU300" s="177" t="str">
        <f t="shared" si="176"/>
        <v>HS-</v>
      </c>
      <c r="CV300" s="177" t="str">
        <f t="shared" si="174"/>
        <v>HS</v>
      </c>
      <c r="CW300" s="177" t="str">
        <f t="shared" si="177"/>
        <v>HS-</v>
      </c>
      <c r="CX300" s="177" t="str">
        <f t="shared" si="174"/>
        <v>HS</v>
      </c>
      <c r="CY300" s="177" t="str">
        <f t="shared" si="178"/>
        <v>HS-</v>
      </c>
      <c r="CZ300" s="177" t="str">
        <f t="shared" si="174"/>
        <v>HS</v>
      </c>
      <c r="DA300" s="177" t="str">
        <f t="shared" si="179"/>
        <v>HS-</v>
      </c>
      <c r="DB300" s="177" t="str">
        <f t="shared" si="174"/>
        <v>HS</v>
      </c>
      <c r="DC300" s="177" t="str">
        <f t="shared" si="180"/>
        <v>HS-</v>
      </c>
      <c r="DD300" s="177" t="str">
        <f t="shared" si="181"/>
        <v>HS</v>
      </c>
      <c r="DE300" s="177" t="str">
        <f t="shared" si="182"/>
        <v>HS-</v>
      </c>
    </row>
    <row r="301" spans="1:109" ht="18" customHeight="1" thickBot="1" x14ac:dyDescent="0.35">
      <c r="A301" s="81">
        <v>0.14583333333333801</v>
      </c>
      <c r="B301" s="166" t="s">
        <v>10</v>
      </c>
      <c r="C301" s="130" t="s">
        <v>120</v>
      </c>
      <c r="D301" s="169" t="s">
        <v>10</v>
      </c>
      <c r="E301" s="130" t="s">
        <v>120</v>
      </c>
      <c r="F301" s="169" t="s">
        <v>10</v>
      </c>
      <c r="G301" s="130" t="s">
        <v>120</v>
      </c>
      <c r="H301" s="169" t="s">
        <v>10</v>
      </c>
      <c r="I301" s="130" t="s">
        <v>120</v>
      </c>
      <c r="J301" s="169" t="s">
        <v>10</v>
      </c>
      <c r="K301" s="130" t="s">
        <v>120</v>
      </c>
      <c r="L301" s="169" t="s">
        <v>10</v>
      </c>
      <c r="M301" s="130" t="s">
        <v>120</v>
      </c>
      <c r="N301" s="169" t="s">
        <v>10</v>
      </c>
      <c r="O301" s="154" t="s">
        <v>120</v>
      </c>
      <c r="Q301" s="287"/>
      <c r="R301" s="288"/>
      <c r="S301" s="288"/>
      <c r="T301" s="288"/>
      <c r="U301" s="288"/>
      <c r="V301" s="288"/>
      <c r="W301" s="289"/>
      <c r="X301" s="199">
        <v>1</v>
      </c>
      <c r="Y301" s="265" t="str">
        <f t="array" ref="Y301">IF(ISERROR(INDEX($CA$2:$CB$200,SMALL(IF($CA$2:$CA$200=$A$289,ROW($CA$2:$CA$200)),ROW(8:8))-1,2)),"",INDEX($CA$2:$CB$200,SMALL(IF($CA$2:$CA$200=$A$289,ROW($CA$2:$CA$200)),ROW(8:8))-1,2))</f>
        <v/>
      </c>
      <c r="Z301" s="266"/>
      <c r="AA301" s="266"/>
      <c r="AB301" s="266"/>
      <c r="AC301" s="266"/>
      <c r="AD301" s="266"/>
      <c r="AE301" s="266"/>
      <c r="AF301" s="267"/>
      <c r="AH301" s="136">
        <v>0.14583333333333801</v>
      </c>
      <c r="AI301" s="136" t="s">
        <v>10</v>
      </c>
      <c r="AJ301" s="136" t="s">
        <v>120</v>
      </c>
      <c r="AK301" s="136" t="s">
        <v>10</v>
      </c>
      <c r="AL301" s="136" t="s">
        <v>120</v>
      </c>
      <c r="AM301" s="136" t="s">
        <v>10</v>
      </c>
      <c r="AN301" s="136" t="s">
        <v>120</v>
      </c>
      <c r="AO301" s="136" t="s">
        <v>10</v>
      </c>
      <c r="AP301" s="136" t="s">
        <v>120</v>
      </c>
      <c r="AQ301" s="136" t="s">
        <v>10</v>
      </c>
      <c r="AR301" s="136" t="s">
        <v>120</v>
      </c>
      <c r="AS301" s="136" t="s">
        <v>10</v>
      </c>
      <c r="AT301" s="136" t="s">
        <v>120</v>
      </c>
      <c r="AU301" s="136" t="s">
        <v>10</v>
      </c>
      <c r="AV301" s="136" t="s">
        <v>120</v>
      </c>
      <c r="AX301" s="136" t="str">
        <f>IF(AI290="","",IF(B301="","",B301))</f>
        <v>HS</v>
      </c>
      <c r="AY301" s="136" t="str">
        <f>IF(AI290="","",IF(C301="","",C301))</f>
        <v>-</v>
      </c>
      <c r="AZ301" s="136" t="str">
        <f>IF(AI290="","",IF(D301="","",D301))</f>
        <v>HS</v>
      </c>
      <c r="BA301" s="136" t="str">
        <f>IF(AI290="","",IF(E301="","",E301))</f>
        <v>-</v>
      </c>
      <c r="BB301" s="136" t="str">
        <f>IF(AI290="","",IF(F301="","",F301))</f>
        <v>HS</v>
      </c>
      <c r="BC301" s="136" t="str">
        <f>IF(AI290="","",IF(G301="","",G301))</f>
        <v>-</v>
      </c>
      <c r="BD301" s="136" t="str">
        <f>IF(AI290="","",IF(H301="","",H301))</f>
        <v>HS</v>
      </c>
      <c r="BE301" s="136" t="str">
        <f>IF(AI290="","",IF(I301="","",I301))</f>
        <v>-</v>
      </c>
      <c r="BF301" s="136" t="str">
        <f>IF(AI290="","",IF(J301="","",J301))</f>
        <v>HS</v>
      </c>
      <c r="BG301" s="136" t="str">
        <f>IF(AI290="","",IF(K301="","",K301))</f>
        <v>-</v>
      </c>
      <c r="BH301" s="136" t="str">
        <f>IF(AI290="","",IF(L301="","",L301))</f>
        <v>HS</v>
      </c>
      <c r="BI301" s="136" t="str">
        <f>IF(AI290="","",IF(M301="","",M301))</f>
        <v>-</v>
      </c>
      <c r="BJ301" s="136" t="str">
        <f>IF(AI290="","",IF(N301="","",N301))</f>
        <v>HS</v>
      </c>
      <c r="BK301" s="136" t="str">
        <f>IF(AI290="","",IF(O301="","",O301))</f>
        <v>-</v>
      </c>
      <c r="CA301" s="183">
        <f>'INFO BASE'!L364</f>
        <v>0</v>
      </c>
      <c r="CB301" s="183">
        <f>'INFO BASE'!M364</f>
        <v>0</v>
      </c>
      <c r="CD301" s="136" t="str">
        <f t="shared" si="183"/>
        <v>AL</v>
      </c>
      <c r="CR301" s="177" t="str">
        <f t="shared" si="174"/>
        <v>HS</v>
      </c>
      <c r="CS301" s="177" t="str">
        <f t="shared" si="175"/>
        <v>HS-</v>
      </c>
      <c r="CT301" s="177" t="str">
        <f t="shared" si="174"/>
        <v>HS</v>
      </c>
      <c r="CU301" s="177" t="str">
        <f t="shared" si="176"/>
        <v>HS-</v>
      </c>
      <c r="CV301" s="177" t="str">
        <f t="shared" si="174"/>
        <v>HS</v>
      </c>
      <c r="CW301" s="177" t="str">
        <f t="shared" si="177"/>
        <v>HS-</v>
      </c>
      <c r="CX301" s="177" t="str">
        <f t="shared" si="174"/>
        <v>HS</v>
      </c>
      <c r="CY301" s="177" t="str">
        <f t="shared" si="178"/>
        <v>HS-</v>
      </c>
      <c r="CZ301" s="177" t="str">
        <f t="shared" si="174"/>
        <v>HS</v>
      </c>
      <c r="DA301" s="177" t="str">
        <f t="shared" si="179"/>
        <v>HS-</v>
      </c>
      <c r="DB301" s="177" t="str">
        <f t="shared" si="174"/>
        <v>HS</v>
      </c>
      <c r="DC301" s="177" t="str">
        <f t="shared" si="180"/>
        <v>HS-</v>
      </c>
      <c r="DD301" s="177" t="str">
        <f t="shared" si="181"/>
        <v>HS</v>
      </c>
      <c r="DE301" s="177" t="str">
        <f t="shared" si="182"/>
        <v>HS-</v>
      </c>
    </row>
    <row r="302" spans="1:109" ht="18" customHeight="1" thickBot="1" x14ac:dyDescent="0.35">
      <c r="A302" s="81">
        <v>0.16666666666667199</v>
      </c>
      <c r="B302" s="166" t="s">
        <v>10</v>
      </c>
      <c r="C302" s="130" t="s">
        <v>120</v>
      </c>
      <c r="D302" s="169" t="s">
        <v>10</v>
      </c>
      <c r="E302" s="130" t="s">
        <v>120</v>
      </c>
      <c r="F302" s="169" t="s">
        <v>10</v>
      </c>
      <c r="G302" s="130" t="s">
        <v>120</v>
      </c>
      <c r="H302" s="169" t="s">
        <v>10</v>
      </c>
      <c r="I302" s="130" t="s">
        <v>120</v>
      </c>
      <c r="J302" s="169" t="s">
        <v>10</v>
      </c>
      <c r="K302" s="130" t="s">
        <v>120</v>
      </c>
      <c r="L302" s="169" t="s">
        <v>10</v>
      </c>
      <c r="M302" s="130" t="s">
        <v>120</v>
      </c>
      <c r="N302" s="169" t="s">
        <v>10</v>
      </c>
      <c r="O302" s="154" t="s">
        <v>120</v>
      </c>
      <c r="Q302" s="63"/>
      <c r="R302" s="64"/>
      <c r="S302" s="65"/>
      <c r="T302" s="65"/>
      <c r="U302" s="65"/>
      <c r="V302" s="65"/>
      <c r="W302" s="65"/>
      <c r="X302" s="199">
        <v>1</v>
      </c>
      <c r="Y302" s="59"/>
      <c r="Z302" s="59"/>
      <c r="AA302" s="59"/>
      <c r="AB302" s="59"/>
      <c r="AC302" s="59"/>
      <c r="AD302" s="59"/>
      <c r="AE302" s="59"/>
      <c r="AF302" s="59"/>
      <c r="AH302" s="136">
        <v>0.16666666666667199</v>
      </c>
      <c r="AI302" s="136" t="s">
        <v>10</v>
      </c>
      <c r="AJ302" s="136" t="s">
        <v>120</v>
      </c>
      <c r="AK302" s="136" t="s">
        <v>10</v>
      </c>
      <c r="AL302" s="136" t="s">
        <v>120</v>
      </c>
      <c r="AM302" s="136" t="s">
        <v>10</v>
      </c>
      <c r="AN302" s="136" t="s">
        <v>120</v>
      </c>
      <c r="AO302" s="136" t="s">
        <v>10</v>
      </c>
      <c r="AP302" s="136" t="s">
        <v>120</v>
      </c>
      <c r="AQ302" s="136" t="s">
        <v>10</v>
      </c>
      <c r="AR302" s="136" t="s">
        <v>120</v>
      </c>
      <c r="AS302" s="136" t="s">
        <v>10</v>
      </c>
      <c r="AT302" s="136" t="s">
        <v>120</v>
      </c>
      <c r="AU302" s="136" t="s">
        <v>10</v>
      </c>
      <c r="AV302" s="136" t="s">
        <v>120</v>
      </c>
      <c r="AX302" s="136" t="str">
        <f>IF(AI290="","",IF(B302="","",B302))</f>
        <v>HS</v>
      </c>
      <c r="AY302" s="136" t="str">
        <f>IF(AI290="","",IF(C302="","",C302))</f>
        <v>-</v>
      </c>
      <c r="AZ302" s="136" t="str">
        <f>IF(AI290="","",IF(D302="","",D302))</f>
        <v>HS</v>
      </c>
      <c r="BA302" s="136" t="str">
        <f>IF(AI290="","",IF(E302="","",E302))</f>
        <v>-</v>
      </c>
      <c r="BB302" s="136" t="str">
        <f>IF(AI290="","",IF(F302="","",F302))</f>
        <v>HS</v>
      </c>
      <c r="BC302" s="136" t="str">
        <f>IF(AI290="","",IF(G302="","",G302))</f>
        <v>-</v>
      </c>
      <c r="BD302" s="136" t="str">
        <f>IF(AI290="","",IF(H302="","",H302))</f>
        <v>HS</v>
      </c>
      <c r="BE302" s="136" t="str">
        <f>IF(AI290="","",IF(I302="","",I302))</f>
        <v>-</v>
      </c>
      <c r="BF302" s="136" t="str">
        <f>IF(AI290="","",IF(J302="","",J302))</f>
        <v>HS</v>
      </c>
      <c r="BG302" s="136" t="str">
        <f>IF(AI290="","",IF(K302="","",K302))</f>
        <v>-</v>
      </c>
      <c r="BH302" s="136" t="str">
        <f>IF(AI290="","",IF(L302="","",L302))</f>
        <v>HS</v>
      </c>
      <c r="BI302" s="136" t="str">
        <f>IF(AI290="","",IF(M302="","",M302))</f>
        <v>-</v>
      </c>
      <c r="BJ302" s="136" t="str">
        <f>IF(AI290="","",IF(N302="","",N302))</f>
        <v>HS</v>
      </c>
      <c r="BK302" s="136" t="str">
        <f>IF(AI290="","",IF(O302="","",O302))</f>
        <v>-</v>
      </c>
      <c r="BM302" s="136" t="str">
        <f>BO302</f>
        <v>EA</v>
      </c>
      <c r="BN302" s="136" t="str">
        <f t="shared" ref="BN302:BO338" si="184">Q305</f>
        <v>Estudo Autónomo</v>
      </c>
      <c r="BO302" s="136" t="str">
        <f t="shared" si="184"/>
        <v>EA</v>
      </c>
      <c r="BP302" s="136">
        <f>COUNTIFS(AX294:BK341,BO302)*0.5</f>
        <v>13</v>
      </c>
      <c r="BQ302" s="136" t="str">
        <f t="shared" ref="BQ302:BR338" si="185">BN302</f>
        <v>Estudo Autónomo</v>
      </c>
      <c r="BR302" s="136" t="str">
        <f t="shared" si="185"/>
        <v>EA</v>
      </c>
      <c r="BS302" s="136" t="str">
        <f>BQ302</f>
        <v>Estudo Autónomo</v>
      </c>
      <c r="BT302" s="136">
        <f>SUMIFS(V:V,Q:Q,BQ302,R:R,BR302)</f>
        <v>86.5</v>
      </c>
      <c r="BU302" s="136">
        <f>SUMIFS(BP:BP,BN:BN,BQ302,BO:BO,BR302)</f>
        <v>95.5</v>
      </c>
      <c r="CA302" s="183">
        <f>'INFO BASE'!L365</f>
        <v>0</v>
      </c>
      <c r="CB302" s="183">
        <f>'INFO BASE'!M365</f>
        <v>0</v>
      </c>
      <c r="CD302" s="136" t="str">
        <f t="shared" si="183"/>
        <v>CDI</v>
      </c>
      <c r="CR302" s="177" t="str">
        <f t="shared" si="174"/>
        <v>HS</v>
      </c>
      <c r="CS302" s="177" t="str">
        <f t="shared" si="175"/>
        <v>HS-</v>
      </c>
      <c r="CT302" s="177" t="str">
        <f t="shared" si="174"/>
        <v>HS</v>
      </c>
      <c r="CU302" s="177" t="str">
        <f t="shared" si="176"/>
        <v>HS-</v>
      </c>
      <c r="CV302" s="177" t="str">
        <f t="shared" si="174"/>
        <v>HS</v>
      </c>
      <c r="CW302" s="177" t="str">
        <f t="shared" si="177"/>
        <v>HS-</v>
      </c>
      <c r="CX302" s="177" t="str">
        <f t="shared" si="174"/>
        <v>HS</v>
      </c>
      <c r="CY302" s="177" t="str">
        <f t="shared" si="178"/>
        <v>HS-</v>
      </c>
      <c r="CZ302" s="177" t="str">
        <f t="shared" si="174"/>
        <v>HS</v>
      </c>
      <c r="DA302" s="177" t="str">
        <f t="shared" si="179"/>
        <v>HS-</v>
      </c>
      <c r="DB302" s="177" t="str">
        <f t="shared" si="174"/>
        <v>HS</v>
      </c>
      <c r="DC302" s="177" t="str">
        <f t="shared" si="180"/>
        <v>HS-</v>
      </c>
      <c r="DD302" s="177" t="str">
        <f t="shared" si="181"/>
        <v>HS</v>
      </c>
      <c r="DE302" s="177" t="str">
        <f t="shared" si="182"/>
        <v>HS-</v>
      </c>
    </row>
    <row r="303" spans="1:109" ht="18" customHeight="1" x14ac:dyDescent="0.3">
      <c r="A303" s="81">
        <v>0.187500000000006</v>
      </c>
      <c r="B303" s="166" t="s">
        <v>10</v>
      </c>
      <c r="C303" s="130" t="s">
        <v>120</v>
      </c>
      <c r="D303" s="169" t="s">
        <v>10</v>
      </c>
      <c r="E303" s="130" t="s">
        <v>120</v>
      </c>
      <c r="F303" s="169" t="s">
        <v>10</v>
      </c>
      <c r="G303" s="130" t="s">
        <v>120</v>
      </c>
      <c r="H303" s="169" t="s">
        <v>10</v>
      </c>
      <c r="I303" s="130" t="s">
        <v>120</v>
      </c>
      <c r="J303" s="169" t="s">
        <v>10</v>
      </c>
      <c r="K303" s="130" t="s">
        <v>120</v>
      </c>
      <c r="L303" s="169" t="s">
        <v>10</v>
      </c>
      <c r="M303" s="130" t="s">
        <v>120</v>
      </c>
      <c r="N303" s="169" t="s">
        <v>10</v>
      </c>
      <c r="O303" s="154" t="s">
        <v>120</v>
      </c>
      <c r="Q303" s="294" t="s">
        <v>14</v>
      </c>
      <c r="R303" s="290" t="s">
        <v>88</v>
      </c>
      <c r="S303" s="290" t="s">
        <v>87</v>
      </c>
      <c r="T303" s="290" t="s">
        <v>89</v>
      </c>
      <c r="U303" s="290" t="s">
        <v>41</v>
      </c>
      <c r="V303" s="290" t="s">
        <v>91</v>
      </c>
      <c r="W303" s="292" t="s">
        <v>90</v>
      </c>
      <c r="X303" s="199">
        <v>1</v>
      </c>
      <c r="Y303" s="302" t="s">
        <v>21</v>
      </c>
      <c r="Z303" s="303"/>
      <c r="AA303" s="303"/>
      <c r="AB303" s="303"/>
      <c r="AC303" s="303"/>
      <c r="AD303" s="303"/>
      <c r="AE303" s="303"/>
      <c r="AF303" s="304"/>
      <c r="AH303" s="136">
        <v>0.187500000000006</v>
      </c>
      <c r="AI303" s="136" t="s">
        <v>10</v>
      </c>
      <c r="AJ303" s="136" t="s">
        <v>120</v>
      </c>
      <c r="AK303" s="136" t="s">
        <v>10</v>
      </c>
      <c r="AL303" s="136" t="s">
        <v>120</v>
      </c>
      <c r="AM303" s="136" t="s">
        <v>10</v>
      </c>
      <c r="AN303" s="136" t="s">
        <v>120</v>
      </c>
      <c r="AO303" s="136" t="s">
        <v>10</v>
      </c>
      <c r="AP303" s="136" t="s">
        <v>120</v>
      </c>
      <c r="AQ303" s="136" t="s">
        <v>10</v>
      </c>
      <c r="AR303" s="136" t="s">
        <v>120</v>
      </c>
      <c r="AS303" s="136" t="s">
        <v>10</v>
      </c>
      <c r="AT303" s="136" t="s">
        <v>120</v>
      </c>
      <c r="AU303" s="136" t="s">
        <v>10</v>
      </c>
      <c r="AV303" s="136" t="s">
        <v>120</v>
      </c>
      <c r="AX303" s="136" t="str">
        <f>IF(AI290="","",IF(B303="","",B303))</f>
        <v>HS</v>
      </c>
      <c r="AY303" s="136" t="str">
        <f>IF(AI290="","",IF(C303="","",C303))</f>
        <v>-</v>
      </c>
      <c r="AZ303" s="136" t="str">
        <f>IF(AI290="","",IF(D303="","",D303))</f>
        <v>HS</v>
      </c>
      <c r="BA303" s="136" t="str">
        <f>IF(AI290="","",IF(E303="","",E303))</f>
        <v>-</v>
      </c>
      <c r="BB303" s="136" t="str">
        <f>IF(AI290="","",IF(F303="","",F303))</f>
        <v>HS</v>
      </c>
      <c r="BC303" s="136" t="str">
        <f>IF(AI290="","",IF(G303="","",G303))</f>
        <v>-</v>
      </c>
      <c r="BD303" s="136" t="str">
        <f>IF(AI290="","",IF(H303="","",H303))</f>
        <v>HS</v>
      </c>
      <c r="BE303" s="136" t="str">
        <f>IF(AI290="","",IF(I303="","",I303))</f>
        <v>-</v>
      </c>
      <c r="BF303" s="136" t="str">
        <f>IF(AI290="","",IF(J303="","",J303))</f>
        <v>HS</v>
      </c>
      <c r="BG303" s="136" t="str">
        <f>IF(AI290="","",IF(K303="","",K303))</f>
        <v>-</v>
      </c>
      <c r="BH303" s="136" t="str">
        <f>IF(AI290="","",IF(L303="","",L303))</f>
        <v>HS</v>
      </c>
      <c r="BI303" s="136" t="str">
        <f>IF(AI290="","",IF(M303="","",M303))</f>
        <v>-</v>
      </c>
      <c r="BJ303" s="136" t="str">
        <f>IF(AI290="","",IF(N303="","",N303))</f>
        <v>HS</v>
      </c>
      <c r="BK303" s="136" t="str">
        <f>IF(AI290="","",IF(O303="","",O303))</f>
        <v>-</v>
      </c>
      <c r="BM303" s="136" t="str">
        <f>BM302</f>
        <v>EA</v>
      </c>
      <c r="BN303" s="136" t="str">
        <f t="shared" si="184"/>
        <v>Estudo Autónomo</v>
      </c>
      <c r="BO303" s="136" t="str">
        <f t="shared" si="184"/>
        <v>FP</v>
      </c>
      <c r="BP303" s="136">
        <f>(COUNTIFS(AX294:AX341,BM303,AY294:AY341,BO303)+COUNTIFS(AZ294:AZ341,BM303,BA294:BA341,BO303)+COUNTIFS(BB294:BB341,BM303,BC294:BC341,BO303)+COUNTIFS(BD294:BD341,BM303,BE294:BE341,BO303)+COUNTIFS(BF294:BF341,BM303,BG294:BG341,BO303)+COUNTIFS(BH294:BH341,BM303,BI294:BI341,BO303)+COUNTIFS(BJ294:BJ341,BM303,BK294:BK341,BO303))*0.5</f>
        <v>3</v>
      </c>
      <c r="BQ303" s="136" t="str">
        <f t="shared" si="185"/>
        <v>Estudo Autónomo</v>
      </c>
      <c r="BR303" s="136" t="str">
        <f>$R$20</f>
        <v>EA</v>
      </c>
      <c r="BS303" s="136" t="str">
        <f t="shared" ref="BS303:BS338" si="186">BQ303</f>
        <v>Estudo Autónomo</v>
      </c>
      <c r="BT303" s="136">
        <f>SUMIFS(V:V,Q:Q,BQ303,R:R,BR303)</f>
        <v>86.5</v>
      </c>
      <c r="BU303" s="136">
        <f>SUMIFS(BP:BP,BN:BN,BQ303,BO:BO,BR303)</f>
        <v>95.5</v>
      </c>
      <c r="CA303" s="183">
        <f>'INFO BASE'!L366</f>
        <v>0</v>
      </c>
      <c r="CB303" s="183">
        <f>'INFO BASE'!M366</f>
        <v>0</v>
      </c>
      <c r="CD303" s="136" t="str">
        <f t="shared" si="183"/>
        <v/>
      </c>
      <c r="CR303" s="177" t="str">
        <f t="shared" si="174"/>
        <v>HS</v>
      </c>
      <c r="CS303" s="177" t="str">
        <f t="shared" si="175"/>
        <v>HS-</v>
      </c>
      <c r="CT303" s="177" t="str">
        <f t="shared" si="174"/>
        <v>HS</v>
      </c>
      <c r="CU303" s="177" t="str">
        <f t="shared" si="176"/>
        <v>HS-</v>
      </c>
      <c r="CV303" s="177" t="str">
        <f t="shared" si="174"/>
        <v>HS</v>
      </c>
      <c r="CW303" s="177" t="str">
        <f t="shared" si="177"/>
        <v>HS-</v>
      </c>
      <c r="CX303" s="177" t="str">
        <f t="shared" si="174"/>
        <v>HS</v>
      </c>
      <c r="CY303" s="177" t="str">
        <f t="shared" si="178"/>
        <v>HS-</v>
      </c>
      <c r="CZ303" s="177" t="str">
        <f t="shared" si="174"/>
        <v>HS</v>
      </c>
      <c r="DA303" s="177" t="str">
        <f t="shared" si="179"/>
        <v>HS-</v>
      </c>
      <c r="DB303" s="177" t="str">
        <f t="shared" si="174"/>
        <v>HS</v>
      </c>
      <c r="DC303" s="177" t="str">
        <f t="shared" si="180"/>
        <v>HS-</v>
      </c>
      <c r="DD303" s="177" t="str">
        <f t="shared" si="181"/>
        <v>HS</v>
      </c>
      <c r="DE303" s="177" t="str">
        <f t="shared" si="182"/>
        <v>HS-</v>
      </c>
    </row>
    <row r="304" spans="1:109" ht="18" customHeight="1" thickBot="1" x14ac:dyDescent="0.35">
      <c r="A304" s="81">
        <v>0.20833333333334</v>
      </c>
      <c r="B304" s="166" t="s">
        <v>10</v>
      </c>
      <c r="C304" s="130" t="s">
        <v>120</v>
      </c>
      <c r="D304" s="169" t="s">
        <v>10</v>
      </c>
      <c r="E304" s="130" t="s">
        <v>120</v>
      </c>
      <c r="F304" s="169" t="s">
        <v>10</v>
      </c>
      <c r="G304" s="130" t="s">
        <v>120</v>
      </c>
      <c r="H304" s="169" t="s">
        <v>10</v>
      </c>
      <c r="I304" s="130" t="s">
        <v>120</v>
      </c>
      <c r="J304" s="169" t="s">
        <v>10</v>
      </c>
      <c r="K304" s="130" t="s">
        <v>120</v>
      </c>
      <c r="L304" s="169" t="s">
        <v>10</v>
      </c>
      <c r="M304" s="130" t="s">
        <v>120</v>
      </c>
      <c r="N304" s="169" t="s">
        <v>10</v>
      </c>
      <c r="O304" s="154" t="s">
        <v>120</v>
      </c>
      <c r="Q304" s="295"/>
      <c r="R304" s="291"/>
      <c r="S304" s="291"/>
      <c r="T304" s="291"/>
      <c r="U304" s="291"/>
      <c r="V304" s="291"/>
      <c r="W304" s="293"/>
      <c r="X304" s="199">
        <v>1</v>
      </c>
      <c r="Y304" s="305"/>
      <c r="Z304" s="306"/>
      <c r="AA304" s="306"/>
      <c r="AB304" s="306"/>
      <c r="AC304" s="306"/>
      <c r="AD304" s="306"/>
      <c r="AE304" s="306"/>
      <c r="AF304" s="307"/>
      <c r="AH304" s="136">
        <v>0.20833333333334</v>
      </c>
      <c r="AI304" s="136" t="s">
        <v>10</v>
      </c>
      <c r="AJ304" s="136" t="s">
        <v>120</v>
      </c>
      <c r="AK304" s="136" t="s">
        <v>10</v>
      </c>
      <c r="AL304" s="136" t="s">
        <v>120</v>
      </c>
      <c r="AM304" s="136" t="s">
        <v>10</v>
      </c>
      <c r="AN304" s="136" t="s">
        <v>120</v>
      </c>
      <c r="AO304" s="136" t="s">
        <v>10</v>
      </c>
      <c r="AP304" s="136" t="s">
        <v>120</v>
      </c>
      <c r="AQ304" s="136" t="s">
        <v>10</v>
      </c>
      <c r="AR304" s="136" t="s">
        <v>120</v>
      </c>
      <c r="AS304" s="136" t="s">
        <v>10</v>
      </c>
      <c r="AT304" s="136" t="s">
        <v>120</v>
      </c>
      <c r="AU304" s="136" t="s">
        <v>10</v>
      </c>
      <c r="AV304" s="136" t="s">
        <v>120</v>
      </c>
      <c r="AX304" s="136" t="str">
        <f>IF(AI290="","",IF(B304="","",B304))</f>
        <v>HS</v>
      </c>
      <c r="AY304" s="136" t="str">
        <f>IF(AI290="","",IF(C304="","",C304))</f>
        <v>-</v>
      </c>
      <c r="AZ304" s="136" t="str">
        <f>IF(AI290="","",IF(D304="","",D304))</f>
        <v>HS</v>
      </c>
      <c r="BA304" s="136" t="str">
        <f>IF(AI290="","",IF(E304="","",E304))</f>
        <v>-</v>
      </c>
      <c r="BB304" s="136" t="str">
        <f>IF(AI290="","",IF(F304="","",F304))</f>
        <v>HS</v>
      </c>
      <c r="BC304" s="136" t="str">
        <f>IF(AI290="","",IF(G304="","",G304))</f>
        <v>-</v>
      </c>
      <c r="BD304" s="136" t="str">
        <f>IF(AI290="","",IF(H304="","",H304))</f>
        <v>HS</v>
      </c>
      <c r="BE304" s="136" t="str">
        <f>IF(AI290="","",IF(I304="","",I304))</f>
        <v>-</v>
      </c>
      <c r="BF304" s="136" t="str">
        <f>IF(AI290="","",IF(J304="","",J304))</f>
        <v>HS</v>
      </c>
      <c r="BG304" s="136" t="str">
        <f>IF(AI290="","",IF(K304="","",K304))</f>
        <v>-</v>
      </c>
      <c r="BH304" s="136" t="str">
        <f>IF(AI290="","",IF(L304="","",L304))</f>
        <v>HS</v>
      </c>
      <c r="BI304" s="136" t="str">
        <f>IF(AI290="","",IF(M304="","",M304))</f>
        <v>-</v>
      </c>
      <c r="BJ304" s="136" t="str">
        <f>IF(AI290="","",IF(N304="","",N304))</f>
        <v>HS</v>
      </c>
      <c r="BK304" s="136" t="str">
        <f>IF(AI290="","",IF(O304="","",O304))</f>
        <v>-</v>
      </c>
      <c r="BM304" s="136" t="str">
        <f t="shared" ref="BM304:BM308" si="187">BM303</f>
        <v>EA</v>
      </c>
      <c r="BN304" s="136" t="str">
        <f t="shared" si="184"/>
        <v>Estudo Autónomo</v>
      </c>
      <c r="BO304" s="136" t="str">
        <f t="shared" si="184"/>
        <v>IEI</v>
      </c>
      <c r="BP304" s="136">
        <f>(COUNTIFS(AX294:AX341,BM304,AY294:AY341,BO304)+COUNTIFS(AZ294:AZ341,BM304,BA294:BA341,BO304)+COUNTIFS(BB294:BB341,BM304,BC294:BC341,BO304)+COUNTIFS(BD294:BD341,BM304,BE294:BE341,BO304)+COUNTIFS(BF294:BF341,BM304,BG294:BG341,BO304)+COUNTIFS(BH294:BH341,BM304,BI294:BI341,BO304)+COUNTIFS(BJ294:BJ341,BM304,BK294:BK341,BO304))*0.5</f>
        <v>6</v>
      </c>
      <c r="BQ304" s="136" t="str">
        <f t="shared" si="185"/>
        <v>Estudo Autónomo</v>
      </c>
      <c r="BR304" s="136" t="str">
        <f t="shared" si="185"/>
        <v>IEI</v>
      </c>
      <c r="BS304" s="136" t="str">
        <f t="shared" si="186"/>
        <v>Estudo Autónomo</v>
      </c>
      <c r="BT304" s="136">
        <f>SUMIFS(V:V,Q:Q,BQ304,R:R,BR304)</f>
        <v>20</v>
      </c>
      <c r="BU304" s="136">
        <f>SUMIFS(BP:BP,BN:BN,BQ304,BO:BO,BR304)</f>
        <v>36.5</v>
      </c>
      <c r="CA304" s="183">
        <f>'INFO BASE'!L367</f>
        <v>0</v>
      </c>
      <c r="CB304" s="183">
        <f>'INFO BASE'!M367</f>
        <v>0</v>
      </c>
      <c r="CD304" s="136" t="str">
        <f>IF('INFO BASE'!E318="","",'INFO BASE'!E318)</f>
        <v/>
      </c>
      <c r="CR304" s="177" t="str">
        <f t="shared" si="174"/>
        <v>HS</v>
      </c>
      <c r="CS304" s="177" t="str">
        <f t="shared" si="175"/>
        <v>HS-</v>
      </c>
      <c r="CT304" s="177" t="str">
        <f t="shared" si="174"/>
        <v>HS</v>
      </c>
      <c r="CU304" s="177" t="str">
        <f t="shared" si="176"/>
        <v>HS-</v>
      </c>
      <c r="CV304" s="177" t="str">
        <f t="shared" si="174"/>
        <v>HS</v>
      </c>
      <c r="CW304" s="177" t="str">
        <f t="shared" si="177"/>
        <v>HS-</v>
      </c>
      <c r="CX304" s="177" t="str">
        <f t="shared" si="174"/>
        <v>HS</v>
      </c>
      <c r="CY304" s="177" t="str">
        <f t="shared" si="178"/>
        <v>HS-</v>
      </c>
      <c r="CZ304" s="177" t="str">
        <f t="shared" si="174"/>
        <v>HS</v>
      </c>
      <c r="DA304" s="177" t="str">
        <f t="shared" si="179"/>
        <v>HS-</v>
      </c>
      <c r="DB304" s="177" t="str">
        <f t="shared" si="174"/>
        <v>HS</v>
      </c>
      <c r="DC304" s="177" t="str">
        <f t="shared" si="180"/>
        <v>HS-</v>
      </c>
      <c r="DD304" s="177" t="str">
        <f t="shared" si="181"/>
        <v>HS</v>
      </c>
      <c r="DE304" s="177" t="str">
        <f t="shared" si="182"/>
        <v>HS-</v>
      </c>
    </row>
    <row r="305" spans="1:109" ht="18" customHeight="1" x14ac:dyDescent="0.3">
      <c r="A305" s="81">
        <v>0.22916666666667401</v>
      </c>
      <c r="B305" s="166" t="s">
        <v>10</v>
      </c>
      <c r="C305" s="130" t="s">
        <v>120</v>
      </c>
      <c r="D305" s="169" t="s">
        <v>10</v>
      </c>
      <c r="E305" s="130" t="s">
        <v>120</v>
      </c>
      <c r="F305" s="169" t="s">
        <v>10</v>
      </c>
      <c r="G305" s="130" t="s">
        <v>120</v>
      </c>
      <c r="H305" s="169" t="s">
        <v>10</v>
      </c>
      <c r="I305" s="130" t="s">
        <v>120</v>
      </c>
      <c r="J305" s="169" t="s">
        <v>10</v>
      </c>
      <c r="K305" s="130" t="s">
        <v>120</v>
      </c>
      <c r="L305" s="169" t="s">
        <v>10</v>
      </c>
      <c r="M305" s="130" t="s">
        <v>120</v>
      </c>
      <c r="N305" s="169" t="s">
        <v>10</v>
      </c>
      <c r="O305" s="154" t="s">
        <v>120</v>
      </c>
      <c r="P305" s="6">
        <v>0</v>
      </c>
      <c r="Q305" s="109" t="str">
        <f>IF('INFO BASE'!$C$17="","",'INFO BASE'!$C$17)</f>
        <v>Estudo Autónomo</v>
      </c>
      <c r="R305" s="82" t="str">
        <f>R248</f>
        <v>EA</v>
      </c>
      <c r="S305" s="83">
        <f t="shared" ref="S305:S341" si="188">IFERROR((U305/T305)-1,"-")</f>
        <v>-0.31578947368421051</v>
      </c>
      <c r="T305" s="84">
        <f>IF(VLOOKUP(Q305,'INFO BASE'!$B$40:$I$54,IF(R305='INFO BASE'!$B$32,3,IF(R305='INFO BASE'!$B$33,4,IF(R305='INFO BASE'!$B$34,5,IF(R305='INFO BASE'!$B$35,6,IF(R305='INFO BASE'!$B$36,7,IF(R305='INFO BASE'!$B$37,8,2)))))),0)=0,"",VLOOKUP(Q305,'INFO BASE'!$B$40:$I$54,IF(R305='INFO BASE'!$B$32,3,IF(R305='INFO BASE'!$B$33,4,IF(R305='INFO BASE'!$B$34,5,IF(R305='INFO BASE'!$B$35,6,IF(R305='INFO BASE'!$B$36,7,IF(R305='INFO BASE'!$B$37,8,2)))))),0))</f>
        <v>19</v>
      </c>
      <c r="U305" s="84">
        <f>IF(R305="","",COUNTIFS(SEMANA6,R305)*0.5)</f>
        <v>13</v>
      </c>
      <c r="V305" s="84">
        <f>IF(R305="","",COUNTIFS(AI294:AV341,R305)*0.5)</f>
        <v>11</v>
      </c>
      <c r="W305" s="85">
        <f>IF(AH290="","-",IF(V305=0,U305,IFERROR((U305/V305)-1,"-")))</f>
        <v>0.18181818181818188</v>
      </c>
      <c r="X305" s="200">
        <f t="shared" ref="X305:X341" si="189">IFERROR(IF(ABS(W305)&gt;P305,1,0),0)</f>
        <v>1</v>
      </c>
      <c r="Y305" s="296" t="s">
        <v>254</v>
      </c>
      <c r="Z305" s="297"/>
      <c r="AA305" s="297"/>
      <c r="AB305" s="297"/>
      <c r="AC305" s="297"/>
      <c r="AD305" s="297"/>
      <c r="AE305" s="297"/>
      <c r="AF305" s="298"/>
      <c r="AH305" s="136">
        <v>0.22916666666667401</v>
      </c>
      <c r="AI305" s="136" t="s">
        <v>10</v>
      </c>
      <c r="AJ305" s="136" t="s">
        <v>120</v>
      </c>
      <c r="AK305" s="136" t="s">
        <v>10</v>
      </c>
      <c r="AL305" s="136" t="s">
        <v>120</v>
      </c>
      <c r="AM305" s="136" t="s">
        <v>10</v>
      </c>
      <c r="AN305" s="136" t="s">
        <v>120</v>
      </c>
      <c r="AO305" s="136" t="s">
        <v>10</v>
      </c>
      <c r="AP305" s="136" t="s">
        <v>120</v>
      </c>
      <c r="AQ305" s="136" t="s">
        <v>10</v>
      </c>
      <c r="AR305" s="136" t="s">
        <v>120</v>
      </c>
      <c r="AS305" s="136" t="s">
        <v>10</v>
      </c>
      <c r="AT305" s="136" t="s">
        <v>120</v>
      </c>
      <c r="AU305" s="136" t="s">
        <v>10</v>
      </c>
      <c r="AV305" s="136" t="s">
        <v>120</v>
      </c>
      <c r="AX305" s="136" t="str">
        <f>IF(AI290="","",IF(B305="","",B305))</f>
        <v>HS</v>
      </c>
      <c r="AY305" s="136" t="str">
        <f>IF(AI290="","",IF(C305="","",C305))</f>
        <v>-</v>
      </c>
      <c r="AZ305" s="136" t="str">
        <f>IF(AI290="","",IF(D305="","",D305))</f>
        <v>HS</v>
      </c>
      <c r="BA305" s="136" t="str">
        <f>IF(AI290="","",IF(E305="","",E305))</f>
        <v>-</v>
      </c>
      <c r="BB305" s="136" t="str">
        <f>IF(AI290="","",IF(F305="","",F305))</f>
        <v>HS</v>
      </c>
      <c r="BC305" s="136" t="str">
        <f>IF(AI290="","",IF(G305="","",G305))</f>
        <v>-</v>
      </c>
      <c r="BD305" s="136" t="str">
        <f>IF(AI290="","",IF(H305="","",H305))</f>
        <v>HS</v>
      </c>
      <c r="BE305" s="136" t="str">
        <f>IF(AI290="","",IF(I305="","",I305))</f>
        <v>-</v>
      </c>
      <c r="BF305" s="136" t="str">
        <f>IF(AI290="","",IF(J305="","",J305))</f>
        <v>HS</v>
      </c>
      <c r="BG305" s="136" t="str">
        <f>IF(AI290="","",IF(K305="","",K305))</f>
        <v>-</v>
      </c>
      <c r="BH305" s="136" t="str">
        <f>IF(AI290="","",IF(L305="","",L305))</f>
        <v>HS</v>
      </c>
      <c r="BI305" s="136" t="str">
        <f>IF(AI290="","",IF(M305="","",M305))</f>
        <v>-</v>
      </c>
      <c r="BJ305" s="136" t="str">
        <f>IF(AI290="","",IF(N305="","",N305))</f>
        <v>HS</v>
      </c>
      <c r="BK305" s="136" t="str">
        <f>IF(AI290="","",IF(O305="","",O305))</f>
        <v>-</v>
      </c>
      <c r="BM305" s="136" t="str">
        <f t="shared" si="187"/>
        <v>EA</v>
      </c>
      <c r="BN305" s="136" t="str">
        <f t="shared" si="184"/>
        <v>Estudo Autónomo</v>
      </c>
      <c r="BO305" s="136" t="str">
        <f t="shared" si="184"/>
        <v>IAC</v>
      </c>
      <c r="BP305" s="136">
        <f>(COUNTIFS(AX294:AX341,BM305,AY294:AY341,BO305)+COUNTIFS(AZ294:AZ341,BM305,BA294:BA341,BO305)+COUNTIFS(BB294:BB341,BM305,BC294:BC341,BO305)+COUNTIFS(BD294:BD341,BM305,BE294:BE341,BO305)+COUNTIFS(BF294:BF341,BM305,BG294:BG341,BO305)+COUNTIFS(BH294:BH341,BM305,BI294:BI341,BO305)+COUNTIFS(BJ294:BJ341,BM305,BK294:BK341,BO305))*0.5</f>
        <v>0</v>
      </c>
      <c r="BQ305" s="136" t="str">
        <f t="shared" si="185"/>
        <v>Estudo Autónomo</v>
      </c>
      <c r="BR305" s="136" t="str">
        <f t="shared" si="185"/>
        <v>IAC</v>
      </c>
      <c r="BS305" s="136" t="str">
        <f t="shared" si="186"/>
        <v>Estudo Autónomo</v>
      </c>
      <c r="BT305" s="136">
        <f>SUMIFS(V:V,Q:Q,BQ305,R:R,BBO303)</f>
        <v>0</v>
      </c>
      <c r="BU305" s="136">
        <f>SUMIFS(BP:BP,BN:BN,BQ305,BO:BO,BBO303)</f>
        <v>0</v>
      </c>
      <c r="CA305" s="183">
        <f>'INFO BASE'!L368</f>
        <v>0</v>
      </c>
      <c r="CB305" s="183">
        <f>'INFO BASE'!M368</f>
        <v>0</v>
      </c>
      <c r="CD305" s="136" t="str">
        <f>IF('INFO BASE'!E319="","",'INFO BASE'!E319)</f>
        <v/>
      </c>
      <c r="CR305" s="177" t="str">
        <f t="shared" si="174"/>
        <v>HS</v>
      </c>
      <c r="CS305" s="177" t="str">
        <f t="shared" si="175"/>
        <v>HS-</v>
      </c>
      <c r="CT305" s="177" t="str">
        <f t="shared" si="174"/>
        <v>HS</v>
      </c>
      <c r="CU305" s="177" t="str">
        <f t="shared" si="176"/>
        <v>HS-</v>
      </c>
      <c r="CV305" s="177" t="str">
        <f t="shared" si="174"/>
        <v>HS</v>
      </c>
      <c r="CW305" s="177" t="str">
        <f t="shared" si="177"/>
        <v>HS-</v>
      </c>
      <c r="CX305" s="177" t="str">
        <f t="shared" si="174"/>
        <v>HS</v>
      </c>
      <c r="CY305" s="177" t="str">
        <f t="shared" si="178"/>
        <v>HS-</v>
      </c>
      <c r="CZ305" s="177" t="str">
        <f t="shared" si="174"/>
        <v>HS</v>
      </c>
      <c r="DA305" s="177" t="str">
        <f t="shared" si="179"/>
        <v>HS-</v>
      </c>
      <c r="DB305" s="177" t="str">
        <f t="shared" si="174"/>
        <v>HS</v>
      </c>
      <c r="DC305" s="177" t="str">
        <f t="shared" si="180"/>
        <v>HS-</v>
      </c>
      <c r="DD305" s="177" t="str">
        <f t="shared" si="181"/>
        <v>HS</v>
      </c>
      <c r="DE305" s="177" t="str">
        <f t="shared" si="182"/>
        <v>HS-</v>
      </c>
    </row>
    <row r="306" spans="1:109" ht="18" customHeight="1" x14ac:dyDescent="0.3">
      <c r="A306" s="81">
        <v>0.25000000000000799</v>
      </c>
      <c r="B306" s="166" t="s">
        <v>10</v>
      </c>
      <c r="C306" s="130" t="s">
        <v>120</v>
      </c>
      <c r="D306" s="169" t="s">
        <v>10</v>
      </c>
      <c r="E306" s="130" t="s">
        <v>120</v>
      </c>
      <c r="F306" s="169" t="s">
        <v>10</v>
      </c>
      <c r="G306" s="130" t="s">
        <v>120</v>
      </c>
      <c r="H306" s="169" t="s">
        <v>10</v>
      </c>
      <c r="I306" s="130" t="s">
        <v>120</v>
      </c>
      <c r="J306" s="169" t="s">
        <v>10</v>
      </c>
      <c r="K306" s="130" t="s">
        <v>120</v>
      </c>
      <c r="L306" s="169" t="s">
        <v>10</v>
      </c>
      <c r="M306" s="130" t="s">
        <v>120</v>
      </c>
      <c r="N306" s="169" t="s">
        <v>10</v>
      </c>
      <c r="O306" s="154" t="s">
        <v>120</v>
      </c>
      <c r="P306" s="6">
        <v>0</v>
      </c>
      <c r="Q306" s="110" t="str">
        <f t="shared" ref="Q306:Q311" si="190">Q305</f>
        <v>Estudo Autónomo</v>
      </c>
      <c r="R306" s="105" t="str">
        <f t="shared" ref="R306:R341" si="191">R249</f>
        <v>FP</v>
      </c>
      <c r="S306" s="88">
        <f t="shared" si="188"/>
        <v>-0.4</v>
      </c>
      <c r="T306" s="89">
        <f>IF(VLOOKUP(Q306,'INFO BASE'!$B$40:$I$54,IF(R306='INFO BASE'!$B$32,3,IF(R306='INFO BASE'!$B$33,4,IF(R306='INFO BASE'!$B$34,5,IF(R306='INFO BASE'!$B$35,6,IF(R306='INFO BASE'!$B$36,7,IF(R306='INFO BASE'!$B$37,8,2)))))),0)=0,"",VLOOKUP(Q306,'INFO BASE'!$B$40:$I$54,IF(R306='INFO BASE'!$B$32,3,IF(R306='INFO BASE'!$B$33,4,IF(R306='INFO BASE'!$B$34,5,IF(R306='INFO BASE'!$B$35,6,IF(R306='INFO BASE'!$B$36,7,IF(R306='INFO BASE'!$B$37,8,2)))))),0))</f>
        <v>5</v>
      </c>
      <c r="U306" s="89">
        <f>(COUNTIFS(C294:C341,R306,B294:B341,R305)+COUNTIFS(E294:E341,R306,D294:D341,R305)+COUNTIFS(G294:G341,R306,F294:F341,R305)+COUNTIFS(I294:I341,R306,H294:H341,R305)+COUNTIFS(K294:K341,R306,J294:J341,R305)+COUNTIFS(M294:M341,R306,L294:L341,R305)+COUNTIFS(O294:O341,R306,N294:N341,R305))*0.5</f>
        <v>3</v>
      </c>
      <c r="V306" s="89">
        <f>(COUNTIFS(AI294:AI341,R305,AJ294:AJ341,R306)+COUNTIFS(AK294:AK341,R305,AL294:AL341,R306)+COUNTIFS(AM294:AM341,R305,AN294:AN341,R306)+COUNTIFS(AO294:AO341,R305,AP294:AP341,R306)+COUNTIFS(AQ294:AQ341,R305,AR294:AR341,R306)+COUNTIFS(AS294:AS341,R305,AT294:AT341,R306)+COUNTIFS(AU294:AU341,R305,AV294:AV341,R306))*0.5</f>
        <v>3</v>
      </c>
      <c r="W306" s="90">
        <f>IF(AH290="","-",IF(V306=0,U306,IFERROR((U306/V306)-1,"-")))</f>
        <v>0</v>
      </c>
      <c r="X306" s="200">
        <f t="shared" si="189"/>
        <v>0</v>
      </c>
      <c r="Y306" s="299"/>
      <c r="Z306" s="300"/>
      <c r="AA306" s="300"/>
      <c r="AB306" s="300"/>
      <c r="AC306" s="300"/>
      <c r="AD306" s="300"/>
      <c r="AE306" s="300"/>
      <c r="AF306" s="301"/>
      <c r="AH306" s="136">
        <v>0.25000000000000799</v>
      </c>
      <c r="AI306" s="136" t="s">
        <v>10</v>
      </c>
      <c r="AJ306" s="136" t="s">
        <v>120</v>
      </c>
      <c r="AK306" s="136" t="s">
        <v>10</v>
      </c>
      <c r="AL306" s="136" t="s">
        <v>120</v>
      </c>
      <c r="AM306" s="136" t="s">
        <v>10</v>
      </c>
      <c r="AN306" s="136" t="s">
        <v>120</v>
      </c>
      <c r="AO306" s="136" t="s">
        <v>10</v>
      </c>
      <c r="AP306" s="136" t="s">
        <v>120</v>
      </c>
      <c r="AQ306" s="136" t="s">
        <v>10</v>
      </c>
      <c r="AR306" s="136" t="s">
        <v>120</v>
      </c>
      <c r="AS306" s="136" t="s">
        <v>10</v>
      </c>
      <c r="AT306" s="136" t="s">
        <v>120</v>
      </c>
      <c r="AU306" s="136" t="s">
        <v>10</v>
      </c>
      <c r="AV306" s="136" t="s">
        <v>120</v>
      </c>
      <c r="AX306" s="136" t="str">
        <f>IF(AI290="","",IF(B306="","",B306))</f>
        <v>HS</v>
      </c>
      <c r="AY306" s="136" t="str">
        <f>IF(AI290="","",IF(C306="","",C306))</f>
        <v>-</v>
      </c>
      <c r="AZ306" s="136" t="str">
        <f>IF(AI290="","",IF(D306="","",D306))</f>
        <v>HS</v>
      </c>
      <c r="BA306" s="136" t="str">
        <f>IF(AI290="","",IF(E306="","",E306))</f>
        <v>-</v>
      </c>
      <c r="BB306" s="136" t="str">
        <f>IF(AI290="","",IF(F306="","",F306))</f>
        <v>HS</v>
      </c>
      <c r="BC306" s="136" t="str">
        <f>IF(AI290="","",IF(G306="","",G306))</f>
        <v>-</v>
      </c>
      <c r="BD306" s="136" t="str">
        <f>IF(AI290="","",IF(H306="","",H306))</f>
        <v>HS</v>
      </c>
      <c r="BE306" s="136" t="str">
        <f>IF(AI290="","",IF(I306="","",I306))</f>
        <v>-</v>
      </c>
      <c r="BF306" s="136" t="str">
        <f>IF(AI290="","",IF(J306="","",J306))</f>
        <v>HS</v>
      </c>
      <c r="BG306" s="136" t="str">
        <f>IF(AI290="","",IF(K306="","",K306))</f>
        <v>-</v>
      </c>
      <c r="BH306" s="136" t="str">
        <f>IF(AI290="","",IF(L306="","",L306))</f>
        <v>HS</v>
      </c>
      <c r="BI306" s="136" t="str">
        <f>IF(AI290="","",IF(M306="","",M306))</f>
        <v>-</v>
      </c>
      <c r="BJ306" s="136" t="str">
        <f>IF(AI290="","",IF(N306="","",N306))</f>
        <v>HS</v>
      </c>
      <c r="BK306" s="136" t="str">
        <f>IF(AI290="","",IF(O306="","",O306))</f>
        <v>-</v>
      </c>
      <c r="BM306" s="136" t="str">
        <f t="shared" si="187"/>
        <v>EA</v>
      </c>
      <c r="BN306" s="136" t="str">
        <f t="shared" si="184"/>
        <v>Estudo Autónomo</v>
      </c>
      <c r="BO306" s="136" t="str">
        <f t="shared" si="184"/>
        <v>AL</v>
      </c>
      <c r="BP306" s="136">
        <f>(COUNTIFS(AX294:AX341,BM306,AY294:AY341,BO306)+COUNTIFS(AZ294:AZ341,BM306,BA294:BA341,BO306)+COUNTIFS(BB294:BB341,BM306,BC294:BC341,BO306)+COUNTIFS(BD294:BD341,BM306,BE294:BE341,BO306)+COUNTIFS(BF294:BF341,BM306,BG294:BG341,BO306)+COUNTIFS(BH294:BH341,BM306,BI294:BI341,BO306)+COUNTIFS(BJ294:BJ341,BM306,BK294:BK341,BO306))*0.5</f>
        <v>4</v>
      </c>
      <c r="BQ306" s="136" t="str">
        <f t="shared" si="185"/>
        <v>Estudo Autónomo</v>
      </c>
      <c r="BR306" s="136" t="str">
        <f t="shared" si="185"/>
        <v>AL</v>
      </c>
      <c r="BS306" s="136" t="str">
        <f t="shared" si="186"/>
        <v>Estudo Autónomo</v>
      </c>
      <c r="BT306" s="136">
        <f t="shared" ref="BT306:BT338" si="192">SUMIFS(V:V,Q:Q,BQ306,R:R,BR306)</f>
        <v>24</v>
      </c>
      <c r="BU306" s="136">
        <f t="shared" ref="BU306:BU338" si="193">SUMIFS(BP:BP,BN:BN,BQ306,BO:BO,BR306)</f>
        <v>25.5</v>
      </c>
      <c r="CA306" s="136">
        <f>'INFO BASE'!L386</f>
        <v>0</v>
      </c>
      <c r="CB306" s="136">
        <f>'INFO BASE'!M386</f>
        <v>0</v>
      </c>
      <c r="CD306" s="136" t="str">
        <f>IF('INFO BASE'!E320="","",'INFO BASE'!E320)</f>
        <v/>
      </c>
      <c r="CR306" s="177" t="str">
        <f t="shared" si="174"/>
        <v>HS</v>
      </c>
      <c r="CS306" s="177" t="str">
        <f t="shared" si="175"/>
        <v>HS-</v>
      </c>
      <c r="CT306" s="177" t="str">
        <f t="shared" si="174"/>
        <v>HS</v>
      </c>
      <c r="CU306" s="177" t="str">
        <f t="shared" si="176"/>
        <v>HS-</v>
      </c>
      <c r="CV306" s="177" t="str">
        <f t="shared" si="174"/>
        <v>HS</v>
      </c>
      <c r="CW306" s="177" t="str">
        <f t="shared" si="177"/>
        <v>HS-</v>
      </c>
      <c r="CX306" s="177" t="str">
        <f t="shared" si="174"/>
        <v>HS</v>
      </c>
      <c r="CY306" s="177" t="str">
        <f t="shared" si="178"/>
        <v>HS-</v>
      </c>
      <c r="CZ306" s="177" t="str">
        <f t="shared" si="174"/>
        <v>HS</v>
      </c>
      <c r="DA306" s="177" t="str">
        <f t="shared" si="179"/>
        <v>HS-</v>
      </c>
      <c r="DB306" s="177" t="str">
        <f t="shared" si="174"/>
        <v>HS</v>
      </c>
      <c r="DC306" s="177" t="str">
        <f t="shared" si="180"/>
        <v>HS-</v>
      </c>
      <c r="DD306" s="177" t="str">
        <f t="shared" si="181"/>
        <v>HS</v>
      </c>
      <c r="DE306" s="177" t="str">
        <f t="shared" si="182"/>
        <v>HS-</v>
      </c>
    </row>
    <row r="307" spans="1:109" ht="18" customHeight="1" x14ac:dyDescent="0.3">
      <c r="A307" s="81">
        <v>0.27083333333334197</v>
      </c>
      <c r="B307" s="166" t="s">
        <v>116</v>
      </c>
      <c r="C307" s="130" t="s">
        <v>120</v>
      </c>
      <c r="D307" s="169" t="s">
        <v>116</v>
      </c>
      <c r="E307" s="130" t="s">
        <v>120</v>
      </c>
      <c r="F307" s="169" t="s">
        <v>116</v>
      </c>
      <c r="G307" s="130" t="s">
        <v>120</v>
      </c>
      <c r="H307" s="169" t="s">
        <v>116</v>
      </c>
      <c r="I307" s="130" t="s">
        <v>120</v>
      </c>
      <c r="J307" s="169" t="s">
        <v>116</v>
      </c>
      <c r="K307" s="130" t="s">
        <v>120</v>
      </c>
      <c r="L307" s="169" t="s">
        <v>10</v>
      </c>
      <c r="M307" s="130" t="s">
        <v>120</v>
      </c>
      <c r="N307" s="169" t="s">
        <v>10</v>
      </c>
      <c r="O307" s="154" t="s">
        <v>120</v>
      </c>
      <c r="P307" s="6">
        <v>0</v>
      </c>
      <c r="Q307" s="110" t="str">
        <f t="shared" si="190"/>
        <v>Estudo Autónomo</v>
      </c>
      <c r="R307" s="105" t="str">
        <f t="shared" si="191"/>
        <v>IEI</v>
      </c>
      <c r="S307" s="88">
        <f t="shared" si="188"/>
        <v>2</v>
      </c>
      <c r="T307" s="89">
        <f>IF(VLOOKUP(Q307,'INFO BASE'!$B$40:$I$54,IF(R307='INFO BASE'!$B$32,3,IF(R307='INFO BASE'!$B$33,4,IF(R307='INFO BASE'!$B$34,5,IF(R307='INFO BASE'!$B$35,6,IF(R307='INFO BASE'!$B$36,7,IF(R307='INFO BASE'!$B$37,8,2)))))),0)=0,"",VLOOKUP(Q307,'INFO BASE'!$B$40:$I$54,IF(R307='INFO BASE'!$B$32,3,IF(R307='INFO BASE'!$B$33,4,IF(R307='INFO BASE'!$B$34,5,IF(R307='INFO BASE'!$B$35,6,IF(R307='INFO BASE'!$B$36,7,IF(R307='INFO BASE'!$B$37,8,2)))))),0))</f>
        <v>2</v>
      </c>
      <c r="U307" s="89">
        <f>(COUNTIFS(C294:C341,R307,B294:B341,R305)+COUNTIFS(E294:E341,R307,D294:D341,R305)+COUNTIFS(G294:G341,R307,F294:F341,R305)+COUNTIFS(I294:I341,R307,H294:H341,R305)+COUNTIFS(K294:K341,R307,J294:J341,R305)+COUNTIFS(M294:M341,R307,L294:L341,R305)+COUNTIFS(O294:O341,R307,N294:N341,R305))*0.5</f>
        <v>6</v>
      </c>
      <c r="V307" s="89">
        <f>(COUNTIFS(AI294:AI341,R305,AJ294:AJ341,R307)+COUNTIFS(AK294:AK341,R305,AL294:AL341,R307)+COUNTIFS(AM294:AM341,R305,AN294:AN341,R307)+COUNTIFS(AO294:AO341,R305,AP294:AP341,R307)+COUNTIFS(AQ294:AQ341,R305,AR294:AR341,R307)+COUNTIFS(AS294:AS341,R305,AT294:AT341,R307)+COUNTIFS(AU294:AU341,R305,AV294:AV341,R307))*0.5</f>
        <v>6</v>
      </c>
      <c r="W307" s="90">
        <f>IF(AH290="","-",IF(V307=0,U307,IFERROR((U307/V307)-1,"-")))</f>
        <v>0</v>
      </c>
      <c r="X307" s="200">
        <f t="shared" si="189"/>
        <v>0</v>
      </c>
      <c r="Y307" s="299"/>
      <c r="Z307" s="300"/>
      <c r="AA307" s="300"/>
      <c r="AB307" s="300"/>
      <c r="AC307" s="300"/>
      <c r="AD307" s="300"/>
      <c r="AE307" s="300"/>
      <c r="AF307" s="301"/>
      <c r="AH307" s="136">
        <v>0.27083333333334197</v>
      </c>
      <c r="AI307" s="136" t="s">
        <v>116</v>
      </c>
      <c r="AJ307" s="136" t="s">
        <v>120</v>
      </c>
      <c r="AK307" s="136" t="s">
        <v>116</v>
      </c>
      <c r="AL307" s="136" t="s">
        <v>120</v>
      </c>
      <c r="AM307" s="136" t="s">
        <v>116</v>
      </c>
      <c r="AN307" s="136" t="s">
        <v>120</v>
      </c>
      <c r="AO307" s="136" t="s">
        <v>116</v>
      </c>
      <c r="AP307" s="136" t="s">
        <v>120</v>
      </c>
      <c r="AQ307" s="136" t="s">
        <v>116</v>
      </c>
      <c r="AR307" s="136" t="s">
        <v>120</v>
      </c>
      <c r="AS307" s="136" t="s">
        <v>10</v>
      </c>
      <c r="AT307" s="136" t="s">
        <v>120</v>
      </c>
      <c r="AU307" s="136" t="s">
        <v>10</v>
      </c>
      <c r="AV307" s="136" t="s">
        <v>120</v>
      </c>
      <c r="AX307" s="136" t="str">
        <f>IF(AI290="","",IF(B307="","",B307))</f>
        <v>PV</v>
      </c>
      <c r="AY307" s="136" t="str">
        <f>IF(AI290="","",IF(C307="","",C307))</f>
        <v>-</v>
      </c>
      <c r="AZ307" s="136" t="str">
        <f>IF(AI290="","",IF(D307="","",D307))</f>
        <v>PV</v>
      </c>
      <c r="BA307" s="136" t="str">
        <f>IF(AI290="","",IF(E307="","",E307))</f>
        <v>-</v>
      </c>
      <c r="BB307" s="136" t="str">
        <f>IF(AI290="","",IF(F307="","",F307))</f>
        <v>PV</v>
      </c>
      <c r="BC307" s="136" t="str">
        <f>IF(AI290="","",IF(G307="","",G307))</f>
        <v>-</v>
      </c>
      <c r="BD307" s="136" t="str">
        <f>IF(AI290="","",IF(H307="","",H307))</f>
        <v>PV</v>
      </c>
      <c r="BE307" s="136" t="str">
        <f>IF(AI290="","",IF(I307="","",I307))</f>
        <v>-</v>
      </c>
      <c r="BF307" s="136" t="str">
        <f>IF(AI290="","",IF(J307="","",J307))</f>
        <v>PV</v>
      </c>
      <c r="BG307" s="136" t="str">
        <f>IF(AI290="","",IF(K307="","",K307))</f>
        <v>-</v>
      </c>
      <c r="BH307" s="136" t="str">
        <f>IF(AI290="","",IF(L307="","",L307))</f>
        <v>HS</v>
      </c>
      <c r="BI307" s="136" t="str">
        <f>IF(AI290="","",IF(M307="","",M307))</f>
        <v>-</v>
      </c>
      <c r="BJ307" s="136" t="str">
        <f>IF(AI290="","",IF(N307="","",N307))</f>
        <v>HS</v>
      </c>
      <c r="BK307" s="136" t="str">
        <f>IF(AI290="","",IF(O307="","",O307))</f>
        <v>-</v>
      </c>
      <c r="BM307" s="136" t="str">
        <f t="shared" si="187"/>
        <v>EA</v>
      </c>
      <c r="BN307" s="136" t="str">
        <f t="shared" si="184"/>
        <v>Estudo Autónomo</v>
      </c>
      <c r="BO307" s="136" t="str">
        <f t="shared" si="184"/>
        <v>CDI</v>
      </c>
      <c r="BP307" s="136">
        <f>(COUNTIFS(AX294:AX341,BM307,AY294:AY341,BO307)+COUNTIFS(AZ294:AZ341,BM307,BA294:BA341,BO307)+COUNTIFS(BB294:BB341,BM307,BC294:BC341,BO307)+COUNTIFS(BD294:BD341,BM307,BE294:BE341,BO307)+COUNTIFS(BF294:BF341,BM307,BG294:BG341,BO307)+COUNTIFS(BH294:BH341,BM307,BI294:BI341,BO307)+COUNTIFS(BJ294:BJ341,BM307,BK294:BK341,BO307))*0.5</f>
        <v>0</v>
      </c>
      <c r="BQ307" s="136" t="str">
        <f t="shared" si="185"/>
        <v>Estudo Autónomo</v>
      </c>
      <c r="BR307" s="136" t="str">
        <f t="shared" si="185"/>
        <v>CDI</v>
      </c>
      <c r="BS307" s="136" t="str">
        <f t="shared" si="186"/>
        <v>Estudo Autónomo</v>
      </c>
      <c r="BT307" s="136">
        <f t="shared" si="192"/>
        <v>9.5</v>
      </c>
      <c r="BU307" s="136">
        <f t="shared" si="193"/>
        <v>7.5</v>
      </c>
      <c r="CA307" s="136">
        <f>'INFO BASE'!L387</f>
        <v>0</v>
      </c>
      <c r="CB307" s="136">
        <f>'INFO BASE'!M387</f>
        <v>0</v>
      </c>
      <c r="CD307" s="136" t="str">
        <f>IF('INFO BASE'!E321="","",'INFO BASE'!E321)</f>
        <v/>
      </c>
      <c r="CR307" s="177" t="str">
        <f t="shared" si="174"/>
        <v>PV</v>
      </c>
      <c r="CS307" s="177">
        <f t="shared" si="175"/>
        <v>0</v>
      </c>
      <c r="CT307" s="177" t="str">
        <f t="shared" si="174"/>
        <v>PV</v>
      </c>
      <c r="CU307" s="177">
        <f t="shared" si="176"/>
        <v>0</v>
      </c>
      <c r="CV307" s="177" t="str">
        <f t="shared" si="174"/>
        <v>PV</v>
      </c>
      <c r="CW307" s="177">
        <f t="shared" si="177"/>
        <v>0</v>
      </c>
      <c r="CX307" s="177" t="str">
        <f t="shared" si="174"/>
        <v>PV</v>
      </c>
      <c r="CY307" s="177">
        <f t="shared" si="178"/>
        <v>0</v>
      </c>
      <c r="CZ307" s="177" t="str">
        <f t="shared" si="174"/>
        <v>PV</v>
      </c>
      <c r="DA307" s="177">
        <f t="shared" si="179"/>
        <v>0</v>
      </c>
      <c r="DB307" s="177" t="str">
        <f t="shared" si="174"/>
        <v>HS</v>
      </c>
      <c r="DC307" s="177" t="str">
        <f t="shared" si="180"/>
        <v>HS-</v>
      </c>
      <c r="DD307" s="177" t="str">
        <f t="shared" si="181"/>
        <v>HS</v>
      </c>
      <c r="DE307" s="177" t="str">
        <f t="shared" si="182"/>
        <v>HS-</v>
      </c>
    </row>
    <row r="308" spans="1:109" ht="18" customHeight="1" x14ac:dyDescent="0.3">
      <c r="A308" s="81">
        <v>0.29166666666667601</v>
      </c>
      <c r="B308" s="166" t="s">
        <v>116</v>
      </c>
      <c r="C308" s="130" t="s">
        <v>120</v>
      </c>
      <c r="D308" s="169" t="s">
        <v>116</v>
      </c>
      <c r="E308" s="130" t="s">
        <v>120</v>
      </c>
      <c r="F308" s="169" t="s">
        <v>116</v>
      </c>
      <c r="G308" s="130" t="s">
        <v>120</v>
      </c>
      <c r="H308" s="169" t="s">
        <v>116</v>
      </c>
      <c r="I308" s="130" t="s">
        <v>120</v>
      </c>
      <c r="J308" s="169" t="s">
        <v>116</v>
      </c>
      <c r="K308" s="130" t="s">
        <v>120</v>
      </c>
      <c r="L308" s="169" t="s">
        <v>10</v>
      </c>
      <c r="M308" s="130" t="s">
        <v>120</v>
      </c>
      <c r="N308" s="169" t="s">
        <v>10</v>
      </c>
      <c r="O308" s="154" t="s">
        <v>120</v>
      </c>
      <c r="P308" s="6">
        <v>0</v>
      </c>
      <c r="Q308" s="111" t="str">
        <f t="shared" si="190"/>
        <v>Estudo Autónomo</v>
      </c>
      <c r="R308" s="105" t="str">
        <f t="shared" si="191"/>
        <v>IAC</v>
      </c>
      <c r="S308" s="88">
        <f t="shared" si="188"/>
        <v>-1</v>
      </c>
      <c r="T308" s="89">
        <f>IF(VLOOKUP(Q308,'INFO BASE'!$B$40:$I$54,IF(R308='INFO BASE'!$B$32,3,IF(R308='INFO BASE'!$B$33,4,IF(R308='INFO BASE'!$B$34,5,IF(R308='INFO BASE'!$B$35,6,IF(R308='INFO BASE'!$B$36,7,IF(R308='INFO BASE'!$B$37,8,2)))))),0)=0,"",VLOOKUP(Q308,'INFO BASE'!$B$40:$I$54,IF(R308='INFO BASE'!$B$32,3,IF(R308='INFO BASE'!$B$33,4,IF(R308='INFO BASE'!$B$34,5,IF(R308='INFO BASE'!$B$35,6,IF(R308='INFO BASE'!$B$36,7,IF(R308='INFO BASE'!$B$37,8,2)))))),0))</f>
        <v>2</v>
      </c>
      <c r="U308" s="89">
        <f>(COUNTIFS(C294:C341,R308,B294:B341,R305)+COUNTIFS(E294:E341,R308,D294:D341,R305)+COUNTIFS(G294:G341,R308,F294:F341,R305)+COUNTIFS(I294:I341,R308,H294:H341,R305)+COUNTIFS(K294:K341,R308,J294:J341,R305)+COUNTIFS(M294:M341,R308,L294:L341,R305)+COUNTIFS(O294:O341,R308,N294:N341,R305))*0.5</f>
        <v>0</v>
      </c>
      <c r="V308" s="89">
        <f>(COUNTIFS(AI294:AI341,R305,AJ294:AJ341,R308)+COUNTIFS(AK294:AK341,R305,AL294:AL341,R308)+COUNTIFS(AM294:AM341,R305,AN294:AN341,R308)+COUNTIFS(AO294:AO341,R305,AP294:AP341,R308)+COUNTIFS(AQ294:AQ341,R305,AR294:AR341,R308)+COUNTIFS(AS294:AS341,R305,AT294:AT341,R308)+COUNTIFS(AU294:AU341,R305,AV294:AV341,R308))*0.5</f>
        <v>0</v>
      </c>
      <c r="W308" s="90">
        <f>IF(AH290="","-",IF(V308=0,U308,IFERROR((U308/V308)-1,"-")))</f>
        <v>0</v>
      </c>
      <c r="X308" s="200">
        <f t="shared" si="189"/>
        <v>0</v>
      </c>
      <c r="Y308" s="299"/>
      <c r="Z308" s="300"/>
      <c r="AA308" s="300"/>
      <c r="AB308" s="300"/>
      <c r="AC308" s="300"/>
      <c r="AD308" s="300"/>
      <c r="AE308" s="300"/>
      <c r="AF308" s="301"/>
      <c r="AH308" s="136">
        <v>0.29166666666667601</v>
      </c>
      <c r="AI308" s="136" t="s">
        <v>116</v>
      </c>
      <c r="AJ308" s="136" t="s">
        <v>120</v>
      </c>
      <c r="AK308" s="136" t="s">
        <v>116</v>
      </c>
      <c r="AL308" s="136" t="s">
        <v>120</v>
      </c>
      <c r="AM308" s="136" t="s">
        <v>116</v>
      </c>
      <c r="AN308" s="136" t="s">
        <v>120</v>
      </c>
      <c r="AO308" s="136" t="s">
        <v>116</v>
      </c>
      <c r="AP308" s="136" t="s">
        <v>120</v>
      </c>
      <c r="AQ308" s="136" t="s">
        <v>116</v>
      </c>
      <c r="AR308" s="136" t="s">
        <v>120</v>
      </c>
      <c r="AS308" s="136" t="s">
        <v>10</v>
      </c>
      <c r="AT308" s="136" t="s">
        <v>120</v>
      </c>
      <c r="AU308" s="136" t="s">
        <v>10</v>
      </c>
      <c r="AV308" s="136" t="s">
        <v>120</v>
      </c>
      <c r="AX308" s="136" t="str">
        <f>IF(AI290="","",IF(B308="","",B308))</f>
        <v>PV</v>
      </c>
      <c r="AY308" s="136" t="str">
        <f>IF(AI290="","",IF(C308="","",C308))</f>
        <v>-</v>
      </c>
      <c r="AZ308" s="136" t="str">
        <f>IF(AI290="","",IF(D308="","",D308))</f>
        <v>PV</v>
      </c>
      <c r="BA308" s="136" t="str">
        <f>IF(AI290="","",IF(E308="","",E308))</f>
        <v>-</v>
      </c>
      <c r="BB308" s="136" t="str">
        <f>IF(AI290="","",IF(F308="","",F308))</f>
        <v>PV</v>
      </c>
      <c r="BC308" s="136" t="str">
        <f>IF(AI290="","",IF(G308="","",G308))</f>
        <v>-</v>
      </c>
      <c r="BD308" s="136" t="str">
        <f>IF(AI290="","",IF(H308="","",H308))</f>
        <v>PV</v>
      </c>
      <c r="BE308" s="136" t="str">
        <f>IF(AI290="","",IF(I308="","",I308))</f>
        <v>-</v>
      </c>
      <c r="BF308" s="136" t="str">
        <f>IF(AI290="","",IF(J308="","",J308))</f>
        <v>PV</v>
      </c>
      <c r="BG308" s="136" t="str">
        <f>IF(AI290="","",IF(K308="","",K308))</f>
        <v>-</v>
      </c>
      <c r="BH308" s="136" t="str">
        <f>IF(AI290="","",IF(L308="","",L308))</f>
        <v>HS</v>
      </c>
      <c r="BI308" s="136" t="str">
        <f>IF(AI290="","",IF(M308="","",M308))</f>
        <v>-</v>
      </c>
      <c r="BJ308" s="136" t="str">
        <f>IF(AI290="","",IF(N308="","",N308))</f>
        <v>HS</v>
      </c>
      <c r="BK308" s="136" t="str">
        <f>IF(AI290="","",IF(O308="","",O308))</f>
        <v>-</v>
      </c>
      <c r="BM308" s="136" t="str">
        <f t="shared" si="187"/>
        <v>EA</v>
      </c>
      <c r="BN308" s="136" t="str">
        <f t="shared" si="184"/>
        <v>Estudo Autónomo</v>
      </c>
      <c r="BO308" s="136" t="str">
        <f t="shared" si="184"/>
        <v/>
      </c>
      <c r="BP308" s="136">
        <f>(COUNTIFS(AX294:AX341,BM308,AY294:AY341,BO308)+COUNTIFS(AZ294:AZ341,BM308,BA294:BA341,BO308)+COUNTIFS(BB294:BB341,BM308,BC294:BC341,BO308)+COUNTIFS(BD294:BD341,BM308,BE294:BE341,BO308)+COUNTIFS(BF294:BF341,BM308,BG294:BG341,BO308)+COUNTIFS(BH294:BH341,BM308,BI294:BI341,BO308)+COUNTIFS(BJ294:BJ341,BM308,BK294:BK341,BO308))*0.5</f>
        <v>0</v>
      </c>
      <c r="BQ308" s="136" t="str">
        <f t="shared" si="185"/>
        <v>Estudo Autónomo</v>
      </c>
      <c r="BR308" s="136" t="str">
        <f t="shared" si="185"/>
        <v/>
      </c>
      <c r="BS308" s="136" t="str">
        <f t="shared" si="186"/>
        <v>Estudo Autónomo</v>
      </c>
      <c r="BT308" s="136">
        <f t="shared" si="192"/>
        <v>0</v>
      </c>
      <c r="BU308" s="136">
        <f t="shared" si="193"/>
        <v>0</v>
      </c>
      <c r="CA308" s="136">
        <f>'INFO BASE'!L388</f>
        <v>0</v>
      </c>
      <c r="CB308" s="136">
        <f>'INFO BASE'!M388</f>
        <v>0</v>
      </c>
      <c r="CD308" s="136" t="str">
        <f>IF('INFO BASE'!E322="","",'INFO BASE'!E322)</f>
        <v/>
      </c>
      <c r="CR308" s="177" t="str">
        <f t="shared" si="174"/>
        <v>PV</v>
      </c>
      <c r="CS308" s="177">
        <f t="shared" si="175"/>
        <v>0</v>
      </c>
      <c r="CT308" s="177" t="str">
        <f t="shared" si="174"/>
        <v>PV</v>
      </c>
      <c r="CU308" s="177">
        <f t="shared" si="176"/>
        <v>0</v>
      </c>
      <c r="CV308" s="177" t="str">
        <f t="shared" si="174"/>
        <v>PV</v>
      </c>
      <c r="CW308" s="177">
        <f t="shared" si="177"/>
        <v>0</v>
      </c>
      <c r="CX308" s="177" t="str">
        <f t="shared" si="174"/>
        <v>PV</v>
      </c>
      <c r="CY308" s="177">
        <f t="shared" si="178"/>
        <v>0</v>
      </c>
      <c r="CZ308" s="177" t="str">
        <f t="shared" si="174"/>
        <v>PV</v>
      </c>
      <c r="DA308" s="177">
        <f t="shared" si="179"/>
        <v>0</v>
      </c>
      <c r="DB308" s="177" t="str">
        <f t="shared" si="174"/>
        <v>HS</v>
      </c>
      <c r="DC308" s="177" t="str">
        <f t="shared" si="180"/>
        <v>HS-</v>
      </c>
      <c r="DD308" s="177" t="str">
        <f t="shared" si="181"/>
        <v>HS</v>
      </c>
      <c r="DE308" s="177" t="str">
        <f t="shared" si="182"/>
        <v>HS-</v>
      </c>
    </row>
    <row r="309" spans="1:109" ht="18" customHeight="1" x14ac:dyDescent="0.3">
      <c r="A309" s="81">
        <v>0.31250000000000999</v>
      </c>
      <c r="B309" s="166" t="s">
        <v>11</v>
      </c>
      <c r="C309" s="130" t="s">
        <v>120</v>
      </c>
      <c r="D309" s="169" t="s">
        <v>11</v>
      </c>
      <c r="E309" s="130" t="s">
        <v>120</v>
      </c>
      <c r="F309" s="169" t="s">
        <v>11</v>
      </c>
      <c r="G309" s="130" t="s">
        <v>120</v>
      </c>
      <c r="H309" s="169" t="s">
        <v>11</v>
      </c>
      <c r="I309" s="130" t="s">
        <v>120</v>
      </c>
      <c r="J309" s="169" t="s">
        <v>11</v>
      </c>
      <c r="K309" s="130" t="s">
        <v>120</v>
      </c>
      <c r="L309" s="169" t="s">
        <v>10</v>
      </c>
      <c r="M309" s="130" t="s">
        <v>120</v>
      </c>
      <c r="N309" s="169" t="s">
        <v>10</v>
      </c>
      <c r="O309" s="154" t="s">
        <v>120</v>
      </c>
      <c r="P309" s="6">
        <v>0</v>
      </c>
      <c r="Q309" s="110" t="str">
        <f t="shared" si="190"/>
        <v>Estudo Autónomo</v>
      </c>
      <c r="R309" s="105" t="str">
        <f t="shared" si="191"/>
        <v>AL</v>
      </c>
      <c r="S309" s="88">
        <f t="shared" si="188"/>
        <v>-0.19999999999999996</v>
      </c>
      <c r="T309" s="89">
        <f>IF(VLOOKUP(Q309,'INFO BASE'!$B$40:$I$54,IF(R309='INFO BASE'!$B$32,3,IF(R309='INFO BASE'!$B$33,4,IF(R309='INFO BASE'!$B$34,5,IF(R309='INFO BASE'!$B$35,6,IF(R309='INFO BASE'!$B$36,7,IF(R309='INFO BASE'!$B$37,8,2)))))),0)=0,"",VLOOKUP(Q309,'INFO BASE'!$B$40:$I$54,IF(R309='INFO BASE'!$B$32,3,IF(R309='INFO BASE'!$B$33,4,IF(R309='INFO BASE'!$B$34,5,IF(R309='INFO BASE'!$B$35,6,IF(R309='INFO BASE'!$B$36,7,IF(R309='INFO BASE'!$B$37,8,2)))))),0))</f>
        <v>5</v>
      </c>
      <c r="U309" s="89">
        <f>(COUNTIFS(C294:C341,R309,B294:B341,R305)+COUNTIFS(E294:E341,R309,D294:D341,R305)+COUNTIFS(G294:G341,R309,F294:F341,R305)+COUNTIFS(I294:I341,R309,H294:H341,R305)+COUNTIFS(K294:K341,R309,J294:J341,R305)+COUNTIFS(M294:M341,R309,L294:L341,R305)+COUNTIFS(O294:O341,R309,N294:N341,R305))*0.5</f>
        <v>4</v>
      </c>
      <c r="V309" s="89">
        <f>(COUNTIFS(AI294:AI341,R305,AJ294:AJ341,R309)+COUNTIFS(AK294:AK341,R305,AL294:AL341,R309)+COUNTIFS(AM294:AM341,R305,AN294:AN341,R309)+COUNTIFS(AO294:AO341,R305,AP294:AP341,R309)+COUNTIFS(AQ294:AQ341,R305,AR294:AR341,R309)+COUNTIFS(AS294:AS341,R305,AT294:AT341,R309)+COUNTIFS(AU294:AU341,R305,AV294:AV341,R309))*0.5</f>
        <v>2</v>
      </c>
      <c r="W309" s="90">
        <f>IF(AH290="","-",IF(V309=0,U309,IFERROR((U309/V309)-1,"-")))</f>
        <v>1</v>
      </c>
      <c r="X309" s="200">
        <f t="shared" si="189"/>
        <v>1</v>
      </c>
      <c r="Y309" s="299" t="s">
        <v>254</v>
      </c>
      <c r="Z309" s="300"/>
      <c r="AA309" s="300"/>
      <c r="AB309" s="300"/>
      <c r="AC309" s="300"/>
      <c r="AD309" s="300"/>
      <c r="AE309" s="300"/>
      <c r="AF309" s="301"/>
      <c r="AH309" s="136">
        <v>0.31250000000000999</v>
      </c>
      <c r="AI309" s="136" t="s">
        <v>11</v>
      </c>
      <c r="AJ309" s="136" t="s">
        <v>120</v>
      </c>
      <c r="AK309" s="136" t="s">
        <v>11</v>
      </c>
      <c r="AL309" s="136" t="s">
        <v>120</v>
      </c>
      <c r="AM309" s="136" t="s">
        <v>11</v>
      </c>
      <c r="AN309" s="136" t="s">
        <v>120</v>
      </c>
      <c r="AO309" s="136" t="s">
        <v>11</v>
      </c>
      <c r="AP309" s="136" t="s">
        <v>120</v>
      </c>
      <c r="AQ309" s="136" t="s">
        <v>11</v>
      </c>
      <c r="AR309" s="136" t="s">
        <v>120</v>
      </c>
      <c r="AS309" s="136" t="s">
        <v>10</v>
      </c>
      <c r="AT309" s="136" t="s">
        <v>120</v>
      </c>
      <c r="AU309" s="136" t="s">
        <v>10</v>
      </c>
      <c r="AV309" s="136" t="s">
        <v>120</v>
      </c>
      <c r="AX309" s="136" t="str">
        <f>IF(AI290="","",IF(B309="","",B309))</f>
        <v>HD</v>
      </c>
      <c r="AY309" s="136" t="str">
        <f>IF(AI290="","",IF(C309="","",C309))</f>
        <v>-</v>
      </c>
      <c r="AZ309" s="136" t="str">
        <f>IF(AI290="","",IF(D309="","",D309))</f>
        <v>HD</v>
      </c>
      <c r="BA309" s="136" t="str">
        <f>IF(AI290="","",IF(E309="","",E309))</f>
        <v>-</v>
      </c>
      <c r="BB309" s="136" t="str">
        <f>IF(AI290="","",IF(F309="","",F309))</f>
        <v>HD</v>
      </c>
      <c r="BC309" s="136" t="str">
        <f>IF(AI290="","",IF(G309="","",G309))</f>
        <v>-</v>
      </c>
      <c r="BD309" s="136" t="str">
        <f>IF(AI290="","",IF(H309="","",H309))</f>
        <v>HD</v>
      </c>
      <c r="BE309" s="136" t="str">
        <f>IF(AI290="","",IF(I309="","",I309))</f>
        <v>-</v>
      </c>
      <c r="BF309" s="136" t="str">
        <f>IF(AI290="","",IF(J309="","",J309))</f>
        <v>HD</v>
      </c>
      <c r="BG309" s="136" t="str">
        <f>IF(AI290="","",IF(K309="","",K309))</f>
        <v>-</v>
      </c>
      <c r="BH309" s="136" t="str">
        <f>IF(AI290="","",IF(L309="","",L309))</f>
        <v>HS</v>
      </c>
      <c r="BI309" s="136" t="str">
        <f>IF(AI290="","",IF(M309="","",M309))</f>
        <v>-</v>
      </c>
      <c r="BJ309" s="136" t="str">
        <f>IF(AI290="","",IF(N309="","",N309))</f>
        <v>HS</v>
      </c>
      <c r="BK309" s="136" t="str">
        <f>IF(AI290="","",IF(O309="","",O309))</f>
        <v>-</v>
      </c>
      <c r="BM309" s="136" t="str">
        <f>BO309</f>
        <v>EG</v>
      </c>
      <c r="BN309" s="136" t="str">
        <f t="shared" si="184"/>
        <v>Estudo em Grupo</v>
      </c>
      <c r="BO309" s="136" t="str">
        <f t="shared" si="184"/>
        <v>EG</v>
      </c>
      <c r="BP309" s="136">
        <f>COUNTIFS(AX294:BK341,BO309)*0.5</f>
        <v>6</v>
      </c>
      <c r="BQ309" s="136" t="str">
        <f t="shared" si="185"/>
        <v>Estudo em Grupo</v>
      </c>
      <c r="BR309" s="136" t="str">
        <f t="shared" si="185"/>
        <v>EG</v>
      </c>
      <c r="BS309" s="136" t="str">
        <f t="shared" si="186"/>
        <v>Estudo em Grupo</v>
      </c>
      <c r="BT309" s="136">
        <f t="shared" si="192"/>
        <v>46.5</v>
      </c>
      <c r="BU309" s="136">
        <f t="shared" si="193"/>
        <v>55.5</v>
      </c>
      <c r="CA309" s="136">
        <f>'INFO BASE'!L389</f>
        <v>0</v>
      </c>
      <c r="CB309" s="136">
        <f>'INFO BASE'!M389</f>
        <v>0</v>
      </c>
      <c r="CD309" s="136" t="str">
        <f>IF('INFO BASE'!E323="","",'INFO BASE'!E323)</f>
        <v/>
      </c>
      <c r="CR309" s="177" t="str">
        <f t="shared" si="174"/>
        <v>HD</v>
      </c>
      <c r="CS309" s="177" t="str">
        <f t="shared" si="175"/>
        <v>HD-</v>
      </c>
      <c r="CT309" s="177" t="str">
        <f t="shared" si="174"/>
        <v>HD</v>
      </c>
      <c r="CU309" s="177" t="str">
        <f t="shared" si="176"/>
        <v>HD-</v>
      </c>
      <c r="CV309" s="177" t="str">
        <f t="shared" si="174"/>
        <v>HD</v>
      </c>
      <c r="CW309" s="177" t="str">
        <f t="shared" si="177"/>
        <v>HD-</v>
      </c>
      <c r="CX309" s="177" t="str">
        <f t="shared" si="174"/>
        <v>HD</v>
      </c>
      <c r="CY309" s="177" t="str">
        <f t="shared" si="178"/>
        <v>HD-</v>
      </c>
      <c r="CZ309" s="177" t="str">
        <f t="shared" si="174"/>
        <v>HD</v>
      </c>
      <c r="DA309" s="177" t="str">
        <f t="shared" si="179"/>
        <v>HD-</v>
      </c>
      <c r="DB309" s="177" t="str">
        <f t="shared" si="174"/>
        <v>HS</v>
      </c>
      <c r="DC309" s="177" t="str">
        <f t="shared" si="180"/>
        <v>HS-</v>
      </c>
      <c r="DD309" s="177" t="str">
        <f t="shared" si="181"/>
        <v>HS</v>
      </c>
      <c r="DE309" s="177" t="str">
        <f t="shared" si="182"/>
        <v>HS-</v>
      </c>
    </row>
    <row r="310" spans="1:109" ht="18" customHeight="1" x14ac:dyDescent="0.3">
      <c r="A310" s="81">
        <v>0.33333333333334397</v>
      </c>
      <c r="B310" s="166" t="s">
        <v>11</v>
      </c>
      <c r="C310" s="130" t="s">
        <v>120</v>
      </c>
      <c r="D310" s="169" t="s">
        <v>11</v>
      </c>
      <c r="E310" s="130" t="s">
        <v>120</v>
      </c>
      <c r="F310" s="169" t="s">
        <v>11</v>
      </c>
      <c r="G310" s="130" t="s">
        <v>120</v>
      </c>
      <c r="H310" s="169" t="s">
        <v>11</v>
      </c>
      <c r="I310" s="130" t="s">
        <v>120</v>
      </c>
      <c r="J310" s="169" t="s">
        <v>11</v>
      </c>
      <c r="K310" s="130" t="s">
        <v>120</v>
      </c>
      <c r="L310" s="169" t="s">
        <v>10</v>
      </c>
      <c r="M310" s="130" t="s">
        <v>120</v>
      </c>
      <c r="N310" s="169" t="s">
        <v>10</v>
      </c>
      <c r="O310" s="154" t="s">
        <v>120</v>
      </c>
      <c r="P310" s="6">
        <v>0</v>
      </c>
      <c r="Q310" s="110" t="str">
        <f t="shared" si="190"/>
        <v>Estudo Autónomo</v>
      </c>
      <c r="R310" s="105" t="str">
        <f t="shared" si="191"/>
        <v>CDI</v>
      </c>
      <c r="S310" s="88">
        <f t="shared" si="188"/>
        <v>-1</v>
      </c>
      <c r="T310" s="89">
        <f>IF(VLOOKUP(Q310,'INFO BASE'!$B$40:$I$54,IF(R310='INFO BASE'!$B$32,3,IF(R310='INFO BASE'!$B$33,4,IF(R310='INFO BASE'!$B$34,5,IF(R310='INFO BASE'!$B$35,6,IF(R310='INFO BASE'!$B$36,7,IF(R310='INFO BASE'!$B$37,8,2)))))),0)=0,"",VLOOKUP(Q310,'INFO BASE'!$B$40:$I$54,IF(R310='INFO BASE'!$B$32,3,IF(R310='INFO BASE'!$B$33,4,IF(R310='INFO BASE'!$B$34,5,IF(R310='INFO BASE'!$B$35,6,IF(R310='INFO BASE'!$B$36,7,IF(R310='INFO BASE'!$B$37,8,2)))))),0))</f>
        <v>5</v>
      </c>
      <c r="U310" s="89">
        <f>(COUNTIFS(C294:C341,R310,B294:B341,R305)+COUNTIFS(E294:E341,R310,D294:D341,R305)+COUNTIFS(G294:G341,R310,F294:F341,R305)+COUNTIFS(I294:I341,R310,H294:H341,R305)+COUNTIFS(K294:K341,R310,J294:J341,R305)+COUNTIFS(M294:M341,R310,L294:L341,R305)+COUNTIFS(O294:O341,R310,N294:N341,R305))*0.5</f>
        <v>0</v>
      </c>
      <c r="V310" s="89">
        <f>(COUNTIFS(AI294:AI341,R305,AJ294:AJ341,R310)+COUNTIFS(AK294:AK341,R305,AL294:AL341,R310)+COUNTIFS(AM294:AM341,R305,AN294:AN341,R310)+COUNTIFS(AO294:AO341,R305,AP294:AP341,R310)+COUNTIFS(AQ294:AQ341,R305,AR294:AR341,R310)+COUNTIFS(AS294:AS341,R305,AT294:AT341,R310)+COUNTIFS(AU294:AU341,R305,AV294:AV341,R310))*0.5</f>
        <v>0</v>
      </c>
      <c r="W310" s="90">
        <f>IF(AH290="","-",IF(V310=0,U310,IFERROR((U310/V310)-1,"-")))</f>
        <v>0</v>
      </c>
      <c r="X310" s="200">
        <f t="shared" si="189"/>
        <v>0</v>
      </c>
      <c r="Y310" s="299"/>
      <c r="Z310" s="300"/>
      <c r="AA310" s="300"/>
      <c r="AB310" s="300"/>
      <c r="AC310" s="300"/>
      <c r="AD310" s="300"/>
      <c r="AE310" s="300"/>
      <c r="AF310" s="301"/>
      <c r="AH310" s="136">
        <v>0.33333333333334397</v>
      </c>
      <c r="AI310" s="136" t="s">
        <v>11</v>
      </c>
      <c r="AJ310" s="136" t="s">
        <v>120</v>
      </c>
      <c r="AK310" s="136" t="s">
        <v>11</v>
      </c>
      <c r="AL310" s="136" t="s">
        <v>120</v>
      </c>
      <c r="AM310" s="136" t="s">
        <v>11</v>
      </c>
      <c r="AN310" s="136" t="s">
        <v>120</v>
      </c>
      <c r="AO310" s="136" t="s">
        <v>11</v>
      </c>
      <c r="AP310" s="136" t="s">
        <v>120</v>
      </c>
      <c r="AQ310" s="136" t="s">
        <v>11</v>
      </c>
      <c r="AR310" s="136" t="s">
        <v>120</v>
      </c>
      <c r="AS310" s="136" t="s">
        <v>10</v>
      </c>
      <c r="AT310" s="136" t="s">
        <v>120</v>
      </c>
      <c r="AU310" s="136" t="s">
        <v>10</v>
      </c>
      <c r="AV310" s="136" t="s">
        <v>120</v>
      </c>
      <c r="AX310" s="136" t="str">
        <f>IF(AI290="","",IF(B310="","",B310))</f>
        <v>HD</v>
      </c>
      <c r="AY310" s="136" t="str">
        <f>IF(AI290="","",IF(C310="","",C310))</f>
        <v>-</v>
      </c>
      <c r="AZ310" s="136" t="str">
        <f>IF(AI290="","",IF(D310="","",D310))</f>
        <v>HD</v>
      </c>
      <c r="BA310" s="136" t="str">
        <f>IF(AI290="","",IF(E310="","",E310))</f>
        <v>-</v>
      </c>
      <c r="BB310" s="136" t="str">
        <f>IF(AI290="","",IF(F310="","",F310))</f>
        <v>HD</v>
      </c>
      <c r="BC310" s="136" t="str">
        <f>IF(AI290="","",IF(G310="","",G310))</f>
        <v>-</v>
      </c>
      <c r="BD310" s="136" t="str">
        <f>IF(AI290="","",IF(H310="","",H310))</f>
        <v>HD</v>
      </c>
      <c r="BE310" s="136" t="str">
        <f>IF(AI290="","",IF(I310="","",I310))</f>
        <v>-</v>
      </c>
      <c r="BF310" s="136" t="str">
        <f>IF(AI290="","",IF(J310="","",J310))</f>
        <v>HD</v>
      </c>
      <c r="BG310" s="136" t="str">
        <f>IF(AI290="","",IF(K310="","",K310))</f>
        <v>-</v>
      </c>
      <c r="BH310" s="136" t="str">
        <f>IF(AI290="","",IF(L310="","",L310))</f>
        <v>HS</v>
      </c>
      <c r="BI310" s="136" t="str">
        <f>IF(AI290="","",IF(M310="","",M310))</f>
        <v>-</v>
      </c>
      <c r="BJ310" s="136" t="str">
        <f>IF(AI290="","",IF(N310="","",N310))</f>
        <v>HS</v>
      </c>
      <c r="BK310" s="136" t="str">
        <f>IF(AI290="","",IF(O310="","",O310))</f>
        <v>-</v>
      </c>
      <c r="BM310" s="136" t="str">
        <f>BM309</f>
        <v>EG</v>
      </c>
      <c r="BN310" s="136" t="str">
        <f t="shared" si="184"/>
        <v>Estudo em Grupo</v>
      </c>
      <c r="BO310" s="136" t="str">
        <f t="shared" si="184"/>
        <v>FP</v>
      </c>
      <c r="BP310" s="136">
        <f>(COUNTIFS(AX294:AX341,BM310,AY294:AY341,BO310)+COUNTIFS(AZ294:AZ341,BM310,BA294:BA341,BO310)+COUNTIFS(BB294:BB341,BM310,BC294:BC341,BO310)+COUNTIFS(BD294:BD341,BM310,BE294:BE341,BO310)+COUNTIFS(BF294:BF341,BM310,BG294:BG341,BO310)+COUNTIFS(BH294:BH341,BM310,BI294:BI341,BO310)+COUNTIFS(BJ294:BJ341,BM310,BK294:BK341,BO310))*0.5</f>
        <v>2</v>
      </c>
      <c r="BQ310" s="136" t="str">
        <f t="shared" si="185"/>
        <v>Estudo em Grupo</v>
      </c>
      <c r="BR310" s="136" t="str">
        <f t="shared" si="185"/>
        <v>FP</v>
      </c>
      <c r="BS310" s="136" t="str">
        <f t="shared" si="186"/>
        <v>Estudo em Grupo</v>
      </c>
      <c r="BT310" s="136">
        <f t="shared" si="192"/>
        <v>11</v>
      </c>
      <c r="BU310" s="136">
        <f t="shared" si="193"/>
        <v>12</v>
      </c>
      <c r="CA310" s="136">
        <f>'INFO BASE'!L390</f>
        <v>0</v>
      </c>
      <c r="CB310" s="136">
        <f>'INFO BASE'!M390</f>
        <v>0</v>
      </c>
      <c r="CD310" s="136" t="str">
        <f>IF('INFO BASE'!F324="","",'INFO BASE'!F324)</f>
        <v/>
      </c>
      <c r="CR310" s="177" t="str">
        <f t="shared" si="174"/>
        <v>HD</v>
      </c>
      <c r="CS310" s="177" t="str">
        <f t="shared" si="175"/>
        <v>HD-</v>
      </c>
      <c r="CT310" s="177" t="str">
        <f t="shared" si="174"/>
        <v>HD</v>
      </c>
      <c r="CU310" s="177" t="str">
        <f t="shared" si="176"/>
        <v>HD-</v>
      </c>
      <c r="CV310" s="177" t="str">
        <f t="shared" si="174"/>
        <v>HD</v>
      </c>
      <c r="CW310" s="177" t="str">
        <f t="shared" si="177"/>
        <v>HD-</v>
      </c>
      <c r="CX310" s="177" t="str">
        <f t="shared" si="174"/>
        <v>HD</v>
      </c>
      <c r="CY310" s="177" t="str">
        <f t="shared" si="178"/>
        <v>HD-</v>
      </c>
      <c r="CZ310" s="177" t="str">
        <f t="shared" si="174"/>
        <v>HD</v>
      </c>
      <c r="DA310" s="177" t="str">
        <f t="shared" si="179"/>
        <v>HD-</v>
      </c>
      <c r="DB310" s="177" t="str">
        <f t="shared" si="174"/>
        <v>HS</v>
      </c>
      <c r="DC310" s="177" t="str">
        <f t="shared" si="180"/>
        <v>HS-</v>
      </c>
      <c r="DD310" s="177" t="str">
        <f t="shared" si="181"/>
        <v>HS</v>
      </c>
      <c r="DE310" s="177" t="str">
        <f t="shared" si="182"/>
        <v>HS-</v>
      </c>
    </row>
    <row r="311" spans="1:109" ht="18" customHeight="1" thickBot="1" x14ac:dyDescent="0.35">
      <c r="A311" s="81">
        <v>0.35416666666667801</v>
      </c>
      <c r="B311" s="166" t="s">
        <v>11</v>
      </c>
      <c r="C311" s="130" t="s">
        <v>120</v>
      </c>
      <c r="D311" s="169" t="s">
        <v>11</v>
      </c>
      <c r="E311" s="130" t="s">
        <v>120</v>
      </c>
      <c r="F311" s="169" t="s">
        <v>130</v>
      </c>
      <c r="G311" s="130" t="s">
        <v>230</v>
      </c>
      <c r="H311" s="169" t="s">
        <v>11</v>
      </c>
      <c r="I311" s="130" t="s">
        <v>120</v>
      </c>
      <c r="J311" s="169" t="s">
        <v>11</v>
      </c>
      <c r="K311" s="130" t="s">
        <v>120</v>
      </c>
      <c r="L311" s="169" t="s">
        <v>116</v>
      </c>
      <c r="M311" s="130" t="s">
        <v>120</v>
      </c>
      <c r="N311" s="169" t="s">
        <v>10</v>
      </c>
      <c r="O311" s="154" t="s">
        <v>120</v>
      </c>
      <c r="P311" s="6">
        <v>0</v>
      </c>
      <c r="Q311" s="112" t="str">
        <f t="shared" si="190"/>
        <v>Estudo Autónomo</v>
      </c>
      <c r="R311" s="107" t="str">
        <f t="shared" si="191"/>
        <v/>
      </c>
      <c r="S311" s="94" t="str">
        <f t="shared" si="188"/>
        <v>-</v>
      </c>
      <c r="T311" s="95" t="str">
        <f>IF(VLOOKUP(Q311,'INFO BASE'!$B$40:$I$54,IF(R311='INFO BASE'!$B$32,3,IF(R311='INFO BASE'!$B$33,4,IF(R311='INFO BASE'!$B$34,5,IF(R311='INFO BASE'!$B$35,6,IF(R311='INFO BASE'!$B$36,7,IF(R311='INFO BASE'!$B$37,8,2)))))),0)=0,"",VLOOKUP(Q311,'INFO BASE'!$B$40:$I$54,IF(R311='INFO BASE'!$B$32,3,IF(R311='INFO BASE'!$B$33,4,IF(R311='INFO BASE'!$B$34,5,IF(R311='INFO BASE'!$B$35,6,IF(R311='INFO BASE'!$B$36,7,IF(R311='INFO BASE'!$B$37,8,2)))))),0))</f>
        <v/>
      </c>
      <c r="U311" s="95">
        <f>(COUNTIFS(C294:C341,R311,B294:B341,R305)+COUNTIFS(E294:E341,R311,D294:D341,R305)+COUNTIFS(G294:G341,R311,F294:F341,R305)+COUNTIFS(I294:I341,R311,H294:H341,R305)+COUNTIFS(K294:K341,R311,J294:J341,R305)+COUNTIFS(M294:M341,R311,L294:L341,R305)+COUNTIFS(O294:O341,R311,N294:N341,R305))*0.5</f>
        <v>0</v>
      </c>
      <c r="V311" s="95">
        <f>(COUNTIFS(AI294:AI341,R305,AJ294:AJ341,R311)+COUNTIFS(AK294:AK341,R305,AL294:AL341,R311)+COUNTIFS(AM294:AM341,R305,AN294:AN341,R311)+COUNTIFS(AO294:AO341,R305,AP294:AP341,R311)+COUNTIFS(AQ294:AQ341,R305,AR294:AR341,R311)+COUNTIFS(AS294:AS341,R305,AT294:AT341,R311)+COUNTIFS(AU294:AU341,R305,AV294:AV341,R311))*0.5</f>
        <v>0</v>
      </c>
      <c r="W311" s="96">
        <f>IF(AH290="","-",IF(V311=0,U311,IFERROR((U311/V311)-1,"-")))</f>
        <v>0</v>
      </c>
      <c r="X311" s="201">
        <f t="shared" si="189"/>
        <v>0</v>
      </c>
      <c r="Y311" s="274"/>
      <c r="Z311" s="275"/>
      <c r="AA311" s="275"/>
      <c r="AB311" s="275"/>
      <c r="AC311" s="275"/>
      <c r="AD311" s="275"/>
      <c r="AE311" s="275"/>
      <c r="AF311" s="276"/>
      <c r="AH311" s="136">
        <v>0.35416666666667801</v>
      </c>
      <c r="AI311" s="136" t="s">
        <v>11</v>
      </c>
      <c r="AJ311" s="136" t="s">
        <v>120</v>
      </c>
      <c r="AK311" s="136" t="s">
        <v>11</v>
      </c>
      <c r="AL311" s="136" t="s">
        <v>120</v>
      </c>
      <c r="AM311" s="136" t="s">
        <v>130</v>
      </c>
      <c r="AN311" s="136" t="s">
        <v>230</v>
      </c>
      <c r="AO311" s="136" t="s">
        <v>11</v>
      </c>
      <c r="AP311" s="136" t="s">
        <v>120</v>
      </c>
      <c r="AQ311" s="136" t="s">
        <v>11</v>
      </c>
      <c r="AR311" s="136" t="s">
        <v>120</v>
      </c>
      <c r="AS311" s="136" t="s">
        <v>116</v>
      </c>
      <c r="AT311" s="136" t="s">
        <v>120</v>
      </c>
      <c r="AU311" s="136" t="s">
        <v>116</v>
      </c>
      <c r="AV311" s="136" t="s">
        <v>120</v>
      </c>
      <c r="AX311" s="136" t="str">
        <f>IF(AI290="","",IF(B311="","",B311))</f>
        <v>HD</v>
      </c>
      <c r="AY311" s="136" t="str">
        <f>IF(AI290="","",IF(C311="","",C311))</f>
        <v>-</v>
      </c>
      <c r="AZ311" s="136" t="str">
        <f>IF(AI290="","",IF(D311="","",D311))</f>
        <v>HD</v>
      </c>
      <c r="BA311" s="136" t="str">
        <f>IF(AI290="","",IF(E311="","",E311))</f>
        <v>-</v>
      </c>
      <c r="BB311" s="136" t="str">
        <f>IF(AI290="","",IF(F311="","",F311))</f>
        <v>APB</v>
      </c>
      <c r="BC311" s="136" t="str">
        <f>IF(AI290="","",IF(G311="","",G311))</f>
        <v>AL</v>
      </c>
      <c r="BD311" s="136" t="str">
        <f>IF(AI290="","",IF(H311="","",H311))</f>
        <v>HD</v>
      </c>
      <c r="BE311" s="136" t="str">
        <f>IF(AI290="","",IF(I311="","",I311))</f>
        <v>-</v>
      </c>
      <c r="BF311" s="136" t="str">
        <f>IF(AI290="","",IF(J311="","",J311))</f>
        <v>HD</v>
      </c>
      <c r="BG311" s="136" t="str">
        <f>IF(AI290="","",IF(K311="","",K311))</f>
        <v>-</v>
      </c>
      <c r="BH311" s="136" t="str">
        <f>IF(AI290="","",IF(L311="","",L311))</f>
        <v>PV</v>
      </c>
      <c r="BI311" s="136" t="str">
        <f>IF(AI290="","",IF(M311="","",M311))</f>
        <v>-</v>
      </c>
      <c r="BJ311" s="136" t="str">
        <f>IF(AI290="","",IF(N311="","",N311))</f>
        <v>HS</v>
      </c>
      <c r="BK311" s="136" t="str">
        <f>IF(AI290="","",IF(O311="","",O311))</f>
        <v>-</v>
      </c>
      <c r="BM311" s="136" t="str">
        <f t="shared" ref="BM311:BM315" si="194">BM310</f>
        <v>EG</v>
      </c>
      <c r="BN311" s="136" t="str">
        <f t="shared" si="184"/>
        <v>Estudo em Grupo</v>
      </c>
      <c r="BO311" s="136" t="str">
        <f t="shared" si="184"/>
        <v>IEI</v>
      </c>
      <c r="BP311" s="136">
        <f>(COUNTIFS(AX294:AX341,BM311,AY294:AY341,BO311)+COUNTIFS(AZ294:AZ341,BM311,BA294:BA341,BO311)+COUNTIFS(BB294:BB341,BM311,BC294:BC341,BO311)+COUNTIFS(BD294:BD341,BM311,BE294:BE341,BO311)+COUNTIFS(BF294:BF341,BM311,BG294:BG341,BO311)+COUNTIFS(BH294:BH341,BM311,BI294:BI341,BO311)+COUNTIFS(BJ294:BJ341,BM311,BK294:BK341,BO311))*0.5</f>
        <v>0</v>
      </c>
      <c r="BQ311" s="136" t="str">
        <f t="shared" si="185"/>
        <v>Estudo em Grupo</v>
      </c>
      <c r="BR311" s="136" t="str">
        <f t="shared" si="185"/>
        <v>IEI</v>
      </c>
      <c r="BS311" s="136" t="str">
        <f t="shared" si="186"/>
        <v>Estudo em Grupo</v>
      </c>
      <c r="BT311" s="136">
        <f t="shared" si="192"/>
        <v>2.5</v>
      </c>
      <c r="BU311" s="136">
        <f t="shared" si="193"/>
        <v>7</v>
      </c>
      <c r="CA311" s="136">
        <f>'INFO BASE'!L391</f>
        <v>0</v>
      </c>
      <c r="CB311" s="136">
        <f>'INFO BASE'!M391</f>
        <v>0</v>
      </c>
      <c r="CR311" s="177" t="str">
        <f t="shared" si="174"/>
        <v>HD</v>
      </c>
      <c r="CS311" s="177" t="str">
        <f t="shared" si="175"/>
        <v>HD-</v>
      </c>
      <c r="CT311" s="177" t="str">
        <f t="shared" si="174"/>
        <v>HD</v>
      </c>
      <c r="CU311" s="177" t="str">
        <f t="shared" si="176"/>
        <v>HD-</v>
      </c>
      <c r="CV311" s="177" t="str">
        <f t="shared" si="174"/>
        <v>APB</v>
      </c>
      <c r="CW311" s="177" t="str">
        <f t="shared" si="177"/>
        <v>APBAL</v>
      </c>
      <c r="CX311" s="177" t="str">
        <f t="shared" si="174"/>
        <v>HD</v>
      </c>
      <c r="CY311" s="177" t="str">
        <f t="shared" si="178"/>
        <v>HD-</v>
      </c>
      <c r="CZ311" s="177" t="str">
        <f t="shared" si="174"/>
        <v>HD</v>
      </c>
      <c r="DA311" s="177" t="str">
        <f t="shared" si="179"/>
        <v>HD-</v>
      </c>
      <c r="DB311" s="177" t="str">
        <f t="shared" si="174"/>
        <v>PV</v>
      </c>
      <c r="DC311" s="177">
        <f t="shared" si="180"/>
        <v>0</v>
      </c>
      <c r="DD311" s="177" t="str">
        <f t="shared" si="181"/>
        <v>HS</v>
      </c>
      <c r="DE311" s="177" t="str">
        <f t="shared" si="182"/>
        <v>HS-</v>
      </c>
    </row>
    <row r="312" spans="1:109" ht="18" customHeight="1" x14ac:dyDescent="0.3">
      <c r="A312" s="81">
        <v>0.37500000000001199</v>
      </c>
      <c r="B312" s="166" t="s">
        <v>9</v>
      </c>
      <c r="C312" s="130" t="s">
        <v>228</v>
      </c>
      <c r="D312" s="169" t="s">
        <v>9</v>
      </c>
      <c r="E312" s="130" t="s">
        <v>226</v>
      </c>
      <c r="F312" s="169" t="s">
        <v>130</v>
      </c>
      <c r="G312" s="130" t="s">
        <v>230</v>
      </c>
      <c r="H312" s="169" t="s">
        <v>9</v>
      </c>
      <c r="I312" s="130" t="s">
        <v>228</v>
      </c>
      <c r="J312" s="169" t="s">
        <v>9</v>
      </c>
      <c r="K312" s="130" t="s">
        <v>224</v>
      </c>
      <c r="L312" s="169" t="s">
        <v>116</v>
      </c>
      <c r="M312" s="130" t="s">
        <v>120</v>
      </c>
      <c r="N312" s="169" t="s">
        <v>10</v>
      </c>
      <c r="O312" s="154" t="s">
        <v>120</v>
      </c>
      <c r="P312" s="6">
        <v>0</v>
      </c>
      <c r="Q312" s="113" t="str">
        <f>IF('INFO BASE'!$C$18="","",'INFO BASE'!$C$18)</f>
        <v>Estudo em Grupo</v>
      </c>
      <c r="R312" s="82" t="str">
        <f t="shared" si="191"/>
        <v>EG</v>
      </c>
      <c r="S312" s="83">
        <f t="shared" si="188"/>
        <v>-0.25</v>
      </c>
      <c r="T312" s="84">
        <f>IF(VLOOKUP(Q312,'INFO BASE'!$B$40:$I$54,IF(R312='INFO BASE'!$B$32,3,IF(R312='INFO BASE'!$B$33,4,IF(R312='INFO BASE'!$B$34,5,IF(R312='INFO BASE'!$B$35,6,IF(R312='INFO BASE'!$B$36,7,IF(R312='INFO BASE'!$B$37,8,2)))))),0)=0,"",VLOOKUP(Q312,'INFO BASE'!$B$40:$I$54,IF(R312='INFO BASE'!$B$32,3,IF(R312='INFO BASE'!$B$33,4,IF(R312='INFO BASE'!$B$34,5,IF(R312='INFO BASE'!$B$35,6,IF(R312='INFO BASE'!$B$36,7,IF(R312='INFO BASE'!$B$37,8,2)))))),0))</f>
        <v>8</v>
      </c>
      <c r="U312" s="84">
        <f>IF(R312="","",COUNTIFS(SEMANA6,R312)*0.5)</f>
        <v>6</v>
      </c>
      <c r="V312" s="84">
        <f>IF(R312="","",COUNTIFS(AI294:AV341,R312)*0.5)</f>
        <v>6</v>
      </c>
      <c r="W312" s="85">
        <f>IF(AH290="","-",IF(V312=0,U312,IFERROR((U312/V312)-1,"-")))</f>
        <v>0</v>
      </c>
      <c r="X312" s="201">
        <f t="shared" si="189"/>
        <v>0</v>
      </c>
      <c r="Y312" s="277"/>
      <c r="Z312" s="278"/>
      <c r="AA312" s="278"/>
      <c r="AB312" s="278"/>
      <c r="AC312" s="278"/>
      <c r="AD312" s="278"/>
      <c r="AE312" s="278"/>
      <c r="AF312" s="279"/>
      <c r="AH312" s="136">
        <v>0.37500000000001199</v>
      </c>
      <c r="AI312" s="136" t="s">
        <v>9</v>
      </c>
      <c r="AJ312" s="136" t="s">
        <v>228</v>
      </c>
      <c r="AK312" s="136" t="s">
        <v>9</v>
      </c>
      <c r="AL312" s="136" t="s">
        <v>226</v>
      </c>
      <c r="AM312" s="136" t="s">
        <v>130</v>
      </c>
      <c r="AN312" s="136" t="s">
        <v>230</v>
      </c>
      <c r="AO312" s="136" t="s">
        <v>9</v>
      </c>
      <c r="AP312" s="136" t="s">
        <v>228</v>
      </c>
      <c r="AQ312" s="136" t="s">
        <v>9</v>
      </c>
      <c r="AR312" s="136" t="s">
        <v>224</v>
      </c>
      <c r="AS312" s="136" t="s">
        <v>116</v>
      </c>
      <c r="AT312" s="136" t="s">
        <v>120</v>
      </c>
      <c r="AU312" s="136" t="s">
        <v>116</v>
      </c>
      <c r="AV312" s="136" t="s">
        <v>120</v>
      </c>
      <c r="AX312" s="136" t="str">
        <f>IF(AI290="","",IF(B312="","",B312))</f>
        <v>AT</v>
      </c>
      <c r="AY312" s="136" t="str">
        <f>IF(AI290="","",IF(C312="","",C312))</f>
        <v>IAC</v>
      </c>
      <c r="AZ312" s="136" t="str">
        <f>IF(AI290="","",IF(D312="","",D312))</f>
        <v>AT</v>
      </c>
      <c r="BA312" s="136" t="str">
        <f>IF(AI290="","",IF(E312="","",E312))</f>
        <v>IEI</v>
      </c>
      <c r="BB312" s="136" t="str">
        <f>IF(AI290="","",IF(F312="","",F312))</f>
        <v>APB</v>
      </c>
      <c r="BC312" s="136" t="str">
        <f>IF(AI290="","",IF(G312="","",G312))</f>
        <v>AL</v>
      </c>
      <c r="BD312" s="136" t="str">
        <f>IF(AI290="","",IF(H312="","",H312))</f>
        <v>AT</v>
      </c>
      <c r="BE312" s="136" t="str">
        <f>IF(AI290="","",IF(I312="","",I312))</f>
        <v>IAC</v>
      </c>
      <c r="BF312" s="136" t="str">
        <f>IF(AI290="","",IF(J312="","",J312))</f>
        <v>AT</v>
      </c>
      <c r="BG312" s="136" t="str">
        <f>IF(AI290="","",IF(K312="","",K312))</f>
        <v>FP</v>
      </c>
      <c r="BH312" s="136" t="str">
        <f>IF(AI290="","",IF(L312="","",L312))</f>
        <v>PV</v>
      </c>
      <c r="BI312" s="136" t="str">
        <f>IF(AI290="","",IF(M312="","",M312))</f>
        <v>-</v>
      </c>
      <c r="BJ312" s="136" t="str">
        <f>IF(AI290="","",IF(N312="","",N312))</f>
        <v>HS</v>
      </c>
      <c r="BK312" s="136" t="str">
        <f>IF(AI290="","",IF(O312="","",O312))</f>
        <v>-</v>
      </c>
      <c r="BM312" s="136" t="str">
        <f t="shared" si="194"/>
        <v>EG</v>
      </c>
      <c r="BN312" s="136" t="str">
        <f t="shared" si="184"/>
        <v>Estudo em Grupo</v>
      </c>
      <c r="BO312" s="136" t="str">
        <f t="shared" si="184"/>
        <v>IAC</v>
      </c>
      <c r="BP312" s="136">
        <f>(COUNTIFS(AX294:AX341,BM312,AY294:AY341,BO312)+COUNTIFS(AZ294:AZ341,BM312,BA294:BA341,BO312)+COUNTIFS(BB294:BB341,BM312,BC294:BC341,BO312)+COUNTIFS(BD294:BD341,BM312,BE294:BE341,BO312)+COUNTIFS(BF294:BF341,BM312,BG294:BG341,BO312)+COUNTIFS(BH294:BH341,BM312,BI294:BI341,BO312)+COUNTIFS(BJ294:BJ341,BM312,BK294:BK341,BO312))*0.5</f>
        <v>2</v>
      </c>
      <c r="BQ312" s="136" t="str">
        <f t="shared" si="185"/>
        <v>Estudo em Grupo</v>
      </c>
      <c r="BR312" s="136" t="str">
        <f t="shared" si="185"/>
        <v>IAC</v>
      </c>
      <c r="BS312" s="136" t="str">
        <f t="shared" si="186"/>
        <v>Estudo em Grupo</v>
      </c>
      <c r="BT312" s="136">
        <f t="shared" si="192"/>
        <v>6</v>
      </c>
      <c r="BU312" s="136">
        <f t="shared" si="193"/>
        <v>10.5</v>
      </c>
      <c r="CA312" s="136">
        <f>'INFO BASE'!L392</f>
        <v>0</v>
      </c>
      <c r="CB312" s="136">
        <f>'INFO BASE'!M392</f>
        <v>0</v>
      </c>
      <c r="CR312" s="177" t="str">
        <f t="shared" si="174"/>
        <v>AT</v>
      </c>
      <c r="CS312" s="177" t="str">
        <f t="shared" si="175"/>
        <v>ATIAC</v>
      </c>
      <c r="CT312" s="177" t="str">
        <f t="shared" si="174"/>
        <v>AT</v>
      </c>
      <c r="CU312" s="177" t="str">
        <f t="shared" si="176"/>
        <v>ATIEI</v>
      </c>
      <c r="CV312" s="177" t="str">
        <f t="shared" si="174"/>
        <v>APB</v>
      </c>
      <c r="CW312" s="177" t="str">
        <f t="shared" si="177"/>
        <v>APBAL</v>
      </c>
      <c r="CX312" s="177" t="str">
        <f t="shared" si="174"/>
        <v>AT</v>
      </c>
      <c r="CY312" s="177" t="str">
        <f t="shared" si="178"/>
        <v>ATIAC</v>
      </c>
      <c r="CZ312" s="177" t="str">
        <f t="shared" si="174"/>
        <v>AT</v>
      </c>
      <c r="DA312" s="177" t="str">
        <f t="shared" si="179"/>
        <v>ATFP</v>
      </c>
      <c r="DB312" s="177" t="str">
        <f t="shared" si="174"/>
        <v>PV</v>
      </c>
      <c r="DC312" s="177">
        <f t="shared" si="180"/>
        <v>0</v>
      </c>
      <c r="DD312" s="177" t="str">
        <f t="shared" si="181"/>
        <v>HS</v>
      </c>
      <c r="DE312" s="177" t="str">
        <f t="shared" si="182"/>
        <v>HS-</v>
      </c>
    </row>
    <row r="313" spans="1:109" ht="18" customHeight="1" x14ac:dyDescent="0.3">
      <c r="A313" s="81">
        <v>0.39583333333334603</v>
      </c>
      <c r="B313" s="166" t="s">
        <v>9</v>
      </c>
      <c r="C313" s="130" t="s">
        <v>228</v>
      </c>
      <c r="D313" s="169" t="s">
        <v>9</v>
      </c>
      <c r="E313" s="130" t="s">
        <v>226</v>
      </c>
      <c r="F313" s="169" t="s">
        <v>130</v>
      </c>
      <c r="G313" s="130" t="s">
        <v>230</v>
      </c>
      <c r="H313" s="169" t="s">
        <v>9</v>
      </c>
      <c r="I313" s="130" t="s">
        <v>228</v>
      </c>
      <c r="J313" s="169" t="s">
        <v>9</v>
      </c>
      <c r="K313" s="130" t="s">
        <v>224</v>
      </c>
      <c r="L313" s="169" t="s">
        <v>116</v>
      </c>
      <c r="M313" s="130" t="s">
        <v>120</v>
      </c>
      <c r="N313" s="169" t="s">
        <v>10</v>
      </c>
      <c r="O313" s="154" t="s">
        <v>120</v>
      </c>
      <c r="P313" s="6">
        <v>0</v>
      </c>
      <c r="Q313" s="114" t="str">
        <f t="shared" ref="Q313:Q318" si="195">Q312</f>
        <v>Estudo em Grupo</v>
      </c>
      <c r="R313" s="105" t="str">
        <f t="shared" si="191"/>
        <v>FP</v>
      </c>
      <c r="S313" s="88">
        <f t="shared" si="188"/>
        <v>0</v>
      </c>
      <c r="T313" s="89">
        <f>IF(VLOOKUP(Q313,'INFO BASE'!$B$40:$I$54,IF(R313='INFO BASE'!$B$32,3,IF(R313='INFO BASE'!$B$33,4,IF(R313='INFO BASE'!$B$34,5,IF(R313='INFO BASE'!$B$35,6,IF(R313='INFO BASE'!$B$36,7,IF(R313='INFO BASE'!$B$37,8,2)))))),0)=0,"",VLOOKUP(Q313,'INFO BASE'!$B$40:$I$54,IF(R313='INFO BASE'!$B$32,3,IF(R313='INFO BASE'!$B$33,4,IF(R313='INFO BASE'!$B$34,5,IF(R313='INFO BASE'!$B$35,6,IF(R313='INFO BASE'!$B$36,7,IF(R313='INFO BASE'!$B$37,8,2)))))),0))</f>
        <v>2</v>
      </c>
      <c r="U313" s="89">
        <f>(COUNTIFS(C294:C341,R313,B294:B341,R312)+COUNTIFS(E294:E341,R313,D294:D341,R312)+COUNTIFS(G294:G341,R313,F294:F341,R312)+COUNTIFS(I294:I341,R313,H294:H341,R312)+COUNTIFS(K294:K341,R313,J294:J341,R312)+COUNTIFS(M294:M341,R313,L294:L341,R312)+COUNTIFS(O294:O341,R313,N294:N341,R312))*0.5</f>
        <v>2</v>
      </c>
      <c r="V313" s="89">
        <f>(COUNTIFS(AI294:AI341,R312,AJ294:AJ341,R306)+COUNTIFS(AK294:AK341,R312,AL294:AL341,R306)+COUNTIFS(AM294:AM341,R312,AN294:AN341,R306)+COUNTIFS(AO294:AO341,R312,AP294:AP341,R306)+COUNTIFS(AQ294:AQ341,R312,AR294:AR341,R306)+COUNTIFS(AS294:AS341,R312,AT294:AT341,R306)+COUNTIFS(AU294:AU341,R312,AV294:AV341,R306))*0.5</f>
        <v>2</v>
      </c>
      <c r="W313" s="90">
        <f>IF(AH290="","-",IF(V313=0,U313,IFERROR((U313/V313)-1,"-")))</f>
        <v>0</v>
      </c>
      <c r="X313" s="201">
        <f t="shared" si="189"/>
        <v>0</v>
      </c>
      <c r="Y313" s="271"/>
      <c r="Z313" s="272"/>
      <c r="AA313" s="272"/>
      <c r="AB313" s="272"/>
      <c r="AC313" s="272"/>
      <c r="AD313" s="272"/>
      <c r="AE313" s="272"/>
      <c r="AF313" s="273"/>
      <c r="AH313" s="136">
        <v>0.39583333333334603</v>
      </c>
      <c r="AI313" s="136" t="s">
        <v>9</v>
      </c>
      <c r="AJ313" s="136" t="s">
        <v>228</v>
      </c>
      <c r="AK313" s="136" t="s">
        <v>9</v>
      </c>
      <c r="AL313" s="136" t="s">
        <v>226</v>
      </c>
      <c r="AM313" s="136" t="s">
        <v>130</v>
      </c>
      <c r="AN313" s="136" t="s">
        <v>230</v>
      </c>
      <c r="AO313" s="136" t="s">
        <v>9</v>
      </c>
      <c r="AP313" s="136" t="s">
        <v>228</v>
      </c>
      <c r="AQ313" s="136" t="s">
        <v>9</v>
      </c>
      <c r="AR313" s="136" t="s">
        <v>224</v>
      </c>
      <c r="AS313" s="136" t="s">
        <v>116</v>
      </c>
      <c r="AT313" s="136" t="s">
        <v>120</v>
      </c>
      <c r="AU313" s="136" t="s">
        <v>116</v>
      </c>
      <c r="AV313" s="136" t="s">
        <v>120</v>
      </c>
      <c r="AX313" s="136" t="str">
        <f>IF(AI290="","",IF(B313="","",B313))</f>
        <v>AT</v>
      </c>
      <c r="AY313" s="136" t="str">
        <f>IF(AI290="","",IF(C313="","",C313))</f>
        <v>IAC</v>
      </c>
      <c r="AZ313" s="136" t="str">
        <f>IF(AI290="","",IF(D313="","",D313))</f>
        <v>AT</v>
      </c>
      <c r="BA313" s="136" t="str">
        <f>IF(AI290="","",IF(E313="","",E313))</f>
        <v>IEI</v>
      </c>
      <c r="BB313" s="136" t="str">
        <f>IF(AI290="","",IF(F313="","",F313))</f>
        <v>APB</v>
      </c>
      <c r="BC313" s="136" t="str">
        <f>IF(AI290="","",IF(G313="","",G313))</f>
        <v>AL</v>
      </c>
      <c r="BD313" s="136" t="str">
        <f>IF(AI290="","",IF(H313="","",H313))</f>
        <v>AT</v>
      </c>
      <c r="BE313" s="136" t="str">
        <f>IF(AI290="","",IF(I313="","",I313))</f>
        <v>IAC</v>
      </c>
      <c r="BF313" s="136" t="str">
        <f>IF(AI290="","",IF(J313="","",J313))</f>
        <v>AT</v>
      </c>
      <c r="BG313" s="136" t="str">
        <f>IF(AI290="","",IF(K313="","",K313))</f>
        <v>FP</v>
      </c>
      <c r="BH313" s="136" t="str">
        <f>IF(AI290="","",IF(L313="","",L313))</f>
        <v>PV</v>
      </c>
      <c r="BI313" s="136" t="str">
        <f>IF(AI290="","",IF(M313="","",M313))</f>
        <v>-</v>
      </c>
      <c r="BJ313" s="136" t="str">
        <f>IF(AI290="","",IF(N313="","",N313))</f>
        <v>HS</v>
      </c>
      <c r="BK313" s="136" t="str">
        <f>IF(AI290="","",IF(O313="","",O313))</f>
        <v>-</v>
      </c>
      <c r="BM313" s="136" t="str">
        <f t="shared" si="194"/>
        <v>EG</v>
      </c>
      <c r="BN313" s="136" t="str">
        <f t="shared" si="184"/>
        <v>Estudo em Grupo</v>
      </c>
      <c r="BO313" s="136" t="str">
        <f t="shared" si="184"/>
        <v>AL</v>
      </c>
      <c r="BP313" s="136">
        <f>(COUNTIFS(AX294:AX341,BM313,AY294:AY341,BO313)+COUNTIFS(AZ294:AZ341,BM313,BA294:BA341,BO313)+COUNTIFS(BB294:BB341,BM313,BC294:BC341,BO313)+COUNTIFS(BD294:BD341,BM313,BE294:BE341,BO313)+COUNTIFS(BF294:BF341,BM313,BG294:BG341,BO313)+COUNTIFS(BH294:BH341,BM313,BI294:BI341,BO313)+COUNTIFS(BJ294:BJ341,BM313,BK294:BK341,BO313))*0.5</f>
        <v>2</v>
      </c>
      <c r="BQ313" s="136" t="str">
        <f t="shared" si="185"/>
        <v>Estudo em Grupo</v>
      </c>
      <c r="BR313" s="136" t="str">
        <f t="shared" si="185"/>
        <v>AL</v>
      </c>
      <c r="BS313" s="136" t="str">
        <f t="shared" si="186"/>
        <v>Estudo em Grupo</v>
      </c>
      <c r="BT313" s="136">
        <f t="shared" si="192"/>
        <v>16.5</v>
      </c>
      <c r="BU313" s="136">
        <f t="shared" si="193"/>
        <v>17.5</v>
      </c>
      <c r="CA313" s="136">
        <f>'INFO BASE'!L393</f>
        <v>0</v>
      </c>
      <c r="CB313" s="136">
        <f>'INFO BASE'!M393</f>
        <v>0</v>
      </c>
      <c r="CR313" s="177" t="str">
        <f t="shared" si="174"/>
        <v>AT</v>
      </c>
      <c r="CS313" s="177" t="str">
        <f t="shared" si="175"/>
        <v>ATIAC</v>
      </c>
      <c r="CT313" s="177" t="str">
        <f t="shared" si="174"/>
        <v>AT</v>
      </c>
      <c r="CU313" s="177" t="str">
        <f t="shared" si="176"/>
        <v>ATIEI</v>
      </c>
      <c r="CV313" s="177" t="str">
        <f t="shared" si="174"/>
        <v>APB</v>
      </c>
      <c r="CW313" s="177" t="str">
        <f t="shared" si="177"/>
        <v>APBAL</v>
      </c>
      <c r="CX313" s="177" t="str">
        <f t="shared" si="174"/>
        <v>AT</v>
      </c>
      <c r="CY313" s="177" t="str">
        <f t="shared" si="178"/>
        <v>ATIAC</v>
      </c>
      <c r="CZ313" s="177" t="str">
        <f t="shared" si="174"/>
        <v>AT</v>
      </c>
      <c r="DA313" s="177" t="str">
        <f t="shared" si="179"/>
        <v>ATFP</v>
      </c>
      <c r="DB313" s="177" t="str">
        <f t="shared" si="174"/>
        <v>PV</v>
      </c>
      <c r="DC313" s="177">
        <f t="shared" si="180"/>
        <v>0</v>
      </c>
      <c r="DD313" s="177" t="str">
        <f t="shared" si="181"/>
        <v>HS</v>
      </c>
      <c r="DE313" s="177" t="str">
        <f t="shared" si="182"/>
        <v>HS-</v>
      </c>
    </row>
    <row r="314" spans="1:109" ht="18" customHeight="1" x14ac:dyDescent="0.3">
      <c r="A314" s="81">
        <v>0.41666666666668001</v>
      </c>
      <c r="B314" s="166" t="s">
        <v>9</v>
      </c>
      <c r="C314" s="130" t="s">
        <v>228</v>
      </c>
      <c r="D314" s="169" t="s">
        <v>9</v>
      </c>
      <c r="E314" s="130" t="s">
        <v>226</v>
      </c>
      <c r="F314" s="169" t="s">
        <v>9</v>
      </c>
      <c r="G314" s="130" t="s">
        <v>224</v>
      </c>
      <c r="H314" s="169" t="s">
        <v>9</v>
      </c>
      <c r="I314" s="130" t="s">
        <v>228</v>
      </c>
      <c r="J314" s="169" t="s">
        <v>9</v>
      </c>
      <c r="K314" s="130" t="s">
        <v>224</v>
      </c>
      <c r="L314" s="169" t="s">
        <v>116</v>
      </c>
      <c r="M314" s="130" t="s">
        <v>120</v>
      </c>
      <c r="N314" s="169" t="s">
        <v>10</v>
      </c>
      <c r="O314" s="154" t="s">
        <v>120</v>
      </c>
      <c r="P314" s="6">
        <v>0</v>
      </c>
      <c r="Q314" s="114" t="str">
        <f t="shared" si="195"/>
        <v>Estudo em Grupo</v>
      </c>
      <c r="R314" s="105" t="str">
        <f t="shared" si="191"/>
        <v>IEI</v>
      </c>
      <c r="S314" s="88" t="str">
        <f t="shared" si="188"/>
        <v>-</v>
      </c>
      <c r="T314" s="89" t="str">
        <f>IF(VLOOKUP(Q314,'INFO BASE'!$B$40:$I$54,IF(R314='INFO BASE'!$B$32,3,IF(R314='INFO BASE'!$B$33,4,IF(R314='INFO BASE'!$B$34,5,IF(R314='INFO BASE'!$B$35,6,IF(R314='INFO BASE'!$B$36,7,IF(R314='INFO BASE'!$B$37,8,2)))))),0)=0,"",VLOOKUP(Q314,'INFO BASE'!$B$40:$I$54,IF(R314='INFO BASE'!$B$32,3,IF(R314='INFO BASE'!$B$33,4,IF(R314='INFO BASE'!$B$34,5,IF(R314='INFO BASE'!$B$35,6,IF(R314='INFO BASE'!$B$36,7,IF(R314='INFO BASE'!$B$37,8,2)))))),0))</f>
        <v/>
      </c>
      <c r="U314" s="89">
        <f>(COUNTIFS(C294:C341,R314,B294:B341,R312)+COUNTIFS(E294:E341,R314,D294:D341,R312)+COUNTIFS(G294:G341,R314,F294:F341,R312)+COUNTIFS(I294:I341,R314,H294:H341,R312)+COUNTIFS(K294:K341,R314,J294:J341,R312)+COUNTIFS(M294:M341,R314,L294:L341,R312)+COUNTIFS(O294:O341,R314,N294:N341,R312))*0.5</f>
        <v>0</v>
      </c>
      <c r="V314" s="89">
        <f>(COUNTIFS(AI294:AI341,R312,AJ294:AJ341,R307)+COUNTIFS(AK294:AK341,R312,AL294:AL341,R307)+COUNTIFS(AM294:AM341,R312,AN294:AN341,R307)+COUNTIFS(AO294:AO341,R312,AP294:AP341,R307)+COUNTIFS(AQ294:AQ341,R312,AR294:AR341,R307)+COUNTIFS(AS294:AS341,R312,AT294:AT341,R307)+COUNTIFS(AU294:AU341,R312,AV294:AV341,R307))*0.5</f>
        <v>0</v>
      </c>
      <c r="W314" s="90">
        <f>IF(AH290="","-",IF(V314=0,U314,IFERROR((U314/V314)-1,"-")))</f>
        <v>0</v>
      </c>
      <c r="X314" s="201">
        <f t="shared" si="189"/>
        <v>0</v>
      </c>
      <c r="Y314" s="271"/>
      <c r="Z314" s="272"/>
      <c r="AA314" s="272"/>
      <c r="AB314" s="272"/>
      <c r="AC314" s="272"/>
      <c r="AD314" s="272"/>
      <c r="AE314" s="272"/>
      <c r="AF314" s="273"/>
      <c r="AH314" s="136">
        <v>0.41666666666668001</v>
      </c>
      <c r="AI314" s="136" t="s">
        <v>9</v>
      </c>
      <c r="AJ314" s="136" t="s">
        <v>228</v>
      </c>
      <c r="AK314" s="136" t="s">
        <v>9</v>
      </c>
      <c r="AL314" s="136" t="s">
        <v>226</v>
      </c>
      <c r="AM314" s="136" t="s">
        <v>9</v>
      </c>
      <c r="AN314" s="136" t="s">
        <v>224</v>
      </c>
      <c r="AO314" s="136" t="s">
        <v>9</v>
      </c>
      <c r="AP314" s="136" t="s">
        <v>228</v>
      </c>
      <c r="AQ314" s="136" t="s">
        <v>9</v>
      </c>
      <c r="AR314" s="136" t="s">
        <v>224</v>
      </c>
      <c r="AS314" s="136" t="s">
        <v>116</v>
      </c>
      <c r="AT314" s="136" t="s">
        <v>120</v>
      </c>
      <c r="AU314" s="136" t="s">
        <v>116</v>
      </c>
      <c r="AV314" s="136" t="s">
        <v>120</v>
      </c>
      <c r="AX314" s="136" t="str">
        <f>IF(AI290="","",IF(B314="","",B314))</f>
        <v>AT</v>
      </c>
      <c r="AY314" s="136" t="str">
        <f>IF(AI290="","",IF(C314="","",C314))</f>
        <v>IAC</v>
      </c>
      <c r="AZ314" s="136" t="str">
        <f>IF(AI290="","",IF(D314="","",D314))</f>
        <v>AT</v>
      </c>
      <c r="BA314" s="136" t="str">
        <f>IF(AI290="","",IF(E314="","",E314))</f>
        <v>IEI</v>
      </c>
      <c r="BB314" s="136" t="str">
        <f>IF(AI290="","",IF(F314="","",F314))</f>
        <v>AT</v>
      </c>
      <c r="BC314" s="136" t="str">
        <f>IF(AI290="","",IF(G314="","",G314))</f>
        <v>FP</v>
      </c>
      <c r="BD314" s="136" t="str">
        <f>IF(AI290="","",IF(H314="","",H314))</f>
        <v>AT</v>
      </c>
      <c r="BE314" s="136" t="str">
        <f>IF(AI290="","",IF(I314="","",I314))</f>
        <v>IAC</v>
      </c>
      <c r="BF314" s="136" t="str">
        <f>IF(AI290="","",IF(J314="","",J314))</f>
        <v>AT</v>
      </c>
      <c r="BG314" s="136" t="str">
        <f>IF(AI290="","",IF(K314="","",K314))</f>
        <v>FP</v>
      </c>
      <c r="BH314" s="136" t="str">
        <f>IF(AI290="","",IF(L314="","",L314))</f>
        <v>PV</v>
      </c>
      <c r="BI314" s="136" t="str">
        <f>IF(AI290="","",IF(M314="","",M314))</f>
        <v>-</v>
      </c>
      <c r="BJ314" s="136" t="str">
        <f>IF(AI290="","",IF(N314="","",N314))</f>
        <v>HS</v>
      </c>
      <c r="BK314" s="136" t="str">
        <f>IF(AI290="","",IF(O314="","",O314))</f>
        <v>-</v>
      </c>
      <c r="BM314" s="136" t="str">
        <f t="shared" si="194"/>
        <v>EG</v>
      </c>
      <c r="BN314" s="136" t="str">
        <f t="shared" si="184"/>
        <v>Estudo em Grupo</v>
      </c>
      <c r="BO314" s="136" t="str">
        <f t="shared" si="184"/>
        <v>CDI</v>
      </c>
      <c r="BP314" s="136">
        <f>(COUNTIFS(AX294:AX341,BM314,AY294:AY341,BO314)+COUNTIFS(AZ294:AZ341,BM314,BA294:BA341,BO314)+COUNTIFS(BB294:BB341,BM314,BC294:BC341,BO314)+COUNTIFS(BD294:BD341,BM314,BE294:BE341,BO314)+COUNTIFS(BF294:BF341,BM314,BG294:BG341,BO314)+COUNTIFS(BH294:BH341,BM314,BI294:BI341,BO314)+COUNTIFS(BJ294:BJ341,BM314,BK294:BK341,BO314))*0.5</f>
        <v>0</v>
      </c>
      <c r="BQ314" s="136" t="str">
        <f t="shared" si="185"/>
        <v>Estudo em Grupo</v>
      </c>
      <c r="BR314" s="136" t="str">
        <f t="shared" si="185"/>
        <v>CDI</v>
      </c>
      <c r="BS314" s="136" t="str">
        <f t="shared" si="186"/>
        <v>Estudo em Grupo</v>
      </c>
      <c r="BT314" s="136">
        <f t="shared" si="192"/>
        <v>10.5</v>
      </c>
      <c r="BU314" s="136">
        <f t="shared" si="193"/>
        <v>8.5</v>
      </c>
      <c r="CA314" s="136">
        <f>'INFO BASE'!L394</f>
        <v>0</v>
      </c>
      <c r="CB314" s="136">
        <f>'INFO BASE'!M394</f>
        <v>0</v>
      </c>
      <c r="CR314" s="177" t="str">
        <f t="shared" si="174"/>
        <v>AT</v>
      </c>
      <c r="CS314" s="177" t="str">
        <f t="shared" si="175"/>
        <v>ATIAC</v>
      </c>
      <c r="CT314" s="177" t="str">
        <f t="shared" si="174"/>
        <v>AT</v>
      </c>
      <c r="CU314" s="177" t="str">
        <f t="shared" si="176"/>
        <v>ATIEI</v>
      </c>
      <c r="CV314" s="177" t="str">
        <f t="shared" si="174"/>
        <v>AT</v>
      </c>
      <c r="CW314" s="177" t="str">
        <f t="shared" si="177"/>
        <v>ATFP</v>
      </c>
      <c r="CX314" s="177" t="str">
        <f t="shared" si="174"/>
        <v>AT</v>
      </c>
      <c r="CY314" s="177" t="str">
        <f t="shared" si="178"/>
        <v>ATIAC</v>
      </c>
      <c r="CZ314" s="177" t="str">
        <f t="shared" si="174"/>
        <v>AT</v>
      </c>
      <c r="DA314" s="177" t="str">
        <f t="shared" si="179"/>
        <v>ATFP</v>
      </c>
      <c r="DB314" s="177" t="str">
        <f t="shared" si="174"/>
        <v>PV</v>
      </c>
      <c r="DC314" s="177">
        <f t="shared" si="180"/>
        <v>0</v>
      </c>
      <c r="DD314" s="177" t="str">
        <f t="shared" si="181"/>
        <v>HS</v>
      </c>
      <c r="DE314" s="177" t="str">
        <f t="shared" si="182"/>
        <v>HS-</v>
      </c>
    </row>
    <row r="315" spans="1:109" ht="18" customHeight="1" x14ac:dyDescent="0.3">
      <c r="A315" s="81">
        <v>0.43750000000001399</v>
      </c>
      <c r="B315" s="166" t="s">
        <v>130</v>
      </c>
      <c r="C315" s="130" t="s">
        <v>231</v>
      </c>
      <c r="D315" s="169" t="s">
        <v>9</v>
      </c>
      <c r="E315" s="130" t="s">
        <v>226</v>
      </c>
      <c r="F315" s="169" t="s">
        <v>9</v>
      </c>
      <c r="G315" s="130" t="s">
        <v>224</v>
      </c>
      <c r="H315" s="169" t="s">
        <v>132</v>
      </c>
      <c r="I315" s="130" t="s">
        <v>228</v>
      </c>
      <c r="J315" s="169" t="s">
        <v>9</v>
      </c>
      <c r="K315" s="130" t="s">
        <v>230</v>
      </c>
      <c r="L315" s="169" t="s">
        <v>116</v>
      </c>
      <c r="M315" s="130" t="s">
        <v>120</v>
      </c>
      <c r="N315" s="169" t="s">
        <v>10</v>
      </c>
      <c r="O315" s="154" t="s">
        <v>120</v>
      </c>
      <c r="P315" s="6">
        <v>0</v>
      </c>
      <c r="Q315" s="115" t="str">
        <f t="shared" si="195"/>
        <v>Estudo em Grupo</v>
      </c>
      <c r="R315" s="105" t="str">
        <f t="shared" si="191"/>
        <v>IAC</v>
      </c>
      <c r="S315" s="88">
        <f t="shared" si="188"/>
        <v>0</v>
      </c>
      <c r="T315" s="89">
        <f>IF(VLOOKUP(Q315,'INFO BASE'!$B$40:$I$54,IF(R315='INFO BASE'!$B$32,3,IF(R315='INFO BASE'!$B$33,4,IF(R315='INFO BASE'!$B$34,5,IF(R315='INFO BASE'!$B$35,6,IF(R315='INFO BASE'!$B$36,7,IF(R315='INFO BASE'!$B$37,8,2)))))),0)=0,"",VLOOKUP(Q315,'INFO BASE'!$B$40:$I$54,IF(R315='INFO BASE'!$B$32,3,IF(R315='INFO BASE'!$B$33,4,IF(R315='INFO BASE'!$B$34,5,IF(R315='INFO BASE'!$B$35,6,IF(R315='INFO BASE'!$B$36,7,IF(R315='INFO BASE'!$B$37,8,2)))))),0))</f>
        <v>2</v>
      </c>
      <c r="U315" s="89">
        <f>(COUNTIFS(C294:C341,R315,B294:B341,R312)+COUNTIFS(E294:E341,R315,D294:D341,R312)+COUNTIFS(G294:G341,R315,F294:F341,R312)+COUNTIFS(I294:I341,R315,H294:H341,R312)+COUNTIFS(K294:K341,R315,J294:J341,R312)+COUNTIFS(M294:M341,R315,L294:L341,R312)+COUNTIFS(O294:O341,R315,N294:N341,R312))*0.5</f>
        <v>2</v>
      </c>
      <c r="V315" s="89">
        <f>(COUNTIFS(AI294:AI341,R312,AJ294:AJ341,R308)+COUNTIFS(AK294:AK341,R312,AL294:AL341,R308)+COUNTIFS(AM294:AM341,R312,AN294:AN341,R308)+COUNTIFS(AO294:AO341,R312,AP294:AP341,R308)+COUNTIFS(AQ294:AQ341,R312,AR294:AR341,R308)+COUNTIFS(AS294:AS341,R312,AT294:AT341,R308)+COUNTIFS(AU294:AU341,R312,AV294:AV341,R308))*0.5</f>
        <v>2</v>
      </c>
      <c r="W315" s="90">
        <f>IF(AH290="","-",IF(V315=0,U315,IFERROR((U315/V315)-1,"-")))</f>
        <v>0</v>
      </c>
      <c r="X315" s="201">
        <f t="shared" si="189"/>
        <v>0</v>
      </c>
      <c r="Y315" s="271"/>
      <c r="Z315" s="272"/>
      <c r="AA315" s="272"/>
      <c r="AB315" s="272"/>
      <c r="AC315" s="272"/>
      <c r="AD315" s="272"/>
      <c r="AE315" s="272"/>
      <c r="AF315" s="273"/>
      <c r="AH315" s="136">
        <v>0.43750000000001399</v>
      </c>
      <c r="AI315" s="136" t="s">
        <v>130</v>
      </c>
      <c r="AJ315" s="136" t="s">
        <v>231</v>
      </c>
      <c r="AK315" s="136" t="s">
        <v>9</v>
      </c>
      <c r="AL315" s="136" t="s">
        <v>226</v>
      </c>
      <c r="AM315" s="136" t="s">
        <v>9</v>
      </c>
      <c r="AN315" s="136" t="s">
        <v>224</v>
      </c>
      <c r="AO315" s="136" t="s">
        <v>132</v>
      </c>
      <c r="AP315" s="136" t="s">
        <v>228</v>
      </c>
      <c r="AQ315" s="136" t="s">
        <v>9</v>
      </c>
      <c r="AR315" s="136" t="s">
        <v>230</v>
      </c>
      <c r="AS315" s="136" t="s">
        <v>116</v>
      </c>
      <c r="AT315" s="136" t="s">
        <v>120</v>
      </c>
      <c r="AU315" s="136" t="s">
        <v>116</v>
      </c>
      <c r="AV315" s="136" t="s">
        <v>120</v>
      </c>
      <c r="AX315" s="136" t="str">
        <f>IF(AI290="","",IF(B315="","",B315))</f>
        <v>APB</v>
      </c>
      <c r="AY315" s="136" t="str">
        <f>IF(AI290="","",IF(C315="","",C315))</f>
        <v>CDI</v>
      </c>
      <c r="AZ315" s="136" t="str">
        <f>IF(AI290="","",IF(D315="","",D315))</f>
        <v>AT</v>
      </c>
      <c r="BA315" s="136" t="str">
        <f>IF(AI290="","",IF(E315="","",E315))</f>
        <v>IEI</v>
      </c>
      <c r="BB315" s="136" t="str">
        <f>IF(AI290="","",IF(F315="","",F315))</f>
        <v>AT</v>
      </c>
      <c r="BC315" s="136" t="str">
        <f>IF(AI290="","",IF(G315="","",G315))</f>
        <v>FP</v>
      </c>
      <c r="BD315" s="136" t="str">
        <f>IF(AI290="","",IF(H315="","",H315))</f>
        <v>LAB</v>
      </c>
      <c r="BE315" s="136" t="str">
        <f>IF(AI290="","",IF(I315="","",I315))</f>
        <v>IAC</v>
      </c>
      <c r="BF315" s="136" t="str">
        <f>IF(AI290="","",IF(J315="","",J315))</f>
        <v>AT</v>
      </c>
      <c r="BG315" s="136" t="str">
        <f>IF(AI290="","",IF(K315="","",K315))</f>
        <v>AL</v>
      </c>
      <c r="BH315" s="136" t="str">
        <f>IF(AI290="","",IF(L315="","",L315))</f>
        <v>PV</v>
      </c>
      <c r="BI315" s="136" t="str">
        <f>IF(AI290="","",IF(M315="","",M315))</f>
        <v>-</v>
      </c>
      <c r="BJ315" s="136" t="str">
        <f>IF(AI290="","",IF(N315="","",N315))</f>
        <v>HS</v>
      </c>
      <c r="BK315" s="136" t="str">
        <f>IF(AI290="","",IF(O315="","",O315))</f>
        <v>-</v>
      </c>
      <c r="BM315" s="136" t="str">
        <f t="shared" si="194"/>
        <v>EG</v>
      </c>
      <c r="BN315" s="136" t="str">
        <f t="shared" si="184"/>
        <v>Estudo em Grupo</v>
      </c>
      <c r="BO315" s="136" t="str">
        <f t="shared" si="184"/>
        <v/>
      </c>
      <c r="BP315" s="136">
        <f>(COUNTIFS(AX294:AX341,BM315,AY294:AY341,BO315)+COUNTIFS(AZ294:AZ341,BM315,BA294:BA341,BO315)+COUNTIFS(BB294:BB341,BM315,BC294:BC341,BO315)+COUNTIFS(BD294:BD341,BM315,BE294:BE341,BO315)+COUNTIFS(BF294:BF341,BM315,BG294:BG341,BO315)+COUNTIFS(BH294:BH341,BM315,BI294:BI341,BO315)+COUNTIFS(BJ294:BJ341,BM315,BK294:BK341,BO315))*0.5</f>
        <v>0</v>
      </c>
      <c r="BQ315" s="136" t="str">
        <f t="shared" si="185"/>
        <v>Estudo em Grupo</v>
      </c>
      <c r="BR315" s="136" t="str">
        <f t="shared" si="185"/>
        <v/>
      </c>
      <c r="BS315" s="136" t="str">
        <f t="shared" si="186"/>
        <v>Estudo em Grupo</v>
      </c>
      <c r="BT315" s="136">
        <f t="shared" si="192"/>
        <v>0</v>
      </c>
      <c r="BU315" s="136">
        <f t="shared" si="193"/>
        <v>0</v>
      </c>
      <c r="CA315" s="136">
        <f>'INFO BASE'!L395</f>
        <v>0</v>
      </c>
      <c r="CB315" s="136">
        <f>'INFO BASE'!M395</f>
        <v>0</v>
      </c>
      <c r="CR315" s="177" t="str">
        <f t="shared" si="174"/>
        <v>APB</v>
      </c>
      <c r="CS315" s="177" t="str">
        <f t="shared" si="175"/>
        <v>APBCDI</v>
      </c>
      <c r="CT315" s="177" t="str">
        <f t="shared" si="174"/>
        <v>AT</v>
      </c>
      <c r="CU315" s="177" t="str">
        <f t="shared" si="176"/>
        <v>ATIEI</v>
      </c>
      <c r="CV315" s="177" t="str">
        <f t="shared" si="174"/>
        <v>AT</v>
      </c>
      <c r="CW315" s="177" t="str">
        <f t="shared" si="177"/>
        <v>ATFP</v>
      </c>
      <c r="CX315" s="177" t="str">
        <f t="shared" si="174"/>
        <v>LAB</v>
      </c>
      <c r="CY315" s="177" t="str">
        <f t="shared" si="178"/>
        <v>LABIAC</v>
      </c>
      <c r="CZ315" s="177" t="str">
        <f t="shared" si="174"/>
        <v>AT</v>
      </c>
      <c r="DA315" s="177" t="str">
        <f t="shared" si="179"/>
        <v>ATAL</v>
      </c>
      <c r="DB315" s="177" t="str">
        <f t="shared" si="174"/>
        <v>PV</v>
      </c>
      <c r="DC315" s="177">
        <f t="shared" si="180"/>
        <v>0</v>
      </c>
      <c r="DD315" s="177" t="str">
        <f t="shared" si="181"/>
        <v>HS</v>
      </c>
      <c r="DE315" s="177" t="str">
        <f t="shared" si="182"/>
        <v>HS-</v>
      </c>
    </row>
    <row r="316" spans="1:109" ht="18" customHeight="1" x14ac:dyDescent="0.3">
      <c r="A316" s="81">
        <v>0.45833333333334803</v>
      </c>
      <c r="B316" s="166" t="s">
        <v>130</v>
      </c>
      <c r="C316" s="130" t="s">
        <v>231</v>
      </c>
      <c r="D316" s="169" t="s">
        <v>9</v>
      </c>
      <c r="E316" s="130" t="s">
        <v>226</v>
      </c>
      <c r="F316" s="169" t="s">
        <v>9</v>
      </c>
      <c r="G316" s="130" t="s">
        <v>224</v>
      </c>
      <c r="H316" s="169" t="s">
        <v>132</v>
      </c>
      <c r="I316" s="130" t="s">
        <v>228</v>
      </c>
      <c r="J316" s="169" t="s">
        <v>9</v>
      </c>
      <c r="K316" s="130" t="s">
        <v>230</v>
      </c>
      <c r="L316" s="169" t="s">
        <v>116</v>
      </c>
      <c r="M316" s="130" t="s">
        <v>120</v>
      </c>
      <c r="N316" s="169" t="s">
        <v>10</v>
      </c>
      <c r="O316" s="154" t="s">
        <v>120</v>
      </c>
      <c r="P316" s="6">
        <v>0</v>
      </c>
      <c r="Q316" s="114" t="str">
        <f t="shared" si="195"/>
        <v>Estudo em Grupo</v>
      </c>
      <c r="R316" s="105" t="str">
        <f t="shared" si="191"/>
        <v>AL</v>
      </c>
      <c r="S316" s="88">
        <f t="shared" si="188"/>
        <v>0</v>
      </c>
      <c r="T316" s="89">
        <f>IF(VLOOKUP(Q316,'INFO BASE'!$B$40:$I$54,IF(R316='INFO BASE'!$B$32,3,IF(R316='INFO BASE'!$B$33,4,IF(R316='INFO BASE'!$B$34,5,IF(R316='INFO BASE'!$B$35,6,IF(R316='INFO BASE'!$B$36,7,IF(R316='INFO BASE'!$B$37,8,2)))))),0)=0,"",VLOOKUP(Q316,'INFO BASE'!$B$40:$I$54,IF(R316='INFO BASE'!$B$32,3,IF(R316='INFO BASE'!$B$33,4,IF(R316='INFO BASE'!$B$34,5,IF(R316='INFO BASE'!$B$35,6,IF(R316='INFO BASE'!$B$36,7,IF(R316='INFO BASE'!$B$37,8,2)))))),0))</f>
        <v>2</v>
      </c>
      <c r="U316" s="89">
        <f>(COUNTIFS(C294:C341,R316,B294:B341,R312)+COUNTIFS(E294:E341,R316,D294:D341,R312)+COUNTIFS(G294:G341,R316,F294:F341,R312)+COUNTIFS(I294:I341,R316,H294:H341,R312)+COUNTIFS(K294:K341,R316,J294:J341,R312)+COUNTIFS(M294:M341,R316,L294:L341,R312)+COUNTIFS(O294:O341,R316,N294:N341,R312))*0.5</f>
        <v>2</v>
      </c>
      <c r="V316" s="89">
        <f>(COUNTIFS(AI294:AI341,R312,AJ294:AJ341,R309)+COUNTIFS(AK294:AK341,R312,AL294:AL341,R309)+COUNTIFS(AM294:AM341,R312,AN294:AN341,R309)+COUNTIFS(AO294:AO341,R312,AP294:AP341,R309)+COUNTIFS(AQ294:AQ341,R312,AR294:AR341,R309)+COUNTIFS(AS294:AS341,R312,AT294:AT341,R309)+COUNTIFS(AU294:AU341,R312,AV294:AV341,R309))*0.5</f>
        <v>2</v>
      </c>
      <c r="W316" s="90">
        <f>IF(AH290="","-",IF(V316=0,U316,IFERROR((U316/V316)-1,"-")))</f>
        <v>0</v>
      </c>
      <c r="X316" s="201">
        <f t="shared" si="189"/>
        <v>0</v>
      </c>
      <c r="Y316" s="271"/>
      <c r="Z316" s="272"/>
      <c r="AA316" s="272"/>
      <c r="AB316" s="272"/>
      <c r="AC316" s="272"/>
      <c r="AD316" s="272"/>
      <c r="AE316" s="272"/>
      <c r="AF316" s="273"/>
      <c r="AH316" s="136">
        <v>0.45833333333334803</v>
      </c>
      <c r="AI316" s="136" t="s">
        <v>130</v>
      </c>
      <c r="AJ316" s="136" t="s">
        <v>231</v>
      </c>
      <c r="AK316" s="136" t="s">
        <v>9</v>
      </c>
      <c r="AL316" s="136" t="s">
        <v>226</v>
      </c>
      <c r="AM316" s="136" t="s">
        <v>9</v>
      </c>
      <c r="AN316" s="136" t="s">
        <v>224</v>
      </c>
      <c r="AO316" s="136" t="s">
        <v>132</v>
      </c>
      <c r="AP316" s="136" t="s">
        <v>228</v>
      </c>
      <c r="AQ316" s="136" t="s">
        <v>9</v>
      </c>
      <c r="AR316" s="136" t="s">
        <v>230</v>
      </c>
      <c r="AS316" s="136" t="s">
        <v>116</v>
      </c>
      <c r="AT316" s="136" t="s">
        <v>120</v>
      </c>
      <c r="AU316" s="136" t="s">
        <v>116</v>
      </c>
      <c r="AV316" s="136" t="s">
        <v>120</v>
      </c>
      <c r="AX316" s="136" t="str">
        <f>IF(AI290="","",IF(B316="","",B316))</f>
        <v>APB</v>
      </c>
      <c r="AY316" s="136" t="str">
        <f>IF(AI290="","",IF(C316="","",C316))</f>
        <v>CDI</v>
      </c>
      <c r="AZ316" s="136" t="str">
        <f>IF(AI290="","",IF(D316="","",D316))</f>
        <v>AT</v>
      </c>
      <c r="BA316" s="136" t="str">
        <f>IF(AI290="","",IF(E316="","",E316))</f>
        <v>IEI</v>
      </c>
      <c r="BB316" s="136" t="str">
        <f>IF(AI290="","",IF(F316="","",F316))</f>
        <v>AT</v>
      </c>
      <c r="BC316" s="136" t="str">
        <f>IF(AI290="","",IF(G316="","",G316))</f>
        <v>FP</v>
      </c>
      <c r="BD316" s="136" t="str">
        <f>IF(AI290="","",IF(H316="","",H316))</f>
        <v>LAB</v>
      </c>
      <c r="BE316" s="136" t="str">
        <f>IF(AI290="","",IF(I316="","",I316))</f>
        <v>IAC</v>
      </c>
      <c r="BF316" s="136" t="str">
        <f>IF(AI290="","",IF(J316="","",J316))</f>
        <v>AT</v>
      </c>
      <c r="BG316" s="136" t="str">
        <f>IF(AI290="","",IF(K316="","",K316))</f>
        <v>AL</v>
      </c>
      <c r="BH316" s="136" t="str">
        <f>IF(AI290="","",IF(L316="","",L316))</f>
        <v>PV</v>
      </c>
      <c r="BI316" s="136" t="str">
        <f>IF(AI290="","",IF(M316="","",M316))</f>
        <v>-</v>
      </c>
      <c r="BJ316" s="136" t="str">
        <f>IF(AI290="","",IF(N316="","",N316))</f>
        <v>HS</v>
      </c>
      <c r="BK316" s="136" t="str">
        <f>IF(AI290="","",IF(O316="","",O316))</f>
        <v>-</v>
      </c>
      <c r="BM316" s="136" t="str">
        <f>BO316</f>
        <v>TG</v>
      </c>
      <c r="BN316" s="136" t="str">
        <f t="shared" si="184"/>
        <v>Trabalho de Grupo</v>
      </c>
      <c r="BO316" s="136" t="str">
        <f t="shared" si="184"/>
        <v>TG</v>
      </c>
      <c r="BP316" s="136">
        <f>COUNTIFS(AX294:BK341,BO316)*0.5</f>
        <v>0</v>
      </c>
      <c r="BQ316" s="136" t="str">
        <f t="shared" si="185"/>
        <v>Trabalho de Grupo</v>
      </c>
      <c r="BR316" s="136" t="str">
        <f t="shared" si="185"/>
        <v>TG</v>
      </c>
      <c r="BS316" s="136" t="str">
        <f t="shared" si="186"/>
        <v>Trabalho de Grupo</v>
      </c>
      <c r="BT316" s="136">
        <f t="shared" si="192"/>
        <v>0</v>
      </c>
      <c r="BU316" s="136">
        <f t="shared" si="193"/>
        <v>0</v>
      </c>
      <c r="CA316" s="136">
        <f>'INFO BASE'!L396</f>
        <v>0</v>
      </c>
      <c r="CB316" s="136">
        <f>'INFO BASE'!M396</f>
        <v>0</v>
      </c>
      <c r="CR316" s="177" t="str">
        <f t="shared" si="174"/>
        <v>APB</v>
      </c>
      <c r="CS316" s="177" t="str">
        <f t="shared" si="175"/>
        <v>APBCDI</v>
      </c>
      <c r="CT316" s="177" t="str">
        <f t="shared" si="174"/>
        <v>AT</v>
      </c>
      <c r="CU316" s="177" t="str">
        <f t="shared" si="176"/>
        <v>ATIEI</v>
      </c>
      <c r="CV316" s="177" t="str">
        <f t="shared" si="174"/>
        <v>AT</v>
      </c>
      <c r="CW316" s="177" t="str">
        <f t="shared" si="177"/>
        <v>ATFP</v>
      </c>
      <c r="CX316" s="177" t="str">
        <f t="shared" si="174"/>
        <v>LAB</v>
      </c>
      <c r="CY316" s="177" t="str">
        <f t="shared" si="178"/>
        <v>LABIAC</v>
      </c>
      <c r="CZ316" s="177" t="str">
        <f t="shared" si="174"/>
        <v>AT</v>
      </c>
      <c r="DA316" s="177" t="str">
        <f t="shared" si="179"/>
        <v>ATAL</v>
      </c>
      <c r="DB316" s="177" t="str">
        <f t="shared" si="174"/>
        <v>PV</v>
      </c>
      <c r="DC316" s="177">
        <f t="shared" si="180"/>
        <v>0</v>
      </c>
      <c r="DD316" s="177" t="str">
        <f t="shared" si="181"/>
        <v>HS</v>
      </c>
      <c r="DE316" s="177" t="str">
        <f t="shared" si="182"/>
        <v>HS-</v>
      </c>
    </row>
    <row r="317" spans="1:109" ht="18" customHeight="1" x14ac:dyDescent="0.3">
      <c r="A317" s="81">
        <v>0.47916666666668201</v>
      </c>
      <c r="B317" s="166" t="s">
        <v>130</v>
      </c>
      <c r="C317" s="130" t="s">
        <v>231</v>
      </c>
      <c r="D317" s="169" t="s">
        <v>9</v>
      </c>
      <c r="E317" s="130" t="s">
        <v>226</v>
      </c>
      <c r="F317" s="169" t="s">
        <v>9</v>
      </c>
      <c r="G317" s="130" t="s">
        <v>231</v>
      </c>
      <c r="H317" s="169" t="s">
        <v>132</v>
      </c>
      <c r="I317" s="130" t="s">
        <v>228</v>
      </c>
      <c r="J317" s="169" t="s">
        <v>9</v>
      </c>
      <c r="K317" s="130" t="s">
        <v>231</v>
      </c>
      <c r="L317" s="169" t="s">
        <v>116</v>
      </c>
      <c r="M317" s="130" t="s">
        <v>120</v>
      </c>
      <c r="N317" s="169" t="s">
        <v>10</v>
      </c>
      <c r="O317" s="154" t="s">
        <v>120</v>
      </c>
      <c r="P317" s="6">
        <v>0</v>
      </c>
      <c r="Q317" s="114" t="str">
        <f t="shared" si="195"/>
        <v>Estudo em Grupo</v>
      </c>
      <c r="R317" s="105" t="str">
        <f t="shared" si="191"/>
        <v>CDI</v>
      </c>
      <c r="S317" s="88">
        <f t="shared" si="188"/>
        <v>-1</v>
      </c>
      <c r="T317" s="89">
        <f>IF(VLOOKUP(Q317,'INFO BASE'!$B$40:$I$54,IF(R317='INFO BASE'!$B$32,3,IF(R317='INFO BASE'!$B$33,4,IF(R317='INFO BASE'!$B$34,5,IF(R317='INFO BASE'!$B$35,6,IF(R317='INFO BASE'!$B$36,7,IF(R317='INFO BASE'!$B$37,8,2)))))),0)=0,"",VLOOKUP(Q317,'INFO BASE'!$B$40:$I$54,IF(R317='INFO BASE'!$B$32,3,IF(R317='INFO BASE'!$B$33,4,IF(R317='INFO BASE'!$B$34,5,IF(R317='INFO BASE'!$B$35,6,IF(R317='INFO BASE'!$B$36,7,IF(R317='INFO BASE'!$B$37,8,2)))))),0))</f>
        <v>2</v>
      </c>
      <c r="U317" s="89">
        <f>(COUNTIFS(C294:C341,R317,B294:B341,R312)+COUNTIFS(E294:E341,R317,D294:D341,R312)+COUNTIFS(G294:G341,R317,F294:F341,R312)+COUNTIFS(I294:I341,R317,H294:H341,R312)+COUNTIFS(K294:K341,R317,J294:J341,R312)+COUNTIFS(M294:M341,R317,L294:L341,R312)+COUNTIFS(O294:O341,R317,N294:N341,R312))*0.5</f>
        <v>0</v>
      </c>
      <c r="V317" s="89">
        <f>(COUNTIFS(AI294:AI341,R312,AJ294:AJ341,R310)+COUNTIFS(AK294:AK341,R312,AL294:AL341,R310)+COUNTIFS(AM294:AM341,R312,AN294:AN341,R310)+COUNTIFS(AO294:AO341,R312,AP294:AP341,R310)+COUNTIFS(AQ294:AQ341,R312,AR294:AR341,R310)+COUNTIFS(AS294:AS341,R312,AT294:AT341,R310)+COUNTIFS(AU294:AU341,R312,AV294:AV341,R310))*0.5</f>
        <v>0</v>
      </c>
      <c r="W317" s="90">
        <f>IF(AH290="","-",IF(V317=0,U317,IFERROR((U317/V317)-1,"-")))</f>
        <v>0</v>
      </c>
      <c r="X317" s="201">
        <f t="shared" si="189"/>
        <v>0</v>
      </c>
      <c r="Y317" s="271"/>
      <c r="Z317" s="272"/>
      <c r="AA317" s="272"/>
      <c r="AB317" s="272"/>
      <c r="AC317" s="272"/>
      <c r="AD317" s="272"/>
      <c r="AE317" s="272"/>
      <c r="AF317" s="273"/>
      <c r="AH317" s="136">
        <v>0.47916666666668201</v>
      </c>
      <c r="AI317" s="136" t="s">
        <v>130</v>
      </c>
      <c r="AJ317" s="136" t="s">
        <v>231</v>
      </c>
      <c r="AK317" s="136" t="s">
        <v>9</v>
      </c>
      <c r="AL317" s="136" t="s">
        <v>226</v>
      </c>
      <c r="AM317" s="136" t="s">
        <v>9</v>
      </c>
      <c r="AN317" s="136" t="s">
        <v>231</v>
      </c>
      <c r="AO317" s="136" t="s">
        <v>132</v>
      </c>
      <c r="AP317" s="136" t="s">
        <v>228</v>
      </c>
      <c r="AQ317" s="136" t="s">
        <v>9</v>
      </c>
      <c r="AR317" s="136" t="s">
        <v>231</v>
      </c>
      <c r="AS317" s="136" t="s">
        <v>116</v>
      </c>
      <c r="AT317" s="136" t="s">
        <v>120</v>
      </c>
      <c r="AU317" s="136" t="s">
        <v>116</v>
      </c>
      <c r="AV317" s="136" t="s">
        <v>120</v>
      </c>
      <c r="AX317" s="136" t="str">
        <f>IF(AI290="","",IF(B317="","",B317))</f>
        <v>APB</v>
      </c>
      <c r="AY317" s="136" t="str">
        <f>IF(AI290="","",IF(C317="","",C317))</f>
        <v>CDI</v>
      </c>
      <c r="AZ317" s="136" t="str">
        <f>IF(AI290="","",IF(D317="","",D317))</f>
        <v>AT</v>
      </c>
      <c r="BA317" s="136" t="str">
        <f>IF(AI290="","",IF(E317="","",E317))</f>
        <v>IEI</v>
      </c>
      <c r="BB317" s="136" t="str">
        <f>IF(AI290="","",IF(F317="","",F317))</f>
        <v>AT</v>
      </c>
      <c r="BC317" s="136" t="str">
        <f>IF(AI290="","",IF(G317="","",G317))</f>
        <v>CDI</v>
      </c>
      <c r="BD317" s="136" t="str">
        <f>IF(AI290="","",IF(H317="","",H317))</f>
        <v>LAB</v>
      </c>
      <c r="BE317" s="136" t="str">
        <f>IF(AI290="","",IF(I317="","",I317))</f>
        <v>IAC</v>
      </c>
      <c r="BF317" s="136" t="str">
        <f>IF(AI290="","",IF(J317="","",J317))</f>
        <v>AT</v>
      </c>
      <c r="BG317" s="136" t="str">
        <f>IF(AI290="","",IF(K317="","",K317))</f>
        <v>CDI</v>
      </c>
      <c r="BH317" s="136" t="str">
        <f>IF(AI290="","",IF(L317="","",L317))</f>
        <v>PV</v>
      </c>
      <c r="BI317" s="136" t="str">
        <f>IF(AI290="","",IF(M317="","",M317))</f>
        <v>-</v>
      </c>
      <c r="BJ317" s="136" t="str">
        <f>IF(AI290="","",IF(N317="","",N317))</f>
        <v>HS</v>
      </c>
      <c r="BK317" s="136" t="str">
        <f>IF(AI290="","",IF(O317="","",O317))</f>
        <v>-</v>
      </c>
      <c r="BM317" s="136" t="str">
        <f>BM316</f>
        <v>TG</v>
      </c>
      <c r="BN317" s="136" t="str">
        <f t="shared" si="184"/>
        <v>Trabalho de Grupo</v>
      </c>
      <c r="BO317" s="136" t="str">
        <f t="shared" si="184"/>
        <v>FP</v>
      </c>
      <c r="BP317" s="136">
        <f>(COUNTIFS(AX294:AX341,BM317,AY294:AY341,BO317)+COUNTIFS(AZ294:AZ341,BM317,BA294:BA341,BO317)+COUNTIFS(BB294:BB341,BM317,BC294:BC341,BO317)+COUNTIFS(BD294:BD341,BM317,BE294:BE341,BO317)+COUNTIFS(BF294:BF341,BM317,BG294:BG341,BO317)+COUNTIFS(BH294:BH341,BM317,BI294:BI341,BO317)+COUNTIFS(BJ294:BJ341,BM317,BK294:BK341,BO317))*0.5</f>
        <v>0</v>
      </c>
      <c r="BQ317" s="136" t="str">
        <f t="shared" si="185"/>
        <v>Trabalho de Grupo</v>
      </c>
      <c r="BR317" s="136" t="str">
        <f t="shared" si="185"/>
        <v>FP</v>
      </c>
      <c r="BS317" s="136" t="str">
        <f t="shared" si="186"/>
        <v>Trabalho de Grupo</v>
      </c>
      <c r="BT317" s="136">
        <f t="shared" si="192"/>
        <v>0</v>
      </c>
      <c r="BU317" s="136">
        <f t="shared" si="193"/>
        <v>0</v>
      </c>
      <c r="CR317" s="177" t="str">
        <f t="shared" si="174"/>
        <v>APB</v>
      </c>
      <c r="CS317" s="177" t="str">
        <f t="shared" si="175"/>
        <v>APBCDI</v>
      </c>
      <c r="CT317" s="177" t="str">
        <f t="shared" si="174"/>
        <v>AT</v>
      </c>
      <c r="CU317" s="177" t="str">
        <f t="shared" si="176"/>
        <v>ATIEI</v>
      </c>
      <c r="CV317" s="177" t="str">
        <f t="shared" si="174"/>
        <v>AT</v>
      </c>
      <c r="CW317" s="177" t="str">
        <f t="shared" si="177"/>
        <v>ATCDI</v>
      </c>
      <c r="CX317" s="177" t="str">
        <f t="shared" si="174"/>
        <v>LAB</v>
      </c>
      <c r="CY317" s="177" t="str">
        <f t="shared" si="178"/>
        <v>LABIAC</v>
      </c>
      <c r="CZ317" s="177" t="str">
        <f t="shared" si="174"/>
        <v>AT</v>
      </c>
      <c r="DA317" s="177" t="str">
        <f t="shared" si="179"/>
        <v>ATCDI</v>
      </c>
      <c r="DB317" s="177" t="str">
        <f t="shared" si="174"/>
        <v>PV</v>
      </c>
      <c r="DC317" s="177">
        <f t="shared" si="180"/>
        <v>0</v>
      </c>
      <c r="DD317" s="177" t="str">
        <f t="shared" si="181"/>
        <v>HS</v>
      </c>
      <c r="DE317" s="177" t="str">
        <f t="shared" si="182"/>
        <v>HS-</v>
      </c>
    </row>
    <row r="318" spans="1:109" ht="18" customHeight="1" thickBot="1" x14ac:dyDescent="0.35">
      <c r="A318" s="81">
        <v>0.50000000000001599</v>
      </c>
      <c r="B318" s="166" t="s">
        <v>9</v>
      </c>
      <c r="C318" s="130" t="s">
        <v>230</v>
      </c>
      <c r="D318" s="169" t="s">
        <v>116</v>
      </c>
      <c r="E318" s="130" t="s">
        <v>120</v>
      </c>
      <c r="F318" s="169" t="s">
        <v>9</v>
      </c>
      <c r="G318" s="130" t="s">
        <v>231</v>
      </c>
      <c r="H318" s="169" t="s">
        <v>130</v>
      </c>
      <c r="I318" s="130" t="s">
        <v>224</v>
      </c>
      <c r="J318" s="169" t="s">
        <v>9</v>
      </c>
      <c r="K318" s="130" t="s">
        <v>231</v>
      </c>
      <c r="L318" s="169" t="s">
        <v>116</v>
      </c>
      <c r="M318" s="130" t="s">
        <v>120</v>
      </c>
      <c r="N318" s="169" t="s">
        <v>116</v>
      </c>
      <c r="O318" s="154" t="s">
        <v>120</v>
      </c>
      <c r="P318" s="6">
        <v>0</v>
      </c>
      <c r="Q318" s="116" t="str">
        <f t="shared" si="195"/>
        <v>Estudo em Grupo</v>
      </c>
      <c r="R318" s="107" t="str">
        <f t="shared" si="191"/>
        <v/>
      </c>
      <c r="S318" s="94" t="str">
        <f t="shared" si="188"/>
        <v>-</v>
      </c>
      <c r="T318" s="95" t="str">
        <f>IF(VLOOKUP(Q318,'INFO BASE'!$B$40:$I$54,IF(R318='INFO BASE'!$B$32,3,IF(R318='INFO BASE'!$B$33,4,IF(R318='INFO BASE'!$B$34,5,IF(R318='INFO BASE'!$B$35,6,IF(R318='INFO BASE'!$B$36,7,IF(R318='INFO BASE'!$B$37,8,2)))))),0)=0,"",VLOOKUP(Q318,'INFO BASE'!$B$40:$I$54,IF(R318='INFO BASE'!$B$32,3,IF(R318='INFO BASE'!$B$33,4,IF(R318='INFO BASE'!$B$34,5,IF(R318='INFO BASE'!$B$35,6,IF(R318='INFO BASE'!$B$36,7,IF(R318='INFO BASE'!$B$37,8,2)))))),0))</f>
        <v/>
      </c>
      <c r="U318" s="95">
        <f>(COUNTIFS(C294:C341,R318,B294:B341,R312)+COUNTIFS(E294:E341,R318,D294:D341,R312)+COUNTIFS(G294:G341,R318,F294:F341,R312)+COUNTIFS(I294:I341,R318,H294:H341,R312)+COUNTIFS(K294:K341,R318,J294:J341,R312)+COUNTIFS(M294:M341,R318,L294:L341,R312)+COUNTIFS(O294:O341,R318,N294:N341,R312))*0.5</f>
        <v>0</v>
      </c>
      <c r="V318" s="95">
        <f>(COUNTIFS(AI294:AI341,R312,AJ294:AJ341,R311)+COUNTIFS(AK294:AK341,R312,AL294:AL341,R311)+COUNTIFS(AM294:AM341,R312,AN294:AN341,R311)+COUNTIFS(AO294:AO341,R312,AP294:AP341,R311)+COUNTIFS(AQ294:AQ341,R312,AR294:AR341,R311)+COUNTIFS(AS294:AS341,R312,AT294:AT341,R311)+COUNTIFS(AU294:AU341,R312,AV294:AV341,R311))*0.5</f>
        <v>0</v>
      </c>
      <c r="W318" s="96">
        <f>IF(AH290="","-",IF(V318=0,U318,IFERROR((U318/V318)-1,"-")))</f>
        <v>0</v>
      </c>
      <c r="X318" s="201">
        <f t="shared" si="189"/>
        <v>0</v>
      </c>
      <c r="Y318" s="274"/>
      <c r="Z318" s="275"/>
      <c r="AA318" s="275"/>
      <c r="AB318" s="275"/>
      <c r="AC318" s="275"/>
      <c r="AD318" s="275"/>
      <c r="AE318" s="275"/>
      <c r="AF318" s="276"/>
      <c r="AH318" s="136">
        <v>0.50000000000001599</v>
      </c>
      <c r="AI318" s="136" t="s">
        <v>9</v>
      </c>
      <c r="AJ318" s="136" t="s">
        <v>230</v>
      </c>
      <c r="AK318" s="136" t="s">
        <v>116</v>
      </c>
      <c r="AL318" s="136" t="s">
        <v>120</v>
      </c>
      <c r="AM318" s="136" t="s">
        <v>9</v>
      </c>
      <c r="AN318" s="136" t="s">
        <v>231</v>
      </c>
      <c r="AO318" s="136" t="s">
        <v>130</v>
      </c>
      <c r="AP318" s="136" t="s">
        <v>224</v>
      </c>
      <c r="AQ318" s="136" t="s">
        <v>9</v>
      </c>
      <c r="AR318" s="136" t="s">
        <v>231</v>
      </c>
      <c r="AS318" s="136" t="s">
        <v>116</v>
      </c>
      <c r="AT318" s="136" t="s">
        <v>120</v>
      </c>
      <c r="AU318" s="136" t="s">
        <v>116</v>
      </c>
      <c r="AV318" s="136" t="s">
        <v>120</v>
      </c>
      <c r="AX318" s="136" t="str">
        <f>IF(AI290="","",IF(B318="","",B318))</f>
        <v>AT</v>
      </c>
      <c r="AY318" s="136" t="str">
        <f>IF(AI290="","",IF(C318="","",C318))</f>
        <v>AL</v>
      </c>
      <c r="AZ318" s="136" t="str">
        <f>IF(AI290="","",IF(D318="","",D318))</f>
        <v>PV</v>
      </c>
      <c r="BA318" s="136" t="str">
        <f>IF(AI290="","",IF(E318="","",E318))</f>
        <v>-</v>
      </c>
      <c r="BB318" s="136" t="str">
        <f>IF(AI290="","",IF(F318="","",F318))</f>
        <v>AT</v>
      </c>
      <c r="BC318" s="136" t="str">
        <f>IF(AI290="","",IF(G318="","",G318))</f>
        <v>CDI</v>
      </c>
      <c r="BD318" s="136" t="str">
        <f>IF(AI290="","",IF(H318="","",H318))</f>
        <v>APB</v>
      </c>
      <c r="BE318" s="136" t="str">
        <f>IF(AI290="","",IF(I318="","",I318))</f>
        <v>FP</v>
      </c>
      <c r="BF318" s="136" t="str">
        <f>IF(AI290="","",IF(J318="","",J318))</f>
        <v>AT</v>
      </c>
      <c r="BG318" s="136" t="str">
        <f>IF(AI290="","",IF(K318="","",K318))</f>
        <v>CDI</v>
      </c>
      <c r="BH318" s="136" t="str">
        <f>IF(AI290="","",IF(L318="","",L318))</f>
        <v>PV</v>
      </c>
      <c r="BI318" s="136" t="str">
        <f>IF(AI290="","",IF(M318="","",M318))</f>
        <v>-</v>
      </c>
      <c r="BJ318" s="136" t="str">
        <f>IF(AI290="","",IF(N318="","",N318))</f>
        <v>PV</v>
      </c>
      <c r="BK318" s="136" t="str">
        <f>IF(AI290="","",IF(O318="","",O318))</f>
        <v>-</v>
      </c>
      <c r="BM318" s="136" t="str">
        <f t="shared" ref="BM318:BM322" si="196">BM317</f>
        <v>TG</v>
      </c>
      <c r="BN318" s="136" t="str">
        <f t="shared" si="184"/>
        <v>Trabalho de Grupo</v>
      </c>
      <c r="BO318" s="136" t="str">
        <f t="shared" si="184"/>
        <v>IEI</v>
      </c>
      <c r="BP318" s="136">
        <f>(COUNTIFS(AX294:AX341,BM318,AY294:AY341,BO318)+COUNTIFS(AZ294:AZ341,BM318,BA294:BA341,BO318)+COUNTIFS(BB294:BB341,BM318,BC294:BC341,BO318)+COUNTIFS(BD294:BD341,BM318,BE294:BE341,BO318)+COUNTIFS(BF294:BF341,BM318,BG294:BG341,BO318)+COUNTIFS(BH294:BH341,BM318,BI294:BI341,BO318)+COUNTIFS(BJ294:BJ341,BM318,BK294:BK341,BO318))*0.5</f>
        <v>0</v>
      </c>
      <c r="BQ318" s="136" t="str">
        <f t="shared" si="185"/>
        <v>Trabalho de Grupo</v>
      </c>
      <c r="BR318" s="136" t="str">
        <f t="shared" si="185"/>
        <v>IEI</v>
      </c>
      <c r="BS318" s="136" t="str">
        <f t="shared" si="186"/>
        <v>Trabalho de Grupo</v>
      </c>
      <c r="BT318" s="136">
        <f t="shared" si="192"/>
        <v>0</v>
      </c>
      <c r="BU318" s="136">
        <f t="shared" si="193"/>
        <v>0</v>
      </c>
      <c r="CA318" s="136">
        <f>'INFO BASE'!L397</f>
        <v>0</v>
      </c>
      <c r="CB318" s="136">
        <f>'INFO BASE'!M397</f>
        <v>0</v>
      </c>
      <c r="CR318" s="177" t="str">
        <f t="shared" si="174"/>
        <v>AT</v>
      </c>
      <c r="CS318" s="177" t="str">
        <f t="shared" si="175"/>
        <v>ATAL</v>
      </c>
      <c r="CT318" s="177" t="str">
        <f t="shared" si="174"/>
        <v>PV</v>
      </c>
      <c r="CU318" s="177">
        <f t="shared" si="176"/>
        <v>0</v>
      </c>
      <c r="CV318" s="177" t="str">
        <f t="shared" si="174"/>
        <v>AT</v>
      </c>
      <c r="CW318" s="177" t="str">
        <f t="shared" si="177"/>
        <v>ATCDI</v>
      </c>
      <c r="CX318" s="177" t="str">
        <f t="shared" si="174"/>
        <v>APB</v>
      </c>
      <c r="CY318" s="177" t="str">
        <f t="shared" si="178"/>
        <v>APBFP</v>
      </c>
      <c r="CZ318" s="177" t="str">
        <f t="shared" si="174"/>
        <v>AT</v>
      </c>
      <c r="DA318" s="177" t="str">
        <f t="shared" si="179"/>
        <v>ATCDI</v>
      </c>
      <c r="DB318" s="177" t="str">
        <f t="shared" si="174"/>
        <v>PV</v>
      </c>
      <c r="DC318" s="177">
        <f t="shared" si="180"/>
        <v>0</v>
      </c>
      <c r="DD318" s="177" t="str">
        <f t="shared" si="181"/>
        <v>PV</v>
      </c>
      <c r="DE318" s="177">
        <f t="shared" si="182"/>
        <v>0</v>
      </c>
    </row>
    <row r="319" spans="1:109" ht="18" customHeight="1" x14ac:dyDescent="0.3">
      <c r="A319" s="81">
        <v>0.52083333333335002</v>
      </c>
      <c r="B319" s="166" t="s">
        <v>9</v>
      </c>
      <c r="C319" s="130" t="s">
        <v>230</v>
      </c>
      <c r="D319" s="169" t="s">
        <v>116</v>
      </c>
      <c r="E319" s="130" t="s">
        <v>120</v>
      </c>
      <c r="F319" s="169" t="s">
        <v>9</v>
      </c>
      <c r="G319" s="130" t="s">
        <v>230</v>
      </c>
      <c r="H319" s="169" t="s">
        <v>130</v>
      </c>
      <c r="I319" s="130" t="s">
        <v>224</v>
      </c>
      <c r="J319" s="169" t="s">
        <v>116</v>
      </c>
      <c r="K319" s="130" t="s">
        <v>120</v>
      </c>
      <c r="L319" s="169" t="s">
        <v>116</v>
      </c>
      <c r="M319" s="130" t="s">
        <v>120</v>
      </c>
      <c r="N319" s="169" t="s">
        <v>116</v>
      </c>
      <c r="O319" s="154" t="s">
        <v>120</v>
      </c>
      <c r="P319" s="6">
        <v>0</v>
      </c>
      <c r="Q319" s="117" t="str">
        <f>IF('INFO BASE'!$C$19="","",'INFO BASE'!$C$19)</f>
        <v>Trabalho de Grupo</v>
      </c>
      <c r="R319" s="82" t="str">
        <f t="shared" si="191"/>
        <v>TG</v>
      </c>
      <c r="S319" s="83">
        <f t="shared" si="188"/>
        <v>-1</v>
      </c>
      <c r="T319" s="84">
        <f>IF(VLOOKUP(Q319,'INFO BASE'!$B$40:$I$54,IF(R319='INFO BASE'!$B$32,3,IF(R319='INFO BASE'!$B$33,4,IF(R319='INFO BASE'!$B$34,5,IF(R319='INFO BASE'!$B$35,6,IF(R319='INFO BASE'!$B$36,7,IF(R319='INFO BASE'!$B$37,8,2)))))),0)=0,"",VLOOKUP(Q319,'INFO BASE'!$B$40:$I$54,IF(R319='INFO BASE'!$B$32,3,IF(R319='INFO BASE'!$B$33,4,IF(R319='INFO BASE'!$B$34,5,IF(R319='INFO BASE'!$B$35,6,IF(R319='INFO BASE'!$B$36,7,IF(R319='INFO BASE'!$B$37,8,2)))))),0))</f>
        <v>15</v>
      </c>
      <c r="U319" s="84">
        <f>IF(R319="","",COUNTIFS(SEMANA6,R319)*0.5)</f>
        <v>0</v>
      </c>
      <c r="V319" s="84">
        <f>IF(R319="","",COUNTIFS(AI294:AV341,R319)*0.5)</f>
        <v>0</v>
      </c>
      <c r="W319" s="85">
        <f>IF(AH290="","-",IF(V319=0,U319,IFERROR((U319/V319)-1,"-")))</f>
        <v>0</v>
      </c>
      <c r="X319" s="201">
        <f t="shared" si="189"/>
        <v>0</v>
      </c>
      <c r="Y319" s="277"/>
      <c r="Z319" s="278"/>
      <c r="AA319" s="278"/>
      <c r="AB319" s="278"/>
      <c r="AC319" s="278"/>
      <c r="AD319" s="278"/>
      <c r="AE319" s="278"/>
      <c r="AF319" s="279"/>
      <c r="AH319" s="136">
        <v>0.52083333333335002</v>
      </c>
      <c r="AI319" s="136" t="s">
        <v>9</v>
      </c>
      <c r="AJ319" s="136" t="s">
        <v>230</v>
      </c>
      <c r="AK319" s="136" t="s">
        <v>116</v>
      </c>
      <c r="AL319" s="136" t="s">
        <v>120</v>
      </c>
      <c r="AM319" s="136" t="s">
        <v>9</v>
      </c>
      <c r="AN319" s="136" t="s">
        <v>230</v>
      </c>
      <c r="AO319" s="136" t="s">
        <v>130</v>
      </c>
      <c r="AP319" s="136" t="s">
        <v>224</v>
      </c>
      <c r="AQ319" s="136" t="s">
        <v>116</v>
      </c>
      <c r="AR319" s="136" t="s">
        <v>120</v>
      </c>
      <c r="AS319" s="136" t="s">
        <v>116</v>
      </c>
      <c r="AT319" s="136" t="s">
        <v>120</v>
      </c>
      <c r="AU319" s="136" t="s">
        <v>116</v>
      </c>
      <c r="AV319" s="136" t="s">
        <v>120</v>
      </c>
      <c r="AX319" s="136" t="str">
        <f>IF(AI290="","",IF(B319="","",B319))</f>
        <v>AT</v>
      </c>
      <c r="AY319" s="136" t="str">
        <f>IF(AI290="","",IF(C319="","",C319))</f>
        <v>AL</v>
      </c>
      <c r="AZ319" s="136" t="str">
        <f>IF(AI290="","",IF(D319="","",D319))</f>
        <v>PV</v>
      </c>
      <c r="BA319" s="136" t="str">
        <f>IF(AI290="","",IF(E319="","",E319))</f>
        <v>-</v>
      </c>
      <c r="BB319" s="136" t="str">
        <f>IF(AI290="","",IF(F319="","",F319))</f>
        <v>AT</v>
      </c>
      <c r="BC319" s="136" t="str">
        <f>IF(AI290="","",IF(G319="","",G319))</f>
        <v>AL</v>
      </c>
      <c r="BD319" s="136" t="str">
        <f>IF(AI290="","",IF(H319="","",H319))</f>
        <v>APB</v>
      </c>
      <c r="BE319" s="136" t="str">
        <f>IF(AI290="","",IF(I319="","",I319))</f>
        <v>FP</v>
      </c>
      <c r="BF319" s="136" t="str">
        <f>IF(AI290="","",IF(J319="","",J319))</f>
        <v>PV</v>
      </c>
      <c r="BG319" s="136" t="str">
        <f>IF(AI290="","",IF(K319="","",K319))</f>
        <v>-</v>
      </c>
      <c r="BH319" s="136" t="str">
        <f>IF(AI290="","",IF(L319="","",L319))</f>
        <v>PV</v>
      </c>
      <c r="BI319" s="136" t="str">
        <f>IF(AI290="","",IF(M319="","",M319))</f>
        <v>-</v>
      </c>
      <c r="BJ319" s="136" t="str">
        <f>IF(AI290="","",IF(N319="","",N319))</f>
        <v>PV</v>
      </c>
      <c r="BK319" s="136" t="str">
        <f>IF(AI290="","",IF(O319="","",O319))</f>
        <v>-</v>
      </c>
      <c r="BM319" s="136" t="str">
        <f t="shared" si="196"/>
        <v>TG</v>
      </c>
      <c r="BN319" s="136" t="str">
        <f t="shared" si="184"/>
        <v>Trabalho de Grupo</v>
      </c>
      <c r="BO319" s="136" t="str">
        <f t="shared" si="184"/>
        <v>IAC</v>
      </c>
      <c r="BP319" s="136">
        <f>(COUNTIFS(AX294:AX341,BM319,AY294:AY341,BO319)+COUNTIFS(AZ294:AZ341,BM319,BA294:BA341,BO319)+COUNTIFS(BB294:BB341,BM319,BC294:BC341,BO319)+COUNTIFS(BD294:BD341,BM319,BE294:BE341,BO319)+COUNTIFS(BF294:BF341,BM319,BG294:BG341,BO319)+COUNTIFS(BH294:BH341,BM319,BI294:BI341,BO319)+COUNTIFS(BJ294:BJ341,BM319,BK294:BK341,BO319))*0.5</f>
        <v>0</v>
      </c>
      <c r="BQ319" s="136" t="str">
        <f t="shared" si="185"/>
        <v>Trabalho de Grupo</v>
      </c>
      <c r="BR319" s="136" t="str">
        <f t="shared" si="185"/>
        <v>IAC</v>
      </c>
      <c r="BS319" s="136" t="str">
        <f t="shared" si="186"/>
        <v>Trabalho de Grupo</v>
      </c>
      <c r="BT319" s="136">
        <f t="shared" si="192"/>
        <v>0</v>
      </c>
      <c r="BU319" s="136">
        <f t="shared" si="193"/>
        <v>0</v>
      </c>
      <c r="CA319" s="136">
        <f>'INFO BASE'!L398</f>
        <v>0</v>
      </c>
      <c r="CB319" s="136">
        <f>'INFO BASE'!M398</f>
        <v>0</v>
      </c>
      <c r="CR319" s="177" t="str">
        <f t="shared" si="174"/>
        <v>AT</v>
      </c>
      <c r="CS319" s="177" t="str">
        <f t="shared" si="175"/>
        <v>ATAL</v>
      </c>
      <c r="CT319" s="177" t="str">
        <f t="shared" si="174"/>
        <v>PV</v>
      </c>
      <c r="CU319" s="177">
        <f t="shared" si="176"/>
        <v>0</v>
      </c>
      <c r="CV319" s="177" t="str">
        <f t="shared" si="174"/>
        <v>AT</v>
      </c>
      <c r="CW319" s="177" t="str">
        <f t="shared" si="177"/>
        <v>ATAL</v>
      </c>
      <c r="CX319" s="177" t="str">
        <f t="shared" si="174"/>
        <v>APB</v>
      </c>
      <c r="CY319" s="177" t="str">
        <f t="shared" si="178"/>
        <v>APBFP</v>
      </c>
      <c r="CZ319" s="177" t="str">
        <f t="shared" si="174"/>
        <v>PV</v>
      </c>
      <c r="DA319" s="177">
        <f t="shared" si="179"/>
        <v>0</v>
      </c>
      <c r="DB319" s="177" t="str">
        <f t="shared" si="174"/>
        <v>PV</v>
      </c>
      <c r="DC319" s="177">
        <f t="shared" si="180"/>
        <v>0</v>
      </c>
      <c r="DD319" s="177" t="str">
        <f t="shared" si="181"/>
        <v>PV</v>
      </c>
      <c r="DE319" s="177">
        <f t="shared" si="182"/>
        <v>0</v>
      </c>
    </row>
    <row r="320" spans="1:109" ht="18" customHeight="1" x14ac:dyDescent="0.3">
      <c r="A320" s="81">
        <v>0.54166666666668395</v>
      </c>
      <c r="B320" s="166" t="s">
        <v>9</v>
      </c>
      <c r="C320" s="130" t="s">
        <v>231</v>
      </c>
      <c r="D320" s="169" t="s">
        <v>116</v>
      </c>
      <c r="E320" s="130" t="s">
        <v>120</v>
      </c>
      <c r="F320" s="169" t="s">
        <v>9</v>
      </c>
      <c r="G320" s="130" t="s">
        <v>230</v>
      </c>
      <c r="H320" s="169" t="s">
        <v>130</v>
      </c>
      <c r="I320" s="130" t="s">
        <v>224</v>
      </c>
      <c r="J320" s="169" t="s">
        <v>116</v>
      </c>
      <c r="K320" s="130" t="s">
        <v>120</v>
      </c>
      <c r="L320" s="169" t="s">
        <v>12</v>
      </c>
      <c r="M320" s="130" t="s">
        <v>120</v>
      </c>
      <c r="N320" s="169" t="s">
        <v>116</v>
      </c>
      <c r="O320" s="154" t="s">
        <v>120</v>
      </c>
      <c r="P320" s="6">
        <v>0</v>
      </c>
      <c r="Q320" s="118" t="str">
        <f t="shared" ref="Q320:Q325" si="197">Q319</f>
        <v>Trabalho de Grupo</v>
      </c>
      <c r="R320" s="105" t="str">
        <f t="shared" si="191"/>
        <v>FP</v>
      </c>
      <c r="S320" s="88">
        <f t="shared" si="188"/>
        <v>-1</v>
      </c>
      <c r="T320" s="89">
        <f>IF(VLOOKUP(Q320,'INFO BASE'!$B$40:$I$54,IF(R320='INFO BASE'!$B$32,3,IF(R320='INFO BASE'!$B$33,4,IF(R320='INFO BASE'!$B$34,5,IF(R320='INFO BASE'!$B$35,6,IF(R320='INFO BASE'!$B$36,7,IF(R320='INFO BASE'!$B$37,8,2)))))),0)=0,"",VLOOKUP(Q320,'INFO BASE'!$B$40:$I$54,IF(R320='INFO BASE'!$B$32,3,IF(R320='INFO BASE'!$B$33,4,IF(R320='INFO BASE'!$B$34,5,IF(R320='INFO BASE'!$B$35,6,IF(R320='INFO BASE'!$B$36,7,IF(R320='INFO BASE'!$B$37,8,2)))))),0))</f>
        <v>3</v>
      </c>
      <c r="U320" s="89">
        <f>(COUNTIFS(C294:C341,R320,B294:B341,R319)+COUNTIFS(E294:E341,R320,D294:D341,R319)+COUNTIFS(G294:G341,R320,F294:F341,R319)+COUNTIFS(I294:I341,R320,H294:H341,R319)+COUNTIFS(K294:K341,R320,J294:J341,R319)+COUNTIFS(M294:M341,R320,L294:L341,R319)+COUNTIFS(O294:O341,R320,N294:N341,R319))*0.5</f>
        <v>0</v>
      </c>
      <c r="V320" s="89">
        <f>(COUNTIFS(AI294:AI341,R319,AJ294:AJ341,R313)+COUNTIFS(AK294:AK341,R319,AL294:AL341,R313)+COUNTIFS(AM294:AM341,R319,AN294:AN341,R313)+COUNTIFS(AO294:AO341,R319,AP294:AP341,R313)+COUNTIFS(AQ294:AQ341,R319,AR294:AR341,R313)+COUNTIFS(AS294:AS341,R319,AT294:AT341,R313)+COUNTIFS(AU294:AU341,R319,AV294:AV341,R313))*0.5</f>
        <v>0</v>
      </c>
      <c r="W320" s="90">
        <f>IF(AH290="","-",IF(V320=0,U320,IFERROR((U320/V320)-1,"-")))</f>
        <v>0</v>
      </c>
      <c r="X320" s="201">
        <f t="shared" si="189"/>
        <v>0</v>
      </c>
      <c r="Y320" s="271"/>
      <c r="Z320" s="272"/>
      <c r="AA320" s="272"/>
      <c r="AB320" s="272"/>
      <c r="AC320" s="272"/>
      <c r="AD320" s="272"/>
      <c r="AE320" s="272"/>
      <c r="AF320" s="273"/>
      <c r="AH320" s="136">
        <v>0.54166666666668395</v>
      </c>
      <c r="AI320" s="136" t="s">
        <v>9</v>
      </c>
      <c r="AJ320" s="136" t="s">
        <v>231</v>
      </c>
      <c r="AK320" s="136" t="s">
        <v>116</v>
      </c>
      <c r="AL320" s="136" t="s">
        <v>120</v>
      </c>
      <c r="AM320" s="136" t="s">
        <v>9</v>
      </c>
      <c r="AN320" s="136" t="s">
        <v>230</v>
      </c>
      <c r="AO320" s="136" t="s">
        <v>130</v>
      </c>
      <c r="AP320" s="136" t="s">
        <v>224</v>
      </c>
      <c r="AQ320" s="136" t="s">
        <v>116</v>
      </c>
      <c r="AR320" s="136" t="s">
        <v>120</v>
      </c>
      <c r="AS320" s="136" t="s">
        <v>12</v>
      </c>
      <c r="AT320" s="136" t="s">
        <v>120</v>
      </c>
      <c r="AU320" s="136" t="s">
        <v>116</v>
      </c>
      <c r="AV320" s="136" t="s">
        <v>120</v>
      </c>
      <c r="AX320" s="136" t="str">
        <f>IF(AI290="","",IF(B320="","",B320))</f>
        <v>AT</v>
      </c>
      <c r="AY320" s="136" t="str">
        <f>IF(AI290="","",IF(C320="","",C320))</f>
        <v>CDI</v>
      </c>
      <c r="AZ320" s="136" t="str">
        <f>IF(AI290="","",IF(D320="","",D320))</f>
        <v>PV</v>
      </c>
      <c r="BA320" s="136" t="str">
        <f>IF(AI290="","",IF(E320="","",E320))</f>
        <v>-</v>
      </c>
      <c r="BB320" s="136" t="str">
        <f>IF(AI290="","",IF(F320="","",F320))</f>
        <v>AT</v>
      </c>
      <c r="BC320" s="136" t="str">
        <f>IF(AI290="","",IF(G320="","",G320))</f>
        <v>AL</v>
      </c>
      <c r="BD320" s="136" t="str">
        <f>IF(AI290="","",IF(H320="","",H320))</f>
        <v>APB</v>
      </c>
      <c r="BE320" s="136" t="str">
        <f>IF(AI290="","",IF(I320="","",I320))</f>
        <v>FP</v>
      </c>
      <c r="BF320" s="136" t="str">
        <f>IF(AI290="","",IF(J320="","",J320))</f>
        <v>PV</v>
      </c>
      <c r="BG320" s="136" t="str">
        <f>IF(AI290="","",IF(K320="","",K320))</f>
        <v>-</v>
      </c>
      <c r="BH320" s="136" t="str">
        <f>IF(AI290="","",IF(L320="","",L320))</f>
        <v>HR</v>
      </c>
      <c r="BI320" s="136" t="str">
        <f>IF(AI290="","",IF(M320="","",M320))</f>
        <v>-</v>
      </c>
      <c r="BJ320" s="136" t="str">
        <f>IF(AI290="","",IF(N320="","",N320))</f>
        <v>PV</v>
      </c>
      <c r="BK320" s="136" t="str">
        <f>IF(AI290="","",IF(O320="","",O320))</f>
        <v>-</v>
      </c>
      <c r="BM320" s="136" t="str">
        <f t="shared" si="196"/>
        <v>TG</v>
      </c>
      <c r="BN320" s="136" t="str">
        <f t="shared" si="184"/>
        <v>Trabalho de Grupo</v>
      </c>
      <c r="BO320" s="136" t="str">
        <f t="shared" si="184"/>
        <v>AL</v>
      </c>
      <c r="BP320" s="136">
        <f>(COUNTIFS(AX294:AX341,BM320,AY294:AY341,BO320)+COUNTIFS(AZ294:AZ341,BM320,BA294:BA341,BO320)+COUNTIFS(BB294:BB341,BM320,BC294:BC341,BO320)+COUNTIFS(BD294:BD341,BM320,BE294:BE341,BO320)+COUNTIFS(BF294:BF341,BM320,BG294:BG341,BO320)+COUNTIFS(BH294:BH341,BM320,BI294:BI341,BO320)+COUNTIFS(BJ294:BJ341,BM320,BK294:BK341,BO320))*0.5</f>
        <v>0</v>
      </c>
      <c r="BQ320" s="136" t="str">
        <f t="shared" si="185"/>
        <v>Trabalho de Grupo</v>
      </c>
      <c r="BR320" s="136" t="str">
        <f t="shared" si="185"/>
        <v>AL</v>
      </c>
      <c r="BS320" s="136" t="str">
        <f t="shared" si="186"/>
        <v>Trabalho de Grupo</v>
      </c>
      <c r="BT320" s="136">
        <f t="shared" si="192"/>
        <v>0</v>
      </c>
      <c r="BU320" s="136">
        <f t="shared" si="193"/>
        <v>0</v>
      </c>
      <c r="CA320" s="136">
        <f>'INFO BASE'!L399</f>
        <v>0</v>
      </c>
      <c r="CB320" s="136">
        <f>'INFO BASE'!M399</f>
        <v>0</v>
      </c>
      <c r="CR320" s="177" t="str">
        <f t="shared" si="174"/>
        <v>AT</v>
      </c>
      <c r="CS320" s="177" t="str">
        <f t="shared" si="175"/>
        <v>ATCDI</v>
      </c>
      <c r="CT320" s="177" t="str">
        <f t="shared" si="174"/>
        <v>PV</v>
      </c>
      <c r="CU320" s="177">
        <f t="shared" si="176"/>
        <v>0</v>
      </c>
      <c r="CV320" s="177" t="str">
        <f t="shared" si="174"/>
        <v>AT</v>
      </c>
      <c r="CW320" s="177" t="str">
        <f t="shared" si="177"/>
        <v>ATAL</v>
      </c>
      <c r="CX320" s="177" t="str">
        <f t="shared" si="174"/>
        <v>APB</v>
      </c>
      <c r="CY320" s="177" t="str">
        <f t="shared" si="178"/>
        <v>APBFP</v>
      </c>
      <c r="CZ320" s="177" t="str">
        <f t="shared" si="174"/>
        <v>PV</v>
      </c>
      <c r="DA320" s="177">
        <f t="shared" si="179"/>
        <v>0</v>
      </c>
      <c r="DB320" s="177" t="str">
        <f t="shared" si="174"/>
        <v>HR</v>
      </c>
      <c r="DC320" s="177" t="str">
        <f t="shared" si="180"/>
        <v>HR-</v>
      </c>
      <c r="DD320" s="177" t="str">
        <f t="shared" si="181"/>
        <v>PV</v>
      </c>
      <c r="DE320" s="177">
        <f t="shared" si="182"/>
        <v>0</v>
      </c>
    </row>
    <row r="321" spans="1:109" ht="18" customHeight="1" x14ac:dyDescent="0.3">
      <c r="A321" s="81">
        <v>0.56250000000001799</v>
      </c>
      <c r="B321" s="166" t="s">
        <v>9</v>
      </c>
      <c r="C321" s="130" t="s">
        <v>231</v>
      </c>
      <c r="D321" s="169" t="s">
        <v>116</v>
      </c>
      <c r="E321" s="130" t="s">
        <v>120</v>
      </c>
      <c r="F321" s="169" t="s">
        <v>116</v>
      </c>
      <c r="G321" s="130" t="s">
        <v>120</v>
      </c>
      <c r="H321" s="169" t="s">
        <v>116</v>
      </c>
      <c r="I321" s="130" t="s">
        <v>120</v>
      </c>
      <c r="J321" s="169" t="s">
        <v>116</v>
      </c>
      <c r="K321" s="130" t="s">
        <v>120</v>
      </c>
      <c r="L321" s="169" t="s">
        <v>12</v>
      </c>
      <c r="M321" s="130" t="s">
        <v>120</v>
      </c>
      <c r="N321" s="169" t="s">
        <v>116</v>
      </c>
      <c r="O321" s="154" t="s">
        <v>120</v>
      </c>
      <c r="P321" s="6">
        <v>0</v>
      </c>
      <c r="Q321" s="118" t="str">
        <f t="shared" si="197"/>
        <v>Trabalho de Grupo</v>
      </c>
      <c r="R321" s="105" t="str">
        <f t="shared" si="191"/>
        <v>IEI</v>
      </c>
      <c r="S321" s="88">
        <f t="shared" si="188"/>
        <v>-1</v>
      </c>
      <c r="T321" s="89">
        <f>IF(VLOOKUP(Q321,'INFO BASE'!$B$40:$I$54,IF(R321='INFO BASE'!$B$32,3,IF(R321='INFO BASE'!$B$33,4,IF(R321='INFO BASE'!$B$34,5,IF(R321='INFO BASE'!$B$35,6,IF(R321='INFO BASE'!$B$36,7,IF(R321='INFO BASE'!$B$37,8,2)))))),0)=0,"",VLOOKUP(Q321,'INFO BASE'!$B$40:$I$54,IF(R321='INFO BASE'!$B$32,3,IF(R321='INFO BASE'!$B$33,4,IF(R321='INFO BASE'!$B$34,5,IF(R321='INFO BASE'!$B$35,6,IF(R321='INFO BASE'!$B$36,7,IF(R321='INFO BASE'!$B$37,8,2)))))),0))</f>
        <v>3</v>
      </c>
      <c r="U321" s="89">
        <f>(COUNTIFS(C294:C341,R321,B294:B341,R319)+COUNTIFS(E294:E341,R321,D294:D341,R319)+COUNTIFS(G294:G341,R321,F294:F341,R319)+COUNTIFS(I294:I341,R321,H294:H341,R319)+COUNTIFS(K294:K341,R321,J294:J341,R319)+COUNTIFS(M294:M341,R321,L294:L341,R319)+COUNTIFS(O294:O341,R321,N294:N341,R319))*0.5</f>
        <v>0</v>
      </c>
      <c r="V321" s="89">
        <f>(COUNTIFS(AI294:AI341,R319,AJ294:AJ341,R314)+COUNTIFS(AK294:AK341,R319,AL294:AL341,R314)+COUNTIFS(AM294:AM341,R319,AN294:AN341,R314)+COUNTIFS(AO294:AO341,R319,AP294:AP341,R314)+COUNTIFS(AQ294:AQ341,R319,AR294:AR341,R314)+COUNTIFS(AS294:AS341,R319,AT294:AT341,R314)+COUNTIFS(AU294:AU341,R319,AV294:AV341,R314))*0.5</f>
        <v>0</v>
      </c>
      <c r="W321" s="90">
        <f>IF(AH290="","-",IF(V321=0,U321,IFERROR((U321/V321)-1,"-")))</f>
        <v>0</v>
      </c>
      <c r="X321" s="201">
        <f t="shared" si="189"/>
        <v>0</v>
      </c>
      <c r="Y321" s="271"/>
      <c r="Z321" s="272"/>
      <c r="AA321" s="272"/>
      <c r="AB321" s="272"/>
      <c r="AC321" s="272"/>
      <c r="AD321" s="272"/>
      <c r="AE321" s="272"/>
      <c r="AF321" s="273"/>
      <c r="AH321" s="136">
        <v>0.56250000000001799</v>
      </c>
      <c r="AI321" s="136" t="s">
        <v>9</v>
      </c>
      <c r="AJ321" s="136" t="s">
        <v>231</v>
      </c>
      <c r="AK321" s="136" t="s">
        <v>116</v>
      </c>
      <c r="AL321" s="136" t="s">
        <v>120</v>
      </c>
      <c r="AM321" s="136" t="s">
        <v>116</v>
      </c>
      <c r="AN321" s="136" t="s">
        <v>120</v>
      </c>
      <c r="AO321" s="136" t="s">
        <v>116</v>
      </c>
      <c r="AP321" s="136" t="s">
        <v>120</v>
      </c>
      <c r="AQ321" s="136" t="s">
        <v>116</v>
      </c>
      <c r="AR321" s="136" t="s">
        <v>120</v>
      </c>
      <c r="AS321" s="136" t="s">
        <v>12</v>
      </c>
      <c r="AT321" s="136" t="s">
        <v>120</v>
      </c>
      <c r="AU321" s="136" t="s">
        <v>116</v>
      </c>
      <c r="AV321" s="136" t="s">
        <v>120</v>
      </c>
      <c r="AX321" s="136" t="str">
        <f>IF(AI290="","",IF(B321="","",B321))</f>
        <v>AT</v>
      </c>
      <c r="AY321" s="136" t="str">
        <f>IF(AI290="","",IF(C321="","",C321))</f>
        <v>CDI</v>
      </c>
      <c r="AZ321" s="136" t="str">
        <f>IF(AI290="","",IF(D321="","",D321))</f>
        <v>PV</v>
      </c>
      <c r="BA321" s="136" t="str">
        <f>IF(AI290="","",IF(E321="","",E321))</f>
        <v>-</v>
      </c>
      <c r="BB321" s="136" t="str">
        <f>IF(AI290="","",IF(F321="","",F321))</f>
        <v>PV</v>
      </c>
      <c r="BC321" s="136" t="str">
        <f>IF(AI290="","",IF(G321="","",G321))</f>
        <v>-</v>
      </c>
      <c r="BD321" s="136" t="str">
        <f>IF(AI290="","",IF(H321="","",H321))</f>
        <v>PV</v>
      </c>
      <c r="BE321" s="136" t="str">
        <f>IF(AI290="","",IF(I321="","",I321))</f>
        <v>-</v>
      </c>
      <c r="BF321" s="136" t="str">
        <f>IF(AI290="","",IF(J321="","",J321))</f>
        <v>PV</v>
      </c>
      <c r="BG321" s="136" t="str">
        <f>IF(AI290="","",IF(K321="","",K321))</f>
        <v>-</v>
      </c>
      <c r="BH321" s="136" t="str">
        <f>IF(AI290="","",IF(L321="","",L321))</f>
        <v>HR</v>
      </c>
      <c r="BI321" s="136" t="str">
        <f>IF(AI290="","",IF(M321="","",M321))</f>
        <v>-</v>
      </c>
      <c r="BJ321" s="136" t="str">
        <f>IF(AI290="","",IF(N321="","",N321))</f>
        <v>PV</v>
      </c>
      <c r="BK321" s="136" t="str">
        <f>IF(AI290="","",IF(O321="","",O321))</f>
        <v>-</v>
      </c>
      <c r="BM321" s="136" t="str">
        <f t="shared" si="196"/>
        <v>TG</v>
      </c>
      <c r="BN321" s="136" t="str">
        <f t="shared" si="184"/>
        <v>Trabalho de Grupo</v>
      </c>
      <c r="BO321" s="136" t="str">
        <f t="shared" si="184"/>
        <v>CDI</v>
      </c>
      <c r="BP321" s="136">
        <f>(COUNTIFS(AX294:AX341,BM321,AY294:AY341,BO321)+COUNTIFS(AZ294:AZ341,BM321,BA294:BA341,BO321)+COUNTIFS(BB294:BB341,BM321,BC294:BC341,BO321)+COUNTIFS(BD294:BD341,BM321,BE294:BE341,BO321)+COUNTIFS(BF294:BF341,BM321,BG294:BG341,BO321)+COUNTIFS(BH294:BH341,BM321,BI294:BI341,BO321)+COUNTIFS(BJ294:BJ341,BM321,BK294:BK341,BO321))*0.5</f>
        <v>0</v>
      </c>
      <c r="BQ321" s="136" t="str">
        <f t="shared" si="185"/>
        <v>Trabalho de Grupo</v>
      </c>
      <c r="BR321" s="136" t="str">
        <f t="shared" si="185"/>
        <v>CDI</v>
      </c>
      <c r="BS321" s="136" t="str">
        <f t="shared" si="186"/>
        <v>Trabalho de Grupo</v>
      </c>
      <c r="BT321" s="136">
        <f t="shared" si="192"/>
        <v>0</v>
      </c>
      <c r="BU321" s="136">
        <f t="shared" si="193"/>
        <v>0</v>
      </c>
      <c r="CA321" s="136">
        <f>'INFO BASE'!L400</f>
        <v>0</v>
      </c>
      <c r="CB321" s="136">
        <f>'INFO BASE'!M400</f>
        <v>0</v>
      </c>
      <c r="CR321" s="177" t="str">
        <f t="shared" si="174"/>
        <v>AT</v>
      </c>
      <c r="CS321" s="177" t="str">
        <f t="shared" si="175"/>
        <v>ATCDI</v>
      </c>
      <c r="CT321" s="177" t="str">
        <f t="shared" si="174"/>
        <v>PV</v>
      </c>
      <c r="CU321" s="177">
        <f t="shared" si="176"/>
        <v>0</v>
      </c>
      <c r="CV321" s="177" t="str">
        <f t="shared" si="174"/>
        <v>PV</v>
      </c>
      <c r="CW321" s="177">
        <f t="shared" si="177"/>
        <v>0</v>
      </c>
      <c r="CX321" s="177" t="str">
        <f t="shared" si="174"/>
        <v>PV</v>
      </c>
      <c r="CY321" s="177">
        <f t="shared" si="178"/>
        <v>0</v>
      </c>
      <c r="CZ321" s="177" t="str">
        <f t="shared" si="174"/>
        <v>PV</v>
      </c>
      <c r="DA321" s="177">
        <f t="shared" si="179"/>
        <v>0</v>
      </c>
      <c r="DB321" s="177" t="str">
        <f t="shared" si="174"/>
        <v>HR</v>
      </c>
      <c r="DC321" s="177" t="str">
        <f t="shared" si="180"/>
        <v>HR-</v>
      </c>
      <c r="DD321" s="177" t="str">
        <f t="shared" si="181"/>
        <v>PV</v>
      </c>
      <c r="DE321" s="177">
        <f t="shared" si="182"/>
        <v>0</v>
      </c>
    </row>
    <row r="322" spans="1:109" ht="18" customHeight="1" x14ac:dyDescent="0.3">
      <c r="A322" s="81">
        <v>0.58333333333335202</v>
      </c>
      <c r="B322" s="166" t="s">
        <v>12</v>
      </c>
      <c r="C322" s="130" t="s">
        <v>120</v>
      </c>
      <c r="D322" s="169" t="s">
        <v>12</v>
      </c>
      <c r="E322" s="130" t="s">
        <v>120</v>
      </c>
      <c r="F322" s="169" t="s">
        <v>12</v>
      </c>
      <c r="G322" s="130" t="s">
        <v>120</v>
      </c>
      <c r="H322" s="169" t="s">
        <v>12</v>
      </c>
      <c r="I322" s="130" t="s">
        <v>120</v>
      </c>
      <c r="J322" s="169" t="s">
        <v>12</v>
      </c>
      <c r="K322" s="130" t="s">
        <v>120</v>
      </c>
      <c r="L322" s="169" t="s">
        <v>12</v>
      </c>
      <c r="M322" s="130" t="s">
        <v>120</v>
      </c>
      <c r="N322" s="169" t="s">
        <v>116</v>
      </c>
      <c r="O322" s="154" t="s">
        <v>120</v>
      </c>
      <c r="P322" s="6">
        <v>0</v>
      </c>
      <c r="Q322" s="119" t="str">
        <f t="shared" si="197"/>
        <v>Trabalho de Grupo</v>
      </c>
      <c r="R322" s="105" t="str">
        <f t="shared" si="191"/>
        <v>IAC</v>
      </c>
      <c r="S322" s="88">
        <f t="shared" si="188"/>
        <v>-1</v>
      </c>
      <c r="T322" s="89">
        <f>IF(VLOOKUP(Q322,'INFO BASE'!$B$40:$I$54,IF(R322='INFO BASE'!$B$32,3,IF(R322='INFO BASE'!$B$33,4,IF(R322='INFO BASE'!$B$34,5,IF(R322='INFO BASE'!$B$35,6,IF(R322='INFO BASE'!$B$36,7,IF(R322='INFO BASE'!$B$37,8,2)))))),0)=0,"",VLOOKUP(Q322,'INFO BASE'!$B$40:$I$54,IF(R322='INFO BASE'!$B$32,3,IF(R322='INFO BASE'!$B$33,4,IF(R322='INFO BASE'!$B$34,5,IF(R322='INFO BASE'!$B$35,6,IF(R322='INFO BASE'!$B$36,7,IF(R322='INFO BASE'!$B$37,8,2)))))),0))</f>
        <v>3</v>
      </c>
      <c r="U322" s="89">
        <f>(COUNTIFS(C294:C341,R322,B294:B341,R319)+COUNTIFS(E294:E341,R322,D294:D341,R319)+COUNTIFS(G294:G341,R322,F294:F341,R319)+COUNTIFS(I294:I341,R322,H294:H341,R319)+COUNTIFS(K294:K341,R322,J294:J341,R319)+COUNTIFS(M294:M341,R322,L294:L341,R319)+COUNTIFS(O294:O341,R322,N294:N341,R319))*0.5</f>
        <v>0</v>
      </c>
      <c r="V322" s="89">
        <f>(COUNTIFS(AI294:AI341,R319,AJ294:AJ341,R315)+COUNTIFS(AK294:AK341,R319,AL294:AL341,R315)+COUNTIFS(AM294:AM341,R319,AN294:AN341,R315)+COUNTIFS(AO294:AO341,R319,AP294:AP341,R315)+COUNTIFS(AQ294:AQ341,R319,AR294:AR341,R315)+COUNTIFS(AS294:AS341,R319,AT294:AT341,R315)+COUNTIFS(AU294:AU341,R319,AV294:AV341,R315))*0.5</f>
        <v>0</v>
      </c>
      <c r="W322" s="90">
        <f>IF(AH290="","-",IF(V322=0,U322,IFERROR((U322/V322)-1,"-")))</f>
        <v>0</v>
      </c>
      <c r="X322" s="201">
        <f t="shared" si="189"/>
        <v>0</v>
      </c>
      <c r="Y322" s="271"/>
      <c r="Z322" s="272"/>
      <c r="AA322" s="272"/>
      <c r="AB322" s="272"/>
      <c r="AC322" s="272"/>
      <c r="AD322" s="272"/>
      <c r="AE322" s="272"/>
      <c r="AF322" s="273"/>
      <c r="AH322" s="136">
        <v>0.58333333333335202</v>
      </c>
      <c r="AI322" s="136" t="s">
        <v>12</v>
      </c>
      <c r="AJ322" s="136" t="s">
        <v>120</v>
      </c>
      <c r="AK322" s="136" t="s">
        <v>12</v>
      </c>
      <c r="AL322" s="136" t="s">
        <v>120</v>
      </c>
      <c r="AM322" s="136" t="s">
        <v>12</v>
      </c>
      <c r="AN322" s="136" t="s">
        <v>120</v>
      </c>
      <c r="AO322" s="136" t="s">
        <v>12</v>
      </c>
      <c r="AP322" s="136" t="s">
        <v>120</v>
      </c>
      <c r="AQ322" s="136" t="s">
        <v>12</v>
      </c>
      <c r="AR322" s="136" t="s">
        <v>120</v>
      </c>
      <c r="AS322" s="136" t="s">
        <v>12</v>
      </c>
      <c r="AT322" s="136" t="s">
        <v>120</v>
      </c>
      <c r="AU322" s="136" t="s">
        <v>116</v>
      </c>
      <c r="AV322" s="136" t="s">
        <v>120</v>
      </c>
      <c r="AX322" s="136" t="str">
        <f>IF(AI290="","",IF(B322="","",B322))</f>
        <v>HR</v>
      </c>
      <c r="AY322" s="136" t="str">
        <f>IF(AI290="","",IF(C322="","",C322))</f>
        <v>-</v>
      </c>
      <c r="AZ322" s="136" t="str">
        <f>IF(AI290="","",IF(D322="","",D322))</f>
        <v>HR</v>
      </c>
      <c r="BA322" s="136" t="str">
        <f>IF(AI290="","",IF(E322="","",E322))</f>
        <v>-</v>
      </c>
      <c r="BB322" s="136" t="str">
        <f>IF(AI290="","",IF(F322="","",F322))</f>
        <v>HR</v>
      </c>
      <c r="BC322" s="136" t="str">
        <f>IF(AI290="","",IF(G322="","",G322))</f>
        <v>-</v>
      </c>
      <c r="BD322" s="136" t="str">
        <f>IF(AI290="","",IF(H322="","",H322))</f>
        <v>HR</v>
      </c>
      <c r="BE322" s="136" t="str">
        <f>IF(AI290="","",IF(I322="","",I322))</f>
        <v>-</v>
      </c>
      <c r="BF322" s="136" t="str">
        <f>IF(AI290="","",IF(J322="","",J322))</f>
        <v>HR</v>
      </c>
      <c r="BG322" s="136" t="str">
        <f>IF(AI290="","",IF(K322="","",K322))</f>
        <v>-</v>
      </c>
      <c r="BH322" s="136" t="str">
        <f>IF(AI290="","",IF(L322="","",L322))</f>
        <v>HR</v>
      </c>
      <c r="BI322" s="136" t="str">
        <f>IF(AI290="","",IF(M322="","",M322))</f>
        <v>-</v>
      </c>
      <c r="BJ322" s="136" t="str">
        <f>IF(AI290="","",IF(N322="","",N322))</f>
        <v>PV</v>
      </c>
      <c r="BK322" s="136" t="str">
        <f>IF(AI290="","",IF(O322="","",O322))</f>
        <v>-</v>
      </c>
      <c r="BM322" s="136" t="str">
        <f t="shared" si="196"/>
        <v>TG</v>
      </c>
      <c r="BN322" s="136" t="str">
        <f t="shared" si="184"/>
        <v>Trabalho de Grupo</v>
      </c>
      <c r="BO322" s="136" t="str">
        <f t="shared" si="184"/>
        <v/>
      </c>
      <c r="BP322" s="136">
        <f>(COUNTIFS(AX294:AX341,BM322,AY294:AY341,BO322)+COUNTIFS(AZ294:AZ341,BM322,BA294:BA341,BO322)+COUNTIFS(BB294:BB341,BM322,BC294:BC341,BO322)+COUNTIFS(BD294:BD341,BM322,BE294:BE341,BO322)+COUNTIFS(BF294:BF341,BM322,BG294:BG341,BO322)+COUNTIFS(BH294:BH341,BM322,BI294:BI341,BO322)+COUNTIFS(BJ294:BJ341,BM322,BK294:BK341,BO322))*0.5</f>
        <v>0</v>
      </c>
      <c r="BQ322" s="136" t="str">
        <f t="shared" si="185"/>
        <v>Trabalho de Grupo</v>
      </c>
      <c r="BR322" s="136" t="str">
        <f t="shared" si="185"/>
        <v/>
      </c>
      <c r="BS322" s="136" t="str">
        <f t="shared" si="186"/>
        <v>Trabalho de Grupo</v>
      </c>
      <c r="BT322" s="136">
        <f t="shared" si="192"/>
        <v>0</v>
      </c>
      <c r="BU322" s="136">
        <f t="shared" si="193"/>
        <v>0</v>
      </c>
      <c r="CA322" s="136">
        <f>'INFO BASE'!L401</f>
        <v>0</v>
      </c>
      <c r="CB322" s="136">
        <f>'INFO BASE'!M401</f>
        <v>0</v>
      </c>
      <c r="CR322" s="177" t="str">
        <f t="shared" si="174"/>
        <v>HR</v>
      </c>
      <c r="CS322" s="177" t="str">
        <f t="shared" si="175"/>
        <v>HR-</v>
      </c>
      <c r="CT322" s="177" t="str">
        <f t="shared" si="174"/>
        <v>HR</v>
      </c>
      <c r="CU322" s="177" t="str">
        <f t="shared" si="176"/>
        <v>HR-</v>
      </c>
      <c r="CV322" s="177" t="str">
        <f t="shared" si="174"/>
        <v>HR</v>
      </c>
      <c r="CW322" s="177" t="str">
        <f t="shared" si="177"/>
        <v>HR-</v>
      </c>
      <c r="CX322" s="177" t="str">
        <f t="shared" si="174"/>
        <v>HR</v>
      </c>
      <c r="CY322" s="177" t="str">
        <f t="shared" si="178"/>
        <v>HR-</v>
      </c>
      <c r="CZ322" s="177" t="str">
        <f t="shared" si="174"/>
        <v>HR</v>
      </c>
      <c r="DA322" s="177" t="str">
        <f t="shared" si="179"/>
        <v>HR-</v>
      </c>
      <c r="DB322" s="177" t="str">
        <f t="shared" si="174"/>
        <v>HR</v>
      </c>
      <c r="DC322" s="177" t="str">
        <f t="shared" si="180"/>
        <v>HR-</v>
      </c>
      <c r="DD322" s="177" t="str">
        <f t="shared" si="181"/>
        <v>PV</v>
      </c>
      <c r="DE322" s="177">
        <f t="shared" si="182"/>
        <v>0</v>
      </c>
    </row>
    <row r="323" spans="1:109" ht="18" customHeight="1" x14ac:dyDescent="0.3">
      <c r="A323" s="81">
        <v>0.60416666666668595</v>
      </c>
      <c r="B323" s="166" t="s">
        <v>12</v>
      </c>
      <c r="C323" s="130" t="s">
        <v>120</v>
      </c>
      <c r="D323" s="169" t="s">
        <v>12</v>
      </c>
      <c r="E323" s="130" t="s">
        <v>120</v>
      </c>
      <c r="F323" s="169" t="s">
        <v>12</v>
      </c>
      <c r="G323" s="130" t="s">
        <v>120</v>
      </c>
      <c r="H323" s="169" t="s">
        <v>12</v>
      </c>
      <c r="I323" s="130" t="s">
        <v>120</v>
      </c>
      <c r="J323" s="169" t="s">
        <v>12</v>
      </c>
      <c r="K323" s="130" t="s">
        <v>120</v>
      </c>
      <c r="L323" s="169" t="s">
        <v>116</v>
      </c>
      <c r="M323" s="130" t="s">
        <v>120</v>
      </c>
      <c r="N323" s="169" t="s">
        <v>12</v>
      </c>
      <c r="O323" s="154" t="s">
        <v>120</v>
      </c>
      <c r="P323" s="6">
        <v>0</v>
      </c>
      <c r="Q323" s="118" t="str">
        <f t="shared" si="197"/>
        <v>Trabalho de Grupo</v>
      </c>
      <c r="R323" s="105" t="str">
        <f t="shared" si="191"/>
        <v>AL</v>
      </c>
      <c r="S323" s="88">
        <f t="shared" si="188"/>
        <v>-1</v>
      </c>
      <c r="T323" s="89">
        <f>IF(VLOOKUP(Q323,'INFO BASE'!$B$40:$I$54,IF(R323='INFO BASE'!$B$32,3,IF(R323='INFO BASE'!$B$33,4,IF(R323='INFO BASE'!$B$34,5,IF(R323='INFO BASE'!$B$35,6,IF(R323='INFO BASE'!$B$36,7,IF(R323='INFO BASE'!$B$37,8,2)))))),0)=0,"",VLOOKUP(Q323,'INFO BASE'!$B$40:$I$54,IF(R323='INFO BASE'!$B$32,3,IF(R323='INFO BASE'!$B$33,4,IF(R323='INFO BASE'!$B$34,5,IF(R323='INFO BASE'!$B$35,6,IF(R323='INFO BASE'!$B$36,7,IF(R323='INFO BASE'!$B$37,8,2)))))),0))</f>
        <v>3</v>
      </c>
      <c r="U323" s="89">
        <f>(COUNTIFS(C294:C341,R323,B294:B341,R319)+COUNTIFS(E294:E341,R323,D294:D341,R319)+COUNTIFS(G294:G341,R323,F294:F341,R319)+COUNTIFS(I294:I341,R323,H294:H341,R319)+COUNTIFS(K294:K341,R323,J294:J341,R319)+COUNTIFS(M294:M341,R323,L294:L341,R319)+COUNTIFS(O294:O341,R323,N294:N341,R319))*0.5</f>
        <v>0</v>
      </c>
      <c r="V323" s="89">
        <f>(COUNTIFS(AI294:AI341,R319,AJ294:AJ341,R316)+COUNTIFS(AK294:AK341,R319,AL294:AL341,R316)+COUNTIFS(AM294:AM341,R319,AN294:AN341,R316)+COUNTIFS(AO294:AO341,R319,AP294:AP341,R316)+COUNTIFS(AQ294:AQ341,R319,AR294:AR341,R316)+COUNTIFS(AS294:AS341,R319,AT294:AT341,R316)+COUNTIFS(AU294:AU341,R319,AV294:AV341,R316))*0.5</f>
        <v>0</v>
      </c>
      <c r="W323" s="90">
        <f>IF(AH290="","-",IF(V323=0,U323,IFERROR((U323/V323)-1,"-")))</f>
        <v>0</v>
      </c>
      <c r="X323" s="201">
        <f t="shared" si="189"/>
        <v>0</v>
      </c>
      <c r="Y323" s="271"/>
      <c r="Z323" s="272"/>
      <c r="AA323" s="272"/>
      <c r="AB323" s="272"/>
      <c r="AC323" s="272"/>
      <c r="AD323" s="272"/>
      <c r="AE323" s="272"/>
      <c r="AF323" s="273"/>
      <c r="AH323" s="136">
        <v>0.60416666666668595</v>
      </c>
      <c r="AI323" s="136" t="s">
        <v>12</v>
      </c>
      <c r="AJ323" s="136" t="s">
        <v>120</v>
      </c>
      <c r="AK323" s="136" t="s">
        <v>12</v>
      </c>
      <c r="AL323" s="136" t="s">
        <v>120</v>
      </c>
      <c r="AM323" s="136" t="s">
        <v>12</v>
      </c>
      <c r="AN323" s="136" t="s">
        <v>120</v>
      </c>
      <c r="AO323" s="136" t="s">
        <v>12</v>
      </c>
      <c r="AP323" s="136" t="s">
        <v>120</v>
      </c>
      <c r="AQ323" s="136" t="s">
        <v>12</v>
      </c>
      <c r="AR323" s="136" t="s">
        <v>120</v>
      </c>
      <c r="AS323" s="136" t="s">
        <v>116</v>
      </c>
      <c r="AT323" s="136" t="s">
        <v>120</v>
      </c>
      <c r="AU323" s="136" t="s">
        <v>12</v>
      </c>
      <c r="AV323" s="136" t="s">
        <v>120</v>
      </c>
      <c r="AX323" s="136" t="str">
        <f>IF(AI290="","",IF(B323="","",B323))</f>
        <v>HR</v>
      </c>
      <c r="AY323" s="136" t="str">
        <f>IF(AI290="","",IF(C323="","",C323))</f>
        <v>-</v>
      </c>
      <c r="AZ323" s="136" t="str">
        <f>IF(AI290="","",IF(D323="","",D323))</f>
        <v>HR</v>
      </c>
      <c r="BA323" s="136" t="str">
        <f>IF(AI290="","",IF(E323="","",E323))</f>
        <v>-</v>
      </c>
      <c r="BB323" s="136" t="str">
        <f>IF(AI290="","",IF(F323="","",F323))</f>
        <v>HR</v>
      </c>
      <c r="BC323" s="136" t="str">
        <f>IF(AI290="","",IF(G323="","",G323))</f>
        <v>-</v>
      </c>
      <c r="BD323" s="136" t="str">
        <f>IF(AI290="","",IF(H323="","",H323))</f>
        <v>HR</v>
      </c>
      <c r="BE323" s="136" t="str">
        <f>IF(AI290="","",IF(I323="","",I323))</f>
        <v>-</v>
      </c>
      <c r="BF323" s="136" t="str">
        <f>IF(AI290="","",IF(J323="","",J323))</f>
        <v>HR</v>
      </c>
      <c r="BG323" s="136" t="str">
        <f>IF(AI290="","",IF(K323="","",K323))</f>
        <v>-</v>
      </c>
      <c r="BH323" s="136" t="str">
        <f>IF(AI290="","",IF(L323="","",L323))</f>
        <v>PV</v>
      </c>
      <c r="BI323" s="136" t="str">
        <f>IF(AI290="","",IF(M323="","",M323))</f>
        <v>-</v>
      </c>
      <c r="BJ323" s="136" t="str">
        <f>IF(AI290="","",IF(N323="","",N323))</f>
        <v>HR</v>
      </c>
      <c r="BK323" s="136" t="str">
        <f>IF(AI290="","",IF(O323="","",O323))</f>
        <v>-</v>
      </c>
      <c r="BM323" s="136" t="str">
        <f>BO323</f>
        <v>AT</v>
      </c>
      <c r="BN323" s="136" t="str">
        <f t="shared" si="184"/>
        <v>Aulas Teóricas</v>
      </c>
      <c r="BO323" s="136" t="str">
        <f t="shared" si="184"/>
        <v>AT</v>
      </c>
      <c r="BP323" s="136">
        <f>COUNTIFS(AX294:BK341,BO323)*0.5</f>
        <v>15</v>
      </c>
      <c r="BQ323" s="136" t="str">
        <f t="shared" si="185"/>
        <v>Aulas Teóricas</v>
      </c>
      <c r="BR323" s="136" t="str">
        <f t="shared" si="185"/>
        <v>AT</v>
      </c>
      <c r="BS323" s="136" t="str">
        <f t="shared" si="186"/>
        <v>Aulas Teóricas</v>
      </c>
      <c r="BT323" s="136">
        <f t="shared" si="192"/>
        <v>120</v>
      </c>
      <c r="BU323" s="136">
        <f t="shared" si="193"/>
        <v>120</v>
      </c>
      <c r="CA323" s="136">
        <f>'INFO BASE'!L402</f>
        <v>0</v>
      </c>
      <c r="CB323" s="136">
        <f>'INFO BASE'!M402</f>
        <v>0</v>
      </c>
      <c r="CR323" s="177" t="str">
        <f t="shared" si="174"/>
        <v>HR</v>
      </c>
      <c r="CS323" s="177" t="str">
        <f t="shared" si="175"/>
        <v>HR-</v>
      </c>
      <c r="CT323" s="177" t="str">
        <f t="shared" si="174"/>
        <v>HR</v>
      </c>
      <c r="CU323" s="177" t="str">
        <f t="shared" si="176"/>
        <v>HR-</v>
      </c>
      <c r="CV323" s="177" t="str">
        <f t="shared" si="174"/>
        <v>HR</v>
      </c>
      <c r="CW323" s="177" t="str">
        <f t="shared" si="177"/>
        <v>HR-</v>
      </c>
      <c r="CX323" s="177" t="str">
        <f t="shared" si="174"/>
        <v>HR</v>
      </c>
      <c r="CY323" s="177" t="str">
        <f t="shared" si="178"/>
        <v>HR-</v>
      </c>
      <c r="CZ323" s="177" t="str">
        <f t="shared" si="174"/>
        <v>HR</v>
      </c>
      <c r="DA323" s="177" t="str">
        <f t="shared" si="179"/>
        <v>HR-</v>
      </c>
      <c r="DB323" s="177" t="str">
        <f t="shared" si="174"/>
        <v>PV</v>
      </c>
      <c r="DC323" s="177">
        <f t="shared" si="180"/>
        <v>0</v>
      </c>
      <c r="DD323" s="177" t="str">
        <f t="shared" si="181"/>
        <v>HR</v>
      </c>
      <c r="DE323" s="177" t="str">
        <f t="shared" si="182"/>
        <v>HR-</v>
      </c>
    </row>
    <row r="324" spans="1:109" ht="18" customHeight="1" x14ac:dyDescent="0.3">
      <c r="A324" s="81">
        <v>0.62500000000001998</v>
      </c>
      <c r="B324" s="166" t="s">
        <v>128</v>
      </c>
      <c r="C324" s="130" t="s">
        <v>230</v>
      </c>
      <c r="D324" s="169" t="s">
        <v>128</v>
      </c>
      <c r="E324" s="130" t="s">
        <v>224</v>
      </c>
      <c r="F324" s="169" t="s">
        <v>128</v>
      </c>
      <c r="G324" s="130" t="s">
        <v>228</v>
      </c>
      <c r="H324" s="169" t="s">
        <v>128</v>
      </c>
      <c r="I324" s="130" t="s">
        <v>230</v>
      </c>
      <c r="J324" s="169" t="s">
        <v>128</v>
      </c>
      <c r="K324" s="130" t="s">
        <v>228</v>
      </c>
      <c r="L324" s="169" t="s">
        <v>116</v>
      </c>
      <c r="M324" s="130" t="s">
        <v>120</v>
      </c>
      <c r="N324" s="169" t="s">
        <v>12</v>
      </c>
      <c r="O324" s="154" t="s">
        <v>120</v>
      </c>
      <c r="P324" s="6">
        <v>0</v>
      </c>
      <c r="Q324" s="118" t="str">
        <f t="shared" si="197"/>
        <v>Trabalho de Grupo</v>
      </c>
      <c r="R324" s="105" t="str">
        <f t="shared" si="191"/>
        <v>CDI</v>
      </c>
      <c r="S324" s="88">
        <f t="shared" si="188"/>
        <v>-1</v>
      </c>
      <c r="T324" s="89">
        <f>IF(VLOOKUP(Q324,'INFO BASE'!$B$40:$I$54,IF(R324='INFO BASE'!$B$32,3,IF(R324='INFO BASE'!$B$33,4,IF(R324='INFO BASE'!$B$34,5,IF(R324='INFO BASE'!$B$35,6,IF(R324='INFO BASE'!$B$36,7,IF(R324='INFO BASE'!$B$37,8,2)))))),0)=0,"",VLOOKUP(Q324,'INFO BASE'!$B$40:$I$54,IF(R324='INFO BASE'!$B$32,3,IF(R324='INFO BASE'!$B$33,4,IF(R324='INFO BASE'!$B$34,5,IF(R324='INFO BASE'!$B$35,6,IF(R324='INFO BASE'!$B$36,7,IF(R324='INFO BASE'!$B$37,8,2)))))),0))</f>
        <v>3</v>
      </c>
      <c r="U324" s="89">
        <f>(COUNTIFS(C294:C341,R324,B294:B341,R319)+COUNTIFS(E294:E341,R324,D294:D341,R319)+COUNTIFS(G294:G341,R324,F294:F341,R319)+COUNTIFS(I294:I341,R324,H294:H341,R319)+COUNTIFS(K294:K341,R324,J294:J341,R319)+COUNTIFS(M294:M341,R324,L294:L341,R319)+COUNTIFS(O294:O341,R324,N294:N341,R319))*0.5</f>
        <v>0</v>
      </c>
      <c r="V324" s="89">
        <f>(COUNTIFS(AI294:AI341,R319,AJ294:AJ341,R317)+COUNTIFS(AK294:AK341,R319,AL294:AL341,R317)+COUNTIFS(AM294:AM341,R319,AN294:AN341,R317)+COUNTIFS(AO294:AO341,R319,AP294:AP341,R317)+COUNTIFS(AQ294:AQ341,R319,AR294:AR341,R317)+COUNTIFS(AS294:AS341,R319,AT294:AT341,R317)+COUNTIFS(AU294:AU341,R319,AV294:AV341,R317))*0.5</f>
        <v>0</v>
      </c>
      <c r="W324" s="90">
        <f>IF(AH290="","-",IF(V324=0,U324,IFERROR((U324/V324)-1,"-")))</f>
        <v>0</v>
      </c>
      <c r="X324" s="201">
        <f t="shared" si="189"/>
        <v>0</v>
      </c>
      <c r="Y324" s="271"/>
      <c r="Z324" s="272"/>
      <c r="AA324" s="272"/>
      <c r="AB324" s="272"/>
      <c r="AC324" s="272"/>
      <c r="AD324" s="272"/>
      <c r="AE324" s="272"/>
      <c r="AF324" s="273"/>
      <c r="AH324" s="136">
        <v>0.62500000000001998</v>
      </c>
      <c r="AI324" s="136" t="s">
        <v>128</v>
      </c>
      <c r="AJ324" s="136" t="s">
        <v>230</v>
      </c>
      <c r="AK324" s="136" t="s">
        <v>128</v>
      </c>
      <c r="AL324" s="136" t="s">
        <v>224</v>
      </c>
      <c r="AM324" s="136" t="s">
        <v>128</v>
      </c>
      <c r="AN324" s="136" t="s">
        <v>228</v>
      </c>
      <c r="AO324" s="136" t="s">
        <v>128</v>
      </c>
      <c r="AP324" s="136" t="s">
        <v>230</v>
      </c>
      <c r="AQ324" s="136" t="s">
        <v>128</v>
      </c>
      <c r="AR324" s="136" t="s">
        <v>228</v>
      </c>
      <c r="AS324" s="136" t="s">
        <v>116</v>
      </c>
      <c r="AT324" s="136" t="s">
        <v>120</v>
      </c>
      <c r="AU324" s="136" t="s">
        <v>12</v>
      </c>
      <c r="AV324" s="136" t="s">
        <v>120</v>
      </c>
      <c r="AX324" s="136" t="str">
        <f>IF(AI290="","",IF(B324="","",B324))</f>
        <v>EG</v>
      </c>
      <c r="AY324" s="136" t="str">
        <f>IF(AI290="","",IF(C324="","",C324))</f>
        <v>AL</v>
      </c>
      <c r="AZ324" s="136" t="str">
        <f>IF(AI290="","",IF(D324="","",D324))</f>
        <v>EG</v>
      </c>
      <c r="BA324" s="136" t="str">
        <f>IF(AI290="","",IF(E324="","",E324))</f>
        <v>FP</v>
      </c>
      <c r="BB324" s="136" t="str">
        <f>IF(AI290="","",IF(F324="","",F324))</f>
        <v>EG</v>
      </c>
      <c r="BC324" s="136" t="str">
        <f>IF(AI290="","",IF(G324="","",G324))</f>
        <v>IAC</v>
      </c>
      <c r="BD324" s="136" t="str">
        <f>IF(AI290="","",IF(H324="","",H324))</f>
        <v>EG</v>
      </c>
      <c r="BE324" s="136" t="str">
        <f>IF(AI290="","",IF(I324="","",I324))</f>
        <v>AL</v>
      </c>
      <c r="BF324" s="136" t="str">
        <f>IF(AI290="","",IF(J324="","",J324))</f>
        <v>EG</v>
      </c>
      <c r="BG324" s="136" t="str">
        <f>IF(AI290="","",IF(K324="","",K324))</f>
        <v>IAC</v>
      </c>
      <c r="BH324" s="136" t="str">
        <f>IF(AI290="","",IF(L324="","",L324))</f>
        <v>PV</v>
      </c>
      <c r="BI324" s="136" t="str">
        <f>IF(AI290="","",IF(M324="","",M324))</f>
        <v>-</v>
      </c>
      <c r="BJ324" s="136" t="str">
        <f>IF(AI290="","",IF(N324="","",N324))</f>
        <v>HR</v>
      </c>
      <c r="BK324" s="136" t="str">
        <f>IF(AI290="","",IF(O324="","",O324))</f>
        <v>-</v>
      </c>
      <c r="BM324" s="136" t="str">
        <f>BM323</f>
        <v>AT</v>
      </c>
      <c r="BN324" s="136" t="str">
        <f t="shared" si="184"/>
        <v>Aulas Teóricas</v>
      </c>
      <c r="BO324" s="136" t="str">
        <f t="shared" si="184"/>
        <v>FP</v>
      </c>
      <c r="BP324" s="136">
        <f>(COUNTIFS(AX294:AX341,BM324,AY294:AY341,BO324)+COUNTIFS(AZ294:AZ341,BM324,BA294:BA341,BO324)+COUNTIFS(BB294:BB341,BM324,BC294:BC341,BO324)+COUNTIFS(BD294:BD341,BM324,BE294:BE341,BO324)+COUNTIFS(BF294:BF341,BM324,BG294:BG341,BO324)+COUNTIFS(BH294:BH341,BM324,BI294:BI341,BO324)+COUNTIFS(BJ294:BJ341,BM324,BK294:BK341,BO324))*0.5</f>
        <v>3</v>
      </c>
      <c r="BQ324" s="136" t="str">
        <f t="shared" si="185"/>
        <v>Aulas Teóricas</v>
      </c>
      <c r="BR324" s="136" t="str">
        <f t="shared" si="185"/>
        <v>FP</v>
      </c>
      <c r="BS324" s="136" t="str">
        <f t="shared" si="186"/>
        <v>Aulas Teóricas</v>
      </c>
      <c r="BT324" s="136">
        <f t="shared" si="192"/>
        <v>24</v>
      </c>
      <c r="BU324" s="136">
        <f t="shared" si="193"/>
        <v>24</v>
      </c>
      <c r="CR324" s="177" t="str">
        <f t="shared" si="174"/>
        <v>EG</v>
      </c>
      <c r="CS324" s="177" t="str">
        <f t="shared" si="175"/>
        <v>EGAL</v>
      </c>
      <c r="CT324" s="177" t="str">
        <f t="shared" si="174"/>
        <v>EG</v>
      </c>
      <c r="CU324" s="177" t="str">
        <f t="shared" si="176"/>
        <v>EGFP</v>
      </c>
      <c r="CV324" s="177" t="str">
        <f t="shared" si="174"/>
        <v>EG</v>
      </c>
      <c r="CW324" s="177" t="str">
        <f t="shared" si="177"/>
        <v>EGIAC</v>
      </c>
      <c r="CX324" s="177" t="str">
        <f t="shared" si="174"/>
        <v>EG</v>
      </c>
      <c r="CY324" s="177" t="str">
        <f t="shared" si="178"/>
        <v>EGAL</v>
      </c>
      <c r="CZ324" s="177" t="str">
        <f t="shared" si="174"/>
        <v>EG</v>
      </c>
      <c r="DA324" s="177" t="str">
        <f t="shared" si="179"/>
        <v>EGIAC</v>
      </c>
      <c r="DB324" s="177" t="str">
        <f t="shared" si="174"/>
        <v>PV</v>
      </c>
      <c r="DC324" s="177">
        <f t="shared" si="180"/>
        <v>0</v>
      </c>
      <c r="DD324" s="177" t="str">
        <f t="shared" si="181"/>
        <v>HR</v>
      </c>
      <c r="DE324" s="177" t="str">
        <f t="shared" si="182"/>
        <v>HR-</v>
      </c>
    </row>
    <row r="325" spans="1:109" ht="18" customHeight="1" thickBot="1" x14ac:dyDescent="0.35">
      <c r="A325" s="81">
        <v>0.64583333333335402</v>
      </c>
      <c r="B325" s="166" t="s">
        <v>128</v>
      </c>
      <c r="C325" s="130" t="s">
        <v>230</v>
      </c>
      <c r="D325" s="169" t="s">
        <v>128</v>
      </c>
      <c r="E325" s="130" t="s">
        <v>224</v>
      </c>
      <c r="F325" s="169" t="s">
        <v>128</v>
      </c>
      <c r="G325" s="130" t="s">
        <v>228</v>
      </c>
      <c r="H325" s="169" t="s">
        <v>128</v>
      </c>
      <c r="I325" s="130" t="s">
        <v>230</v>
      </c>
      <c r="J325" s="169" t="s">
        <v>128</v>
      </c>
      <c r="K325" s="130" t="s">
        <v>228</v>
      </c>
      <c r="L325" s="169" t="s">
        <v>116</v>
      </c>
      <c r="M325" s="130" t="s">
        <v>120</v>
      </c>
      <c r="N325" s="169" t="s">
        <v>116</v>
      </c>
      <c r="O325" s="154" t="s">
        <v>120</v>
      </c>
      <c r="P325" s="6">
        <v>0</v>
      </c>
      <c r="Q325" s="120" t="str">
        <f t="shared" si="197"/>
        <v>Trabalho de Grupo</v>
      </c>
      <c r="R325" s="107" t="str">
        <f t="shared" si="191"/>
        <v/>
      </c>
      <c r="S325" s="94" t="str">
        <f t="shared" si="188"/>
        <v>-</v>
      </c>
      <c r="T325" s="95" t="str">
        <f>IF(VLOOKUP(Q325,'INFO BASE'!$B$40:$I$54,IF(R325='INFO BASE'!$B$32,3,IF(R325='INFO BASE'!$B$33,4,IF(R325='INFO BASE'!$B$34,5,IF(R325='INFO BASE'!$B$35,6,IF(R325='INFO BASE'!$B$36,7,IF(R325='INFO BASE'!$B$37,8,2)))))),0)=0,"",VLOOKUP(Q325,'INFO BASE'!$B$40:$I$54,IF(R325='INFO BASE'!$B$32,3,IF(R325='INFO BASE'!$B$33,4,IF(R325='INFO BASE'!$B$34,5,IF(R325='INFO BASE'!$B$35,6,IF(R325='INFO BASE'!$B$36,7,IF(R325='INFO BASE'!$B$37,8,2)))))),0))</f>
        <v/>
      </c>
      <c r="U325" s="95">
        <f>(COUNTIFS(C294:C341,R325,B294:B341,R319)+COUNTIFS(E294:E341,R325,D294:D341,R319)+COUNTIFS(G294:G341,R325,F294:F341,R319)+COUNTIFS(I294:I341,R325,H294:H341,R319)+COUNTIFS(K294:K341,R325,J294:J341,R319)+COUNTIFS(M294:M341,R325,L294:L341,R319)+COUNTIFS(O294:O341,R325,N294:N341,R319))*0.5</f>
        <v>0</v>
      </c>
      <c r="V325" s="95">
        <f>(COUNTIFS(AI294:AI341,R319,AJ294:AJ341,R318)+COUNTIFS(AK294:AK341,R319,AL294:AL341,R318)+COUNTIFS(AM294:AM341,R319,AN294:AN341,R318)+COUNTIFS(AO294:AO341,R319,AP294:AP341,R318)+COUNTIFS(AQ294:AQ341,R319,AR294:AR341,R318)+COUNTIFS(AS294:AS341,R319,AT294:AT341,R318)+COUNTIFS(AU294:AU341,R319,AV294:AV341,R318))*0.5</f>
        <v>0</v>
      </c>
      <c r="W325" s="96">
        <f>IF(AH290="","-",IF(V325=0,U325,IFERROR((U325/V325)-1,"-")))</f>
        <v>0</v>
      </c>
      <c r="X325" s="201">
        <f t="shared" si="189"/>
        <v>0</v>
      </c>
      <c r="Y325" s="274"/>
      <c r="Z325" s="275"/>
      <c r="AA325" s="275"/>
      <c r="AB325" s="275"/>
      <c r="AC325" s="275"/>
      <c r="AD325" s="275"/>
      <c r="AE325" s="275"/>
      <c r="AF325" s="276"/>
      <c r="AH325" s="136">
        <v>0.64583333333335402</v>
      </c>
      <c r="AI325" s="136" t="s">
        <v>128</v>
      </c>
      <c r="AJ325" s="136" t="s">
        <v>230</v>
      </c>
      <c r="AK325" s="136" t="s">
        <v>128</v>
      </c>
      <c r="AL325" s="136" t="s">
        <v>224</v>
      </c>
      <c r="AM325" s="136" t="s">
        <v>128</v>
      </c>
      <c r="AN325" s="136" t="s">
        <v>228</v>
      </c>
      <c r="AO325" s="136" t="s">
        <v>128</v>
      </c>
      <c r="AP325" s="136" t="s">
        <v>230</v>
      </c>
      <c r="AQ325" s="136" t="s">
        <v>128</v>
      </c>
      <c r="AR325" s="136" t="s">
        <v>228</v>
      </c>
      <c r="AS325" s="136" t="s">
        <v>116</v>
      </c>
      <c r="AT325" s="136" t="s">
        <v>120</v>
      </c>
      <c r="AU325" s="136" t="s">
        <v>116</v>
      </c>
      <c r="AV325" s="136" t="s">
        <v>120</v>
      </c>
      <c r="AX325" s="136" t="str">
        <f>IF(AI290="","",IF(B325="","",B325))</f>
        <v>EG</v>
      </c>
      <c r="AY325" s="136" t="str">
        <f>IF(AI290="","",IF(C325="","",C325))</f>
        <v>AL</v>
      </c>
      <c r="AZ325" s="136" t="str">
        <f>IF(AI290="","",IF(D325="","",D325))</f>
        <v>EG</v>
      </c>
      <c r="BA325" s="136" t="str">
        <f>IF(AI290="","",IF(E325="","",E325))</f>
        <v>FP</v>
      </c>
      <c r="BB325" s="136" t="str">
        <f>IF(AI290="","",IF(F325="","",F325))</f>
        <v>EG</v>
      </c>
      <c r="BC325" s="136" t="str">
        <f>IF(AI290="","",IF(G325="","",G325))</f>
        <v>IAC</v>
      </c>
      <c r="BD325" s="136" t="str">
        <f>IF(AI290="","",IF(H325="","",H325))</f>
        <v>EG</v>
      </c>
      <c r="BE325" s="136" t="str">
        <f>IF(AI290="","",IF(I325="","",I325))</f>
        <v>AL</v>
      </c>
      <c r="BF325" s="136" t="str">
        <f>IF(AI290="","",IF(J325="","",J325))</f>
        <v>EG</v>
      </c>
      <c r="BG325" s="136" t="str">
        <f>IF(AI290="","",IF(K325="","",K325))</f>
        <v>IAC</v>
      </c>
      <c r="BH325" s="136" t="str">
        <f>IF(AI290="","",IF(L325="","",L325))</f>
        <v>PV</v>
      </c>
      <c r="BI325" s="136" t="str">
        <f>IF(AI290="","",IF(M325="","",M325))</f>
        <v>-</v>
      </c>
      <c r="BJ325" s="136" t="str">
        <f>IF(AI290="","",IF(N325="","",N325))</f>
        <v>PV</v>
      </c>
      <c r="BK325" s="136" t="str">
        <f>IF(AI290="","",IF(O325="","",O325))</f>
        <v>-</v>
      </c>
      <c r="BM325" s="136" t="str">
        <f t="shared" ref="BM325:BM329" si="198">BM324</f>
        <v>AT</v>
      </c>
      <c r="BN325" s="136" t="str">
        <f t="shared" si="184"/>
        <v>Aulas Teóricas</v>
      </c>
      <c r="BO325" s="136" t="str">
        <f t="shared" si="184"/>
        <v>IEI</v>
      </c>
      <c r="BP325" s="136">
        <f>(COUNTIFS(AX294:AX341,BM325,AY294:AY341,BO325)+COUNTIFS(AZ294:AZ341,BM325,BA294:BA341,BO325)+COUNTIFS(BB294:BB341,BM325,BC294:BC341,BO325)+COUNTIFS(BD294:BD341,BM325,BE294:BE341,BO325)+COUNTIFS(BF294:BF341,BM325,BG294:BG341,BO325)+COUNTIFS(BH294:BH341,BM325,BI294:BI341,BO325)+COUNTIFS(BJ294:BJ341,BM325,BK294:BK341,BO325))*0.5</f>
        <v>3</v>
      </c>
      <c r="BQ325" s="136" t="str">
        <f t="shared" si="185"/>
        <v>Aulas Teóricas</v>
      </c>
      <c r="BR325" s="136" t="str">
        <f t="shared" si="185"/>
        <v>IEI</v>
      </c>
      <c r="BS325" s="136" t="str">
        <f t="shared" si="186"/>
        <v>Aulas Teóricas</v>
      </c>
      <c r="BT325" s="136">
        <f t="shared" si="192"/>
        <v>24</v>
      </c>
      <c r="BU325" s="136">
        <f t="shared" si="193"/>
        <v>24</v>
      </c>
      <c r="CA325" s="136">
        <f>'INFO BASE'!L403</f>
        <v>0</v>
      </c>
      <c r="CB325" s="136">
        <f>'INFO BASE'!M403</f>
        <v>0</v>
      </c>
      <c r="CR325" s="177" t="str">
        <f t="shared" si="174"/>
        <v>EG</v>
      </c>
      <c r="CS325" s="177" t="str">
        <f t="shared" si="175"/>
        <v>EGAL</v>
      </c>
      <c r="CT325" s="177" t="str">
        <f t="shared" si="174"/>
        <v>EG</v>
      </c>
      <c r="CU325" s="177" t="str">
        <f t="shared" si="176"/>
        <v>EGFP</v>
      </c>
      <c r="CV325" s="177" t="str">
        <f t="shared" si="174"/>
        <v>EG</v>
      </c>
      <c r="CW325" s="177" t="str">
        <f t="shared" si="177"/>
        <v>EGIAC</v>
      </c>
      <c r="CX325" s="177" t="str">
        <f t="shared" si="174"/>
        <v>EG</v>
      </c>
      <c r="CY325" s="177" t="str">
        <f t="shared" si="178"/>
        <v>EGAL</v>
      </c>
      <c r="CZ325" s="177" t="str">
        <f t="shared" si="174"/>
        <v>EG</v>
      </c>
      <c r="DA325" s="177" t="str">
        <f t="shared" si="179"/>
        <v>EGIAC</v>
      </c>
      <c r="DB325" s="177" t="str">
        <f t="shared" si="174"/>
        <v>PV</v>
      </c>
      <c r="DC325" s="177">
        <f t="shared" si="180"/>
        <v>0</v>
      </c>
      <c r="DD325" s="177" t="str">
        <f t="shared" si="181"/>
        <v>PV</v>
      </c>
      <c r="DE325" s="177">
        <f t="shared" si="182"/>
        <v>0</v>
      </c>
    </row>
    <row r="326" spans="1:109" ht="18" customHeight="1" x14ac:dyDescent="0.3">
      <c r="A326" s="81">
        <v>0.66666666666668795</v>
      </c>
      <c r="B326" s="166" t="s">
        <v>116</v>
      </c>
      <c r="C326" s="130" t="s">
        <v>120</v>
      </c>
      <c r="D326" s="169" t="s">
        <v>128</v>
      </c>
      <c r="E326" s="130" t="s">
        <v>224</v>
      </c>
      <c r="F326" s="169" t="s">
        <v>116</v>
      </c>
      <c r="G326" s="130" t="s">
        <v>120</v>
      </c>
      <c r="H326" s="169" t="s">
        <v>116</v>
      </c>
      <c r="I326" s="130" t="s">
        <v>120</v>
      </c>
      <c r="J326" s="169" t="s">
        <v>116</v>
      </c>
      <c r="K326" s="130" t="s">
        <v>120</v>
      </c>
      <c r="L326" s="169" t="s">
        <v>116</v>
      </c>
      <c r="M326" s="130" t="s">
        <v>120</v>
      </c>
      <c r="N326" s="169" t="s">
        <v>116</v>
      </c>
      <c r="O326" s="154" t="s">
        <v>120</v>
      </c>
      <c r="P326" s="6">
        <v>0</v>
      </c>
      <c r="Q326" s="121" t="str">
        <f>IF('INFO BASE'!$C$20="","",'INFO BASE'!$C$20)</f>
        <v>Aulas Teóricas</v>
      </c>
      <c r="R326" s="82" t="str">
        <f t="shared" si="191"/>
        <v>AT</v>
      </c>
      <c r="S326" s="83">
        <f t="shared" si="188"/>
        <v>0</v>
      </c>
      <c r="T326" s="84">
        <f>IF(VLOOKUP(Q326,'INFO BASE'!$B$40:$I$54,IF(R326='INFO BASE'!$B$32,3,IF(R326='INFO BASE'!$B$33,4,IF(R326='INFO BASE'!$B$34,5,IF(R326='INFO BASE'!$B$35,6,IF(R326='INFO BASE'!$B$36,7,IF(R326='INFO BASE'!$B$37,8,2)))))),0)=0,"",VLOOKUP(Q326,'INFO BASE'!$B$40:$I$54,IF(R326='INFO BASE'!$B$32,3,IF(R326='INFO BASE'!$B$33,4,IF(R326='INFO BASE'!$B$34,5,IF(R326='INFO BASE'!$B$35,6,IF(R326='INFO BASE'!$B$36,7,IF(R326='INFO BASE'!$B$37,8,2)))))),0))</f>
        <v>15</v>
      </c>
      <c r="U326" s="84">
        <f>IF(R326="","",COUNTIFS(SEMANA6,R326)*0.5)</f>
        <v>15</v>
      </c>
      <c r="V326" s="84">
        <f>IF(R326="","",COUNTIFS(AI294:AV341,R326)*0.5)</f>
        <v>15</v>
      </c>
      <c r="W326" s="85">
        <f>IF(AH290="","-",IF(V326=0,U326,IFERROR((U326/V326)-1,"-")))</f>
        <v>0</v>
      </c>
      <c r="X326" s="201">
        <f t="shared" si="189"/>
        <v>0</v>
      </c>
      <c r="Y326" s="277"/>
      <c r="Z326" s="278"/>
      <c r="AA326" s="278"/>
      <c r="AB326" s="278"/>
      <c r="AC326" s="278"/>
      <c r="AD326" s="278"/>
      <c r="AE326" s="278"/>
      <c r="AF326" s="279"/>
      <c r="AH326" s="136">
        <v>0.66666666666668795</v>
      </c>
      <c r="AI326" s="136" t="s">
        <v>116</v>
      </c>
      <c r="AJ326" s="136" t="s">
        <v>120</v>
      </c>
      <c r="AK326" s="136" t="s">
        <v>128</v>
      </c>
      <c r="AL326" s="136" t="s">
        <v>224</v>
      </c>
      <c r="AM326" s="136" t="s">
        <v>116</v>
      </c>
      <c r="AN326" s="136" t="s">
        <v>120</v>
      </c>
      <c r="AO326" s="136" t="s">
        <v>116</v>
      </c>
      <c r="AP326" s="136" t="s">
        <v>120</v>
      </c>
      <c r="AQ326" s="136" t="s">
        <v>116</v>
      </c>
      <c r="AR326" s="136" t="s">
        <v>120</v>
      </c>
      <c r="AS326" s="136" t="s">
        <v>116</v>
      </c>
      <c r="AT326" s="136" t="s">
        <v>120</v>
      </c>
      <c r="AU326" s="136" t="s">
        <v>116</v>
      </c>
      <c r="AV326" s="136" t="s">
        <v>120</v>
      </c>
      <c r="AX326" s="136" t="str">
        <f>IF(AI290="","",IF(B326="","",B326))</f>
        <v>PV</v>
      </c>
      <c r="AY326" s="136" t="str">
        <f>IF(AI290="","",IF(C326="","",C326))</f>
        <v>-</v>
      </c>
      <c r="AZ326" s="136" t="str">
        <f>IF(AI290="","",IF(D326="","",D326))</f>
        <v>EG</v>
      </c>
      <c r="BA326" s="136" t="str">
        <f>IF(AI290="","",IF(E326="","",E326))</f>
        <v>FP</v>
      </c>
      <c r="BB326" s="136" t="str">
        <f>IF(AI290="","",IF(F326="","",F326))</f>
        <v>PV</v>
      </c>
      <c r="BC326" s="136" t="str">
        <f>IF(AI290="","",IF(G326="","",G326))</f>
        <v>-</v>
      </c>
      <c r="BD326" s="136" t="str">
        <f>IF(AI290="","",IF(H326="","",H326))</f>
        <v>PV</v>
      </c>
      <c r="BE326" s="136" t="str">
        <f>IF(AI290="","",IF(I326="","",I326))</f>
        <v>-</v>
      </c>
      <c r="BF326" s="136" t="str">
        <f>IF(AI290="","",IF(J326="","",J326))</f>
        <v>PV</v>
      </c>
      <c r="BG326" s="136" t="str">
        <f>IF(AI290="","",IF(K326="","",K326))</f>
        <v>-</v>
      </c>
      <c r="BH326" s="136" t="str">
        <f>IF(AI290="","",IF(L326="","",L326))</f>
        <v>PV</v>
      </c>
      <c r="BI326" s="136" t="str">
        <f>IF(AI290="","",IF(M326="","",M326))</f>
        <v>-</v>
      </c>
      <c r="BJ326" s="136" t="str">
        <f>IF(AI290="","",IF(N326="","",N326))</f>
        <v>PV</v>
      </c>
      <c r="BK326" s="136" t="str">
        <f>IF(AI290="","",IF(O326="","",O326))</f>
        <v>-</v>
      </c>
      <c r="BM326" s="136" t="str">
        <f t="shared" si="198"/>
        <v>AT</v>
      </c>
      <c r="BN326" s="136" t="str">
        <f t="shared" si="184"/>
        <v>Aulas Teóricas</v>
      </c>
      <c r="BO326" s="136" t="str">
        <f t="shared" si="184"/>
        <v>IAC</v>
      </c>
      <c r="BP326" s="136">
        <f>(COUNTIFS(AX294:AX341,BM326,AY294:AY341,BO326)+COUNTIFS(AZ294:AZ341,BM326,BA294:BA341,BO326)+COUNTIFS(BB294:BB341,BM326,BC294:BC341,BO326)+COUNTIFS(BD294:BD341,BM326,BE294:BE341,BO326)+COUNTIFS(BF294:BF341,BM326,BG294:BG341,BO326)+COUNTIFS(BH294:BH341,BM326,BI294:BI341,BO326)+COUNTIFS(BJ294:BJ341,BM326,BK294:BK341,BO326))*0.5</f>
        <v>3</v>
      </c>
      <c r="BQ326" s="136" t="str">
        <f t="shared" si="185"/>
        <v>Aulas Teóricas</v>
      </c>
      <c r="BR326" s="136" t="str">
        <f t="shared" si="185"/>
        <v>IAC</v>
      </c>
      <c r="BS326" s="136" t="str">
        <f t="shared" si="186"/>
        <v>Aulas Teóricas</v>
      </c>
      <c r="BT326" s="136">
        <f t="shared" si="192"/>
        <v>24</v>
      </c>
      <c r="BU326" s="136">
        <f t="shared" si="193"/>
        <v>24</v>
      </c>
      <c r="CA326" s="136">
        <f>'INFO BASE'!L404</f>
        <v>0</v>
      </c>
      <c r="CB326" s="136">
        <f>'INFO BASE'!M404</f>
        <v>0</v>
      </c>
      <c r="CR326" s="177" t="str">
        <f t="shared" si="174"/>
        <v>PV</v>
      </c>
      <c r="CS326" s="177">
        <f t="shared" si="175"/>
        <v>0</v>
      </c>
      <c r="CT326" s="177" t="str">
        <f t="shared" si="174"/>
        <v>EG</v>
      </c>
      <c r="CU326" s="177" t="str">
        <f t="shared" si="176"/>
        <v>EGFP</v>
      </c>
      <c r="CV326" s="177" t="str">
        <f t="shared" si="174"/>
        <v>PV</v>
      </c>
      <c r="CW326" s="177">
        <f t="shared" si="177"/>
        <v>0</v>
      </c>
      <c r="CX326" s="177" t="str">
        <f t="shared" si="174"/>
        <v>PV</v>
      </c>
      <c r="CY326" s="177">
        <f t="shared" si="178"/>
        <v>0</v>
      </c>
      <c r="CZ326" s="177" t="str">
        <f t="shared" si="174"/>
        <v>PV</v>
      </c>
      <c r="DA326" s="177">
        <f t="shared" si="179"/>
        <v>0</v>
      </c>
      <c r="DB326" s="177" t="str">
        <f t="shared" si="174"/>
        <v>PV</v>
      </c>
      <c r="DC326" s="177">
        <f t="shared" si="180"/>
        <v>0</v>
      </c>
      <c r="DD326" s="177" t="str">
        <f t="shared" si="181"/>
        <v>PV</v>
      </c>
      <c r="DE326" s="177">
        <f t="shared" si="182"/>
        <v>0</v>
      </c>
    </row>
    <row r="327" spans="1:109" ht="18" customHeight="1" x14ac:dyDescent="0.3">
      <c r="A327" s="81">
        <v>0.68750000000002198</v>
      </c>
      <c r="B327" s="166" t="s">
        <v>116</v>
      </c>
      <c r="C327" s="130" t="s">
        <v>120</v>
      </c>
      <c r="D327" s="169" t="s">
        <v>128</v>
      </c>
      <c r="E327" s="130" t="s">
        <v>224</v>
      </c>
      <c r="F327" s="169" t="s">
        <v>116</v>
      </c>
      <c r="G327" s="130" t="s">
        <v>120</v>
      </c>
      <c r="H327" s="169" t="s">
        <v>116</v>
      </c>
      <c r="I327" s="130" t="s">
        <v>120</v>
      </c>
      <c r="J327" s="169" t="s">
        <v>116</v>
      </c>
      <c r="K327" s="130" t="s">
        <v>120</v>
      </c>
      <c r="L327" s="169" t="s">
        <v>116</v>
      </c>
      <c r="M327" s="130" t="s">
        <v>120</v>
      </c>
      <c r="N327" s="169" t="s">
        <v>116</v>
      </c>
      <c r="O327" s="154" t="s">
        <v>120</v>
      </c>
      <c r="P327" s="6">
        <v>0</v>
      </c>
      <c r="Q327" s="122" t="str">
        <f t="shared" ref="Q327:Q332" si="199">Q326</f>
        <v>Aulas Teóricas</v>
      </c>
      <c r="R327" s="105" t="str">
        <f t="shared" si="191"/>
        <v>FP</v>
      </c>
      <c r="S327" s="88">
        <f t="shared" si="188"/>
        <v>0</v>
      </c>
      <c r="T327" s="89">
        <f>IF(VLOOKUP(Q327,'INFO BASE'!$B$40:$I$54,IF(R327='INFO BASE'!$B$32,3,IF(R327='INFO BASE'!$B$33,4,IF(R327='INFO BASE'!$B$34,5,IF(R327='INFO BASE'!$B$35,6,IF(R327='INFO BASE'!$B$36,7,IF(R327='INFO BASE'!$B$37,8,2)))))),0)=0,"",VLOOKUP(Q327,'INFO BASE'!$B$40:$I$54,IF(R327='INFO BASE'!$B$32,3,IF(R327='INFO BASE'!$B$33,4,IF(R327='INFO BASE'!$B$34,5,IF(R327='INFO BASE'!$B$35,6,IF(R327='INFO BASE'!$B$36,7,IF(R327='INFO BASE'!$B$37,8,2)))))),0))</f>
        <v>3</v>
      </c>
      <c r="U327" s="89">
        <f>(COUNTIFS(C294:C341,R327,B294:B341,R326)+COUNTIFS(E294:E341,R327,D294:D341,R326)+COUNTIFS(G294:G341,R327,F294:F341,R326)+COUNTIFS(I294:I341,R327,H294:H341,R326)+COUNTIFS(K294:K341,R327,J294:J341,R326)+COUNTIFS(M294:M341,R327,L294:L341,R326)+COUNTIFS(O294:O341,R327,N294:N341,R326))*0.5</f>
        <v>3</v>
      </c>
      <c r="V327" s="89">
        <f>(COUNTIFS(AI294:AI341,R326,AJ294:AJ341,R320)+COUNTIFS(AK294:AK341,R326,AL294:AL341,R320)+COUNTIFS(AM294:AM341,R326,AN294:AN341,R320)+COUNTIFS(AO294:AO341,R326,AP294:AP341,R320)+COUNTIFS(AQ294:AQ341,R326,AR294:AR341,R320)+COUNTIFS(AS294:AS341,R326,AT294:AT341,R320)+COUNTIFS(AU294:AU341,R326,AV294:AV341,R320))*0.5</f>
        <v>3</v>
      </c>
      <c r="W327" s="90">
        <f>IF(AH290="","-",IF(V327=0,U327,IFERROR((U327/V327)-1,"-")))</f>
        <v>0</v>
      </c>
      <c r="X327" s="201">
        <f t="shared" si="189"/>
        <v>0</v>
      </c>
      <c r="Y327" s="271"/>
      <c r="Z327" s="272"/>
      <c r="AA327" s="272"/>
      <c r="AB327" s="272"/>
      <c r="AC327" s="272"/>
      <c r="AD327" s="272"/>
      <c r="AE327" s="272"/>
      <c r="AF327" s="273"/>
      <c r="AH327" s="136">
        <v>0.68750000000002198</v>
      </c>
      <c r="AI327" s="136" t="s">
        <v>116</v>
      </c>
      <c r="AJ327" s="136" t="s">
        <v>120</v>
      </c>
      <c r="AK327" s="136" t="s">
        <v>128</v>
      </c>
      <c r="AL327" s="136" t="s">
        <v>224</v>
      </c>
      <c r="AM327" s="136" t="s">
        <v>116</v>
      </c>
      <c r="AN327" s="136" t="s">
        <v>120</v>
      </c>
      <c r="AO327" s="136" t="s">
        <v>116</v>
      </c>
      <c r="AP327" s="136" t="s">
        <v>120</v>
      </c>
      <c r="AQ327" s="136" t="s">
        <v>116</v>
      </c>
      <c r="AR327" s="136" t="s">
        <v>120</v>
      </c>
      <c r="AS327" s="136" t="s">
        <v>116</v>
      </c>
      <c r="AT327" s="136" t="s">
        <v>120</v>
      </c>
      <c r="AU327" s="136" t="s">
        <v>116</v>
      </c>
      <c r="AV327" s="136" t="s">
        <v>120</v>
      </c>
      <c r="AX327" s="136" t="str">
        <f>IF(AI290="","",IF(B327="","",B327))</f>
        <v>PV</v>
      </c>
      <c r="AY327" s="136" t="str">
        <f>IF(AI290="","",IF(C327="","",C327))</f>
        <v>-</v>
      </c>
      <c r="AZ327" s="136" t="str">
        <f>IF(AI290="","",IF(D327="","",D327))</f>
        <v>EG</v>
      </c>
      <c r="BA327" s="136" t="str">
        <f>IF(AI290="","",IF(E327="","",E327))</f>
        <v>FP</v>
      </c>
      <c r="BB327" s="136" t="str">
        <f>IF(AI290="","",IF(F327="","",F327))</f>
        <v>PV</v>
      </c>
      <c r="BC327" s="136" t="str">
        <f>IF(AI290="","",IF(G327="","",G327))</f>
        <v>-</v>
      </c>
      <c r="BD327" s="136" t="str">
        <f>IF(AI290="","",IF(H327="","",H327))</f>
        <v>PV</v>
      </c>
      <c r="BE327" s="136" t="str">
        <f>IF(AI290="","",IF(I327="","",I327))</f>
        <v>-</v>
      </c>
      <c r="BF327" s="136" t="str">
        <f>IF(AI290="","",IF(J327="","",J327))</f>
        <v>PV</v>
      </c>
      <c r="BG327" s="136" t="str">
        <f>IF(AI290="","",IF(K327="","",K327))</f>
        <v>-</v>
      </c>
      <c r="BH327" s="136" t="str">
        <f>IF(AI290="","",IF(L327="","",L327))</f>
        <v>PV</v>
      </c>
      <c r="BI327" s="136" t="str">
        <f>IF(AI290="","",IF(M327="","",M327))</f>
        <v>-</v>
      </c>
      <c r="BJ327" s="136" t="str">
        <f>IF(AI290="","",IF(N327="","",N327))</f>
        <v>PV</v>
      </c>
      <c r="BK327" s="136" t="str">
        <f>IF(AI290="","",IF(O327="","",O327))</f>
        <v>-</v>
      </c>
      <c r="BM327" s="136" t="str">
        <f t="shared" si="198"/>
        <v>AT</v>
      </c>
      <c r="BN327" s="136" t="str">
        <f t="shared" si="184"/>
        <v>Aulas Teóricas</v>
      </c>
      <c r="BO327" s="136" t="str">
        <f t="shared" si="184"/>
        <v>AL</v>
      </c>
      <c r="BP327" s="136">
        <f>(COUNTIFS(AX294:AX341,BM327,AY294:AY341,BO327)+COUNTIFS(AZ294:AZ341,BM327,BA294:BA341,BO327)+COUNTIFS(BB294:BB341,BM327,BC294:BC341,BO327)+COUNTIFS(BD294:BD341,BM327,BE294:BE341,BO327)+COUNTIFS(BF294:BF341,BM327,BG294:BG341,BO327)+COUNTIFS(BH294:BH341,BM327,BI294:BI341,BO327)+COUNTIFS(BJ294:BJ341,BM327,BK294:BK341,BO327))*0.5</f>
        <v>3</v>
      </c>
      <c r="BQ327" s="136" t="str">
        <f t="shared" si="185"/>
        <v>Aulas Teóricas</v>
      </c>
      <c r="BR327" s="136" t="str">
        <f t="shared" si="185"/>
        <v>AL</v>
      </c>
      <c r="BS327" s="136" t="str">
        <f t="shared" si="186"/>
        <v>Aulas Teóricas</v>
      </c>
      <c r="BT327" s="136">
        <f t="shared" si="192"/>
        <v>24</v>
      </c>
      <c r="BU327" s="136">
        <f t="shared" si="193"/>
        <v>24</v>
      </c>
      <c r="CA327" s="136">
        <f>'INFO BASE'!L405</f>
        <v>0</v>
      </c>
      <c r="CB327" s="136">
        <f>'INFO BASE'!M405</f>
        <v>0</v>
      </c>
      <c r="CR327" s="177" t="str">
        <f t="shared" si="174"/>
        <v>PV</v>
      </c>
      <c r="CS327" s="177">
        <f t="shared" si="175"/>
        <v>0</v>
      </c>
      <c r="CT327" s="177" t="str">
        <f t="shared" si="174"/>
        <v>EG</v>
      </c>
      <c r="CU327" s="177" t="str">
        <f t="shared" si="176"/>
        <v>EGFP</v>
      </c>
      <c r="CV327" s="177" t="str">
        <f t="shared" si="174"/>
        <v>PV</v>
      </c>
      <c r="CW327" s="177">
        <f t="shared" si="177"/>
        <v>0</v>
      </c>
      <c r="CX327" s="177" t="str">
        <f t="shared" si="174"/>
        <v>PV</v>
      </c>
      <c r="CY327" s="177">
        <f t="shared" si="178"/>
        <v>0</v>
      </c>
      <c r="CZ327" s="177" t="str">
        <f t="shared" si="174"/>
        <v>PV</v>
      </c>
      <c r="DA327" s="177">
        <f t="shared" si="179"/>
        <v>0</v>
      </c>
      <c r="DB327" s="177" t="str">
        <f t="shared" si="174"/>
        <v>PV</v>
      </c>
      <c r="DC327" s="177">
        <f t="shared" si="180"/>
        <v>0</v>
      </c>
      <c r="DD327" s="177" t="str">
        <f t="shared" si="181"/>
        <v>PV</v>
      </c>
      <c r="DE327" s="177">
        <f t="shared" si="182"/>
        <v>0</v>
      </c>
    </row>
    <row r="328" spans="1:109" ht="18" customHeight="1" x14ac:dyDescent="0.3">
      <c r="A328" s="81">
        <v>0.70833333333335602</v>
      </c>
      <c r="B328" s="166" t="s">
        <v>11</v>
      </c>
      <c r="C328" s="130" t="s">
        <v>120</v>
      </c>
      <c r="D328" s="169" t="s">
        <v>11</v>
      </c>
      <c r="E328" s="130" t="s">
        <v>120</v>
      </c>
      <c r="F328" s="169" t="s">
        <v>11</v>
      </c>
      <c r="G328" s="130" t="s">
        <v>120</v>
      </c>
      <c r="H328" s="169" t="s">
        <v>11</v>
      </c>
      <c r="I328" s="130" t="s">
        <v>120</v>
      </c>
      <c r="J328" s="169" t="s">
        <v>11</v>
      </c>
      <c r="K328" s="130" t="s">
        <v>120</v>
      </c>
      <c r="L328" s="169" t="s">
        <v>116</v>
      </c>
      <c r="M328" s="130" t="s">
        <v>120</v>
      </c>
      <c r="N328" s="169" t="s">
        <v>8</v>
      </c>
      <c r="O328" s="154" t="s">
        <v>226</v>
      </c>
      <c r="P328" s="6">
        <v>0</v>
      </c>
      <c r="Q328" s="122" t="str">
        <f t="shared" si="199"/>
        <v>Aulas Teóricas</v>
      </c>
      <c r="R328" s="105" t="str">
        <f t="shared" si="191"/>
        <v>IEI</v>
      </c>
      <c r="S328" s="88">
        <f t="shared" si="188"/>
        <v>0</v>
      </c>
      <c r="T328" s="106">
        <f>IF(VLOOKUP(Q328,'INFO BASE'!$B$40:$I$54,IF(R328='INFO BASE'!$B$32,3,IF(R328='INFO BASE'!$B$33,4,IF(R328='INFO BASE'!$B$34,5,IF(R328='INFO BASE'!$B$35,6,IF(R328='INFO BASE'!$B$36,7,IF(R328='INFO BASE'!$B$37,8,2)))))),0)=0,"",VLOOKUP(Q328,'INFO BASE'!$B$40:$I$54,IF(R328='INFO BASE'!$B$32,3,IF(R328='INFO BASE'!$B$33,4,IF(R328='INFO BASE'!$B$34,5,IF(R328='INFO BASE'!$B$35,6,IF(R328='INFO BASE'!$B$36,7,IF(R328='INFO BASE'!$B$37,8,2)))))),0))</f>
        <v>3</v>
      </c>
      <c r="U328" s="106">
        <f>(COUNTIFS(C294:C341,R328,B294:B341,R326)+COUNTIFS(E294:E341,R328,D294:D341,R326)+COUNTIFS(G294:G341,R328,F294:F341,R326)+COUNTIFS(I294:I341,R328,H294:H341,R326)+COUNTIFS(K294:K341,R328,J294:J341,R326)+COUNTIFS(M294:M341,R328,L294:L341,R326)+COUNTIFS(O294:O341,R328,N294:N341,R326))*0.5</f>
        <v>3</v>
      </c>
      <c r="V328" s="89">
        <f>(COUNTIFS(AI294:AI341,R326,AJ294:AJ341,R321)+COUNTIFS(AK294:AK341,R326,AL294:AL341,R321)+COUNTIFS(AM294:AM341,R326,AN294:AN341,R321)+COUNTIFS(AO294:AO341,R326,AP294:AP341,R321)+COUNTIFS(AQ294:AQ341,R326,AR294:AR341,R321)+COUNTIFS(AS294:AS341,R326,AT294:AT341,R321)+COUNTIFS(AU294:AU341,R326,AV294:AV341,R321))*0.5</f>
        <v>3</v>
      </c>
      <c r="W328" s="90">
        <f>IF(AH290="","-",IF(V328=0,U328,IFERROR((U328/V328)-1,"-")))</f>
        <v>0</v>
      </c>
      <c r="X328" s="201">
        <f t="shared" si="189"/>
        <v>0</v>
      </c>
      <c r="Y328" s="271"/>
      <c r="Z328" s="272"/>
      <c r="AA328" s="272"/>
      <c r="AB328" s="272"/>
      <c r="AC328" s="272"/>
      <c r="AD328" s="272"/>
      <c r="AE328" s="272"/>
      <c r="AF328" s="273"/>
      <c r="AH328" s="136">
        <v>0.70833333333335602</v>
      </c>
      <c r="AI328" s="136" t="s">
        <v>11</v>
      </c>
      <c r="AJ328" s="136" t="s">
        <v>120</v>
      </c>
      <c r="AK328" s="136" t="s">
        <v>11</v>
      </c>
      <c r="AL328" s="136" t="s">
        <v>120</v>
      </c>
      <c r="AM328" s="136" t="s">
        <v>11</v>
      </c>
      <c r="AN328" s="136" t="s">
        <v>120</v>
      </c>
      <c r="AO328" s="136" t="s">
        <v>11</v>
      </c>
      <c r="AP328" s="136" t="s">
        <v>120</v>
      </c>
      <c r="AQ328" s="136" t="s">
        <v>11</v>
      </c>
      <c r="AR328" s="136" t="s">
        <v>120</v>
      </c>
      <c r="AS328" s="136" t="s">
        <v>116</v>
      </c>
      <c r="AT328" s="136" t="s">
        <v>120</v>
      </c>
      <c r="AU328" s="136" t="s">
        <v>8</v>
      </c>
      <c r="AV328" s="136" t="s">
        <v>226</v>
      </c>
      <c r="AX328" s="136" t="str">
        <f>IF(AI290="","",IF(B328="","",B328))</f>
        <v>HD</v>
      </c>
      <c r="AY328" s="136" t="str">
        <f>IF(AI290="","",IF(C328="","",C328))</f>
        <v>-</v>
      </c>
      <c r="AZ328" s="136" t="str">
        <f>IF(AI290="","",IF(D328="","",D328))</f>
        <v>HD</v>
      </c>
      <c r="BA328" s="136" t="str">
        <f>IF(AI290="","",IF(E328="","",E328))</f>
        <v>-</v>
      </c>
      <c r="BB328" s="136" t="str">
        <f>IF(AI290="","",IF(F328="","",F328))</f>
        <v>HD</v>
      </c>
      <c r="BC328" s="136" t="str">
        <f>IF(AI290="","",IF(G328="","",G328))</f>
        <v>-</v>
      </c>
      <c r="BD328" s="136" t="str">
        <f>IF(AI290="","",IF(H328="","",H328))</f>
        <v>HD</v>
      </c>
      <c r="BE328" s="136" t="str">
        <f>IF(AI290="","",IF(I328="","",I328))</f>
        <v>-</v>
      </c>
      <c r="BF328" s="136" t="str">
        <f>IF(AI290="","",IF(J328="","",J328))</f>
        <v>HD</v>
      </c>
      <c r="BG328" s="136" t="str">
        <f>IF(AI290="","",IF(K328="","",K328))</f>
        <v>-</v>
      </c>
      <c r="BH328" s="136" t="str">
        <f>IF(AI290="","",IF(L328="","",L328))</f>
        <v>PV</v>
      </c>
      <c r="BI328" s="136" t="str">
        <f>IF(AI290="","",IF(M328="","",M328))</f>
        <v>-</v>
      </c>
      <c r="BJ328" s="136" t="str">
        <f>IF(AI290="","",IF(N328="","",N328))</f>
        <v>EA</v>
      </c>
      <c r="BK328" s="136" t="str">
        <f>IF(AI290="","",IF(O328="","",O328))</f>
        <v>IEI</v>
      </c>
      <c r="BM328" s="136" t="str">
        <f t="shared" si="198"/>
        <v>AT</v>
      </c>
      <c r="BN328" s="136" t="str">
        <f t="shared" si="184"/>
        <v>Aulas Teóricas</v>
      </c>
      <c r="BO328" s="136" t="str">
        <f t="shared" si="184"/>
        <v>CDI</v>
      </c>
      <c r="BP328" s="136">
        <f>(COUNTIFS(AX294:AX341,BM328,AY294:AY341,BO328)+COUNTIFS(AZ294:AZ341,BM328,BA294:BA341,BO328)+COUNTIFS(BB294:BB341,BM328,BC294:BC341,BO328)+COUNTIFS(BD294:BD341,BM328,BE294:BE341,BO328)+COUNTIFS(BF294:BF341,BM328,BG294:BG341,BO328)+COUNTIFS(BH294:BH341,BM328,BI294:BI341,BO328)+COUNTIFS(BJ294:BJ341,BM328,BK294:BK341,BO328))*0.5</f>
        <v>3</v>
      </c>
      <c r="BQ328" s="136" t="str">
        <f t="shared" si="185"/>
        <v>Aulas Teóricas</v>
      </c>
      <c r="BR328" s="136" t="str">
        <f t="shared" si="185"/>
        <v>CDI</v>
      </c>
      <c r="BS328" s="136" t="str">
        <f t="shared" si="186"/>
        <v>Aulas Teóricas</v>
      </c>
      <c r="BT328" s="136">
        <f t="shared" si="192"/>
        <v>24</v>
      </c>
      <c r="BU328" s="136">
        <f t="shared" si="193"/>
        <v>24</v>
      </c>
      <c r="CA328" s="136">
        <f>'INFO BASE'!L406</f>
        <v>0</v>
      </c>
      <c r="CB328" s="136">
        <f>'INFO BASE'!M406</f>
        <v>0</v>
      </c>
      <c r="CR328" s="177" t="str">
        <f t="shared" si="174"/>
        <v>HD</v>
      </c>
      <c r="CS328" s="177" t="str">
        <f t="shared" si="175"/>
        <v>HD-</v>
      </c>
      <c r="CT328" s="177" t="str">
        <f t="shared" si="174"/>
        <v>HD</v>
      </c>
      <c r="CU328" s="177" t="str">
        <f t="shared" si="176"/>
        <v>HD-</v>
      </c>
      <c r="CV328" s="177" t="str">
        <f t="shared" si="174"/>
        <v>HD</v>
      </c>
      <c r="CW328" s="177" t="str">
        <f t="shared" si="177"/>
        <v>HD-</v>
      </c>
      <c r="CX328" s="177" t="str">
        <f t="shared" si="174"/>
        <v>HD</v>
      </c>
      <c r="CY328" s="177" t="str">
        <f t="shared" si="178"/>
        <v>HD-</v>
      </c>
      <c r="CZ328" s="177" t="str">
        <f t="shared" si="174"/>
        <v>HD</v>
      </c>
      <c r="DA328" s="177" t="str">
        <f t="shared" si="179"/>
        <v>HD-</v>
      </c>
      <c r="DB328" s="177" t="str">
        <f t="shared" si="174"/>
        <v>PV</v>
      </c>
      <c r="DC328" s="177">
        <f t="shared" si="180"/>
        <v>0</v>
      </c>
      <c r="DD328" s="177" t="str">
        <f t="shared" si="181"/>
        <v>EA</v>
      </c>
      <c r="DE328" s="177" t="str">
        <f t="shared" si="182"/>
        <v>EAIEI</v>
      </c>
    </row>
    <row r="329" spans="1:109" ht="18" customHeight="1" x14ac:dyDescent="0.3">
      <c r="A329" s="81">
        <v>0.72916666666669006</v>
      </c>
      <c r="B329" s="166" t="s">
        <v>11</v>
      </c>
      <c r="C329" s="130" t="s">
        <v>120</v>
      </c>
      <c r="D329" s="169" t="s">
        <v>11</v>
      </c>
      <c r="E329" s="130" t="s">
        <v>120</v>
      </c>
      <c r="F329" s="169" t="s">
        <v>11</v>
      </c>
      <c r="G329" s="130" t="s">
        <v>120</v>
      </c>
      <c r="H329" s="169" t="s">
        <v>11</v>
      </c>
      <c r="I329" s="130" t="s">
        <v>120</v>
      </c>
      <c r="J329" s="169" t="s">
        <v>116</v>
      </c>
      <c r="K329" s="130" t="s">
        <v>120</v>
      </c>
      <c r="L329" s="169" t="s">
        <v>116</v>
      </c>
      <c r="M329" s="130" t="s">
        <v>120</v>
      </c>
      <c r="N329" s="169" t="s">
        <v>8</v>
      </c>
      <c r="O329" s="154" t="s">
        <v>226</v>
      </c>
      <c r="P329" s="6">
        <v>0</v>
      </c>
      <c r="Q329" s="123" t="str">
        <f t="shared" si="199"/>
        <v>Aulas Teóricas</v>
      </c>
      <c r="R329" s="105" t="str">
        <f t="shared" si="191"/>
        <v>IAC</v>
      </c>
      <c r="S329" s="88">
        <f t="shared" si="188"/>
        <v>0</v>
      </c>
      <c r="T329" s="106">
        <f>IF(VLOOKUP(Q329,'INFO BASE'!$B$40:$I$54,IF(R329='INFO BASE'!$B$32,3,IF(R329='INFO BASE'!$B$33,4,IF(R329='INFO BASE'!$B$34,5,IF(R329='INFO BASE'!$B$35,6,IF(R329='INFO BASE'!$B$36,7,IF(R329='INFO BASE'!$B$37,8,2)))))),0)=0,"",VLOOKUP(Q329,'INFO BASE'!$B$40:$I$54,IF(R329='INFO BASE'!$B$32,3,IF(R329='INFO BASE'!$B$33,4,IF(R329='INFO BASE'!$B$34,5,IF(R329='INFO BASE'!$B$35,6,IF(R329='INFO BASE'!$B$36,7,IF(R329='INFO BASE'!$B$37,8,2)))))),0))</f>
        <v>3</v>
      </c>
      <c r="U329" s="106">
        <f>(COUNTIFS(C294:C341,R329,B294:B341,R326)+COUNTIFS(E294:E341,R329,D294:D341,R326)+COUNTIFS(G294:G341,R329,F294:F341,R326)+COUNTIFS(I294:I341,R329,H294:H341,R326)+COUNTIFS(K294:K341,R329,J294:J341,R326)+COUNTIFS(M294:M341,R329,L294:L341,R326)+COUNTIFS(O294:O341,R329,N294:N341,R326))*0.5</f>
        <v>3</v>
      </c>
      <c r="V329" s="89">
        <f>(COUNTIFS(AI294:AI341,R326,AJ294:AJ341,R322)+COUNTIFS(AK294:AK341,R326,AL294:AL341,R322)+COUNTIFS(AM294:AM341,R326,AN294:AN341,R322)+COUNTIFS(AO294:AO341,R326,AP294:AP341,R322)+COUNTIFS(AQ294:AQ341,R326,AR294:AR341,R322)+COUNTIFS(AS294:AS341,R326,AT294:AT341,R322)+COUNTIFS(AU294:AU341,R326,AV294:AV341,R322))*0.5</f>
        <v>3</v>
      </c>
      <c r="W329" s="90">
        <f>IF(AH290="","-",IF(V329=0,U329,IFERROR((U329/V329)-1,"-")))</f>
        <v>0</v>
      </c>
      <c r="X329" s="201">
        <f t="shared" si="189"/>
        <v>0</v>
      </c>
      <c r="Y329" s="271"/>
      <c r="Z329" s="272"/>
      <c r="AA329" s="272"/>
      <c r="AB329" s="272"/>
      <c r="AC329" s="272"/>
      <c r="AD329" s="272"/>
      <c r="AE329" s="272"/>
      <c r="AF329" s="273"/>
      <c r="AH329" s="136">
        <v>0.72916666666669006</v>
      </c>
      <c r="AI329" s="136" t="s">
        <v>11</v>
      </c>
      <c r="AJ329" s="136" t="s">
        <v>120</v>
      </c>
      <c r="AK329" s="136" t="s">
        <v>11</v>
      </c>
      <c r="AL329" s="136" t="s">
        <v>120</v>
      </c>
      <c r="AM329" s="136" t="s">
        <v>11</v>
      </c>
      <c r="AN329" s="136" t="s">
        <v>120</v>
      </c>
      <c r="AO329" s="136" t="s">
        <v>11</v>
      </c>
      <c r="AP329" s="136" t="s">
        <v>120</v>
      </c>
      <c r="AQ329" s="136" t="s">
        <v>116</v>
      </c>
      <c r="AR329" s="136" t="s">
        <v>120</v>
      </c>
      <c r="AS329" s="136" t="s">
        <v>116</v>
      </c>
      <c r="AT329" s="136" t="s">
        <v>120</v>
      </c>
      <c r="AU329" s="136" t="s">
        <v>8</v>
      </c>
      <c r="AV329" s="136" t="s">
        <v>226</v>
      </c>
      <c r="AX329" s="136" t="str">
        <f>IF(AI290="","",IF(B329="","",B329))</f>
        <v>HD</v>
      </c>
      <c r="AY329" s="136" t="str">
        <f>IF(AI290="","",IF(C329="","",C329))</f>
        <v>-</v>
      </c>
      <c r="AZ329" s="136" t="str">
        <f>IF(AI290="","",IF(D329="","",D329))</f>
        <v>HD</v>
      </c>
      <c r="BA329" s="136" t="str">
        <f>IF(AI290="","",IF(E329="","",E329))</f>
        <v>-</v>
      </c>
      <c r="BB329" s="136" t="str">
        <f>IF(AI290="","",IF(F329="","",F329))</f>
        <v>HD</v>
      </c>
      <c r="BC329" s="136" t="str">
        <f>IF(AI290="","",IF(G329="","",G329))</f>
        <v>-</v>
      </c>
      <c r="BD329" s="136" t="str">
        <f>IF(AI290="","",IF(H329="","",H329))</f>
        <v>HD</v>
      </c>
      <c r="BE329" s="136" t="str">
        <f>IF(AI290="","",IF(I329="","",I329))</f>
        <v>-</v>
      </c>
      <c r="BF329" s="136" t="str">
        <f>IF(AI290="","",IF(J329="","",J329))</f>
        <v>PV</v>
      </c>
      <c r="BG329" s="136" t="str">
        <f>IF(AI290="","",IF(K329="","",K329))</f>
        <v>-</v>
      </c>
      <c r="BH329" s="136" t="str">
        <f>IF(AI290="","",IF(L329="","",L329))</f>
        <v>PV</v>
      </c>
      <c r="BI329" s="136" t="str">
        <f>IF(AI290="","",IF(M329="","",M329))</f>
        <v>-</v>
      </c>
      <c r="BJ329" s="136" t="str">
        <f>IF(AI290="","",IF(N329="","",N329))</f>
        <v>EA</v>
      </c>
      <c r="BK329" s="136" t="str">
        <f>IF(AI290="","",IF(O329="","",O329))</f>
        <v>IEI</v>
      </c>
      <c r="BM329" s="136" t="str">
        <f t="shared" si="198"/>
        <v>AT</v>
      </c>
      <c r="BN329" s="136" t="str">
        <f t="shared" si="184"/>
        <v>Aulas Teóricas</v>
      </c>
      <c r="BO329" s="136" t="str">
        <f t="shared" si="184"/>
        <v/>
      </c>
      <c r="BP329" s="136">
        <f>(COUNTIFS(AX294:AX341,BM329,AY294:AY341,BO329)+COUNTIFS(AZ294:AZ341,BM329,BA294:BA341,BO329)+COUNTIFS(BB294:BB341,BM329,BC294:BC341,BO329)+COUNTIFS(BD294:BD341,BM329,BE294:BE341,BO329)+COUNTIFS(BF294:BF341,BM329,BG294:BG341,BO329)+COUNTIFS(BH294:BH341,BM329,BI294:BI341,BO329)+COUNTIFS(BJ294:BJ341,BM329,BK294:BK341,BO329))*0.5</f>
        <v>0</v>
      </c>
      <c r="BQ329" s="136" t="str">
        <f t="shared" si="185"/>
        <v>Aulas Teóricas</v>
      </c>
      <c r="BR329" s="136" t="str">
        <f t="shared" si="185"/>
        <v/>
      </c>
      <c r="BS329" s="136" t="str">
        <f t="shared" si="186"/>
        <v>Aulas Teóricas</v>
      </c>
      <c r="BT329" s="136">
        <f t="shared" si="192"/>
        <v>0</v>
      </c>
      <c r="BU329" s="136">
        <f t="shared" si="193"/>
        <v>0</v>
      </c>
      <c r="CA329" s="136">
        <f>'INFO BASE'!L407</f>
        <v>0</v>
      </c>
      <c r="CB329" s="136">
        <f>'INFO BASE'!M407</f>
        <v>0</v>
      </c>
      <c r="CR329" s="177" t="str">
        <f t="shared" si="174"/>
        <v>HD</v>
      </c>
      <c r="CS329" s="177" t="str">
        <f t="shared" si="175"/>
        <v>HD-</v>
      </c>
      <c r="CT329" s="177" t="str">
        <f t="shared" si="174"/>
        <v>HD</v>
      </c>
      <c r="CU329" s="177" t="str">
        <f t="shared" si="176"/>
        <v>HD-</v>
      </c>
      <c r="CV329" s="177" t="str">
        <f t="shared" si="174"/>
        <v>HD</v>
      </c>
      <c r="CW329" s="177" t="str">
        <f t="shared" si="177"/>
        <v>HD-</v>
      </c>
      <c r="CX329" s="177" t="str">
        <f t="shared" si="174"/>
        <v>HD</v>
      </c>
      <c r="CY329" s="177" t="str">
        <f t="shared" si="178"/>
        <v>HD-</v>
      </c>
      <c r="CZ329" s="177" t="str">
        <f t="shared" si="174"/>
        <v>PV</v>
      </c>
      <c r="DA329" s="177">
        <f t="shared" si="179"/>
        <v>0</v>
      </c>
      <c r="DB329" s="177" t="str">
        <f t="shared" si="174"/>
        <v>PV</v>
      </c>
      <c r="DC329" s="177">
        <f t="shared" si="180"/>
        <v>0</v>
      </c>
      <c r="DD329" s="177" t="str">
        <f t="shared" si="181"/>
        <v>EA</v>
      </c>
      <c r="DE329" s="177" t="str">
        <f t="shared" si="182"/>
        <v>EAIEI</v>
      </c>
    </row>
    <row r="330" spans="1:109" ht="18" customHeight="1" x14ac:dyDescent="0.3">
      <c r="A330" s="81">
        <v>0.75000000000002398</v>
      </c>
      <c r="B330" s="166" t="s">
        <v>11</v>
      </c>
      <c r="C330" s="130" t="s">
        <v>120</v>
      </c>
      <c r="D330" s="169" t="s">
        <v>11</v>
      </c>
      <c r="E330" s="130" t="s">
        <v>120</v>
      </c>
      <c r="F330" s="169" t="s">
        <v>11</v>
      </c>
      <c r="G330" s="130" t="s">
        <v>120</v>
      </c>
      <c r="H330" s="169" t="s">
        <v>11</v>
      </c>
      <c r="I330" s="130" t="s">
        <v>120</v>
      </c>
      <c r="J330" s="169" t="s">
        <v>116</v>
      </c>
      <c r="K330" s="130" t="s">
        <v>120</v>
      </c>
      <c r="L330" s="169" t="s">
        <v>116</v>
      </c>
      <c r="M330" s="130" t="s">
        <v>120</v>
      </c>
      <c r="N330" s="169" t="s">
        <v>8</v>
      </c>
      <c r="O330" s="154" t="s">
        <v>226</v>
      </c>
      <c r="P330" s="6">
        <v>0</v>
      </c>
      <c r="Q330" s="122" t="str">
        <f t="shared" si="199"/>
        <v>Aulas Teóricas</v>
      </c>
      <c r="R330" s="105" t="str">
        <f t="shared" si="191"/>
        <v>AL</v>
      </c>
      <c r="S330" s="88">
        <f t="shared" si="188"/>
        <v>0</v>
      </c>
      <c r="T330" s="106">
        <f>IF(VLOOKUP(Q330,'INFO BASE'!$B$40:$I$54,IF(R330='INFO BASE'!$B$32,3,IF(R330='INFO BASE'!$B$33,4,IF(R330='INFO BASE'!$B$34,5,IF(R330='INFO BASE'!$B$35,6,IF(R330='INFO BASE'!$B$36,7,IF(R330='INFO BASE'!$B$37,8,2)))))),0)=0,"",VLOOKUP(Q330,'INFO BASE'!$B$40:$I$54,IF(R330='INFO BASE'!$B$32,3,IF(R330='INFO BASE'!$B$33,4,IF(R330='INFO BASE'!$B$34,5,IF(R330='INFO BASE'!$B$35,6,IF(R330='INFO BASE'!$B$36,7,IF(R330='INFO BASE'!$B$37,8,2)))))),0))</f>
        <v>3</v>
      </c>
      <c r="U330" s="106">
        <f>(COUNTIFS(C294:C341,R330,B294:B341,R326)+COUNTIFS(E294:E341,R330,D294:D341,R326)+COUNTIFS(G294:G341,R330,F294:F341,R326)+COUNTIFS(I294:I341,R330,H294:H341,R326)+COUNTIFS(K294:K341,R330,J294:J341,R326)+COUNTIFS(M294:M341,R330,L294:L341,R326)+COUNTIFS(O294:O341,R330,N294:N341,R326))*0.5</f>
        <v>3</v>
      </c>
      <c r="V330" s="89">
        <f>(COUNTIFS(AI294:AI341,R326,AJ294:AJ341,R323)+COUNTIFS(AK294:AK341,R326,AL294:AL341,R323)+COUNTIFS(AM294:AM341,R326,AN294:AN341,R323)+COUNTIFS(AO294:AO341,R326,AP294:AP341,R323)+COUNTIFS(AQ294:AQ341,R326,AR294:AR341,R323)+COUNTIFS(AS294:AS341,R326,AT294:AT341,R323)+COUNTIFS(AU294:AU341,R326,AV294:AV341,R323))*0.5</f>
        <v>3</v>
      </c>
      <c r="W330" s="90">
        <f>IF(AH290="","-",IF(V330=0,U330,IFERROR((U330/V330)-1,"-")))</f>
        <v>0</v>
      </c>
      <c r="X330" s="201">
        <f t="shared" si="189"/>
        <v>0</v>
      </c>
      <c r="Y330" s="271"/>
      <c r="Z330" s="272"/>
      <c r="AA330" s="272"/>
      <c r="AB330" s="272"/>
      <c r="AC330" s="272"/>
      <c r="AD330" s="272"/>
      <c r="AE330" s="272"/>
      <c r="AF330" s="273"/>
      <c r="AH330" s="136">
        <v>0.75000000000002398</v>
      </c>
      <c r="AI330" s="136" t="s">
        <v>11</v>
      </c>
      <c r="AJ330" s="136" t="s">
        <v>120</v>
      </c>
      <c r="AK330" s="136" t="s">
        <v>11</v>
      </c>
      <c r="AL330" s="136" t="s">
        <v>120</v>
      </c>
      <c r="AM330" s="136" t="s">
        <v>11</v>
      </c>
      <c r="AN330" s="136" t="s">
        <v>120</v>
      </c>
      <c r="AO330" s="136" t="s">
        <v>11</v>
      </c>
      <c r="AP330" s="136" t="s">
        <v>120</v>
      </c>
      <c r="AQ330" s="136" t="s">
        <v>116</v>
      </c>
      <c r="AR330" s="136" t="s">
        <v>120</v>
      </c>
      <c r="AS330" s="136" t="s">
        <v>116</v>
      </c>
      <c r="AT330" s="136" t="s">
        <v>120</v>
      </c>
      <c r="AU330" s="136" t="s">
        <v>8</v>
      </c>
      <c r="AV330" s="136" t="s">
        <v>226</v>
      </c>
      <c r="AX330" s="136" t="str">
        <f>IF(AI290="","",IF(B330="","",B330))</f>
        <v>HD</v>
      </c>
      <c r="AY330" s="136" t="str">
        <f>IF(AI290="","",IF(C330="","",C330))</f>
        <v>-</v>
      </c>
      <c r="AZ330" s="136" t="str">
        <f>IF(AI290="","",IF(D330="","",D330))</f>
        <v>HD</v>
      </c>
      <c r="BA330" s="136" t="str">
        <f>IF(AI290="","",IF(E330="","",E330))</f>
        <v>-</v>
      </c>
      <c r="BB330" s="136" t="str">
        <f>IF(AI290="","",IF(F330="","",F330))</f>
        <v>HD</v>
      </c>
      <c r="BC330" s="136" t="str">
        <f>IF(AI290="","",IF(G330="","",G330))</f>
        <v>-</v>
      </c>
      <c r="BD330" s="136" t="str">
        <f>IF(AI290="","",IF(H330="","",H330))</f>
        <v>HD</v>
      </c>
      <c r="BE330" s="136" t="str">
        <f>IF(AI290="","",IF(I330="","",I330))</f>
        <v>-</v>
      </c>
      <c r="BF330" s="136" t="str">
        <f>IF(AI290="","",IF(J330="","",J330))</f>
        <v>PV</v>
      </c>
      <c r="BG330" s="136" t="str">
        <f>IF(AI290="","",IF(K330="","",K330))</f>
        <v>-</v>
      </c>
      <c r="BH330" s="136" t="str">
        <f>IF(AI290="","",IF(L330="","",L330))</f>
        <v>PV</v>
      </c>
      <c r="BI330" s="136" t="str">
        <f>IF(AI290="","",IF(M330="","",M330))</f>
        <v>-</v>
      </c>
      <c r="BJ330" s="136" t="str">
        <f>IF(AI290="","",IF(N330="","",N330))</f>
        <v>EA</v>
      </c>
      <c r="BK330" s="136" t="str">
        <f>IF(AI290="","",IF(O330="","",O330))</f>
        <v>IEI</v>
      </c>
      <c r="BN330" s="136" t="str">
        <f t="shared" si="184"/>
        <v>Aulas Práticas</v>
      </c>
      <c r="BO330" s="136" t="str">
        <f t="shared" si="184"/>
        <v>APA</v>
      </c>
      <c r="BP330" s="136">
        <f>IF(BO330="","",COUNTIFS(AX294:BK341,BO330)*0.5)</f>
        <v>0</v>
      </c>
      <c r="BQ330" s="136" t="str">
        <f t="shared" si="185"/>
        <v>Aulas Práticas</v>
      </c>
      <c r="BR330" s="136" t="str">
        <f t="shared" si="185"/>
        <v>APA</v>
      </c>
      <c r="BS330" s="136" t="str">
        <f t="shared" si="186"/>
        <v>Aulas Práticas</v>
      </c>
      <c r="BT330" s="136">
        <f t="shared" si="192"/>
        <v>0</v>
      </c>
      <c r="BU330" s="136">
        <f t="shared" si="193"/>
        <v>0</v>
      </c>
      <c r="CA330" s="136">
        <f>'INFO BASE'!L408</f>
        <v>0</v>
      </c>
      <c r="CB330" s="136">
        <f>'INFO BASE'!M408</f>
        <v>0</v>
      </c>
      <c r="CR330" s="177" t="str">
        <f t="shared" si="174"/>
        <v>HD</v>
      </c>
      <c r="CS330" s="177" t="str">
        <f t="shared" si="175"/>
        <v>HD-</v>
      </c>
      <c r="CT330" s="177" t="str">
        <f t="shared" si="174"/>
        <v>HD</v>
      </c>
      <c r="CU330" s="177" t="str">
        <f t="shared" si="176"/>
        <v>HD-</v>
      </c>
      <c r="CV330" s="177" t="str">
        <f t="shared" si="174"/>
        <v>HD</v>
      </c>
      <c r="CW330" s="177" t="str">
        <f t="shared" si="177"/>
        <v>HD-</v>
      </c>
      <c r="CX330" s="177" t="str">
        <f t="shared" si="174"/>
        <v>HD</v>
      </c>
      <c r="CY330" s="177" t="str">
        <f t="shared" si="178"/>
        <v>HD-</v>
      </c>
      <c r="CZ330" s="177" t="str">
        <f t="shared" si="174"/>
        <v>PV</v>
      </c>
      <c r="DA330" s="177">
        <f t="shared" si="179"/>
        <v>0</v>
      </c>
      <c r="DB330" s="177" t="str">
        <f t="shared" si="174"/>
        <v>PV</v>
      </c>
      <c r="DC330" s="177">
        <f t="shared" si="180"/>
        <v>0</v>
      </c>
      <c r="DD330" s="177" t="str">
        <f t="shared" si="181"/>
        <v>EA</v>
      </c>
      <c r="DE330" s="177" t="str">
        <f t="shared" si="182"/>
        <v>EAIEI</v>
      </c>
    </row>
    <row r="331" spans="1:109" ht="18" customHeight="1" x14ac:dyDescent="0.3">
      <c r="A331" s="81">
        <v>0.77083333333335802</v>
      </c>
      <c r="B331" s="166" t="s">
        <v>116</v>
      </c>
      <c r="C331" s="130" t="s">
        <v>120</v>
      </c>
      <c r="D331" s="169" t="s">
        <v>116</v>
      </c>
      <c r="E331" s="130" t="s">
        <v>120</v>
      </c>
      <c r="F331" s="169" t="s">
        <v>116</v>
      </c>
      <c r="G331" s="130" t="s">
        <v>120</v>
      </c>
      <c r="H331" s="169" t="s">
        <v>116</v>
      </c>
      <c r="I331" s="130" t="s">
        <v>120</v>
      </c>
      <c r="J331" s="169" t="s">
        <v>116</v>
      </c>
      <c r="K331" s="130" t="s">
        <v>120</v>
      </c>
      <c r="L331" s="169" t="s">
        <v>11</v>
      </c>
      <c r="M331" s="130" t="s">
        <v>120</v>
      </c>
      <c r="N331" s="169" t="s">
        <v>8</v>
      </c>
      <c r="O331" s="154" t="s">
        <v>226</v>
      </c>
      <c r="P331" s="6">
        <v>0</v>
      </c>
      <c r="Q331" s="122" t="str">
        <f t="shared" si="199"/>
        <v>Aulas Teóricas</v>
      </c>
      <c r="R331" s="105" t="str">
        <f t="shared" si="191"/>
        <v>CDI</v>
      </c>
      <c r="S331" s="88">
        <f t="shared" si="188"/>
        <v>0</v>
      </c>
      <c r="T331" s="106">
        <f>IF(VLOOKUP(Q331,'INFO BASE'!$B$40:$I$54,IF(R331='INFO BASE'!$B$32,3,IF(R331='INFO BASE'!$B$33,4,IF(R331='INFO BASE'!$B$34,5,IF(R331='INFO BASE'!$B$35,6,IF(R331='INFO BASE'!$B$36,7,IF(R331='INFO BASE'!$B$37,8,2)))))),0)=0,"",VLOOKUP(Q331,'INFO BASE'!$B$40:$I$54,IF(R331='INFO BASE'!$B$32,3,IF(R331='INFO BASE'!$B$33,4,IF(R331='INFO BASE'!$B$34,5,IF(R331='INFO BASE'!$B$35,6,IF(R331='INFO BASE'!$B$36,7,IF(R331='INFO BASE'!$B$37,8,2)))))),0))</f>
        <v>3</v>
      </c>
      <c r="U331" s="106">
        <f>(COUNTIFS(C294:C341,R331,B294:B341,R326)+COUNTIFS(E294:E341,R331,D294:D341,R326)+COUNTIFS(G294:G341,R331,F294:F341,R326)+COUNTIFS(I294:I341,R331,H294:H341,R326)+COUNTIFS(K294:K341,R331,J294:J341,R326)+COUNTIFS(M294:M341,R331,L294:L341,R326)+COUNTIFS(O294:O341,R331,N294:N341,R326))*0.5</f>
        <v>3</v>
      </c>
      <c r="V331" s="89">
        <f>(COUNTIFS(AI294:AI341,R326,AJ294:AJ341,R324)+COUNTIFS(AK294:AK341,R326,AL294:AL341,R324)+COUNTIFS(AM294:AM341,R326,AN294:AN341,R324)+COUNTIFS(AO294:AO341,R326,AP294:AP341,R324)+COUNTIFS(AQ294:AQ341,R326,AR294:AR341,R324)+COUNTIFS(AS294:AS341,R326,AT294:AT341,R324)+COUNTIFS(AU294:AU341,R326,AV294:AV341,R324))*0.5</f>
        <v>3</v>
      </c>
      <c r="W331" s="90">
        <f>IF(AH290="","-",IF(V331=0,U331,IFERROR((U331/V331)-1,"-")))</f>
        <v>0</v>
      </c>
      <c r="X331" s="201">
        <f t="shared" si="189"/>
        <v>0</v>
      </c>
      <c r="Y331" s="271"/>
      <c r="Z331" s="272"/>
      <c r="AA331" s="272"/>
      <c r="AB331" s="272"/>
      <c r="AC331" s="272"/>
      <c r="AD331" s="272"/>
      <c r="AE331" s="272"/>
      <c r="AF331" s="273"/>
      <c r="AH331" s="136">
        <v>0.77083333333335802</v>
      </c>
      <c r="AI331" s="136" t="s">
        <v>116</v>
      </c>
      <c r="AJ331" s="136" t="s">
        <v>120</v>
      </c>
      <c r="AK331" s="136" t="s">
        <v>116</v>
      </c>
      <c r="AL331" s="136" t="s">
        <v>120</v>
      </c>
      <c r="AM331" s="136" t="s">
        <v>116</v>
      </c>
      <c r="AN331" s="136" t="s">
        <v>120</v>
      </c>
      <c r="AO331" s="136" t="s">
        <v>116</v>
      </c>
      <c r="AP331" s="136" t="s">
        <v>120</v>
      </c>
      <c r="AQ331" s="136" t="s">
        <v>116</v>
      </c>
      <c r="AR331" s="136" t="s">
        <v>120</v>
      </c>
      <c r="AS331" s="136" t="s">
        <v>116</v>
      </c>
      <c r="AT331" s="136" t="s">
        <v>120</v>
      </c>
      <c r="AU331" s="136" t="s">
        <v>8</v>
      </c>
      <c r="AV331" s="136" t="s">
        <v>226</v>
      </c>
      <c r="AX331" s="136" t="str">
        <f>IF(AI290="","",IF(B331="","",B331))</f>
        <v>PV</v>
      </c>
      <c r="AY331" s="136" t="str">
        <f>IF(AI290="","",IF(C331="","",C331))</f>
        <v>-</v>
      </c>
      <c r="AZ331" s="136" t="str">
        <f>IF(AI290="","",IF(D331="","",D331))</f>
        <v>PV</v>
      </c>
      <c r="BA331" s="136" t="str">
        <f>IF(AI290="","",IF(E331="","",E331))</f>
        <v>-</v>
      </c>
      <c r="BB331" s="136" t="str">
        <f>IF(AI290="","",IF(F331="","",F331))</f>
        <v>PV</v>
      </c>
      <c r="BC331" s="136" t="str">
        <f>IF(AI290="","",IF(G331="","",G331))</f>
        <v>-</v>
      </c>
      <c r="BD331" s="136" t="str">
        <f>IF(AI290="","",IF(H331="","",H331))</f>
        <v>PV</v>
      </c>
      <c r="BE331" s="136" t="str">
        <f>IF(AI290="","",IF(I331="","",I331))</f>
        <v>-</v>
      </c>
      <c r="BF331" s="136" t="str">
        <f>IF(AI290="","",IF(J331="","",J331))</f>
        <v>PV</v>
      </c>
      <c r="BG331" s="136" t="str">
        <f>IF(AI290="","",IF(K331="","",K331))</f>
        <v>-</v>
      </c>
      <c r="BH331" s="136" t="str">
        <f>IF(AI290="","",IF(L331="","",L331))</f>
        <v>HD</v>
      </c>
      <c r="BI331" s="136" t="str">
        <f>IF(AI290="","",IF(M331="","",M331))</f>
        <v>-</v>
      </c>
      <c r="BJ331" s="136" t="str">
        <f>IF(AI290="","",IF(N331="","",N331))</f>
        <v>EA</v>
      </c>
      <c r="BK331" s="136" t="str">
        <f>IF(AI290="","",IF(O331="","",O331))</f>
        <v>IEI</v>
      </c>
      <c r="BN331" s="136" t="str">
        <f t="shared" si="184"/>
        <v>Aulas Problemas</v>
      </c>
      <c r="BO331" s="136" t="str">
        <f t="shared" si="184"/>
        <v>APB</v>
      </c>
      <c r="BP331" s="136">
        <f>IF(BO331="","",COUNTIFS(AX294:BK341,BO331)*0.5)</f>
        <v>4.5</v>
      </c>
      <c r="BQ331" s="136" t="str">
        <f t="shared" si="185"/>
        <v>Aulas Problemas</v>
      </c>
      <c r="BR331" s="136" t="str">
        <f t="shared" si="185"/>
        <v>APB</v>
      </c>
      <c r="BS331" s="136" t="str">
        <f t="shared" si="186"/>
        <v>Aulas Problemas</v>
      </c>
      <c r="BT331" s="136">
        <f t="shared" si="192"/>
        <v>36</v>
      </c>
      <c r="BU331" s="136">
        <f t="shared" si="193"/>
        <v>36</v>
      </c>
      <c r="CR331" s="177" t="str">
        <f t="shared" si="174"/>
        <v>PV</v>
      </c>
      <c r="CS331" s="177">
        <f t="shared" si="175"/>
        <v>0</v>
      </c>
      <c r="CT331" s="177" t="str">
        <f t="shared" si="174"/>
        <v>PV</v>
      </c>
      <c r="CU331" s="177">
        <f t="shared" si="176"/>
        <v>0</v>
      </c>
      <c r="CV331" s="177" t="str">
        <f t="shared" si="174"/>
        <v>PV</v>
      </c>
      <c r="CW331" s="177">
        <f t="shared" si="177"/>
        <v>0</v>
      </c>
      <c r="CX331" s="177" t="str">
        <f t="shared" si="174"/>
        <v>PV</v>
      </c>
      <c r="CY331" s="177">
        <f t="shared" si="178"/>
        <v>0</v>
      </c>
      <c r="CZ331" s="177" t="str">
        <f t="shared" si="174"/>
        <v>PV</v>
      </c>
      <c r="DA331" s="177">
        <f t="shared" si="179"/>
        <v>0</v>
      </c>
      <c r="DB331" s="177" t="str">
        <f t="shared" si="174"/>
        <v>HD</v>
      </c>
      <c r="DC331" s="177" t="str">
        <f t="shared" si="180"/>
        <v>HD-</v>
      </c>
      <c r="DD331" s="177" t="str">
        <f t="shared" si="181"/>
        <v>EA</v>
      </c>
      <c r="DE331" s="177" t="str">
        <f t="shared" si="182"/>
        <v>EAIEI</v>
      </c>
    </row>
    <row r="332" spans="1:109" ht="18" customHeight="1" thickBot="1" x14ac:dyDescent="0.35">
      <c r="A332" s="81">
        <v>0.79166666666669205</v>
      </c>
      <c r="B332" s="166" t="s">
        <v>116</v>
      </c>
      <c r="C332" s="130" t="s">
        <v>120</v>
      </c>
      <c r="D332" s="169" t="s">
        <v>8</v>
      </c>
      <c r="E332" s="130" t="s">
        <v>224</v>
      </c>
      <c r="F332" s="169" t="s">
        <v>116</v>
      </c>
      <c r="G332" s="130" t="s">
        <v>120</v>
      </c>
      <c r="H332" s="169" t="s">
        <v>8</v>
      </c>
      <c r="I332" s="130" t="s">
        <v>224</v>
      </c>
      <c r="J332" s="169" t="s">
        <v>116</v>
      </c>
      <c r="K332" s="130" t="s">
        <v>120</v>
      </c>
      <c r="L332" s="169" t="s">
        <v>116</v>
      </c>
      <c r="M332" s="130" t="s">
        <v>120</v>
      </c>
      <c r="N332" s="169" t="s">
        <v>8</v>
      </c>
      <c r="O332" s="154" t="s">
        <v>226</v>
      </c>
      <c r="P332" s="6">
        <v>0</v>
      </c>
      <c r="Q332" s="124" t="str">
        <f t="shared" si="199"/>
        <v>Aulas Teóricas</v>
      </c>
      <c r="R332" s="107" t="str">
        <f t="shared" si="191"/>
        <v/>
      </c>
      <c r="S332" s="94" t="str">
        <f t="shared" si="188"/>
        <v>-</v>
      </c>
      <c r="T332" s="108" t="str">
        <f>IF(VLOOKUP(Q332,'INFO BASE'!$B$40:$I$54,IF(R332='INFO BASE'!$B$32,3,IF(R332='INFO BASE'!$B$33,4,IF(R332='INFO BASE'!$B$34,5,IF(R332='INFO BASE'!$B$35,6,IF(R332='INFO BASE'!$B$36,7,IF(R332='INFO BASE'!$B$37,8,2)))))),0)=0,"",VLOOKUP(Q332,'INFO BASE'!$B$40:$I$54,IF(R332='INFO BASE'!$B$32,3,IF(R332='INFO BASE'!$B$33,4,IF(R332='INFO BASE'!$B$34,5,IF(R332='INFO BASE'!$B$35,6,IF(R332='INFO BASE'!$B$36,7,IF(R332='INFO BASE'!$B$37,8,2)))))),0))</f>
        <v/>
      </c>
      <c r="U332" s="108">
        <f>(COUNTIFS(C294:C341,R332,B294:B341,R326)+COUNTIFS(E294:E341,R332,D294:D341,R326)+COUNTIFS(G294:G341,R332,F294:F341,R326)+COUNTIFS(I294:I341,R332,H294:H341,R326)+COUNTIFS(K294:K341,R332,J294:J341,R326)+COUNTIFS(M294:M341,R332,L294:L341,R326)+COUNTIFS(O294:O341,R332,N294:N341,R326))*0.5</f>
        <v>0</v>
      </c>
      <c r="V332" s="95">
        <f>(COUNTIFS(AI294:AI341,R326,AJ294:AJ341,R325)+COUNTIFS(AK294:AK341,R326,AL294:AL341,R325)+COUNTIFS(AM294:AM341,R326,AN294:AN341,R325)+COUNTIFS(AO294:AO341,R326,AP294:AP341,R325)+COUNTIFS(AQ294:AQ341,R326,AR294:AR341,R325)+COUNTIFS(AS294:AS341,R326,AT294:AT341,R325)+COUNTIFS(AU294:AU341,R326,AV294:AV341,R325))*0.5</f>
        <v>0</v>
      </c>
      <c r="W332" s="96">
        <f>IF(AH290="","-",IF(V332=0,U332,IFERROR((U332/V332)-1,"-")))</f>
        <v>0</v>
      </c>
      <c r="X332" s="201">
        <f t="shared" si="189"/>
        <v>0</v>
      </c>
      <c r="Y332" s="274"/>
      <c r="Z332" s="275"/>
      <c r="AA332" s="275"/>
      <c r="AB332" s="275"/>
      <c r="AC332" s="275"/>
      <c r="AD332" s="275"/>
      <c r="AE332" s="275"/>
      <c r="AF332" s="276"/>
      <c r="AH332" s="136">
        <v>0.79166666666669205</v>
      </c>
      <c r="AI332" s="136" t="s">
        <v>116</v>
      </c>
      <c r="AJ332" s="136" t="s">
        <v>120</v>
      </c>
      <c r="AK332" s="136" t="s">
        <v>8</v>
      </c>
      <c r="AL332" s="136" t="s">
        <v>224</v>
      </c>
      <c r="AM332" s="136" t="s">
        <v>116</v>
      </c>
      <c r="AN332" s="136" t="s">
        <v>120</v>
      </c>
      <c r="AO332" s="136" t="s">
        <v>8</v>
      </c>
      <c r="AP332" s="136" t="s">
        <v>224</v>
      </c>
      <c r="AQ332" s="136" t="s">
        <v>116</v>
      </c>
      <c r="AR332" s="136" t="s">
        <v>120</v>
      </c>
      <c r="AS332" s="136" t="s">
        <v>116</v>
      </c>
      <c r="AT332" s="136" t="s">
        <v>120</v>
      </c>
      <c r="AU332" s="136" t="s">
        <v>8</v>
      </c>
      <c r="AV332" s="136" t="s">
        <v>226</v>
      </c>
      <c r="AX332" s="136" t="str">
        <f>IF(AI290="","",IF(B332="","",B332))</f>
        <v>PV</v>
      </c>
      <c r="AY332" s="136" t="str">
        <f>IF(AI290="","",IF(C332="","",C332))</f>
        <v>-</v>
      </c>
      <c r="AZ332" s="136" t="str">
        <f>IF(AI290="","",IF(D332="","",D332))</f>
        <v>EA</v>
      </c>
      <c r="BA332" s="136" t="str">
        <f>IF(AI290="","",IF(E332="","",E332))</f>
        <v>FP</v>
      </c>
      <c r="BB332" s="136" t="str">
        <f>IF(AI290="","",IF(F332="","",F332))</f>
        <v>PV</v>
      </c>
      <c r="BC332" s="136" t="str">
        <f>IF(AI290="","",IF(G332="","",G332))</f>
        <v>-</v>
      </c>
      <c r="BD332" s="136" t="str">
        <f>IF(AI290="","",IF(H332="","",H332))</f>
        <v>EA</v>
      </c>
      <c r="BE332" s="136" t="str">
        <f>IF(AI290="","",IF(I332="","",I332))</f>
        <v>FP</v>
      </c>
      <c r="BF332" s="136" t="str">
        <f>IF(AI290="","",IF(J332="","",J332))</f>
        <v>PV</v>
      </c>
      <c r="BG332" s="136" t="str">
        <f>IF(AI290="","",IF(K332="","",K332))</f>
        <v>-</v>
      </c>
      <c r="BH332" s="136" t="str">
        <f>IF(AI290="","",IF(L332="","",L332))</f>
        <v>PV</v>
      </c>
      <c r="BI332" s="136" t="str">
        <f>IF(AI290="","",IF(M332="","",M332))</f>
        <v>-</v>
      </c>
      <c r="BJ332" s="136" t="str">
        <f>IF(AI290="","",IF(N332="","",N332))</f>
        <v>EA</v>
      </c>
      <c r="BK332" s="136" t="str">
        <f>IF(AI290="","",IF(O332="","",O332))</f>
        <v>IEI</v>
      </c>
      <c r="BN332" s="136" t="str">
        <f t="shared" si="184"/>
        <v>Laboratórios</v>
      </c>
      <c r="BO332" s="136" t="str">
        <f t="shared" si="184"/>
        <v>LAB</v>
      </c>
      <c r="BP332" s="136">
        <f>IF(BO332="","",COUNTIFS(AX294:BK341,BO332)*0.5)</f>
        <v>1.5</v>
      </c>
      <c r="BQ332" s="136" t="str">
        <f t="shared" si="185"/>
        <v>Laboratórios</v>
      </c>
      <c r="BR332" s="136" t="str">
        <f t="shared" si="185"/>
        <v>LAB</v>
      </c>
      <c r="BS332" s="136" t="str">
        <f t="shared" si="186"/>
        <v>Laboratórios</v>
      </c>
      <c r="BT332" s="136">
        <f t="shared" si="192"/>
        <v>10.5</v>
      </c>
      <c r="BU332" s="136">
        <f t="shared" si="193"/>
        <v>10.5</v>
      </c>
      <c r="CA332" s="136">
        <f>'INFO BASE'!L409</f>
        <v>0</v>
      </c>
      <c r="CB332" s="136">
        <f>'INFO BASE'!M409</f>
        <v>0</v>
      </c>
      <c r="CR332" s="177" t="str">
        <f t="shared" si="174"/>
        <v>PV</v>
      </c>
      <c r="CS332" s="177">
        <f t="shared" si="175"/>
        <v>0</v>
      </c>
      <c r="CT332" s="177" t="str">
        <f t="shared" si="174"/>
        <v>EA</v>
      </c>
      <c r="CU332" s="177" t="str">
        <f t="shared" si="176"/>
        <v>EAFP</v>
      </c>
      <c r="CV332" s="177" t="str">
        <f t="shared" si="174"/>
        <v>PV</v>
      </c>
      <c r="CW332" s="177">
        <f t="shared" si="177"/>
        <v>0</v>
      </c>
      <c r="CX332" s="177" t="str">
        <f t="shared" si="174"/>
        <v>EA</v>
      </c>
      <c r="CY332" s="177" t="str">
        <f t="shared" si="178"/>
        <v>EAFP</v>
      </c>
      <c r="CZ332" s="177" t="str">
        <f t="shared" si="174"/>
        <v>PV</v>
      </c>
      <c r="DA332" s="177">
        <f t="shared" si="179"/>
        <v>0</v>
      </c>
      <c r="DB332" s="177" t="str">
        <f t="shared" si="174"/>
        <v>PV</v>
      </c>
      <c r="DC332" s="177">
        <f t="shared" si="180"/>
        <v>0</v>
      </c>
      <c r="DD332" s="177" t="str">
        <f t="shared" si="181"/>
        <v>EA</v>
      </c>
      <c r="DE332" s="177" t="str">
        <f t="shared" si="182"/>
        <v>EAIEI</v>
      </c>
    </row>
    <row r="333" spans="1:109" ht="18" customHeight="1" x14ac:dyDescent="0.3">
      <c r="A333" s="81">
        <v>0.81250000000002598</v>
      </c>
      <c r="B333" s="166" t="s">
        <v>116</v>
      </c>
      <c r="C333" s="130" t="s">
        <v>120</v>
      </c>
      <c r="D333" s="169" t="s">
        <v>8</v>
      </c>
      <c r="E333" s="130" t="s">
        <v>224</v>
      </c>
      <c r="F333" s="169" t="s">
        <v>116</v>
      </c>
      <c r="G333" s="130" t="s">
        <v>120</v>
      </c>
      <c r="H333" s="169" t="s">
        <v>8</v>
      </c>
      <c r="I333" s="130" t="s">
        <v>224</v>
      </c>
      <c r="J333" s="169" t="s">
        <v>116</v>
      </c>
      <c r="K333" s="130" t="s">
        <v>120</v>
      </c>
      <c r="L333" s="169" t="s">
        <v>8</v>
      </c>
      <c r="M333" s="130" t="s">
        <v>230</v>
      </c>
      <c r="N333" s="169" t="s">
        <v>8</v>
      </c>
      <c r="O333" s="154" t="s">
        <v>226</v>
      </c>
      <c r="P333" s="6">
        <v>0</v>
      </c>
      <c r="Q333" s="97" t="str">
        <f>IF('INFO BASE'!$C$21="","",'INFO BASE'!$C$21)</f>
        <v>Aulas Práticas</v>
      </c>
      <c r="R333" s="82" t="str">
        <f t="shared" si="191"/>
        <v>APA</v>
      </c>
      <c r="S333" s="83" t="str">
        <f t="shared" si="188"/>
        <v>-</v>
      </c>
      <c r="T333" s="98" t="str">
        <f>IF(VLOOKUP(Q333,'INFO BASE'!$B$40:$I$54,IF(R333='INFO BASE'!$B$32,3,IF(R333='INFO BASE'!$B$33,4,IF(R333='INFO BASE'!$B$34,5,IF(R333='INFO BASE'!$B$35,6,IF(R333='INFO BASE'!$B$36,7,IF(R333='INFO BASE'!$B$37,8,2)))))),0)=0,"",VLOOKUP(Q333,'INFO BASE'!$B$40:$I$54,IF(R333='INFO BASE'!$B$32,3,IF(R333='INFO BASE'!$B$33,4,IF(R333='INFO BASE'!$B$34,5,IF(R333='INFO BASE'!$B$35,6,IF(R333='INFO BASE'!$B$36,7,IF(R333='INFO BASE'!$B$37,8,2)))))),0))</f>
        <v/>
      </c>
      <c r="U333" s="84">
        <f t="shared" ref="U333:U341" si="200">IF(R333="","",COUNTIFS(SEMANA6,R333)*0.5)</f>
        <v>0</v>
      </c>
      <c r="V333" s="84">
        <f>IF(R333="","",COUNTIFS(AI294:AV341,R333)*0.5)</f>
        <v>0</v>
      </c>
      <c r="W333" s="85">
        <f>IF(AH290="","-",IF(V333=0,U333,IFERROR((U333/V333)-1,"-")))</f>
        <v>0</v>
      </c>
      <c r="X333" s="201">
        <f t="shared" si="189"/>
        <v>0</v>
      </c>
      <c r="Y333" s="277"/>
      <c r="Z333" s="278"/>
      <c r="AA333" s="278"/>
      <c r="AB333" s="278"/>
      <c r="AC333" s="278"/>
      <c r="AD333" s="278"/>
      <c r="AE333" s="278"/>
      <c r="AF333" s="279"/>
      <c r="AH333" s="136">
        <v>0.81250000000002598</v>
      </c>
      <c r="AI333" s="136" t="s">
        <v>116</v>
      </c>
      <c r="AJ333" s="136" t="s">
        <v>120</v>
      </c>
      <c r="AK333" s="136" t="s">
        <v>8</v>
      </c>
      <c r="AL333" s="136" t="s">
        <v>224</v>
      </c>
      <c r="AM333" s="136" t="s">
        <v>116</v>
      </c>
      <c r="AN333" s="136" t="s">
        <v>120</v>
      </c>
      <c r="AO333" s="136" t="s">
        <v>8</v>
      </c>
      <c r="AP333" s="136" t="s">
        <v>224</v>
      </c>
      <c r="AQ333" s="136" t="s">
        <v>116</v>
      </c>
      <c r="AR333" s="136" t="s">
        <v>120</v>
      </c>
      <c r="AS333" s="136" t="s">
        <v>116</v>
      </c>
      <c r="AT333" s="136" t="s">
        <v>120</v>
      </c>
      <c r="AU333" s="136" t="s">
        <v>8</v>
      </c>
      <c r="AV333" s="136" t="s">
        <v>226</v>
      </c>
      <c r="AX333" s="136" t="str">
        <f>IF(AI290="","",IF(B333="","",B333))</f>
        <v>PV</v>
      </c>
      <c r="AY333" s="136" t="str">
        <f>IF(AI290="","",IF(C333="","",C333))</f>
        <v>-</v>
      </c>
      <c r="AZ333" s="136" t="str">
        <f>IF(AI290="","",IF(D333="","",D333))</f>
        <v>EA</v>
      </c>
      <c r="BA333" s="136" t="str">
        <f>IF(AI290="","",IF(E333="","",E333))</f>
        <v>FP</v>
      </c>
      <c r="BB333" s="136" t="str">
        <f>IF(AI290="","",IF(F333="","",F333))</f>
        <v>PV</v>
      </c>
      <c r="BC333" s="136" t="str">
        <f>IF(AI290="","",IF(G333="","",G333))</f>
        <v>-</v>
      </c>
      <c r="BD333" s="136" t="str">
        <f>IF(AI290="","",IF(H333="","",H333))</f>
        <v>EA</v>
      </c>
      <c r="BE333" s="136" t="str">
        <f>IF(AI290="","",IF(I333="","",I333))</f>
        <v>FP</v>
      </c>
      <c r="BF333" s="136" t="str">
        <f>IF(AI290="","",IF(J333="","",J333))</f>
        <v>PV</v>
      </c>
      <c r="BG333" s="136" t="str">
        <f>IF(AI290="","",IF(K333="","",K333))</f>
        <v>-</v>
      </c>
      <c r="BH333" s="136" t="str">
        <f>IF(AI290="","",IF(L333="","",L333))</f>
        <v>EA</v>
      </c>
      <c r="BI333" s="136" t="str">
        <f>IF(AI290="","",IF(M333="","",M333))</f>
        <v>AL</v>
      </c>
      <c r="BJ333" s="136" t="str">
        <f>IF(AI290="","",IF(N333="","",N333))</f>
        <v>EA</v>
      </c>
      <c r="BK333" s="136" t="str">
        <f>IF(AI290="","",IF(O333="","",O333))</f>
        <v>IEI</v>
      </c>
      <c r="BN333" s="136" t="str">
        <f t="shared" si="184"/>
        <v>Momento Avaliativo</v>
      </c>
      <c r="BO333" s="136" t="str">
        <f t="shared" si="184"/>
        <v>MA</v>
      </c>
      <c r="BP333" s="136">
        <f>IF(BO333="","",COUNTIFS(AX294:BK341,BO333)*0.5)</f>
        <v>0</v>
      </c>
      <c r="BQ333" s="136" t="str">
        <f t="shared" si="185"/>
        <v>Momento Avaliativo</v>
      </c>
      <c r="BR333" s="136" t="str">
        <f t="shared" si="185"/>
        <v>MA</v>
      </c>
      <c r="BS333" s="136" t="str">
        <f t="shared" si="186"/>
        <v>Momento Avaliativo</v>
      </c>
      <c r="BT333" s="136">
        <f t="shared" si="192"/>
        <v>1.5</v>
      </c>
      <c r="BU333" s="136">
        <f t="shared" si="193"/>
        <v>1.5</v>
      </c>
      <c r="CA333" s="136">
        <f>'INFO BASE'!L410</f>
        <v>0</v>
      </c>
      <c r="CB333" s="136">
        <f>'INFO BASE'!M410</f>
        <v>0</v>
      </c>
      <c r="CR333" s="177" t="str">
        <f t="shared" si="174"/>
        <v>PV</v>
      </c>
      <c r="CS333" s="177">
        <f t="shared" si="175"/>
        <v>0</v>
      </c>
      <c r="CT333" s="177" t="str">
        <f t="shared" si="174"/>
        <v>EA</v>
      </c>
      <c r="CU333" s="177" t="str">
        <f t="shared" si="176"/>
        <v>EAFP</v>
      </c>
      <c r="CV333" s="177" t="str">
        <f t="shared" si="174"/>
        <v>PV</v>
      </c>
      <c r="CW333" s="177">
        <f t="shared" si="177"/>
        <v>0</v>
      </c>
      <c r="CX333" s="177" t="str">
        <f t="shared" si="174"/>
        <v>EA</v>
      </c>
      <c r="CY333" s="177" t="str">
        <f t="shared" si="178"/>
        <v>EAFP</v>
      </c>
      <c r="CZ333" s="177" t="str">
        <f t="shared" si="174"/>
        <v>PV</v>
      </c>
      <c r="DA333" s="177">
        <f t="shared" si="179"/>
        <v>0</v>
      </c>
      <c r="DB333" s="177" t="str">
        <f t="shared" si="174"/>
        <v>EA</v>
      </c>
      <c r="DC333" s="177" t="str">
        <f t="shared" si="180"/>
        <v>EAAL</v>
      </c>
      <c r="DD333" s="177" t="str">
        <f t="shared" si="181"/>
        <v>EA</v>
      </c>
      <c r="DE333" s="177" t="str">
        <f t="shared" si="182"/>
        <v>EAIEI</v>
      </c>
    </row>
    <row r="334" spans="1:109" ht="18" customHeight="1" x14ac:dyDescent="0.3">
      <c r="A334" s="81">
        <v>0.83333333333336002</v>
      </c>
      <c r="B334" s="166" t="s">
        <v>116</v>
      </c>
      <c r="C334" s="130" t="s">
        <v>120</v>
      </c>
      <c r="D334" s="169" t="s">
        <v>8</v>
      </c>
      <c r="E334" s="130" t="s">
        <v>224</v>
      </c>
      <c r="F334" s="169" t="s">
        <v>116</v>
      </c>
      <c r="G334" s="130" t="s">
        <v>120</v>
      </c>
      <c r="H334" s="169" t="s">
        <v>8</v>
      </c>
      <c r="I334" s="130" t="s">
        <v>224</v>
      </c>
      <c r="J334" s="169" t="s">
        <v>116</v>
      </c>
      <c r="K334" s="130" t="s">
        <v>120</v>
      </c>
      <c r="L334" s="169" t="s">
        <v>8</v>
      </c>
      <c r="M334" s="130" t="s">
        <v>230</v>
      </c>
      <c r="N334" s="169" t="s">
        <v>8</v>
      </c>
      <c r="O334" s="154" t="s">
        <v>226</v>
      </c>
      <c r="P334" s="6">
        <v>0</v>
      </c>
      <c r="Q334" s="99" t="str">
        <f>IF('INFO BASE'!$C$22="","",'INFO BASE'!$C$22)</f>
        <v>Aulas Problemas</v>
      </c>
      <c r="R334" s="87" t="str">
        <f t="shared" si="191"/>
        <v>APB</v>
      </c>
      <c r="S334" s="88">
        <f t="shared" si="188"/>
        <v>-0.25</v>
      </c>
      <c r="T334" s="100">
        <f>IF(VLOOKUP(Q334,'INFO BASE'!$B$40:$I$54,IF(R334='INFO BASE'!$B$32,3,IF(R334='INFO BASE'!$B$33,4,IF(R334='INFO BASE'!$B$34,5,IF(R334='INFO BASE'!$B$35,6,IF(R334='INFO BASE'!$B$36,7,IF(R334='INFO BASE'!$B$37,8,2)))))),0)=0,"",VLOOKUP(Q334,'INFO BASE'!$B$40:$I$54,IF(R334='INFO BASE'!$B$32,3,IF(R334='INFO BASE'!$B$33,4,IF(R334='INFO BASE'!$B$34,5,IF(R334='INFO BASE'!$B$35,6,IF(R334='INFO BASE'!$B$36,7,IF(R334='INFO BASE'!$B$37,8,2)))))),0))</f>
        <v>6</v>
      </c>
      <c r="U334" s="89">
        <f t="shared" si="200"/>
        <v>4.5</v>
      </c>
      <c r="V334" s="100">
        <f>IF(R334="","",COUNTIFS(AI294:AV341,R334)*0.5)</f>
        <v>4.5</v>
      </c>
      <c r="W334" s="90">
        <f>IF(AH290="","-",IF(V334=0,U334,IFERROR((U334/V334)-1,"-")))</f>
        <v>0</v>
      </c>
      <c r="X334" s="201">
        <f t="shared" si="189"/>
        <v>0</v>
      </c>
      <c r="Y334" s="271"/>
      <c r="Z334" s="272"/>
      <c r="AA334" s="272"/>
      <c r="AB334" s="272"/>
      <c r="AC334" s="272"/>
      <c r="AD334" s="272"/>
      <c r="AE334" s="272"/>
      <c r="AF334" s="273"/>
      <c r="AH334" s="136">
        <v>0.83333333333336002</v>
      </c>
      <c r="AI334" s="136" t="s">
        <v>116</v>
      </c>
      <c r="AJ334" s="136" t="s">
        <v>120</v>
      </c>
      <c r="AK334" s="136" t="s">
        <v>8</v>
      </c>
      <c r="AL334" s="136" t="s">
        <v>224</v>
      </c>
      <c r="AM334" s="136" t="s">
        <v>116</v>
      </c>
      <c r="AN334" s="136" t="s">
        <v>120</v>
      </c>
      <c r="AO334" s="136" t="s">
        <v>8</v>
      </c>
      <c r="AP334" s="136" t="s">
        <v>224</v>
      </c>
      <c r="AQ334" s="136" t="s">
        <v>116</v>
      </c>
      <c r="AR334" s="136" t="s">
        <v>120</v>
      </c>
      <c r="AS334" s="136" t="s">
        <v>116</v>
      </c>
      <c r="AT334" s="136" t="s">
        <v>120</v>
      </c>
      <c r="AU334" s="136" t="s">
        <v>8</v>
      </c>
      <c r="AV334" s="136" t="s">
        <v>226</v>
      </c>
      <c r="AX334" s="136" t="str">
        <f>IF(AI290="","",IF(B334="","",B334))</f>
        <v>PV</v>
      </c>
      <c r="AY334" s="136" t="str">
        <f>IF(AI290="","",IF(C334="","",C334))</f>
        <v>-</v>
      </c>
      <c r="AZ334" s="136" t="str">
        <f>IF(AI290="","",IF(D334="","",D334))</f>
        <v>EA</v>
      </c>
      <c r="BA334" s="136" t="str">
        <f>IF(AI290="","",IF(E334="","",E334))</f>
        <v>FP</v>
      </c>
      <c r="BB334" s="136" t="str">
        <f>IF(AI290="","",IF(F334="","",F334))</f>
        <v>PV</v>
      </c>
      <c r="BC334" s="136" t="str">
        <f>IF(AI290="","",IF(G334="","",G334))</f>
        <v>-</v>
      </c>
      <c r="BD334" s="136" t="str">
        <f>IF(AI290="","",IF(H334="","",H334))</f>
        <v>EA</v>
      </c>
      <c r="BE334" s="136" t="str">
        <f>IF(AI290="","",IF(I334="","",I334))</f>
        <v>FP</v>
      </c>
      <c r="BF334" s="136" t="str">
        <f>IF(AI290="","",IF(J334="","",J334))</f>
        <v>PV</v>
      </c>
      <c r="BG334" s="136" t="str">
        <f>IF(AI290="","",IF(K334="","",K334))</f>
        <v>-</v>
      </c>
      <c r="BH334" s="136" t="str">
        <f>IF(AI290="","",IF(L334="","",L334))</f>
        <v>EA</v>
      </c>
      <c r="BI334" s="136" t="str">
        <f>IF(AI290="","",IF(M334="","",M334))</f>
        <v>AL</v>
      </c>
      <c r="BJ334" s="136" t="str">
        <f>IF(AI290="","",IF(N334="","",N334))</f>
        <v>EA</v>
      </c>
      <c r="BK334" s="136" t="str">
        <f>IF(AI290="","",IF(O334="","",O334))</f>
        <v>IEI</v>
      </c>
      <c r="BN334" s="136" t="str">
        <f t="shared" si="184"/>
        <v>Horário de Dúvidas</v>
      </c>
      <c r="BO334" s="136" t="str">
        <f t="shared" si="184"/>
        <v>HDV</v>
      </c>
      <c r="BP334" s="136">
        <f>IF(BO334="","",COUNTIFS(AX294:BK341,BO334)*0.5)</f>
        <v>0</v>
      </c>
      <c r="BQ334" s="136" t="str">
        <f t="shared" si="185"/>
        <v>Horário de Dúvidas</v>
      </c>
      <c r="BR334" s="136" t="str">
        <f t="shared" si="185"/>
        <v>HDV</v>
      </c>
      <c r="BS334" s="136" t="str">
        <f t="shared" si="186"/>
        <v>Horário de Dúvidas</v>
      </c>
      <c r="BT334" s="136">
        <f t="shared" si="192"/>
        <v>0</v>
      </c>
      <c r="BU334" s="136">
        <f t="shared" si="193"/>
        <v>0</v>
      </c>
      <c r="CA334" s="136">
        <f>'INFO BASE'!L411</f>
        <v>0</v>
      </c>
      <c r="CB334" s="136">
        <f>'INFO BASE'!M411</f>
        <v>0</v>
      </c>
      <c r="CR334" s="177" t="str">
        <f t="shared" si="174"/>
        <v>PV</v>
      </c>
      <c r="CS334" s="177">
        <f t="shared" si="175"/>
        <v>0</v>
      </c>
      <c r="CT334" s="177" t="str">
        <f t="shared" si="174"/>
        <v>EA</v>
      </c>
      <c r="CU334" s="177" t="str">
        <f t="shared" si="176"/>
        <v>EAFP</v>
      </c>
      <c r="CV334" s="177" t="str">
        <f t="shared" si="174"/>
        <v>PV</v>
      </c>
      <c r="CW334" s="177">
        <f t="shared" si="177"/>
        <v>0</v>
      </c>
      <c r="CX334" s="177" t="str">
        <f t="shared" si="174"/>
        <v>EA</v>
      </c>
      <c r="CY334" s="177" t="str">
        <f t="shared" si="178"/>
        <v>EAFP</v>
      </c>
      <c r="CZ334" s="177" t="str">
        <f t="shared" si="174"/>
        <v>PV</v>
      </c>
      <c r="DA334" s="177">
        <f t="shared" si="179"/>
        <v>0</v>
      </c>
      <c r="DB334" s="177" t="str">
        <f t="shared" si="174"/>
        <v>EA</v>
      </c>
      <c r="DC334" s="177" t="str">
        <f t="shared" si="180"/>
        <v>EAAL</v>
      </c>
      <c r="DD334" s="177" t="str">
        <f t="shared" si="181"/>
        <v>EA</v>
      </c>
      <c r="DE334" s="177" t="str">
        <f t="shared" si="182"/>
        <v>EAIEI</v>
      </c>
    </row>
    <row r="335" spans="1:109" ht="18" customHeight="1" thickBot="1" x14ac:dyDescent="0.35">
      <c r="A335" s="81">
        <v>0.85416666666669405</v>
      </c>
      <c r="B335" s="166" t="s">
        <v>116</v>
      </c>
      <c r="C335" s="130" t="s">
        <v>120</v>
      </c>
      <c r="D335" s="169" t="s">
        <v>116</v>
      </c>
      <c r="E335" s="130" t="s">
        <v>120</v>
      </c>
      <c r="F335" s="169" t="s">
        <v>116</v>
      </c>
      <c r="G335" s="130" t="s">
        <v>120</v>
      </c>
      <c r="H335" s="169" t="s">
        <v>116</v>
      </c>
      <c r="I335" s="130" t="s">
        <v>120</v>
      </c>
      <c r="J335" s="169" t="s">
        <v>116</v>
      </c>
      <c r="K335" s="130" t="s">
        <v>120</v>
      </c>
      <c r="L335" s="169" t="s">
        <v>8</v>
      </c>
      <c r="M335" s="130" t="s">
        <v>230</v>
      </c>
      <c r="N335" s="169" t="s">
        <v>12</v>
      </c>
      <c r="O335" s="154" t="s">
        <v>120</v>
      </c>
      <c r="P335" s="6">
        <v>0</v>
      </c>
      <c r="Q335" s="101" t="str">
        <f>IF('INFO BASE'!$C$23="","",'INFO BASE'!$C$23)</f>
        <v>Laboratórios</v>
      </c>
      <c r="R335" s="93" t="str">
        <f t="shared" si="191"/>
        <v>LAB</v>
      </c>
      <c r="S335" s="94">
        <f t="shared" si="188"/>
        <v>0</v>
      </c>
      <c r="T335" s="95">
        <f>IF(VLOOKUP(Q335,'INFO BASE'!$B$40:$I$54,IF(R335='INFO BASE'!$B$32,3,IF(R335='INFO BASE'!$B$33,4,IF(R335='INFO BASE'!$B$34,5,IF(R335='INFO BASE'!$B$35,6,IF(R335='INFO BASE'!$B$36,7,IF(R335='INFO BASE'!$B$37,8,2)))))),0)=0,"",VLOOKUP(Q335,'INFO BASE'!$B$40:$I$54,IF(R335='INFO BASE'!$B$32,3,IF(R335='INFO BASE'!$B$33,4,IF(R335='INFO BASE'!$B$34,5,IF(R335='INFO BASE'!$B$35,6,IF(R335='INFO BASE'!$B$36,7,IF(R335='INFO BASE'!$B$37,8,2)))))),0))</f>
        <v>1.5</v>
      </c>
      <c r="U335" s="95">
        <f t="shared" si="200"/>
        <v>1.5</v>
      </c>
      <c r="V335" s="95">
        <f>IF(R335="","",COUNTIFS(AI294:AV341,R335)*0.5)</f>
        <v>1.5</v>
      </c>
      <c r="W335" s="96">
        <f>IF(AH290="","-",IF(V335=0,U335,IFERROR((U335/V335)-1,"-")))</f>
        <v>0</v>
      </c>
      <c r="X335" s="201">
        <f t="shared" si="189"/>
        <v>0</v>
      </c>
      <c r="Y335" s="271"/>
      <c r="Z335" s="272"/>
      <c r="AA335" s="272"/>
      <c r="AB335" s="272"/>
      <c r="AC335" s="272"/>
      <c r="AD335" s="272"/>
      <c r="AE335" s="272"/>
      <c r="AF335" s="273"/>
      <c r="AH335" s="136">
        <v>0.85416666666669405</v>
      </c>
      <c r="AI335" s="136" t="s">
        <v>116</v>
      </c>
      <c r="AJ335" s="136" t="s">
        <v>120</v>
      </c>
      <c r="AK335" s="136" t="s">
        <v>116</v>
      </c>
      <c r="AL335" s="136" t="s">
        <v>120</v>
      </c>
      <c r="AM335" s="136" t="s">
        <v>116</v>
      </c>
      <c r="AN335" s="136" t="s">
        <v>120</v>
      </c>
      <c r="AO335" s="136" t="s">
        <v>116</v>
      </c>
      <c r="AP335" s="136" t="s">
        <v>120</v>
      </c>
      <c r="AQ335" s="136" t="s">
        <v>116</v>
      </c>
      <c r="AR335" s="136" t="s">
        <v>120</v>
      </c>
      <c r="AS335" s="136" t="s">
        <v>116</v>
      </c>
      <c r="AT335" s="136" t="s">
        <v>120</v>
      </c>
      <c r="AU335" s="136" t="s">
        <v>12</v>
      </c>
      <c r="AV335" s="136" t="s">
        <v>120</v>
      </c>
      <c r="AX335" s="136" t="str">
        <f>IF(AI290="","",IF(B335="","",B335))</f>
        <v>PV</v>
      </c>
      <c r="AY335" s="136" t="str">
        <f>IF(AI290="","",IF(C335="","",C335))</f>
        <v>-</v>
      </c>
      <c r="AZ335" s="136" t="str">
        <f>IF(AI290="","",IF(D335="","",D335))</f>
        <v>PV</v>
      </c>
      <c r="BA335" s="136" t="str">
        <f>IF(AI290="","",IF(E335="","",E335))</f>
        <v>-</v>
      </c>
      <c r="BB335" s="136" t="str">
        <f>IF(AI290="","",IF(F335="","",F335))</f>
        <v>PV</v>
      </c>
      <c r="BC335" s="136" t="str">
        <f>IF(AI290="","",IF(G335="","",G335))</f>
        <v>-</v>
      </c>
      <c r="BD335" s="136" t="str">
        <f>IF(AI290="","",IF(H335="","",H335))</f>
        <v>PV</v>
      </c>
      <c r="BE335" s="136" t="str">
        <f>IF(AI290="","",IF(I335="","",I335))</f>
        <v>-</v>
      </c>
      <c r="BF335" s="136" t="str">
        <f>IF(AI290="","",IF(J335="","",J335))</f>
        <v>PV</v>
      </c>
      <c r="BG335" s="136" t="str">
        <f>IF(AI290="","",IF(K335="","",K335))</f>
        <v>-</v>
      </c>
      <c r="BH335" s="136" t="str">
        <f>IF(AI290="","",IF(L335="","",L335))</f>
        <v>EA</v>
      </c>
      <c r="BI335" s="136" t="str">
        <f>IF(AI290="","",IF(M335="","",M335))</f>
        <v>AL</v>
      </c>
      <c r="BJ335" s="136" t="str">
        <f>IF(AI290="","",IF(N335="","",N335))</f>
        <v>HR</v>
      </c>
      <c r="BK335" s="136" t="str">
        <f>IF(AI290="","",IF(O335="","",O335))</f>
        <v>-</v>
      </c>
      <c r="BN335" s="136" t="str">
        <f t="shared" si="184"/>
        <v>Privado</v>
      </c>
      <c r="BO335" s="136" t="str">
        <f t="shared" si="184"/>
        <v>PV</v>
      </c>
      <c r="BP335" s="136">
        <f>IF(BO335="","",COUNTIFS(AX294:BK341,BO335)*0.5)</f>
        <v>46.5</v>
      </c>
      <c r="BQ335" s="136" t="str">
        <f t="shared" si="185"/>
        <v>Privado</v>
      </c>
      <c r="BR335" s="136" t="str">
        <f t="shared" si="185"/>
        <v>PV</v>
      </c>
      <c r="BS335" s="136" t="str">
        <f t="shared" si="186"/>
        <v>Privado</v>
      </c>
      <c r="BT335" s="136">
        <f t="shared" si="192"/>
        <v>384</v>
      </c>
      <c r="BU335" s="136">
        <f t="shared" si="193"/>
        <v>369</v>
      </c>
      <c r="CA335" s="136">
        <f>'INFO BASE'!L412</f>
        <v>0</v>
      </c>
      <c r="CB335" s="136">
        <f>'INFO BASE'!M412</f>
        <v>0</v>
      </c>
      <c r="CR335" s="177" t="str">
        <f t="shared" si="174"/>
        <v>PV</v>
      </c>
      <c r="CS335" s="177">
        <f t="shared" si="175"/>
        <v>0</v>
      </c>
      <c r="CT335" s="177" t="str">
        <f t="shared" si="174"/>
        <v>PV</v>
      </c>
      <c r="CU335" s="177">
        <f t="shared" si="176"/>
        <v>0</v>
      </c>
      <c r="CV335" s="177" t="str">
        <f t="shared" si="174"/>
        <v>PV</v>
      </c>
      <c r="CW335" s="177">
        <f t="shared" si="177"/>
        <v>0</v>
      </c>
      <c r="CX335" s="177" t="str">
        <f t="shared" si="174"/>
        <v>PV</v>
      </c>
      <c r="CY335" s="177">
        <f t="shared" si="178"/>
        <v>0</v>
      </c>
      <c r="CZ335" s="177" t="str">
        <f t="shared" si="174"/>
        <v>PV</v>
      </c>
      <c r="DA335" s="177">
        <f t="shared" si="179"/>
        <v>0</v>
      </c>
      <c r="DB335" s="177" t="str">
        <f t="shared" si="174"/>
        <v>EA</v>
      </c>
      <c r="DC335" s="177" t="str">
        <f t="shared" si="180"/>
        <v>EAAL</v>
      </c>
      <c r="DD335" s="177" t="str">
        <f t="shared" si="181"/>
        <v>HR</v>
      </c>
      <c r="DE335" s="177" t="str">
        <f t="shared" si="182"/>
        <v>HR-</v>
      </c>
    </row>
    <row r="336" spans="1:109" ht="18" customHeight="1" x14ac:dyDescent="0.3">
      <c r="A336" s="81">
        <v>0.87500000000002798</v>
      </c>
      <c r="B336" s="166" t="s">
        <v>12</v>
      </c>
      <c r="C336" s="130" t="s">
        <v>120</v>
      </c>
      <c r="D336" s="169" t="s">
        <v>12</v>
      </c>
      <c r="E336" s="130" t="s">
        <v>120</v>
      </c>
      <c r="F336" s="169" t="s">
        <v>12</v>
      </c>
      <c r="G336" s="130" t="s">
        <v>120</v>
      </c>
      <c r="H336" s="169" t="s">
        <v>12</v>
      </c>
      <c r="I336" s="130" t="s">
        <v>120</v>
      </c>
      <c r="J336" s="169" t="s">
        <v>12</v>
      </c>
      <c r="K336" s="130" t="s">
        <v>120</v>
      </c>
      <c r="L336" s="169" t="s">
        <v>8</v>
      </c>
      <c r="M336" s="130" t="s">
        <v>230</v>
      </c>
      <c r="N336" s="169" t="s">
        <v>12</v>
      </c>
      <c r="O336" s="154" t="s">
        <v>120</v>
      </c>
      <c r="P336" s="6">
        <v>0</v>
      </c>
      <c r="Q336" s="102" t="str">
        <f>IF('INFO BASE'!$C$24="","",'INFO BASE'!$C$24)</f>
        <v>Momento Avaliativo</v>
      </c>
      <c r="R336" s="82" t="str">
        <f t="shared" si="191"/>
        <v>MA</v>
      </c>
      <c r="S336" s="83" t="str">
        <f t="shared" si="188"/>
        <v>-</v>
      </c>
      <c r="T336" s="84" t="str">
        <f>IF(VLOOKUP(Q336,'INFO BASE'!$B$40:$I$54,IF(R336='INFO BASE'!$B$32,3,IF(R336='INFO BASE'!$B$33,4,IF(R336='INFO BASE'!$B$34,5,IF(R336='INFO BASE'!$B$35,6,IF(R336='INFO BASE'!$B$36,7,IF(R336='INFO BASE'!$B$37,8,2)))))),0)=0,"",VLOOKUP(Q336,'INFO BASE'!$B$40:$I$54,IF(R336='INFO BASE'!$B$32,3,IF(R336='INFO BASE'!$B$33,4,IF(R336='INFO BASE'!$B$34,5,IF(R336='INFO BASE'!$B$35,6,IF(R336='INFO BASE'!$B$36,7,IF(R336='INFO BASE'!$B$37,8,2)))))),0))</f>
        <v/>
      </c>
      <c r="U336" s="84">
        <f t="shared" si="200"/>
        <v>0</v>
      </c>
      <c r="V336" s="84">
        <f>IF(R336="","",COUNTIFS(AI294:AV341,R336)*0.5)</f>
        <v>0</v>
      </c>
      <c r="W336" s="85">
        <f>IF(AH290="","-",IF(V336=0,U336,IFERROR((U336/V336)-1,"-")))</f>
        <v>0</v>
      </c>
      <c r="X336" s="201">
        <f t="shared" si="189"/>
        <v>0</v>
      </c>
      <c r="Y336" s="277"/>
      <c r="Z336" s="278"/>
      <c r="AA336" s="278"/>
      <c r="AB336" s="278"/>
      <c r="AC336" s="278"/>
      <c r="AD336" s="278"/>
      <c r="AE336" s="278"/>
      <c r="AF336" s="279"/>
      <c r="AH336" s="136">
        <v>0.87500000000002798</v>
      </c>
      <c r="AI336" s="136" t="s">
        <v>12</v>
      </c>
      <c r="AJ336" s="136" t="s">
        <v>120</v>
      </c>
      <c r="AK336" s="136" t="s">
        <v>12</v>
      </c>
      <c r="AL336" s="136" t="s">
        <v>120</v>
      </c>
      <c r="AM336" s="136" t="s">
        <v>12</v>
      </c>
      <c r="AN336" s="136" t="s">
        <v>120</v>
      </c>
      <c r="AO336" s="136" t="s">
        <v>12</v>
      </c>
      <c r="AP336" s="136" t="s">
        <v>120</v>
      </c>
      <c r="AQ336" s="136" t="s">
        <v>12</v>
      </c>
      <c r="AR336" s="136" t="s">
        <v>120</v>
      </c>
      <c r="AS336" s="136" t="s">
        <v>116</v>
      </c>
      <c r="AT336" s="136" t="s">
        <v>120</v>
      </c>
      <c r="AU336" s="136" t="s">
        <v>12</v>
      </c>
      <c r="AV336" s="136" t="s">
        <v>120</v>
      </c>
      <c r="AX336" s="136" t="str">
        <f>IF(AI290="","",IF(B336="","",B336))</f>
        <v>HR</v>
      </c>
      <c r="AY336" s="136" t="str">
        <f>IF(AI290="","",IF(C336="","",C336))</f>
        <v>-</v>
      </c>
      <c r="AZ336" s="136" t="str">
        <f>IF(AI290="","",IF(D336="","",D336))</f>
        <v>HR</v>
      </c>
      <c r="BA336" s="136" t="str">
        <f>IF(AI290="","",IF(E336="","",E336))</f>
        <v>-</v>
      </c>
      <c r="BB336" s="136" t="str">
        <f>IF(AI290="","",IF(F336="","",F336))</f>
        <v>HR</v>
      </c>
      <c r="BC336" s="136" t="str">
        <f>IF(AI290="","",IF(G336="","",G336))</f>
        <v>-</v>
      </c>
      <c r="BD336" s="136" t="str">
        <f>IF(AI290="","",IF(H336="","",H336))</f>
        <v>HR</v>
      </c>
      <c r="BE336" s="136" t="str">
        <f>IF(AI290="","",IF(I336="","",I336))</f>
        <v>-</v>
      </c>
      <c r="BF336" s="136" t="str">
        <f>IF(AI290="","",IF(J336="","",J336))</f>
        <v>HR</v>
      </c>
      <c r="BG336" s="136" t="str">
        <f>IF(AI290="","",IF(K336="","",K336))</f>
        <v>-</v>
      </c>
      <c r="BH336" s="136" t="str">
        <f>IF(AI290="","",IF(L336="","",L336))</f>
        <v>EA</v>
      </c>
      <c r="BI336" s="136" t="str">
        <f>IF(AI290="","",IF(M336="","",M336))</f>
        <v>AL</v>
      </c>
      <c r="BJ336" s="136" t="str">
        <f>IF(AI290="","",IF(N336="","",N336))</f>
        <v>HR</v>
      </c>
      <c r="BK336" s="136" t="str">
        <f>IF(AI290="","",IF(O336="","",O336))</f>
        <v>-</v>
      </c>
      <c r="BN336" s="136" t="str">
        <f t="shared" si="184"/>
        <v>Deslocação</v>
      </c>
      <c r="BO336" s="136" t="str">
        <f t="shared" si="184"/>
        <v>HD</v>
      </c>
      <c r="BP336" s="136">
        <f>IF(BO336="","",COUNTIFS(AX294:BK341,BO336)*0.5)</f>
        <v>14</v>
      </c>
      <c r="BQ336" s="136" t="str">
        <f t="shared" si="185"/>
        <v>Deslocação</v>
      </c>
      <c r="BR336" s="136" t="str">
        <f t="shared" si="185"/>
        <v>HD</v>
      </c>
      <c r="BS336" s="136" t="str">
        <f t="shared" si="186"/>
        <v>Deslocação</v>
      </c>
      <c r="BT336" s="136">
        <f t="shared" si="192"/>
        <v>116.5</v>
      </c>
      <c r="BU336" s="136">
        <f t="shared" si="193"/>
        <v>115</v>
      </c>
      <c r="CA336" s="136">
        <f>'INFO BASE'!L413</f>
        <v>0</v>
      </c>
      <c r="CB336" s="136">
        <f>'INFO BASE'!M413</f>
        <v>0</v>
      </c>
      <c r="CR336" s="177" t="str">
        <f t="shared" si="174"/>
        <v>HR</v>
      </c>
      <c r="CS336" s="177" t="str">
        <f t="shared" si="175"/>
        <v>HR-</v>
      </c>
      <c r="CT336" s="177" t="str">
        <f t="shared" si="174"/>
        <v>HR</v>
      </c>
      <c r="CU336" s="177" t="str">
        <f t="shared" si="176"/>
        <v>HR-</v>
      </c>
      <c r="CV336" s="177" t="str">
        <f t="shared" si="174"/>
        <v>HR</v>
      </c>
      <c r="CW336" s="177" t="str">
        <f t="shared" si="177"/>
        <v>HR-</v>
      </c>
      <c r="CX336" s="177" t="str">
        <f t="shared" si="174"/>
        <v>HR</v>
      </c>
      <c r="CY336" s="177" t="str">
        <f t="shared" si="178"/>
        <v>HR-</v>
      </c>
      <c r="CZ336" s="177" t="str">
        <f t="shared" si="174"/>
        <v>HR</v>
      </c>
      <c r="DA336" s="177" t="str">
        <f t="shared" si="179"/>
        <v>HR-</v>
      </c>
      <c r="DB336" s="177" t="str">
        <f t="shared" si="174"/>
        <v>EA</v>
      </c>
      <c r="DC336" s="177" t="str">
        <f t="shared" si="180"/>
        <v>EAAL</v>
      </c>
      <c r="DD336" s="177" t="str">
        <f t="shared" si="181"/>
        <v>HR</v>
      </c>
      <c r="DE336" s="177" t="str">
        <f t="shared" si="182"/>
        <v>HR-</v>
      </c>
    </row>
    <row r="337" spans="1:120" ht="18" customHeight="1" x14ac:dyDescent="0.3">
      <c r="A337" s="81">
        <v>0.89583333333336201</v>
      </c>
      <c r="B337" s="166" t="s">
        <v>12</v>
      </c>
      <c r="C337" s="130" t="s">
        <v>120</v>
      </c>
      <c r="D337" s="169" t="s">
        <v>12</v>
      </c>
      <c r="E337" s="130" t="s">
        <v>120</v>
      </c>
      <c r="F337" s="169" t="s">
        <v>12</v>
      </c>
      <c r="G337" s="130" t="s">
        <v>120</v>
      </c>
      <c r="H337" s="169" t="s">
        <v>12</v>
      </c>
      <c r="I337" s="130" t="s">
        <v>120</v>
      </c>
      <c r="J337" s="169" t="s">
        <v>12</v>
      </c>
      <c r="K337" s="130" t="s">
        <v>120</v>
      </c>
      <c r="L337" s="169" t="s">
        <v>8</v>
      </c>
      <c r="M337" s="130" t="s">
        <v>230</v>
      </c>
      <c r="N337" s="169" t="s">
        <v>8</v>
      </c>
      <c r="O337" s="154" t="s">
        <v>226</v>
      </c>
      <c r="P337" s="6">
        <v>0</v>
      </c>
      <c r="Q337" s="103" t="str">
        <f>IF('INFO BASE'!$C$25="","",'INFO BASE'!$C$25)</f>
        <v>Horário de Dúvidas</v>
      </c>
      <c r="R337" s="87" t="str">
        <f t="shared" si="191"/>
        <v>HDV</v>
      </c>
      <c r="S337" s="88">
        <f t="shared" si="188"/>
        <v>-1</v>
      </c>
      <c r="T337" s="89">
        <f>IF(VLOOKUP(Q337,'INFO BASE'!$B$40:$I$54,IF(R337='INFO BASE'!$B$32,3,IF(R337='INFO BASE'!$B$33,4,IF(R337='INFO BASE'!$B$34,5,IF(R337='INFO BASE'!$B$35,6,IF(R337='INFO BASE'!$B$36,7,IF(R337='INFO BASE'!$B$37,8,2)))))),0)=0,"",VLOOKUP(Q337,'INFO BASE'!$B$40:$I$54,IF(R337='INFO BASE'!$B$32,3,IF(R337='INFO BASE'!$B$33,4,IF(R337='INFO BASE'!$B$34,5,IF(R337='INFO BASE'!$B$35,6,IF(R337='INFO BASE'!$B$36,7,IF(R337='INFO BASE'!$B$37,8,2)))))),0))</f>
        <v>3</v>
      </c>
      <c r="U337" s="89">
        <f t="shared" si="200"/>
        <v>0</v>
      </c>
      <c r="V337" s="89">
        <f>IF(R337="","",COUNTIFS(AI294:AV341,R337)*0.5)</f>
        <v>0</v>
      </c>
      <c r="W337" s="90">
        <f>IF(AH290="","-",IF(V337=0,U337,IFERROR((U337/V337)-1,"-")))</f>
        <v>0</v>
      </c>
      <c r="X337" s="201">
        <f t="shared" si="189"/>
        <v>0</v>
      </c>
      <c r="Y337" s="271"/>
      <c r="Z337" s="272"/>
      <c r="AA337" s="272"/>
      <c r="AB337" s="272"/>
      <c r="AC337" s="272"/>
      <c r="AD337" s="272"/>
      <c r="AE337" s="272"/>
      <c r="AF337" s="273"/>
      <c r="AH337" s="136">
        <v>0.89583333333336201</v>
      </c>
      <c r="AI337" s="136" t="s">
        <v>12</v>
      </c>
      <c r="AJ337" s="136" t="s">
        <v>120</v>
      </c>
      <c r="AK337" s="136" t="s">
        <v>12</v>
      </c>
      <c r="AL337" s="136" t="s">
        <v>120</v>
      </c>
      <c r="AM337" s="136" t="s">
        <v>12</v>
      </c>
      <c r="AN337" s="136" t="s">
        <v>120</v>
      </c>
      <c r="AO337" s="136" t="s">
        <v>12</v>
      </c>
      <c r="AP337" s="136" t="s">
        <v>120</v>
      </c>
      <c r="AQ337" s="136" t="s">
        <v>12</v>
      </c>
      <c r="AR337" s="136" t="s">
        <v>120</v>
      </c>
      <c r="AS337" s="136" t="s">
        <v>116</v>
      </c>
      <c r="AT337" s="136" t="s">
        <v>120</v>
      </c>
      <c r="AU337" s="136" t="s">
        <v>8</v>
      </c>
      <c r="AV337" s="136" t="s">
        <v>226</v>
      </c>
      <c r="AX337" s="136" t="str">
        <f>IF(AI290="","",IF(B337="","",B337))</f>
        <v>HR</v>
      </c>
      <c r="AY337" s="136" t="str">
        <f>IF(AI290="","",IF(C337="","",C337))</f>
        <v>-</v>
      </c>
      <c r="AZ337" s="136" t="str">
        <f>IF(AI290="","",IF(D337="","",D337))</f>
        <v>HR</v>
      </c>
      <c r="BA337" s="136" t="str">
        <f>IF(AI290="","",IF(E337="","",E337))</f>
        <v>-</v>
      </c>
      <c r="BB337" s="136" t="str">
        <f>IF(AI290="","",IF(F337="","",F337))</f>
        <v>HR</v>
      </c>
      <c r="BC337" s="136" t="str">
        <f>IF(AI290="","",IF(G337="","",G337))</f>
        <v>-</v>
      </c>
      <c r="BD337" s="136" t="str">
        <f>IF(AI290="","",IF(H337="","",H337))</f>
        <v>HR</v>
      </c>
      <c r="BE337" s="136" t="str">
        <f>IF(AI290="","",IF(I337="","",I337))</f>
        <v>-</v>
      </c>
      <c r="BF337" s="136" t="str">
        <f>IF(AI290="","",IF(J337="","",J337))</f>
        <v>HR</v>
      </c>
      <c r="BG337" s="136" t="str">
        <f>IF(AI290="","",IF(K337="","",K337))</f>
        <v>-</v>
      </c>
      <c r="BH337" s="136" t="str">
        <f>IF(AI290="","",IF(L337="","",L337))</f>
        <v>EA</v>
      </c>
      <c r="BI337" s="136" t="str">
        <f>IF(AI290="","",IF(M337="","",M337))</f>
        <v>AL</v>
      </c>
      <c r="BJ337" s="136" t="str">
        <f>IF(AI290="","",IF(N337="","",N337))</f>
        <v>EA</v>
      </c>
      <c r="BK337" s="136" t="str">
        <f>IF(AI290="","",IF(O337="","",O337))</f>
        <v>IEI</v>
      </c>
      <c r="BN337" s="136" t="str">
        <f t="shared" si="184"/>
        <v>Refeição</v>
      </c>
      <c r="BO337" s="136" t="str">
        <f t="shared" si="184"/>
        <v>HR</v>
      </c>
      <c r="BP337" s="136">
        <f>IF(BO337="","",COUNTIFS(AX294:BK341,BO337)*0.5)</f>
        <v>14</v>
      </c>
      <c r="BQ337" s="136" t="str">
        <f t="shared" si="185"/>
        <v>Refeição</v>
      </c>
      <c r="BR337" s="136" t="str">
        <f t="shared" si="185"/>
        <v>HR</v>
      </c>
      <c r="BS337" s="136" t="str">
        <f t="shared" si="186"/>
        <v>Refeição</v>
      </c>
      <c r="BT337" s="136">
        <f t="shared" si="192"/>
        <v>126</v>
      </c>
      <c r="BU337" s="136">
        <f t="shared" si="193"/>
        <v>124</v>
      </c>
      <c r="CA337" s="136">
        <f>'INFO BASE'!L414</f>
        <v>0</v>
      </c>
      <c r="CB337" s="136">
        <f>'INFO BASE'!M414</f>
        <v>0</v>
      </c>
      <c r="CR337" s="177" t="str">
        <f t="shared" si="174"/>
        <v>HR</v>
      </c>
      <c r="CS337" s="177" t="str">
        <f t="shared" si="175"/>
        <v>HR-</v>
      </c>
      <c r="CT337" s="177" t="str">
        <f t="shared" si="174"/>
        <v>HR</v>
      </c>
      <c r="CU337" s="177" t="str">
        <f t="shared" si="176"/>
        <v>HR-</v>
      </c>
      <c r="CV337" s="177" t="str">
        <f t="shared" si="174"/>
        <v>HR</v>
      </c>
      <c r="CW337" s="177" t="str">
        <f t="shared" si="177"/>
        <v>HR-</v>
      </c>
      <c r="CX337" s="177" t="str">
        <f t="shared" ref="CX337:CX341" si="201">IF(H337="",1,H337)</f>
        <v>HR</v>
      </c>
      <c r="CY337" s="177" t="str">
        <f t="shared" si="178"/>
        <v>HR-</v>
      </c>
      <c r="CZ337" s="177" t="str">
        <f t="shared" ref="CZ337:CZ341" si="202">IF(J337="",1,J337)</f>
        <v>HR</v>
      </c>
      <c r="DA337" s="177" t="str">
        <f t="shared" si="179"/>
        <v>HR-</v>
      </c>
      <c r="DB337" s="177" t="str">
        <f t="shared" ref="DB337:DB341" si="203">IF(L337="",1,L337)</f>
        <v>EA</v>
      </c>
      <c r="DC337" s="177" t="str">
        <f t="shared" si="180"/>
        <v>EAAL</v>
      </c>
      <c r="DD337" s="177" t="str">
        <f t="shared" si="181"/>
        <v>EA</v>
      </c>
      <c r="DE337" s="177" t="str">
        <f t="shared" si="182"/>
        <v>EAIEI</v>
      </c>
    </row>
    <row r="338" spans="1:120" ht="18" customHeight="1" x14ac:dyDescent="0.3">
      <c r="A338" s="81">
        <v>0.91666666666669605</v>
      </c>
      <c r="B338" s="166" t="s">
        <v>116</v>
      </c>
      <c r="C338" s="130" t="s">
        <v>120</v>
      </c>
      <c r="D338" s="169" t="s">
        <v>116</v>
      </c>
      <c r="E338" s="130" t="s">
        <v>120</v>
      </c>
      <c r="F338" s="169" t="s">
        <v>116</v>
      </c>
      <c r="G338" s="130" t="s">
        <v>120</v>
      </c>
      <c r="H338" s="169" t="s">
        <v>116</v>
      </c>
      <c r="I338" s="130" t="s">
        <v>120</v>
      </c>
      <c r="J338" s="169" t="s">
        <v>116</v>
      </c>
      <c r="K338" s="130" t="s">
        <v>120</v>
      </c>
      <c r="L338" s="169" t="s">
        <v>8</v>
      </c>
      <c r="M338" s="130" t="s">
        <v>230</v>
      </c>
      <c r="N338" s="169" t="s">
        <v>8</v>
      </c>
      <c r="O338" s="154" t="s">
        <v>226</v>
      </c>
      <c r="P338" s="6">
        <v>0.2</v>
      </c>
      <c r="Q338" s="104" t="str">
        <f>IF('INFO BASE'!$C$26="","",'INFO BASE'!$C$26)</f>
        <v>Privado</v>
      </c>
      <c r="R338" s="87" t="str">
        <f t="shared" si="191"/>
        <v>PV</v>
      </c>
      <c r="S338" s="88">
        <f t="shared" si="188"/>
        <v>0.75471698113207553</v>
      </c>
      <c r="T338" s="89">
        <f>IF(VLOOKUP(Q338,'INFO BASE'!$B$40:$I$54,IF(R338='INFO BASE'!$B$32,3,IF(R338='INFO BASE'!$B$33,4,IF(R338='INFO BASE'!$B$34,5,IF(R338='INFO BASE'!$B$35,6,IF(R338='INFO BASE'!$B$36,7,IF(R338='INFO BASE'!$B$37,8,2)))))),0)=0,"",VLOOKUP(Q338,'INFO BASE'!$B$40:$I$54,IF(R338='INFO BASE'!$B$32,3,IF(R338='INFO BASE'!$B$33,4,IF(R338='INFO BASE'!$B$34,5,IF(R338='INFO BASE'!$B$35,6,IF(R338='INFO BASE'!$B$36,7,IF(R338='INFO BASE'!$B$37,8,2)))))),0))</f>
        <v>26.5</v>
      </c>
      <c r="U338" s="89">
        <f t="shared" si="200"/>
        <v>46.5</v>
      </c>
      <c r="V338" s="89">
        <f>IF(R338="","",COUNTIFS(AI294:AV341,R338)*0.5)</f>
        <v>52.5</v>
      </c>
      <c r="W338" s="90">
        <f>IF(AH290="","-",IF(V338=0,U338,IFERROR((U338/V338)-1,"-")))</f>
        <v>-0.11428571428571432</v>
      </c>
      <c r="X338" s="202">
        <f t="shared" si="189"/>
        <v>0</v>
      </c>
      <c r="Y338" s="271"/>
      <c r="Z338" s="272"/>
      <c r="AA338" s="272"/>
      <c r="AB338" s="272"/>
      <c r="AC338" s="272"/>
      <c r="AD338" s="272"/>
      <c r="AE338" s="272"/>
      <c r="AF338" s="273"/>
      <c r="AH338" s="136">
        <v>0.91666666666669605</v>
      </c>
      <c r="AI338" s="136" t="s">
        <v>116</v>
      </c>
      <c r="AJ338" s="136" t="s">
        <v>120</v>
      </c>
      <c r="AK338" s="136" t="s">
        <v>116</v>
      </c>
      <c r="AL338" s="136" t="s">
        <v>120</v>
      </c>
      <c r="AM338" s="136" t="s">
        <v>116</v>
      </c>
      <c r="AN338" s="136" t="s">
        <v>120</v>
      </c>
      <c r="AO338" s="136" t="s">
        <v>116</v>
      </c>
      <c r="AP338" s="136" t="s">
        <v>120</v>
      </c>
      <c r="AQ338" s="136" t="s">
        <v>8</v>
      </c>
      <c r="AR338" s="136" t="s">
        <v>230</v>
      </c>
      <c r="AS338" s="136" t="s">
        <v>116</v>
      </c>
      <c r="AT338" s="136" t="s">
        <v>120</v>
      </c>
      <c r="AU338" s="136" t="s">
        <v>8</v>
      </c>
      <c r="AV338" s="136" t="s">
        <v>226</v>
      </c>
      <c r="AX338" s="136" t="str">
        <f>IF(AI290="","",IF(B338="","",B338))</f>
        <v>PV</v>
      </c>
      <c r="AY338" s="136" t="str">
        <f>IF(AI290="","",IF(C338="","",C338))</f>
        <v>-</v>
      </c>
      <c r="AZ338" s="136" t="str">
        <f>IF(AI290="","",IF(D338="","",D338))</f>
        <v>PV</v>
      </c>
      <c r="BA338" s="136" t="str">
        <f>IF(AI290="","",IF(E338="","",E338))</f>
        <v>-</v>
      </c>
      <c r="BB338" s="136" t="str">
        <f>IF(AI290="","",IF(F338="","",F338))</f>
        <v>PV</v>
      </c>
      <c r="BC338" s="136" t="str">
        <f>IF(AI290="","",IF(G338="","",G338))</f>
        <v>-</v>
      </c>
      <c r="BD338" s="136" t="str">
        <f>IF(AI290="","",IF(H338="","",H338))</f>
        <v>PV</v>
      </c>
      <c r="BE338" s="136" t="str">
        <f>IF(AI290="","",IF(I338="","",I338))</f>
        <v>-</v>
      </c>
      <c r="BF338" s="136" t="str">
        <f>IF(AI290="","",IF(J338="","",J338))</f>
        <v>PV</v>
      </c>
      <c r="BG338" s="136" t="str">
        <f>IF(AI290="","",IF(K338="","",K338))</f>
        <v>-</v>
      </c>
      <c r="BH338" s="136" t="str">
        <f>IF(AI290="","",IF(L338="","",L338))</f>
        <v>EA</v>
      </c>
      <c r="BI338" s="136" t="str">
        <f>IF(AI290="","",IF(M338="","",M338))</f>
        <v>AL</v>
      </c>
      <c r="BJ338" s="136" t="str">
        <f>IF(AI290="","",IF(N338="","",N338))</f>
        <v>EA</v>
      </c>
      <c r="BK338" s="136" t="str">
        <f>IF(AI290="","",IF(O338="","",O338))</f>
        <v>IEI</v>
      </c>
      <c r="BN338" s="136" t="str">
        <f t="shared" si="184"/>
        <v>Sono</v>
      </c>
      <c r="BO338" s="136" t="str">
        <f t="shared" si="184"/>
        <v>HS</v>
      </c>
      <c r="BP338" s="136">
        <f>IF(BO338="","",COUNTIFS(AX294:BK341,BO338)*0.5)</f>
        <v>53.5</v>
      </c>
      <c r="BQ338" s="136" t="str">
        <f t="shared" si="185"/>
        <v>Sono</v>
      </c>
      <c r="BR338" s="136" t="str">
        <f t="shared" si="185"/>
        <v>HS</v>
      </c>
      <c r="BS338" s="136" t="str">
        <f t="shared" si="186"/>
        <v>Sono</v>
      </c>
      <c r="BT338" s="136">
        <f t="shared" si="192"/>
        <v>417</v>
      </c>
      <c r="BU338" s="136">
        <f t="shared" si="193"/>
        <v>417.5</v>
      </c>
      <c r="CA338" s="136">
        <f>'INFO BASE'!L415</f>
        <v>0</v>
      </c>
      <c r="CB338" s="136">
        <f>'INFO BASE'!M415</f>
        <v>0</v>
      </c>
      <c r="CR338" s="177" t="str">
        <f t="shared" ref="CR338:CR341" si="204">IF(B338="",1,B338)</f>
        <v>PV</v>
      </c>
      <c r="CS338" s="177">
        <f t="shared" si="175"/>
        <v>0</v>
      </c>
      <c r="CT338" s="177" t="str">
        <f t="shared" ref="CT338:CT341" si="205">IF(D338="",1,D338)</f>
        <v>PV</v>
      </c>
      <c r="CU338" s="177">
        <f t="shared" si="176"/>
        <v>0</v>
      </c>
      <c r="CV338" s="177" t="str">
        <f t="shared" ref="CV338:CV341" si="206">IF(F338="",1,F338)</f>
        <v>PV</v>
      </c>
      <c r="CW338" s="177">
        <f t="shared" si="177"/>
        <v>0</v>
      </c>
      <c r="CX338" s="177" t="str">
        <f t="shared" si="201"/>
        <v>PV</v>
      </c>
      <c r="CY338" s="177">
        <f t="shared" si="178"/>
        <v>0</v>
      </c>
      <c r="CZ338" s="177" t="str">
        <f t="shared" si="202"/>
        <v>PV</v>
      </c>
      <c r="DA338" s="177">
        <f t="shared" si="179"/>
        <v>0</v>
      </c>
      <c r="DB338" s="177" t="str">
        <f t="shared" si="203"/>
        <v>EA</v>
      </c>
      <c r="DC338" s="177" t="str">
        <f t="shared" si="180"/>
        <v>EAAL</v>
      </c>
      <c r="DD338" s="177" t="str">
        <f t="shared" si="181"/>
        <v>EA</v>
      </c>
      <c r="DE338" s="177" t="str">
        <f t="shared" si="182"/>
        <v>EAIEI</v>
      </c>
    </row>
    <row r="339" spans="1:120" ht="18" customHeight="1" x14ac:dyDescent="0.3">
      <c r="A339" s="81">
        <v>0.93750000000002998</v>
      </c>
      <c r="B339" s="166" t="s">
        <v>116</v>
      </c>
      <c r="C339" s="130" t="s">
        <v>120</v>
      </c>
      <c r="D339" s="169" t="s">
        <v>116</v>
      </c>
      <c r="E339" s="130" t="s">
        <v>120</v>
      </c>
      <c r="F339" s="169" t="s">
        <v>116</v>
      </c>
      <c r="G339" s="130" t="s">
        <v>120</v>
      </c>
      <c r="H339" s="169" t="s">
        <v>116</v>
      </c>
      <c r="I339" s="130" t="s">
        <v>120</v>
      </c>
      <c r="J339" s="169" t="s">
        <v>116</v>
      </c>
      <c r="K339" s="130" t="s">
        <v>120</v>
      </c>
      <c r="L339" s="169" t="s">
        <v>8</v>
      </c>
      <c r="M339" s="130" t="s">
        <v>230</v>
      </c>
      <c r="N339" s="169" t="s">
        <v>8</v>
      </c>
      <c r="O339" s="154" t="s">
        <v>226</v>
      </c>
      <c r="P339" s="6">
        <v>0.2</v>
      </c>
      <c r="Q339" s="86" t="str">
        <f>IF('INFO BASE'!$C$27="","",'INFO BASE'!$C$27)</f>
        <v>Deslocação</v>
      </c>
      <c r="R339" s="87" t="str">
        <f t="shared" si="191"/>
        <v>HD</v>
      </c>
      <c r="S339" s="88">
        <f t="shared" si="188"/>
        <v>0.39999999999999991</v>
      </c>
      <c r="T339" s="89">
        <f>IF(VLOOKUP(Q339,'INFO BASE'!$B$40:$I$54,IF(R339='INFO BASE'!$B$32,3,IF(R339='INFO BASE'!$B$33,4,IF(R339='INFO BASE'!$B$34,5,IF(R339='INFO BASE'!$B$35,6,IF(R339='INFO BASE'!$B$36,7,IF(R339='INFO BASE'!$B$37,8,2)))))),0)=0,"",VLOOKUP(Q339,'INFO BASE'!$B$40:$I$54,IF(R339='INFO BASE'!$B$32,3,IF(R339='INFO BASE'!$B$33,4,IF(R339='INFO BASE'!$B$34,5,IF(R339='INFO BASE'!$B$35,6,IF(R339='INFO BASE'!$B$36,7,IF(R339='INFO BASE'!$B$37,8,2)))))),0))</f>
        <v>10</v>
      </c>
      <c r="U339" s="89">
        <f t="shared" si="200"/>
        <v>14</v>
      </c>
      <c r="V339" s="89">
        <f>IF(R339="","",COUNTIFS(AI294:AV341,R339)*0.5)</f>
        <v>13.5</v>
      </c>
      <c r="W339" s="90">
        <f>IF(AH290="","-",IF(V339=0,U339,IFERROR((U339/V339)-1,"-")))</f>
        <v>3.7037037037036979E-2</v>
      </c>
      <c r="X339" s="203">
        <f t="shared" si="189"/>
        <v>0</v>
      </c>
      <c r="Y339" s="271"/>
      <c r="Z339" s="272"/>
      <c r="AA339" s="272"/>
      <c r="AB339" s="272"/>
      <c r="AC339" s="272"/>
      <c r="AD339" s="272"/>
      <c r="AE339" s="272"/>
      <c r="AF339" s="273"/>
      <c r="AH339" s="136">
        <v>0.93750000000002998</v>
      </c>
      <c r="AI339" s="136" t="s">
        <v>116</v>
      </c>
      <c r="AJ339" s="136" t="s">
        <v>120</v>
      </c>
      <c r="AK339" s="136" t="s">
        <v>116</v>
      </c>
      <c r="AL339" s="136" t="s">
        <v>120</v>
      </c>
      <c r="AM339" s="136" t="s">
        <v>116</v>
      </c>
      <c r="AN339" s="136" t="s">
        <v>120</v>
      </c>
      <c r="AO339" s="136" t="s">
        <v>116</v>
      </c>
      <c r="AP339" s="136" t="s">
        <v>120</v>
      </c>
      <c r="AQ339" s="136" t="s">
        <v>8</v>
      </c>
      <c r="AR339" s="136" t="s">
        <v>230</v>
      </c>
      <c r="AS339" s="136" t="s">
        <v>12</v>
      </c>
      <c r="AT339" s="136" t="s">
        <v>120</v>
      </c>
      <c r="AU339" s="136" t="s">
        <v>8</v>
      </c>
      <c r="AV339" s="136" t="s">
        <v>226</v>
      </c>
      <c r="AX339" s="136" t="str">
        <f>IF(AI290="","",IF(B339="","",B339))</f>
        <v>PV</v>
      </c>
      <c r="AY339" s="136" t="str">
        <f>IF(AI290="","",IF(C339="","",C339))</f>
        <v>-</v>
      </c>
      <c r="AZ339" s="136" t="str">
        <f>IF(AI290="","",IF(D339="","",D339))</f>
        <v>PV</v>
      </c>
      <c r="BA339" s="136" t="str">
        <f>IF(AI290="","",IF(E339="","",E339))</f>
        <v>-</v>
      </c>
      <c r="BB339" s="136" t="str">
        <f>IF(AI290="","",IF(F339="","",F339))</f>
        <v>PV</v>
      </c>
      <c r="BC339" s="136" t="str">
        <f>IF(AI290="","",IF(G339="","",G339))</f>
        <v>-</v>
      </c>
      <c r="BD339" s="136" t="str">
        <f>IF(AI290="","",IF(H339="","",H339))</f>
        <v>PV</v>
      </c>
      <c r="BE339" s="136" t="str">
        <f>IF(AI290="","",IF(I339="","",I339))</f>
        <v>-</v>
      </c>
      <c r="BF339" s="136" t="str">
        <f>IF(AI290="","",IF(J339="","",J339))</f>
        <v>PV</v>
      </c>
      <c r="BG339" s="136" t="str">
        <f>IF(AI290="","",IF(K339="","",K339))</f>
        <v>-</v>
      </c>
      <c r="BH339" s="136" t="str">
        <f>IF(AI290="","",IF(L339="","",L339))</f>
        <v>EA</v>
      </c>
      <c r="BI339" s="136" t="str">
        <f>IF(AI290="","",IF(M339="","",M339))</f>
        <v>AL</v>
      </c>
      <c r="BJ339" s="136" t="str">
        <f>IF(AI290="","",IF(N339="","",N339))</f>
        <v>EA</v>
      </c>
      <c r="BK339" s="136" t="str">
        <f>IF(AI290="","",IF(O339="","",O339))</f>
        <v>IEI</v>
      </c>
      <c r="BP339" s="136" t="str">
        <f>IF(BO339="","",COUNTIFS(AX294:BK341,BO339)*0.5)</f>
        <v/>
      </c>
      <c r="CA339" s="136">
        <f>'INFO BASE'!L416</f>
        <v>0</v>
      </c>
      <c r="CB339" s="136">
        <f>'INFO BASE'!M416</f>
        <v>0</v>
      </c>
      <c r="CR339" s="177" t="str">
        <f t="shared" si="204"/>
        <v>PV</v>
      </c>
      <c r="CS339" s="177">
        <f t="shared" si="175"/>
        <v>0</v>
      </c>
      <c r="CT339" s="177" t="str">
        <f t="shared" si="205"/>
        <v>PV</v>
      </c>
      <c r="CU339" s="177">
        <f t="shared" si="176"/>
        <v>0</v>
      </c>
      <c r="CV339" s="177" t="str">
        <f t="shared" si="206"/>
        <v>PV</v>
      </c>
      <c r="CW339" s="177">
        <f t="shared" si="177"/>
        <v>0</v>
      </c>
      <c r="CX339" s="177" t="str">
        <f t="shared" si="201"/>
        <v>PV</v>
      </c>
      <c r="CY339" s="177">
        <f t="shared" si="178"/>
        <v>0</v>
      </c>
      <c r="CZ339" s="177" t="str">
        <f t="shared" si="202"/>
        <v>PV</v>
      </c>
      <c r="DA339" s="177">
        <f t="shared" si="179"/>
        <v>0</v>
      </c>
      <c r="DB339" s="177" t="str">
        <f t="shared" si="203"/>
        <v>EA</v>
      </c>
      <c r="DC339" s="177" t="str">
        <f t="shared" si="180"/>
        <v>EAAL</v>
      </c>
      <c r="DD339" s="177" t="str">
        <f t="shared" si="181"/>
        <v>EA</v>
      </c>
      <c r="DE339" s="177" t="str">
        <f t="shared" si="182"/>
        <v>EAIEI</v>
      </c>
    </row>
    <row r="340" spans="1:120" ht="18" customHeight="1" x14ac:dyDescent="0.3">
      <c r="A340" s="81">
        <v>0.95833333333336401</v>
      </c>
      <c r="B340" s="166" t="s">
        <v>10</v>
      </c>
      <c r="C340" s="130" t="s">
        <v>120</v>
      </c>
      <c r="D340" s="169" t="s">
        <v>10</v>
      </c>
      <c r="E340" s="130" t="s">
        <v>120</v>
      </c>
      <c r="F340" s="169" t="s">
        <v>10</v>
      </c>
      <c r="G340" s="130" t="s">
        <v>120</v>
      </c>
      <c r="H340" s="169" t="s">
        <v>10</v>
      </c>
      <c r="I340" s="130" t="s">
        <v>120</v>
      </c>
      <c r="J340" s="169" t="s">
        <v>116</v>
      </c>
      <c r="K340" s="130" t="s">
        <v>120</v>
      </c>
      <c r="L340" s="169" t="s">
        <v>8</v>
      </c>
      <c r="M340" s="130" t="s">
        <v>230</v>
      </c>
      <c r="N340" s="169" t="s">
        <v>8</v>
      </c>
      <c r="O340" s="154" t="s">
        <v>226</v>
      </c>
      <c r="P340" s="6">
        <v>0.2</v>
      </c>
      <c r="Q340" s="91" t="str">
        <f>IF('INFO BASE'!$C$28="","",'INFO BASE'!$C$28)</f>
        <v>Refeição</v>
      </c>
      <c r="R340" s="87" t="str">
        <f t="shared" si="191"/>
        <v>HR</v>
      </c>
      <c r="S340" s="88">
        <f t="shared" si="188"/>
        <v>-6.6666666666666652E-2</v>
      </c>
      <c r="T340" s="89">
        <f>IF(VLOOKUP(Q340,'INFO BASE'!$B$40:$I$54,IF(R340='INFO BASE'!$B$32,3,IF(R340='INFO BASE'!$B$33,4,IF(R340='INFO BASE'!$B$34,5,IF(R340='INFO BASE'!$B$35,6,IF(R340='INFO BASE'!$B$36,7,IF(R340='INFO BASE'!$B$37,8,2)))))),0)=0,"",VLOOKUP(Q340,'INFO BASE'!$B$40:$I$54,IF(R340='INFO BASE'!$B$32,3,IF(R340='INFO BASE'!$B$33,4,IF(R340='INFO BASE'!$B$34,5,IF(R340='INFO BASE'!$B$35,6,IF(R340='INFO BASE'!$B$36,7,IF(R340='INFO BASE'!$B$37,8,2)))))),0))</f>
        <v>15</v>
      </c>
      <c r="U340" s="89">
        <f t="shared" si="200"/>
        <v>14</v>
      </c>
      <c r="V340" s="89">
        <f>IF(R340="","",COUNTIFS(AI294:AV341,R340)*0.5)</f>
        <v>14</v>
      </c>
      <c r="W340" s="90">
        <f>IF(AH290="","-",IF(V340=0,U340,IFERROR((U340/V340)-1,"-")))</f>
        <v>0</v>
      </c>
      <c r="X340" s="204">
        <f t="shared" si="189"/>
        <v>0</v>
      </c>
      <c r="Y340" s="271"/>
      <c r="Z340" s="272"/>
      <c r="AA340" s="272"/>
      <c r="AB340" s="272"/>
      <c r="AC340" s="272"/>
      <c r="AD340" s="272"/>
      <c r="AE340" s="272"/>
      <c r="AF340" s="273"/>
      <c r="AH340" s="136">
        <v>0.95833333333336401</v>
      </c>
      <c r="AI340" s="136" t="s">
        <v>10</v>
      </c>
      <c r="AJ340" s="136" t="s">
        <v>120</v>
      </c>
      <c r="AK340" s="136" t="s">
        <v>10</v>
      </c>
      <c r="AL340" s="136" t="s">
        <v>120</v>
      </c>
      <c r="AM340" s="136" t="s">
        <v>10</v>
      </c>
      <c r="AN340" s="136" t="s">
        <v>120</v>
      </c>
      <c r="AO340" s="136" t="s">
        <v>10</v>
      </c>
      <c r="AP340" s="136" t="s">
        <v>120</v>
      </c>
      <c r="AQ340" s="136" t="s">
        <v>8</v>
      </c>
      <c r="AR340" s="136" t="s">
        <v>230</v>
      </c>
      <c r="AS340" s="136" t="s">
        <v>116</v>
      </c>
      <c r="AT340" s="136" t="s">
        <v>120</v>
      </c>
      <c r="AU340" s="136" t="s">
        <v>8</v>
      </c>
      <c r="AV340" s="136" t="s">
        <v>226</v>
      </c>
      <c r="AX340" s="136" t="str">
        <f>IF(AI290="","",IF(B340="","",B340))</f>
        <v>HS</v>
      </c>
      <c r="AY340" s="136" t="str">
        <f>IF(AI290="","",IF(C340="","",C340))</f>
        <v>-</v>
      </c>
      <c r="AZ340" s="136" t="str">
        <f>IF(AI290="","",IF(D340="","",D340))</f>
        <v>HS</v>
      </c>
      <c r="BA340" s="136" t="str">
        <f>IF(AI290="","",IF(E340="","",E340))</f>
        <v>-</v>
      </c>
      <c r="BB340" s="136" t="str">
        <f>IF(AI290="","",IF(F340="","",F340))</f>
        <v>HS</v>
      </c>
      <c r="BC340" s="136" t="str">
        <f>IF(AI290="","",IF(G340="","",G340))</f>
        <v>-</v>
      </c>
      <c r="BD340" s="136" t="str">
        <f>IF(AI290="","",IF(H340="","",H340))</f>
        <v>HS</v>
      </c>
      <c r="BE340" s="136" t="str">
        <f>IF(AI290="","",IF(I340="","",I340))</f>
        <v>-</v>
      </c>
      <c r="BF340" s="136" t="str">
        <f>IF(AI290="","",IF(J340="","",J340))</f>
        <v>PV</v>
      </c>
      <c r="BG340" s="136" t="str">
        <f>IF(AI290="","",IF(K340="","",K340))</f>
        <v>-</v>
      </c>
      <c r="BH340" s="136" t="str">
        <f>IF(AI290="","",IF(L340="","",L340))</f>
        <v>EA</v>
      </c>
      <c r="BI340" s="136" t="str">
        <f>IF(AI290="","",IF(M340="","",M340))</f>
        <v>AL</v>
      </c>
      <c r="BJ340" s="136" t="str">
        <f>IF(AI290="","",IF(N340="","",N340))</f>
        <v>EA</v>
      </c>
      <c r="BK340" s="136" t="str">
        <f>IF(AI290="","",IF(O340="","",O340))</f>
        <v>IEI</v>
      </c>
      <c r="BP340" s="136" t="str">
        <f>IF(BO340="","",COUNTIFS(AX294:BK341,BO340)*0.5)</f>
        <v/>
      </c>
      <c r="CA340" s="136">
        <f>'INFO BASE'!L417</f>
        <v>0</v>
      </c>
      <c r="CB340" s="136">
        <f>'INFO BASE'!M417</f>
        <v>0</v>
      </c>
      <c r="CR340" s="177" t="str">
        <f t="shared" si="204"/>
        <v>HS</v>
      </c>
      <c r="CS340" s="177" t="str">
        <f t="shared" si="175"/>
        <v>HS-</v>
      </c>
      <c r="CT340" s="177" t="str">
        <f t="shared" si="205"/>
        <v>HS</v>
      </c>
      <c r="CU340" s="177" t="str">
        <f t="shared" si="176"/>
        <v>HS-</v>
      </c>
      <c r="CV340" s="177" t="str">
        <f t="shared" si="206"/>
        <v>HS</v>
      </c>
      <c r="CW340" s="177" t="str">
        <f t="shared" si="177"/>
        <v>HS-</v>
      </c>
      <c r="CX340" s="177" t="str">
        <f t="shared" si="201"/>
        <v>HS</v>
      </c>
      <c r="CY340" s="177" t="str">
        <f t="shared" si="178"/>
        <v>HS-</v>
      </c>
      <c r="CZ340" s="177" t="str">
        <f t="shared" si="202"/>
        <v>PV</v>
      </c>
      <c r="DA340" s="177">
        <f t="shared" si="179"/>
        <v>0</v>
      </c>
      <c r="DB340" s="177" t="str">
        <f t="shared" si="203"/>
        <v>EA</v>
      </c>
      <c r="DC340" s="177" t="str">
        <f t="shared" si="180"/>
        <v>EAAL</v>
      </c>
      <c r="DD340" s="177" t="str">
        <f t="shared" si="181"/>
        <v>EA</v>
      </c>
      <c r="DE340" s="177" t="str">
        <f t="shared" si="182"/>
        <v>EAIEI</v>
      </c>
    </row>
    <row r="341" spans="1:120" ht="18" customHeight="1" thickBot="1" x14ac:dyDescent="0.35">
      <c r="A341" s="180">
        <v>0.97916666666669805</v>
      </c>
      <c r="B341" s="167" t="s">
        <v>10</v>
      </c>
      <c r="C341" s="156" t="s">
        <v>120</v>
      </c>
      <c r="D341" s="170" t="s">
        <v>10</v>
      </c>
      <c r="E341" s="156" t="s">
        <v>120</v>
      </c>
      <c r="F341" s="170" t="s">
        <v>10</v>
      </c>
      <c r="G341" s="156" t="s">
        <v>120</v>
      </c>
      <c r="H341" s="170" t="s">
        <v>10</v>
      </c>
      <c r="I341" s="156" t="s">
        <v>120</v>
      </c>
      <c r="J341" s="170" t="s">
        <v>116</v>
      </c>
      <c r="K341" s="156" t="s">
        <v>120</v>
      </c>
      <c r="L341" s="170" t="s">
        <v>12</v>
      </c>
      <c r="M341" s="156" t="s">
        <v>120</v>
      </c>
      <c r="N341" s="170" t="s">
        <v>8</v>
      </c>
      <c r="O341" s="158" t="s">
        <v>226</v>
      </c>
      <c r="P341" s="6">
        <v>0.2</v>
      </c>
      <c r="Q341" s="92" t="str">
        <f>IF('INFO BASE'!$C$29="","",'INFO BASE'!$C$29)</f>
        <v>Sono</v>
      </c>
      <c r="R341" s="93" t="str">
        <f t="shared" si="191"/>
        <v>HS</v>
      </c>
      <c r="S341" s="94">
        <f t="shared" si="188"/>
        <v>9.1836734693877542E-2</v>
      </c>
      <c r="T341" s="95">
        <f>IF(VLOOKUP(Q341,'INFO BASE'!$B$40:$I$54,IF(R341='INFO BASE'!$B$32,3,IF(R341='INFO BASE'!$B$33,4,IF(R341='INFO BASE'!$B$34,5,IF(R341='INFO BASE'!$B$35,6,IF(R341='INFO BASE'!$B$36,7,IF(R341='INFO BASE'!$B$37,8,2)))))),0)=0,"",VLOOKUP(Q341,'INFO BASE'!$B$40:$I$54,IF(R341='INFO BASE'!$B$32,3,IF(R341='INFO BASE'!$B$33,4,IF(R341='INFO BASE'!$B$34,5,IF(R341='INFO BASE'!$B$35,6,IF(R341='INFO BASE'!$B$36,7,IF(R341='INFO BASE'!$B$37,8,2)))))),0))</f>
        <v>49</v>
      </c>
      <c r="U341" s="95">
        <f t="shared" si="200"/>
        <v>53.5</v>
      </c>
      <c r="V341" s="95">
        <f>IF(R341="","",COUNTIFS(AI294:AV341,R341)*0.5)</f>
        <v>50</v>
      </c>
      <c r="W341" s="96">
        <f>IF(AH290="","-",IF(V341=0,U341,IFERROR((U341/V341)-1,"-")))</f>
        <v>7.0000000000000062E-2</v>
      </c>
      <c r="X341" s="204">
        <f t="shared" si="189"/>
        <v>0</v>
      </c>
      <c r="Y341" s="274"/>
      <c r="Z341" s="275"/>
      <c r="AA341" s="275"/>
      <c r="AB341" s="275"/>
      <c r="AC341" s="275"/>
      <c r="AD341" s="275"/>
      <c r="AE341" s="275"/>
      <c r="AF341" s="276"/>
      <c r="AH341" s="136">
        <v>0.97916666666669805</v>
      </c>
      <c r="AI341" s="136" t="s">
        <v>10</v>
      </c>
      <c r="AJ341" s="136" t="s">
        <v>120</v>
      </c>
      <c r="AK341" s="136" t="s">
        <v>10</v>
      </c>
      <c r="AL341" s="136" t="s">
        <v>120</v>
      </c>
      <c r="AM341" s="136" t="s">
        <v>10</v>
      </c>
      <c r="AN341" s="136" t="s">
        <v>120</v>
      </c>
      <c r="AO341" s="136" t="s">
        <v>10</v>
      </c>
      <c r="AP341" s="136" t="s">
        <v>120</v>
      </c>
      <c r="AQ341" s="136" t="s">
        <v>8</v>
      </c>
      <c r="AR341" s="136" t="s">
        <v>230</v>
      </c>
      <c r="AS341" s="136" t="s">
        <v>116</v>
      </c>
      <c r="AT341" s="136" t="s">
        <v>120</v>
      </c>
      <c r="AU341" s="136" t="s">
        <v>8</v>
      </c>
      <c r="AV341" s="136" t="s">
        <v>226</v>
      </c>
      <c r="AX341" s="136" t="str">
        <f>IF(AI290="","",IF(B341="","",B341))</f>
        <v>HS</v>
      </c>
      <c r="AY341" s="136" t="str">
        <f>IF(AI290="","",IF(C341="","",C341))</f>
        <v>-</v>
      </c>
      <c r="AZ341" s="136" t="str">
        <f>IF(AI290="","",IF(D341="","",D341))</f>
        <v>HS</v>
      </c>
      <c r="BA341" s="136" t="str">
        <f>IF(AI290="","",IF(E341="","",E341))</f>
        <v>-</v>
      </c>
      <c r="BB341" s="136" t="str">
        <f>IF(AI290="","",IF(F341="","",F341))</f>
        <v>HS</v>
      </c>
      <c r="BC341" s="136" t="str">
        <f>IF(AI290="","",IF(G341="","",G341))</f>
        <v>-</v>
      </c>
      <c r="BD341" s="136" t="str">
        <f>IF(AI290="","",IF(H341="","",H341))</f>
        <v>HS</v>
      </c>
      <c r="BE341" s="136" t="str">
        <f>IF(AI290="","",IF(I341="","",I341))</f>
        <v>-</v>
      </c>
      <c r="BF341" s="136" t="str">
        <f>IF(AI290="","",IF(J341="","",J341))</f>
        <v>PV</v>
      </c>
      <c r="BG341" s="136" t="str">
        <f>IF(AI290="","",IF(K341="","",K341))</f>
        <v>-</v>
      </c>
      <c r="BH341" s="136" t="str">
        <f>IF(AI290="","",IF(L341="","",L341))</f>
        <v>HR</v>
      </c>
      <c r="BI341" s="136" t="str">
        <f>IF(AI290="","",IF(M341="","",M341))</f>
        <v>-</v>
      </c>
      <c r="BJ341" s="136" t="str">
        <f>IF(AI290="","",IF(N341="","",N341))</f>
        <v>EA</v>
      </c>
      <c r="BK341" s="136" t="str">
        <f>IF(AI290="","",IF(O341="","",O341))</f>
        <v>IEI</v>
      </c>
      <c r="BP341" s="136" t="str">
        <f>IF(BO341="","",COUNTIFS(AX294:BK341,BO341)*0.5)</f>
        <v/>
      </c>
      <c r="CA341" s="136">
        <f>'INFO BASE'!L418</f>
        <v>0</v>
      </c>
      <c r="CB341" s="136">
        <f>'INFO BASE'!M418</f>
        <v>0</v>
      </c>
      <c r="CR341" s="177" t="str">
        <f t="shared" si="204"/>
        <v>HS</v>
      </c>
      <c r="CS341" s="177" t="str">
        <f t="shared" si="175"/>
        <v>HS-</v>
      </c>
      <c r="CT341" s="177" t="str">
        <f t="shared" si="205"/>
        <v>HS</v>
      </c>
      <c r="CU341" s="177" t="str">
        <f t="shared" si="176"/>
        <v>HS-</v>
      </c>
      <c r="CV341" s="177" t="str">
        <f t="shared" si="206"/>
        <v>HS</v>
      </c>
      <c r="CW341" s="177" t="str">
        <f t="shared" si="177"/>
        <v>HS-</v>
      </c>
      <c r="CX341" s="177" t="str">
        <f t="shared" si="201"/>
        <v>HS</v>
      </c>
      <c r="CY341" s="177" t="str">
        <f t="shared" si="178"/>
        <v>HS-</v>
      </c>
      <c r="CZ341" s="177" t="str">
        <f t="shared" si="202"/>
        <v>PV</v>
      </c>
      <c r="DA341" s="177">
        <f t="shared" si="179"/>
        <v>0</v>
      </c>
      <c r="DB341" s="177" t="str">
        <f t="shared" si="203"/>
        <v>HR</v>
      </c>
      <c r="DC341" s="177" t="str">
        <f t="shared" si="180"/>
        <v>HR-</v>
      </c>
      <c r="DD341" s="177" t="str">
        <f t="shared" si="181"/>
        <v>EA</v>
      </c>
      <c r="DE341" s="177" t="str">
        <f t="shared" si="182"/>
        <v>EAIEI</v>
      </c>
    </row>
    <row r="342" spans="1:120" s="139" customFormat="1" ht="15" thickTop="1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7">
        <v>1</v>
      </c>
      <c r="Y342" s="6">
        <f>COUNTA(Y305:AF341)</f>
        <v>2</v>
      </c>
      <c r="Z342" s="6">
        <f>SUM(X305:X341)</f>
        <v>2</v>
      </c>
      <c r="AA342" s="6">
        <f>IF(Z342&gt;Y342,"ERRO",0)</f>
        <v>0</v>
      </c>
      <c r="AB342" s="6"/>
      <c r="AC342" s="6"/>
      <c r="AD342" s="6"/>
      <c r="AE342" s="6"/>
      <c r="AF342" s="6"/>
      <c r="AG342" s="6"/>
      <c r="BM342" s="136"/>
      <c r="BN342" s="136"/>
      <c r="BO342" s="136"/>
      <c r="BP342" s="136"/>
      <c r="BQ342" s="136"/>
      <c r="BR342" s="136"/>
      <c r="BS342" s="136"/>
      <c r="BT342" s="136"/>
      <c r="BU342" s="136"/>
      <c r="DN342" s="194"/>
      <c r="DO342" s="194"/>
      <c r="DP342" s="194"/>
    </row>
    <row r="343" spans="1:120" s="139" customFormat="1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7">
        <v>1</v>
      </c>
      <c r="Y343" s="6" t="s">
        <v>220</v>
      </c>
      <c r="Z343" s="6" t="s">
        <v>219</v>
      </c>
      <c r="AA343" s="6" t="s">
        <v>221</v>
      </c>
      <c r="AB343" s="6"/>
      <c r="AC343" s="6"/>
      <c r="AD343" s="6"/>
      <c r="AE343" s="6"/>
      <c r="AF343" s="6"/>
      <c r="AG343" s="6"/>
      <c r="BM343" s="136"/>
      <c r="BN343" s="136"/>
      <c r="BO343" s="136"/>
      <c r="BP343" s="136"/>
      <c r="BQ343" s="136"/>
      <c r="BR343" s="136"/>
      <c r="BS343" s="136"/>
      <c r="BT343" s="136"/>
      <c r="BU343" s="136"/>
      <c r="DN343" s="194"/>
      <c r="DO343" s="194"/>
      <c r="DP343" s="194"/>
    </row>
    <row r="344" spans="1:120" x14ac:dyDescent="0.3">
      <c r="X344" s="7">
        <v>1</v>
      </c>
    </row>
    <row r="345" spans="1:120" ht="15" thickBot="1" x14ac:dyDescent="0.35">
      <c r="X345" s="7">
        <v>1</v>
      </c>
    </row>
    <row r="346" spans="1:120" ht="38.25" customHeight="1" thickTop="1" thickBot="1" x14ac:dyDescent="0.35">
      <c r="A346" s="311" t="str">
        <f>IF(LEN(A289)=8,CONCATENATE("SEMANA ",RIGHT(A289,1)+1),CONCATENATE("SEMANA ",RIGHT(A289,2)+1))</f>
        <v>SEMANA 7</v>
      </c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3"/>
      <c r="AG346" s="12"/>
      <c r="CA346" s="136">
        <f>'INFO BASE'!L427</f>
        <v>0</v>
      </c>
      <c r="CB346" s="136">
        <f>'INFO BASE'!M427</f>
        <v>0</v>
      </c>
    </row>
    <row r="347" spans="1:120" ht="9" customHeight="1" thickTop="1" thickBot="1" x14ac:dyDescent="0.35">
      <c r="A347" s="139"/>
      <c r="B347" s="139"/>
      <c r="C347" s="140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41">
        <v>1</v>
      </c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44">
        <v>42310.359779629631</v>
      </c>
      <c r="AI347" s="144">
        <v>42310.364358333332</v>
      </c>
      <c r="CA347" s="136">
        <f>'INFO BASE'!L428</f>
        <v>0</v>
      </c>
      <c r="CB347" s="136">
        <f>'INFO BASE'!M428</f>
        <v>0</v>
      </c>
    </row>
    <row r="348" spans="1:120" ht="30.75" customHeight="1" x14ac:dyDescent="0.3">
      <c r="A348" s="145"/>
      <c r="B348" s="314">
        <f>1-(CR348/673)</f>
        <v>1</v>
      </c>
      <c r="C348" s="315"/>
      <c r="D348" s="315"/>
      <c r="E348" s="315"/>
      <c r="F348" s="315"/>
      <c r="G348" s="315"/>
      <c r="H348" s="315"/>
      <c r="I348" s="315"/>
      <c r="J348" s="315"/>
      <c r="K348" s="315"/>
      <c r="L348" s="315"/>
      <c r="M348" s="315"/>
      <c r="N348" s="315"/>
      <c r="O348" s="316"/>
      <c r="Q348" s="205">
        <f>IF(OR(Q351="Registe aqui o que considera serem as suas três principais prioridades para a semana
(Dica - para criar paragráfos Alt+Enter)",LEN(Q351)&lt;10),1,0)</f>
        <v>0</v>
      </c>
      <c r="X348" s="7">
        <v>1</v>
      </c>
      <c r="AM348" s="136" t="str">
        <f>CONCATENATE("PLANEAMENTO ",I348)</f>
        <v xml:space="preserve">PLANEAMENTO </v>
      </c>
      <c r="AX348" s="136">
        <f>IF(AI347="","",IF(B348="","",B348))</f>
        <v>1</v>
      </c>
      <c r="AY348" s="136" t="str">
        <f>IF(AI347="","",IF(C348="","",C348))</f>
        <v/>
      </c>
      <c r="AZ348" s="136" t="str">
        <f>IF(AI347="","",IF(D348="","",D348))</f>
        <v/>
      </c>
      <c r="BA348" s="136" t="str">
        <f>IF(AI347="","",IF(E348="","",E348))</f>
        <v/>
      </c>
      <c r="BB348" s="136" t="str">
        <f>IF(AI347="","",IF(F348="","",F348))</f>
        <v/>
      </c>
      <c r="BC348" s="136" t="str">
        <f>IF(AI347="","",IF(G348="","",G348))</f>
        <v/>
      </c>
      <c r="BD348" s="136" t="str">
        <f>IF(AI347="","",IF(H348="","",H348))</f>
        <v/>
      </c>
      <c r="BE348" s="136" t="str">
        <f>IF(AI347="","",IF(I348="","",I348))</f>
        <v/>
      </c>
      <c r="BF348" s="136" t="str">
        <f>IF(AI347="","",IF(J348="","",J348))</f>
        <v/>
      </c>
      <c r="BG348" s="136" t="str">
        <f>IF(AI347="","",IF(K348="","",K348))</f>
        <v/>
      </c>
      <c r="BH348" s="136" t="str">
        <f>IF(AI347="","",IF(L348="","",L348))</f>
        <v/>
      </c>
      <c r="BI348" s="136" t="str">
        <f>IF(AI347="","",IF(M348="","",M348))</f>
        <v/>
      </c>
      <c r="BJ348" s="136" t="str">
        <f>IF(AI347="","",IF(N348="","",N348))</f>
        <v/>
      </c>
      <c r="BK348" s="136" t="str">
        <f>IF(AI347="","",IF(O348="","",O348))</f>
        <v/>
      </c>
      <c r="CA348" s="136">
        <f>'INFO BASE'!L414</f>
        <v>0</v>
      </c>
      <c r="CB348" s="136">
        <f>'INFO BASE'!M414</f>
        <v>0</v>
      </c>
      <c r="CR348" s="136">
        <f>SUM(CR351:DE398,Q348)</f>
        <v>0</v>
      </c>
    </row>
    <row r="349" spans="1:120" ht="37.5" customHeight="1" thickBot="1" x14ac:dyDescent="0.35">
      <c r="A349" s="146"/>
      <c r="B349" s="330" t="str">
        <f>CONCATENATE("Segunda ",CHAR(10),TEXT(B350,"dd-mm-aaaa"))</f>
        <v>Segunda 
26-10-2015</v>
      </c>
      <c r="C349" s="317"/>
      <c r="D349" s="317" t="str">
        <f>CONCATENATE("Terça ",CHAR(10),TEXT(D350,"dd-mm-aaaa"))</f>
        <v>Terça 
27-10-2015</v>
      </c>
      <c r="E349" s="317"/>
      <c r="F349" s="317" t="str">
        <f>CONCATENATE("Quarta ",CHAR(10),TEXT(F350,"dd-mm-aaaa"))</f>
        <v>Quarta 
28-10-2015</v>
      </c>
      <c r="G349" s="317"/>
      <c r="H349" s="317" t="str">
        <f>CONCATENATE("Quinta ",CHAR(10),TEXT(H350,"dd-mm-aaaa"))</f>
        <v>Quinta 
29-10-2015</v>
      </c>
      <c r="I349" s="317"/>
      <c r="J349" s="317" t="str">
        <f>CONCATENATE("Sexta ",CHAR(10),TEXT(J350,"dd-mm-aaaa"))</f>
        <v>Sexta 
30-10-2015</v>
      </c>
      <c r="K349" s="317"/>
      <c r="L349" s="317" t="str">
        <f>CONCATENATE("Sábado ",CHAR(10),TEXT(L350,"dd-mm-aaaa"))</f>
        <v>Sábado 
31-10-2015</v>
      </c>
      <c r="M349" s="317"/>
      <c r="N349" s="317" t="str">
        <f>CONCATENATE("Domingo ",CHAR(10),TEXT(N350,"dd-mm-aaaa"))</f>
        <v>Domingo 
01-11-2015</v>
      </c>
      <c r="O349" s="329"/>
      <c r="Q349" s="55" t="str">
        <f>'INFO BASE'!$L$3</f>
        <v>PRIORIDADES PARA ESTA SEMANA</v>
      </c>
      <c r="R349" s="132"/>
      <c r="S349" s="132"/>
      <c r="T349" s="132"/>
      <c r="U349" s="132"/>
      <c r="V349" s="132"/>
      <c r="W349" s="195" t="str">
        <f>CONCATENATE("HORÁRIO ",'INFO BASE'!$C$6,"_",'INFO BASE'!$C$5,": ",UPPER(A346))</f>
        <v>HORÁRIO André Fonseca_84698: SEMANA 7</v>
      </c>
      <c r="X349" s="198">
        <v>1</v>
      </c>
      <c r="Y349" s="261" t="str">
        <f>'INFO BASE'!$L$1</f>
        <v>MOMENTOS AVALIATIVOS</v>
      </c>
      <c r="Z349" s="261"/>
      <c r="AA349" s="261"/>
      <c r="AB349" s="261"/>
      <c r="AC349" s="261" t="s">
        <v>215</v>
      </c>
      <c r="AD349" s="261"/>
      <c r="AE349" s="261"/>
      <c r="AF349" s="261"/>
      <c r="AI349" s="136" t="str">
        <f>B349</f>
        <v>Segunda 
26-10-2015</v>
      </c>
      <c r="AK349" s="136" t="str">
        <f>D349</f>
        <v>Terça 
27-10-2015</v>
      </c>
      <c r="AM349" s="136" t="str">
        <f>F349</f>
        <v>Quarta 
28-10-2015</v>
      </c>
      <c r="AO349" s="136" t="str">
        <f>H349</f>
        <v>Quinta 
29-10-2015</v>
      </c>
      <c r="AQ349" s="136" t="str">
        <f>J349</f>
        <v>Sexta 
30-10-2015</v>
      </c>
      <c r="AS349" s="136" t="str">
        <f>L349</f>
        <v>Sábado 
31-10-2015</v>
      </c>
      <c r="AU349" s="136" t="str">
        <f>N349</f>
        <v>Domingo 
01-11-2015</v>
      </c>
      <c r="AX349" s="136" t="str">
        <f>IF(AI347="","",IF(B349="","",B349))</f>
        <v>Segunda 
26-10-2015</v>
      </c>
      <c r="AY349" s="136" t="str">
        <f>IF(AI347="","",IF(C349="","",C349))</f>
        <v/>
      </c>
      <c r="AZ349" s="136" t="str">
        <f>IF(AI347="","",IF(D349="","",D349))</f>
        <v>Terça 
27-10-2015</v>
      </c>
      <c r="BA349" s="136" t="str">
        <f>IF(AI347="","",IF(E349="","",E349))</f>
        <v/>
      </c>
      <c r="BB349" s="136" t="str">
        <f>IF(AI347="","",IF(F349="","",F349))</f>
        <v>Quarta 
28-10-2015</v>
      </c>
      <c r="BC349" s="136" t="str">
        <f>IF(AI347="","",IF(G349="","",G349))</f>
        <v/>
      </c>
      <c r="BD349" s="136" t="str">
        <f>IF(AI347="","",IF(H349="","",H349))</f>
        <v>Quinta 
29-10-2015</v>
      </c>
      <c r="BE349" s="136" t="str">
        <f>IF(AI347="","",IF(I349="","",I349))</f>
        <v/>
      </c>
      <c r="BF349" s="136" t="str">
        <f>IF(AI347="","",IF(J349="","",J349))</f>
        <v>Sexta 
30-10-2015</v>
      </c>
      <c r="BG349" s="136" t="str">
        <f>IF(AI347="","",IF(K349="","",K349))</f>
        <v/>
      </c>
      <c r="BH349" s="136" t="str">
        <f>IF(AI347="","",IF(L349="","",L349))</f>
        <v>Sábado 
31-10-2015</v>
      </c>
      <c r="BI349" s="136" t="str">
        <f>IF(AI347="","",IF(M349="","",M349))</f>
        <v/>
      </c>
      <c r="BJ349" s="136" t="str">
        <f>IF(AI347="","",IF(N349="","",N349))</f>
        <v>Domingo 
01-11-2015</v>
      </c>
      <c r="BK349" s="136" t="str">
        <f>IF(AI347="","",IF(O349="","",O349))</f>
        <v/>
      </c>
      <c r="CA349" s="136">
        <f>'INFO BASE'!L408</f>
        <v>0</v>
      </c>
      <c r="CB349" s="136">
        <f>'INFO BASE'!M408</f>
        <v>0</v>
      </c>
    </row>
    <row r="350" spans="1:120" ht="21" hidden="1" customHeight="1" thickTop="1" thickBot="1" x14ac:dyDescent="0.35">
      <c r="A350" s="142"/>
      <c r="B350" s="333">
        <f>N293+1</f>
        <v>42303</v>
      </c>
      <c r="C350" s="334"/>
      <c r="D350" s="334">
        <f>B350+1</f>
        <v>42304</v>
      </c>
      <c r="E350" s="334"/>
      <c r="F350" s="334">
        <f>D350+1</f>
        <v>42305</v>
      </c>
      <c r="G350" s="334"/>
      <c r="H350" s="334">
        <f>F350+1</f>
        <v>42306</v>
      </c>
      <c r="I350" s="334"/>
      <c r="J350" s="334">
        <f>H350+1</f>
        <v>42307</v>
      </c>
      <c r="K350" s="334"/>
      <c r="L350" s="334">
        <f>J350+1</f>
        <v>42308</v>
      </c>
      <c r="M350" s="334"/>
      <c r="N350" s="334">
        <f>L350+1</f>
        <v>42309</v>
      </c>
      <c r="O350" s="334"/>
      <c r="Q350" s="132"/>
      <c r="R350" s="132"/>
      <c r="S350" s="132"/>
      <c r="T350" s="132"/>
      <c r="U350" s="132"/>
      <c r="V350" s="132"/>
      <c r="W350" s="132"/>
      <c r="X350" s="198">
        <v>1</v>
      </c>
      <c r="Y350" s="132"/>
      <c r="Z350" s="132"/>
      <c r="AA350" s="132"/>
      <c r="AB350" s="131"/>
      <c r="AC350" s="131"/>
      <c r="AD350" s="131"/>
      <c r="AE350" s="131"/>
      <c r="AF350" s="131"/>
      <c r="AI350" s="136">
        <f>B350</f>
        <v>42303</v>
      </c>
      <c r="AK350" s="136">
        <f>D350</f>
        <v>42304</v>
      </c>
      <c r="AM350" s="136">
        <f>F350</f>
        <v>42305</v>
      </c>
      <c r="AO350" s="136">
        <f>H350</f>
        <v>42306</v>
      </c>
      <c r="AQ350" s="136">
        <f>J350</f>
        <v>42307</v>
      </c>
      <c r="AS350" s="136">
        <f>L350</f>
        <v>42308</v>
      </c>
      <c r="AU350" s="136">
        <f>N350</f>
        <v>42309</v>
      </c>
      <c r="AX350" s="136">
        <f>IF(AI347="","",IF(B350="","",B350))</f>
        <v>42303</v>
      </c>
      <c r="AY350" s="136" t="str">
        <f>IF(AI347="","",IF(C350="","",C350))</f>
        <v/>
      </c>
      <c r="AZ350" s="136">
        <f>IF(AI347="","",IF(D350="","",D350))</f>
        <v>42304</v>
      </c>
      <c r="BA350" s="136" t="str">
        <f>IF(AI347="","",IF(E350="","",E350))</f>
        <v/>
      </c>
      <c r="BB350" s="136">
        <f>IF(AI347="","",IF(F350="","",F350))</f>
        <v>42305</v>
      </c>
      <c r="BC350" s="136" t="str">
        <f>IF(AI347="","",IF(G350="","",G350))</f>
        <v/>
      </c>
      <c r="BD350" s="136">
        <f>IF(AI347="","",IF(H350="","",H350))</f>
        <v>42306</v>
      </c>
      <c r="BE350" s="136" t="str">
        <f>IF(AI347="","",IF(I350="","",I350))</f>
        <v/>
      </c>
      <c r="BF350" s="136">
        <f>IF(AI347="","",IF(J350="","",J350))</f>
        <v>42307</v>
      </c>
      <c r="BG350" s="136" t="str">
        <f>IF(AI347="","",IF(K350="","",K350))</f>
        <v/>
      </c>
      <c r="BH350" s="136">
        <f>IF(AI347="","",IF(L350="","",L350))</f>
        <v>42308</v>
      </c>
      <c r="BI350" s="136" t="str">
        <f>IF(AI347="","",IF(M350="","",M350))</f>
        <v/>
      </c>
      <c r="BJ350" s="136">
        <f>IF(AI347="","",IF(N350="","",N350))</f>
        <v>42309</v>
      </c>
      <c r="BK350" s="136" t="str">
        <f>IF(AI347="","",IF(O350="","",O350))</f>
        <v/>
      </c>
      <c r="CA350" s="136">
        <f>'INFO BASE'!L420</f>
        <v>0</v>
      </c>
      <c r="CB350" s="136">
        <f>'INFO BASE'!M420</f>
        <v>0</v>
      </c>
    </row>
    <row r="351" spans="1:120" ht="18" customHeight="1" thickTop="1" x14ac:dyDescent="0.3">
      <c r="A351" s="81">
        <v>0</v>
      </c>
      <c r="B351" s="165" t="s">
        <v>10</v>
      </c>
      <c r="C351" s="150" t="s">
        <v>120</v>
      </c>
      <c r="D351" s="168" t="s">
        <v>10</v>
      </c>
      <c r="E351" s="150" t="s">
        <v>120</v>
      </c>
      <c r="F351" s="168" t="s">
        <v>10</v>
      </c>
      <c r="G351" s="150" t="s">
        <v>120</v>
      </c>
      <c r="H351" s="168" t="s">
        <v>10</v>
      </c>
      <c r="I351" s="150" t="s">
        <v>120</v>
      </c>
      <c r="J351" s="168" t="s">
        <v>10</v>
      </c>
      <c r="K351" s="150" t="s">
        <v>120</v>
      </c>
      <c r="L351" s="168" t="s">
        <v>8</v>
      </c>
      <c r="M351" s="150" t="s">
        <v>230</v>
      </c>
      <c r="N351" s="168" t="s">
        <v>116</v>
      </c>
      <c r="O351" s="152" t="s">
        <v>120</v>
      </c>
      <c r="Q351" s="281" t="s">
        <v>255</v>
      </c>
      <c r="R351" s="282"/>
      <c r="S351" s="282"/>
      <c r="T351" s="282"/>
      <c r="U351" s="282"/>
      <c r="V351" s="282"/>
      <c r="W351" s="283"/>
      <c r="X351" s="199">
        <v>1</v>
      </c>
      <c r="Y351" s="268" t="str">
        <f t="array" ref="Y351">IF(ISERROR(INDEX($CA$2:$CB$200,SMALL(IF($CA$2:$CA$200=$A$346,ROW($CA$2:$CA$200)),ROW(1:1))-1,2)),"",INDEX($CA$2:$CB$200,SMALL(IF($CA$2:$CA$200=$A$346,ROW($CA$2:$CA$200)),ROW(1:1))-1,2))</f>
        <v/>
      </c>
      <c r="Z351" s="269"/>
      <c r="AA351" s="269"/>
      <c r="AB351" s="269"/>
      <c r="AC351" s="269"/>
      <c r="AD351" s="269"/>
      <c r="AE351" s="269"/>
      <c r="AF351" s="270"/>
      <c r="AH351" s="136">
        <v>0</v>
      </c>
      <c r="AI351" s="136" t="s">
        <v>10</v>
      </c>
      <c r="AJ351" s="136" t="s">
        <v>120</v>
      </c>
      <c r="AK351" s="136" t="s">
        <v>10</v>
      </c>
      <c r="AL351" s="136" t="s">
        <v>120</v>
      </c>
      <c r="AM351" s="136" t="s">
        <v>10</v>
      </c>
      <c r="AN351" s="136" t="s">
        <v>120</v>
      </c>
      <c r="AO351" s="136" t="s">
        <v>10</v>
      </c>
      <c r="AP351" s="136" t="s">
        <v>120</v>
      </c>
      <c r="AQ351" s="136" t="s">
        <v>10</v>
      </c>
      <c r="AR351" s="136" t="s">
        <v>120</v>
      </c>
      <c r="AS351" s="136" t="s">
        <v>116</v>
      </c>
      <c r="AT351" s="136" t="s">
        <v>120</v>
      </c>
      <c r="AU351" s="136" t="s">
        <v>116</v>
      </c>
      <c r="AV351" s="136" t="s">
        <v>120</v>
      </c>
      <c r="AX351" s="136" t="str">
        <f>IF(AI347="","",IF(B351="","",B351))</f>
        <v>HS</v>
      </c>
      <c r="AY351" s="136" t="str">
        <f>IF(AI347="","",IF(C351="","",C351))</f>
        <v>-</v>
      </c>
      <c r="AZ351" s="136" t="str">
        <f>IF(AI347="","",IF(D351="","",D351))</f>
        <v>HS</v>
      </c>
      <c r="BA351" s="136" t="str">
        <f>IF(AI347="","",IF(E351="","",E351))</f>
        <v>-</v>
      </c>
      <c r="BB351" s="136" t="str">
        <f>IF(AI347="","",IF(F351="","",F351))</f>
        <v>HS</v>
      </c>
      <c r="BC351" s="136" t="str">
        <f>IF(AI347="","",IF(G351="","",G351))</f>
        <v>-</v>
      </c>
      <c r="BD351" s="136" t="str">
        <f>IF(AI347="","",IF(H351="","",H351))</f>
        <v>HS</v>
      </c>
      <c r="BE351" s="136" t="str">
        <f>IF(AI347="","",IF(I351="","",I351))</f>
        <v>-</v>
      </c>
      <c r="BF351" s="136" t="str">
        <f>IF(AI347="","",IF(J351="","",J351))</f>
        <v>HS</v>
      </c>
      <c r="BG351" s="136" t="str">
        <f>IF(AI347="","",IF(K351="","",K351))</f>
        <v>-</v>
      </c>
      <c r="BH351" s="136" t="str">
        <f>IF(AI347="","",IF(L351="","",L351))</f>
        <v>EA</v>
      </c>
      <c r="BI351" s="136" t="str">
        <f>IF(AI347="","",IF(M351="","",M351))</f>
        <v>AL</v>
      </c>
      <c r="BJ351" s="136" t="str">
        <f>IF(AI347="","",IF(N351="","",N351))</f>
        <v>PV</v>
      </c>
      <c r="BK351" s="136" t="str">
        <f>IF(AI347="","",IF(O351="","",O351))</f>
        <v>-</v>
      </c>
      <c r="CA351" s="136">
        <f>'INFO BASE'!L421</f>
        <v>0</v>
      </c>
      <c r="CB351" s="136">
        <f>'INFO BASE'!M421</f>
        <v>0</v>
      </c>
      <c r="CD351" s="136">
        <f>COUNTA('INFO BASE'!E375:E380)+6</f>
        <v>6</v>
      </c>
      <c r="CR351" s="177" t="str">
        <f>IF(B351="",1,B351)</f>
        <v>HS</v>
      </c>
      <c r="CS351" s="177" t="str">
        <f>IF(B351="PV",0,IFERROR(VLOOKUP(CONCATENATE(B351,C351),$DK$9:$DK$72,1,0),1))</f>
        <v>HS-</v>
      </c>
      <c r="CT351" s="177" t="str">
        <f>IF(D351="",1,D351)</f>
        <v>HS</v>
      </c>
      <c r="CU351" s="177" t="str">
        <f>IF(D351="PV",0,IFERROR(VLOOKUP(CONCATENATE(D351,E351),$DK$9:$DK$72,1,0),1))</f>
        <v>HS-</v>
      </c>
      <c r="CV351" s="177" t="str">
        <f>IF(F351="",1,F351)</f>
        <v>HS</v>
      </c>
      <c r="CW351" s="177" t="str">
        <f>IF(F351="PV",0,IFERROR(VLOOKUP(CONCATENATE(F351,G351),$DK$9:$DK$72,1,0),1))</f>
        <v>HS-</v>
      </c>
      <c r="CX351" s="177" t="str">
        <f>IF(H351="",1,H351)</f>
        <v>HS</v>
      </c>
      <c r="CY351" s="177" t="str">
        <f>IF(H351="PV",0,IFERROR(VLOOKUP(CONCATENATE(H351,I351),$DK$9:$DK$72,1,0),1))</f>
        <v>HS-</v>
      </c>
      <c r="CZ351" s="177" t="str">
        <f>IF(J351="",1,J351)</f>
        <v>HS</v>
      </c>
      <c r="DA351" s="177" t="str">
        <f>IF(J351="PV",0,IFERROR(VLOOKUP(CONCATENATE(J351,K351),$DK$9:$DK$72,1,0),1))</f>
        <v>HS-</v>
      </c>
      <c r="DB351" s="177" t="str">
        <f>IF(L351="",1,L351)</f>
        <v>EA</v>
      </c>
      <c r="DC351" s="177" t="str">
        <f>IF(L351="PV",0,IFERROR(VLOOKUP(CONCATENATE(L351,M351),$DK$9:$DK$72,1,0),1))</f>
        <v>EAAL</v>
      </c>
      <c r="DD351" s="177" t="str">
        <f>IF(N351="",1,N351)</f>
        <v>PV</v>
      </c>
      <c r="DE351" s="177">
        <f>IF(N351="PV",0,IFERROR(VLOOKUP(CONCATENATE(N351,O351),$DK$9:$DK$72,1,0),1))</f>
        <v>0</v>
      </c>
    </row>
    <row r="352" spans="1:120" ht="18" customHeight="1" x14ac:dyDescent="0.3">
      <c r="A352" s="81">
        <v>2.0833333333333998E-2</v>
      </c>
      <c r="B352" s="166" t="s">
        <v>10</v>
      </c>
      <c r="C352" s="130" t="s">
        <v>120</v>
      </c>
      <c r="D352" s="169" t="s">
        <v>10</v>
      </c>
      <c r="E352" s="130" t="s">
        <v>120</v>
      </c>
      <c r="F352" s="169" t="s">
        <v>10</v>
      </c>
      <c r="G352" s="130" t="s">
        <v>120</v>
      </c>
      <c r="H352" s="169" t="s">
        <v>10</v>
      </c>
      <c r="I352" s="130" t="s">
        <v>120</v>
      </c>
      <c r="J352" s="169" t="s">
        <v>10</v>
      </c>
      <c r="K352" s="130" t="s">
        <v>120</v>
      </c>
      <c r="L352" s="169" t="s">
        <v>8</v>
      </c>
      <c r="M352" s="130" t="s">
        <v>230</v>
      </c>
      <c r="N352" s="169" t="s">
        <v>116</v>
      </c>
      <c r="O352" s="154" t="s">
        <v>120</v>
      </c>
      <c r="Q352" s="284"/>
      <c r="R352" s="285"/>
      <c r="S352" s="285"/>
      <c r="T352" s="285"/>
      <c r="U352" s="285"/>
      <c r="V352" s="285"/>
      <c r="W352" s="286"/>
      <c r="X352" s="199">
        <v>1</v>
      </c>
      <c r="Y352" s="262" t="str">
        <f t="array" ref="Y352">IF(ISERROR(INDEX($CA$2:$CB$200,SMALL(IF($CA$2:$CA$200=$A$346,ROW($CA$2:$CA$200)),ROW(2:2))-1,2)),"",INDEX($CA$2:$CB$200,SMALL(IF($CA$2:$CA$200=$A$346,ROW($CA$2:$CA$200)),ROW(2:2))-1,2))</f>
        <v/>
      </c>
      <c r="Z352" s="263"/>
      <c r="AA352" s="263"/>
      <c r="AB352" s="263"/>
      <c r="AC352" s="263"/>
      <c r="AD352" s="263"/>
      <c r="AE352" s="263"/>
      <c r="AF352" s="264"/>
      <c r="AH352" s="136">
        <v>2.0833333333333998E-2</v>
      </c>
      <c r="AI352" s="136" t="s">
        <v>10</v>
      </c>
      <c r="AJ352" s="136" t="s">
        <v>120</v>
      </c>
      <c r="AK352" s="136" t="s">
        <v>10</v>
      </c>
      <c r="AL352" s="136" t="s">
        <v>120</v>
      </c>
      <c r="AM352" s="136" t="s">
        <v>10</v>
      </c>
      <c r="AN352" s="136" t="s">
        <v>120</v>
      </c>
      <c r="AO352" s="136" t="s">
        <v>10</v>
      </c>
      <c r="AP352" s="136" t="s">
        <v>120</v>
      </c>
      <c r="AQ352" s="136" t="s">
        <v>10</v>
      </c>
      <c r="AR352" s="136" t="s">
        <v>120</v>
      </c>
      <c r="AS352" s="136" t="s">
        <v>116</v>
      </c>
      <c r="AT352" s="136" t="s">
        <v>120</v>
      </c>
      <c r="AU352" s="136" t="s">
        <v>116</v>
      </c>
      <c r="AV352" s="136" t="s">
        <v>120</v>
      </c>
      <c r="AX352" s="136" t="str">
        <f>IF(AI347="","",IF(B352="","",B352))</f>
        <v>HS</v>
      </c>
      <c r="AY352" s="136" t="str">
        <f>IF(AI347="","",IF(C352="","",C352))</f>
        <v>-</v>
      </c>
      <c r="AZ352" s="136" t="str">
        <f>IF(AI347="","",IF(D352="","",D352))</f>
        <v>HS</v>
      </c>
      <c r="BA352" s="136" t="str">
        <f>IF(AI347="","",IF(E352="","",E352))</f>
        <v>-</v>
      </c>
      <c r="BB352" s="136" t="str">
        <f>IF(AI347="","",IF(F352="","",F352))</f>
        <v>HS</v>
      </c>
      <c r="BC352" s="136" t="str">
        <f>IF(AI347="","",IF(G352="","",G352))</f>
        <v>-</v>
      </c>
      <c r="BD352" s="136" t="str">
        <f>IF(AI347="","",IF(H352="","",H352))</f>
        <v>HS</v>
      </c>
      <c r="BE352" s="136" t="str">
        <f>IF(AI347="","",IF(I352="","",I352))</f>
        <v>-</v>
      </c>
      <c r="BF352" s="136" t="str">
        <f>IF(AI347="","",IF(J352="","",J352))</f>
        <v>HS</v>
      </c>
      <c r="BG352" s="136" t="str">
        <f>IF(AI347="","",IF(K352="","",K352))</f>
        <v>-</v>
      </c>
      <c r="BH352" s="136" t="str">
        <f>IF(AI347="","",IF(L352="","",L352))</f>
        <v>EA</v>
      </c>
      <c r="BI352" s="136" t="str">
        <f>IF(AI347="","",IF(M352="","",M352))</f>
        <v>AL</v>
      </c>
      <c r="BJ352" s="136" t="str">
        <f>IF(AI347="","",IF(N352="","",N352))</f>
        <v>PV</v>
      </c>
      <c r="BK352" s="136" t="str">
        <f>IF(AI347="","",IF(O352="","",O352))</f>
        <v>-</v>
      </c>
      <c r="CA352" s="136">
        <f>'INFO BASE'!L422</f>
        <v>0</v>
      </c>
      <c r="CB352" s="136">
        <f>'INFO BASE'!M422</f>
        <v>0</v>
      </c>
      <c r="CR352" s="177" t="str">
        <f t="shared" ref="CR352:DB394" si="207">IF(B352="",1,B352)</f>
        <v>HS</v>
      </c>
      <c r="CS352" s="177" t="str">
        <f t="shared" ref="CS352:CS398" si="208">IF(B352="PV",0,IFERROR(VLOOKUP(CONCATENATE(B352,C352),$DK$9:$DK$72,1,0),1))</f>
        <v>HS-</v>
      </c>
      <c r="CT352" s="177" t="str">
        <f t="shared" si="207"/>
        <v>HS</v>
      </c>
      <c r="CU352" s="177" t="str">
        <f t="shared" ref="CU352:CU398" si="209">IF(D352="PV",0,IFERROR(VLOOKUP(CONCATENATE(D352,E352),$DK$9:$DK$72,1,0),1))</f>
        <v>HS-</v>
      </c>
      <c r="CV352" s="177" t="str">
        <f t="shared" si="207"/>
        <v>HS</v>
      </c>
      <c r="CW352" s="177" t="str">
        <f t="shared" ref="CW352:CW398" si="210">IF(F352="PV",0,IFERROR(VLOOKUP(CONCATENATE(F352,G352),$DK$9:$DK$72,1,0),1))</f>
        <v>HS-</v>
      </c>
      <c r="CX352" s="177" t="str">
        <f t="shared" si="207"/>
        <v>HS</v>
      </c>
      <c r="CY352" s="177" t="str">
        <f t="shared" ref="CY352:CY398" si="211">IF(H352="PV",0,IFERROR(VLOOKUP(CONCATENATE(H352,I352),$DK$9:$DK$72,1,0),1))</f>
        <v>HS-</v>
      </c>
      <c r="CZ352" s="177" t="str">
        <f t="shared" si="207"/>
        <v>HS</v>
      </c>
      <c r="DA352" s="177" t="str">
        <f t="shared" ref="DA352:DA398" si="212">IF(J352="PV",0,IFERROR(VLOOKUP(CONCATENATE(J352,K352),$DK$9:$DK$72,1,0),1))</f>
        <v>HS-</v>
      </c>
      <c r="DB352" s="177" t="str">
        <f t="shared" si="207"/>
        <v>EA</v>
      </c>
      <c r="DC352" s="177" t="str">
        <f t="shared" ref="DC352:DC398" si="213">IF(L352="PV",0,IFERROR(VLOOKUP(CONCATENATE(L352,M352),$DK$9:$DK$72,1,0),1))</f>
        <v>EAAL</v>
      </c>
      <c r="DD352" s="177" t="str">
        <f t="shared" ref="DD352:DD398" si="214">IF(N352="",1,N352)</f>
        <v>PV</v>
      </c>
      <c r="DE352" s="177">
        <f t="shared" ref="DE352:DE398" si="215">IF(N352="PV",0,IFERROR(VLOOKUP(CONCATENATE(N352,O352),$DK$9:$DK$72,1,0),1))</f>
        <v>0</v>
      </c>
    </row>
    <row r="353" spans="1:109" ht="18" customHeight="1" x14ac:dyDescent="0.3">
      <c r="A353" s="81">
        <v>4.1666666666667997E-2</v>
      </c>
      <c r="B353" s="166" t="s">
        <v>10</v>
      </c>
      <c r="C353" s="130" t="s">
        <v>120</v>
      </c>
      <c r="D353" s="169" t="s">
        <v>10</v>
      </c>
      <c r="E353" s="130" t="s">
        <v>120</v>
      </c>
      <c r="F353" s="169" t="s">
        <v>10</v>
      </c>
      <c r="G353" s="130" t="s">
        <v>120</v>
      </c>
      <c r="H353" s="169" t="s">
        <v>10</v>
      </c>
      <c r="I353" s="130" t="s">
        <v>120</v>
      </c>
      <c r="J353" s="169" t="s">
        <v>10</v>
      </c>
      <c r="K353" s="130" t="s">
        <v>120</v>
      </c>
      <c r="L353" s="169" t="s">
        <v>8</v>
      </c>
      <c r="M353" s="130" t="s">
        <v>230</v>
      </c>
      <c r="N353" s="169" t="s">
        <v>116</v>
      </c>
      <c r="O353" s="154" t="s">
        <v>120</v>
      </c>
      <c r="Q353" s="284"/>
      <c r="R353" s="285"/>
      <c r="S353" s="285"/>
      <c r="T353" s="285"/>
      <c r="U353" s="285"/>
      <c r="V353" s="285"/>
      <c r="W353" s="286"/>
      <c r="X353" s="199">
        <v>1</v>
      </c>
      <c r="Y353" s="262" t="str">
        <f t="array" ref="Y353">IF(ISERROR(INDEX($CA$2:$CB$200,SMALL(IF($CA$2:$CA$200=$A$346,ROW($CA$2:$CA$200)),ROW(3:3))-1,2)),"",INDEX($CA$2:$CB$200,SMALL(IF($CA$2:$CA$200=$A$346,ROW($CA$2:$CA$200)),ROW(3:3))-1,2))</f>
        <v/>
      </c>
      <c r="Z353" s="263"/>
      <c r="AA353" s="263"/>
      <c r="AB353" s="263"/>
      <c r="AC353" s="263"/>
      <c r="AD353" s="263"/>
      <c r="AE353" s="263"/>
      <c r="AF353" s="264"/>
      <c r="AH353" s="136">
        <v>4.1666666666667997E-2</v>
      </c>
      <c r="AI353" s="136" t="s">
        <v>10</v>
      </c>
      <c r="AJ353" s="136" t="s">
        <v>120</v>
      </c>
      <c r="AK353" s="136" t="s">
        <v>10</v>
      </c>
      <c r="AL353" s="136" t="s">
        <v>120</v>
      </c>
      <c r="AM353" s="136" t="s">
        <v>10</v>
      </c>
      <c r="AN353" s="136" t="s">
        <v>120</v>
      </c>
      <c r="AO353" s="136" t="s">
        <v>10</v>
      </c>
      <c r="AP353" s="136" t="s">
        <v>120</v>
      </c>
      <c r="AQ353" s="136" t="s">
        <v>10</v>
      </c>
      <c r="AR353" s="136" t="s">
        <v>120</v>
      </c>
      <c r="AS353" s="136" t="s">
        <v>116</v>
      </c>
      <c r="AT353" s="136" t="s">
        <v>120</v>
      </c>
      <c r="AU353" s="136" t="s">
        <v>116</v>
      </c>
      <c r="AV353" s="136" t="s">
        <v>120</v>
      </c>
      <c r="AX353" s="136" t="str">
        <f>IF(AI347="","",IF(B353="","",B353))</f>
        <v>HS</v>
      </c>
      <c r="AY353" s="136" t="str">
        <f>IF(AI347="","",IF(C353="","",C353))</f>
        <v>-</v>
      </c>
      <c r="AZ353" s="136" t="str">
        <f>IF(AI347="","",IF(D353="","",D353))</f>
        <v>HS</v>
      </c>
      <c r="BA353" s="136" t="str">
        <f>IF(AI347="","",IF(E353="","",E353))</f>
        <v>-</v>
      </c>
      <c r="BB353" s="136" t="str">
        <f>IF(AI347="","",IF(F353="","",F353))</f>
        <v>HS</v>
      </c>
      <c r="BC353" s="136" t="str">
        <f>IF(AI347="","",IF(G353="","",G353))</f>
        <v>-</v>
      </c>
      <c r="BD353" s="136" t="str">
        <f>IF(AI347="","",IF(H353="","",H353))</f>
        <v>HS</v>
      </c>
      <c r="BE353" s="136" t="str">
        <f>IF(AI347="","",IF(I353="","",I353))</f>
        <v>-</v>
      </c>
      <c r="BF353" s="136" t="str">
        <f>IF(AI347="","",IF(J353="","",J353))</f>
        <v>HS</v>
      </c>
      <c r="BG353" s="136" t="str">
        <f>IF(AI347="","",IF(K353="","",K353))</f>
        <v>-</v>
      </c>
      <c r="BH353" s="136" t="str">
        <f>IF(AI347="","",IF(L353="","",L353))</f>
        <v>EA</v>
      </c>
      <c r="BI353" s="136" t="str">
        <f>IF(AI347="","",IF(M353="","",M353))</f>
        <v>AL</v>
      </c>
      <c r="BJ353" s="136" t="str">
        <f>IF(AI347="","",IF(N353="","",N353))</f>
        <v>PV</v>
      </c>
      <c r="BK353" s="136" t="str">
        <f>IF(AI347="","",IF(O353="","",O353))</f>
        <v>-</v>
      </c>
      <c r="CA353" s="136">
        <f>'INFO BASE'!L423</f>
        <v>0</v>
      </c>
      <c r="CB353" s="136">
        <f>'INFO BASE'!M423</f>
        <v>0</v>
      </c>
      <c r="CR353" s="177" t="str">
        <f t="shared" si="207"/>
        <v>HS</v>
      </c>
      <c r="CS353" s="177" t="str">
        <f t="shared" si="208"/>
        <v>HS-</v>
      </c>
      <c r="CT353" s="177" t="str">
        <f t="shared" si="207"/>
        <v>HS</v>
      </c>
      <c r="CU353" s="177" t="str">
        <f t="shared" si="209"/>
        <v>HS-</v>
      </c>
      <c r="CV353" s="177" t="str">
        <f t="shared" si="207"/>
        <v>HS</v>
      </c>
      <c r="CW353" s="177" t="str">
        <f t="shared" si="210"/>
        <v>HS-</v>
      </c>
      <c r="CX353" s="177" t="str">
        <f t="shared" si="207"/>
        <v>HS</v>
      </c>
      <c r="CY353" s="177" t="str">
        <f t="shared" si="211"/>
        <v>HS-</v>
      </c>
      <c r="CZ353" s="177" t="str">
        <f t="shared" si="207"/>
        <v>HS</v>
      </c>
      <c r="DA353" s="177" t="str">
        <f t="shared" si="212"/>
        <v>HS-</v>
      </c>
      <c r="DB353" s="177" t="str">
        <f t="shared" si="207"/>
        <v>EA</v>
      </c>
      <c r="DC353" s="177" t="str">
        <f t="shared" si="213"/>
        <v>EAAL</v>
      </c>
      <c r="DD353" s="177" t="str">
        <f t="shared" si="214"/>
        <v>PV</v>
      </c>
      <c r="DE353" s="177">
        <f t="shared" si="215"/>
        <v>0</v>
      </c>
    </row>
    <row r="354" spans="1:109" ht="18" customHeight="1" x14ac:dyDescent="0.3">
      <c r="A354" s="81">
        <v>6.2500000000001998E-2</v>
      </c>
      <c r="B354" s="166" t="s">
        <v>10</v>
      </c>
      <c r="C354" s="130" t="s">
        <v>120</v>
      </c>
      <c r="D354" s="169" t="s">
        <v>10</v>
      </c>
      <c r="E354" s="130" t="s">
        <v>120</v>
      </c>
      <c r="F354" s="169" t="s">
        <v>10</v>
      </c>
      <c r="G354" s="130" t="s">
        <v>120</v>
      </c>
      <c r="H354" s="169" t="s">
        <v>10</v>
      </c>
      <c r="I354" s="130" t="s">
        <v>120</v>
      </c>
      <c r="J354" s="169" t="s">
        <v>10</v>
      </c>
      <c r="K354" s="130" t="s">
        <v>120</v>
      </c>
      <c r="L354" s="169" t="s">
        <v>8</v>
      </c>
      <c r="M354" s="130" t="s">
        <v>230</v>
      </c>
      <c r="N354" s="169" t="s">
        <v>10</v>
      </c>
      <c r="O354" s="154" t="s">
        <v>120</v>
      </c>
      <c r="Q354" s="284"/>
      <c r="R354" s="285"/>
      <c r="S354" s="285"/>
      <c r="T354" s="285"/>
      <c r="U354" s="285"/>
      <c r="V354" s="285"/>
      <c r="W354" s="286"/>
      <c r="X354" s="199">
        <v>1</v>
      </c>
      <c r="Y354" s="262" t="str">
        <f t="array" ref="Y354">IF(ISERROR(INDEX($CA$2:$CB$200,SMALL(IF($CA$2:$CA$200=$A$346,ROW($CA$2:$CA$200)),ROW(4:4))-1,2)),"",INDEX($CA$2:$CB$200,SMALL(IF($CA$2:$CA$200=$A$346,ROW($CA$2:$CA$200)),ROW(4:4))-1,2))</f>
        <v/>
      </c>
      <c r="Z354" s="263"/>
      <c r="AA354" s="263"/>
      <c r="AB354" s="263"/>
      <c r="AC354" s="263"/>
      <c r="AD354" s="263"/>
      <c r="AE354" s="263"/>
      <c r="AF354" s="264"/>
      <c r="AH354" s="136">
        <v>6.2500000000001998E-2</v>
      </c>
      <c r="AI354" s="136" t="s">
        <v>10</v>
      </c>
      <c r="AJ354" s="136" t="s">
        <v>120</v>
      </c>
      <c r="AK354" s="136" t="s">
        <v>10</v>
      </c>
      <c r="AL354" s="136" t="s">
        <v>120</v>
      </c>
      <c r="AM354" s="136" t="s">
        <v>10</v>
      </c>
      <c r="AN354" s="136" t="s">
        <v>120</v>
      </c>
      <c r="AO354" s="136" t="s">
        <v>10</v>
      </c>
      <c r="AP354" s="136" t="s">
        <v>120</v>
      </c>
      <c r="AQ354" s="136" t="s">
        <v>10</v>
      </c>
      <c r="AR354" s="136" t="s">
        <v>120</v>
      </c>
      <c r="AS354" s="136" t="s">
        <v>116</v>
      </c>
      <c r="AT354" s="136" t="s">
        <v>120</v>
      </c>
      <c r="AU354" s="136" t="s">
        <v>10</v>
      </c>
      <c r="AV354" s="136" t="s">
        <v>120</v>
      </c>
      <c r="AX354" s="136" t="str">
        <f>IF(AI347="","",IF(B354="","",B354))</f>
        <v>HS</v>
      </c>
      <c r="AY354" s="136" t="str">
        <f>IF(AI347="","",IF(C354="","",C354))</f>
        <v>-</v>
      </c>
      <c r="AZ354" s="136" t="str">
        <f>IF(AI347="","",IF(D354="","",D354))</f>
        <v>HS</v>
      </c>
      <c r="BA354" s="136" t="str">
        <f>IF(AI347="","",IF(E354="","",E354))</f>
        <v>-</v>
      </c>
      <c r="BB354" s="136" t="str">
        <f>IF(AI347="","",IF(F354="","",F354))</f>
        <v>HS</v>
      </c>
      <c r="BC354" s="136" t="str">
        <f>IF(AI347="","",IF(G354="","",G354))</f>
        <v>-</v>
      </c>
      <c r="BD354" s="136" t="str">
        <f>IF(AI347="","",IF(H354="","",H354))</f>
        <v>HS</v>
      </c>
      <c r="BE354" s="136" t="str">
        <f>IF(AI347="","",IF(I354="","",I354))</f>
        <v>-</v>
      </c>
      <c r="BF354" s="136" t="str">
        <f>IF(AI347="","",IF(J354="","",J354))</f>
        <v>HS</v>
      </c>
      <c r="BG354" s="136" t="str">
        <f>IF(AI347="","",IF(K354="","",K354))</f>
        <v>-</v>
      </c>
      <c r="BH354" s="136" t="str">
        <f>IF(AI347="","",IF(L354="","",L354))</f>
        <v>EA</v>
      </c>
      <c r="BI354" s="136" t="str">
        <f>IF(AI347="","",IF(M354="","",M354))</f>
        <v>AL</v>
      </c>
      <c r="BJ354" s="136" t="str">
        <f>IF(AI347="","",IF(N354="","",N354))</f>
        <v>HS</v>
      </c>
      <c r="BK354" s="136" t="str">
        <f>IF(AI347="","",IF(O354="","",O354))</f>
        <v>-</v>
      </c>
      <c r="CA354" s="136">
        <f>'INFO BASE'!L424</f>
        <v>0</v>
      </c>
      <c r="CB354" s="136">
        <f>'INFO BASE'!M424</f>
        <v>0</v>
      </c>
      <c r="CR354" s="177" t="str">
        <f t="shared" si="207"/>
        <v>HS</v>
      </c>
      <c r="CS354" s="177" t="str">
        <f t="shared" si="208"/>
        <v>HS-</v>
      </c>
      <c r="CT354" s="177" t="str">
        <f t="shared" si="207"/>
        <v>HS</v>
      </c>
      <c r="CU354" s="177" t="str">
        <f t="shared" si="209"/>
        <v>HS-</v>
      </c>
      <c r="CV354" s="177" t="str">
        <f t="shared" si="207"/>
        <v>HS</v>
      </c>
      <c r="CW354" s="177" t="str">
        <f t="shared" si="210"/>
        <v>HS-</v>
      </c>
      <c r="CX354" s="177" t="str">
        <f t="shared" si="207"/>
        <v>HS</v>
      </c>
      <c r="CY354" s="177" t="str">
        <f t="shared" si="211"/>
        <v>HS-</v>
      </c>
      <c r="CZ354" s="177" t="str">
        <f t="shared" si="207"/>
        <v>HS</v>
      </c>
      <c r="DA354" s="177" t="str">
        <f t="shared" si="212"/>
        <v>HS-</v>
      </c>
      <c r="DB354" s="177" t="str">
        <f t="shared" si="207"/>
        <v>EA</v>
      </c>
      <c r="DC354" s="177" t="str">
        <f t="shared" si="213"/>
        <v>EAAL</v>
      </c>
      <c r="DD354" s="177" t="str">
        <f t="shared" si="214"/>
        <v>HS</v>
      </c>
      <c r="DE354" s="177" t="str">
        <f t="shared" si="215"/>
        <v>HS-</v>
      </c>
    </row>
    <row r="355" spans="1:109" ht="18" customHeight="1" x14ac:dyDescent="0.3">
      <c r="A355" s="81">
        <v>8.3333333333335993E-2</v>
      </c>
      <c r="B355" s="166" t="s">
        <v>10</v>
      </c>
      <c r="C355" s="130" t="s">
        <v>120</v>
      </c>
      <c r="D355" s="169" t="s">
        <v>10</v>
      </c>
      <c r="E355" s="130" t="s">
        <v>120</v>
      </c>
      <c r="F355" s="169" t="s">
        <v>10</v>
      </c>
      <c r="G355" s="130" t="s">
        <v>120</v>
      </c>
      <c r="H355" s="169" t="s">
        <v>10</v>
      </c>
      <c r="I355" s="130" t="s">
        <v>120</v>
      </c>
      <c r="J355" s="169" t="s">
        <v>10</v>
      </c>
      <c r="K355" s="130" t="s">
        <v>120</v>
      </c>
      <c r="L355" s="169" t="s">
        <v>10</v>
      </c>
      <c r="M355" s="130" t="s">
        <v>120</v>
      </c>
      <c r="N355" s="169" t="s">
        <v>10</v>
      </c>
      <c r="O355" s="154" t="s">
        <v>120</v>
      </c>
      <c r="Q355" s="284"/>
      <c r="R355" s="285"/>
      <c r="S355" s="285"/>
      <c r="T355" s="285"/>
      <c r="U355" s="285"/>
      <c r="V355" s="285"/>
      <c r="W355" s="286"/>
      <c r="X355" s="199">
        <v>1</v>
      </c>
      <c r="Y355" s="262" t="str">
        <f t="array" ref="Y355">IF(ISERROR(INDEX($CA$2:$CB$200,SMALL(IF($CA$2:$CA$200=$A$346,ROW($CA$2:$CA$200)),ROW(5:5))-1,2)),"",INDEX($CA$2:$CB$200,SMALL(IF($CA$2:$CA$200=$A$346,ROW($CA$2:$CA$200)),ROW(5:5))-1,2))</f>
        <v/>
      </c>
      <c r="Z355" s="263"/>
      <c r="AA355" s="263"/>
      <c r="AB355" s="263"/>
      <c r="AC355" s="263"/>
      <c r="AD355" s="263"/>
      <c r="AE355" s="263"/>
      <c r="AF355" s="264"/>
      <c r="AH355" s="136">
        <v>8.3333333333335993E-2</v>
      </c>
      <c r="AI355" s="136" t="s">
        <v>10</v>
      </c>
      <c r="AJ355" s="136" t="s">
        <v>120</v>
      </c>
      <c r="AK355" s="136" t="s">
        <v>10</v>
      </c>
      <c r="AL355" s="136" t="s">
        <v>120</v>
      </c>
      <c r="AM355" s="136" t="s">
        <v>10</v>
      </c>
      <c r="AN355" s="136" t="s">
        <v>120</v>
      </c>
      <c r="AO355" s="136" t="s">
        <v>10</v>
      </c>
      <c r="AP355" s="136" t="s">
        <v>120</v>
      </c>
      <c r="AQ355" s="136" t="s">
        <v>10</v>
      </c>
      <c r="AR355" s="136" t="s">
        <v>120</v>
      </c>
      <c r="AS355" s="136" t="s">
        <v>10</v>
      </c>
      <c r="AT355" s="136" t="s">
        <v>120</v>
      </c>
      <c r="AU355" s="136" t="s">
        <v>10</v>
      </c>
      <c r="AV355" s="136" t="s">
        <v>120</v>
      </c>
      <c r="AX355" s="136" t="str">
        <f>IF(AI347="","",IF(B355="","",B355))</f>
        <v>HS</v>
      </c>
      <c r="AY355" s="136" t="str">
        <f>IF(AI347="","",IF(C355="","",C355))</f>
        <v>-</v>
      </c>
      <c r="AZ355" s="136" t="str">
        <f>IF(AI347="","",IF(D355="","",D355))</f>
        <v>HS</v>
      </c>
      <c r="BA355" s="136" t="str">
        <f>IF(AI347="","",IF(E355="","",E355))</f>
        <v>-</v>
      </c>
      <c r="BB355" s="136" t="str">
        <f>IF(AI347="","",IF(F355="","",F355))</f>
        <v>HS</v>
      </c>
      <c r="BC355" s="136" t="str">
        <f>IF(AI347="","",IF(G355="","",G355))</f>
        <v>-</v>
      </c>
      <c r="BD355" s="136" t="str">
        <f>IF(AI347="","",IF(H355="","",H355))</f>
        <v>HS</v>
      </c>
      <c r="BE355" s="136" t="str">
        <f>IF(AI347="","",IF(I355="","",I355))</f>
        <v>-</v>
      </c>
      <c r="BF355" s="136" t="str">
        <f>IF(AI347="","",IF(J355="","",J355))</f>
        <v>HS</v>
      </c>
      <c r="BG355" s="136" t="str">
        <f>IF(AI347="","",IF(K355="","",K355))</f>
        <v>-</v>
      </c>
      <c r="BH355" s="136" t="str">
        <f>IF(AI347="","",IF(L355="","",L355))</f>
        <v>HS</v>
      </c>
      <c r="BI355" s="136" t="str">
        <f>IF(AI347="","",IF(M355="","",M355))</f>
        <v>-</v>
      </c>
      <c r="BJ355" s="136" t="str">
        <f>IF(AI347="","",IF(N355="","",N355))</f>
        <v>HS</v>
      </c>
      <c r="BK355" s="136" t="str">
        <f>IF(AI347="","",IF(O355="","",O355))</f>
        <v>-</v>
      </c>
      <c r="CA355" s="136">
        <f>'INFO BASE'!L425</f>
        <v>0</v>
      </c>
      <c r="CB355" s="136">
        <f>'INFO BASE'!M425</f>
        <v>0</v>
      </c>
      <c r="CD355" s="136" t="str">
        <f t="shared" ref="CD355:CD360" si="216">R363</f>
        <v>FP</v>
      </c>
      <c r="CR355" s="177" t="str">
        <f t="shared" si="207"/>
        <v>HS</v>
      </c>
      <c r="CS355" s="177" t="str">
        <f t="shared" si="208"/>
        <v>HS-</v>
      </c>
      <c r="CT355" s="177" t="str">
        <f t="shared" si="207"/>
        <v>HS</v>
      </c>
      <c r="CU355" s="177" t="str">
        <f t="shared" si="209"/>
        <v>HS-</v>
      </c>
      <c r="CV355" s="177" t="str">
        <f t="shared" si="207"/>
        <v>HS</v>
      </c>
      <c r="CW355" s="177" t="str">
        <f t="shared" si="210"/>
        <v>HS-</v>
      </c>
      <c r="CX355" s="177" t="str">
        <f t="shared" si="207"/>
        <v>HS</v>
      </c>
      <c r="CY355" s="177" t="str">
        <f t="shared" si="211"/>
        <v>HS-</v>
      </c>
      <c r="CZ355" s="177" t="str">
        <f t="shared" si="207"/>
        <v>HS</v>
      </c>
      <c r="DA355" s="177" t="str">
        <f t="shared" si="212"/>
        <v>HS-</v>
      </c>
      <c r="DB355" s="177" t="str">
        <f t="shared" si="207"/>
        <v>HS</v>
      </c>
      <c r="DC355" s="177" t="str">
        <f t="shared" si="213"/>
        <v>HS-</v>
      </c>
      <c r="DD355" s="177" t="str">
        <f t="shared" si="214"/>
        <v>HS</v>
      </c>
      <c r="DE355" s="177" t="str">
        <f t="shared" si="215"/>
        <v>HS-</v>
      </c>
    </row>
    <row r="356" spans="1:109" ht="18" customHeight="1" x14ac:dyDescent="0.3">
      <c r="A356" s="81">
        <v>0.10416666666667</v>
      </c>
      <c r="B356" s="166" t="s">
        <v>10</v>
      </c>
      <c r="C356" s="130" t="s">
        <v>120</v>
      </c>
      <c r="D356" s="169" t="s">
        <v>10</v>
      </c>
      <c r="E356" s="130" t="s">
        <v>120</v>
      </c>
      <c r="F356" s="169" t="s">
        <v>10</v>
      </c>
      <c r="G356" s="130" t="s">
        <v>120</v>
      </c>
      <c r="H356" s="169" t="s">
        <v>10</v>
      </c>
      <c r="I356" s="130" t="s">
        <v>120</v>
      </c>
      <c r="J356" s="169" t="s">
        <v>10</v>
      </c>
      <c r="K356" s="130" t="s">
        <v>120</v>
      </c>
      <c r="L356" s="169" t="s">
        <v>10</v>
      </c>
      <c r="M356" s="130" t="s">
        <v>120</v>
      </c>
      <c r="N356" s="169" t="s">
        <v>10</v>
      </c>
      <c r="O356" s="154" t="s">
        <v>120</v>
      </c>
      <c r="Q356" s="284"/>
      <c r="R356" s="285"/>
      <c r="S356" s="285"/>
      <c r="T356" s="285"/>
      <c r="U356" s="285"/>
      <c r="V356" s="285"/>
      <c r="W356" s="286"/>
      <c r="X356" s="199">
        <v>1</v>
      </c>
      <c r="Y356" s="262" t="str">
        <f t="array" ref="Y356">IF(ISERROR(INDEX($CA$2:$CB$200,SMALL(IF($CA$2:$CA$200=$A$346,ROW($CA$2:$CA$200)),ROW(6:6))-1,2)),"",INDEX($CA$2:$CB$200,SMALL(IF($CA$2:$CA$200=$A$346,ROW($CA$2:$CA$200)),ROW(6:6))-1,2))</f>
        <v/>
      </c>
      <c r="Z356" s="263"/>
      <c r="AA356" s="263"/>
      <c r="AB356" s="263"/>
      <c r="AC356" s="263"/>
      <c r="AD356" s="263"/>
      <c r="AE356" s="263"/>
      <c r="AF356" s="264"/>
      <c r="AH356" s="136">
        <v>0.10416666666667</v>
      </c>
      <c r="AI356" s="136" t="s">
        <v>10</v>
      </c>
      <c r="AJ356" s="136" t="s">
        <v>120</v>
      </c>
      <c r="AK356" s="136" t="s">
        <v>10</v>
      </c>
      <c r="AL356" s="136" t="s">
        <v>120</v>
      </c>
      <c r="AM356" s="136" t="s">
        <v>10</v>
      </c>
      <c r="AN356" s="136" t="s">
        <v>120</v>
      </c>
      <c r="AO356" s="136" t="s">
        <v>10</v>
      </c>
      <c r="AP356" s="136" t="s">
        <v>120</v>
      </c>
      <c r="AQ356" s="136" t="s">
        <v>10</v>
      </c>
      <c r="AR356" s="136" t="s">
        <v>120</v>
      </c>
      <c r="AS356" s="136" t="s">
        <v>10</v>
      </c>
      <c r="AT356" s="136" t="s">
        <v>120</v>
      </c>
      <c r="AU356" s="136" t="s">
        <v>10</v>
      </c>
      <c r="AV356" s="136" t="s">
        <v>120</v>
      </c>
      <c r="AX356" s="136" t="str">
        <f>IF(AI347="","",IF(B356="","",B356))</f>
        <v>HS</v>
      </c>
      <c r="AY356" s="136" t="str">
        <f>IF(AI347="","",IF(C356="","",C356))</f>
        <v>-</v>
      </c>
      <c r="AZ356" s="136" t="str">
        <f>IF(AI347="","",IF(D356="","",D356))</f>
        <v>HS</v>
      </c>
      <c r="BA356" s="136" t="str">
        <f>IF(AI347="","",IF(E356="","",E356))</f>
        <v>-</v>
      </c>
      <c r="BB356" s="136" t="str">
        <f>IF(AI347="","",IF(F356="","",F356))</f>
        <v>HS</v>
      </c>
      <c r="BC356" s="136" t="str">
        <f>IF(AI347="","",IF(G356="","",G356))</f>
        <v>-</v>
      </c>
      <c r="BD356" s="136" t="str">
        <f>IF(AI347="","",IF(H356="","",H356))</f>
        <v>HS</v>
      </c>
      <c r="BE356" s="136" t="str">
        <f>IF(AI347="","",IF(I356="","",I356))</f>
        <v>-</v>
      </c>
      <c r="BF356" s="136" t="str">
        <f>IF(AI347="","",IF(J356="","",J356))</f>
        <v>HS</v>
      </c>
      <c r="BG356" s="136" t="str">
        <f>IF(AI347="","",IF(K356="","",K356))</f>
        <v>-</v>
      </c>
      <c r="BH356" s="136" t="str">
        <f>IF(AI347="","",IF(L356="","",L356))</f>
        <v>HS</v>
      </c>
      <c r="BI356" s="136" t="str">
        <f>IF(AI347="","",IF(M356="","",M356))</f>
        <v>-</v>
      </c>
      <c r="BJ356" s="136" t="str">
        <f>IF(AI347="","",IF(N356="","",N356))</f>
        <v>HS</v>
      </c>
      <c r="BK356" s="136" t="str">
        <f>IF(AI347="","",IF(O356="","",O356))</f>
        <v>-</v>
      </c>
      <c r="CA356" s="136">
        <f>'INFO BASE'!L436</f>
        <v>0</v>
      </c>
      <c r="CB356" s="136">
        <f>'INFO BASE'!M436</f>
        <v>0</v>
      </c>
      <c r="CD356" s="136" t="str">
        <f t="shared" si="216"/>
        <v>IEI</v>
      </c>
      <c r="CR356" s="177" t="str">
        <f t="shared" si="207"/>
        <v>HS</v>
      </c>
      <c r="CS356" s="177" t="str">
        <f t="shared" si="208"/>
        <v>HS-</v>
      </c>
      <c r="CT356" s="177" t="str">
        <f t="shared" si="207"/>
        <v>HS</v>
      </c>
      <c r="CU356" s="177" t="str">
        <f t="shared" si="209"/>
        <v>HS-</v>
      </c>
      <c r="CV356" s="177" t="str">
        <f t="shared" si="207"/>
        <v>HS</v>
      </c>
      <c r="CW356" s="177" t="str">
        <f t="shared" si="210"/>
        <v>HS-</v>
      </c>
      <c r="CX356" s="177" t="str">
        <f t="shared" si="207"/>
        <v>HS</v>
      </c>
      <c r="CY356" s="177" t="str">
        <f t="shared" si="211"/>
        <v>HS-</v>
      </c>
      <c r="CZ356" s="177" t="str">
        <f t="shared" si="207"/>
        <v>HS</v>
      </c>
      <c r="DA356" s="177" t="str">
        <f t="shared" si="212"/>
        <v>HS-</v>
      </c>
      <c r="DB356" s="177" t="str">
        <f t="shared" si="207"/>
        <v>HS</v>
      </c>
      <c r="DC356" s="177" t="str">
        <f t="shared" si="213"/>
        <v>HS-</v>
      </c>
      <c r="DD356" s="177" t="str">
        <f t="shared" si="214"/>
        <v>HS</v>
      </c>
      <c r="DE356" s="177" t="str">
        <f t="shared" si="215"/>
        <v>HS-</v>
      </c>
    </row>
    <row r="357" spans="1:109" ht="18" customHeight="1" x14ac:dyDescent="0.3">
      <c r="A357" s="81">
        <v>0.125000000000004</v>
      </c>
      <c r="B357" s="166" t="s">
        <v>10</v>
      </c>
      <c r="C357" s="130" t="s">
        <v>120</v>
      </c>
      <c r="D357" s="169" t="s">
        <v>10</v>
      </c>
      <c r="E357" s="130" t="s">
        <v>120</v>
      </c>
      <c r="F357" s="169" t="s">
        <v>10</v>
      </c>
      <c r="G357" s="130" t="s">
        <v>120</v>
      </c>
      <c r="H357" s="169" t="s">
        <v>10</v>
      </c>
      <c r="I357" s="130" t="s">
        <v>120</v>
      </c>
      <c r="J357" s="169" t="s">
        <v>10</v>
      </c>
      <c r="K357" s="130" t="s">
        <v>120</v>
      </c>
      <c r="L357" s="169" t="s">
        <v>10</v>
      </c>
      <c r="M357" s="130" t="s">
        <v>120</v>
      </c>
      <c r="N357" s="169" t="s">
        <v>10</v>
      </c>
      <c r="O357" s="154" t="s">
        <v>120</v>
      </c>
      <c r="Q357" s="284"/>
      <c r="R357" s="285"/>
      <c r="S357" s="285"/>
      <c r="T357" s="285"/>
      <c r="U357" s="285"/>
      <c r="V357" s="285"/>
      <c r="W357" s="286"/>
      <c r="X357" s="199">
        <v>1</v>
      </c>
      <c r="Y357" s="262" t="str">
        <f t="array" ref="Y357">IF(ISERROR(INDEX($CA$2:$CB$200,SMALL(IF($CA$2:$CA$200=$A$346,ROW($CA$2:$CA$200)),ROW(7:7))-1,2)),"",INDEX($CA$2:$CB$200,SMALL(IF($CA$2:$CA$200=$A$346,ROW($CA$2:$CA$200)),ROW(7:7))-1,2))</f>
        <v/>
      </c>
      <c r="Z357" s="263"/>
      <c r="AA357" s="263"/>
      <c r="AB357" s="263"/>
      <c r="AC357" s="263"/>
      <c r="AD357" s="263"/>
      <c r="AE357" s="263"/>
      <c r="AF357" s="264"/>
      <c r="AH357" s="136">
        <v>0.125000000000004</v>
      </c>
      <c r="AI357" s="136" t="s">
        <v>10</v>
      </c>
      <c r="AJ357" s="136" t="s">
        <v>120</v>
      </c>
      <c r="AK357" s="136" t="s">
        <v>10</v>
      </c>
      <c r="AL357" s="136" t="s">
        <v>120</v>
      </c>
      <c r="AM357" s="136" t="s">
        <v>10</v>
      </c>
      <c r="AN357" s="136" t="s">
        <v>120</v>
      </c>
      <c r="AO357" s="136" t="s">
        <v>10</v>
      </c>
      <c r="AP357" s="136" t="s">
        <v>120</v>
      </c>
      <c r="AQ357" s="136" t="s">
        <v>10</v>
      </c>
      <c r="AR357" s="136" t="s">
        <v>120</v>
      </c>
      <c r="AS357" s="136" t="s">
        <v>10</v>
      </c>
      <c r="AT357" s="136" t="s">
        <v>120</v>
      </c>
      <c r="AU357" s="136" t="s">
        <v>10</v>
      </c>
      <c r="AV357" s="136" t="s">
        <v>120</v>
      </c>
      <c r="AX357" s="136" t="str">
        <f>IF(AI347="","",IF(B357="","",B357))</f>
        <v>HS</v>
      </c>
      <c r="AY357" s="136" t="str">
        <f>IF(AI347="","",IF(C357="","",C357))</f>
        <v>-</v>
      </c>
      <c r="AZ357" s="136" t="str">
        <f>IF(AI347="","",IF(D357="","",D357))</f>
        <v>HS</v>
      </c>
      <c r="BA357" s="136" t="str">
        <f>IF(AI347="","",IF(E357="","",E357))</f>
        <v>-</v>
      </c>
      <c r="BB357" s="136" t="str">
        <f>IF(AI347="","",IF(F357="","",F357))</f>
        <v>HS</v>
      </c>
      <c r="BC357" s="136" t="str">
        <f>IF(AI347="","",IF(G357="","",G357))</f>
        <v>-</v>
      </c>
      <c r="BD357" s="136" t="str">
        <f>IF(AI347="","",IF(H357="","",H357))</f>
        <v>HS</v>
      </c>
      <c r="BE357" s="136" t="str">
        <f>IF(AI347="","",IF(I357="","",I357))</f>
        <v>-</v>
      </c>
      <c r="BF357" s="136" t="str">
        <f>IF(AI347="","",IF(J357="","",J357))</f>
        <v>HS</v>
      </c>
      <c r="BG357" s="136" t="str">
        <f>IF(AI347="","",IF(K357="","",K357))</f>
        <v>-</v>
      </c>
      <c r="BH357" s="136" t="str">
        <f>IF(AI347="","",IF(L357="","",L357))</f>
        <v>HS</v>
      </c>
      <c r="BI357" s="136" t="str">
        <f>IF(AI347="","",IF(M357="","",M357))</f>
        <v>-</v>
      </c>
      <c r="BJ357" s="136" t="str">
        <f>IF(AI347="","",IF(N357="","",N357))</f>
        <v>HS</v>
      </c>
      <c r="BK357" s="136" t="str">
        <f>IF(AI347="","",IF(O357="","",O357))</f>
        <v>-</v>
      </c>
      <c r="CA357" s="136">
        <f>'INFO BASE'!L437</f>
        <v>0</v>
      </c>
      <c r="CB357" s="136">
        <f>'INFO BASE'!M437</f>
        <v>0</v>
      </c>
      <c r="CD357" s="136" t="str">
        <f t="shared" si="216"/>
        <v>IAC</v>
      </c>
      <c r="CR357" s="177" t="str">
        <f t="shared" si="207"/>
        <v>HS</v>
      </c>
      <c r="CS357" s="177" t="str">
        <f t="shared" si="208"/>
        <v>HS-</v>
      </c>
      <c r="CT357" s="177" t="str">
        <f t="shared" si="207"/>
        <v>HS</v>
      </c>
      <c r="CU357" s="177" t="str">
        <f t="shared" si="209"/>
        <v>HS-</v>
      </c>
      <c r="CV357" s="177" t="str">
        <f t="shared" si="207"/>
        <v>HS</v>
      </c>
      <c r="CW357" s="177" t="str">
        <f t="shared" si="210"/>
        <v>HS-</v>
      </c>
      <c r="CX357" s="177" t="str">
        <f t="shared" si="207"/>
        <v>HS</v>
      </c>
      <c r="CY357" s="177" t="str">
        <f t="shared" si="211"/>
        <v>HS-</v>
      </c>
      <c r="CZ357" s="177" t="str">
        <f t="shared" si="207"/>
        <v>HS</v>
      </c>
      <c r="DA357" s="177" t="str">
        <f t="shared" si="212"/>
        <v>HS-</v>
      </c>
      <c r="DB357" s="177" t="str">
        <f t="shared" si="207"/>
        <v>HS</v>
      </c>
      <c r="DC357" s="177" t="str">
        <f t="shared" si="213"/>
        <v>HS-</v>
      </c>
      <c r="DD357" s="177" t="str">
        <f t="shared" si="214"/>
        <v>HS</v>
      </c>
      <c r="DE357" s="177" t="str">
        <f t="shared" si="215"/>
        <v>HS-</v>
      </c>
    </row>
    <row r="358" spans="1:109" ht="18" customHeight="1" thickBot="1" x14ac:dyDescent="0.35">
      <c r="A358" s="81">
        <v>0.14583333333333801</v>
      </c>
      <c r="B358" s="166" t="s">
        <v>10</v>
      </c>
      <c r="C358" s="130" t="s">
        <v>120</v>
      </c>
      <c r="D358" s="169" t="s">
        <v>10</v>
      </c>
      <c r="E358" s="130" t="s">
        <v>120</v>
      </c>
      <c r="F358" s="169" t="s">
        <v>10</v>
      </c>
      <c r="G358" s="130" t="s">
        <v>120</v>
      </c>
      <c r="H358" s="169" t="s">
        <v>10</v>
      </c>
      <c r="I358" s="130" t="s">
        <v>120</v>
      </c>
      <c r="J358" s="169" t="s">
        <v>10</v>
      </c>
      <c r="K358" s="130" t="s">
        <v>120</v>
      </c>
      <c r="L358" s="169" t="s">
        <v>10</v>
      </c>
      <c r="M358" s="130" t="s">
        <v>120</v>
      </c>
      <c r="N358" s="169" t="s">
        <v>10</v>
      </c>
      <c r="O358" s="154" t="s">
        <v>120</v>
      </c>
      <c r="Q358" s="287"/>
      <c r="R358" s="288"/>
      <c r="S358" s="288"/>
      <c r="T358" s="288"/>
      <c r="U358" s="288"/>
      <c r="V358" s="288"/>
      <c r="W358" s="289"/>
      <c r="X358" s="199">
        <v>1</v>
      </c>
      <c r="Y358" s="265" t="str">
        <f t="array" ref="Y358">IF(ISERROR(INDEX($CA$2:$CB$200,SMALL(IF($CA$2:$CA$200=$A$346,ROW($CA$2:$CA$200)),ROW(8:8))-1,2)),"",INDEX($CA$2:$CB$200,SMALL(IF($CA$2:$CA$200=$A$346,ROW($CA$2:$CA$200)),ROW(8:8))-1,2))</f>
        <v/>
      </c>
      <c r="Z358" s="266"/>
      <c r="AA358" s="266"/>
      <c r="AB358" s="266"/>
      <c r="AC358" s="266"/>
      <c r="AD358" s="266"/>
      <c r="AE358" s="266"/>
      <c r="AF358" s="267"/>
      <c r="AH358" s="136">
        <v>0.14583333333333801</v>
      </c>
      <c r="AI358" s="136" t="s">
        <v>10</v>
      </c>
      <c r="AJ358" s="136" t="s">
        <v>120</v>
      </c>
      <c r="AK358" s="136" t="s">
        <v>10</v>
      </c>
      <c r="AL358" s="136" t="s">
        <v>120</v>
      </c>
      <c r="AM358" s="136" t="s">
        <v>10</v>
      </c>
      <c r="AN358" s="136" t="s">
        <v>120</v>
      </c>
      <c r="AO358" s="136" t="s">
        <v>10</v>
      </c>
      <c r="AP358" s="136" t="s">
        <v>120</v>
      </c>
      <c r="AQ358" s="136" t="s">
        <v>10</v>
      </c>
      <c r="AR358" s="136" t="s">
        <v>120</v>
      </c>
      <c r="AS358" s="136" t="s">
        <v>10</v>
      </c>
      <c r="AT358" s="136" t="s">
        <v>120</v>
      </c>
      <c r="AU358" s="136" t="s">
        <v>10</v>
      </c>
      <c r="AV358" s="136" t="s">
        <v>120</v>
      </c>
      <c r="AX358" s="136" t="str">
        <f>IF(AI347="","",IF(B358="","",B358))</f>
        <v>HS</v>
      </c>
      <c r="AY358" s="136" t="str">
        <f>IF(AI347="","",IF(C358="","",C358))</f>
        <v>-</v>
      </c>
      <c r="AZ358" s="136" t="str">
        <f>IF(AI347="","",IF(D358="","",D358))</f>
        <v>HS</v>
      </c>
      <c r="BA358" s="136" t="str">
        <f>IF(AI347="","",IF(E358="","",E358))</f>
        <v>-</v>
      </c>
      <c r="BB358" s="136" t="str">
        <f>IF(AI347="","",IF(F358="","",F358))</f>
        <v>HS</v>
      </c>
      <c r="BC358" s="136" t="str">
        <f>IF(AI347="","",IF(G358="","",G358))</f>
        <v>-</v>
      </c>
      <c r="BD358" s="136" t="str">
        <f>IF(AI347="","",IF(H358="","",H358))</f>
        <v>HS</v>
      </c>
      <c r="BE358" s="136" t="str">
        <f>IF(AI347="","",IF(I358="","",I358))</f>
        <v>-</v>
      </c>
      <c r="BF358" s="136" t="str">
        <f>IF(AI347="","",IF(J358="","",J358))</f>
        <v>HS</v>
      </c>
      <c r="BG358" s="136" t="str">
        <f>IF(AI347="","",IF(K358="","",K358))</f>
        <v>-</v>
      </c>
      <c r="BH358" s="136" t="str">
        <f>IF(AI347="","",IF(L358="","",L358))</f>
        <v>HS</v>
      </c>
      <c r="BI358" s="136" t="str">
        <f>IF(AI347="","",IF(M358="","",M358))</f>
        <v>-</v>
      </c>
      <c r="BJ358" s="136" t="str">
        <f>IF(AI347="","",IF(N358="","",N358))</f>
        <v>HS</v>
      </c>
      <c r="BK358" s="136" t="str">
        <f>IF(AI347="","",IF(O358="","",O358))</f>
        <v>-</v>
      </c>
      <c r="CA358" s="136">
        <f>'INFO BASE'!L438</f>
        <v>0</v>
      </c>
      <c r="CB358" s="136">
        <f>'INFO BASE'!M438</f>
        <v>0</v>
      </c>
      <c r="CD358" s="136" t="str">
        <f t="shared" si="216"/>
        <v>AL</v>
      </c>
      <c r="CR358" s="177" t="str">
        <f t="shared" si="207"/>
        <v>HS</v>
      </c>
      <c r="CS358" s="177" t="str">
        <f t="shared" si="208"/>
        <v>HS-</v>
      </c>
      <c r="CT358" s="177" t="str">
        <f t="shared" si="207"/>
        <v>HS</v>
      </c>
      <c r="CU358" s="177" t="str">
        <f t="shared" si="209"/>
        <v>HS-</v>
      </c>
      <c r="CV358" s="177" t="str">
        <f t="shared" si="207"/>
        <v>HS</v>
      </c>
      <c r="CW358" s="177" t="str">
        <f t="shared" si="210"/>
        <v>HS-</v>
      </c>
      <c r="CX358" s="177" t="str">
        <f t="shared" si="207"/>
        <v>HS</v>
      </c>
      <c r="CY358" s="177" t="str">
        <f t="shared" si="211"/>
        <v>HS-</v>
      </c>
      <c r="CZ358" s="177" t="str">
        <f t="shared" si="207"/>
        <v>HS</v>
      </c>
      <c r="DA358" s="177" t="str">
        <f t="shared" si="212"/>
        <v>HS-</v>
      </c>
      <c r="DB358" s="177" t="str">
        <f t="shared" si="207"/>
        <v>HS</v>
      </c>
      <c r="DC358" s="177" t="str">
        <f t="shared" si="213"/>
        <v>HS-</v>
      </c>
      <c r="DD358" s="177" t="str">
        <f t="shared" si="214"/>
        <v>HS</v>
      </c>
      <c r="DE358" s="177" t="str">
        <f t="shared" si="215"/>
        <v>HS-</v>
      </c>
    </row>
    <row r="359" spans="1:109" ht="18" customHeight="1" thickBot="1" x14ac:dyDescent="0.35">
      <c r="A359" s="81">
        <v>0.16666666666667199</v>
      </c>
      <c r="B359" s="166" t="s">
        <v>10</v>
      </c>
      <c r="C359" s="130" t="s">
        <v>120</v>
      </c>
      <c r="D359" s="169" t="s">
        <v>10</v>
      </c>
      <c r="E359" s="130" t="s">
        <v>120</v>
      </c>
      <c r="F359" s="169" t="s">
        <v>10</v>
      </c>
      <c r="G359" s="130" t="s">
        <v>120</v>
      </c>
      <c r="H359" s="169" t="s">
        <v>10</v>
      </c>
      <c r="I359" s="130" t="s">
        <v>120</v>
      </c>
      <c r="J359" s="169" t="s">
        <v>10</v>
      </c>
      <c r="K359" s="130" t="s">
        <v>120</v>
      </c>
      <c r="L359" s="169" t="s">
        <v>10</v>
      </c>
      <c r="M359" s="130" t="s">
        <v>120</v>
      </c>
      <c r="N359" s="169" t="s">
        <v>10</v>
      </c>
      <c r="O359" s="154" t="s">
        <v>120</v>
      </c>
      <c r="Q359" s="63"/>
      <c r="R359" s="64"/>
      <c r="S359" s="65"/>
      <c r="T359" s="65"/>
      <c r="U359" s="65"/>
      <c r="V359" s="65"/>
      <c r="W359" s="65"/>
      <c r="X359" s="199">
        <v>1</v>
      </c>
      <c r="Y359" s="59"/>
      <c r="Z359" s="59"/>
      <c r="AA359" s="59"/>
      <c r="AB359" s="59"/>
      <c r="AC359" s="59"/>
      <c r="AD359" s="59"/>
      <c r="AE359" s="59"/>
      <c r="AF359" s="59"/>
      <c r="AH359" s="136">
        <v>0.16666666666667199</v>
      </c>
      <c r="AI359" s="136" t="s">
        <v>10</v>
      </c>
      <c r="AJ359" s="136" t="s">
        <v>120</v>
      </c>
      <c r="AK359" s="136" t="s">
        <v>10</v>
      </c>
      <c r="AL359" s="136" t="s">
        <v>120</v>
      </c>
      <c r="AM359" s="136" t="s">
        <v>10</v>
      </c>
      <c r="AN359" s="136" t="s">
        <v>120</v>
      </c>
      <c r="AO359" s="136" t="s">
        <v>10</v>
      </c>
      <c r="AP359" s="136" t="s">
        <v>120</v>
      </c>
      <c r="AQ359" s="136" t="s">
        <v>10</v>
      </c>
      <c r="AR359" s="136" t="s">
        <v>120</v>
      </c>
      <c r="AS359" s="136" t="s">
        <v>10</v>
      </c>
      <c r="AT359" s="136" t="s">
        <v>120</v>
      </c>
      <c r="AU359" s="136" t="s">
        <v>10</v>
      </c>
      <c r="AV359" s="136" t="s">
        <v>120</v>
      </c>
      <c r="AX359" s="136" t="str">
        <f>IF(AI347="","",IF(B359="","",B359))</f>
        <v>HS</v>
      </c>
      <c r="AY359" s="136" t="str">
        <f>IF(AI347="","",IF(C359="","",C359))</f>
        <v>-</v>
      </c>
      <c r="AZ359" s="136" t="str">
        <f>IF(AI347="","",IF(D359="","",D359))</f>
        <v>HS</v>
      </c>
      <c r="BA359" s="136" t="str">
        <f>IF(AI347="","",IF(E359="","",E359))</f>
        <v>-</v>
      </c>
      <c r="BB359" s="136" t="str">
        <f>IF(AI347="","",IF(F359="","",F359))</f>
        <v>HS</v>
      </c>
      <c r="BC359" s="136" t="str">
        <f>IF(AI347="","",IF(G359="","",G359))</f>
        <v>-</v>
      </c>
      <c r="BD359" s="136" t="str">
        <f>IF(AI347="","",IF(H359="","",H359))</f>
        <v>HS</v>
      </c>
      <c r="BE359" s="136" t="str">
        <f>IF(AI347="","",IF(I359="","",I359))</f>
        <v>-</v>
      </c>
      <c r="BF359" s="136" t="str">
        <f>IF(AI347="","",IF(J359="","",J359))</f>
        <v>HS</v>
      </c>
      <c r="BG359" s="136" t="str">
        <f>IF(AI347="","",IF(K359="","",K359))</f>
        <v>-</v>
      </c>
      <c r="BH359" s="136" t="str">
        <f>IF(AI347="","",IF(L359="","",L359))</f>
        <v>HS</v>
      </c>
      <c r="BI359" s="136" t="str">
        <f>IF(AI347="","",IF(M359="","",M359))</f>
        <v>-</v>
      </c>
      <c r="BJ359" s="136" t="str">
        <f>IF(AI347="","",IF(N359="","",N359))</f>
        <v>HS</v>
      </c>
      <c r="BK359" s="136" t="str">
        <f>IF(AI347="","",IF(O359="","",O359))</f>
        <v>-</v>
      </c>
      <c r="BM359" s="136" t="str">
        <f>BO359</f>
        <v>EA</v>
      </c>
      <c r="BN359" s="136" t="str">
        <f t="shared" ref="BN359:BO395" si="217">Q362</f>
        <v>Estudo Autónomo</v>
      </c>
      <c r="BO359" s="136" t="str">
        <f t="shared" si="217"/>
        <v>EA</v>
      </c>
      <c r="BP359" s="136">
        <f>COUNTIFS(AX351:BK398,BO359)*0.5</f>
        <v>10.5</v>
      </c>
      <c r="BQ359" s="136" t="str">
        <f t="shared" ref="BQ359:BR395" si="218">BN359</f>
        <v>Estudo Autónomo</v>
      </c>
      <c r="BR359" s="136" t="str">
        <f t="shared" si="218"/>
        <v>EA</v>
      </c>
      <c r="BS359" s="136" t="str">
        <f>BQ359</f>
        <v>Estudo Autónomo</v>
      </c>
      <c r="BT359" s="136">
        <f>SUMIFS(V:V,Q:Q,BQ359,R:R,BR359)</f>
        <v>86.5</v>
      </c>
      <c r="BU359" s="136">
        <f>SUMIFS(BP:BP,BN:BN,BQ359,BO:BO,BR359)</f>
        <v>95.5</v>
      </c>
      <c r="CA359" s="136">
        <f>'INFO BASE'!L439</f>
        <v>0</v>
      </c>
      <c r="CB359" s="136">
        <f>'INFO BASE'!M439</f>
        <v>0</v>
      </c>
      <c r="CD359" s="136" t="str">
        <f t="shared" si="216"/>
        <v>CDI</v>
      </c>
      <c r="CR359" s="177" t="str">
        <f t="shared" si="207"/>
        <v>HS</v>
      </c>
      <c r="CS359" s="177" t="str">
        <f t="shared" si="208"/>
        <v>HS-</v>
      </c>
      <c r="CT359" s="177" t="str">
        <f t="shared" si="207"/>
        <v>HS</v>
      </c>
      <c r="CU359" s="177" t="str">
        <f t="shared" si="209"/>
        <v>HS-</v>
      </c>
      <c r="CV359" s="177" t="str">
        <f t="shared" si="207"/>
        <v>HS</v>
      </c>
      <c r="CW359" s="177" t="str">
        <f t="shared" si="210"/>
        <v>HS-</v>
      </c>
      <c r="CX359" s="177" t="str">
        <f t="shared" si="207"/>
        <v>HS</v>
      </c>
      <c r="CY359" s="177" t="str">
        <f t="shared" si="211"/>
        <v>HS-</v>
      </c>
      <c r="CZ359" s="177" t="str">
        <f t="shared" si="207"/>
        <v>HS</v>
      </c>
      <c r="DA359" s="177" t="str">
        <f t="shared" si="212"/>
        <v>HS-</v>
      </c>
      <c r="DB359" s="177" t="str">
        <f t="shared" si="207"/>
        <v>HS</v>
      </c>
      <c r="DC359" s="177" t="str">
        <f t="shared" si="213"/>
        <v>HS-</v>
      </c>
      <c r="DD359" s="177" t="str">
        <f t="shared" si="214"/>
        <v>HS</v>
      </c>
      <c r="DE359" s="177" t="str">
        <f t="shared" si="215"/>
        <v>HS-</v>
      </c>
    </row>
    <row r="360" spans="1:109" ht="18" customHeight="1" x14ac:dyDescent="0.3">
      <c r="A360" s="81">
        <v>0.187500000000006</v>
      </c>
      <c r="B360" s="166" t="s">
        <v>10</v>
      </c>
      <c r="C360" s="130" t="s">
        <v>120</v>
      </c>
      <c r="D360" s="169" t="s">
        <v>10</v>
      </c>
      <c r="E360" s="130" t="s">
        <v>120</v>
      </c>
      <c r="F360" s="169" t="s">
        <v>10</v>
      </c>
      <c r="G360" s="130" t="s">
        <v>120</v>
      </c>
      <c r="H360" s="169" t="s">
        <v>10</v>
      </c>
      <c r="I360" s="130" t="s">
        <v>120</v>
      </c>
      <c r="J360" s="169" t="s">
        <v>10</v>
      </c>
      <c r="K360" s="130" t="s">
        <v>120</v>
      </c>
      <c r="L360" s="169" t="s">
        <v>10</v>
      </c>
      <c r="M360" s="130" t="s">
        <v>120</v>
      </c>
      <c r="N360" s="169" t="s">
        <v>10</v>
      </c>
      <c r="O360" s="154" t="s">
        <v>120</v>
      </c>
      <c r="Q360" s="294" t="s">
        <v>14</v>
      </c>
      <c r="R360" s="290" t="s">
        <v>88</v>
      </c>
      <c r="S360" s="290" t="s">
        <v>87</v>
      </c>
      <c r="T360" s="290" t="s">
        <v>89</v>
      </c>
      <c r="U360" s="290" t="s">
        <v>41</v>
      </c>
      <c r="V360" s="290" t="s">
        <v>91</v>
      </c>
      <c r="W360" s="292" t="s">
        <v>90</v>
      </c>
      <c r="X360" s="199">
        <v>1</v>
      </c>
      <c r="Y360" s="302" t="s">
        <v>21</v>
      </c>
      <c r="Z360" s="303"/>
      <c r="AA360" s="303"/>
      <c r="AB360" s="303"/>
      <c r="AC360" s="303"/>
      <c r="AD360" s="303"/>
      <c r="AE360" s="303"/>
      <c r="AF360" s="304"/>
      <c r="AH360" s="136">
        <v>0.187500000000006</v>
      </c>
      <c r="AI360" s="136" t="s">
        <v>10</v>
      </c>
      <c r="AJ360" s="136" t="s">
        <v>120</v>
      </c>
      <c r="AK360" s="136" t="s">
        <v>10</v>
      </c>
      <c r="AL360" s="136" t="s">
        <v>120</v>
      </c>
      <c r="AM360" s="136" t="s">
        <v>10</v>
      </c>
      <c r="AN360" s="136" t="s">
        <v>120</v>
      </c>
      <c r="AO360" s="136" t="s">
        <v>10</v>
      </c>
      <c r="AP360" s="136" t="s">
        <v>120</v>
      </c>
      <c r="AQ360" s="136" t="s">
        <v>10</v>
      </c>
      <c r="AR360" s="136" t="s">
        <v>120</v>
      </c>
      <c r="AS360" s="136" t="s">
        <v>10</v>
      </c>
      <c r="AT360" s="136" t="s">
        <v>120</v>
      </c>
      <c r="AU360" s="136" t="s">
        <v>10</v>
      </c>
      <c r="AV360" s="136" t="s">
        <v>120</v>
      </c>
      <c r="AX360" s="136" t="str">
        <f>IF(AI347="","",IF(B360="","",B360))</f>
        <v>HS</v>
      </c>
      <c r="AY360" s="136" t="str">
        <f>IF(AI347="","",IF(C360="","",C360))</f>
        <v>-</v>
      </c>
      <c r="AZ360" s="136" t="str">
        <f>IF(AI347="","",IF(D360="","",D360))</f>
        <v>HS</v>
      </c>
      <c r="BA360" s="136" t="str">
        <f>IF(AI347="","",IF(E360="","",E360))</f>
        <v>-</v>
      </c>
      <c r="BB360" s="136" t="str">
        <f>IF(AI347="","",IF(F360="","",F360))</f>
        <v>HS</v>
      </c>
      <c r="BC360" s="136" t="str">
        <f>IF(AI347="","",IF(G360="","",G360))</f>
        <v>-</v>
      </c>
      <c r="BD360" s="136" t="str">
        <f>IF(AI347="","",IF(H360="","",H360))</f>
        <v>HS</v>
      </c>
      <c r="BE360" s="136" t="str">
        <f>IF(AI347="","",IF(I360="","",I360))</f>
        <v>-</v>
      </c>
      <c r="BF360" s="136" t="str">
        <f>IF(AI347="","",IF(J360="","",J360))</f>
        <v>HS</v>
      </c>
      <c r="BG360" s="136" t="str">
        <f>IF(AI347="","",IF(K360="","",K360))</f>
        <v>-</v>
      </c>
      <c r="BH360" s="136" t="str">
        <f>IF(AI347="","",IF(L360="","",L360))</f>
        <v>HS</v>
      </c>
      <c r="BI360" s="136" t="str">
        <f>IF(AI347="","",IF(M360="","",M360))</f>
        <v>-</v>
      </c>
      <c r="BJ360" s="136" t="str">
        <f>IF(AI347="","",IF(N360="","",N360))</f>
        <v>HS</v>
      </c>
      <c r="BK360" s="136" t="str">
        <f>IF(AI347="","",IF(O360="","",O360))</f>
        <v>-</v>
      </c>
      <c r="BM360" s="136" t="str">
        <f>BM359</f>
        <v>EA</v>
      </c>
      <c r="BN360" s="136" t="str">
        <f t="shared" si="217"/>
        <v>Estudo Autónomo</v>
      </c>
      <c r="BO360" s="136" t="str">
        <f t="shared" si="217"/>
        <v>FP</v>
      </c>
      <c r="BP360" s="136">
        <f>(COUNTIFS(AX351:AX398,BM360,AY351:AY398,BO360)+COUNTIFS(AZ351:AZ398,BM360,BA351:BA398,BO360)+COUNTIFS(BB351:BB398,BM360,BC351:BC398,BO360)+COUNTIFS(BD351:BD398,BM360,BE351:BE398,BO360)+COUNTIFS(BF351:BF398,BM360,BG351:BG398,BO360)+COUNTIFS(BH351:BH398,BM360,BI351:BI398,BO360)+COUNTIFS(BJ351:BJ398,BM360,BK351:BK398,BO360))*0.5</f>
        <v>1.5</v>
      </c>
      <c r="BQ360" s="136" t="str">
        <f t="shared" si="218"/>
        <v>Estudo Autónomo</v>
      </c>
      <c r="BR360" s="136" t="str">
        <f>$R$20</f>
        <v>EA</v>
      </c>
      <c r="BS360" s="136" t="str">
        <f t="shared" ref="BS360:BS395" si="219">BQ360</f>
        <v>Estudo Autónomo</v>
      </c>
      <c r="BT360" s="136">
        <f>SUMIFS(V:V,Q:Q,BQ360,R:R,BR360)</f>
        <v>86.5</v>
      </c>
      <c r="BU360" s="136">
        <f>SUMIFS(BP:BP,BN:BN,BQ360,BO:BO,BR360)</f>
        <v>95.5</v>
      </c>
      <c r="CA360" s="136">
        <f>'INFO BASE'!L440</f>
        <v>0</v>
      </c>
      <c r="CB360" s="136">
        <f>'INFO BASE'!M440</f>
        <v>0</v>
      </c>
      <c r="CD360" s="136" t="str">
        <f t="shared" si="216"/>
        <v/>
      </c>
      <c r="CR360" s="177" t="str">
        <f t="shared" si="207"/>
        <v>HS</v>
      </c>
      <c r="CS360" s="177" t="str">
        <f t="shared" si="208"/>
        <v>HS-</v>
      </c>
      <c r="CT360" s="177" t="str">
        <f t="shared" si="207"/>
        <v>HS</v>
      </c>
      <c r="CU360" s="177" t="str">
        <f t="shared" si="209"/>
        <v>HS-</v>
      </c>
      <c r="CV360" s="177" t="str">
        <f t="shared" si="207"/>
        <v>HS</v>
      </c>
      <c r="CW360" s="177" t="str">
        <f t="shared" si="210"/>
        <v>HS-</v>
      </c>
      <c r="CX360" s="177" t="str">
        <f t="shared" si="207"/>
        <v>HS</v>
      </c>
      <c r="CY360" s="177" t="str">
        <f t="shared" si="211"/>
        <v>HS-</v>
      </c>
      <c r="CZ360" s="177" t="str">
        <f t="shared" si="207"/>
        <v>HS</v>
      </c>
      <c r="DA360" s="177" t="str">
        <f t="shared" si="212"/>
        <v>HS-</v>
      </c>
      <c r="DB360" s="177" t="str">
        <f t="shared" si="207"/>
        <v>HS</v>
      </c>
      <c r="DC360" s="177" t="str">
        <f t="shared" si="213"/>
        <v>HS-</v>
      </c>
      <c r="DD360" s="177" t="str">
        <f t="shared" si="214"/>
        <v>HS</v>
      </c>
      <c r="DE360" s="177" t="str">
        <f t="shared" si="215"/>
        <v>HS-</v>
      </c>
    </row>
    <row r="361" spans="1:109" ht="18" customHeight="1" thickBot="1" x14ac:dyDescent="0.35">
      <c r="A361" s="81">
        <v>0.20833333333334</v>
      </c>
      <c r="B361" s="166" t="s">
        <v>10</v>
      </c>
      <c r="C361" s="130" t="s">
        <v>120</v>
      </c>
      <c r="D361" s="169" t="s">
        <v>10</v>
      </c>
      <c r="E361" s="130" t="s">
        <v>120</v>
      </c>
      <c r="F361" s="169" t="s">
        <v>10</v>
      </c>
      <c r="G361" s="130" t="s">
        <v>120</v>
      </c>
      <c r="H361" s="169" t="s">
        <v>10</v>
      </c>
      <c r="I361" s="130" t="s">
        <v>120</v>
      </c>
      <c r="J361" s="169" t="s">
        <v>10</v>
      </c>
      <c r="K361" s="130" t="s">
        <v>120</v>
      </c>
      <c r="L361" s="169" t="s">
        <v>10</v>
      </c>
      <c r="M361" s="130" t="s">
        <v>120</v>
      </c>
      <c r="N361" s="169" t="s">
        <v>10</v>
      </c>
      <c r="O361" s="154" t="s">
        <v>120</v>
      </c>
      <c r="Q361" s="295"/>
      <c r="R361" s="291"/>
      <c r="S361" s="291"/>
      <c r="T361" s="291"/>
      <c r="U361" s="291"/>
      <c r="V361" s="291"/>
      <c r="W361" s="293"/>
      <c r="X361" s="199">
        <v>1</v>
      </c>
      <c r="Y361" s="305"/>
      <c r="Z361" s="306"/>
      <c r="AA361" s="306"/>
      <c r="AB361" s="306"/>
      <c r="AC361" s="306"/>
      <c r="AD361" s="306"/>
      <c r="AE361" s="306"/>
      <c r="AF361" s="307"/>
      <c r="AH361" s="136">
        <v>0.20833333333334</v>
      </c>
      <c r="AI361" s="136" t="s">
        <v>10</v>
      </c>
      <c r="AJ361" s="136" t="s">
        <v>120</v>
      </c>
      <c r="AK361" s="136" t="s">
        <v>10</v>
      </c>
      <c r="AL361" s="136" t="s">
        <v>120</v>
      </c>
      <c r="AM361" s="136" t="s">
        <v>10</v>
      </c>
      <c r="AN361" s="136" t="s">
        <v>120</v>
      </c>
      <c r="AO361" s="136" t="s">
        <v>10</v>
      </c>
      <c r="AP361" s="136" t="s">
        <v>120</v>
      </c>
      <c r="AQ361" s="136" t="s">
        <v>10</v>
      </c>
      <c r="AR361" s="136" t="s">
        <v>120</v>
      </c>
      <c r="AS361" s="136" t="s">
        <v>10</v>
      </c>
      <c r="AT361" s="136" t="s">
        <v>120</v>
      </c>
      <c r="AU361" s="136" t="s">
        <v>10</v>
      </c>
      <c r="AV361" s="136" t="s">
        <v>120</v>
      </c>
      <c r="AX361" s="136" t="str">
        <f>IF(AI347="","",IF(B361="","",B361))</f>
        <v>HS</v>
      </c>
      <c r="AY361" s="136" t="str">
        <f>IF(AI347="","",IF(C361="","",C361))</f>
        <v>-</v>
      </c>
      <c r="AZ361" s="136" t="str">
        <f>IF(AI347="","",IF(D361="","",D361))</f>
        <v>HS</v>
      </c>
      <c r="BA361" s="136" t="str">
        <f>IF(AI347="","",IF(E361="","",E361))</f>
        <v>-</v>
      </c>
      <c r="BB361" s="136" t="str">
        <f>IF(AI347="","",IF(F361="","",F361))</f>
        <v>HS</v>
      </c>
      <c r="BC361" s="136" t="str">
        <f>IF(AI347="","",IF(G361="","",G361))</f>
        <v>-</v>
      </c>
      <c r="BD361" s="136" t="str">
        <f>IF(AI347="","",IF(H361="","",H361))</f>
        <v>HS</v>
      </c>
      <c r="BE361" s="136" t="str">
        <f>IF(AI347="","",IF(I361="","",I361))</f>
        <v>-</v>
      </c>
      <c r="BF361" s="136" t="str">
        <f>IF(AI347="","",IF(J361="","",J361))</f>
        <v>HS</v>
      </c>
      <c r="BG361" s="136" t="str">
        <f>IF(AI347="","",IF(K361="","",K361))</f>
        <v>-</v>
      </c>
      <c r="BH361" s="136" t="str">
        <f>IF(AI347="","",IF(L361="","",L361))</f>
        <v>HS</v>
      </c>
      <c r="BI361" s="136" t="str">
        <f>IF(AI347="","",IF(M361="","",M361))</f>
        <v>-</v>
      </c>
      <c r="BJ361" s="136" t="str">
        <f>IF(AI347="","",IF(N361="","",N361))</f>
        <v>HS</v>
      </c>
      <c r="BK361" s="136" t="str">
        <f>IF(AI347="","",IF(O361="","",O361))</f>
        <v>-</v>
      </c>
      <c r="BM361" s="136" t="str">
        <f t="shared" ref="BM361:BM365" si="220">BM360</f>
        <v>EA</v>
      </c>
      <c r="BN361" s="136" t="str">
        <f t="shared" si="217"/>
        <v>Estudo Autónomo</v>
      </c>
      <c r="BO361" s="136" t="str">
        <f t="shared" si="217"/>
        <v>IEI</v>
      </c>
      <c r="BP361" s="136">
        <f>(COUNTIFS(AX351:AX398,BM361,AY351:AY398,BO361)+COUNTIFS(AZ351:AZ398,BM361,BA351:BA398,BO361)+COUNTIFS(BB351:BB398,BM361,BC351:BC398,BO361)+COUNTIFS(BD351:BD398,BM361,BE351:BE398,BO361)+COUNTIFS(BF351:BF398,BM361,BG351:BG398,BO361)+COUNTIFS(BH351:BH398,BM361,BI351:BI398,BO361)+COUNTIFS(BJ351:BJ398,BM361,BK351:BK398,BO361))*0.5</f>
        <v>2.5</v>
      </c>
      <c r="BQ361" s="136" t="str">
        <f t="shared" si="218"/>
        <v>Estudo Autónomo</v>
      </c>
      <c r="BR361" s="136" t="str">
        <f t="shared" si="218"/>
        <v>IEI</v>
      </c>
      <c r="BS361" s="136" t="str">
        <f t="shared" si="219"/>
        <v>Estudo Autónomo</v>
      </c>
      <c r="BT361" s="136">
        <f>SUMIFS(V:V,Q:Q,BQ361,R:R,BR361)</f>
        <v>20</v>
      </c>
      <c r="BU361" s="136">
        <f>SUMIFS(BP:BP,BN:BN,BQ361,BO:BO,BR361)</f>
        <v>36.5</v>
      </c>
      <c r="CA361" s="136">
        <f>'INFO BASE'!L441</f>
        <v>0</v>
      </c>
      <c r="CB361" s="136">
        <f>'INFO BASE'!M441</f>
        <v>0</v>
      </c>
      <c r="CD361" s="136" t="str">
        <f>IF('INFO BASE'!E375="","",'INFO BASE'!E375)</f>
        <v/>
      </c>
      <c r="CR361" s="177" t="str">
        <f t="shared" si="207"/>
        <v>HS</v>
      </c>
      <c r="CS361" s="177" t="str">
        <f t="shared" si="208"/>
        <v>HS-</v>
      </c>
      <c r="CT361" s="177" t="str">
        <f t="shared" si="207"/>
        <v>HS</v>
      </c>
      <c r="CU361" s="177" t="str">
        <f t="shared" si="209"/>
        <v>HS-</v>
      </c>
      <c r="CV361" s="177" t="str">
        <f t="shared" si="207"/>
        <v>HS</v>
      </c>
      <c r="CW361" s="177" t="str">
        <f t="shared" si="210"/>
        <v>HS-</v>
      </c>
      <c r="CX361" s="177" t="str">
        <f t="shared" si="207"/>
        <v>HS</v>
      </c>
      <c r="CY361" s="177" t="str">
        <f t="shared" si="211"/>
        <v>HS-</v>
      </c>
      <c r="CZ361" s="177" t="str">
        <f t="shared" si="207"/>
        <v>HS</v>
      </c>
      <c r="DA361" s="177" t="str">
        <f t="shared" si="212"/>
        <v>HS-</v>
      </c>
      <c r="DB361" s="177" t="str">
        <f t="shared" si="207"/>
        <v>HS</v>
      </c>
      <c r="DC361" s="177" t="str">
        <f t="shared" si="213"/>
        <v>HS-</v>
      </c>
      <c r="DD361" s="177" t="str">
        <f t="shared" si="214"/>
        <v>HS</v>
      </c>
      <c r="DE361" s="177" t="str">
        <f t="shared" si="215"/>
        <v>HS-</v>
      </c>
    </row>
    <row r="362" spans="1:109" ht="18" customHeight="1" thickBot="1" x14ac:dyDescent="0.35">
      <c r="A362" s="81">
        <v>0.22916666666667401</v>
      </c>
      <c r="B362" s="166" t="s">
        <v>10</v>
      </c>
      <c r="C362" s="130" t="s">
        <v>120</v>
      </c>
      <c r="D362" s="169" t="s">
        <v>10</v>
      </c>
      <c r="E362" s="130" t="s">
        <v>120</v>
      </c>
      <c r="F362" s="169" t="s">
        <v>10</v>
      </c>
      <c r="G362" s="130" t="s">
        <v>120</v>
      </c>
      <c r="H362" s="169" t="s">
        <v>10</v>
      </c>
      <c r="I362" s="130" t="s">
        <v>120</v>
      </c>
      <c r="J362" s="169" t="s">
        <v>10</v>
      </c>
      <c r="K362" s="130" t="s">
        <v>120</v>
      </c>
      <c r="L362" s="169" t="s">
        <v>10</v>
      </c>
      <c r="M362" s="130" t="s">
        <v>120</v>
      </c>
      <c r="N362" s="169" t="s">
        <v>10</v>
      </c>
      <c r="O362" s="154" t="s">
        <v>120</v>
      </c>
      <c r="P362" s="6">
        <v>0</v>
      </c>
      <c r="Q362" s="109" t="str">
        <f>IF('INFO BASE'!$C$17="","",'INFO BASE'!$C$17)</f>
        <v>Estudo Autónomo</v>
      </c>
      <c r="R362" s="82" t="str">
        <f>R305</f>
        <v>EA</v>
      </c>
      <c r="S362" s="83">
        <f t="shared" ref="S362:S398" si="221">IFERROR((U362/T362)-1,"-")</f>
        <v>-0.44736842105263153</v>
      </c>
      <c r="T362" s="84">
        <f>IF(VLOOKUP(Q362,'INFO BASE'!$B$40:$I$54,IF(R362='INFO BASE'!$B$32,3,IF(R362='INFO BASE'!$B$33,4,IF(R362='INFO BASE'!$B$34,5,IF(R362='INFO BASE'!$B$35,6,IF(R362='INFO BASE'!$B$36,7,IF(R362='INFO BASE'!$B$37,8,2)))))),0)=0,"",VLOOKUP(Q362,'INFO BASE'!$B$40:$I$54,IF(R362='INFO BASE'!$B$32,3,IF(R362='INFO BASE'!$B$33,4,IF(R362='INFO BASE'!$B$34,5,IF(R362='INFO BASE'!$B$35,6,IF(R362='INFO BASE'!$B$36,7,IF(R362='INFO BASE'!$B$37,8,2)))))),0))</f>
        <v>19</v>
      </c>
      <c r="U362" s="84">
        <f>IF(R362="","",COUNTIFS(SEMANA7,R362)*0.5)</f>
        <v>10.5</v>
      </c>
      <c r="V362" s="84">
        <f>IF(R362="","",COUNTIFS(AI351:AV398,R362)*0.5)</f>
        <v>5.5</v>
      </c>
      <c r="W362" s="85">
        <f>IF(AH347="","-",IF(V362=0,U362,IFERROR((U362/V362)-1,"-")))</f>
        <v>0.90909090909090917</v>
      </c>
      <c r="X362" s="200">
        <f t="shared" ref="X362:X398" si="222">IFERROR(IF(ABS(W362)&gt;P362,1,0),0)</f>
        <v>1</v>
      </c>
      <c r="Y362" s="296" t="s">
        <v>256</v>
      </c>
      <c r="Z362" s="297"/>
      <c r="AA362" s="297"/>
      <c r="AB362" s="297"/>
      <c r="AC362" s="297"/>
      <c r="AD362" s="297"/>
      <c r="AE362" s="297"/>
      <c r="AF362" s="298"/>
      <c r="AH362" s="136">
        <v>0.22916666666667401</v>
      </c>
      <c r="AI362" s="136" t="s">
        <v>10</v>
      </c>
      <c r="AJ362" s="136" t="s">
        <v>120</v>
      </c>
      <c r="AK362" s="136" t="s">
        <v>10</v>
      </c>
      <c r="AL362" s="136" t="s">
        <v>120</v>
      </c>
      <c r="AM362" s="136" t="s">
        <v>10</v>
      </c>
      <c r="AN362" s="136" t="s">
        <v>120</v>
      </c>
      <c r="AO362" s="136" t="s">
        <v>10</v>
      </c>
      <c r="AP362" s="136" t="s">
        <v>120</v>
      </c>
      <c r="AQ362" s="136" t="s">
        <v>10</v>
      </c>
      <c r="AR362" s="136" t="s">
        <v>120</v>
      </c>
      <c r="AS362" s="136" t="s">
        <v>10</v>
      </c>
      <c r="AT362" s="136" t="s">
        <v>120</v>
      </c>
      <c r="AU362" s="136" t="s">
        <v>10</v>
      </c>
      <c r="AV362" s="136" t="s">
        <v>120</v>
      </c>
      <c r="AX362" s="136" t="str">
        <f>IF(AI347="","",IF(B362="","",B362))</f>
        <v>HS</v>
      </c>
      <c r="AY362" s="136" t="str">
        <f>IF(AI347="","",IF(C362="","",C362))</f>
        <v>-</v>
      </c>
      <c r="AZ362" s="136" t="str">
        <f>IF(AI347="","",IF(D362="","",D362))</f>
        <v>HS</v>
      </c>
      <c r="BA362" s="136" t="str">
        <f>IF(AI347="","",IF(E362="","",E362))</f>
        <v>-</v>
      </c>
      <c r="BB362" s="136" t="str">
        <f>IF(AI347="","",IF(F362="","",F362))</f>
        <v>HS</v>
      </c>
      <c r="BC362" s="136" t="str">
        <f>IF(AI347="","",IF(G362="","",G362))</f>
        <v>-</v>
      </c>
      <c r="BD362" s="136" t="str">
        <f>IF(AI347="","",IF(H362="","",H362))</f>
        <v>HS</v>
      </c>
      <c r="BE362" s="136" t="str">
        <f>IF(AI347="","",IF(I362="","",I362))</f>
        <v>-</v>
      </c>
      <c r="BF362" s="136" t="str">
        <f>IF(AI347="","",IF(J362="","",J362))</f>
        <v>HS</v>
      </c>
      <c r="BG362" s="136" t="str">
        <f>IF(AI347="","",IF(K362="","",K362))</f>
        <v>-</v>
      </c>
      <c r="BH362" s="136" t="str">
        <f>IF(AI347="","",IF(L362="","",L362))</f>
        <v>HS</v>
      </c>
      <c r="BI362" s="136" t="str">
        <f>IF(AI347="","",IF(M362="","",M362))</f>
        <v>-</v>
      </c>
      <c r="BJ362" s="136" t="str">
        <f>IF(AI347="","",IF(N362="","",N362))</f>
        <v>HS</v>
      </c>
      <c r="BK362" s="136" t="str">
        <f>IF(AI347="","",IF(O362="","",O362))</f>
        <v>-</v>
      </c>
      <c r="BM362" s="136" t="str">
        <f t="shared" si="220"/>
        <v>EA</v>
      </c>
      <c r="BN362" s="136" t="str">
        <f t="shared" si="217"/>
        <v>Estudo Autónomo</v>
      </c>
      <c r="BO362" s="136" t="str">
        <f t="shared" si="217"/>
        <v>IAC</v>
      </c>
      <c r="BP362" s="136">
        <f>(COUNTIFS(AX351:AX398,BM362,AY351:AY398,BO362)+COUNTIFS(AZ351:AZ398,BM362,BA351:BA398,BO362)+COUNTIFS(BB351:BB398,BM362,BC351:BC398,BO362)+COUNTIFS(BD351:BD398,BM362,BE351:BE398,BO362)+COUNTIFS(BF351:BF398,BM362,BG351:BG398,BO362)+COUNTIFS(BH351:BH398,BM362,BI351:BI398,BO362)+COUNTIFS(BJ351:BJ398,BM362,BK351:BK398,BO362))*0.5</f>
        <v>0</v>
      </c>
      <c r="BQ362" s="136" t="str">
        <f t="shared" si="218"/>
        <v>Estudo Autónomo</v>
      </c>
      <c r="BR362" s="136" t="str">
        <f t="shared" si="218"/>
        <v>IAC</v>
      </c>
      <c r="BS362" s="136" t="str">
        <f t="shared" si="219"/>
        <v>Estudo Autónomo</v>
      </c>
      <c r="BT362" s="136">
        <f>SUMIFS(V:V,Q:Q,BQ362,R:R,BBO360)</f>
        <v>0</v>
      </c>
      <c r="BU362" s="136">
        <f>SUMIFS(BP:BP,BN:BN,BQ362,BO:BO,BBO360)</f>
        <v>0</v>
      </c>
      <c r="CA362" s="136">
        <f>'INFO BASE'!L442</f>
        <v>0</v>
      </c>
      <c r="CB362" s="136">
        <f>'INFO BASE'!M442</f>
        <v>0</v>
      </c>
      <c r="CD362" s="136" t="str">
        <f>IF('INFO BASE'!E376="","",'INFO BASE'!E376)</f>
        <v/>
      </c>
      <c r="CR362" s="177" t="str">
        <f t="shared" si="207"/>
        <v>HS</v>
      </c>
      <c r="CS362" s="177" t="str">
        <f t="shared" si="208"/>
        <v>HS-</v>
      </c>
      <c r="CT362" s="177" t="str">
        <f t="shared" si="207"/>
        <v>HS</v>
      </c>
      <c r="CU362" s="177" t="str">
        <f t="shared" si="209"/>
        <v>HS-</v>
      </c>
      <c r="CV362" s="177" t="str">
        <f t="shared" si="207"/>
        <v>HS</v>
      </c>
      <c r="CW362" s="177" t="str">
        <f t="shared" si="210"/>
        <v>HS-</v>
      </c>
      <c r="CX362" s="177" t="str">
        <f t="shared" si="207"/>
        <v>HS</v>
      </c>
      <c r="CY362" s="177" t="str">
        <f t="shared" si="211"/>
        <v>HS-</v>
      </c>
      <c r="CZ362" s="177" t="str">
        <f t="shared" si="207"/>
        <v>HS</v>
      </c>
      <c r="DA362" s="177" t="str">
        <f t="shared" si="212"/>
        <v>HS-</v>
      </c>
      <c r="DB362" s="177" t="str">
        <f t="shared" si="207"/>
        <v>HS</v>
      </c>
      <c r="DC362" s="177" t="str">
        <f t="shared" si="213"/>
        <v>HS-</v>
      </c>
      <c r="DD362" s="177" t="str">
        <f t="shared" si="214"/>
        <v>HS</v>
      </c>
      <c r="DE362" s="177" t="str">
        <f t="shared" si="215"/>
        <v>HS-</v>
      </c>
    </row>
    <row r="363" spans="1:109" ht="18" customHeight="1" x14ac:dyDescent="0.3">
      <c r="A363" s="81">
        <v>0.25000000000000799</v>
      </c>
      <c r="B363" s="166" t="s">
        <v>10</v>
      </c>
      <c r="C363" s="130" t="s">
        <v>120</v>
      </c>
      <c r="D363" s="169" t="s">
        <v>10</v>
      </c>
      <c r="E363" s="130" t="s">
        <v>120</v>
      </c>
      <c r="F363" s="169" t="s">
        <v>10</v>
      </c>
      <c r="G363" s="130" t="s">
        <v>120</v>
      </c>
      <c r="H363" s="169" t="s">
        <v>10</v>
      </c>
      <c r="I363" s="130" t="s">
        <v>120</v>
      </c>
      <c r="J363" s="169" t="s">
        <v>10</v>
      </c>
      <c r="K363" s="130" t="s">
        <v>120</v>
      </c>
      <c r="L363" s="169" t="s">
        <v>10</v>
      </c>
      <c r="M363" s="130" t="s">
        <v>120</v>
      </c>
      <c r="N363" s="169" t="s">
        <v>10</v>
      </c>
      <c r="O363" s="154" t="s">
        <v>120</v>
      </c>
      <c r="P363" s="6">
        <v>0</v>
      </c>
      <c r="Q363" s="110" t="str">
        <f t="shared" ref="Q363:Q368" si="223">Q362</f>
        <v>Estudo Autónomo</v>
      </c>
      <c r="R363" s="105" t="str">
        <f t="shared" ref="R363:R398" si="224">R306</f>
        <v>FP</v>
      </c>
      <c r="S363" s="88">
        <f t="shared" si="221"/>
        <v>-0.7</v>
      </c>
      <c r="T363" s="89">
        <f>IF(VLOOKUP(Q363,'INFO BASE'!$B$40:$I$54,IF(R363='INFO BASE'!$B$32,3,IF(R363='INFO BASE'!$B$33,4,IF(R363='INFO BASE'!$B$34,5,IF(R363='INFO BASE'!$B$35,6,IF(R363='INFO BASE'!$B$36,7,IF(R363='INFO BASE'!$B$37,8,2)))))),0)=0,"",VLOOKUP(Q363,'INFO BASE'!$B$40:$I$54,IF(R363='INFO BASE'!$B$32,3,IF(R363='INFO BASE'!$B$33,4,IF(R363='INFO BASE'!$B$34,5,IF(R363='INFO BASE'!$B$35,6,IF(R363='INFO BASE'!$B$36,7,IF(R363='INFO BASE'!$B$37,8,2)))))),0))</f>
        <v>5</v>
      </c>
      <c r="U363" s="89">
        <f>(COUNTIFS(C351:C398,R363,B351:B398,R362)+COUNTIFS(E351:E398,R363,D351:D398,R362)+COUNTIFS(G351:G398,R363,F351:F398,R362)+COUNTIFS(I351:I398,R363,H351:H398,R362)+COUNTIFS(K351:K398,R363,J351:J398,R362)+COUNTIFS(M351:M398,R363,L351:L398,R362)+COUNTIFS(O351:O398,R363,N351:N398,R362))*0.5</f>
        <v>1.5</v>
      </c>
      <c r="V363" s="89">
        <f>(COUNTIFS(AI351:AI398,R362,AJ351:AJ398,R363)+COUNTIFS(AK351:AK398,R362,AL351:AL398,R363)+COUNTIFS(AM351:AM398,R362,AN351:AN398,R363)+COUNTIFS(AO351:AO398,R362,AP351:AP398,R363)+COUNTIFS(AQ351:AQ398,R362,AR351:AR398,R363)+COUNTIFS(AS351:AS398,R362,AT351:AT398,R363)+COUNTIFS(AU351:AU398,R362,AV351:AV398,R363))*0.5</f>
        <v>3</v>
      </c>
      <c r="W363" s="90">
        <f>IF(AH347="","-",IF(V363=0,U363,IFERROR((U363/V363)-1,"-")))</f>
        <v>-0.5</v>
      </c>
      <c r="X363" s="200">
        <f t="shared" si="222"/>
        <v>1</v>
      </c>
      <c r="Y363" s="296" t="s">
        <v>256</v>
      </c>
      <c r="Z363" s="297"/>
      <c r="AA363" s="297"/>
      <c r="AB363" s="297"/>
      <c r="AC363" s="297"/>
      <c r="AD363" s="297"/>
      <c r="AE363" s="297"/>
      <c r="AF363" s="298"/>
      <c r="AH363" s="136">
        <v>0.25000000000000799</v>
      </c>
      <c r="AI363" s="136" t="s">
        <v>10</v>
      </c>
      <c r="AJ363" s="136" t="s">
        <v>120</v>
      </c>
      <c r="AK363" s="136" t="s">
        <v>10</v>
      </c>
      <c r="AL363" s="136" t="s">
        <v>120</v>
      </c>
      <c r="AM363" s="136" t="s">
        <v>10</v>
      </c>
      <c r="AN363" s="136" t="s">
        <v>120</v>
      </c>
      <c r="AO363" s="136" t="s">
        <v>10</v>
      </c>
      <c r="AP363" s="136" t="s">
        <v>120</v>
      </c>
      <c r="AQ363" s="136" t="s">
        <v>10</v>
      </c>
      <c r="AR363" s="136" t="s">
        <v>120</v>
      </c>
      <c r="AS363" s="136" t="s">
        <v>10</v>
      </c>
      <c r="AT363" s="136" t="s">
        <v>120</v>
      </c>
      <c r="AU363" s="136" t="s">
        <v>10</v>
      </c>
      <c r="AV363" s="136" t="s">
        <v>120</v>
      </c>
      <c r="AX363" s="136" t="str">
        <f>IF(AI347="","",IF(B363="","",B363))</f>
        <v>HS</v>
      </c>
      <c r="AY363" s="136" t="str">
        <f>IF(AI347="","",IF(C363="","",C363))</f>
        <v>-</v>
      </c>
      <c r="AZ363" s="136" t="str">
        <f>IF(AI347="","",IF(D363="","",D363))</f>
        <v>HS</v>
      </c>
      <c r="BA363" s="136" t="str">
        <f>IF(AI347="","",IF(E363="","",E363))</f>
        <v>-</v>
      </c>
      <c r="BB363" s="136" t="str">
        <f>IF(AI347="","",IF(F363="","",F363))</f>
        <v>HS</v>
      </c>
      <c r="BC363" s="136" t="str">
        <f>IF(AI347="","",IF(G363="","",G363))</f>
        <v>-</v>
      </c>
      <c r="BD363" s="136" t="str">
        <f>IF(AI347="","",IF(H363="","",H363))</f>
        <v>HS</v>
      </c>
      <c r="BE363" s="136" t="str">
        <f>IF(AI347="","",IF(I363="","",I363))</f>
        <v>-</v>
      </c>
      <c r="BF363" s="136" t="str">
        <f>IF(AI347="","",IF(J363="","",J363))</f>
        <v>HS</v>
      </c>
      <c r="BG363" s="136" t="str">
        <f>IF(AI347="","",IF(K363="","",K363))</f>
        <v>-</v>
      </c>
      <c r="BH363" s="136" t="str">
        <f>IF(AI347="","",IF(L363="","",L363))</f>
        <v>HS</v>
      </c>
      <c r="BI363" s="136" t="str">
        <f>IF(AI347="","",IF(M363="","",M363))</f>
        <v>-</v>
      </c>
      <c r="BJ363" s="136" t="str">
        <f>IF(AI347="","",IF(N363="","",N363))</f>
        <v>HS</v>
      </c>
      <c r="BK363" s="136" t="str">
        <f>IF(AI347="","",IF(O363="","",O363))</f>
        <v>-</v>
      </c>
      <c r="BM363" s="136" t="str">
        <f t="shared" si="220"/>
        <v>EA</v>
      </c>
      <c r="BN363" s="136" t="str">
        <f t="shared" si="217"/>
        <v>Estudo Autónomo</v>
      </c>
      <c r="BO363" s="136" t="str">
        <f t="shared" si="217"/>
        <v>AL</v>
      </c>
      <c r="BP363" s="136">
        <f>(COUNTIFS(AX351:AX398,BM363,AY351:AY398,BO363)+COUNTIFS(AZ351:AZ398,BM363,BA351:BA398,BO363)+COUNTIFS(BB351:BB398,BM363,BC351:BC398,BO363)+COUNTIFS(BD351:BD398,BM363,BE351:BE398,BO363)+COUNTIFS(BF351:BF398,BM363,BG351:BG398,BO363)+COUNTIFS(BH351:BH398,BM363,BI351:BI398,BO363)+COUNTIFS(BJ351:BJ398,BM363,BK351:BK398,BO363))*0.5</f>
        <v>4</v>
      </c>
      <c r="BQ363" s="136" t="str">
        <f t="shared" si="218"/>
        <v>Estudo Autónomo</v>
      </c>
      <c r="BR363" s="136" t="str">
        <f t="shared" si="218"/>
        <v>AL</v>
      </c>
      <c r="BS363" s="136" t="str">
        <f t="shared" si="219"/>
        <v>Estudo Autónomo</v>
      </c>
      <c r="BT363" s="136">
        <f t="shared" ref="BT363:BT395" si="225">SUMIFS(V:V,Q:Q,BQ363,R:R,BR363)</f>
        <v>24</v>
      </c>
      <c r="BU363" s="136">
        <f t="shared" ref="BU363:BU395" si="226">SUMIFS(BP:BP,BN:BN,BQ363,BO:BO,BR363)</f>
        <v>25.5</v>
      </c>
      <c r="CA363" s="136">
        <f>'INFO BASE'!L443</f>
        <v>0</v>
      </c>
      <c r="CB363" s="136">
        <f>'INFO BASE'!M443</f>
        <v>0</v>
      </c>
      <c r="CD363" s="136" t="str">
        <f>IF('INFO BASE'!E377="","",'INFO BASE'!E377)</f>
        <v/>
      </c>
      <c r="CR363" s="177" t="str">
        <f t="shared" si="207"/>
        <v>HS</v>
      </c>
      <c r="CS363" s="177" t="str">
        <f t="shared" si="208"/>
        <v>HS-</v>
      </c>
      <c r="CT363" s="177" t="str">
        <f t="shared" si="207"/>
        <v>HS</v>
      </c>
      <c r="CU363" s="177" t="str">
        <f t="shared" si="209"/>
        <v>HS-</v>
      </c>
      <c r="CV363" s="177" t="str">
        <f t="shared" si="207"/>
        <v>HS</v>
      </c>
      <c r="CW363" s="177" t="str">
        <f t="shared" si="210"/>
        <v>HS-</v>
      </c>
      <c r="CX363" s="177" t="str">
        <f t="shared" si="207"/>
        <v>HS</v>
      </c>
      <c r="CY363" s="177" t="str">
        <f t="shared" si="211"/>
        <v>HS-</v>
      </c>
      <c r="CZ363" s="177" t="str">
        <f t="shared" si="207"/>
        <v>HS</v>
      </c>
      <c r="DA363" s="177" t="str">
        <f t="shared" si="212"/>
        <v>HS-</v>
      </c>
      <c r="DB363" s="177" t="str">
        <f t="shared" si="207"/>
        <v>HS</v>
      </c>
      <c r="DC363" s="177" t="str">
        <f t="shared" si="213"/>
        <v>HS-</v>
      </c>
      <c r="DD363" s="177" t="str">
        <f t="shared" si="214"/>
        <v>HS</v>
      </c>
      <c r="DE363" s="177" t="str">
        <f t="shared" si="215"/>
        <v>HS-</v>
      </c>
    </row>
    <row r="364" spans="1:109" ht="18" customHeight="1" x14ac:dyDescent="0.3">
      <c r="A364" s="81">
        <v>0.27083333333334197</v>
      </c>
      <c r="B364" s="166" t="s">
        <v>116</v>
      </c>
      <c r="C364" s="130" t="s">
        <v>120</v>
      </c>
      <c r="D364" s="169" t="s">
        <v>116</v>
      </c>
      <c r="E364" s="130" t="s">
        <v>120</v>
      </c>
      <c r="F364" s="169" t="s">
        <v>116</v>
      </c>
      <c r="G364" s="130" t="s">
        <v>120</v>
      </c>
      <c r="H364" s="169" t="s">
        <v>116</v>
      </c>
      <c r="I364" s="130" t="s">
        <v>120</v>
      </c>
      <c r="J364" s="169" t="s">
        <v>116</v>
      </c>
      <c r="K364" s="130" t="s">
        <v>120</v>
      </c>
      <c r="L364" s="169" t="s">
        <v>10</v>
      </c>
      <c r="M364" s="130" t="s">
        <v>120</v>
      </c>
      <c r="N364" s="169" t="s">
        <v>10</v>
      </c>
      <c r="O364" s="154" t="s">
        <v>120</v>
      </c>
      <c r="P364" s="6">
        <v>0</v>
      </c>
      <c r="Q364" s="110" t="str">
        <f t="shared" si="223"/>
        <v>Estudo Autónomo</v>
      </c>
      <c r="R364" s="105" t="str">
        <f t="shared" si="224"/>
        <v>IEI</v>
      </c>
      <c r="S364" s="88">
        <f t="shared" si="221"/>
        <v>0.25</v>
      </c>
      <c r="T364" s="89">
        <f>IF(VLOOKUP(Q364,'INFO BASE'!$B$40:$I$54,IF(R364='INFO BASE'!$B$32,3,IF(R364='INFO BASE'!$B$33,4,IF(R364='INFO BASE'!$B$34,5,IF(R364='INFO BASE'!$B$35,6,IF(R364='INFO BASE'!$B$36,7,IF(R364='INFO BASE'!$B$37,8,2)))))),0)=0,"",VLOOKUP(Q364,'INFO BASE'!$B$40:$I$54,IF(R364='INFO BASE'!$B$32,3,IF(R364='INFO BASE'!$B$33,4,IF(R364='INFO BASE'!$B$34,5,IF(R364='INFO BASE'!$B$35,6,IF(R364='INFO BASE'!$B$36,7,IF(R364='INFO BASE'!$B$37,8,2)))))),0))</f>
        <v>2</v>
      </c>
      <c r="U364" s="89">
        <f>(COUNTIFS(C351:C398,R364,B351:B398,R362)+COUNTIFS(E351:E398,R364,D351:D398,R362)+COUNTIFS(G351:G398,R364,F351:F398,R362)+COUNTIFS(I351:I398,R364,H351:H398,R362)+COUNTIFS(K351:K398,R364,J351:J398,R362)+COUNTIFS(M351:M398,R364,L351:L398,R362)+COUNTIFS(O351:O398,R364,N351:N398,R362))*0.5</f>
        <v>2.5</v>
      </c>
      <c r="V364" s="89">
        <f>(COUNTIFS(AI351:AI398,R362,AJ351:AJ398,R364)+COUNTIFS(AK351:AK398,R362,AL351:AL398,R364)+COUNTIFS(AM351:AM398,R362,AN351:AN398,R364)+COUNTIFS(AO351:AO398,R362,AP351:AP398,R364)+COUNTIFS(AQ351:AQ398,R362,AR351:AR398,R364)+COUNTIFS(AS351:AS398,R362,AT351:AT398,R364)+COUNTIFS(AU351:AU398,R362,AV351:AV398,R364))*0.5</f>
        <v>0</v>
      </c>
      <c r="W364" s="90">
        <f>IF(AH347="","-",IF(V364=0,U364,IFERROR((U364/V364)-1,"-")))</f>
        <v>2.5</v>
      </c>
      <c r="X364" s="200">
        <f t="shared" si="222"/>
        <v>1</v>
      </c>
      <c r="Y364" s="299" t="s">
        <v>257</v>
      </c>
      <c r="Z364" s="300"/>
      <c r="AA364" s="300"/>
      <c r="AB364" s="300"/>
      <c r="AC364" s="300"/>
      <c r="AD364" s="300"/>
      <c r="AE364" s="300"/>
      <c r="AF364" s="301"/>
      <c r="AH364" s="136">
        <v>0.27083333333334197</v>
      </c>
      <c r="AI364" s="136" t="s">
        <v>116</v>
      </c>
      <c r="AJ364" s="136" t="s">
        <v>120</v>
      </c>
      <c r="AK364" s="136" t="s">
        <v>116</v>
      </c>
      <c r="AL364" s="136" t="s">
        <v>120</v>
      </c>
      <c r="AM364" s="136" t="s">
        <v>116</v>
      </c>
      <c r="AN364" s="136" t="s">
        <v>120</v>
      </c>
      <c r="AO364" s="136" t="s">
        <v>116</v>
      </c>
      <c r="AP364" s="136" t="s">
        <v>120</v>
      </c>
      <c r="AQ364" s="136" t="s">
        <v>116</v>
      </c>
      <c r="AR364" s="136" t="s">
        <v>120</v>
      </c>
      <c r="AS364" s="136" t="s">
        <v>10</v>
      </c>
      <c r="AT364" s="136" t="s">
        <v>120</v>
      </c>
      <c r="AU364" s="136" t="s">
        <v>10</v>
      </c>
      <c r="AV364" s="136" t="s">
        <v>120</v>
      </c>
      <c r="AX364" s="136" t="str">
        <f>IF(AI347="","",IF(B364="","",B364))</f>
        <v>PV</v>
      </c>
      <c r="AY364" s="136" t="str">
        <f>IF(AI347="","",IF(C364="","",C364))</f>
        <v>-</v>
      </c>
      <c r="AZ364" s="136" t="str">
        <f>IF(AI347="","",IF(D364="","",D364))</f>
        <v>PV</v>
      </c>
      <c r="BA364" s="136" t="str">
        <f>IF(AI347="","",IF(E364="","",E364))</f>
        <v>-</v>
      </c>
      <c r="BB364" s="136" t="str">
        <f>IF(AI347="","",IF(F364="","",F364))</f>
        <v>PV</v>
      </c>
      <c r="BC364" s="136" t="str">
        <f>IF(AI347="","",IF(G364="","",G364))</f>
        <v>-</v>
      </c>
      <c r="BD364" s="136" t="str">
        <f>IF(AI347="","",IF(H364="","",H364))</f>
        <v>PV</v>
      </c>
      <c r="BE364" s="136" t="str">
        <f>IF(AI347="","",IF(I364="","",I364))</f>
        <v>-</v>
      </c>
      <c r="BF364" s="136" t="str">
        <f>IF(AI347="","",IF(J364="","",J364))</f>
        <v>PV</v>
      </c>
      <c r="BG364" s="136" t="str">
        <f>IF(AI347="","",IF(K364="","",K364))</f>
        <v>-</v>
      </c>
      <c r="BH364" s="136" t="str">
        <f>IF(AI347="","",IF(L364="","",L364))</f>
        <v>HS</v>
      </c>
      <c r="BI364" s="136" t="str">
        <f>IF(AI347="","",IF(M364="","",M364))</f>
        <v>-</v>
      </c>
      <c r="BJ364" s="136" t="str">
        <f>IF(AI347="","",IF(N364="","",N364))</f>
        <v>HS</v>
      </c>
      <c r="BK364" s="136" t="str">
        <f>IF(AI347="","",IF(O364="","",O364))</f>
        <v>-</v>
      </c>
      <c r="BM364" s="136" t="str">
        <f t="shared" si="220"/>
        <v>EA</v>
      </c>
      <c r="BN364" s="136" t="str">
        <f t="shared" si="217"/>
        <v>Estudo Autónomo</v>
      </c>
      <c r="BO364" s="136" t="str">
        <f t="shared" si="217"/>
        <v>CDI</v>
      </c>
      <c r="BP364" s="136">
        <f>(COUNTIFS(AX351:AX398,BM364,AY351:AY398,BO364)+COUNTIFS(AZ351:AZ398,BM364,BA351:BA398,BO364)+COUNTIFS(BB351:BB398,BM364,BC351:BC398,BO364)+COUNTIFS(BD351:BD398,BM364,BE351:BE398,BO364)+COUNTIFS(BF351:BF398,BM364,BG351:BG398,BO364)+COUNTIFS(BH351:BH398,BM364,BI351:BI398,BO364)+COUNTIFS(BJ351:BJ398,BM364,BK351:BK398,BO364))*0.5</f>
        <v>2.5</v>
      </c>
      <c r="BQ364" s="136" t="str">
        <f t="shared" si="218"/>
        <v>Estudo Autónomo</v>
      </c>
      <c r="BR364" s="136" t="str">
        <f t="shared" si="218"/>
        <v>CDI</v>
      </c>
      <c r="BS364" s="136" t="str">
        <f t="shared" si="219"/>
        <v>Estudo Autónomo</v>
      </c>
      <c r="BT364" s="136">
        <f t="shared" si="225"/>
        <v>9.5</v>
      </c>
      <c r="BU364" s="136">
        <f t="shared" si="226"/>
        <v>7.5</v>
      </c>
      <c r="CA364" s="136">
        <f>'INFO BASE'!L444</f>
        <v>0</v>
      </c>
      <c r="CB364" s="136">
        <f>'INFO BASE'!M444</f>
        <v>0</v>
      </c>
      <c r="CD364" s="136" t="str">
        <f>IF('INFO BASE'!E378="","",'INFO BASE'!E378)</f>
        <v/>
      </c>
      <c r="CR364" s="177" t="str">
        <f t="shared" si="207"/>
        <v>PV</v>
      </c>
      <c r="CS364" s="177">
        <f t="shared" si="208"/>
        <v>0</v>
      </c>
      <c r="CT364" s="177" t="str">
        <f t="shared" si="207"/>
        <v>PV</v>
      </c>
      <c r="CU364" s="177">
        <f t="shared" si="209"/>
        <v>0</v>
      </c>
      <c r="CV364" s="177" t="str">
        <f t="shared" si="207"/>
        <v>PV</v>
      </c>
      <c r="CW364" s="177">
        <f t="shared" si="210"/>
        <v>0</v>
      </c>
      <c r="CX364" s="177" t="str">
        <f t="shared" si="207"/>
        <v>PV</v>
      </c>
      <c r="CY364" s="177">
        <f t="shared" si="211"/>
        <v>0</v>
      </c>
      <c r="CZ364" s="177" t="str">
        <f t="shared" si="207"/>
        <v>PV</v>
      </c>
      <c r="DA364" s="177">
        <f t="shared" si="212"/>
        <v>0</v>
      </c>
      <c r="DB364" s="177" t="str">
        <f t="shared" si="207"/>
        <v>HS</v>
      </c>
      <c r="DC364" s="177" t="str">
        <f t="shared" si="213"/>
        <v>HS-</v>
      </c>
      <c r="DD364" s="177" t="str">
        <f t="shared" si="214"/>
        <v>HS</v>
      </c>
      <c r="DE364" s="177" t="str">
        <f t="shared" si="215"/>
        <v>HS-</v>
      </c>
    </row>
    <row r="365" spans="1:109" ht="18" customHeight="1" x14ac:dyDescent="0.3">
      <c r="A365" s="81">
        <v>0.29166666666667601</v>
      </c>
      <c r="B365" s="166" t="s">
        <v>116</v>
      </c>
      <c r="C365" s="130" t="s">
        <v>120</v>
      </c>
      <c r="D365" s="169" t="s">
        <v>116</v>
      </c>
      <c r="E365" s="130" t="s">
        <v>120</v>
      </c>
      <c r="F365" s="169" t="s">
        <v>116</v>
      </c>
      <c r="G365" s="130" t="s">
        <v>120</v>
      </c>
      <c r="H365" s="169" t="s">
        <v>116</v>
      </c>
      <c r="I365" s="130" t="s">
        <v>120</v>
      </c>
      <c r="J365" s="169" t="s">
        <v>116</v>
      </c>
      <c r="K365" s="130" t="s">
        <v>120</v>
      </c>
      <c r="L365" s="169" t="s">
        <v>10</v>
      </c>
      <c r="M365" s="130" t="s">
        <v>120</v>
      </c>
      <c r="N365" s="169" t="s">
        <v>10</v>
      </c>
      <c r="O365" s="154" t="s">
        <v>120</v>
      </c>
      <c r="P365" s="6">
        <v>0</v>
      </c>
      <c r="Q365" s="111" t="str">
        <f t="shared" si="223"/>
        <v>Estudo Autónomo</v>
      </c>
      <c r="R365" s="105" t="str">
        <f t="shared" si="224"/>
        <v>IAC</v>
      </c>
      <c r="S365" s="88">
        <f t="shared" si="221"/>
        <v>-1</v>
      </c>
      <c r="T365" s="89">
        <f>IF(VLOOKUP(Q365,'INFO BASE'!$B$40:$I$54,IF(R365='INFO BASE'!$B$32,3,IF(R365='INFO BASE'!$B$33,4,IF(R365='INFO BASE'!$B$34,5,IF(R365='INFO BASE'!$B$35,6,IF(R365='INFO BASE'!$B$36,7,IF(R365='INFO BASE'!$B$37,8,2)))))),0)=0,"",VLOOKUP(Q365,'INFO BASE'!$B$40:$I$54,IF(R365='INFO BASE'!$B$32,3,IF(R365='INFO BASE'!$B$33,4,IF(R365='INFO BASE'!$B$34,5,IF(R365='INFO BASE'!$B$35,6,IF(R365='INFO BASE'!$B$36,7,IF(R365='INFO BASE'!$B$37,8,2)))))),0))</f>
        <v>2</v>
      </c>
      <c r="U365" s="89">
        <f>(COUNTIFS(C351:C398,R365,B351:B398,R362)+COUNTIFS(E351:E398,R365,D351:D398,R362)+COUNTIFS(G351:G398,R365,F351:F398,R362)+COUNTIFS(I351:I398,R365,H351:H398,R362)+COUNTIFS(K351:K398,R365,J351:J398,R362)+COUNTIFS(M351:M398,R365,L351:L398,R362)+COUNTIFS(O351:O398,R365,N351:N398,R362))*0.5</f>
        <v>0</v>
      </c>
      <c r="V365" s="89">
        <f>(COUNTIFS(AI351:AI398,R362,AJ351:AJ398,R365)+COUNTIFS(AK351:AK398,R362,AL351:AL398,R365)+COUNTIFS(AM351:AM398,R362,AN351:AN398,R365)+COUNTIFS(AO351:AO398,R362,AP351:AP398,R365)+COUNTIFS(AQ351:AQ398,R362,AR351:AR398,R365)+COUNTIFS(AS351:AS398,R362,AT351:AT398,R365)+COUNTIFS(AU351:AU398,R362,AV351:AV398,R365))*0.5</f>
        <v>0</v>
      </c>
      <c r="W365" s="90">
        <f>IF(AH347="","-",IF(V365=0,U365,IFERROR((U365/V365)-1,"-")))</f>
        <v>0</v>
      </c>
      <c r="X365" s="200">
        <f t="shared" si="222"/>
        <v>0</v>
      </c>
      <c r="Y365" s="299"/>
      <c r="Z365" s="300"/>
      <c r="AA365" s="300"/>
      <c r="AB365" s="300"/>
      <c r="AC365" s="300"/>
      <c r="AD365" s="300"/>
      <c r="AE365" s="300"/>
      <c r="AF365" s="301"/>
      <c r="AH365" s="136">
        <v>0.29166666666667601</v>
      </c>
      <c r="AI365" s="136" t="s">
        <v>116</v>
      </c>
      <c r="AJ365" s="136" t="s">
        <v>120</v>
      </c>
      <c r="AK365" s="136" t="s">
        <v>116</v>
      </c>
      <c r="AL365" s="136" t="s">
        <v>120</v>
      </c>
      <c r="AM365" s="136" t="s">
        <v>116</v>
      </c>
      <c r="AN365" s="136" t="s">
        <v>120</v>
      </c>
      <c r="AO365" s="136" t="s">
        <v>116</v>
      </c>
      <c r="AP365" s="136" t="s">
        <v>120</v>
      </c>
      <c r="AQ365" s="136" t="s">
        <v>116</v>
      </c>
      <c r="AR365" s="136" t="s">
        <v>120</v>
      </c>
      <c r="AS365" s="136" t="s">
        <v>10</v>
      </c>
      <c r="AT365" s="136" t="s">
        <v>120</v>
      </c>
      <c r="AU365" s="136" t="s">
        <v>10</v>
      </c>
      <c r="AV365" s="136" t="s">
        <v>120</v>
      </c>
      <c r="AX365" s="136" t="str">
        <f>IF(AI347="","",IF(B365="","",B365))</f>
        <v>PV</v>
      </c>
      <c r="AY365" s="136" t="str">
        <f>IF(AI347="","",IF(C365="","",C365))</f>
        <v>-</v>
      </c>
      <c r="AZ365" s="136" t="str">
        <f>IF(AI347="","",IF(D365="","",D365))</f>
        <v>PV</v>
      </c>
      <c r="BA365" s="136" t="str">
        <f>IF(AI347="","",IF(E365="","",E365))</f>
        <v>-</v>
      </c>
      <c r="BB365" s="136" t="str">
        <f>IF(AI347="","",IF(F365="","",F365))</f>
        <v>PV</v>
      </c>
      <c r="BC365" s="136" t="str">
        <f>IF(AI347="","",IF(G365="","",G365))</f>
        <v>-</v>
      </c>
      <c r="BD365" s="136" t="str">
        <f>IF(AI347="","",IF(H365="","",H365))</f>
        <v>PV</v>
      </c>
      <c r="BE365" s="136" t="str">
        <f>IF(AI347="","",IF(I365="","",I365))</f>
        <v>-</v>
      </c>
      <c r="BF365" s="136" t="str">
        <f>IF(AI347="","",IF(J365="","",J365))</f>
        <v>PV</v>
      </c>
      <c r="BG365" s="136" t="str">
        <f>IF(AI347="","",IF(K365="","",K365))</f>
        <v>-</v>
      </c>
      <c r="BH365" s="136" t="str">
        <f>IF(AI347="","",IF(L365="","",L365))</f>
        <v>HS</v>
      </c>
      <c r="BI365" s="136" t="str">
        <f>IF(AI347="","",IF(M365="","",M365))</f>
        <v>-</v>
      </c>
      <c r="BJ365" s="136" t="str">
        <f>IF(AI347="","",IF(N365="","",N365))</f>
        <v>HS</v>
      </c>
      <c r="BK365" s="136" t="str">
        <f>IF(AI347="","",IF(O365="","",O365))</f>
        <v>-</v>
      </c>
      <c r="BM365" s="136" t="str">
        <f t="shared" si="220"/>
        <v>EA</v>
      </c>
      <c r="BN365" s="136" t="str">
        <f t="shared" si="217"/>
        <v>Estudo Autónomo</v>
      </c>
      <c r="BO365" s="136" t="str">
        <f t="shared" si="217"/>
        <v/>
      </c>
      <c r="BP365" s="136">
        <f>(COUNTIFS(AX351:AX398,BM365,AY351:AY398,BO365)+COUNTIFS(AZ351:AZ398,BM365,BA351:BA398,BO365)+COUNTIFS(BB351:BB398,BM365,BC351:BC398,BO365)+COUNTIFS(BD351:BD398,BM365,BE351:BE398,BO365)+COUNTIFS(BF351:BF398,BM365,BG351:BG398,BO365)+COUNTIFS(BH351:BH398,BM365,BI351:BI398,BO365)+COUNTIFS(BJ351:BJ398,BM365,BK351:BK398,BO365))*0.5</f>
        <v>0</v>
      </c>
      <c r="BQ365" s="136" t="str">
        <f t="shared" si="218"/>
        <v>Estudo Autónomo</v>
      </c>
      <c r="BR365" s="136" t="str">
        <f t="shared" si="218"/>
        <v/>
      </c>
      <c r="BS365" s="136" t="str">
        <f t="shared" si="219"/>
        <v>Estudo Autónomo</v>
      </c>
      <c r="BT365" s="136">
        <f t="shared" si="225"/>
        <v>0</v>
      </c>
      <c r="BU365" s="136">
        <f t="shared" si="226"/>
        <v>0</v>
      </c>
      <c r="CA365" s="136">
        <f>'INFO BASE'!L445</f>
        <v>0</v>
      </c>
      <c r="CB365" s="136">
        <f>'INFO BASE'!M445</f>
        <v>0</v>
      </c>
      <c r="CD365" s="136" t="str">
        <f>IF('INFO BASE'!E379="","",'INFO BASE'!E379)</f>
        <v/>
      </c>
      <c r="CR365" s="177" t="str">
        <f t="shared" si="207"/>
        <v>PV</v>
      </c>
      <c r="CS365" s="177">
        <f t="shared" si="208"/>
        <v>0</v>
      </c>
      <c r="CT365" s="177" t="str">
        <f t="shared" si="207"/>
        <v>PV</v>
      </c>
      <c r="CU365" s="177">
        <f t="shared" si="209"/>
        <v>0</v>
      </c>
      <c r="CV365" s="177" t="str">
        <f t="shared" si="207"/>
        <v>PV</v>
      </c>
      <c r="CW365" s="177">
        <f t="shared" si="210"/>
        <v>0</v>
      </c>
      <c r="CX365" s="177" t="str">
        <f t="shared" si="207"/>
        <v>PV</v>
      </c>
      <c r="CY365" s="177">
        <f t="shared" si="211"/>
        <v>0</v>
      </c>
      <c r="CZ365" s="177" t="str">
        <f t="shared" si="207"/>
        <v>PV</v>
      </c>
      <c r="DA365" s="177">
        <f t="shared" si="212"/>
        <v>0</v>
      </c>
      <c r="DB365" s="177" t="str">
        <f t="shared" si="207"/>
        <v>HS</v>
      </c>
      <c r="DC365" s="177" t="str">
        <f t="shared" si="213"/>
        <v>HS-</v>
      </c>
      <c r="DD365" s="177" t="str">
        <f t="shared" si="214"/>
        <v>HS</v>
      </c>
      <c r="DE365" s="177" t="str">
        <f t="shared" si="215"/>
        <v>HS-</v>
      </c>
    </row>
    <row r="366" spans="1:109" ht="18" customHeight="1" x14ac:dyDescent="0.3">
      <c r="A366" s="81">
        <v>0.31250000000000999</v>
      </c>
      <c r="B366" s="166" t="s">
        <v>11</v>
      </c>
      <c r="C366" s="130" t="s">
        <v>120</v>
      </c>
      <c r="D366" s="169" t="s">
        <v>11</v>
      </c>
      <c r="E366" s="130" t="s">
        <v>120</v>
      </c>
      <c r="F366" s="169" t="s">
        <v>11</v>
      </c>
      <c r="G366" s="130" t="s">
        <v>120</v>
      </c>
      <c r="H366" s="169" t="s">
        <v>11</v>
      </c>
      <c r="I366" s="130" t="s">
        <v>120</v>
      </c>
      <c r="J366" s="169" t="s">
        <v>11</v>
      </c>
      <c r="K366" s="130" t="s">
        <v>120</v>
      </c>
      <c r="L366" s="169" t="s">
        <v>10</v>
      </c>
      <c r="M366" s="130" t="s">
        <v>120</v>
      </c>
      <c r="N366" s="169" t="s">
        <v>10</v>
      </c>
      <c r="O366" s="154" t="s">
        <v>120</v>
      </c>
      <c r="P366" s="6">
        <v>0</v>
      </c>
      <c r="Q366" s="110" t="str">
        <f t="shared" si="223"/>
        <v>Estudo Autónomo</v>
      </c>
      <c r="R366" s="105" t="str">
        <f t="shared" si="224"/>
        <v>AL</v>
      </c>
      <c r="S366" s="88">
        <f t="shared" si="221"/>
        <v>-0.19999999999999996</v>
      </c>
      <c r="T366" s="89">
        <f>IF(VLOOKUP(Q366,'INFO BASE'!$B$40:$I$54,IF(R366='INFO BASE'!$B$32,3,IF(R366='INFO BASE'!$B$33,4,IF(R366='INFO BASE'!$B$34,5,IF(R366='INFO BASE'!$B$35,6,IF(R366='INFO BASE'!$B$36,7,IF(R366='INFO BASE'!$B$37,8,2)))))),0)=0,"",VLOOKUP(Q366,'INFO BASE'!$B$40:$I$54,IF(R366='INFO BASE'!$B$32,3,IF(R366='INFO BASE'!$B$33,4,IF(R366='INFO BASE'!$B$34,5,IF(R366='INFO BASE'!$B$35,6,IF(R366='INFO BASE'!$B$36,7,IF(R366='INFO BASE'!$B$37,8,2)))))),0))</f>
        <v>5</v>
      </c>
      <c r="U366" s="89">
        <f>(COUNTIFS(C351:C398,R366,B351:B398,R362)+COUNTIFS(E351:E398,R366,D351:D398,R362)+COUNTIFS(G351:G398,R366,F351:F398,R362)+COUNTIFS(I351:I398,R366,H351:H398,R362)+COUNTIFS(K351:K398,R366,J351:J398,R362)+COUNTIFS(M351:M398,R366,L351:L398,R362)+COUNTIFS(O351:O398,R366,N351:N398,R362))*0.5</f>
        <v>4</v>
      </c>
      <c r="V366" s="89">
        <f>(COUNTIFS(AI351:AI398,R362,AJ351:AJ398,R366)+COUNTIFS(AK351:AK398,R362,AL351:AL398,R366)+COUNTIFS(AM351:AM398,R362,AN351:AN398,R366)+COUNTIFS(AO351:AO398,R362,AP351:AP398,R366)+COUNTIFS(AQ351:AQ398,R362,AR351:AR398,R366)+COUNTIFS(AS351:AS398,R362,AT351:AT398,R366)+COUNTIFS(AU351:AU398,R362,AV351:AV398,R366))*0.5</f>
        <v>0</v>
      </c>
      <c r="W366" s="90">
        <f>IF(AH347="","-",IF(V366=0,U366,IFERROR((U366/V366)-1,"-")))</f>
        <v>4</v>
      </c>
      <c r="X366" s="200">
        <f t="shared" si="222"/>
        <v>1</v>
      </c>
      <c r="Y366" s="299" t="s">
        <v>258</v>
      </c>
      <c r="Z366" s="300"/>
      <c r="AA366" s="300"/>
      <c r="AB366" s="300"/>
      <c r="AC366" s="300"/>
      <c r="AD366" s="300"/>
      <c r="AE366" s="300"/>
      <c r="AF366" s="301"/>
      <c r="AH366" s="136">
        <v>0.31250000000000999</v>
      </c>
      <c r="AI366" s="136" t="s">
        <v>11</v>
      </c>
      <c r="AJ366" s="136" t="s">
        <v>120</v>
      </c>
      <c r="AK366" s="136" t="s">
        <v>11</v>
      </c>
      <c r="AL366" s="136" t="s">
        <v>120</v>
      </c>
      <c r="AM366" s="136" t="s">
        <v>11</v>
      </c>
      <c r="AN366" s="136" t="s">
        <v>120</v>
      </c>
      <c r="AO366" s="136" t="s">
        <v>11</v>
      </c>
      <c r="AP366" s="136" t="s">
        <v>120</v>
      </c>
      <c r="AQ366" s="136" t="s">
        <v>11</v>
      </c>
      <c r="AR366" s="136" t="s">
        <v>120</v>
      </c>
      <c r="AS366" s="136" t="s">
        <v>10</v>
      </c>
      <c r="AT366" s="136" t="s">
        <v>120</v>
      </c>
      <c r="AU366" s="136" t="s">
        <v>10</v>
      </c>
      <c r="AV366" s="136" t="s">
        <v>120</v>
      </c>
      <c r="AX366" s="136" t="str">
        <f>IF(AI347="","",IF(B366="","",B366))</f>
        <v>HD</v>
      </c>
      <c r="AY366" s="136" t="str">
        <f>IF(AI347="","",IF(C366="","",C366))</f>
        <v>-</v>
      </c>
      <c r="AZ366" s="136" t="str">
        <f>IF(AI347="","",IF(D366="","",D366))</f>
        <v>HD</v>
      </c>
      <c r="BA366" s="136" t="str">
        <f>IF(AI347="","",IF(E366="","",E366))</f>
        <v>-</v>
      </c>
      <c r="BB366" s="136" t="str">
        <f>IF(AI347="","",IF(F366="","",F366))</f>
        <v>HD</v>
      </c>
      <c r="BC366" s="136" t="str">
        <f>IF(AI347="","",IF(G366="","",G366))</f>
        <v>-</v>
      </c>
      <c r="BD366" s="136" t="str">
        <f>IF(AI347="","",IF(H366="","",H366))</f>
        <v>HD</v>
      </c>
      <c r="BE366" s="136" t="str">
        <f>IF(AI347="","",IF(I366="","",I366))</f>
        <v>-</v>
      </c>
      <c r="BF366" s="136" t="str">
        <f>IF(AI347="","",IF(J366="","",J366))</f>
        <v>HD</v>
      </c>
      <c r="BG366" s="136" t="str">
        <f>IF(AI347="","",IF(K366="","",K366))</f>
        <v>-</v>
      </c>
      <c r="BH366" s="136" t="str">
        <f>IF(AI347="","",IF(L366="","",L366))</f>
        <v>HS</v>
      </c>
      <c r="BI366" s="136" t="str">
        <f>IF(AI347="","",IF(M366="","",M366))</f>
        <v>-</v>
      </c>
      <c r="BJ366" s="136" t="str">
        <f>IF(AI347="","",IF(N366="","",N366))</f>
        <v>HS</v>
      </c>
      <c r="BK366" s="136" t="str">
        <f>IF(AI347="","",IF(O366="","",O366))</f>
        <v>-</v>
      </c>
      <c r="BM366" s="136" t="str">
        <f>BO366</f>
        <v>EG</v>
      </c>
      <c r="BN366" s="136" t="str">
        <f t="shared" si="217"/>
        <v>Estudo em Grupo</v>
      </c>
      <c r="BO366" s="136" t="str">
        <f t="shared" si="217"/>
        <v>EG</v>
      </c>
      <c r="BP366" s="136">
        <f>COUNTIFS(AX351:BK398,BO366)*0.5</f>
        <v>9.5</v>
      </c>
      <c r="BQ366" s="136" t="str">
        <f t="shared" si="218"/>
        <v>Estudo em Grupo</v>
      </c>
      <c r="BR366" s="136" t="str">
        <f t="shared" si="218"/>
        <v>EG</v>
      </c>
      <c r="BS366" s="136" t="str">
        <f t="shared" si="219"/>
        <v>Estudo em Grupo</v>
      </c>
      <c r="BT366" s="136">
        <f t="shared" si="225"/>
        <v>46.5</v>
      </c>
      <c r="BU366" s="136">
        <f t="shared" si="226"/>
        <v>55.5</v>
      </c>
      <c r="CA366" s="136">
        <f>'INFO BASE'!L446</f>
        <v>0</v>
      </c>
      <c r="CB366" s="136">
        <f>'INFO BASE'!M446</f>
        <v>0</v>
      </c>
      <c r="CD366" s="136" t="str">
        <f>IF('INFO BASE'!E380="","",'INFO BASE'!E380)</f>
        <v/>
      </c>
      <c r="CR366" s="177" t="str">
        <f t="shared" si="207"/>
        <v>HD</v>
      </c>
      <c r="CS366" s="177" t="str">
        <f t="shared" si="208"/>
        <v>HD-</v>
      </c>
      <c r="CT366" s="177" t="str">
        <f t="shared" si="207"/>
        <v>HD</v>
      </c>
      <c r="CU366" s="177" t="str">
        <f t="shared" si="209"/>
        <v>HD-</v>
      </c>
      <c r="CV366" s="177" t="str">
        <f t="shared" si="207"/>
        <v>HD</v>
      </c>
      <c r="CW366" s="177" t="str">
        <f t="shared" si="210"/>
        <v>HD-</v>
      </c>
      <c r="CX366" s="177" t="str">
        <f t="shared" si="207"/>
        <v>HD</v>
      </c>
      <c r="CY366" s="177" t="str">
        <f t="shared" si="211"/>
        <v>HD-</v>
      </c>
      <c r="CZ366" s="177" t="str">
        <f t="shared" si="207"/>
        <v>HD</v>
      </c>
      <c r="DA366" s="177" t="str">
        <f t="shared" si="212"/>
        <v>HD-</v>
      </c>
      <c r="DB366" s="177" t="str">
        <f t="shared" si="207"/>
        <v>HS</v>
      </c>
      <c r="DC366" s="177" t="str">
        <f t="shared" si="213"/>
        <v>HS-</v>
      </c>
      <c r="DD366" s="177" t="str">
        <f t="shared" si="214"/>
        <v>HS</v>
      </c>
      <c r="DE366" s="177" t="str">
        <f t="shared" si="215"/>
        <v>HS-</v>
      </c>
    </row>
    <row r="367" spans="1:109" ht="18" customHeight="1" x14ac:dyDescent="0.3">
      <c r="A367" s="81">
        <v>0.33333333333334397</v>
      </c>
      <c r="B367" s="166" t="s">
        <v>11</v>
      </c>
      <c r="C367" s="130" t="s">
        <v>120</v>
      </c>
      <c r="D367" s="169" t="s">
        <v>11</v>
      </c>
      <c r="E367" s="130" t="s">
        <v>120</v>
      </c>
      <c r="F367" s="169" t="s">
        <v>11</v>
      </c>
      <c r="G367" s="130" t="s">
        <v>120</v>
      </c>
      <c r="H367" s="169" t="s">
        <v>11</v>
      </c>
      <c r="I367" s="130" t="s">
        <v>120</v>
      </c>
      <c r="J367" s="169" t="s">
        <v>11</v>
      </c>
      <c r="K367" s="130" t="s">
        <v>120</v>
      </c>
      <c r="L367" s="169" t="s">
        <v>10</v>
      </c>
      <c r="M367" s="130" t="s">
        <v>120</v>
      </c>
      <c r="N367" s="169" t="s">
        <v>10</v>
      </c>
      <c r="O367" s="154" t="s">
        <v>120</v>
      </c>
      <c r="P367" s="6">
        <v>0</v>
      </c>
      <c r="Q367" s="110" t="str">
        <f t="shared" si="223"/>
        <v>Estudo Autónomo</v>
      </c>
      <c r="R367" s="105" t="str">
        <f t="shared" si="224"/>
        <v>CDI</v>
      </c>
      <c r="S367" s="88">
        <f t="shared" si="221"/>
        <v>-0.5</v>
      </c>
      <c r="T367" s="89">
        <f>IF(VLOOKUP(Q367,'INFO BASE'!$B$40:$I$54,IF(R367='INFO BASE'!$B$32,3,IF(R367='INFO BASE'!$B$33,4,IF(R367='INFO BASE'!$B$34,5,IF(R367='INFO BASE'!$B$35,6,IF(R367='INFO BASE'!$B$36,7,IF(R367='INFO BASE'!$B$37,8,2)))))),0)=0,"",VLOOKUP(Q367,'INFO BASE'!$B$40:$I$54,IF(R367='INFO BASE'!$B$32,3,IF(R367='INFO BASE'!$B$33,4,IF(R367='INFO BASE'!$B$34,5,IF(R367='INFO BASE'!$B$35,6,IF(R367='INFO BASE'!$B$36,7,IF(R367='INFO BASE'!$B$37,8,2)))))),0))</f>
        <v>5</v>
      </c>
      <c r="U367" s="89">
        <f>(COUNTIFS(C351:C398,R367,B351:B398,R362)+COUNTIFS(E351:E398,R367,D351:D398,R362)+COUNTIFS(G351:G398,R367,F351:F398,R362)+COUNTIFS(I351:I398,R367,H351:H398,R362)+COUNTIFS(K351:K398,R367,J351:J398,R362)+COUNTIFS(M351:M398,R367,L351:L398,R362)+COUNTIFS(O351:O398,R367,N351:N398,R362))*0.5</f>
        <v>2.5</v>
      </c>
      <c r="V367" s="89">
        <f>(COUNTIFS(AI351:AI398,R362,AJ351:AJ398,R367)+COUNTIFS(AK351:AK398,R362,AL351:AL398,R367)+COUNTIFS(AM351:AM398,R362,AN351:AN398,R367)+COUNTIFS(AO351:AO398,R362,AP351:AP398,R367)+COUNTIFS(AQ351:AQ398,R362,AR351:AR398,R367)+COUNTIFS(AS351:AS398,R362,AT351:AT398,R367)+COUNTIFS(AU351:AU398,R362,AV351:AV398,R367))*0.5</f>
        <v>2.5</v>
      </c>
      <c r="W367" s="90">
        <f>IF(AH347="","-",IF(V367=0,U367,IFERROR((U367/V367)-1,"-")))</f>
        <v>0</v>
      </c>
      <c r="X367" s="200">
        <f t="shared" si="222"/>
        <v>0</v>
      </c>
      <c r="Y367" s="299"/>
      <c r="Z367" s="300"/>
      <c r="AA367" s="300"/>
      <c r="AB367" s="300"/>
      <c r="AC367" s="300"/>
      <c r="AD367" s="300"/>
      <c r="AE367" s="300"/>
      <c r="AF367" s="301"/>
      <c r="AH367" s="136">
        <v>0.33333333333334397</v>
      </c>
      <c r="AI367" s="136" t="s">
        <v>11</v>
      </c>
      <c r="AJ367" s="136" t="s">
        <v>120</v>
      </c>
      <c r="AK367" s="136" t="s">
        <v>11</v>
      </c>
      <c r="AL367" s="136" t="s">
        <v>120</v>
      </c>
      <c r="AM367" s="136" t="s">
        <v>11</v>
      </c>
      <c r="AN367" s="136" t="s">
        <v>120</v>
      </c>
      <c r="AO367" s="136" t="s">
        <v>11</v>
      </c>
      <c r="AP367" s="136" t="s">
        <v>120</v>
      </c>
      <c r="AQ367" s="136" t="s">
        <v>11</v>
      </c>
      <c r="AR367" s="136" t="s">
        <v>120</v>
      </c>
      <c r="AS367" s="136" t="s">
        <v>10</v>
      </c>
      <c r="AT367" s="136" t="s">
        <v>120</v>
      </c>
      <c r="AU367" s="136" t="s">
        <v>10</v>
      </c>
      <c r="AV367" s="136" t="s">
        <v>120</v>
      </c>
      <c r="AX367" s="136" t="str">
        <f>IF(AI347="","",IF(B367="","",B367))</f>
        <v>HD</v>
      </c>
      <c r="AY367" s="136" t="str">
        <f>IF(AI347="","",IF(C367="","",C367))</f>
        <v>-</v>
      </c>
      <c r="AZ367" s="136" t="str">
        <f>IF(AI347="","",IF(D367="","",D367))</f>
        <v>HD</v>
      </c>
      <c r="BA367" s="136" t="str">
        <f>IF(AI347="","",IF(E367="","",E367))</f>
        <v>-</v>
      </c>
      <c r="BB367" s="136" t="str">
        <f>IF(AI347="","",IF(F367="","",F367))</f>
        <v>HD</v>
      </c>
      <c r="BC367" s="136" t="str">
        <f>IF(AI347="","",IF(G367="","",G367))</f>
        <v>-</v>
      </c>
      <c r="BD367" s="136" t="str">
        <f>IF(AI347="","",IF(H367="","",H367))</f>
        <v>HD</v>
      </c>
      <c r="BE367" s="136" t="str">
        <f>IF(AI347="","",IF(I367="","",I367))</f>
        <v>-</v>
      </c>
      <c r="BF367" s="136" t="str">
        <f>IF(AI347="","",IF(J367="","",J367))</f>
        <v>HD</v>
      </c>
      <c r="BG367" s="136" t="str">
        <f>IF(AI347="","",IF(K367="","",K367))</f>
        <v>-</v>
      </c>
      <c r="BH367" s="136" t="str">
        <f>IF(AI347="","",IF(L367="","",L367))</f>
        <v>HS</v>
      </c>
      <c r="BI367" s="136" t="str">
        <f>IF(AI347="","",IF(M367="","",M367))</f>
        <v>-</v>
      </c>
      <c r="BJ367" s="136" t="str">
        <f>IF(AI347="","",IF(N367="","",N367))</f>
        <v>HS</v>
      </c>
      <c r="BK367" s="136" t="str">
        <f>IF(AI347="","",IF(O367="","",O367))</f>
        <v>-</v>
      </c>
      <c r="BM367" s="136" t="str">
        <f>BM366</f>
        <v>EG</v>
      </c>
      <c r="BN367" s="136" t="str">
        <f t="shared" si="217"/>
        <v>Estudo em Grupo</v>
      </c>
      <c r="BO367" s="136" t="str">
        <f t="shared" si="217"/>
        <v>FP</v>
      </c>
      <c r="BP367" s="136">
        <f>(COUNTIFS(AX351:AX398,BM367,AY351:AY398,BO367)+COUNTIFS(AZ351:AZ398,BM367,BA351:BA398,BO367)+COUNTIFS(BB351:BB398,BM367,BC351:BC398,BO367)+COUNTIFS(BD351:BD398,BM367,BE351:BE398,BO367)+COUNTIFS(BF351:BF398,BM367,BG351:BG398,BO367)+COUNTIFS(BH351:BH398,BM367,BI351:BI398,BO367)+COUNTIFS(BJ351:BJ398,BM367,BK351:BK398,BO367))*0.5</f>
        <v>2</v>
      </c>
      <c r="BQ367" s="136" t="str">
        <f t="shared" si="218"/>
        <v>Estudo em Grupo</v>
      </c>
      <c r="BR367" s="136" t="str">
        <f t="shared" si="218"/>
        <v>FP</v>
      </c>
      <c r="BS367" s="136" t="str">
        <f t="shared" si="219"/>
        <v>Estudo em Grupo</v>
      </c>
      <c r="BT367" s="136">
        <f t="shared" si="225"/>
        <v>11</v>
      </c>
      <c r="BU367" s="136">
        <f t="shared" si="226"/>
        <v>12</v>
      </c>
      <c r="CA367" s="136">
        <f>'INFO BASE'!L447</f>
        <v>0</v>
      </c>
      <c r="CB367" s="136">
        <f>'INFO BASE'!M447</f>
        <v>0</v>
      </c>
      <c r="CD367" s="136" t="str">
        <f>IF('INFO BASE'!F381="","",'INFO BASE'!F381)</f>
        <v/>
      </c>
      <c r="CR367" s="177" t="str">
        <f t="shared" si="207"/>
        <v>HD</v>
      </c>
      <c r="CS367" s="177" t="str">
        <f t="shared" si="208"/>
        <v>HD-</v>
      </c>
      <c r="CT367" s="177" t="str">
        <f t="shared" si="207"/>
        <v>HD</v>
      </c>
      <c r="CU367" s="177" t="str">
        <f t="shared" si="209"/>
        <v>HD-</v>
      </c>
      <c r="CV367" s="177" t="str">
        <f t="shared" si="207"/>
        <v>HD</v>
      </c>
      <c r="CW367" s="177" t="str">
        <f t="shared" si="210"/>
        <v>HD-</v>
      </c>
      <c r="CX367" s="177" t="str">
        <f t="shared" si="207"/>
        <v>HD</v>
      </c>
      <c r="CY367" s="177" t="str">
        <f t="shared" si="211"/>
        <v>HD-</v>
      </c>
      <c r="CZ367" s="177" t="str">
        <f t="shared" si="207"/>
        <v>HD</v>
      </c>
      <c r="DA367" s="177" t="str">
        <f t="shared" si="212"/>
        <v>HD-</v>
      </c>
      <c r="DB367" s="177" t="str">
        <f t="shared" si="207"/>
        <v>HS</v>
      </c>
      <c r="DC367" s="177" t="str">
        <f t="shared" si="213"/>
        <v>HS-</v>
      </c>
      <c r="DD367" s="177" t="str">
        <f t="shared" si="214"/>
        <v>HS</v>
      </c>
      <c r="DE367" s="177" t="str">
        <f t="shared" si="215"/>
        <v>HS-</v>
      </c>
    </row>
    <row r="368" spans="1:109" ht="18" customHeight="1" thickBot="1" x14ac:dyDescent="0.35">
      <c r="A368" s="81">
        <v>0.35416666666667801</v>
      </c>
      <c r="B368" s="166" t="s">
        <v>11</v>
      </c>
      <c r="C368" s="130" t="s">
        <v>120</v>
      </c>
      <c r="D368" s="169" t="s">
        <v>11</v>
      </c>
      <c r="E368" s="130" t="s">
        <v>120</v>
      </c>
      <c r="F368" s="169" t="s">
        <v>130</v>
      </c>
      <c r="G368" s="130" t="s">
        <v>230</v>
      </c>
      <c r="H368" s="169" t="s">
        <v>11</v>
      </c>
      <c r="I368" s="130" t="s">
        <v>120</v>
      </c>
      <c r="J368" s="169" t="s">
        <v>11</v>
      </c>
      <c r="K368" s="130" t="s">
        <v>120</v>
      </c>
      <c r="L368" s="169" t="s">
        <v>116</v>
      </c>
      <c r="M368" s="130" t="s">
        <v>120</v>
      </c>
      <c r="N368" s="169" t="s">
        <v>10</v>
      </c>
      <c r="O368" s="154" t="s">
        <v>120</v>
      </c>
      <c r="P368" s="6">
        <v>0</v>
      </c>
      <c r="Q368" s="112" t="str">
        <f t="shared" si="223"/>
        <v>Estudo Autónomo</v>
      </c>
      <c r="R368" s="107" t="str">
        <f t="shared" si="224"/>
        <v/>
      </c>
      <c r="S368" s="94" t="str">
        <f t="shared" si="221"/>
        <v>-</v>
      </c>
      <c r="T368" s="95" t="str">
        <f>IF(VLOOKUP(Q368,'INFO BASE'!$B$40:$I$54,IF(R368='INFO BASE'!$B$32,3,IF(R368='INFO BASE'!$B$33,4,IF(R368='INFO BASE'!$B$34,5,IF(R368='INFO BASE'!$B$35,6,IF(R368='INFO BASE'!$B$36,7,IF(R368='INFO BASE'!$B$37,8,2)))))),0)=0,"",VLOOKUP(Q368,'INFO BASE'!$B$40:$I$54,IF(R368='INFO BASE'!$B$32,3,IF(R368='INFO BASE'!$B$33,4,IF(R368='INFO BASE'!$B$34,5,IF(R368='INFO BASE'!$B$35,6,IF(R368='INFO BASE'!$B$36,7,IF(R368='INFO BASE'!$B$37,8,2)))))),0))</f>
        <v/>
      </c>
      <c r="U368" s="95">
        <f>(COUNTIFS(C351:C398,R368,B351:B398,R362)+COUNTIFS(E351:E398,R368,D351:D398,R362)+COUNTIFS(G351:G398,R368,F351:F398,R362)+COUNTIFS(I351:I398,R368,H351:H398,R362)+COUNTIFS(K351:K398,R368,J351:J398,R362)+COUNTIFS(M351:M398,R368,L351:L398,R362)+COUNTIFS(O351:O398,R368,N351:N398,R362))*0.5</f>
        <v>0</v>
      </c>
      <c r="V368" s="95">
        <f>(COUNTIFS(AI351:AI398,R362,AJ351:AJ398,R368)+COUNTIFS(AK351:AK398,R362,AL351:AL398,R368)+COUNTIFS(AM351:AM398,R362,AN351:AN398,R368)+COUNTIFS(AO351:AO398,R362,AP351:AP398,R368)+COUNTIFS(AQ351:AQ398,R362,AR351:AR398,R368)+COUNTIFS(AS351:AS398,R362,AT351:AT398,R368)+COUNTIFS(AU351:AU398,R362,AV351:AV398,R368))*0.5</f>
        <v>0</v>
      </c>
      <c r="W368" s="96">
        <f>IF(AH347="","-",IF(V368=0,U368,IFERROR((U368/V368)-1,"-")))</f>
        <v>0</v>
      </c>
      <c r="X368" s="201">
        <f t="shared" si="222"/>
        <v>0</v>
      </c>
      <c r="Y368" s="274"/>
      <c r="Z368" s="275"/>
      <c r="AA368" s="275"/>
      <c r="AB368" s="275"/>
      <c r="AC368" s="275"/>
      <c r="AD368" s="275"/>
      <c r="AE368" s="275"/>
      <c r="AF368" s="276"/>
      <c r="AH368" s="136">
        <v>0.35416666666667801</v>
      </c>
      <c r="AI368" s="136" t="s">
        <v>11</v>
      </c>
      <c r="AJ368" s="136" t="s">
        <v>120</v>
      </c>
      <c r="AK368" s="136" t="s">
        <v>11</v>
      </c>
      <c r="AL368" s="136" t="s">
        <v>120</v>
      </c>
      <c r="AM368" s="136" t="s">
        <v>130</v>
      </c>
      <c r="AN368" s="136" t="s">
        <v>230</v>
      </c>
      <c r="AO368" s="136" t="s">
        <v>11</v>
      </c>
      <c r="AP368" s="136" t="s">
        <v>120</v>
      </c>
      <c r="AQ368" s="136" t="s">
        <v>11</v>
      </c>
      <c r="AR368" s="136" t="s">
        <v>120</v>
      </c>
      <c r="AS368" s="136" t="s">
        <v>116</v>
      </c>
      <c r="AT368" s="136" t="s">
        <v>120</v>
      </c>
      <c r="AU368" s="136" t="s">
        <v>10</v>
      </c>
      <c r="AV368" s="136" t="s">
        <v>120</v>
      </c>
      <c r="AX368" s="136" t="str">
        <f>IF(AI347="","",IF(B368="","",B368))</f>
        <v>HD</v>
      </c>
      <c r="AY368" s="136" t="str">
        <f>IF(AI347="","",IF(C368="","",C368))</f>
        <v>-</v>
      </c>
      <c r="AZ368" s="136" t="str">
        <f>IF(AI347="","",IF(D368="","",D368))</f>
        <v>HD</v>
      </c>
      <c r="BA368" s="136" t="str">
        <f>IF(AI347="","",IF(E368="","",E368))</f>
        <v>-</v>
      </c>
      <c r="BB368" s="136" t="str">
        <f>IF(AI347="","",IF(F368="","",F368))</f>
        <v>APB</v>
      </c>
      <c r="BC368" s="136" t="str">
        <f>IF(AI347="","",IF(G368="","",G368))</f>
        <v>AL</v>
      </c>
      <c r="BD368" s="136" t="str">
        <f>IF(AI347="","",IF(H368="","",H368))</f>
        <v>HD</v>
      </c>
      <c r="BE368" s="136" t="str">
        <f>IF(AI347="","",IF(I368="","",I368))</f>
        <v>-</v>
      </c>
      <c r="BF368" s="136" t="str">
        <f>IF(AI347="","",IF(J368="","",J368))</f>
        <v>HD</v>
      </c>
      <c r="BG368" s="136" t="str">
        <f>IF(AI347="","",IF(K368="","",K368))</f>
        <v>-</v>
      </c>
      <c r="BH368" s="136" t="str">
        <f>IF(AI347="","",IF(L368="","",L368))</f>
        <v>PV</v>
      </c>
      <c r="BI368" s="136" t="str">
        <f>IF(AI347="","",IF(M368="","",M368))</f>
        <v>-</v>
      </c>
      <c r="BJ368" s="136" t="str">
        <f>IF(AI347="","",IF(N368="","",N368))</f>
        <v>HS</v>
      </c>
      <c r="BK368" s="136" t="str">
        <f>IF(AI347="","",IF(O368="","",O368))</f>
        <v>-</v>
      </c>
      <c r="BM368" s="136" t="str">
        <f t="shared" ref="BM368:BM372" si="227">BM367</f>
        <v>EG</v>
      </c>
      <c r="BN368" s="136" t="str">
        <f t="shared" si="217"/>
        <v>Estudo em Grupo</v>
      </c>
      <c r="BO368" s="136" t="str">
        <f t="shared" si="217"/>
        <v>IEI</v>
      </c>
      <c r="BP368" s="136">
        <f>(COUNTIFS(AX351:AX398,BM368,AY351:AY398,BO368)+COUNTIFS(AZ351:AZ398,BM368,BA351:BA398,BO368)+COUNTIFS(BB351:BB398,BM368,BC351:BC398,BO368)+COUNTIFS(BD351:BD398,BM368,BE351:BE398,BO368)+COUNTIFS(BF351:BF398,BM368,BG351:BG398,BO368)+COUNTIFS(BH351:BH398,BM368,BI351:BI398,BO368)+COUNTIFS(BJ351:BJ398,BM368,BK351:BK398,BO368))*0.5</f>
        <v>0</v>
      </c>
      <c r="BQ368" s="136" t="str">
        <f t="shared" si="218"/>
        <v>Estudo em Grupo</v>
      </c>
      <c r="BR368" s="136" t="str">
        <f t="shared" si="218"/>
        <v>IEI</v>
      </c>
      <c r="BS368" s="136" t="str">
        <f t="shared" si="219"/>
        <v>Estudo em Grupo</v>
      </c>
      <c r="BT368" s="136">
        <f t="shared" si="225"/>
        <v>2.5</v>
      </c>
      <c r="BU368" s="136">
        <f t="shared" si="226"/>
        <v>7</v>
      </c>
      <c r="CA368" s="136">
        <f>'INFO BASE'!L448</f>
        <v>0</v>
      </c>
      <c r="CB368" s="136">
        <f>'INFO BASE'!M448</f>
        <v>0</v>
      </c>
      <c r="CR368" s="177" t="str">
        <f t="shared" si="207"/>
        <v>HD</v>
      </c>
      <c r="CS368" s="177" t="str">
        <f t="shared" si="208"/>
        <v>HD-</v>
      </c>
      <c r="CT368" s="177" t="str">
        <f t="shared" si="207"/>
        <v>HD</v>
      </c>
      <c r="CU368" s="177" t="str">
        <f t="shared" si="209"/>
        <v>HD-</v>
      </c>
      <c r="CV368" s="177" t="str">
        <f t="shared" si="207"/>
        <v>APB</v>
      </c>
      <c r="CW368" s="177" t="str">
        <f t="shared" si="210"/>
        <v>APBAL</v>
      </c>
      <c r="CX368" s="177" t="str">
        <f t="shared" si="207"/>
        <v>HD</v>
      </c>
      <c r="CY368" s="177" t="str">
        <f t="shared" si="211"/>
        <v>HD-</v>
      </c>
      <c r="CZ368" s="177" t="str">
        <f t="shared" si="207"/>
        <v>HD</v>
      </c>
      <c r="DA368" s="177" t="str">
        <f t="shared" si="212"/>
        <v>HD-</v>
      </c>
      <c r="DB368" s="177" t="str">
        <f t="shared" si="207"/>
        <v>PV</v>
      </c>
      <c r="DC368" s="177">
        <f t="shared" si="213"/>
        <v>0</v>
      </c>
      <c r="DD368" s="177" t="str">
        <f t="shared" si="214"/>
        <v>HS</v>
      </c>
      <c r="DE368" s="177" t="str">
        <f t="shared" si="215"/>
        <v>HS-</v>
      </c>
    </row>
    <row r="369" spans="1:109" ht="18" customHeight="1" x14ac:dyDescent="0.3">
      <c r="A369" s="81">
        <v>0.37500000000001199</v>
      </c>
      <c r="B369" s="166" t="s">
        <v>9</v>
      </c>
      <c r="C369" s="130" t="s">
        <v>228</v>
      </c>
      <c r="D369" s="169" t="s">
        <v>9</v>
      </c>
      <c r="E369" s="130" t="s">
        <v>226</v>
      </c>
      <c r="F369" s="169" t="s">
        <v>130</v>
      </c>
      <c r="G369" s="130" t="s">
        <v>230</v>
      </c>
      <c r="H369" s="169" t="s">
        <v>9</v>
      </c>
      <c r="I369" s="130" t="s">
        <v>228</v>
      </c>
      <c r="J369" s="169" t="s">
        <v>9</v>
      </c>
      <c r="K369" s="130" t="s">
        <v>224</v>
      </c>
      <c r="L369" s="169" t="s">
        <v>116</v>
      </c>
      <c r="M369" s="130" t="s">
        <v>120</v>
      </c>
      <c r="N369" s="169" t="s">
        <v>10</v>
      </c>
      <c r="O369" s="154" t="s">
        <v>120</v>
      </c>
      <c r="P369" s="6">
        <v>0</v>
      </c>
      <c r="Q369" s="113" t="str">
        <f>IF('INFO BASE'!$C$18="","",'INFO BASE'!$C$18)</f>
        <v>Estudo em Grupo</v>
      </c>
      <c r="R369" s="82" t="str">
        <f t="shared" si="224"/>
        <v>EG</v>
      </c>
      <c r="S369" s="83">
        <f t="shared" si="221"/>
        <v>0.1875</v>
      </c>
      <c r="T369" s="84">
        <f>IF(VLOOKUP(Q369,'INFO BASE'!$B$40:$I$54,IF(R369='INFO BASE'!$B$32,3,IF(R369='INFO BASE'!$B$33,4,IF(R369='INFO BASE'!$B$34,5,IF(R369='INFO BASE'!$B$35,6,IF(R369='INFO BASE'!$B$36,7,IF(R369='INFO BASE'!$B$37,8,2)))))),0)=0,"",VLOOKUP(Q369,'INFO BASE'!$B$40:$I$54,IF(R369='INFO BASE'!$B$32,3,IF(R369='INFO BASE'!$B$33,4,IF(R369='INFO BASE'!$B$34,5,IF(R369='INFO BASE'!$B$35,6,IF(R369='INFO BASE'!$B$36,7,IF(R369='INFO BASE'!$B$37,8,2)))))),0))</f>
        <v>8</v>
      </c>
      <c r="U369" s="84">
        <f>IF(R369="","",COUNTIFS(SEMANA7,R369)*0.5)</f>
        <v>9.5</v>
      </c>
      <c r="V369" s="84">
        <f>IF(R369="","",COUNTIFS(AI351:AV398,R369)*0.5)</f>
        <v>6</v>
      </c>
      <c r="W369" s="85">
        <f>IF(AH347="","-",IF(V369=0,U369,IFERROR((U369/V369)-1,"-")))</f>
        <v>0.58333333333333326</v>
      </c>
      <c r="X369" s="201">
        <f t="shared" si="222"/>
        <v>1</v>
      </c>
      <c r="Y369" s="277" t="s">
        <v>259</v>
      </c>
      <c r="Z369" s="278"/>
      <c r="AA369" s="278"/>
      <c r="AB369" s="278"/>
      <c r="AC369" s="278"/>
      <c r="AD369" s="278"/>
      <c r="AE369" s="278"/>
      <c r="AF369" s="279"/>
      <c r="AH369" s="136">
        <v>0.37500000000001199</v>
      </c>
      <c r="AI369" s="136" t="s">
        <v>9</v>
      </c>
      <c r="AJ369" s="136" t="s">
        <v>228</v>
      </c>
      <c r="AK369" s="136" t="s">
        <v>9</v>
      </c>
      <c r="AL369" s="136" t="s">
        <v>226</v>
      </c>
      <c r="AM369" s="136" t="s">
        <v>130</v>
      </c>
      <c r="AN369" s="136" t="s">
        <v>230</v>
      </c>
      <c r="AO369" s="136" t="s">
        <v>9</v>
      </c>
      <c r="AP369" s="136" t="s">
        <v>228</v>
      </c>
      <c r="AQ369" s="136" t="s">
        <v>9</v>
      </c>
      <c r="AR369" s="136" t="s">
        <v>224</v>
      </c>
      <c r="AS369" s="136" t="s">
        <v>116</v>
      </c>
      <c r="AT369" s="136" t="s">
        <v>120</v>
      </c>
      <c r="AU369" s="136" t="s">
        <v>10</v>
      </c>
      <c r="AV369" s="136" t="s">
        <v>120</v>
      </c>
      <c r="AX369" s="136" t="str">
        <f>IF(AI347="","",IF(B369="","",B369))</f>
        <v>AT</v>
      </c>
      <c r="AY369" s="136" t="str">
        <f>IF(AI347="","",IF(C369="","",C369))</f>
        <v>IAC</v>
      </c>
      <c r="AZ369" s="136" t="str">
        <f>IF(AI347="","",IF(D369="","",D369))</f>
        <v>AT</v>
      </c>
      <c r="BA369" s="136" t="str">
        <f>IF(AI347="","",IF(E369="","",E369))</f>
        <v>IEI</v>
      </c>
      <c r="BB369" s="136" t="str">
        <f>IF(AI347="","",IF(F369="","",F369))</f>
        <v>APB</v>
      </c>
      <c r="BC369" s="136" t="str">
        <f>IF(AI347="","",IF(G369="","",G369))</f>
        <v>AL</v>
      </c>
      <c r="BD369" s="136" t="str">
        <f>IF(AI347="","",IF(H369="","",H369))</f>
        <v>AT</v>
      </c>
      <c r="BE369" s="136" t="str">
        <f>IF(AI347="","",IF(I369="","",I369))</f>
        <v>IAC</v>
      </c>
      <c r="BF369" s="136" t="str">
        <f>IF(AI347="","",IF(J369="","",J369))</f>
        <v>AT</v>
      </c>
      <c r="BG369" s="136" t="str">
        <f>IF(AI347="","",IF(K369="","",K369))</f>
        <v>FP</v>
      </c>
      <c r="BH369" s="136" t="str">
        <f>IF(AI347="","",IF(L369="","",L369))</f>
        <v>PV</v>
      </c>
      <c r="BI369" s="136" t="str">
        <f>IF(AI347="","",IF(M369="","",M369))</f>
        <v>-</v>
      </c>
      <c r="BJ369" s="136" t="str">
        <f>IF(AI347="","",IF(N369="","",N369))</f>
        <v>HS</v>
      </c>
      <c r="BK369" s="136" t="str">
        <f>IF(AI347="","",IF(O369="","",O369))</f>
        <v>-</v>
      </c>
      <c r="BM369" s="136" t="str">
        <f t="shared" si="227"/>
        <v>EG</v>
      </c>
      <c r="BN369" s="136" t="str">
        <f t="shared" si="217"/>
        <v>Estudo em Grupo</v>
      </c>
      <c r="BO369" s="136" t="str">
        <f t="shared" si="217"/>
        <v>IAC</v>
      </c>
      <c r="BP369" s="136">
        <f>(COUNTIFS(AX351:AX398,BM369,AY351:AY398,BO369)+COUNTIFS(AZ351:AZ398,BM369,BA351:BA398,BO369)+COUNTIFS(BB351:BB398,BM369,BC351:BC398,BO369)+COUNTIFS(BD351:BD398,BM369,BE351:BE398,BO369)+COUNTIFS(BF351:BF398,BM369,BG351:BG398,BO369)+COUNTIFS(BH351:BH398,BM369,BI351:BI398,BO369)+COUNTIFS(BJ351:BJ398,BM369,BK351:BK398,BO369))*0.5</f>
        <v>6.5</v>
      </c>
      <c r="BQ369" s="136" t="str">
        <f t="shared" si="218"/>
        <v>Estudo em Grupo</v>
      </c>
      <c r="BR369" s="136" t="str">
        <f t="shared" si="218"/>
        <v>IAC</v>
      </c>
      <c r="BS369" s="136" t="str">
        <f t="shared" si="219"/>
        <v>Estudo em Grupo</v>
      </c>
      <c r="BT369" s="136">
        <f t="shared" si="225"/>
        <v>6</v>
      </c>
      <c r="BU369" s="136">
        <f t="shared" si="226"/>
        <v>10.5</v>
      </c>
      <c r="CA369" s="136">
        <f>'INFO BASE'!L449</f>
        <v>0</v>
      </c>
      <c r="CB369" s="136">
        <f>'INFO BASE'!M449</f>
        <v>0</v>
      </c>
      <c r="CR369" s="177" t="str">
        <f t="shared" si="207"/>
        <v>AT</v>
      </c>
      <c r="CS369" s="177" t="str">
        <f t="shared" si="208"/>
        <v>ATIAC</v>
      </c>
      <c r="CT369" s="177" t="str">
        <f t="shared" si="207"/>
        <v>AT</v>
      </c>
      <c r="CU369" s="177" t="str">
        <f t="shared" si="209"/>
        <v>ATIEI</v>
      </c>
      <c r="CV369" s="177" t="str">
        <f t="shared" si="207"/>
        <v>APB</v>
      </c>
      <c r="CW369" s="177" t="str">
        <f t="shared" si="210"/>
        <v>APBAL</v>
      </c>
      <c r="CX369" s="177" t="str">
        <f t="shared" si="207"/>
        <v>AT</v>
      </c>
      <c r="CY369" s="177" t="str">
        <f t="shared" si="211"/>
        <v>ATIAC</v>
      </c>
      <c r="CZ369" s="177" t="str">
        <f t="shared" si="207"/>
        <v>AT</v>
      </c>
      <c r="DA369" s="177" t="str">
        <f t="shared" si="212"/>
        <v>ATFP</v>
      </c>
      <c r="DB369" s="177" t="str">
        <f t="shared" si="207"/>
        <v>PV</v>
      </c>
      <c r="DC369" s="177">
        <f t="shared" si="213"/>
        <v>0</v>
      </c>
      <c r="DD369" s="177" t="str">
        <f t="shared" si="214"/>
        <v>HS</v>
      </c>
      <c r="DE369" s="177" t="str">
        <f t="shared" si="215"/>
        <v>HS-</v>
      </c>
    </row>
    <row r="370" spans="1:109" ht="18" customHeight="1" x14ac:dyDescent="0.3">
      <c r="A370" s="81">
        <v>0.39583333333334603</v>
      </c>
      <c r="B370" s="166" t="s">
        <v>9</v>
      </c>
      <c r="C370" s="130" t="s">
        <v>228</v>
      </c>
      <c r="D370" s="169" t="s">
        <v>9</v>
      </c>
      <c r="E370" s="130" t="s">
        <v>226</v>
      </c>
      <c r="F370" s="169" t="s">
        <v>130</v>
      </c>
      <c r="G370" s="130" t="s">
        <v>230</v>
      </c>
      <c r="H370" s="169" t="s">
        <v>9</v>
      </c>
      <c r="I370" s="130" t="s">
        <v>228</v>
      </c>
      <c r="J370" s="169" t="s">
        <v>9</v>
      </c>
      <c r="K370" s="130" t="s">
        <v>224</v>
      </c>
      <c r="L370" s="169" t="s">
        <v>116</v>
      </c>
      <c r="M370" s="130" t="s">
        <v>120</v>
      </c>
      <c r="N370" s="169" t="s">
        <v>10</v>
      </c>
      <c r="O370" s="154" t="s">
        <v>120</v>
      </c>
      <c r="P370" s="6">
        <v>0</v>
      </c>
      <c r="Q370" s="114" t="str">
        <f t="shared" ref="Q370:Q375" si="228">Q369</f>
        <v>Estudo em Grupo</v>
      </c>
      <c r="R370" s="105" t="str">
        <f t="shared" si="224"/>
        <v>FP</v>
      </c>
      <c r="S370" s="88">
        <f t="shared" si="221"/>
        <v>0</v>
      </c>
      <c r="T370" s="89">
        <f>IF(VLOOKUP(Q370,'INFO BASE'!$B$40:$I$54,IF(R370='INFO BASE'!$B$32,3,IF(R370='INFO BASE'!$B$33,4,IF(R370='INFO BASE'!$B$34,5,IF(R370='INFO BASE'!$B$35,6,IF(R370='INFO BASE'!$B$36,7,IF(R370='INFO BASE'!$B$37,8,2)))))),0)=0,"",VLOOKUP(Q370,'INFO BASE'!$B$40:$I$54,IF(R370='INFO BASE'!$B$32,3,IF(R370='INFO BASE'!$B$33,4,IF(R370='INFO BASE'!$B$34,5,IF(R370='INFO BASE'!$B$35,6,IF(R370='INFO BASE'!$B$36,7,IF(R370='INFO BASE'!$B$37,8,2)))))),0))</f>
        <v>2</v>
      </c>
      <c r="U370" s="89">
        <f>(COUNTIFS(C351:C398,R370,B351:B398,R369)+COUNTIFS(E351:E398,R370,D351:D398,R369)+COUNTIFS(G351:G398,R370,F351:F398,R369)+COUNTIFS(I351:I398,R370,H351:H398,R369)+COUNTIFS(K351:K398,R370,J351:J398,R369)+COUNTIFS(M351:M398,R370,L351:L398,R369)+COUNTIFS(O351:O398,R370,N351:N398,R369))*0.5</f>
        <v>2</v>
      </c>
      <c r="V370" s="89">
        <f>(COUNTIFS(AI351:AI398,R369,AJ351:AJ398,R363)+COUNTIFS(AK351:AK398,R369,AL351:AL398,R363)+COUNTIFS(AM351:AM398,R369,AN351:AN398,R363)+COUNTIFS(AO351:AO398,R369,AP351:AP398,R363)+COUNTIFS(AQ351:AQ398,R369,AR351:AR398,R363)+COUNTIFS(AS351:AS398,R369,AT351:AT398,R363)+COUNTIFS(AU351:AU398,R369,AV351:AV398,R363))*0.5</f>
        <v>2</v>
      </c>
      <c r="W370" s="90">
        <f>IF(AH347="","-",IF(V370=0,U370,IFERROR((U370/V370)-1,"-")))</f>
        <v>0</v>
      </c>
      <c r="X370" s="201">
        <f t="shared" si="222"/>
        <v>0</v>
      </c>
      <c r="Y370" s="271"/>
      <c r="Z370" s="272"/>
      <c r="AA370" s="272"/>
      <c r="AB370" s="272"/>
      <c r="AC370" s="272"/>
      <c r="AD370" s="272"/>
      <c r="AE370" s="272"/>
      <c r="AF370" s="273"/>
      <c r="AH370" s="136">
        <v>0.39583333333334603</v>
      </c>
      <c r="AI370" s="136" t="s">
        <v>9</v>
      </c>
      <c r="AJ370" s="136" t="s">
        <v>228</v>
      </c>
      <c r="AK370" s="136" t="s">
        <v>9</v>
      </c>
      <c r="AL370" s="136" t="s">
        <v>226</v>
      </c>
      <c r="AM370" s="136" t="s">
        <v>130</v>
      </c>
      <c r="AN370" s="136" t="s">
        <v>230</v>
      </c>
      <c r="AO370" s="136" t="s">
        <v>9</v>
      </c>
      <c r="AP370" s="136" t="s">
        <v>228</v>
      </c>
      <c r="AQ370" s="136" t="s">
        <v>9</v>
      </c>
      <c r="AR370" s="136" t="s">
        <v>224</v>
      </c>
      <c r="AS370" s="136" t="s">
        <v>116</v>
      </c>
      <c r="AT370" s="136" t="s">
        <v>120</v>
      </c>
      <c r="AU370" s="136" t="s">
        <v>10</v>
      </c>
      <c r="AV370" s="136" t="s">
        <v>120</v>
      </c>
      <c r="AX370" s="136" t="str">
        <f>IF(AI347="","",IF(B370="","",B370))</f>
        <v>AT</v>
      </c>
      <c r="AY370" s="136" t="str">
        <f>IF(AI347="","",IF(C370="","",C370))</f>
        <v>IAC</v>
      </c>
      <c r="AZ370" s="136" t="str">
        <f>IF(AI347="","",IF(D370="","",D370))</f>
        <v>AT</v>
      </c>
      <c r="BA370" s="136" t="str">
        <f>IF(AI347="","",IF(E370="","",E370))</f>
        <v>IEI</v>
      </c>
      <c r="BB370" s="136" t="str">
        <f>IF(AI347="","",IF(F370="","",F370))</f>
        <v>APB</v>
      </c>
      <c r="BC370" s="136" t="str">
        <f>IF(AI347="","",IF(G370="","",G370))</f>
        <v>AL</v>
      </c>
      <c r="BD370" s="136" t="str">
        <f>IF(AI347="","",IF(H370="","",H370))</f>
        <v>AT</v>
      </c>
      <c r="BE370" s="136" t="str">
        <f>IF(AI347="","",IF(I370="","",I370))</f>
        <v>IAC</v>
      </c>
      <c r="BF370" s="136" t="str">
        <f>IF(AI347="","",IF(J370="","",J370))</f>
        <v>AT</v>
      </c>
      <c r="BG370" s="136" t="str">
        <f>IF(AI347="","",IF(K370="","",K370))</f>
        <v>FP</v>
      </c>
      <c r="BH370" s="136" t="str">
        <f>IF(AI347="","",IF(L370="","",L370))</f>
        <v>PV</v>
      </c>
      <c r="BI370" s="136" t="str">
        <f>IF(AI347="","",IF(M370="","",M370))</f>
        <v>-</v>
      </c>
      <c r="BJ370" s="136" t="str">
        <f>IF(AI347="","",IF(N370="","",N370))</f>
        <v>HS</v>
      </c>
      <c r="BK370" s="136" t="str">
        <f>IF(AI347="","",IF(O370="","",O370))</f>
        <v>-</v>
      </c>
      <c r="BM370" s="136" t="str">
        <f t="shared" si="227"/>
        <v>EG</v>
      </c>
      <c r="BN370" s="136" t="str">
        <f t="shared" si="217"/>
        <v>Estudo em Grupo</v>
      </c>
      <c r="BO370" s="136" t="str">
        <f t="shared" si="217"/>
        <v>AL</v>
      </c>
      <c r="BP370" s="136">
        <f>(COUNTIFS(AX351:AX398,BM370,AY351:AY398,BO370)+COUNTIFS(AZ351:AZ398,BM370,BA351:BA398,BO370)+COUNTIFS(BB351:BB398,BM370,BC351:BC398,BO370)+COUNTIFS(BD351:BD398,BM370,BE351:BE398,BO370)+COUNTIFS(BF351:BF398,BM370,BG351:BG398,BO370)+COUNTIFS(BH351:BH398,BM370,BI351:BI398,BO370)+COUNTIFS(BJ351:BJ398,BM370,BK351:BK398,BO370))*0.5</f>
        <v>1</v>
      </c>
      <c r="BQ370" s="136" t="str">
        <f t="shared" si="218"/>
        <v>Estudo em Grupo</v>
      </c>
      <c r="BR370" s="136" t="str">
        <f t="shared" si="218"/>
        <v>AL</v>
      </c>
      <c r="BS370" s="136" t="str">
        <f t="shared" si="219"/>
        <v>Estudo em Grupo</v>
      </c>
      <c r="BT370" s="136">
        <f t="shared" si="225"/>
        <v>16.5</v>
      </c>
      <c r="BU370" s="136">
        <f t="shared" si="226"/>
        <v>17.5</v>
      </c>
      <c r="CA370" s="136">
        <f>'INFO BASE'!L450</f>
        <v>0</v>
      </c>
      <c r="CB370" s="136">
        <f>'INFO BASE'!M450</f>
        <v>0</v>
      </c>
      <c r="CR370" s="177" t="str">
        <f t="shared" si="207"/>
        <v>AT</v>
      </c>
      <c r="CS370" s="177" t="str">
        <f t="shared" si="208"/>
        <v>ATIAC</v>
      </c>
      <c r="CT370" s="177" t="str">
        <f t="shared" si="207"/>
        <v>AT</v>
      </c>
      <c r="CU370" s="177" t="str">
        <f t="shared" si="209"/>
        <v>ATIEI</v>
      </c>
      <c r="CV370" s="177" t="str">
        <f t="shared" si="207"/>
        <v>APB</v>
      </c>
      <c r="CW370" s="177" t="str">
        <f t="shared" si="210"/>
        <v>APBAL</v>
      </c>
      <c r="CX370" s="177" t="str">
        <f t="shared" si="207"/>
        <v>AT</v>
      </c>
      <c r="CY370" s="177" t="str">
        <f t="shared" si="211"/>
        <v>ATIAC</v>
      </c>
      <c r="CZ370" s="177" t="str">
        <f t="shared" si="207"/>
        <v>AT</v>
      </c>
      <c r="DA370" s="177" t="str">
        <f t="shared" si="212"/>
        <v>ATFP</v>
      </c>
      <c r="DB370" s="177" t="str">
        <f t="shared" si="207"/>
        <v>PV</v>
      </c>
      <c r="DC370" s="177">
        <f t="shared" si="213"/>
        <v>0</v>
      </c>
      <c r="DD370" s="177" t="str">
        <f t="shared" si="214"/>
        <v>HS</v>
      </c>
      <c r="DE370" s="177" t="str">
        <f t="shared" si="215"/>
        <v>HS-</v>
      </c>
    </row>
    <row r="371" spans="1:109" ht="18" customHeight="1" thickBot="1" x14ac:dyDescent="0.35">
      <c r="A371" s="81">
        <v>0.41666666666668001</v>
      </c>
      <c r="B371" s="166" t="s">
        <v>9</v>
      </c>
      <c r="C371" s="130" t="s">
        <v>228</v>
      </c>
      <c r="D371" s="169" t="s">
        <v>9</v>
      </c>
      <c r="E371" s="130" t="s">
        <v>226</v>
      </c>
      <c r="F371" s="169" t="s">
        <v>9</v>
      </c>
      <c r="G371" s="130" t="s">
        <v>224</v>
      </c>
      <c r="H371" s="169" t="s">
        <v>9</v>
      </c>
      <c r="I371" s="130" t="s">
        <v>228</v>
      </c>
      <c r="J371" s="169" t="s">
        <v>9</v>
      </c>
      <c r="K371" s="130" t="s">
        <v>224</v>
      </c>
      <c r="L371" s="169" t="s">
        <v>116</v>
      </c>
      <c r="M371" s="130" t="s">
        <v>120</v>
      </c>
      <c r="N371" s="169" t="s">
        <v>10</v>
      </c>
      <c r="O371" s="154" t="s">
        <v>120</v>
      </c>
      <c r="P371" s="6">
        <v>0</v>
      </c>
      <c r="Q371" s="114" t="str">
        <f t="shared" si="228"/>
        <v>Estudo em Grupo</v>
      </c>
      <c r="R371" s="105" t="str">
        <f t="shared" si="224"/>
        <v>IEI</v>
      </c>
      <c r="S371" s="88" t="str">
        <f t="shared" si="221"/>
        <v>-</v>
      </c>
      <c r="T371" s="89" t="str">
        <f>IF(VLOOKUP(Q371,'INFO BASE'!$B$40:$I$54,IF(R371='INFO BASE'!$B$32,3,IF(R371='INFO BASE'!$B$33,4,IF(R371='INFO BASE'!$B$34,5,IF(R371='INFO BASE'!$B$35,6,IF(R371='INFO BASE'!$B$36,7,IF(R371='INFO BASE'!$B$37,8,2)))))),0)=0,"",VLOOKUP(Q371,'INFO BASE'!$B$40:$I$54,IF(R371='INFO BASE'!$B$32,3,IF(R371='INFO BASE'!$B$33,4,IF(R371='INFO BASE'!$B$34,5,IF(R371='INFO BASE'!$B$35,6,IF(R371='INFO BASE'!$B$36,7,IF(R371='INFO BASE'!$B$37,8,2)))))),0))</f>
        <v/>
      </c>
      <c r="U371" s="89">
        <f>(COUNTIFS(C351:C398,R371,B351:B398,R369)+COUNTIFS(E351:E398,R371,D351:D398,R369)+COUNTIFS(G351:G398,R371,F351:F398,R369)+COUNTIFS(I351:I398,R371,H351:H398,R369)+COUNTIFS(K351:K398,R371,J351:J398,R369)+COUNTIFS(M351:M398,R371,L351:L398,R369)+COUNTIFS(O351:O398,R371,N351:N398,R369))*0.5</f>
        <v>0</v>
      </c>
      <c r="V371" s="89">
        <f>(COUNTIFS(AI351:AI398,R369,AJ351:AJ398,R364)+COUNTIFS(AK351:AK398,R369,AL351:AL398,R364)+COUNTIFS(AM351:AM398,R369,AN351:AN398,R364)+COUNTIFS(AO351:AO398,R369,AP351:AP398,R364)+COUNTIFS(AQ351:AQ398,R369,AR351:AR398,R364)+COUNTIFS(AS351:AS398,R369,AT351:AT398,R364)+COUNTIFS(AU351:AU398,R369,AV351:AV398,R364))*0.5</f>
        <v>0</v>
      </c>
      <c r="W371" s="90">
        <f>IF(AH347="","-",IF(V371=0,U371,IFERROR((U371/V371)-1,"-")))</f>
        <v>0</v>
      </c>
      <c r="X371" s="201">
        <f t="shared" si="222"/>
        <v>0</v>
      </c>
      <c r="Y371" s="271"/>
      <c r="Z371" s="272"/>
      <c r="AA371" s="272"/>
      <c r="AB371" s="272"/>
      <c r="AC371" s="272"/>
      <c r="AD371" s="272"/>
      <c r="AE371" s="272"/>
      <c r="AF371" s="273"/>
      <c r="AH371" s="136">
        <v>0.41666666666668001</v>
      </c>
      <c r="AI371" s="136" t="s">
        <v>9</v>
      </c>
      <c r="AJ371" s="136" t="s">
        <v>228</v>
      </c>
      <c r="AK371" s="136" t="s">
        <v>9</v>
      </c>
      <c r="AL371" s="136" t="s">
        <v>226</v>
      </c>
      <c r="AM371" s="136" t="s">
        <v>9</v>
      </c>
      <c r="AN371" s="136" t="s">
        <v>224</v>
      </c>
      <c r="AO371" s="136" t="s">
        <v>9</v>
      </c>
      <c r="AP371" s="136" t="s">
        <v>228</v>
      </c>
      <c r="AQ371" s="136" t="s">
        <v>9</v>
      </c>
      <c r="AR371" s="136" t="s">
        <v>224</v>
      </c>
      <c r="AS371" s="136" t="s">
        <v>116</v>
      </c>
      <c r="AT371" s="136" t="s">
        <v>120</v>
      </c>
      <c r="AU371" s="136" t="s">
        <v>10</v>
      </c>
      <c r="AV371" s="136" t="s">
        <v>120</v>
      </c>
      <c r="AX371" s="136" t="str">
        <f>IF(AI347="","",IF(B371="","",B371))</f>
        <v>AT</v>
      </c>
      <c r="AY371" s="136" t="str">
        <f>IF(AI347="","",IF(C371="","",C371))</f>
        <v>IAC</v>
      </c>
      <c r="AZ371" s="136" t="str">
        <f>IF(AI347="","",IF(D371="","",D371))</f>
        <v>AT</v>
      </c>
      <c r="BA371" s="136" t="str">
        <f>IF(AI347="","",IF(E371="","",E371))</f>
        <v>IEI</v>
      </c>
      <c r="BB371" s="136" t="str">
        <f>IF(AI347="","",IF(F371="","",F371))</f>
        <v>AT</v>
      </c>
      <c r="BC371" s="136" t="str">
        <f>IF(AI347="","",IF(G371="","",G371))</f>
        <v>FP</v>
      </c>
      <c r="BD371" s="136" t="str">
        <f>IF(AI347="","",IF(H371="","",H371))</f>
        <v>AT</v>
      </c>
      <c r="BE371" s="136" t="str">
        <f>IF(AI347="","",IF(I371="","",I371))</f>
        <v>IAC</v>
      </c>
      <c r="BF371" s="136" t="str">
        <f>IF(AI347="","",IF(J371="","",J371))</f>
        <v>AT</v>
      </c>
      <c r="BG371" s="136" t="str">
        <f>IF(AI347="","",IF(K371="","",K371))</f>
        <v>FP</v>
      </c>
      <c r="BH371" s="136" t="str">
        <f>IF(AI347="","",IF(L371="","",L371))</f>
        <v>PV</v>
      </c>
      <c r="BI371" s="136" t="str">
        <f>IF(AI347="","",IF(M371="","",M371))</f>
        <v>-</v>
      </c>
      <c r="BJ371" s="136" t="str">
        <f>IF(AI347="","",IF(N371="","",N371))</f>
        <v>HS</v>
      </c>
      <c r="BK371" s="136" t="str">
        <f>IF(AI347="","",IF(O371="","",O371))</f>
        <v>-</v>
      </c>
      <c r="BM371" s="136" t="str">
        <f t="shared" si="227"/>
        <v>EG</v>
      </c>
      <c r="BN371" s="136" t="str">
        <f t="shared" si="217"/>
        <v>Estudo em Grupo</v>
      </c>
      <c r="BO371" s="136" t="str">
        <f t="shared" si="217"/>
        <v>CDI</v>
      </c>
      <c r="BP371" s="136">
        <f>(COUNTIFS(AX351:AX398,BM371,AY351:AY398,BO371)+COUNTIFS(AZ351:AZ398,BM371,BA351:BA398,BO371)+COUNTIFS(BB351:BB398,BM371,BC351:BC398,BO371)+COUNTIFS(BD351:BD398,BM371,BE351:BE398,BO371)+COUNTIFS(BF351:BF398,BM371,BG351:BG398,BO371)+COUNTIFS(BH351:BH398,BM371,BI351:BI398,BO371)+COUNTIFS(BJ351:BJ398,BM371,BK351:BK398,BO371))*0.5</f>
        <v>0</v>
      </c>
      <c r="BQ371" s="136" t="str">
        <f t="shared" si="218"/>
        <v>Estudo em Grupo</v>
      </c>
      <c r="BR371" s="136" t="str">
        <f t="shared" si="218"/>
        <v>CDI</v>
      </c>
      <c r="BS371" s="136" t="str">
        <f t="shared" si="219"/>
        <v>Estudo em Grupo</v>
      </c>
      <c r="BT371" s="136">
        <f t="shared" si="225"/>
        <v>10.5</v>
      </c>
      <c r="BU371" s="136">
        <f t="shared" si="226"/>
        <v>8.5</v>
      </c>
      <c r="CA371" s="136">
        <f>'INFO BASE'!L451</f>
        <v>0</v>
      </c>
      <c r="CB371" s="136">
        <f>'INFO BASE'!M451</f>
        <v>0</v>
      </c>
      <c r="CR371" s="177" t="str">
        <f t="shared" si="207"/>
        <v>AT</v>
      </c>
      <c r="CS371" s="177" t="str">
        <f t="shared" si="208"/>
        <v>ATIAC</v>
      </c>
      <c r="CT371" s="177" t="str">
        <f t="shared" si="207"/>
        <v>AT</v>
      </c>
      <c r="CU371" s="177" t="str">
        <f t="shared" si="209"/>
        <v>ATIEI</v>
      </c>
      <c r="CV371" s="177" t="str">
        <f t="shared" si="207"/>
        <v>AT</v>
      </c>
      <c r="CW371" s="177" t="str">
        <f t="shared" si="210"/>
        <v>ATFP</v>
      </c>
      <c r="CX371" s="177" t="str">
        <f t="shared" si="207"/>
        <v>AT</v>
      </c>
      <c r="CY371" s="177" t="str">
        <f t="shared" si="211"/>
        <v>ATIAC</v>
      </c>
      <c r="CZ371" s="177" t="str">
        <f t="shared" si="207"/>
        <v>AT</v>
      </c>
      <c r="DA371" s="177" t="str">
        <f t="shared" si="212"/>
        <v>ATFP</v>
      </c>
      <c r="DB371" s="177" t="str">
        <f t="shared" si="207"/>
        <v>PV</v>
      </c>
      <c r="DC371" s="177">
        <f t="shared" si="213"/>
        <v>0</v>
      </c>
      <c r="DD371" s="177" t="str">
        <f t="shared" si="214"/>
        <v>HS</v>
      </c>
      <c r="DE371" s="177" t="str">
        <f t="shared" si="215"/>
        <v>HS-</v>
      </c>
    </row>
    <row r="372" spans="1:109" ht="18" customHeight="1" thickBot="1" x14ac:dyDescent="0.35">
      <c r="A372" s="81">
        <v>0.43750000000001399</v>
      </c>
      <c r="B372" s="166" t="s">
        <v>130</v>
      </c>
      <c r="C372" s="130" t="s">
        <v>231</v>
      </c>
      <c r="D372" s="169" t="s">
        <v>9</v>
      </c>
      <c r="E372" s="130" t="s">
        <v>226</v>
      </c>
      <c r="F372" s="169" t="s">
        <v>9</v>
      </c>
      <c r="G372" s="130" t="s">
        <v>224</v>
      </c>
      <c r="H372" s="169" t="s">
        <v>132</v>
      </c>
      <c r="I372" s="130" t="s">
        <v>228</v>
      </c>
      <c r="J372" s="169" t="s">
        <v>9</v>
      </c>
      <c r="K372" s="130" t="s">
        <v>230</v>
      </c>
      <c r="L372" s="169" t="s">
        <v>116</v>
      </c>
      <c r="M372" s="130" t="s">
        <v>120</v>
      </c>
      <c r="N372" s="169" t="s">
        <v>10</v>
      </c>
      <c r="O372" s="154" t="s">
        <v>120</v>
      </c>
      <c r="P372" s="6">
        <v>0</v>
      </c>
      <c r="Q372" s="115" t="str">
        <f t="shared" si="228"/>
        <v>Estudo em Grupo</v>
      </c>
      <c r="R372" s="105" t="str">
        <f t="shared" si="224"/>
        <v>IAC</v>
      </c>
      <c r="S372" s="88">
        <f t="shared" si="221"/>
        <v>2.25</v>
      </c>
      <c r="T372" s="89">
        <f>IF(VLOOKUP(Q372,'INFO BASE'!$B$40:$I$54,IF(R372='INFO BASE'!$B$32,3,IF(R372='INFO BASE'!$B$33,4,IF(R372='INFO BASE'!$B$34,5,IF(R372='INFO BASE'!$B$35,6,IF(R372='INFO BASE'!$B$36,7,IF(R372='INFO BASE'!$B$37,8,2)))))),0)=0,"",VLOOKUP(Q372,'INFO BASE'!$B$40:$I$54,IF(R372='INFO BASE'!$B$32,3,IF(R372='INFO BASE'!$B$33,4,IF(R372='INFO BASE'!$B$34,5,IF(R372='INFO BASE'!$B$35,6,IF(R372='INFO BASE'!$B$36,7,IF(R372='INFO BASE'!$B$37,8,2)))))),0))</f>
        <v>2</v>
      </c>
      <c r="U372" s="89">
        <f>(COUNTIFS(C351:C398,R372,B351:B398,R369)+COUNTIFS(E351:E398,R372,D351:D398,R369)+COUNTIFS(G351:G398,R372,F351:F398,R369)+COUNTIFS(I351:I398,R372,H351:H398,R369)+COUNTIFS(K351:K398,R372,J351:J398,R369)+COUNTIFS(M351:M398,R372,L351:L398,R369)+COUNTIFS(O351:O398,R372,N351:N398,R369))*0.5</f>
        <v>6.5</v>
      </c>
      <c r="V372" s="89">
        <f>(COUNTIFS(AI351:AI398,R369,AJ351:AJ398,R365)+COUNTIFS(AK351:AK398,R369,AL351:AL398,R365)+COUNTIFS(AM351:AM398,R369,AN351:AN398,R365)+COUNTIFS(AO351:AO398,R369,AP351:AP398,R365)+COUNTIFS(AQ351:AQ398,R369,AR351:AR398,R365)+COUNTIFS(AS351:AS398,R369,AT351:AT398,R365)+COUNTIFS(AU351:AU398,R369,AV351:AV398,R365))*0.5</f>
        <v>2</v>
      </c>
      <c r="W372" s="90">
        <f>IF(AH347="","-",IF(V372=0,U372,IFERROR((U372/V372)-1,"-")))</f>
        <v>2.25</v>
      </c>
      <c r="X372" s="201">
        <f t="shared" si="222"/>
        <v>1</v>
      </c>
      <c r="Y372" s="296" t="s">
        <v>256</v>
      </c>
      <c r="Z372" s="297"/>
      <c r="AA372" s="297"/>
      <c r="AB372" s="297"/>
      <c r="AC372" s="297"/>
      <c r="AD372" s="297"/>
      <c r="AE372" s="297"/>
      <c r="AF372" s="298"/>
      <c r="AH372" s="136">
        <v>0.43750000000001399</v>
      </c>
      <c r="AI372" s="136" t="s">
        <v>130</v>
      </c>
      <c r="AJ372" s="136" t="s">
        <v>231</v>
      </c>
      <c r="AK372" s="136" t="s">
        <v>9</v>
      </c>
      <c r="AL372" s="136" t="s">
        <v>226</v>
      </c>
      <c r="AM372" s="136" t="s">
        <v>9</v>
      </c>
      <c r="AN372" s="136" t="s">
        <v>224</v>
      </c>
      <c r="AO372" s="136" t="s">
        <v>132</v>
      </c>
      <c r="AP372" s="136" t="s">
        <v>228</v>
      </c>
      <c r="AQ372" s="136" t="s">
        <v>9</v>
      </c>
      <c r="AR372" s="136" t="s">
        <v>230</v>
      </c>
      <c r="AS372" s="136" t="s">
        <v>116</v>
      </c>
      <c r="AT372" s="136" t="s">
        <v>120</v>
      </c>
      <c r="AU372" s="136" t="s">
        <v>10</v>
      </c>
      <c r="AV372" s="136" t="s">
        <v>120</v>
      </c>
      <c r="AX372" s="136" t="str">
        <f>IF(AI347="","",IF(B372="","",B372))</f>
        <v>APB</v>
      </c>
      <c r="AY372" s="136" t="str">
        <f>IF(AI347="","",IF(C372="","",C372))</f>
        <v>CDI</v>
      </c>
      <c r="AZ372" s="136" t="str">
        <f>IF(AI347="","",IF(D372="","",D372))</f>
        <v>AT</v>
      </c>
      <c r="BA372" s="136" t="str">
        <f>IF(AI347="","",IF(E372="","",E372))</f>
        <v>IEI</v>
      </c>
      <c r="BB372" s="136" t="str">
        <f>IF(AI347="","",IF(F372="","",F372))</f>
        <v>AT</v>
      </c>
      <c r="BC372" s="136" t="str">
        <f>IF(AI347="","",IF(G372="","",G372))</f>
        <v>FP</v>
      </c>
      <c r="BD372" s="136" t="str">
        <f>IF(AI347="","",IF(H372="","",H372))</f>
        <v>LAB</v>
      </c>
      <c r="BE372" s="136" t="str">
        <f>IF(AI347="","",IF(I372="","",I372))</f>
        <v>IAC</v>
      </c>
      <c r="BF372" s="136" t="str">
        <f>IF(AI347="","",IF(J372="","",J372))</f>
        <v>AT</v>
      </c>
      <c r="BG372" s="136" t="str">
        <f>IF(AI347="","",IF(K372="","",K372))</f>
        <v>AL</v>
      </c>
      <c r="BH372" s="136" t="str">
        <f>IF(AI347="","",IF(L372="","",L372))</f>
        <v>PV</v>
      </c>
      <c r="BI372" s="136" t="str">
        <f>IF(AI347="","",IF(M372="","",M372))</f>
        <v>-</v>
      </c>
      <c r="BJ372" s="136" t="str">
        <f>IF(AI347="","",IF(N372="","",N372))</f>
        <v>HS</v>
      </c>
      <c r="BK372" s="136" t="str">
        <f>IF(AI347="","",IF(O372="","",O372))</f>
        <v>-</v>
      </c>
      <c r="BM372" s="136" t="str">
        <f t="shared" si="227"/>
        <v>EG</v>
      </c>
      <c r="BN372" s="136" t="str">
        <f t="shared" si="217"/>
        <v>Estudo em Grupo</v>
      </c>
      <c r="BO372" s="136" t="str">
        <f t="shared" si="217"/>
        <v/>
      </c>
      <c r="BP372" s="136">
        <f>(COUNTIFS(AX351:AX398,BM372,AY351:AY398,BO372)+COUNTIFS(AZ351:AZ398,BM372,BA351:BA398,BO372)+COUNTIFS(BB351:BB398,BM372,BC351:BC398,BO372)+COUNTIFS(BD351:BD398,BM372,BE351:BE398,BO372)+COUNTIFS(BF351:BF398,BM372,BG351:BG398,BO372)+COUNTIFS(BH351:BH398,BM372,BI351:BI398,BO372)+COUNTIFS(BJ351:BJ398,BM372,BK351:BK398,BO372))*0.5</f>
        <v>0</v>
      </c>
      <c r="BQ372" s="136" t="str">
        <f t="shared" si="218"/>
        <v>Estudo em Grupo</v>
      </c>
      <c r="BR372" s="136" t="str">
        <f t="shared" si="218"/>
        <v/>
      </c>
      <c r="BS372" s="136" t="str">
        <f t="shared" si="219"/>
        <v>Estudo em Grupo</v>
      </c>
      <c r="BT372" s="136">
        <f t="shared" si="225"/>
        <v>0</v>
      </c>
      <c r="BU372" s="136">
        <f t="shared" si="226"/>
        <v>0</v>
      </c>
      <c r="CA372" s="136">
        <f>'INFO BASE'!L452</f>
        <v>0</v>
      </c>
      <c r="CB372" s="136">
        <f>'INFO BASE'!M452</f>
        <v>0</v>
      </c>
      <c r="CR372" s="177" t="str">
        <f t="shared" si="207"/>
        <v>APB</v>
      </c>
      <c r="CS372" s="177" t="str">
        <f t="shared" si="208"/>
        <v>APBCDI</v>
      </c>
      <c r="CT372" s="177" t="str">
        <f t="shared" si="207"/>
        <v>AT</v>
      </c>
      <c r="CU372" s="177" t="str">
        <f t="shared" si="209"/>
        <v>ATIEI</v>
      </c>
      <c r="CV372" s="177" t="str">
        <f t="shared" si="207"/>
        <v>AT</v>
      </c>
      <c r="CW372" s="177" t="str">
        <f t="shared" si="210"/>
        <v>ATFP</v>
      </c>
      <c r="CX372" s="177" t="str">
        <f t="shared" si="207"/>
        <v>LAB</v>
      </c>
      <c r="CY372" s="177" t="str">
        <f t="shared" si="211"/>
        <v>LABIAC</v>
      </c>
      <c r="CZ372" s="177" t="str">
        <f t="shared" si="207"/>
        <v>AT</v>
      </c>
      <c r="DA372" s="177" t="str">
        <f t="shared" si="212"/>
        <v>ATAL</v>
      </c>
      <c r="DB372" s="177" t="str">
        <f t="shared" si="207"/>
        <v>PV</v>
      </c>
      <c r="DC372" s="177">
        <f t="shared" si="213"/>
        <v>0</v>
      </c>
      <c r="DD372" s="177" t="str">
        <f t="shared" si="214"/>
        <v>HS</v>
      </c>
      <c r="DE372" s="177" t="str">
        <f t="shared" si="215"/>
        <v>HS-</v>
      </c>
    </row>
    <row r="373" spans="1:109" ht="18" customHeight="1" x14ac:dyDescent="0.3">
      <c r="A373" s="81">
        <v>0.45833333333334803</v>
      </c>
      <c r="B373" s="166" t="s">
        <v>130</v>
      </c>
      <c r="C373" s="130" t="s">
        <v>231</v>
      </c>
      <c r="D373" s="169" t="s">
        <v>9</v>
      </c>
      <c r="E373" s="130" t="s">
        <v>226</v>
      </c>
      <c r="F373" s="169" t="s">
        <v>9</v>
      </c>
      <c r="G373" s="130" t="s">
        <v>224</v>
      </c>
      <c r="H373" s="169" t="s">
        <v>132</v>
      </c>
      <c r="I373" s="130" t="s">
        <v>228</v>
      </c>
      <c r="J373" s="169" t="s">
        <v>9</v>
      </c>
      <c r="K373" s="130" t="s">
        <v>230</v>
      </c>
      <c r="L373" s="169" t="s">
        <v>116</v>
      </c>
      <c r="M373" s="130" t="s">
        <v>120</v>
      </c>
      <c r="N373" s="169" t="s">
        <v>10</v>
      </c>
      <c r="O373" s="154" t="s">
        <v>120</v>
      </c>
      <c r="P373" s="6">
        <v>0</v>
      </c>
      <c r="Q373" s="114" t="str">
        <f t="shared" si="228"/>
        <v>Estudo em Grupo</v>
      </c>
      <c r="R373" s="105" t="str">
        <f t="shared" si="224"/>
        <v>AL</v>
      </c>
      <c r="S373" s="88">
        <f t="shared" si="221"/>
        <v>-0.5</v>
      </c>
      <c r="T373" s="89">
        <f>IF(VLOOKUP(Q373,'INFO BASE'!$B$40:$I$54,IF(R373='INFO BASE'!$B$32,3,IF(R373='INFO BASE'!$B$33,4,IF(R373='INFO BASE'!$B$34,5,IF(R373='INFO BASE'!$B$35,6,IF(R373='INFO BASE'!$B$36,7,IF(R373='INFO BASE'!$B$37,8,2)))))),0)=0,"",VLOOKUP(Q373,'INFO BASE'!$B$40:$I$54,IF(R373='INFO BASE'!$B$32,3,IF(R373='INFO BASE'!$B$33,4,IF(R373='INFO BASE'!$B$34,5,IF(R373='INFO BASE'!$B$35,6,IF(R373='INFO BASE'!$B$36,7,IF(R373='INFO BASE'!$B$37,8,2)))))),0))</f>
        <v>2</v>
      </c>
      <c r="U373" s="89">
        <f>(COUNTIFS(C351:C398,R373,B351:B398,R369)+COUNTIFS(E351:E398,R373,D351:D398,R369)+COUNTIFS(G351:G398,R373,F351:F398,R369)+COUNTIFS(I351:I398,R373,H351:H398,R369)+COUNTIFS(K351:K398,R373,J351:J398,R369)+COUNTIFS(M351:M398,R373,L351:L398,R369)+COUNTIFS(O351:O398,R373,N351:N398,R369))*0.5</f>
        <v>1</v>
      </c>
      <c r="V373" s="89">
        <f>(COUNTIFS(AI351:AI398,R369,AJ351:AJ398,R366)+COUNTIFS(AK351:AK398,R369,AL351:AL398,R366)+COUNTIFS(AM351:AM398,R369,AN351:AN398,R366)+COUNTIFS(AO351:AO398,R369,AP351:AP398,R366)+COUNTIFS(AQ351:AQ398,R369,AR351:AR398,R366)+COUNTIFS(AS351:AS398,R369,AT351:AT398,R366)+COUNTIFS(AU351:AU398,R369,AV351:AV398,R366))*0.5</f>
        <v>2</v>
      </c>
      <c r="W373" s="90">
        <f>IF(AH347="","-",IF(V373=0,U373,IFERROR((U373/V373)-1,"-")))</f>
        <v>-0.5</v>
      </c>
      <c r="X373" s="201">
        <f t="shared" si="222"/>
        <v>1</v>
      </c>
      <c r="Y373" s="296" t="s">
        <v>256</v>
      </c>
      <c r="Z373" s="297"/>
      <c r="AA373" s="297"/>
      <c r="AB373" s="297"/>
      <c r="AC373" s="297"/>
      <c r="AD373" s="297"/>
      <c r="AE373" s="297"/>
      <c r="AF373" s="298"/>
      <c r="AH373" s="136">
        <v>0.45833333333334803</v>
      </c>
      <c r="AI373" s="136" t="s">
        <v>130</v>
      </c>
      <c r="AJ373" s="136" t="s">
        <v>231</v>
      </c>
      <c r="AK373" s="136" t="s">
        <v>9</v>
      </c>
      <c r="AL373" s="136" t="s">
        <v>226</v>
      </c>
      <c r="AM373" s="136" t="s">
        <v>9</v>
      </c>
      <c r="AN373" s="136" t="s">
        <v>224</v>
      </c>
      <c r="AO373" s="136" t="s">
        <v>132</v>
      </c>
      <c r="AP373" s="136" t="s">
        <v>228</v>
      </c>
      <c r="AQ373" s="136" t="s">
        <v>9</v>
      </c>
      <c r="AR373" s="136" t="s">
        <v>230</v>
      </c>
      <c r="AS373" s="136" t="s">
        <v>116</v>
      </c>
      <c r="AT373" s="136" t="s">
        <v>120</v>
      </c>
      <c r="AU373" s="136" t="s">
        <v>10</v>
      </c>
      <c r="AV373" s="136" t="s">
        <v>120</v>
      </c>
      <c r="AX373" s="136" t="str">
        <f>IF(AI347="","",IF(B373="","",B373))</f>
        <v>APB</v>
      </c>
      <c r="AY373" s="136" t="str">
        <f>IF(AI347="","",IF(C373="","",C373))</f>
        <v>CDI</v>
      </c>
      <c r="AZ373" s="136" t="str">
        <f>IF(AI347="","",IF(D373="","",D373))</f>
        <v>AT</v>
      </c>
      <c r="BA373" s="136" t="str">
        <f>IF(AI347="","",IF(E373="","",E373))</f>
        <v>IEI</v>
      </c>
      <c r="BB373" s="136" t="str">
        <f>IF(AI347="","",IF(F373="","",F373))</f>
        <v>AT</v>
      </c>
      <c r="BC373" s="136" t="str">
        <f>IF(AI347="","",IF(G373="","",G373))</f>
        <v>FP</v>
      </c>
      <c r="BD373" s="136" t="str">
        <f>IF(AI347="","",IF(H373="","",H373))</f>
        <v>LAB</v>
      </c>
      <c r="BE373" s="136" t="str">
        <f>IF(AI347="","",IF(I373="","",I373))</f>
        <v>IAC</v>
      </c>
      <c r="BF373" s="136" t="str">
        <f>IF(AI347="","",IF(J373="","",J373))</f>
        <v>AT</v>
      </c>
      <c r="BG373" s="136" t="str">
        <f>IF(AI347="","",IF(K373="","",K373))</f>
        <v>AL</v>
      </c>
      <c r="BH373" s="136" t="str">
        <f>IF(AI347="","",IF(L373="","",L373))</f>
        <v>PV</v>
      </c>
      <c r="BI373" s="136" t="str">
        <f>IF(AI347="","",IF(M373="","",M373))</f>
        <v>-</v>
      </c>
      <c r="BJ373" s="136" t="str">
        <f>IF(AI347="","",IF(N373="","",N373))</f>
        <v>HS</v>
      </c>
      <c r="BK373" s="136" t="str">
        <f>IF(AI347="","",IF(O373="","",O373))</f>
        <v>-</v>
      </c>
      <c r="BM373" s="136" t="str">
        <f>BO373</f>
        <v>TG</v>
      </c>
      <c r="BN373" s="136" t="str">
        <f t="shared" si="217"/>
        <v>Trabalho de Grupo</v>
      </c>
      <c r="BO373" s="136" t="str">
        <f t="shared" si="217"/>
        <v>TG</v>
      </c>
      <c r="BP373" s="136">
        <f>COUNTIFS(AX351:BK398,BO373)*0.5</f>
        <v>0</v>
      </c>
      <c r="BQ373" s="136" t="str">
        <f t="shared" si="218"/>
        <v>Trabalho de Grupo</v>
      </c>
      <c r="BR373" s="136" t="str">
        <f t="shared" si="218"/>
        <v>TG</v>
      </c>
      <c r="BS373" s="136" t="str">
        <f t="shared" si="219"/>
        <v>Trabalho de Grupo</v>
      </c>
      <c r="BT373" s="136">
        <f t="shared" si="225"/>
        <v>0</v>
      </c>
      <c r="BU373" s="136">
        <f t="shared" si="226"/>
        <v>0</v>
      </c>
      <c r="CA373" s="136">
        <f>'INFO BASE'!L453</f>
        <v>0</v>
      </c>
      <c r="CB373" s="136">
        <f>'INFO BASE'!M453</f>
        <v>0</v>
      </c>
      <c r="CR373" s="177" t="str">
        <f t="shared" si="207"/>
        <v>APB</v>
      </c>
      <c r="CS373" s="177" t="str">
        <f t="shared" si="208"/>
        <v>APBCDI</v>
      </c>
      <c r="CT373" s="177" t="str">
        <f t="shared" si="207"/>
        <v>AT</v>
      </c>
      <c r="CU373" s="177" t="str">
        <f t="shared" si="209"/>
        <v>ATIEI</v>
      </c>
      <c r="CV373" s="177" t="str">
        <f t="shared" si="207"/>
        <v>AT</v>
      </c>
      <c r="CW373" s="177" t="str">
        <f t="shared" si="210"/>
        <v>ATFP</v>
      </c>
      <c r="CX373" s="177" t="str">
        <f t="shared" si="207"/>
        <v>LAB</v>
      </c>
      <c r="CY373" s="177" t="str">
        <f t="shared" si="211"/>
        <v>LABIAC</v>
      </c>
      <c r="CZ373" s="177" t="str">
        <f t="shared" si="207"/>
        <v>AT</v>
      </c>
      <c r="DA373" s="177" t="str">
        <f t="shared" si="212"/>
        <v>ATAL</v>
      </c>
      <c r="DB373" s="177" t="str">
        <f t="shared" si="207"/>
        <v>PV</v>
      </c>
      <c r="DC373" s="177">
        <f t="shared" si="213"/>
        <v>0</v>
      </c>
      <c r="DD373" s="177" t="str">
        <f t="shared" si="214"/>
        <v>HS</v>
      </c>
      <c r="DE373" s="177" t="str">
        <f t="shared" si="215"/>
        <v>HS-</v>
      </c>
    </row>
    <row r="374" spans="1:109" ht="18" customHeight="1" x14ac:dyDescent="0.3">
      <c r="A374" s="81">
        <v>0.47916666666668201</v>
      </c>
      <c r="B374" s="166" t="s">
        <v>130</v>
      </c>
      <c r="C374" s="130" t="s">
        <v>231</v>
      </c>
      <c r="D374" s="169" t="s">
        <v>9</v>
      </c>
      <c r="E374" s="130" t="s">
        <v>226</v>
      </c>
      <c r="F374" s="169" t="s">
        <v>9</v>
      </c>
      <c r="G374" s="130" t="s">
        <v>231</v>
      </c>
      <c r="H374" s="169" t="s">
        <v>132</v>
      </c>
      <c r="I374" s="130" t="s">
        <v>228</v>
      </c>
      <c r="J374" s="169" t="s">
        <v>9</v>
      </c>
      <c r="K374" s="130" t="s">
        <v>231</v>
      </c>
      <c r="L374" s="169" t="s">
        <v>116</v>
      </c>
      <c r="M374" s="130" t="s">
        <v>120</v>
      </c>
      <c r="N374" s="169" t="s">
        <v>10</v>
      </c>
      <c r="O374" s="154" t="s">
        <v>120</v>
      </c>
      <c r="P374" s="6">
        <v>0</v>
      </c>
      <c r="Q374" s="114" t="str">
        <f t="shared" si="228"/>
        <v>Estudo em Grupo</v>
      </c>
      <c r="R374" s="105" t="str">
        <f t="shared" si="224"/>
        <v>CDI</v>
      </c>
      <c r="S374" s="88">
        <f t="shared" si="221"/>
        <v>-1</v>
      </c>
      <c r="T374" s="89">
        <f>IF(VLOOKUP(Q374,'INFO BASE'!$B$40:$I$54,IF(R374='INFO BASE'!$B$32,3,IF(R374='INFO BASE'!$B$33,4,IF(R374='INFO BASE'!$B$34,5,IF(R374='INFO BASE'!$B$35,6,IF(R374='INFO BASE'!$B$36,7,IF(R374='INFO BASE'!$B$37,8,2)))))),0)=0,"",VLOOKUP(Q374,'INFO BASE'!$B$40:$I$54,IF(R374='INFO BASE'!$B$32,3,IF(R374='INFO BASE'!$B$33,4,IF(R374='INFO BASE'!$B$34,5,IF(R374='INFO BASE'!$B$35,6,IF(R374='INFO BASE'!$B$36,7,IF(R374='INFO BASE'!$B$37,8,2)))))),0))</f>
        <v>2</v>
      </c>
      <c r="U374" s="89">
        <f>(COUNTIFS(C351:C398,R374,B351:B398,R369)+COUNTIFS(E351:E398,R374,D351:D398,R369)+COUNTIFS(G351:G398,R374,F351:F398,R369)+COUNTIFS(I351:I398,R374,H351:H398,R369)+COUNTIFS(K351:K398,R374,J351:J398,R369)+COUNTIFS(M351:M398,R374,L351:L398,R369)+COUNTIFS(O351:O398,R374,N351:N398,R369))*0.5</f>
        <v>0</v>
      </c>
      <c r="V374" s="89">
        <f>(COUNTIFS(AI351:AI398,R369,AJ351:AJ398,R367)+COUNTIFS(AK351:AK398,R369,AL351:AL398,R367)+COUNTIFS(AM351:AM398,R369,AN351:AN398,R367)+COUNTIFS(AO351:AO398,R369,AP351:AP398,R367)+COUNTIFS(AQ351:AQ398,R369,AR351:AR398,R367)+COUNTIFS(AS351:AS398,R369,AT351:AT398,R367)+COUNTIFS(AU351:AU398,R369,AV351:AV398,R367))*0.5</f>
        <v>0</v>
      </c>
      <c r="W374" s="90">
        <f>IF(AH347="","-",IF(V374=0,U374,IFERROR((U374/V374)-1,"-")))</f>
        <v>0</v>
      </c>
      <c r="X374" s="201">
        <f t="shared" si="222"/>
        <v>0</v>
      </c>
      <c r="Y374" s="271"/>
      <c r="Z374" s="272"/>
      <c r="AA374" s="272"/>
      <c r="AB374" s="272"/>
      <c r="AC374" s="272"/>
      <c r="AD374" s="272"/>
      <c r="AE374" s="272"/>
      <c r="AF374" s="273"/>
      <c r="AH374" s="136">
        <v>0.47916666666668201</v>
      </c>
      <c r="AI374" s="136" t="s">
        <v>130</v>
      </c>
      <c r="AJ374" s="136" t="s">
        <v>231</v>
      </c>
      <c r="AK374" s="136" t="s">
        <v>9</v>
      </c>
      <c r="AL374" s="136" t="s">
        <v>226</v>
      </c>
      <c r="AM374" s="136" t="s">
        <v>9</v>
      </c>
      <c r="AN374" s="136" t="s">
        <v>231</v>
      </c>
      <c r="AO374" s="136" t="s">
        <v>132</v>
      </c>
      <c r="AP374" s="136" t="s">
        <v>228</v>
      </c>
      <c r="AQ374" s="136" t="s">
        <v>9</v>
      </c>
      <c r="AR374" s="136" t="s">
        <v>231</v>
      </c>
      <c r="AS374" s="136" t="s">
        <v>116</v>
      </c>
      <c r="AT374" s="136" t="s">
        <v>120</v>
      </c>
      <c r="AU374" s="136" t="s">
        <v>10</v>
      </c>
      <c r="AV374" s="136" t="s">
        <v>120</v>
      </c>
      <c r="AX374" s="136" t="str">
        <f>IF(AI347="","",IF(B374="","",B374))</f>
        <v>APB</v>
      </c>
      <c r="AY374" s="136" t="str">
        <f>IF(AI347="","",IF(C374="","",C374))</f>
        <v>CDI</v>
      </c>
      <c r="AZ374" s="136" t="str">
        <f>IF(AI347="","",IF(D374="","",D374))</f>
        <v>AT</v>
      </c>
      <c r="BA374" s="136" t="str">
        <f>IF(AI347="","",IF(E374="","",E374))</f>
        <v>IEI</v>
      </c>
      <c r="BB374" s="136" t="str">
        <f>IF(AI347="","",IF(F374="","",F374))</f>
        <v>AT</v>
      </c>
      <c r="BC374" s="136" t="str">
        <f>IF(AI347="","",IF(G374="","",G374))</f>
        <v>CDI</v>
      </c>
      <c r="BD374" s="136" t="str">
        <f>IF(AI347="","",IF(H374="","",H374))</f>
        <v>LAB</v>
      </c>
      <c r="BE374" s="136" t="str">
        <f>IF(AI347="","",IF(I374="","",I374))</f>
        <v>IAC</v>
      </c>
      <c r="BF374" s="136" t="str">
        <f>IF(AI347="","",IF(J374="","",J374))</f>
        <v>AT</v>
      </c>
      <c r="BG374" s="136" t="str">
        <f>IF(AI347="","",IF(K374="","",K374))</f>
        <v>CDI</v>
      </c>
      <c r="BH374" s="136" t="str">
        <f>IF(AI347="","",IF(L374="","",L374))</f>
        <v>PV</v>
      </c>
      <c r="BI374" s="136" t="str">
        <f>IF(AI347="","",IF(M374="","",M374))</f>
        <v>-</v>
      </c>
      <c r="BJ374" s="136" t="str">
        <f>IF(AI347="","",IF(N374="","",N374))</f>
        <v>HS</v>
      </c>
      <c r="BK374" s="136" t="str">
        <f>IF(AI347="","",IF(O374="","",O374))</f>
        <v>-</v>
      </c>
      <c r="BM374" s="136" t="str">
        <f>BM373</f>
        <v>TG</v>
      </c>
      <c r="BN374" s="136" t="str">
        <f t="shared" si="217"/>
        <v>Trabalho de Grupo</v>
      </c>
      <c r="BO374" s="136" t="str">
        <f t="shared" si="217"/>
        <v>FP</v>
      </c>
      <c r="BP374" s="136">
        <f>(COUNTIFS(AX351:AX398,BM374,AY351:AY398,BO374)+COUNTIFS(AZ351:AZ398,BM374,BA351:BA398,BO374)+COUNTIFS(BB351:BB398,BM374,BC351:BC398,BO374)+COUNTIFS(BD351:BD398,BM374,BE351:BE398,BO374)+COUNTIFS(BF351:BF398,BM374,BG351:BG398,BO374)+COUNTIFS(BH351:BH398,BM374,BI351:BI398,BO374)+COUNTIFS(BJ351:BJ398,BM374,BK351:BK398,BO374))*0.5</f>
        <v>0</v>
      </c>
      <c r="BQ374" s="136" t="str">
        <f t="shared" si="218"/>
        <v>Trabalho de Grupo</v>
      </c>
      <c r="BR374" s="136" t="str">
        <f t="shared" si="218"/>
        <v>FP</v>
      </c>
      <c r="BS374" s="136" t="str">
        <f t="shared" si="219"/>
        <v>Trabalho de Grupo</v>
      </c>
      <c r="BT374" s="136">
        <f t="shared" si="225"/>
        <v>0</v>
      </c>
      <c r="BU374" s="136">
        <f t="shared" si="226"/>
        <v>0</v>
      </c>
      <c r="CR374" s="177" t="str">
        <f t="shared" si="207"/>
        <v>APB</v>
      </c>
      <c r="CS374" s="177" t="str">
        <f t="shared" si="208"/>
        <v>APBCDI</v>
      </c>
      <c r="CT374" s="177" t="str">
        <f t="shared" si="207"/>
        <v>AT</v>
      </c>
      <c r="CU374" s="177" t="str">
        <f t="shared" si="209"/>
        <v>ATIEI</v>
      </c>
      <c r="CV374" s="177" t="str">
        <f t="shared" si="207"/>
        <v>AT</v>
      </c>
      <c r="CW374" s="177" t="str">
        <f t="shared" si="210"/>
        <v>ATCDI</v>
      </c>
      <c r="CX374" s="177" t="str">
        <f t="shared" si="207"/>
        <v>LAB</v>
      </c>
      <c r="CY374" s="177" t="str">
        <f t="shared" si="211"/>
        <v>LABIAC</v>
      </c>
      <c r="CZ374" s="177" t="str">
        <f t="shared" si="207"/>
        <v>AT</v>
      </c>
      <c r="DA374" s="177" t="str">
        <f t="shared" si="212"/>
        <v>ATCDI</v>
      </c>
      <c r="DB374" s="177" t="str">
        <f t="shared" si="207"/>
        <v>PV</v>
      </c>
      <c r="DC374" s="177">
        <f t="shared" si="213"/>
        <v>0</v>
      </c>
      <c r="DD374" s="177" t="str">
        <f t="shared" si="214"/>
        <v>HS</v>
      </c>
      <c r="DE374" s="177" t="str">
        <f t="shared" si="215"/>
        <v>HS-</v>
      </c>
    </row>
    <row r="375" spans="1:109" ht="18" customHeight="1" thickBot="1" x14ac:dyDescent="0.35">
      <c r="A375" s="81">
        <v>0.50000000000001599</v>
      </c>
      <c r="B375" s="166" t="s">
        <v>9</v>
      </c>
      <c r="C375" s="130" t="s">
        <v>230</v>
      </c>
      <c r="D375" s="169" t="s">
        <v>116</v>
      </c>
      <c r="E375" s="130" t="s">
        <v>120</v>
      </c>
      <c r="F375" s="169" t="s">
        <v>9</v>
      </c>
      <c r="G375" s="130" t="s">
        <v>231</v>
      </c>
      <c r="H375" s="169" t="s">
        <v>130</v>
      </c>
      <c r="I375" s="130" t="s">
        <v>224</v>
      </c>
      <c r="J375" s="169" t="s">
        <v>9</v>
      </c>
      <c r="K375" s="130" t="s">
        <v>231</v>
      </c>
      <c r="L375" s="169" t="s">
        <v>116</v>
      </c>
      <c r="M375" s="130" t="s">
        <v>120</v>
      </c>
      <c r="N375" s="169" t="s">
        <v>116</v>
      </c>
      <c r="O375" s="154" t="s">
        <v>120</v>
      </c>
      <c r="P375" s="6">
        <v>0</v>
      </c>
      <c r="Q375" s="116" t="str">
        <f t="shared" si="228"/>
        <v>Estudo em Grupo</v>
      </c>
      <c r="R375" s="107" t="str">
        <f t="shared" si="224"/>
        <v/>
      </c>
      <c r="S375" s="94" t="str">
        <f t="shared" si="221"/>
        <v>-</v>
      </c>
      <c r="T375" s="95" t="str">
        <f>IF(VLOOKUP(Q375,'INFO BASE'!$B$40:$I$54,IF(R375='INFO BASE'!$B$32,3,IF(R375='INFO BASE'!$B$33,4,IF(R375='INFO BASE'!$B$34,5,IF(R375='INFO BASE'!$B$35,6,IF(R375='INFO BASE'!$B$36,7,IF(R375='INFO BASE'!$B$37,8,2)))))),0)=0,"",VLOOKUP(Q375,'INFO BASE'!$B$40:$I$54,IF(R375='INFO BASE'!$B$32,3,IF(R375='INFO BASE'!$B$33,4,IF(R375='INFO BASE'!$B$34,5,IF(R375='INFO BASE'!$B$35,6,IF(R375='INFO BASE'!$B$36,7,IF(R375='INFO BASE'!$B$37,8,2)))))),0))</f>
        <v/>
      </c>
      <c r="U375" s="95">
        <f>(COUNTIFS(C351:C398,R375,B351:B398,R369)+COUNTIFS(E351:E398,R375,D351:D398,R369)+COUNTIFS(G351:G398,R375,F351:F398,R369)+COUNTIFS(I351:I398,R375,H351:H398,R369)+COUNTIFS(K351:K398,R375,J351:J398,R369)+COUNTIFS(M351:M398,R375,L351:L398,R369)+COUNTIFS(O351:O398,R375,N351:N398,R369))*0.5</f>
        <v>0</v>
      </c>
      <c r="V375" s="95">
        <f>(COUNTIFS(AI351:AI398,R369,AJ351:AJ398,R368)+COUNTIFS(AK351:AK398,R369,AL351:AL398,R368)+COUNTIFS(AM351:AM398,R369,AN351:AN398,R368)+COUNTIFS(AO351:AO398,R369,AP351:AP398,R368)+COUNTIFS(AQ351:AQ398,R369,AR351:AR398,R368)+COUNTIFS(AS351:AS398,R369,AT351:AT398,R368)+COUNTIFS(AU351:AU398,R369,AV351:AV398,R368))*0.5</f>
        <v>0</v>
      </c>
      <c r="W375" s="96">
        <f>IF(AH347="","-",IF(V375=0,U375,IFERROR((U375/V375)-1,"-")))</f>
        <v>0</v>
      </c>
      <c r="X375" s="201">
        <f t="shared" si="222"/>
        <v>0</v>
      </c>
      <c r="Y375" s="274"/>
      <c r="Z375" s="275"/>
      <c r="AA375" s="275"/>
      <c r="AB375" s="275"/>
      <c r="AC375" s="275"/>
      <c r="AD375" s="275"/>
      <c r="AE375" s="275"/>
      <c r="AF375" s="276"/>
      <c r="AH375" s="136">
        <v>0.50000000000001599</v>
      </c>
      <c r="AI375" s="136" t="s">
        <v>9</v>
      </c>
      <c r="AJ375" s="136" t="s">
        <v>230</v>
      </c>
      <c r="AK375" s="136" t="s">
        <v>116</v>
      </c>
      <c r="AL375" s="136" t="s">
        <v>120</v>
      </c>
      <c r="AM375" s="136" t="s">
        <v>9</v>
      </c>
      <c r="AN375" s="136" t="s">
        <v>231</v>
      </c>
      <c r="AO375" s="136" t="s">
        <v>130</v>
      </c>
      <c r="AP375" s="136" t="s">
        <v>224</v>
      </c>
      <c r="AQ375" s="136" t="s">
        <v>9</v>
      </c>
      <c r="AR375" s="136" t="s">
        <v>231</v>
      </c>
      <c r="AS375" s="136" t="s">
        <v>116</v>
      </c>
      <c r="AT375" s="136" t="s">
        <v>120</v>
      </c>
      <c r="AU375" s="136" t="s">
        <v>116</v>
      </c>
      <c r="AV375" s="136" t="s">
        <v>120</v>
      </c>
      <c r="AX375" s="136" t="str">
        <f>IF(AI347="","",IF(B375="","",B375))</f>
        <v>AT</v>
      </c>
      <c r="AY375" s="136" t="str">
        <f>IF(AI347="","",IF(C375="","",C375))</f>
        <v>AL</v>
      </c>
      <c r="AZ375" s="136" t="str">
        <f>IF(AI347="","",IF(D375="","",D375))</f>
        <v>PV</v>
      </c>
      <c r="BA375" s="136" t="str">
        <f>IF(AI347="","",IF(E375="","",E375))</f>
        <v>-</v>
      </c>
      <c r="BB375" s="136" t="str">
        <f>IF(AI347="","",IF(F375="","",F375))</f>
        <v>AT</v>
      </c>
      <c r="BC375" s="136" t="str">
        <f>IF(AI347="","",IF(G375="","",G375))</f>
        <v>CDI</v>
      </c>
      <c r="BD375" s="136" t="str">
        <f>IF(AI347="","",IF(H375="","",H375))</f>
        <v>APB</v>
      </c>
      <c r="BE375" s="136" t="str">
        <f>IF(AI347="","",IF(I375="","",I375))</f>
        <v>FP</v>
      </c>
      <c r="BF375" s="136" t="str">
        <f>IF(AI347="","",IF(J375="","",J375))</f>
        <v>AT</v>
      </c>
      <c r="BG375" s="136" t="str">
        <f>IF(AI347="","",IF(K375="","",K375))</f>
        <v>CDI</v>
      </c>
      <c r="BH375" s="136" t="str">
        <f>IF(AI347="","",IF(L375="","",L375))</f>
        <v>PV</v>
      </c>
      <c r="BI375" s="136" t="str">
        <f>IF(AI347="","",IF(M375="","",M375))</f>
        <v>-</v>
      </c>
      <c r="BJ375" s="136" t="str">
        <f>IF(AI347="","",IF(N375="","",N375))</f>
        <v>PV</v>
      </c>
      <c r="BK375" s="136" t="str">
        <f>IF(AI347="","",IF(O375="","",O375))</f>
        <v>-</v>
      </c>
      <c r="BM375" s="136" t="str">
        <f t="shared" ref="BM375:BM379" si="229">BM374</f>
        <v>TG</v>
      </c>
      <c r="BN375" s="136" t="str">
        <f t="shared" si="217"/>
        <v>Trabalho de Grupo</v>
      </c>
      <c r="BO375" s="136" t="str">
        <f t="shared" si="217"/>
        <v>IEI</v>
      </c>
      <c r="BP375" s="136">
        <f>(COUNTIFS(AX351:AX398,BM375,AY351:AY398,BO375)+COUNTIFS(AZ351:AZ398,BM375,BA351:BA398,BO375)+COUNTIFS(BB351:BB398,BM375,BC351:BC398,BO375)+COUNTIFS(BD351:BD398,BM375,BE351:BE398,BO375)+COUNTIFS(BF351:BF398,BM375,BG351:BG398,BO375)+COUNTIFS(BH351:BH398,BM375,BI351:BI398,BO375)+COUNTIFS(BJ351:BJ398,BM375,BK351:BK398,BO375))*0.5</f>
        <v>0</v>
      </c>
      <c r="BQ375" s="136" t="str">
        <f t="shared" si="218"/>
        <v>Trabalho de Grupo</v>
      </c>
      <c r="BR375" s="136" t="str">
        <f t="shared" si="218"/>
        <v>IEI</v>
      </c>
      <c r="BS375" s="136" t="str">
        <f t="shared" si="219"/>
        <v>Trabalho de Grupo</v>
      </c>
      <c r="BT375" s="136">
        <f t="shared" si="225"/>
        <v>0</v>
      </c>
      <c r="BU375" s="136">
        <f t="shared" si="226"/>
        <v>0</v>
      </c>
      <c r="CA375" s="136">
        <f>'INFO BASE'!L454</f>
        <v>0</v>
      </c>
      <c r="CB375" s="136">
        <f>'INFO BASE'!M454</f>
        <v>0</v>
      </c>
      <c r="CR375" s="177" t="str">
        <f t="shared" si="207"/>
        <v>AT</v>
      </c>
      <c r="CS375" s="177" t="str">
        <f t="shared" si="208"/>
        <v>ATAL</v>
      </c>
      <c r="CT375" s="177" t="str">
        <f t="shared" si="207"/>
        <v>PV</v>
      </c>
      <c r="CU375" s="177">
        <f t="shared" si="209"/>
        <v>0</v>
      </c>
      <c r="CV375" s="177" t="str">
        <f t="shared" si="207"/>
        <v>AT</v>
      </c>
      <c r="CW375" s="177" t="str">
        <f t="shared" si="210"/>
        <v>ATCDI</v>
      </c>
      <c r="CX375" s="177" t="str">
        <f t="shared" si="207"/>
        <v>APB</v>
      </c>
      <c r="CY375" s="177" t="str">
        <f t="shared" si="211"/>
        <v>APBFP</v>
      </c>
      <c r="CZ375" s="177" t="str">
        <f t="shared" si="207"/>
        <v>AT</v>
      </c>
      <c r="DA375" s="177" t="str">
        <f t="shared" si="212"/>
        <v>ATCDI</v>
      </c>
      <c r="DB375" s="177" t="str">
        <f t="shared" si="207"/>
        <v>PV</v>
      </c>
      <c r="DC375" s="177">
        <f t="shared" si="213"/>
        <v>0</v>
      </c>
      <c r="DD375" s="177" t="str">
        <f t="shared" si="214"/>
        <v>PV</v>
      </c>
      <c r="DE375" s="177">
        <f t="shared" si="215"/>
        <v>0</v>
      </c>
    </row>
    <row r="376" spans="1:109" ht="18" customHeight="1" x14ac:dyDescent="0.3">
      <c r="A376" s="81">
        <v>0.52083333333335002</v>
      </c>
      <c r="B376" s="166" t="s">
        <v>9</v>
      </c>
      <c r="C376" s="130" t="s">
        <v>230</v>
      </c>
      <c r="D376" s="169" t="s">
        <v>116</v>
      </c>
      <c r="E376" s="130" t="s">
        <v>120</v>
      </c>
      <c r="F376" s="169" t="s">
        <v>9</v>
      </c>
      <c r="G376" s="130" t="s">
        <v>230</v>
      </c>
      <c r="H376" s="169" t="s">
        <v>130</v>
      </c>
      <c r="I376" s="130" t="s">
        <v>224</v>
      </c>
      <c r="J376" s="169" t="s">
        <v>116</v>
      </c>
      <c r="K376" s="130" t="s">
        <v>120</v>
      </c>
      <c r="L376" s="169" t="s">
        <v>116</v>
      </c>
      <c r="M376" s="130" t="s">
        <v>120</v>
      </c>
      <c r="N376" s="169" t="s">
        <v>116</v>
      </c>
      <c r="O376" s="154" t="s">
        <v>120</v>
      </c>
      <c r="P376" s="6">
        <v>0</v>
      </c>
      <c r="Q376" s="117" t="str">
        <f>IF('INFO BASE'!$C$19="","",'INFO BASE'!$C$19)</f>
        <v>Trabalho de Grupo</v>
      </c>
      <c r="R376" s="82" t="str">
        <f t="shared" si="224"/>
        <v>TG</v>
      </c>
      <c r="S376" s="83">
        <f t="shared" si="221"/>
        <v>-1</v>
      </c>
      <c r="T376" s="84">
        <f>IF(VLOOKUP(Q376,'INFO BASE'!$B$40:$I$54,IF(R376='INFO BASE'!$B$32,3,IF(R376='INFO BASE'!$B$33,4,IF(R376='INFO BASE'!$B$34,5,IF(R376='INFO BASE'!$B$35,6,IF(R376='INFO BASE'!$B$36,7,IF(R376='INFO BASE'!$B$37,8,2)))))),0)=0,"",VLOOKUP(Q376,'INFO BASE'!$B$40:$I$54,IF(R376='INFO BASE'!$B$32,3,IF(R376='INFO BASE'!$B$33,4,IF(R376='INFO BASE'!$B$34,5,IF(R376='INFO BASE'!$B$35,6,IF(R376='INFO BASE'!$B$36,7,IF(R376='INFO BASE'!$B$37,8,2)))))),0))</f>
        <v>15</v>
      </c>
      <c r="U376" s="84">
        <f>IF(R376="","",COUNTIFS(SEMANA7,R376)*0.5)</f>
        <v>0</v>
      </c>
      <c r="V376" s="84">
        <f>IF(R376="","",COUNTIFS(AI351:AV398,R376)*0.5)</f>
        <v>0</v>
      </c>
      <c r="W376" s="85">
        <f>IF(AH347="","-",IF(V376=0,U376,IFERROR((U376/V376)-1,"-")))</f>
        <v>0</v>
      </c>
      <c r="X376" s="201">
        <f t="shared" si="222"/>
        <v>0</v>
      </c>
      <c r="Y376" s="277"/>
      <c r="Z376" s="278"/>
      <c r="AA376" s="278"/>
      <c r="AB376" s="278"/>
      <c r="AC376" s="278"/>
      <c r="AD376" s="278"/>
      <c r="AE376" s="278"/>
      <c r="AF376" s="279"/>
      <c r="AH376" s="136">
        <v>0.52083333333335002</v>
      </c>
      <c r="AI376" s="136" t="s">
        <v>9</v>
      </c>
      <c r="AJ376" s="136" t="s">
        <v>230</v>
      </c>
      <c r="AK376" s="136" t="s">
        <v>116</v>
      </c>
      <c r="AL376" s="136" t="s">
        <v>120</v>
      </c>
      <c r="AM376" s="136" t="s">
        <v>9</v>
      </c>
      <c r="AN376" s="136" t="s">
        <v>230</v>
      </c>
      <c r="AO376" s="136" t="s">
        <v>130</v>
      </c>
      <c r="AP376" s="136" t="s">
        <v>224</v>
      </c>
      <c r="AQ376" s="136" t="s">
        <v>116</v>
      </c>
      <c r="AR376" s="136" t="s">
        <v>120</v>
      </c>
      <c r="AS376" s="136" t="s">
        <v>116</v>
      </c>
      <c r="AT376" s="136" t="s">
        <v>120</v>
      </c>
      <c r="AU376" s="136" t="s">
        <v>116</v>
      </c>
      <c r="AV376" s="136" t="s">
        <v>120</v>
      </c>
      <c r="AX376" s="136" t="str">
        <f>IF(AI347="","",IF(B376="","",B376))</f>
        <v>AT</v>
      </c>
      <c r="AY376" s="136" t="str">
        <f>IF(AI347="","",IF(C376="","",C376))</f>
        <v>AL</v>
      </c>
      <c r="AZ376" s="136" t="str">
        <f>IF(AI347="","",IF(D376="","",D376))</f>
        <v>PV</v>
      </c>
      <c r="BA376" s="136" t="str">
        <f>IF(AI347="","",IF(E376="","",E376))</f>
        <v>-</v>
      </c>
      <c r="BB376" s="136" t="str">
        <f>IF(AI347="","",IF(F376="","",F376))</f>
        <v>AT</v>
      </c>
      <c r="BC376" s="136" t="str">
        <f>IF(AI347="","",IF(G376="","",G376))</f>
        <v>AL</v>
      </c>
      <c r="BD376" s="136" t="str">
        <f>IF(AI347="","",IF(H376="","",H376))</f>
        <v>APB</v>
      </c>
      <c r="BE376" s="136" t="str">
        <f>IF(AI347="","",IF(I376="","",I376))</f>
        <v>FP</v>
      </c>
      <c r="BF376" s="136" t="str">
        <f>IF(AI347="","",IF(J376="","",J376))</f>
        <v>PV</v>
      </c>
      <c r="BG376" s="136" t="str">
        <f>IF(AI347="","",IF(K376="","",K376))</f>
        <v>-</v>
      </c>
      <c r="BH376" s="136" t="str">
        <f>IF(AI347="","",IF(L376="","",L376))</f>
        <v>PV</v>
      </c>
      <c r="BI376" s="136" t="str">
        <f>IF(AI347="","",IF(M376="","",M376))</f>
        <v>-</v>
      </c>
      <c r="BJ376" s="136" t="str">
        <f>IF(AI347="","",IF(N376="","",N376))</f>
        <v>PV</v>
      </c>
      <c r="BK376" s="136" t="str">
        <f>IF(AI347="","",IF(O376="","",O376))</f>
        <v>-</v>
      </c>
      <c r="BM376" s="136" t="str">
        <f t="shared" si="229"/>
        <v>TG</v>
      </c>
      <c r="BN376" s="136" t="str">
        <f t="shared" si="217"/>
        <v>Trabalho de Grupo</v>
      </c>
      <c r="BO376" s="136" t="str">
        <f t="shared" si="217"/>
        <v>IAC</v>
      </c>
      <c r="BP376" s="136">
        <f>(COUNTIFS(AX351:AX398,BM376,AY351:AY398,BO376)+COUNTIFS(AZ351:AZ398,BM376,BA351:BA398,BO376)+COUNTIFS(BB351:BB398,BM376,BC351:BC398,BO376)+COUNTIFS(BD351:BD398,BM376,BE351:BE398,BO376)+COUNTIFS(BF351:BF398,BM376,BG351:BG398,BO376)+COUNTIFS(BH351:BH398,BM376,BI351:BI398,BO376)+COUNTIFS(BJ351:BJ398,BM376,BK351:BK398,BO376))*0.5</f>
        <v>0</v>
      </c>
      <c r="BQ376" s="136" t="str">
        <f t="shared" si="218"/>
        <v>Trabalho de Grupo</v>
      </c>
      <c r="BR376" s="136" t="str">
        <f t="shared" si="218"/>
        <v>IAC</v>
      </c>
      <c r="BS376" s="136" t="str">
        <f t="shared" si="219"/>
        <v>Trabalho de Grupo</v>
      </c>
      <c r="BT376" s="136">
        <f t="shared" si="225"/>
        <v>0</v>
      </c>
      <c r="BU376" s="136">
        <f t="shared" si="226"/>
        <v>0</v>
      </c>
      <c r="CA376" s="136">
        <f>'INFO BASE'!L455</f>
        <v>0</v>
      </c>
      <c r="CB376" s="136">
        <f>'INFO BASE'!M455</f>
        <v>0</v>
      </c>
      <c r="CR376" s="177" t="str">
        <f t="shared" si="207"/>
        <v>AT</v>
      </c>
      <c r="CS376" s="177" t="str">
        <f t="shared" si="208"/>
        <v>ATAL</v>
      </c>
      <c r="CT376" s="177" t="str">
        <f t="shared" si="207"/>
        <v>PV</v>
      </c>
      <c r="CU376" s="177">
        <f t="shared" si="209"/>
        <v>0</v>
      </c>
      <c r="CV376" s="177" t="str">
        <f t="shared" si="207"/>
        <v>AT</v>
      </c>
      <c r="CW376" s="177" t="str">
        <f t="shared" si="210"/>
        <v>ATAL</v>
      </c>
      <c r="CX376" s="177" t="str">
        <f t="shared" si="207"/>
        <v>APB</v>
      </c>
      <c r="CY376" s="177" t="str">
        <f t="shared" si="211"/>
        <v>APBFP</v>
      </c>
      <c r="CZ376" s="177" t="str">
        <f t="shared" si="207"/>
        <v>PV</v>
      </c>
      <c r="DA376" s="177">
        <f t="shared" si="212"/>
        <v>0</v>
      </c>
      <c r="DB376" s="177" t="str">
        <f t="shared" si="207"/>
        <v>PV</v>
      </c>
      <c r="DC376" s="177">
        <f t="shared" si="213"/>
        <v>0</v>
      </c>
      <c r="DD376" s="177" t="str">
        <f t="shared" si="214"/>
        <v>PV</v>
      </c>
      <c r="DE376" s="177">
        <f t="shared" si="215"/>
        <v>0</v>
      </c>
    </row>
    <row r="377" spans="1:109" ht="18" customHeight="1" x14ac:dyDescent="0.3">
      <c r="A377" s="81">
        <v>0.54166666666668395</v>
      </c>
      <c r="B377" s="166" t="s">
        <v>9</v>
      </c>
      <c r="C377" s="130" t="s">
        <v>231</v>
      </c>
      <c r="D377" s="169" t="s">
        <v>116</v>
      </c>
      <c r="E377" s="130" t="s">
        <v>120</v>
      </c>
      <c r="F377" s="169" t="s">
        <v>9</v>
      </c>
      <c r="G377" s="130" t="s">
        <v>230</v>
      </c>
      <c r="H377" s="169" t="s">
        <v>130</v>
      </c>
      <c r="I377" s="130" t="s">
        <v>224</v>
      </c>
      <c r="J377" s="169" t="s">
        <v>116</v>
      </c>
      <c r="K377" s="130" t="s">
        <v>120</v>
      </c>
      <c r="L377" s="169" t="s">
        <v>12</v>
      </c>
      <c r="M377" s="130" t="s">
        <v>120</v>
      </c>
      <c r="N377" s="169" t="s">
        <v>116</v>
      </c>
      <c r="O377" s="154" t="s">
        <v>120</v>
      </c>
      <c r="P377" s="6">
        <v>0</v>
      </c>
      <c r="Q377" s="118" t="str">
        <f t="shared" ref="Q377:Q382" si="230">Q376</f>
        <v>Trabalho de Grupo</v>
      </c>
      <c r="R377" s="105" t="str">
        <f t="shared" si="224"/>
        <v>FP</v>
      </c>
      <c r="S377" s="88">
        <f t="shared" si="221"/>
        <v>-1</v>
      </c>
      <c r="T377" s="89">
        <f>IF(VLOOKUP(Q377,'INFO BASE'!$B$40:$I$54,IF(R377='INFO BASE'!$B$32,3,IF(R377='INFO BASE'!$B$33,4,IF(R377='INFO BASE'!$B$34,5,IF(R377='INFO BASE'!$B$35,6,IF(R377='INFO BASE'!$B$36,7,IF(R377='INFO BASE'!$B$37,8,2)))))),0)=0,"",VLOOKUP(Q377,'INFO BASE'!$B$40:$I$54,IF(R377='INFO BASE'!$B$32,3,IF(R377='INFO BASE'!$B$33,4,IF(R377='INFO BASE'!$B$34,5,IF(R377='INFO BASE'!$B$35,6,IF(R377='INFO BASE'!$B$36,7,IF(R377='INFO BASE'!$B$37,8,2)))))),0))</f>
        <v>3</v>
      </c>
      <c r="U377" s="89">
        <f>(COUNTIFS(C351:C398,R377,B351:B398,R376)+COUNTIFS(E351:E398,R377,D351:D398,R376)+COUNTIFS(G351:G398,R377,F351:F398,R376)+COUNTIFS(I351:I398,R377,H351:H398,R376)+COUNTIFS(K351:K398,R377,J351:J398,R376)+COUNTIFS(M351:M398,R377,L351:L398,R376)+COUNTIFS(O351:O398,R377,N351:N398,R376))*0.5</f>
        <v>0</v>
      </c>
      <c r="V377" s="89">
        <f>(COUNTIFS(AI351:AI398,R376,AJ351:AJ398,R370)+COUNTIFS(AK351:AK398,R376,AL351:AL398,R370)+COUNTIFS(AM351:AM398,R376,AN351:AN398,R370)+COUNTIFS(AO351:AO398,R376,AP351:AP398,R370)+COUNTIFS(AQ351:AQ398,R376,AR351:AR398,R370)+COUNTIFS(AS351:AS398,R376,AT351:AT398,R370)+COUNTIFS(AU351:AU398,R376,AV351:AV398,R370))*0.5</f>
        <v>0</v>
      </c>
      <c r="W377" s="90">
        <f>IF(AH347="","-",IF(V377=0,U377,IFERROR((U377/V377)-1,"-")))</f>
        <v>0</v>
      </c>
      <c r="X377" s="201">
        <f t="shared" si="222"/>
        <v>0</v>
      </c>
      <c r="Y377" s="271"/>
      <c r="Z377" s="272"/>
      <c r="AA377" s="272"/>
      <c r="AB377" s="272"/>
      <c r="AC377" s="272"/>
      <c r="AD377" s="272"/>
      <c r="AE377" s="272"/>
      <c r="AF377" s="273"/>
      <c r="AH377" s="136">
        <v>0.54166666666668395</v>
      </c>
      <c r="AI377" s="136" t="s">
        <v>9</v>
      </c>
      <c r="AJ377" s="136" t="s">
        <v>231</v>
      </c>
      <c r="AK377" s="136" t="s">
        <v>116</v>
      </c>
      <c r="AL377" s="136" t="s">
        <v>120</v>
      </c>
      <c r="AM377" s="136" t="s">
        <v>9</v>
      </c>
      <c r="AN377" s="136" t="s">
        <v>230</v>
      </c>
      <c r="AO377" s="136" t="s">
        <v>130</v>
      </c>
      <c r="AP377" s="136" t="s">
        <v>224</v>
      </c>
      <c r="AQ377" s="136" t="s">
        <v>116</v>
      </c>
      <c r="AR377" s="136" t="s">
        <v>120</v>
      </c>
      <c r="AS377" s="136" t="s">
        <v>12</v>
      </c>
      <c r="AT377" s="136" t="s">
        <v>120</v>
      </c>
      <c r="AU377" s="136" t="s">
        <v>116</v>
      </c>
      <c r="AV377" s="136" t="s">
        <v>120</v>
      </c>
      <c r="AX377" s="136" t="str">
        <f>IF(AI347="","",IF(B377="","",B377))</f>
        <v>AT</v>
      </c>
      <c r="AY377" s="136" t="str">
        <f>IF(AI347="","",IF(C377="","",C377))</f>
        <v>CDI</v>
      </c>
      <c r="AZ377" s="136" t="str">
        <f>IF(AI347="","",IF(D377="","",D377))</f>
        <v>PV</v>
      </c>
      <c r="BA377" s="136" t="str">
        <f>IF(AI347="","",IF(E377="","",E377))</f>
        <v>-</v>
      </c>
      <c r="BB377" s="136" t="str">
        <f>IF(AI347="","",IF(F377="","",F377))</f>
        <v>AT</v>
      </c>
      <c r="BC377" s="136" t="str">
        <f>IF(AI347="","",IF(G377="","",G377))</f>
        <v>AL</v>
      </c>
      <c r="BD377" s="136" t="str">
        <f>IF(AI347="","",IF(H377="","",H377))</f>
        <v>APB</v>
      </c>
      <c r="BE377" s="136" t="str">
        <f>IF(AI347="","",IF(I377="","",I377))</f>
        <v>FP</v>
      </c>
      <c r="BF377" s="136" t="str">
        <f>IF(AI347="","",IF(J377="","",J377))</f>
        <v>PV</v>
      </c>
      <c r="BG377" s="136" t="str">
        <f>IF(AI347="","",IF(K377="","",K377))</f>
        <v>-</v>
      </c>
      <c r="BH377" s="136" t="str">
        <f>IF(AI347="","",IF(L377="","",L377))</f>
        <v>HR</v>
      </c>
      <c r="BI377" s="136" t="str">
        <f>IF(AI347="","",IF(M377="","",M377))</f>
        <v>-</v>
      </c>
      <c r="BJ377" s="136" t="str">
        <f>IF(AI347="","",IF(N377="","",N377))</f>
        <v>PV</v>
      </c>
      <c r="BK377" s="136" t="str">
        <f>IF(AI347="","",IF(O377="","",O377))</f>
        <v>-</v>
      </c>
      <c r="BM377" s="136" t="str">
        <f t="shared" si="229"/>
        <v>TG</v>
      </c>
      <c r="BN377" s="136" t="str">
        <f t="shared" si="217"/>
        <v>Trabalho de Grupo</v>
      </c>
      <c r="BO377" s="136" t="str">
        <f t="shared" si="217"/>
        <v>AL</v>
      </c>
      <c r="BP377" s="136">
        <f>(COUNTIFS(AX351:AX398,BM377,AY351:AY398,BO377)+COUNTIFS(AZ351:AZ398,BM377,BA351:BA398,BO377)+COUNTIFS(BB351:BB398,BM377,BC351:BC398,BO377)+COUNTIFS(BD351:BD398,BM377,BE351:BE398,BO377)+COUNTIFS(BF351:BF398,BM377,BG351:BG398,BO377)+COUNTIFS(BH351:BH398,BM377,BI351:BI398,BO377)+COUNTIFS(BJ351:BJ398,BM377,BK351:BK398,BO377))*0.5</f>
        <v>0</v>
      </c>
      <c r="BQ377" s="136" t="str">
        <f t="shared" si="218"/>
        <v>Trabalho de Grupo</v>
      </c>
      <c r="BR377" s="136" t="str">
        <f t="shared" si="218"/>
        <v>AL</v>
      </c>
      <c r="BS377" s="136" t="str">
        <f t="shared" si="219"/>
        <v>Trabalho de Grupo</v>
      </c>
      <c r="BT377" s="136">
        <f t="shared" si="225"/>
        <v>0</v>
      </c>
      <c r="BU377" s="136">
        <f t="shared" si="226"/>
        <v>0</v>
      </c>
      <c r="CA377" s="136">
        <f>'INFO BASE'!L456</f>
        <v>0</v>
      </c>
      <c r="CB377" s="136">
        <f>'INFO BASE'!M456</f>
        <v>0</v>
      </c>
      <c r="CR377" s="177" t="str">
        <f t="shared" si="207"/>
        <v>AT</v>
      </c>
      <c r="CS377" s="177" t="str">
        <f t="shared" si="208"/>
        <v>ATCDI</v>
      </c>
      <c r="CT377" s="177" t="str">
        <f t="shared" si="207"/>
        <v>PV</v>
      </c>
      <c r="CU377" s="177">
        <f t="shared" si="209"/>
        <v>0</v>
      </c>
      <c r="CV377" s="177" t="str">
        <f t="shared" si="207"/>
        <v>AT</v>
      </c>
      <c r="CW377" s="177" t="str">
        <f t="shared" si="210"/>
        <v>ATAL</v>
      </c>
      <c r="CX377" s="177" t="str">
        <f t="shared" si="207"/>
        <v>APB</v>
      </c>
      <c r="CY377" s="177" t="str">
        <f t="shared" si="211"/>
        <v>APBFP</v>
      </c>
      <c r="CZ377" s="177" t="str">
        <f t="shared" si="207"/>
        <v>PV</v>
      </c>
      <c r="DA377" s="177">
        <f t="shared" si="212"/>
        <v>0</v>
      </c>
      <c r="DB377" s="177" t="str">
        <f t="shared" si="207"/>
        <v>HR</v>
      </c>
      <c r="DC377" s="177" t="str">
        <f t="shared" si="213"/>
        <v>HR-</v>
      </c>
      <c r="DD377" s="177" t="str">
        <f t="shared" si="214"/>
        <v>PV</v>
      </c>
      <c r="DE377" s="177">
        <f t="shared" si="215"/>
        <v>0</v>
      </c>
    </row>
    <row r="378" spans="1:109" ht="18" customHeight="1" x14ac:dyDescent="0.3">
      <c r="A378" s="81">
        <v>0.56250000000001799</v>
      </c>
      <c r="B378" s="166" t="s">
        <v>9</v>
      </c>
      <c r="C378" s="130" t="s">
        <v>231</v>
      </c>
      <c r="D378" s="169" t="s">
        <v>116</v>
      </c>
      <c r="E378" s="130" t="s">
        <v>120</v>
      </c>
      <c r="F378" s="169" t="s">
        <v>116</v>
      </c>
      <c r="G378" s="130" t="s">
        <v>120</v>
      </c>
      <c r="H378" s="169" t="s">
        <v>116</v>
      </c>
      <c r="I378" s="130" t="s">
        <v>120</v>
      </c>
      <c r="J378" s="169" t="s">
        <v>116</v>
      </c>
      <c r="K378" s="130" t="s">
        <v>120</v>
      </c>
      <c r="L378" s="169" t="s">
        <v>12</v>
      </c>
      <c r="M378" s="130" t="s">
        <v>120</v>
      </c>
      <c r="N378" s="169" t="s">
        <v>116</v>
      </c>
      <c r="O378" s="154" t="s">
        <v>120</v>
      </c>
      <c r="P378" s="6">
        <v>0</v>
      </c>
      <c r="Q378" s="118" t="str">
        <f t="shared" si="230"/>
        <v>Trabalho de Grupo</v>
      </c>
      <c r="R378" s="105" t="str">
        <f t="shared" si="224"/>
        <v>IEI</v>
      </c>
      <c r="S378" s="88">
        <f t="shared" si="221"/>
        <v>-1</v>
      </c>
      <c r="T378" s="89">
        <f>IF(VLOOKUP(Q378,'INFO BASE'!$B$40:$I$54,IF(R378='INFO BASE'!$B$32,3,IF(R378='INFO BASE'!$B$33,4,IF(R378='INFO BASE'!$B$34,5,IF(R378='INFO BASE'!$B$35,6,IF(R378='INFO BASE'!$B$36,7,IF(R378='INFO BASE'!$B$37,8,2)))))),0)=0,"",VLOOKUP(Q378,'INFO BASE'!$B$40:$I$54,IF(R378='INFO BASE'!$B$32,3,IF(R378='INFO BASE'!$B$33,4,IF(R378='INFO BASE'!$B$34,5,IF(R378='INFO BASE'!$B$35,6,IF(R378='INFO BASE'!$B$36,7,IF(R378='INFO BASE'!$B$37,8,2)))))),0))</f>
        <v>3</v>
      </c>
      <c r="U378" s="89">
        <f>(COUNTIFS(C351:C398,R378,B351:B398,R376)+COUNTIFS(E351:E398,R378,D351:D398,R376)+COUNTIFS(G351:G398,R378,F351:F398,R376)+COUNTIFS(I351:I398,R378,H351:H398,R376)+COUNTIFS(K351:K398,R378,J351:J398,R376)+COUNTIFS(M351:M398,R378,L351:L398,R376)+COUNTIFS(O351:O398,R378,N351:N398,R376))*0.5</f>
        <v>0</v>
      </c>
      <c r="V378" s="89">
        <f>(COUNTIFS(AI351:AI398,R376,AJ351:AJ398,R371)+COUNTIFS(AK351:AK398,R376,AL351:AL398,R371)+COUNTIFS(AM351:AM398,R376,AN351:AN398,R371)+COUNTIFS(AO351:AO398,R376,AP351:AP398,R371)+COUNTIFS(AQ351:AQ398,R376,AR351:AR398,R371)+COUNTIFS(AS351:AS398,R376,AT351:AT398,R371)+COUNTIFS(AU351:AU398,R376,AV351:AV398,R371))*0.5</f>
        <v>0</v>
      </c>
      <c r="W378" s="90">
        <f>IF(AH347="","-",IF(V378=0,U378,IFERROR((U378/V378)-1,"-")))</f>
        <v>0</v>
      </c>
      <c r="X378" s="201">
        <f t="shared" si="222"/>
        <v>0</v>
      </c>
      <c r="Y378" s="271"/>
      <c r="Z378" s="272"/>
      <c r="AA378" s="272"/>
      <c r="AB378" s="272"/>
      <c r="AC378" s="272"/>
      <c r="AD378" s="272"/>
      <c r="AE378" s="272"/>
      <c r="AF378" s="273"/>
      <c r="AH378" s="136">
        <v>0.56250000000001799</v>
      </c>
      <c r="AI378" s="136" t="s">
        <v>9</v>
      </c>
      <c r="AJ378" s="136" t="s">
        <v>231</v>
      </c>
      <c r="AK378" s="136" t="s">
        <v>116</v>
      </c>
      <c r="AL378" s="136" t="s">
        <v>120</v>
      </c>
      <c r="AM378" s="136" t="s">
        <v>116</v>
      </c>
      <c r="AN378" s="136" t="s">
        <v>120</v>
      </c>
      <c r="AO378" s="136" t="s">
        <v>116</v>
      </c>
      <c r="AP378" s="136" t="s">
        <v>120</v>
      </c>
      <c r="AQ378" s="136" t="s">
        <v>116</v>
      </c>
      <c r="AR378" s="136" t="s">
        <v>120</v>
      </c>
      <c r="AS378" s="136" t="s">
        <v>12</v>
      </c>
      <c r="AT378" s="136" t="s">
        <v>120</v>
      </c>
      <c r="AU378" s="136" t="s">
        <v>116</v>
      </c>
      <c r="AV378" s="136" t="s">
        <v>120</v>
      </c>
      <c r="AX378" s="136" t="str">
        <f>IF(AI347="","",IF(B378="","",B378))</f>
        <v>AT</v>
      </c>
      <c r="AY378" s="136" t="str">
        <f>IF(AI347="","",IF(C378="","",C378))</f>
        <v>CDI</v>
      </c>
      <c r="AZ378" s="136" t="str">
        <f>IF(AI347="","",IF(D378="","",D378))</f>
        <v>PV</v>
      </c>
      <c r="BA378" s="136" t="str">
        <f>IF(AI347="","",IF(E378="","",E378))</f>
        <v>-</v>
      </c>
      <c r="BB378" s="136" t="str">
        <f>IF(AI347="","",IF(F378="","",F378))</f>
        <v>PV</v>
      </c>
      <c r="BC378" s="136" t="str">
        <f>IF(AI347="","",IF(G378="","",G378))</f>
        <v>-</v>
      </c>
      <c r="BD378" s="136" t="str">
        <f>IF(AI347="","",IF(H378="","",H378))</f>
        <v>PV</v>
      </c>
      <c r="BE378" s="136" t="str">
        <f>IF(AI347="","",IF(I378="","",I378))</f>
        <v>-</v>
      </c>
      <c r="BF378" s="136" t="str">
        <f>IF(AI347="","",IF(J378="","",J378))</f>
        <v>PV</v>
      </c>
      <c r="BG378" s="136" t="str">
        <f>IF(AI347="","",IF(K378="","",K378))</f>
        <v>-</v>
      </c>
      <c r="BH378" s="136" t="str">
        <f>IF(AI347="","",IF(L378="","",L378))</f>
        <v>HR</v>
      </c>
      <c r="BI378" s="136" t="str">
        <f>IF(AI347="","",IF(M378="","",M378))</f>
        <v>-</v>
      </c>
      <c r="BJ378" s="136" t="str">
        <f>IF(AI347="","",IF(N378="","",N378))</f>
        <v>PV</v>
      </c>
      <c r="BK378" s="136" t="str">
        <f>IF(AI347="","",IF(O378="","",O378))</f>
        <v>-</v>
      </c>
      <c r="BM378" s="136" t="str">
        <f t="shared" si="229"/>
        <v>TG</v>
      </c>
      <c r="BN378" s="136" t="str">
        <f t="shared" si="217"/>
        <v>Trabalho de Grupo</v>
      </c>
      <c r="BO378" s="136" t="str">
        <f t="shared" si="217"/>
        <v>CDI</v>
      </c>
      <c r="BP378" s="136">
        <f>(COUNTIFS(AX351:AX398,BM378,AY351:AY398,BO378)+COUNTIFS(AZ351:AZ398,BM378,BA351:BA398,BO378)+COUNTIFS(BB351:BB398,BM378,BC351:BC398,BO378)+COUNTIFS(BD351:BD398,BM378,BE351:BE398,BO378)+COUNTIFS(BF351:BF398,BM378,BG351:BG398,BO378)+COUNTIFS(BH351:BH398,BM378,BI351:BI398,BO378)+COUNTIFS(BJ351:BJ398,BM378,BK351:BK398,BO378))*0.5</f>
        <v>0</v>
      </c>
      <c r="BQ378" s="136" t="str">
        <f t="shared" si="218"/>
        <v>Trabalho de Grupo</v>
      </c>
      <c r="BR378" s="136" t="str">
        <f t="shared" si="218"/>
        <v>CDI</v>
      </c>
      <c r="BS378" s="136" t="str">
        <f t="shared" si="219"/>
        <v>Trabalho de Grupo</v>
      </c>
      <c r="BT378" s="136">
        <f t="shared" si="225"/>
        <v>0</v>
      </c>
      <c r="BU378" s="136">
        <f t="shared" si="226"/>
        <v>0</v>
      </c>
      <c r="CA378" s="136">
        <f>'INFO BASE'!L457</f>
        <v>0</v>
      </c>
      <c r="CB378" s="136">
        <f>'INFO BASE'!M457</f>
        <v>0</v>
      </c>
      <c r="CR378" s="177" t="str">
        <f t="shared" si="207"/>
        <v>AT</v>
      </c>
      <c r="CS378" s="177" t="str">
        <f t="shared" si="208"/>
        <v>ATCDI</v>
      </c>
      <c r="CT378" s="177" t="str">
        <f t="shared" si="207"/>
        <v>PV</v>
      </c>
      <c r="CU378" s="177">
        <f t="shared" si="209"/>
        <v>0</v>
      </c>
      <c r="CV378" s="177" t="str">
        <f t="shared" si="207"/>
        <v>PV</v>
      </c>
      <c r="CW378" s="177">
        <f t="shared" si="210"/>
        <v>0</v>
      </c>
      <c r="CX378" s="177" t="str">
        <f t="shared" si="207"/>
        <v>PV</v>
      </c>
      <c r="CY378" s="177">
        <f t="shared" si="211"/>
        <v>0</v>
      </c>
      <c r="CZ378" s="177" t="str">
        <f t="shared" si="207"/>
        <v>PV</v>
      </c>
      <c r="DA378" s="177">
        <f t="shared" si="212"/>
        <v>0</v>
      </c>
      <c r="DB378" s="177" t="str">
        <f t="shared" si="207"/>
        <v>HR</v>
      </c>
      <c r="DC378" s="177" t="str">
        <f t="shared" si="213"/>
        <v>HR-</v>
      </c>
      <c r="DD378" s="177" t="str">
        <f t="shared" si="214"/>
        <v>PV</v>
      </c>
      <c r="DE378" s="177">
        <f t="shared" si="215"/>
        <v>0</v>
      </c>
    </row>
    <row r="379" spans="1:109" ht="18" customHeight="1" x14ac:dyDescent="0.3">
      <c r="A379" s="81">
        <v>0.58333333333335202</v>
      </c>
      <c r="B379" s="166" t="s">
        <v>12</v>
      </c>
      <c r="C379" s="130" t="s">
        <v>120</v>
      </c>
      <c r="D379" s="169" t="s">
        <v>12</v>
      </c>
      <c r="E379" s="130" t="s">
        <v>120</v>
      </c>
      <c r="F379" s="169" t="s">
        <v>12</v>
      </c>
      <c r="G379" s="130" t="s">
        <v>120</v>
      </c>
      <c r="H379" s="169" t="s">
        <v>12</v>
      </c>
      <c r="I379" s="130" t="s">
        <v>120</v>
      </c>
      <c r="J379" s="169" t="s">
        <v>12</v>
      </c>
      <c r="K379" s="130" t="s">
        <v>120</v>
      </c>
      <c r="L379" s="169" t="s">
        <v>12</v>
      </c>
      <c r="M379" s="130" t="s">
        <v>120</v>
      </c>
      <c r="N379" s="169" t="s">
        <v>116</v>
      </c>
      <c r="O379" s="154" t="s">
        <v>120</v>
      </c>
      <c r="P379" s="6">
        <v>0</v>
      </c>
      <c r="Q379" s="119" t="str">
        <f t="shared" si="230"/>
        <v>Trabalho de Grupo</v>
      </c>
      <c r="R379" s="105" t="str">
        <f t="shared" si="224"/>
        <v>IAC</v>
      </c>
      <c r="S379" s="88">
        <f t="shared" si="221"/>
        <v>-1</v>
      </c>
      <c r="T379" s="89">
        <f>IF(VLOOKUP(Q379,'INFO BASE'!$B$40:$I$54,IF(R379='INFO BASE'!$B$32,3,IF(R379='INFO BASE'!$B$33,4,IF(R379='INFO BASE'!$B$34,5,IF(R379='INFO BASE'!$B$35,6,IF(R379='INFO BASE'!$B$36,7,IF(R379='INFO BASE'!$B$37,8,2)))))),0)=0,"",VLOOKUP(Q379,'INFO BASE'!$B$40:$I$54,IF(R379='INFO BASE'!$B$32,3,IF(R379='INFO BASE'!$B$33,4,IF(R379='INFO BASE'!$B$34,5,IF(R379='INFO BASE'!$B$35,6,IF(R379='INFO BASE'!$B$36,7,IF(R379='INFO BASE'!$B$37,8,2)))))),0))</f>
        <v>3</v>
      </c>
      <c r="U379" s="89">
        <f>(COUNTIFS(C351:C398,R379,B351:B398,R376)+COUNTIFS(E351:E398,R379,D351:D398,R376)+COUNTIFS(G351:G398,R379,F351:F398,R376)+COUNTIFS(I351:I398,R379,H351:H398,R376)+COUNTIFS(K351:K398,R379,J351:J398,R376)+COUNTIFS(M351:M398,R379,L351:L398,R376)+COUNTIFS(O351:O398,R379,N351:N398,R376))*0.5</f>
        <v>0</v>
      </c>
      <c r="V379" s="89">
        <f>(COUNTIFS(AI351:AI398,R376,AJ351:AJ398,R372)+COUNTIFS(AK351:AK398,R376,AL351:AL398,R372)+COUNTIFS(AM351:AM398,R376,AN351:AN398,R372)+COUNTIFS(AO351:AO398,R376,AP351:AP398,R372)+COUNTIFS(AQ351:AQ398,R376,AR351:AR398,R372)+COUNTIFS(AS351:AS398,R376,AT351:AT398,R372)+COUNTIFS(AU351:AU398,R376,AV351:AV398,R372))*0.5</f>
        <v>0</v>
      </c>
      <c r="W379" s="90">
        <f>IF(AH347="","-",IF(V379=0,U379,IFERROR((U379/V379)-1,"-")))</f>
        <v>0</v>
      </c>
      <c r="X379" s="201">
        <f t="shared" si="222"/>
        <v>0</v>
      </c>
      <c r="Y379" s="271"/>
      <c r="Z379" s="272"/>
      <c r="AA379" s="272"/>
      <c r="AB379" s="272"/>
      <c r="AC379" s="272"/>
      <c r="AD379" s="272"/>
      <c r="AE379" s="272"/>
      <c r="AF379" s="273"/>
      <c r="AH379" s="136">
        <v>0.58333333333335202</v>
      </c>
      <c r="AI379" s="136" t="s">
        <v>12</v>
      </c>
      <c r="AJ379" s="136" t="s">
        <v>120</v>
      </c>
      <c r="AK379" s="136" t="s">
        <v>12</v>
      </c>
      <c r="AL379" s="136" t="s">
        <v>120</v>
      </c>
      <c r="AM379" s="136" t="s">
        <v>12</v>
      </c>
      <c r="AN379" s="136" t="s">
        <v>120</v>
      </c>
      <c r="AO379" s="136" t="s">
        <v>12</v>
      </c>
      <c r="AP379" s="136" t="s">
        <v>120</v>
      </c>
      <c r="AQ379" s="136" t="s">
        <v>12</v>
      </c>
      <c r="AR379" s="136" t="s">
        <v>120</v>
      </c>
      <c r="AS379" s="136" t="s">
        <v>12</v>
      </c>
      <c r="AT379" s="136" t="s">
        <v>120</v>
      </c>
      <c r="AU379" s="136" t="s">
        <v>116</v>
      </c>
      <c r="AV379" s="136" t="s">
        <v>120</v>
      </c>
      <c r="AX379" s="136" t="str">
        <f>IF(AI347="","",IF(B379="","",B379))</f>
        <v>HR</v>
      </c>
      <c r="AY379" s="136" t="str">
        <f>IF(AI347="","",IF(C379="","",C379))</f>
        <v>-</v>
      </c>
      <c r="AZ379" s="136" t="str">
        <f>IF(AI347="","",IF(D379="","",D379))</f>
        <v>HR</v>
      </c>
      <c r="BA379" s="136" t="str">
        <f>IF(AI347="","",IF(E379="","",E379))</f>
        <v>-</v>
      </c>
      <c r="BB379" s="136" t="str">
        <f>IF(AI347="","",IF(F379="","",F379))</f>
        <v>HR</v>
      </c>
      <c r="BC379" s="136" t="str">
        <f>IF(AI347="","",IF(G379="","",G379))</f>
        <v>-</v>
      </c>
      <c r="BD379" s="136" t="str">
        <f>IF(AI347="","",IF(H379="","",H379))</f>
        <v>HR</v>
      </c>
      <c r="BE379" s="136" t="str">
        <f>IF(AI347="","",IF(I379="","",I379))</f>
        <v>-</v>
      </c>
      <c r="BF379" s="136" t="str">
        <f>IF(AI347="","",IF(J379="","",J379))</f>
        <v>HR</v>
      </c>
      <c r="BG379" s="136" t="str">
        <f>IF(AI347="","",IF(K379="","",K379))</f>
        <v>-</v>
      </c>
      <c r="BH379" s="136" t="str">
        <f>IF(AI347="","",IF(L379="","",L379))</f>
        <v>HR</v>
      </c>
      <c r="BI379" s="136" t="str">
        <f>IF(AI347="","",IF(M379="","",M379))</f>
        <v>-</v>
      </c>
      <c r="BJ379" s="136" t="str">
        <f>IF(AI347="","",IF(N379="","",N379))</f>
        <v>PV</v>
      </c>
      <c r="BK379" s="136" t="str">
        <f>IF(AI347="","",IF(O379="","",O379))</f>
        <v>-</v>
      </c>
      <c r="BM379" s="136" t="str">
        <f t="shared" si="229"/>
        <v>TG</v>
      </c>
      <c r="BN379" s="136" t="str">
        <f t="shared" si="217"/>
        <v>Trabalho de Grupo</v>
      </c>
      <c r="BO379" s="136" t="str">
        <f t="shared" si="217"/>
        <v/>
      </c>
      <c r="BP379" s="136">
        <f>(COUNTIFS(AX351:AX398,BM379,AY351:AY398,BO379)+COUNTIFS(AZ351:AZ398,BM379,BA351:BA398,BO379)+COUNTIFS(BB351:BB398,BM379,BC351:BC398,BO379)+COUNTIFS(BD351:BD398,BM379,BE351:BE398,BO379)+COUNTIFS(BF351:BF398,BM379,BG351:BG398,BO379)+COUNTIFS(BH351:BH398,BM379,BI351:BI398,BO379)+COUNTIFS(BJ351:BJ398,BM379,BK351:BK398,BO379))*0.5</f>
        <v>0</v>
      </c>
      <c r="BQ379" s="136" t="str">
        <f t="shared" si="218"/>
        <v>Trabalho de Grupo</v>
      </c>
      <c r="BR379" s="136" t="str">
        <f t="shared" si="218"/>
        <v/>
      </c>
      <c r="BS379" s="136" t="str">
        <f t="shared" si="219"/>
        <v>Trabalho de Grupo</v>
      </c>
      <c r="BT379" s="136">
        <f t="shared" si="225"/>
        <v>0</v>
      </c>
      <c r="BU379" s="136">
        <f t="shared" si="226"/>
        <v>0</v>
      </c>
      <c r="CA379" s="136">
        <f>'INFO BASE'!L458</f>
        <v>0</v>
      </c>
      <c r="CB379" s="136">
        <f>'INFO BASE'!M458</f>
        <v>0</v>
      </c>
      <c r="CR379" s="177" t="str">
        <f t="shared" si="207"/>
        <v>HR</v>
      </c>
      <c r="CS379" s="177" t="str">
        <f t="shared" si="208"/>
        <v>HR-</v>
      </c>
      <c r="CT379" s="177" t="str">
        <f t="shared" si="207"/>
        <v>HR</v>
      </c>
      <c r="CU379" s="177" t="str">
        <f t="shared" si="209"/>
        <v>HR-</v>
      </c>
      <c r="CV379" s="177" t="str">
        <f t="shared" si="207"/>
        <v>HR</v>
      </c>
      <c r="CW379" s="177" t="str">
        <f t="shared" si="210"/>
        <v>HR-</v>
      </c>
      <c r="CX379" s="177" t="str">
        <f t="shared" si="207"/>
        <v>HR</v>
      </c>
      <c r="CY379" s="177" t="str">
        <f t="shared" si="211"/>
        <v>HR-</v>
      </c>
      <c r="CZ379" s="177" t="str">
        <f t="shared" si="207"/>
        <v>HR</v>
      </c>
      <c r="DA379" s="177" t="str">
        <f t="shared" si="212"/>
        <v>HR-</v>
      </c>
      <c r="DB379" s="177" t="str">
        <f t="shared" si="207"/>
        <v>HR</v>
      </c>
      <c r="DC379" s="177" t="str">
        <f t="shared" si="213"/>
        <v>HR-</v>
      </c>
      <c r="DD379" s="177" t="str">
        <f t="shared" si="214"/>
        <v>PV</v>
      </c>
      <c r="DE379" s="177">
        <f t="shared" si="215"/>
        <v>0</v>
      </c>
    </row>
    <row r="380" spans="1:109" ht="18" customHeight="1" x14ac:dyDescent="0.3">
      <c r="A380" s="81">
        <v>0.60416666666668595</v>
      </c>
      <c r="B380" s="166" t="s">
        <v>12</v>
      </c>
      <c r="C380" s="130" t="s">
        <v>120</v>
      </c>
      <c r="D380" s="169" t="s">
        <v>12</v>
      </c>
      <c r="E380" s="130" t="s">
        <v>120</v>
      </c>
      <c r="F380" s="169" t="s">
        <v>12</v>
      </c>
      <c r="G380" s="130" t="s">
        <v>120</v>
      </c>
      <c r="H380" s="169" t="s">
        <v>12</v>
      </c>
      <c r="I380" s="130" t="s">
        <v>120</v>
      </c>
      <c r="J380" s="169" t="s">
        <v>12</v>
      </c>
      <c r="K380" s="130" t="s">
        <v>120</v>
      </c>
      <c r="L380" s="169" t="s">
        <v>116</v>
      </c>
      <c r="M380" s="130" t="s">
        <v>120</v>
      </c>
      <c r="N380" s="169" t="s">
        <v>12</v>
      </c>
      <c r="O380" s="154" t="s">
        <v>120</v>
      </c>
      <c r="P380" s="6">
        <v>0</v>
      </c>
      <c r="Q380" s="118" t="str">
        <f t="shared" si="230"/>
        <v>Trabalho de Grupo</v>
      </c>
      <c r="R380" s="105" t="str">
        <f t="shared" si="224"/>
        <v>AL</v>
      </c>
      <c r="S380" s="88">
        <f t="shared" si="221"/>
        <v>-1</v>
      </c>
      <c r="T380" s="89">
        <f>IF(VLOOKUP(Q380,'INFO BASE'!$B$40:$I$54,IF(R380='INFO BASE'!$B$32,3,IF(R380='INFO BASE'!$B$33,4,IF(R380='INFO BASE'!$B$34,5,IF(R380='INFO BASE'!$B$35,6,IF(R380='INFO BASE'!$B$36,7,IF(R380='INFO BASE'!$B$37,8,2)))))),0)=0,"",VLOOKUP(Q380,'INFO BASE'!$B$40:$I$54,IF(R380='INFO BASE'!$B$32,3,IF(R380='INFO BASE'!$B$33,4,IF(R380='INFO BASE'!$B$34,5,IF(R380='INFO BASE'!$B$35,6,IF(R380='INFO BASE'!$B$36,7,IF(R380='INFO BASE'!$B$37,8,2)))))),0))</f>
        <v>3</v>
      </c>
      <c r="U380" s="89">
        <f>(COUNTIFS(C351:C398,R380,B351:B398,R376)+COUNTIFS(E351:E398,R380,D351:D398,R376)+COUNTIFS(G351:G398,R380,F351:F398,R376)+COUNTIFS(I351:I398,R380,H351:H398,R376)+COUNTIFS(K351:K398,R380,J351:J398,R376)+COUNTIFS(M351:M398,R380,L351:L398,R376)+COUNTIFS(O351:O398,R380,N351:N398,R376))*0.5</f>
        <v>0</v>
      </c>
      <c r="V380" s="89">
        <f>(COUNTIFS(AI351:AI398,R376,AJ351:AJ398,R373)+COUNTIFS(AK351:AK398,R376,AL351:AL398,R373)+COUNTIFS(AM351:AM398,R376,AN351:AN398,R373)+COUNTIFS(AO351:AO398,R376,AP351:AP398,R373)+COUNTIFS(AQ351:AQ398,R376,AR351:AR398,R373)+COUNTIFS(AS351:AS398,R376,AT351:AT398,R373)+COUNTIFS(AU351:AU398,R376,AV351:AV398,R373))*0.5</f>
        <v>0</v>
      </c>
      <c r="W380" s="90">
        <f>IF(AH347="","-",IF(V380=0,U380,IFERROR((U380/V380)-1,"-")))</f>
        <v>0</v>
      </c>
      <c r="X380" s="201">
        <f t="shared" si="222"/>
        <v>0</v>
      </c>
      <c r="Y380" s="271"/>
      <c r="Z380" s="272"/>
      <c r="AA380" s="272"/>
      <c r="AB380" s="272"/>
      <c r="AC380" s="272"/>
      <c r="AD380" s="272"/>
      <c r="AE380" s="272"/>
      <c r="AF380" s="273"/>
      <c r="AH380" s="136">
        <v>0.60416666666668595</v>
      </c>
      <c r="AI380" s="136" t="s">
        <v>12</v>
      </c>
      <c r="AJ380" s="136" t="s">
        <v>120</v>
      </c>
      <c r="AK380" s="136" t="s">
        <v>12</v>
      </c>
      <c r="AL380" s="136" t="s">
        <v>120</v>
      </c>
      <c r="AM380" s="136" t="s">
        <v>12</v>
      </c>
      <c r="AN380" s="136" t="s">
        <v>120</v>
      </c>
      <c r="AO380" s="136" t="s">
        <v>12</v>
      </c>
      <c r="AP380" s="136" t="s">
        <v>120</v>
      </c>
      <c r="AQ380" s="136" t="s">
        <v>12</v>
      </c>
      <c r="AR380" s="136" t="s">
        <v>120</v>
      </c>
      <c r="AS380" s="136" t="s">
        <v>116</v>
      </c>
      <c r="AT380" s="136" t="s">
        <v>120</v>
      </c>
      <c r="AU380" s="136" t="s">
        <v>12</v>
      </c>
      <c r="AV380" s="136" t="s">
        <v>120</v>
      </c>
      <c r="AX380" s="136" t="str">
        <f>IF(AI347="","",IF(B380="","",B380))</f>
        <v>HR</v>
      </c>
      <c r="AY380" s="136" t="str">
        <f>IF(AI347="","",IF(C380="","",C380))</f>
        <v>-</v>
      </c>
      <c r="AZ380" s="136" t="str">
        <f>IF(AI347="","",IF(D380="","",D380))</f>
        <v>HR</v>
      </c>
      <c r="BA380" s="136" t="str">
        <f>IF(AI347="","",IF(E380="","",E380))</f>
        <v>-</v>
      </c>
      <c r="BB380" s="136" t="str">
        <f>IF(AI347="","",IF(F380="","",F380))</f>
        <v>HR</v>
      </c>
      <c r="BC380" s="136" t="str">
        <f>IF(AI347="","",IF(G380="","",G380))</f>
        <v>-</v>
      </c>
      <c r="BD380" s="136" t="str">
        <f>IF(AI347="","",IF(H380="","",H380))</f>
        <v>HR</v>
      </c>
      <c r="BE380" s="136" t="str">
        <f>IF(AI347="","",IF(I380="","",I380))</f>
        <v>-</v>
      </c>
      <c r="BF380" s="136" t="str">
        <f>IF(AI347="","",IF(J380="","",J380))</f>
        <v>HR</v>
      </c>
      <c r="BG380" s="136" t="str">
        <f>IF(AI347="","",IF(K380="","",K380))</f>
        <v>-</v>
      </c>
      <c r="BH380" s="136" t="str">
        <f>IF(AI347="","",IF(L380="","",L380))</f>
        <v>PV</v>
      </c>
      <c r="BI380" s="136" t="str">
        <f>IF(AI347="","",IF(M380="","",M380))</f>
        <v>-</v>
      </c>
      <c r="BJ380" s="136" t="str">
        <f>IF(AI347="","",IF(N380="","",N380))</f>
        <v>HR</v>
      </c>
      <c r="BK380" s="136" t="str">
        <f>IF(AI347="","",IF(O380="","",O380))</f>
        <v>-</v>
      </c>
      <c r="BM380" s="136" t="str">
        <f>BO380</f>
        <v>AT</v>
      </c>
      <c r="BN380" s="136" t="str">
        <f t="shared" si="217"/>
        <v>Aulas Teóricas</v>
      </c>
      <c r="BO380" s="136" t="str">
        <f t="shared" si="217"/>
        <v>AT</v>
      </c>
      <c r="BP380" s="136">
        <f>COUNTIFS(AX351:BK398,BO380)*0.5</f>
        <v>15</v>
      </c>
      <c r="BQ380" s="136" t="str">
        <f t="shared" si="218"/>
        <v>Aulas Teóricas</v>
      </c>
      <c r="BR380" s="136" t="str">
        <f t="shared" si="218"/>
        <v>AT</v>
      </c>
      <c r="BS380" s="136" t="str">
        <f t="shared" si="219"/>
        <v>Aulas Teóricas</v>
      </c>
      <c r="BT380" s="136">
        <f t="shared" si="225"/>
        <v>120</v>
      </c>
      <c r="BU380" s="136">
        <f t="shared" si="226"/>
        <v>120</v>
      </c>
      <c r="CA380" s="136">
        <f>'INFO BASE'!L459</f>
        <v>0</v>
      </c>
      <c r="CB380" s="136">
        <f>'INFO BASE'!M459</f>
        <v>0</v>
      </c>
      <c r="CR380" s="177" t="str">
        <f t="shared" si="207"/>
        <v>HR</v>
      </c>
      <c r="CS380" s="177" t="str">
        <f t="shared" si="208"/>
        <v>HR-</v>
      </c>
      <c r="CT380" s="177" t="str">
        <f t="shared" si="207"/>
        <v>HR</v>
      </c>
      <c r="CU380" s="177" t="str">
        <f t="shared" si="209"/>
        <v>HR-</v>
      </c>
      <c r="CV380" s="177" t="str">
        <f t="shared" si="207"/>
        <v>HR</v>
      </c>
      <c r="CW380" s="177" t="str">
        <f t="shared" si="210"/>
        <v>HR-</v>
      </c>
      <c r="CX380" s="177" t="str">
        <f t="shared" si="207"/>
        <v>HR</v>
      </c>
      <c r="CY380" s="177" t="str">
        <f t="shared" si="211"/>
        <v>HR-</v>
      </c>
      <c r="CZ380" s="177" t="str">
        <f t="shared" si="207"/>
        <v>HR</v>
      </c>
      <c r="DA380" s="177" t="str">
        <f t="shared" si="212"/>
        <v>HR-</v>
      </c>
      <c r="DB380" s="177" t="str">
        <f t="shared" si="207"/>
        <v>PV</v>
      </c>
      <c r="DC380" s="177">
        <f t="shared" si="213"/>
        <v>0</v>
      </c>
      <c r="DD380" s="177" t="str">
        <f t="shared" si="214"/>
        <v>HR</v>
      </c>
      <c r="DE380" s="177" t="str">
        <f t="shared" si="215"/>
        <v>HR-</v>
      </c>
    </row>
    <row r="381" spans="1:109" ht="18" customHeight="1" x14ac:dyDescent="0.3">
      <c r="A381" s="81">
        <v>0.62500000000001998</v>
      </c>
      <c r="B381" s="166" t="s">
        <v>128</v>
      </c>
      <c r="C381" s="130" t="s">
        <v>230</v>
      </c>
      <c r="D381" s="169" t="s">
        <v>128</v>
      </c>
      <c r="E381" s="130" t="s">
        <v>224</v>
      </c>
      <c r="F381" s="169" t="s">
        <v>128</v>
      </c>
      <c r="G381" s="130" t="s">
        <v>228</v>
      </c>
      <c r="H381" s="169" t="s">
        <v>128</v>
      </c>
      <c r="I381" s="130" t="s">
        <v>228</v>
      </c>
      <c r="J381" s="169" t="s">
        <v>128</v>
      </c>
      <c r="K381" s="130" t="s">
        <v>228</v>
      </c>
      <c r="L381" s="169" t="s">
        <v>116</v>
      </c>
      <c r="M381" s="130" t="s">
        <v>120</v>
      </c>
      <c r="N381" s="169" t="s">
        <v>12</v>
      </c>
      <c r="O381" s="154" t="s">
        <v>120</v>
      </c>
      <c r="P381" s="6">
        <v>0</v>
      </c>
      <c r="Q381" s="118" t="str">
        <f t="shared" si="230"/>
        <v>Trabalho de Grupo</v>
      </c>
      <c r="R381" s="105" t="str">
        <f t="shared" si="224"/>
        <v>CDI</v>
      </c>
      <c r="S381" s="88">
        <f t="shared" si="221"/>
        <v>-1</v>
      </c>
      <c r="T381" s="89">
        <f>IF(VLOOKUP(Q381,'INFO BASE'!$B$40:$I$54,IF(R381='INFO BASE'!$B$32,3,IF(R381='INFO BASE'!$B$33,4,IF(R381='INFO BASE'!$B$34,5,IF(R381='INFO BASE'!$B$35,6,IF(R381='INFO BASE'!$B$36,7,IF(R381='INFO BASE'!$B$37,8,2)))))),0)=0,"",VLOOKUP(Q381,'INFO BASE'!$B$40:$I$54,IF(R381='INFO BASE'!$B$32,3,IF(R381='INFO BASE'!$B$33,4,IF(R381='INFO BASE'!$B$34,5,IF(R381='INFO BASE'!$B$35,6,IF(R381='INFO BASE'!$B$36,7,IF(R381='INFO BASE'!$B$37,8,2)))))),0))</f>
        <v>3</v>
      </c>
      <c r="U381" s="89">
        <f>(COUNTIFS(C351:C398,R381,B351:B398,R376)+COUNTIFS(E351:E398,R381,D351:D398,R376)+COUNTIFS(G351:G398,R381,F351:F398,R376)+COUNTIFS(I351:I398,R381,H351:H398,R376)+COUNTIFS(K351:K398,R381,J351:J398,R376)+COUNTIFS(M351:M398,R381,L351:L398,R376)+COUNTIFS(O351:O398,R381,N351:N398,R376))*0.5</f>
        <v>0</v>
      </c>
      <c r="V381" s="89">
        <f>(COUNTIFS(AI351:AI398,R376,AJ351:AJ398,R374)+COUNTIFS(AK351:AK398,R376,AL351:AL398,R374)+COUNTIFS(AM351:AM398,R376,AN351:AN398,R374)+COUNTIFS(AO351:AO398,R376,AP351:AP398,R374)+COUNTIFS(AQ351:AQ398,R376,AR351:AR398,R374)+COUNTIFS(AS351:AS398,R376,AT351:AT398,R374)+COUNTIFS(AU351:AU398,R376,AV351:AV398,R374))*0.5</f>
        <v>0</v>
      </c>
      <c r="W381" s="90">
        <f>IF(AH347="","-",IF(V381=0,U381,IFERROR((U381/V381)-1,"-")))</f>
        <v>0</v>
      </c>
      <c r="X381" s="201">
        <f t="shared" si="222"/>
        <v>0</v>
      </c>
      <c r="Y381" s="271"/>
      <c r="Z381" s="272"/>
      <c r="AA381" s="272"/>
      <c r="AB381" s="272"/>
      <c r="AC381" s="272"/>
      <c r="AD381" s="272"/>
      <c r="AE381" s="272"/>
      <c r="AF381" s="273"/>
      <c r="AH381" s="136">
        <v>0.62500000000001998</v>
      </c>
      <c r="AI381" s="136" t="s">
        <v>128</v>
      </c>
      <c r="AJ381" s="136" t="s">
        <v>230</v>
      </c>
      <c r="AK381" s="136" t="s">
        <v>128</v>
      </c>
      <c r="AL381" s="136" t="s">
        <v>224</v>
      </c>
      <c r="AM381" s="136" t="s">
        <v>128</v>
      </c>
      <c r="AN381" s="136" t="s">
        <v>228</v>
      </c>
      <c r="AO381" s="136" t="s">
        <v>128</v>
      </c>
      <c r="AP381" s="136" t="s">
        <v>230</v>
      </c>
      <c r="AQ381" s="136" t="s">
        <v>128</v>
      </c>
      <c r="AR381" s="136" t="s">
        <v>228</v>
      </c>
      <c r="AS381" s="136" t="s">
        <v>116</v>
      </c>
      <c r="AT381" s="136" t="s">
        <v>120</v>
      </c>
      <c r="AU381" s="136" t="s">
        <v>12</v>
      </c>
      <c r="AV381" s="136" t="s">
        <v>120</v>
      </c>
      <c r="AX381" s="136" t="str">
        <f>IF(AI347="","",IF(B381="","",B381))</f>
        <v>EG</v>
      </c>
      <c r="AY381" s="136" t="str">
        <f>IF(AI347="","",IF(C381="","",C381))</f>
        <v>AL</v>
      </c>
      <c r="AZ381" s="136" t="str">
        <f>IF(AI347="","",IF(D381="","",D381))</f>
        <v>EG</v>
      </c>
      <c r="BA381" s="136" t="str">
        <f>IF(AI347="","",IF(E381="","",E381))</f>
        <v>FP</v>
      </c>
      <c r="BB381" s="136" t="str">
        <f>IF(AI347="","",IF(F381="","",F381))</f>
        <v>EG</v>
      </c>
      <c r="BC381" s="136" t="str">
        <f>IF(AI347="","",IF(G381="","",G381))</f>
        <v>IAC</v>
      </c>
      <c r="BD381" s="136" t="str">
        <f>IF(AI347="","",IF(H381="","",H381))</f>
        <v>EG</v>
      </c>
      <c r="BE381" s="136" t="str">
        <f>IF(AI347="","",IF(I381="","",I381))</f>
        <v>IAC</v>
      </c>
      <c r="BF381" s="136" t="str">
        <f>IF(AI347="","",IF(J381="","",J381))</f>
        <v>EG</v>
      </c>
      <c r="BG381" s="136" t="str">
        <f>IF(AI347="","",IF(K381="","",K381))</f>
        <v>IAC</v>
      </c>
      <c r="BH381" s="136" t="str">
        <f>IF(AI347="","",IF(L381="","",L381))</f>
        <v>PV</v>
      </c>
      <c r="BI381" s="136" t="str">
        <f>IF(AI347="","",IF(M381="","",M381))</f>
        <v>-</v>
      </c>
      <c r="BJ381" s="136" t="str">
        <f>IF(AI347="","",IF(N381="","",N381))</f>
        <v>HR</v>
      </c>
      <c r="BK381" s="136" t="str">
        <f>IF(AI347="","",IF(O381="","",O381))</f>
        <v>-</v>
      </c>
      <c r="BM381" s="136" t="str">
        <f>BM380</f>
        <v>AT</v>
      </c>
      <c r="BN381" s="136" t="str">
        <f t="shared" si="217"/>
        <v>Aulas Teóricas</v>
      </c>
      <c r="BO381" s="136" t="str">
        <f t="shared" si="217"/>
        <v>FP</v>
      </c>
      <c r="BP381" s="136">
        <f>(COUNTIFS(AX351:AX398,BM381,AY351:AY398,BO381)+COUNTIFS(AZ351:AZ398,BM381,BA351:BA398,BO381)+COUNTIFS(BB351:BB398,BM381,BC351:BC398,BO381)+COUNTIFS(BD351:BD398,BM381,BE351:BE398,BO381)+COUNTIFS(BF351:BF398,BM381,BG351:BG398,BO381)+COUNTIFS(BH351:BH398,BM381,BI351:BI398,BO381)+COUNTIFS(BJ351:BJ398,BM381,BK351:BK398,BO381))*0.5</f>
        <v>3</v>
      </c>
      <c r="BQ381" s="136" t="str">
        <f t="shared" si="218"/>
        <v>Aulas Teóricas</v>
      </c>
      <c r="BR381" s="136" t="str">
        <f t="shared" si="218"/>
        <v>FP</v>
      </c>
      <c r="BS381" s="136" t="str">
        <f t="shared" si="219"/>
        <v>Aulas Teóricas</v>
      </c>
      <c r="BT381" s="136">
        <f t="shared" si="225"/>
        <v>24</v>
      </c>
      <c r="BU381" s="136">
        <f t="shared" si="226"/>
        <v>24</v>
      </c>
      <c r="CR381" s="177" t="str">
        <f t="shared" si="207"/>
        <v>EG</v>
      </c>
      <c r="CS381" s="177" t="str">
        <f t="shared" si="208"/>
        <v>EGAL</v>
      </c>
      <c r="CT381" s="177" t="str">
        <f t="shared" si="207"/>
        <v>EG</v>
      </c>
      <c r="CU381" s="177" t="str">
        <f t="shared" si="209"/>
        <v>EGFP</v>
      </c>
      <c r="CV381" s="177" t="str">
        <f t="shared" si="207"/>
        <v>EG</v>
      </c>
      <c r="CW381" s="177" t="str">
        <f t="shared" si="210"/>
        <v>EGIAC</v>
      </c>
      <c r="CX381" s="177" t="str">
        <f t="shared" si="207"/>
        <v>EG</v>
      </c>
      <c r="CY381" s="177" t="str">
        <f t="shared" si="211"/>
        <v>EGIAC</v>
      </c>
      <c r="CZ381" s="177" t="str">
        <f t="shared" si="207"/>
        <v>EG</v>
      </c>
      <c r="DA381" s="177" t="str">
        <f t="shared" si="212"/>
        <v>EGIAC</v>
      </c>
      <c r="DB381" s="177" t="str">
        <f t="shared" si="207"/>
        <v>PV</v>
      </c>
      <c r="DC381" s="177">
        <f t="shared" si="213"/>
        <v>0</v>
      </c>
      <c r="DD381" s="177" t="str">
        <f t="shared" si="214"/>
        <v>HR</v>
      </c>
      <c r="DE381" s="177" t="str">
        <f t="shared" si="215"/>
        <v>HR-</v>
      </c>
    </row>
    <row r="382" spans="1:109" ht="18" customHeight="1" thickBot="1" x14ac:dyDescent="0.35">
      <c r="A382" s="81">
        <v>0.64583333333335402</v>
      </c>
      <c r="B382" s="166" t="s">
        <v>128</v>
      </c>
      <c r="C382" s="130" t="s">
        <v>230</v>
      </c>
      <c r="D382" s="169" t="s">
        <v>128</v>
      </c>
      <c r="E382" s="130" t="s">
        <v>224</v>
      </c>
      <c r="F382" s="169" t="s">
        <v>128</v>
      </c>
      <c r="G382" s="130" t="s">
        <v>228</v>
      </c>
      <c r="H382" s="169" t="s">
        <v>128</v>
      </c>
      <c r="I382" s="130" t="s">
        <v>228</v>
      </c>
      <c r="J382" s="169" t="s">
        <v>128</v>
      </c>
      <c r="K382" s="130" t="s">
        <v>228</v>
      </c>
      <c r="L382" s="169" t="s">
        <v>116</v>
      </c>
      <c r="M382" s="130" t="s">
        <v>120</v>
      </c>
      <c r="N382" s="169" t="s">
        <v>116</v>
      </c>
      <c r="O382" s="154" t="s">
        <v>120</v>
      </c>
      <c r="P382" s="6">
        <v>0</v>
      </c>
      <c r="Q382" s="120" t="str">
        <f t="shared" si="230"/>
        <v>Trabalho de Grupo</v>
      </c>
      <c r="R382" s="107" t="str">
        <f t="shared" si="224"/>
        <v/>
      </c>
      <c r="S382" s="94" t="str">
        <f t="shared" si="221"/>
        <v>-</v>
      </c>
      <c r="T382" s="95" t="str">
        <f>IF(VLOOKUP(Q382,'INFO BASE'!$B$40:$I$54,IF(R382='INFO BASE'!$B$32,3,IF(R382='INFO BASE'!$B$33,4,IF(R382='INFO BASE'!$B$34,5,IF(R382='INFO BASE'!$B$35,6,IF(R382='INFO BASE'!$B$36,7,IF(R382='INFO BASE'!$B$37,8,2)))))),0)=0,"",VLOOKUP(Q382,'INFO BASE'!$B$40:$I$54,IF(R382='INFO BASE'!$B$32,3,IF(R382='INFO BASE'!$B$33,4,IF(R382='INFO BASE'!$B$34,5,IF(R382='INFO BASE'!$B$35,6,IF(R382='INFO BASE'!$B$36,7,IF(R382='INFO BASE'!$B$37,8,2)))))),0))</f>
        <v/>
      </c>
      <c r="U382" s="95">
        <f>(COUNTIFS(C351:C398,R382,B351:B398,R376)+COUNTIFS(E351:E398,R382,D351:D398,R376)+COUNTIFS(G351:G398,R382,F351:F398,R376)+COUNTIFS(I351:I398,R382,H351:H398,R376)+COUNTIFS(K351:K398,R382,J351:J398,R376)+COUNTIFS(M351:M398,R382,L351:L398,R376)+COUNTIFS(O351:O398,R382,N351:N398,R376))*0.5</f>
        <v>0</v>
      </c>
      <c r="V382" s="95">
        <f>(COUNTIFS(AI351:AI398,R376,AJ351:AJ398,R375)+COUNTIFS(AK351:AK398,R376,AL351:AL398,R375)+COUNTIFS(AM351:AM398,R376,AN351:AN398,R375)+COUNTIFS(AO351:AO398,R376,AP351:AP398,R375)+COUNTIFS(AQ351:AQ398,R376,AR351:AR398,R375)+COUNTIFS(AS351:AS398,R376,AT351:AT398,R375)+COUNTIFS(AU351:AU398,R376,AV351:AV398,R375))*0.5</f>
        <v>0</v>
      </c>
      <c r="W382" s="96">
        <f>IF(AH347="","-",IF(V382=0,U382,IFERROR((U382/V382)-1,"-")))</f>
        <v>0</v>
      </c>
      <c r="X382" s="201">
        <f t="shared" si="222"/>
        <v>0</v>
      </c>
      <c r="Y382" s="274"/>
      <c r="Z382" s="275"/>
      <c r="AA382" s="275"/>
      <c r="AB382" s="275"/>
      <c r="AC382" s="275"/>
      <c r="AD382" s="275"/>
      <c r="AE382" s="275"/>
      <c r="AF382" s="276"/>
      <c r="AH382" s="136">
        <v>0.64583333333335402</v>
      </c>
      <c r="AI382" s="136" t="s">
        <v>128</v>
      </c>
      <c r="AJ382" s="136" t="s">
        <v>230</v>
      </c>
      <c r="AK382" s="136" t="s">
        <v>128</v>
      </c>
      <c r="AL382" s="136" t="s">
        <v>224</v>
      </c>
      <c r="AM382" s="136" t="s">
        <v>128</v>
      </c>
      <c r="AN382" s="136" t="s">
        <v>228</v>
      </c>
      <c r="AO382" s="136" t="s">
        <v>128</v>
      </c>
      <c r="AP382" s="136" t="s">
        <v>230</v>
      </c>
      <c r="AQ382" s="136" t="s">
        <v>128</v>
      </c>
      <c r="AR382" s="136" t="s">
        <v>228</v>
      </c>
      <c r="AS382" s="136" t="s">
        <v>116</v>
      </c>
      <c r="AT382" s="136" t="s">
        <v>120</v>
      </c>
      <c r="AU382" s="136" t="s">
        <v>116</v>
      </c>
      <c r="AV382" s="136" t="s">
        <v>120</v>
      </c>
      <c r="AX382" s="136" t="str">
        <f>IF(AI347="","",IF(B382="","",B382))</f>
        <v>EG</v>
      </c>
      <c r="AY382" s="136" t="str">
        <f>IF(AI347="","",IF(C382="","",C382))</f>
        <v>AL</v>
      </c>
      <c r="AZ382" s="136" t="str">
        <f>IF(AI347="","",IF(D382="","",D382))</f>
        <v>EG</v>
      </c>
      <c r="BA382" s="136" t="str">
        <f>IF(AI347="","",IF(E382="","",E382))</f>
        <v>FP</v>
      </c>
      <c r="BB382" s="136" t="str">
        <f>IF(AI347="","",IF(F382="","",F382))</f>
        <v>EG</v>
      </c>
      <c r="BC382" s="136" t="str">
        <f>IF(AI347="","",IF(G382="","",G382))</f>
        <v>IAC</v>
      </c>
      <c r="BD382" s="136" t="str">
        <f>IF(AI347="","",IF(H382="","",H382))</f>
        <v>EG</v>
      </c>
      <c r="BE382" s="136" t="str">
        <f>IF(AI347="","",IF(I382="","",I382))</f>
        <v>IAC</v>
      </c>
      <c r="BF382" s="136" t="str">
        <f>IF(AI347="","",IF(J382="","",J382))</f>
        <v>EG</v>
      </c>
      <c r="BG382" s="136" t="str">
        <f>IF(AI347="","",IF(K382="","",K382))</f>
        <v>IAC</v>
      </c>
      <c r="BH382" s="136" t="str">
        <f>IF(AI347="","",IF(L382="","",L382))</f>
        <v>PV</v>
      </c>
      <c r="BI382" s="136" t="str">
        <f>IF(AI347="","",IF(M382="","",M382))</f>
        <v>-</v>
      </c>
      <c r="BJ382" s="136" t="str">
        <f>IF(AI347="","",IF(N382="","",N382))</f>
        <v>PV</v>
      </c>
      <c r="BK382" s="136" t="str">
        <f>IF(AI347="","",IF(O382="","",O382))</f>
        <v>-</v>
      </c>
      <c r="BM382" s="136" t="str">
        <f t="shared" ref="BM382:BM386" si="231">BM381</f>
        <v>AT</v>
      </c>
      <c r="BN382" s="136" t="str">
        <f t="shared" si="217"/>
        <v>Aulas Teóricas</v>
      </c>
      <c r="BO382" s="136" t="str">
        <f t="shared" si="217"/>
        <v>IEI</v>
      </c>
      <c r="BP382" s="136">
        <f>(COUNTIFS(AX351:AX398,BM382,AY351:AY398,BO382)+COUNTIFS(AZ351:AZ398,BM382,BA351:BA398,BO382)+COUNTIFS(BB351:BB398,BM382,BC351:BC398,BO382)+COUNTIFS(BD351:BD398,BM382,BE351:BE398,BO382)+COUNTIFS(BF351:BF398,BM382,BG351:BG398,BO382)+COUNTIFS(BH351:BH398,BM382,BI351:BI398,BO382)+COUNTIFS(BJ351:BJ398,BM382,BK351:BK398,BO382))*0.5</f>
        <v>3</v>
      </c>
      <c r="BQ382" s="136" t="str">
        <f t="shared" si="218"/>
        <v>Aulas Teóricas</v>
      </c>
      <c r="BR382" s="136" t="str">
        <f t="shared" si="218"/>
        <v>IEI</v>
      </c>
      <c r="BS382" s="136" t="str">
        <f t="shared" si="219"/>
        <v>Aulas Teóricas</v>
      </c>
      <c r="BT382" s="136">
        <f t="shared" si="225"/>
        <v>24</v>
      </c>
      <c r="BU382" s="136">
        <f t="shared" si="226"/>
        <v>24</v>
      </c>
      <c r="CA382" s="136">
        <f>'INFO BASE'!L460</f>
        <v>0</v>
      </c>
      <c r="CB382" s="136">
        <f>'INFO BASE'!M460</f>
        <v>0</v>
      </c>
      <c r="CR382" s="177" t="str">
        <f t="shared" si="207"/>
        <v>EG</v>
      </c>
      <c r="CS382" s="177" t="str">
        <f t="shared" si="208"/>
        <v>EGAL</v>
      </c>
      <c r="CT382" s="177" t="str">
        <f t="shared" si="207"/>
        <v>EG</v>
      </c>
      <c r="CU382" s="177" t="str">
        <f t="shared" si="209"/>
        <v>EGFP</v>
      </c>
      <c r="CV382" s="177" t="str">
        <f t="shared" si="207"/>
        <v>EG</v>
      </c>
      <c r="CW382" s="177" t="str">
        <f t="shared" si="210"/>
        <v>EGIAC</v>
      </c>
      <c r="CX382" s="177" t="str">
        <f t="shared" si="207"/>
        <v>EG</v>
      </c>
      <c r="CY382" s="177" t="str">
        <f t="shared" si="211"/>
        <v>EGIAC</v>
      </c>
      <c r="CZ382" s="177" t="str">
        <f t="shared" si="207"/>
        <v>EG</v>
      </c>
      <c r="DA382" s="177" t="str">
        <f t="shared" si="212"/>
        <v>EGIAC</v>
      </c>
      <c r="DB382" s="177" t="str">
        <f t="shared" si="207"/>
        <v>PV</v>
      </c>
      <c r="DC382" s="177">
        <f t="shared" si="213"/>
        <v>0</v>
      </c>
      <c r="DD382" s="177" t="str">
        <f t="shared" si="214"/>
        <v>PV</v>
      </c>
      <c r="DE382" s="177">
        <f t="shared" si="215"/>
        <v>0</v>
      </c>
    </row>
    <row r="383" spans="1:109" ht="18" customHeight="1" x14ac:dyDescent="0.3">
      <c r="A383" s="81">
        <v>0.66666666666668795</v>
      </c>
      <c r="B383" s="166" t="s">
        <v>116</v>
      </c>
      <c r="C383" s="130" t="s">
        <v>120</v>
      </c>
      <c r="D383" s="169" t="s">
        <v>128</v>
      </c>
      <c r="E383" s="130" t="s">
        <v>224</v>
      </c>
      <c r="F383" s="169" t="s">
        <v>116</v>
      </c>
      <c r="G383" s="130" t="s">
        <v>120</v>
      </c>
      <c r="H383" s="169" t="s">
        <v>128</v>
      </c>
      <c r="I383" s="130" t="s">
        <v>228</v>
      </c>
      <c r="J383" s="169" t="s">
        <v>116</v>
      </c>
      <c r="K383" s="130" t="s">
        <v>120</v>
      </c>
      <c r="L383" s="169" t="s">
        <v>116</v>
      </c>
      <c r="M383" s="130" t="s">
        <v>120</v>
      </c>
      <c r="N383" s="169" t="s">
        <v>116</v>
      </c>
      <c r="O383" s="154" t="s">
        <v>120</v>
      </c>
      <c r="P383" s="6">
        <v>0</v>
      </c>
      <c r="Q383" s="121" t="str">
        <f>IF('INFO BASE'!$C$20="","",'INFO BASE'!$C$20)</f>
        <v>Aulas Teóricas</v>
      </c>
      <c r="R383" s="82" t="str">
        <f t="shared" si="224"/>
        <v>AT</v>
      </c>
      <c r="S383" s="83">
        <f t="shared" si="221"/>
        <v>0</v>
      </c>
      <c r="T383" s="84">
        <f>IF(VLOOKUP(Q383,'INFO BASE'!$B$40:$I$54,IF(R383='INFO BASE'!$B$32,3,IF(R383='INFO BASE'!$B$33,4,IF(R383='INFO BASE'!$B$34,5,IF(R383='INFO BASE'!$B$35,6,IF(R383='INFO BASE'!$B$36,7,IF(R383='INFO BASE'!$B$37,8,2)))))),0)=0,"",VLOOKUP(Q383,'INFO BASE'!$B$40:$I$54,IF(R383='INFO BASE'!$B$32,3,IF(R383='INFO BASE'!$B$33,4,IF(R383='INFO BASE'!$B$34,5,IF(R383='INFO BASE'!$B$35,6,IF(R383='INFO BASE'!$B$36,7,IF(R383='INFO BASE'!$B$37,8,2)))))),0))</f>
        <v>15</v>
      </c>
      <c r="U383" s="84">
        <f>IF(R383="","",COUNTIFS(SEMANA7,R383)*0.5)</f>
        <v>15</v>
      </c>
      <c r="V383" s="84">
        <f>IF(R383="","",COUNTIFS(AI351:AV398,R383)*0.5)</f>
        <v>15</v>
      </c>
      <c r="W383" s="85">
        <f>IF(AH347="","-",IF(V383=0,U383,IFERROR((U383/V383)-1,"-")))</f>
        <v>0</v>
      </c>
      <c r="X383" s="201">
        <f t="shared" si="222"/>
        <v>0</v>
      </c>
      <c r="Y383" s="277"/>
      <c r="Z383" s="278"/>
      <c r="AA383" s="278"/>
      <c r="AB383" s="278"/>
      <c r="AC383" s="278"/>
      <c r="AD383" s="278"/>
      <c r="AE383" s="278"/>
      <c r="AF383" s="279"/>
      <c r="AH383" s="136">
        <v>0.66666666666668795</v>
      </c>
      <c r="AI383" s="136" t="s">
        <v>116</v>
      </c>
      <c r="AJ383" s="136" t="s">
        <v>120</v>
      </c>
      <c r="AK383" s="136" t="s">
        <v>128</v>
      </c>
      <c r="AL383" s="136" t="s">
        <v>224</v>
      </c>
      <c r="AM383" s="136" t="s">
        <v>116</v>
      </c>
      <c r="AN383" s="136" t="s">
        <v>120</v>
      </c>
      <c r="AO383" s="136" t="s">
        <v>116</v>
      </c>
      <c r="AP383" s="136" t="s">
        <v>120</v>
      </c>
      <c r="AQ383" s="136" t="s">
        <v>116</v>
      </c>
      <c r="AR383" s="136" t="s">
        <v>120</v>
      </c>
      <c r="AS383" s="136" t="s">
        <v>116</v>
      </c>
      <c r="AT383" s="136" t="s">
        <v>120</v>
      </c>
      <c r="AU383" s="136" t="s">
        <v>116</v>
      </c>
      <c r="AV383" s="136" t="s">
        <v>120</v>
      </c>
      <c r="AX383" s="136" t="str">
        <f>IF(AI347="","",IF(B383="","",B383))</f>
        <v>PV</v>
      </c>
      <c r="AY383" s="136" t="str">
        <f>IF(AI347="","",IF(C383="","",C383))</f>
        <v>-</v>
      </c>
      <c r="AZ383" s="136" t="str">
        <f>IF(AI347="","",IF(D383="","",D383))</f>
        <v>EG</v>
      </c>
      <c r="BA383" s="136" t="str">
        <f>IF(AI347="","",IF(E383="","",E383))</f>
        <v>FP</v>
      </c>
      <c r="BB383" s="136" t="str">
        <f>IF(AI347="","",IF(F383="","",F383))</f>
        <v>PV</v>
      </c>
      <c r="BC383" s="136" t="str">
        <f>IF(AI347="","",IF(G383="","",G383))</f>
        <v>-</v>
      </c>
      <c r="BD383" s="136" t="str">
        <f>IF(AI347="","",IF(H383="","",H383))</f>
        <v>EG</v>
      </c>
      <c r="BE383" s="136" t="str">
        <f>IF(AI347="","",IF(I383="","",I383))</f>
        <v>IAC</v>
      </c>
      <c r="BF383" s="136" t="str">
        <f>IF(AI347="","",IF(J383="","",J383))</f>
        <v>PV</v>
      </c>
      <c r="BG383" s="136" t="str">
        <f>IF(AI347="","",IF(K383="","",K383))</f>
        <v>-</v>
      </c>
      <c r="BH383" s="136" t="str">
        <f>IF(AI347="","",IF(L383="","",L383))</f>
        <v>PV</v>
      </c>
      <c r="BI383" s="136" t="str">
        <f>IF(AI347="","",IF(M383="","",M383))</f>
        <v>-</v>
      </c>
      <c r="BJ383" s="136" t="str">
        <f>IF(AI347="","",IF(N383="","",N383))</f>
        <v>PV</v>
      </c>
      <c r="BK383" s="136" t="str">
        <f>IF(AI347="","",IF(O383="","",O383))</f>
        <v>-</v>
      </c>
      <c r="BM383" s="136" t="str">
        <f t="shared" si="231"/>
        <v>AT</v>
      </c>
      <c r="BN383" s="136" t="str">
        <f t="shared" si="217"/>
        <v>Aulas Teóricas</v>
      </c>
      <c r="BO383" s="136" t="str">
        <f t="shared" si="217"/>
        <v>IAC</v>
      </c>
      <c r="BP383" s="136">
        <f>(COUNTIFS(AX351:AX398,BM383,AY351:AY398,BO383)+COUNTIFS(AZ351:AZ398,BM383,BA351:BA398,BO383)+COUNTIFS(BB351:BB398,BM383,BC351:BC398,BO383)+COUNTIFS(BD351:BD398,BM383,BE351:BE398,BO383)+COUNTIFS(BF351:BF398,BM383,BG351:BG398,BO383)+COUNTIFS(BH351:BH398,BM383,BI351:BI398,BO383)+COUNTIFS(BJ351:BJ398,BM383,BK351:BK398,BO383))*0.5</f>
        <v>3</v>
      </c>
      <c r="BQ383" s="136" t="str">
        <f t="shared" si="218"/>
        <v>Aulas Teóricas</v>
      </c>
      <c r="BR383" s="136" t="str">
        <f t="shared" si="218"/>
        <v>IAC</v>
      </c>
      <c r="BS383" s="136" t="str">
        <f t="shared" si="219"/>
        <v>Aulas Teóricas</v>
      </c>
      <c r="BT383" s="136">
        <f t="shared" si="225"/>
        <v>24</v>
      </c>
      <c r="BU383" s="136">
        <f t="shared" si="226"/>
        <v>24</v>
      </c>
      <c r="CA383" s="136">
        <f>'INFO BASE'!L461</f>
        <v>0</v>
      </c>
      <c r="CB383" s="136">
        <f>'INFO BASE'!M461</f>
        <v>0</v>
      </c>
      <c r="CR383" s="177" t="str">
        <f t="shared" si="207"/>
        <v>PV</v>
      </c>
      <c r="CS383" s="177">
        <f t="shared" si="208"/>
        <v>0</v>
      </c>
      <c r="CT383" s="177" t="str">
        <f t="shared" si="207"/>
        <v>EG</v>
      </c>
      <c r="CU383" s="177" t="str">
        <f t="shared" si="209"/>
        <v>EGFP</v>
      </c>
      <c r="CV383" s="177" t="str">
        <f t="shared" si="207"/>
        <v>PV</v>
      </c>
      <c r="CW383" s="177">
        <f t="shared" si="210"/>
        <v>0</v>
      </c>
      <c r="CX383" s="177" t="str">
        <f t="shared" si="207"/>
        <v>EG</v>
      </c>
      <c r="CY383" s="177" t="str">
        <f t="shared" si="211"/>
        <v>EGIAC</v>
      </c>
      <c r="CZ383" s="177" t="str">
        <f t="shared" si="207"/>
        <v>PV</v>
      </c>
      <c r="DA383" s="177">
        <f t="shared" si="212"/>
        <v>0</v>
      </c>
      <c r="DB383" s="177" t="str">
        <f t="shared" si="207"/>
        <v>PV</v>
      </c>
      <c r="DC383" s="177">
        <f t="shared" si="213"/>
        <v>0</v>
      </c>
      <c r="DD383" s="177" t="str">
        <f t="shared" si="214"/>
        <v>PV</v>
      </c>
      <c r="DE383" s="177">
        <f t="shared" si="215"/>
        <v>0</v>
      </c>
    </row>
    <row r="384" spans="1:109" ht="18" customHeight="1" x14ac:dyDescent="0.3">
      <c r="A384" s="81">
        <v>0.68750000000002198</v>
      </c>
      <c r="B384" s="166" t="s">
        <v>116</v>
      </c>
      <c r="C384" s="130" t="s">
        <v>120</v>
      </c>
      <c r="D384" s="169" t="s">
        <v>128</v>
      </c>
      <c r="E384" s="130" t="s">
        <v>224</v>
      </c>
      <c r="F384" s="169" t="s">
        <v>116</v>
      </c>
      <c r="G384" s="130" t="s">
        <v>120</v>
      </c>
      <c r="H384" s="169" t="s">
        <v>128</v>
      </c>
      <c r="I384" s="130" t="s">
        <v>228</v>
      </c>
      <c r="J384" s="169" t="s">
        <v>116</v>
      </c>
      <c r="K384" s="130" t="s">
        <v>120</v>
      </c>
      <c r="L384" s="169" t="s">
        <v>116</v>
      </c>
      <c r="M384" s="130" t="s">
        <v>120</v>
      </c>
      <c r="N384" s="169" t="s">
        <v>116</v>
      </c>
      <c r="O384" s="154" t="s">
        <v>120</v>
      </c>
      <c r="P384" s="6">
        <v>0</v>
      </c>
      <c r="Q384" s="122" t="str">
        <f t="shared" ref="Q384:Q389" si="232">Q383</f>
        <v>Aulas Teóricas</v>
      </c>
      <c r="R384" s="105" t="str">
        <f t="shared" si="224"/>
        <v>FP</v>
      </c>
      <c r="S384" s="88">
        <f t="shared" si="221"/>
        <v>0</v>
      </c>
      <c r="T384" s="89">
        <f>IF(VLOOKUP(Q384,'INFO BASE'!$B$40:$I$54,IF(R384='INFO BASE'!$B$32,3,IF(R384='INFO BASE'!$B$33,4,IF(R384='INFO BASE'!$B$34,5,IF(R384='INFO BASE'!$B$35,6,IF(R384='INFO BASE'!$B$36,7,IF(R384='INFO BASE'!$B$37,8,2)))))),0)=0,"",VLOOKUP(Q384,'INFO BASE'!$B$40:$I$54,IF(R384='INFO BASE'!$B$32,3,IF(R384='INFO BASE'!$B$33,4,IF(R384='INFO BASE'!$B$34,5,IF(R384='INFO BASE'!$B$35,6,IF(R384='INFO BASE'!$B$36,7,IF(R384='INFO BASE'!$B$37,8,2)))))),0))</f>
        <v>3</v>
      </c>
      <c r="U384" s="89">
        <f>(COUNTIFS(C351:C398,R384,B351:B398,R383)+COUNTIFS(E351:E398,R384,D351:D398,R383)+COUNTIFS(G351:G398,R384,F351:F398,R383)+COUNTIFS(I351:I398,R384,H351:H398,R383)+COUNTIFS(K351:K398,R384,J351:J398,R383)+COUNTIFS(M351:M398,R384,L351:L398,R383)+COUNTIFS(O351:O398,R384,N351:N398,R383))*0.5</f>
        <v>3</v>
      </c>
      <c r="V384" s="89">
        <f>(COUNTIFS(AI351:AI398,R383,AJ351:AJ398,R377)+COUNTIFS(AK351:AK398,R383,AL351:AL398,R377)+COUNTIFS(AM351:AM398,R383,AN351:AN398,R377)+COUNTIFS(AO351:AO398,R383,AP351:AP398,R377)+COUNTIFS(AQ351:AQ398,R383,AR351:AR398,R377)+COUNTIFS(AS351:AS398,R383,AT351:AT398,R377)+COUNTIFS(AU351:AU398,R383,AV351:AV398,R377))*0.5</f>
        <v>3</v>
      </c>
      <c r="W384" s="90">
        <f>IF(AH347="","-",IF(V384=0,U384,IFERROR((U384/V384)-1,"-")))</f>
        <v>0</v>
      </c>
      <c r="X384" s="201">
        <f t="shared" si="222"/>
        <v>0</v>
      </c>
      <c r="Y384" s="271"/>
      <c r="Z384" s="272"/>
      <c r="AA384" s="272"/>
      <c r="AB384" s="272"/>
      <c r="AC384" s="272"/>
      <c r="AD384" s="272"/>
      <c r="AE384" s="272"/>
      <c r="AF384" s="273"/>
      <c r="AH384" s="136">
        <v>0.68750000000002198</v>
      </c>
      <c r="AI384" s="136" t="s">
        <v>116</v>
      </c>
      <c r="AJ384" s="136" t="s">
        <v>120</v>
      </c>
      <c r="AK384" s="136" t="s">
        <v>128</v>
      </c>
      <c r="AL384" s="136" t="s">
        <v>224</v>
      </c>
      <c r="AM384" s="136" t="s">
        <v>116</v>
      </c>
      <c r="AN384" s="136" t="s">
        <v>120</v>
      </c>
      <c r="AO384" s="136" t="s">
        <v>116</v>
      </c>
      <c r="AP384" s="136" t="s">
        <v>120</v>
      </c>
      <c r="AQ384" s="136" t="s">
        <v>116</v>
      </c>
      <c r="AR384" s="136" t="s">
        <v>120</v>
      </c>
      <c r="AS384" s="136" t="s">
        <v>116</v>
      </c>
      <c r="AT384" s="136" t="s">
        <v>120</v>
      </c>
      <c r="AU384" s="136" t="s">
        <v>116</v>
      </c>
      <c r="AV384" s="136" t="s">
        <v>120</v>
      </c>
      <c r="AX384" s="136" t="str">
        <f>IF(AI347="","",IF(B384="","",B384))</f>
        <v>PV</v>
      </c>
      <c r="AY384" s="136" t="str">
        <f>IF(AI347="","",IF(C384="","",C384))</f>
        <v>-</v>
      </c>
      <c r="AZ384" s="136" t="str">
        <f>IF(AI347="","",IF(D384="","",D384))</f>
        <v>EG</v>
      </c>
      <c r="BA384" s="136" t="str">
        <f>IF(AI347="","",IF(E384="","",E384))</f>
        <v>FP</v>
      </c>
      <c r="BB384" s="136" t="str">
        <f>IF(AI347="","",IF(F384="","",F384))</f>
        <v>PV</v>
      </c>
      <c r="BC384" s="136" t="str">
        <f>IF(AI347="","",IF(G384="","",G384))</f>
        <v>-</v>
      </c>
      <c r="BD384" s="136" t="str">
        <f>IF(AI347="","",IF(H384="","",H384))</f>
        <v>EG</v>
      </c>
      <c r="BE384" s="136" t="str">
        <f>IF(AI347="","",IF(I384="","",I384))</f>
        <v>IAC</v>
      </c>
      <c r="BF384" s="136" t="str">
        <f>IF(AI347="","",IF(J384="","",J384))</f>
        <v>PV</v>
      </c>
      <c r="BG384" s="136" t="str">
        <f>IF(AI347="","",IF(K384="","",K384))</f>
        <v>-</v>
      </c>
      <c r="BH384" s="136" t="str">
        <f>IF(AI347="","",IF(L384="","",L384))</f>
        <v>PV</v>
      </c>
      <c r="BI384" s="136" t="str">
        <f>IF(AI347="","",IF(M384="","",M384))</f>
        <v>-</v>
      </c>
      <c r="BJ384" s="136" t="str">
        <f>IF(AI347="","",IF(N384="","",N384))</f>
        <v>PV</v>
      </c>
      <c r="BK384" s="136" t="str">
        <f>IF(AI347="","",IF(O384="","",O384))</f>
        <v>-</v>
      </c>
      <c r="BM384" s="136" t="str">
        <f t="shared" si="231"/>
        <v>AT</v>
      </c>
      <c r="BN384" s="136" t="str">
        <f t="shared" si="217"/>
        <v>Aulas Teóricas</v>
      </c>
      <c r="BO384" s="136" t="str">
        <f t="shared" si="217"/>
        <v>AL</v>
      </c>
      <c r="BP384" s="136">
        <f>(COUNTIFS(AX351:AX398,BM384,AY351:AY398,BO384)+COUNTIFS(AZ351:AZ398,BM384,BA351:BA398,BO384)+COUNTIFS(BB351:BB398,BM384,BC351:BC398,BO384)+COUNTIFS(BD351:BD398,BM384,BE351:BE398,BO384)+COUNTIFS(BF351:BF398,BM384,BG351:BG398,BO384)+COUNTIFS(BH351:BH398,BM384,BI351:BI398,BO384)+COUNTIFS(BJ351:BJ398,BM384,BK351:BK398,BO384))*0.5</f>
        <v>3</v>
      </c>
      <c r="BQ384" s="136" t="str">
        <f t="shared" si="218"/>
        <v>Aulas Teóricas</v>
      </c>
      <c r="BR384" s="136" t="str">
        <f t="shared" si="218"/>
        <v>AL</v>
      </c>
      <c r="BS384" s="136" t="str">
        <f t="shared" si="219"/>
        <v>Aulas Teóricas</v>
      </c>
      <c r="BT384" s="136">
        <f t="shared" si="225"/>
        <v>24</v>
      </c>
      <c r="BU384" s="136">
        <f t="shared" si="226"/>
        <v>24</v>
      </c>
      <c r="CA384" s="136">
        <f>'INFO BASE'!L462</f>
        <v>0</v>
      </c>
      <c r="CB384" s="136">
        <f>'INFO BASE'!M462</f>
        <v>0</v>
      </c>
      <c r="CR384" s="177" t="str">
        <f t="shared" si="207"/>
        <v>PV</v>
      </c>
      <c r="CS384" s="177">
        <f t="shared" si="208"/>
        <v>0</v>
      </c>
      <c r="CT384" s="177" t="str">
        <f t="shared" si="207"/>
        <v>EG</v>
      </c>
      <c r="CU384" s="177" t="str">
        <f t="shared" si="209"/>
        <v>EGFP</v>
      </c>
      <c r="CV384" s="177" t="str">
        <f t="shared" si="207"/>
        <v>PV</v>
      </c>
      <c r="CW384" s="177">
        <f t="shared" si="210"/>
        <v>0</v>
      </c>
      <c r="CX384" s="177" t="str">
        <f t="shared" si="207"/>
        <v>EG</v>
      </c>
      <c r="CY384" s="177" t="str">
        <f t="shared" si="211"/>
        <v>EGIAC</v>
      </c>
      <c r="CZ384" s="177" t="str">
        <f t="shared" si="207"/>
        <v>PV</v>
      </c>
      <c r="DA384" s="177">
        <f t="shared" si="212"/>
        <v>0</v>
      </c>
      <c r="DB384" s="177" t="str">
        <f t="shared" si="207"/>
        <v>PV</v>
      </c>
      <c r="DC384" s="177">
        <f t="shared" si="213"/>
        <v>0</v>
      </c>
      <c r="DD384" s="177" t="str">
        <f t="shared" si="214"/>
        <v>PV</v>
      </c>
      <c r="DE384" s="177">
        <f t="shared" si="215"/>
        <v>0</v>
      </c>
    </row>
    <row r="385" spans="1:120" ht="18" customHeight="1" x14ac:dyDescent="0.3">
      <c r="A385" s="81">
        <v>0.70833333333335602</v>
      </c>
      <c r="B385" s="166" t="s">
        <v>11</v>
      </c>
      <c r="C385" s="130" t="s">
        <v>120</v>
      </c>
      <c r="D385" s="169" t="s">
        <v>11</v>
      </c>
      <c r="E385" s="130" t="s">
        <v>120</v>
      </c>
      <c r="F385" s="169" t="s">
        <v>11</v>
      </c>
      <c r="G385" s="130" t="s">
        <v>120</v>
      </c>
      <c r="H385" s="169" t="s">
        <v>128</v>
      </c>
      <c r="I385" s="130" t="s">
        <v>228</v>
      </c>
      <c r="J385" s="169" t="s">
        <v>11</v>
      </c>
      <c r="K385" s="130" t="s">
        <v>120</v>
      </c>
      <c r="L385" s="169" t="s">
        <v>116</v>
      </c>
      <c r="M385" s="130" t="s">
        <v>120</v>
      </c>
      <c r="N385" s="169" t="s">
        <v>8</v>
      </c>
      <c r="O385" s="154" t="s">
        <v>231</v>
      </c>
      <c r="P385" s="6">
        <v>0</v>
      </c>
      <c r="Q385" s="122" t="str">
        <f t="shared" si="232"/>
        <v>Aulas Teóricas</v>
      </c>
      <c r="R385" s="105" t="str">
        <f t="shared" si="224"/>
        <v>IEI</v>
      </c>
      <c r="S385" s="88">
        <f t="shared" si="221"/>
        <v>0</v>
      </c>
      <c r="T385" s="106">
        <f>IF(VLOOKUP(Q385,'INFO BASE'!$B$40:$I$54,IF(R385='INFO BASE'!$B$32,3,IF(R385='INFO BASE'!$B$33,4,IF(R385='INFO BASE'!$B$34,5,IF(R385='INFO BASE'!$B$35,6,IF(R385='INFO BASE'!$B$36,7,IF(R385='INFO BASE'!$B$37,8,2)))))),0)=0,"",VLOOKUP(Q385,'INFO BASE'!$B$40:$I$54,IF(R385='INFO BASE'!$B$32,3,IF(R385='INFO BASE'!$B$33,4,IF(R385='INFO BASE'!$B$34,5,IF(R385='INFO BASE'!$B$35,6,IF(R385='INFO BASE'!$B$36,7,IF(R385='INFO BASE'!$B$37,8,2)))))),0))</f>
        <v>3</v>
      </c>
      <c r="U385" s="106">
        <f>(COUNTIFS(C351:C398,R385,B351:B398,R383)+COUNTIFS(E351:E398,R385,D351:D398,R383)+COUNTIFS(G351:G398,R385,F351:F398,R383)+COUNTIFS(I351:I398,R385,H351:H398,R383)+COUNTIFS(K351:K398,R385,J351:J398,R383)+COUNTIFS(M351:M398,R385,L351:L398,R383)+COUNTIFS(O351:O398,R385,N351:N398,R383))*0.5</f>
        <v>3</v>
      </c>
      <c r="V385" s="89">
        <f>(COUNTIFS(AI351:AI398,R383,AJ351:AJ398,R378)+COUNTIFS(AK351:AK398,R383,AL351:AL398,R378)+COUNTIFS(AM351:AM398,R383,AN351:AN398,R378)+COUNTIFS(AO351:AO398,R383,AP351:AP398,R378)+COUNTIFS(AQ351:AQ398,R383,AR351:AR398,R378)+COUNTIFS(AS351:AS398,R383,AT351:AT398,R378)+COUNTIFS(AU351:AU398,R383,AV351:AV398,R378))*0.5</f>
        <v>3</v>
      </c>
      <c r="W385" s="90">
        <f>IF(AH347="","-",IF(V385=0,U385,IFERROR((U385/V385)-1,"-")))</f>
        <v>0</v>
      </c>
      <c r="X385" s="201">
        <f t="shared" si="222"/>
        <v>0</v>
      </c>
      <c r="Y385" s="271"/>
      <c r="Z385" s="272"/>
      <c r="AA385" s="272"/>
      <c r="AB385" s="272"/>
      <c r="AC385" s="272"/>
      <c r="AD385" s="272"/>
      <c r="AE385" s="272"/>
      <c r="AF385" s="273"/>
      <c r="AH385" s="136">
        <v>0.70833333333335602</v>
      </c>
      <c r="AI385" s="136" t="s">
        <v>11</v>
      </c>
      <c r="AJ385" s="136" t="s">
        <v>120</v>
      </c>
      <c r="AK385" s="136" t="s">
        <v>11</v>
      </c>
      <c r="AL385" s="136" t="s">
        <v>120</v>
      </c>
      <c r="AM385" s="136" t="s">
        <v>11</v>
      </c>
      <c r="AN385" s="136" t="s">
        <v>120</v>
      </c>
      <c r="AO385" s="136" t="s">
        <v>11</v>
      </c>
      <c r="AP385" s="136" t="s">
        <v>120</v>
      </c>
      <c r="AQ385" s="136" t="s">
        <v>11</v>
      </c>
      <c r="AR385" s="136" t="s">
        <v>120</v>
      </c>
      <c r="AS385" s="136" t="s">
        <v>116</v>
      </c>
      <c r="AT385" s="136" t="s">
        <v>120</v>
      </c>
      <c r="AU385" s="136" t="s">
        <v>8</v>
      </c>
      <c r="AV385" s="136" t="s">
        <v>231</v>
      </c>
      <c r="AX385" s="136" t="str">
        <f>IF(AI347="","",IF(B385="","",B385))</f>
        <v>HD</v>
      </c>
      <c r="AY385" s="136" t="str">
        <f>IF(AI347="","",IF(C385="","",C385))</f>
        <v>-</v>
      </c>
      <c r="AZ385" s="136" t="str">
        <f>IF(AI347="","",IF(D385="","",D385))</f>
        <v>HD</v>
      </c>
      <c r="BA385" s="136" t="str">
        <f>IF(AI347="","",IF(E385="","",E385))</f>
        <v>-</v>
      </c>
      <c r="BB385" s="136" t="str">
        <f>IF(AI347="","",IF(F385="","",F385))</f>
        <v>HD</v>
      </c>
      <c r="BC385" s="136" t="str">
        <f>IF(AI347="","",IF(G385="","",G385))</f>
        <v>-</v>
      </c>
      <c r="BD385" s="136" t="str">
        <f>IF(AI347="","",IF(H385="","",H385))</f>
        <v>EG</v>
      </c>
      <c r="BE385" s="136" t="str">
        <f>IF(AI347="","",IF(I385="","",I385))</f>
        <v>IAC</v>
      </c>
      <c r="BF385" s="136" t="str">
        <f>IF(AI347="","",IF(J385="","",J385))</f>
        <v>HD</v>
      </c>
      <c r="BG385" s="136" t="str">
        <f>IF(AI347="","",IF(K385="","",K385))</f>
        <v>-</v>
      </c>
      <c r="BH385" s="136" t="str">
        <f>IF(AI347="","",IF(L385="","",L385))</f>
        <v>PV</v>
      </c>
      <c r="BI385" s="136" t="str">
        <f>IF(AI347="","",IF(M385="","",M385))</f>
        <v>-</v>
      </c>
      <c r="BJ385" s="136" t="str">
        <f>IF(AI347="","",IF(N385="","",N385))</f>
        <v>EA</v>
      </c>
      <c r="BK385" s="136" t="str">
        <f>IF(AI347="","",IF(O385="","",O385))</f>
        <v>CDI</v>
      </c>
      <c r="BM385" s="136" t="str">
        <f t="shared" si="231"/>
        <v>AT</v>
      </c>
      <c r="BN385" s="136" t="str">
        <f t="shared" si="217"/>
        <v>Aulas Teóricas</v>
      </c>
      <c r="BO385" s="136" t="str">
        <f t="shared" si="217"/>
        <v>CDI</v>
      </c>
      <c r="BP385" s="136">
        <f>(COUNTIFS(AX351:AX398,BM385,AY351:AY398,BO385)+COUNTIFS(AZ351:AZ398,BM385,BA351:BA398,BO385)+COUNTIFS(BB351:BB398,BM385,BC351:BC398,BO385)+COUNTIFS(BD351:BD398,BM385,BE351:BE398,BO385)+COUNTIFS(BF351:BF398,BM385,BG351:BG398,BO385)+COUNTIFS(BH351:BH398,BM385,BI351:BI398,BO385)+COUNTIFS(BJ351:BJ398,BM385,BK351:BK398,BO385))*0.5</f>
        <v>3</v>
      </c>
      <c r="BQ385" s="136" t="str">
        <f t="shared" si="218"/>
        <v>Aulas Teóricas</v>
      </c>
      <c r="BR385" s="136" t="str">
        <f t="shared" si="218"/>
        <v>CDI</v>
      </c>
      <c r="BS385" s="136" t="str">
        <f t="shared" si="219"/>
        <v>Aulas Teóricas</v>
      </c>
      <c r="BT385" s="136">
        <f t="shared" si="225"/>
        <v>24</v>
      </c>
      <c r="BU385" s="136">
        <f t="shared" si="226"/>
        <v>24</v>
      </c>
      <c r="CA385" s="136">
        <f>'INFO BASE'!L463</f>
        <v>0</v>
      </c>
      <c r="CB385" s="136">
        <f>'INFO BASE'!M463</f>
        <v>0</v>
      </c>
      <c r="CR385" s="177" t="str">
        <f t="shared" si="207"/>
        <v>HD</v>
      </c>
      <c r="CS385" s="177" t="str">
        <f t="shared" si="208"/>
        <v>HD-</v>
      </c>
      <c r="CT385" s="177" t="str">
        <f t="shared" si="207"/>
        <v>HD</v>
      </c>
      <c r="CU385" s="177" t="str">
        <f t="shared" si="209"/>
        <v>HD-</v>
      </c>
      <c r="CV385" s="177" t="str">
        <f t="shared" si="207"/>
        <v>HD</v>
      </c>
      <c r="CW385" s="177" t="str">
        <f t="shared" si="210"/>
        <v>HD-</v>
      </c>
      <c r="CX385" s="177" t="str">
        <f t="shared" si="207"/>
        <v>EG</v>
      </c>
      <c r="CY385" s="177" t="str">
        <f t="shared" si="211"/>
        <v>EGIAC</v>
      </c>
      <c r="CZ385" s="177" t="str">
        <f t="shared" si="207"/>
        <v>HD</v>
      </c>
      <c r="DA385" s="177" t="str">
        <f t="shared" si="212"/>
        <v>HD-</v>
      </c>
      <c r="DB385" s="177" t="str">
        <f t="shared" si="207"/>
        <v>PV</v>
      </c>
      <c r="DC385" s="177">
        <f t="shared" si="213"/>
        <v>0</v>
      </c>
      <c r="DD385" s="177" t="str">
        <f t="shared" si="214"/>
        <v>EA</v>
      </c>
      <c r="DE385" s="177" t="str">
        <f t="shared" si="215"/>
        <v>EACDI</v>
      </c>
    </row>
    <row r="386" spans="1:120" ht="18" customHeight="1" x14ac:dyDescent="0.3">
      <c r="A386" s="81">
        <v>0.72916666666669006</v>
      </c>
      <c r="B386" s="166" t="s">
        <v>11</v>
      </c>
      <c r="C386" s="130" t="s">
        <v>120</v>
      </c>
      <c r="D386" s="169" t="s">
        <v>11</v>
      </c>
      <c r="E386" s="130" t="s">
        <v>120</v>
      </c>
      <c r="F386" s="169" t="s">
        <v>11</v>
      </c>
      <c r="G386" s="130" t="s">
        <v>120</v>
      </c>
      <c r="H386" s="169" t="s">
        <v>128</v>
      </c>
      <c r="I386" s="130" t="s">
        <v>228</v>
      </c>
      <c r="J386" s="169" t="s">
        <v>11</v>
      </c>
      <c r="K386" s="130" t="s">
        <v>120</v>
      </c>
      <c r="L386" s="169" t="s">
        <v>116</v>
      </c>
      <c r="M386" s="130" t="s">
        <v>120</v>
      </c>
      <c r="N386" s="169" t="s">
        <v>8</v>
      </c>
      <c r="O386" s="154" t="s">
        <v>231</v>
      </c>
      <c r="P386" s="6">
        <v>0</v>
      </c>
      <c r="Q386" s="123" t="str">
        <f t="shared" si="232"/>
        <v>Aulas Teóricas</v>
      </c>
      <c r="R386" s="105" t="str">
        <f t="shared" si="224"/>
        <v>IAC</v>
      </c>
      <c r="S386" s="88">
        <f t="shared" si="221"/>
        <v>0</v>
      </c>
      <c r="T386" s="106">
        <f>IF(VLOOKUP(Q386,'INFO BASE'!$B$40:$I$54,IF(R386='INFO BASE'!$B$32,3,IF(R386='INFO BASE'!$B$33,4,IF(R386='INFO BASE'!$B$34,5,IF(R386='INFO BASE'!$B$35,6,IF(R386='INFO BASE'!$B$36,7,IF(R386='INFO BASE'!$B$37,8,2)))))),0)=0,"",VLOOKUP(Q386,'INFO BASE'!$B$40:$I$54,IF(R386='INFO BASE'!$B$32,3,IF(R386='INFO BASE'!$B$33,4,IF(R386='INFO BASE'!$B$34,5,IF(R386='INFO BASE'!$B$35,6,IF(R386='INFO BASE'!$B$36,7,IF(R386='INFO BASE'!$B$37,8,2)))))),0))</f>
        <v>3</v>
      </c>
      <c r="U386" s="106">
        <f>(COUNTIFS(C351:C398,R386,B351:B398,R383)+COUNTIFS(E351:E398,R386,D351:D398,R383)+COUNTIFS(G351:G398,R386,F351:F398,R383)+COUNTIFS(I351:I398,R386,H351:H398,R383)+COUNTIFS(K351:K398,R386,J351:J398,R383)+COUNTIFS(M351:M398,R386,L351:L398,R383)+COUNTIFS(O351:O398,R386,N351:N398,R383))*0.5</f>
        <v>3</v>
      </c>
      <c r="V386" s="89">
        <f>(COUNTIFS(AI351:AI398,R383,AJ351:AJ398,R379)+COUNTIFS(AK351:AK398,R383,AL351:AL398,R379)+COUNTIFS(AM351:AM398,R383,AN351:AN398,R379)+COUNTIFS(AO351:AO398,R383,AP351:AP398,R379)+COUNTIFS(AQ351:AQ398,R383,AR351:AR398,R379)+COUNTIFS(AS351:AS398,R383,AT351:AT398,R379)+COUNTIFS(AU351:AU398,R383,AV351:AV398,R379))*0.5</f>
        <v>3</v>
      </c>
      <c r="W386" s="90">
        <f>IF(AH347="","-",IF(V386=0,U386,IFERROR((U386/V386)-1,"-")))</f>
        <v>0</v>
      </c>
      <c r="X386" s="201">
        <f t="shared" si="222"/>
        <v>0</v>
      </c>
      <c r="Y386" s="271"/>
      <c r="Z386" s="272"/>
      <c r="AA386" s="272"/>
      <c r="AB386" s="272"/>
      <c r="AC386" s="272"/>
      <c r="AD386" s="272"/>
      <c r="AE386" s="272"/>
      <c r="AF386" s="273"/>
      <c r="AH386" s="136">
        <v>0.72916666666669006</v>
      </c>
      <c r="AI386" s="136" t="s">
        <v>11</v>
      </c>
      <c r="AJ386" s="136" t="s">
        <v>120</v>
      </c>
      <c r="AK386" s="136" t="s">
        <v>11</v>
      </c>
      <c r="AL386" s="136" t="s">
        <v>120</v>
      </c>
      <c r="AM386" s="136" t="s">
        <v>11</v>
      </c>
      <c r="AN386" s="136" t="s">
        <v>120</v>
      </c>
      <c r="AO386" s="136" t="s">
        <v>11</v>
      </c>
      <c r="AP386" s="136" t="s">
        <v>120</v>
      </c>
      <c r="AQ386" s="136" t="s">
        <v>11</v>
      </c>
      <c r="AR386" s="136" t="s">
        <v>120</v>
      </c>
      <c r="AS386" s="136" t="s">
        <v>116</v>
      </c>
      <c r="AT386" s="136" t="s">
        <v>120</v>
      </c>
      <c r="AU386" s="136" t="s">
        <v>8</v>
      </c>
      <c r="AV386" s="136" t="s">
        <v>231</v>
      </c>
      <c r="AX386" s="136" t="str">
        <f>IF(AI347="","",IF(B386="","",B386))</f>
        <v>HD</v>
      </c>
      <c r="AY386" s="136" t="str">
        <f>IF(AI347="","",IF(C386="","",C386))</f>
        <v>-</v>
      </c>
      <c r="AZ386" s="136" t="str">
        <f>IF(AI347="","",IF(D386="","",D386))</f>
        <v>HD</v>
      </c>
      <c r="BA386" s="136" t="str">
        <f>IF(AI347="","",IF(E386="","",E386))</f>
        <v>-</v>
      </c>
      <c r="BB386" s="136" t="str">
        <f>IF(AI347="","",IF(F386="","",F386))</f>
        <v>HD</v>
      </c>
      <c r="BC386" s="136" t="str">
        <f>IF(AI347="","",IF(G386="","",G386))</f>
        <v>-</v>
      </c>
      <c r="BD386" s="136" t="str">
        <f>IF(AI347="","",IF(H386="","",H386))</f>
        <v>EG</v>
      </c>
      <c r="BE386" s="136" t="str">
        <f>IF(AI347="","",IF(I386="","",I386))</f>
        <v>IAC</v>
      </c>
      <c r="BF386" s="136" t="str">
        <f>IF(AI347="","",IF(J386="","",J386))</f>
        <v>HD</v>
      </c>
      <c r="BG386" s="136" t="str">
        <f>IF(AI347="","",IF(K386="","",K386))</f>
        <v>-</v>
      </c>
      <c r="BH386" s="136" t="str">
        <f>IF(AI347="","",IF(L386="","",L386))</f>
        <v>PV</v>
      </c>
      <c r="BI386" s="136" t="str">
        <f>IF(AI347="","",IF(M386="","",M386))</f>
        <v>-</v>
      </c>
      <c r="BJ386" s="136" t="str">
        <f>IF(AI347="","",IF(N386="","",N386))</f>
        <v>EA</v>
      </c>
      <c r="BK386" s="136" t="str">
        <f>IF(AI347="","",IF(O386="","",O386))</f>
        <v>CDI</v>
      </c>
      <c r="BM386" s="136" t="str">
        <f t="shared" si="231"/>
        <v>AT</v>
      </c>
      <c r="BN386" s="136" t="str">
        <f t="shared" si="217"/>
        <v>Aulas Teóricas</v>
      </c>
      <c r="BO386" s="136" t="str">
        <f t="shared" si="217"/>
        <v/>
      </c>
      <c r="BP386" s="136">
        <f>(COUNTIFS(AX351:AX398,BM386,AY351:AY398,BO386)+COUNTIFS(AZ351:AZ398,BM386,BA351:BA398,BO386)+COUNTIFS(BB351:BB398,BM386,BC351:BC398,BO386)+COUNTIFS(BD351:BD398,BM386,BE351:BE398,BO386)+COUNTIFS(BF351:BF398,BM386,BG351:BG398,BO386)+COUNTIFS(BH351:BH398,BM386,BI351:BI398,BO386)+COUNTIFS(BJ351:BJ398,BM386,BK351:BK398,BO386))*0.5</f>
        <v>0</v>
      </c>
      <c r="BQ386" s="136" t="str">
        <f t="shared" si="218"/>
        <v>Aulas Teóricas</v>
      </c>
      <c r="BR386" s="136" t="str">
        <f t="shared" si="218"/>
        <v/>
      </c>
      <c r="BS386" s="136" t="str">
        <f t="shared" si="219"/>
        <v>Aulas Teóricas</v>
      </c>
      <c r="BT386" s="136">
        <f t="shared" si="225"/>
        <v>0</v>
      </c>
      <c r="BU386" s="136">
        <f t="shared" si="226"/>
        <v>0</v>
      </c>
      <c r="CA386" s="136">
        <f>'INFO BASE'!L464</f>
        <v>0</v>
      </c>
      <c r="CB386" s="136">
        <f>'INFO BASE'!M464</f>
        <v>0</v>
      </c>
      <c r="CR386" s="177" t="str">
        <f t="shared" si="207"/>
        <v>HD</v>
      </c>
      <c r="CS386" s="177" t="str">
        <f t="shared" si="208"/>
        <v>HD-</v>
      </c>
      <c r="CT386" s="177" t="str">
        <f t="shared" si="207"/>
        <v>HD</v>
      </c>
      <c r="CU386" s="177" t="str">
        <f t="shared" si="209"/>
        <v>HD-</v>
      </c>
      <c r="CV386" s="177" t="str">
        <f t="shared" si="207"/>
        <v>HD</v>
      </c>
      <c r="CW386" s="177" t="str">
        <f t="shared" si="210"/>
        <v>HD-</v>
      </c>
      <c r="CX386" s="177" t="str">
        <f t="shared" si="207"/>
        <v>EG</v>
      </c>
      <c r="CY386" s="177" t="str">
        <f t="shared" si="211"/>
        <v>EGIAC</v>
      </c>
      <c r="CZ386" s="177" t="str">
        <f t="shared" si="207"/>
        <v>HD</v>
      </c>
      <c r="DA386" s="177" t="str">
        <f t="shared" si="212"/>
        <v>HD-</v>
      </c>
      <c r="DB386" s="177" t="str">
        <f t="shared" si="207"/>
        <v>PV</v>
      </c>
      <c r="DC386" s="177">
        <f t="shared" si="213"/>
        <v>0</v>
      </c>
      <c r="DD386" s="177" t="str">
        <f t="shared" si="214"/>
        <v>EA</v>
      </c>
      <c r="DE386" s="177" t="str">
        <f t="shared" si="215"/>
        <v>EACDI</v>
      </c>
    </row>
    <row r="387" spans="1:120" ht="18" customHeight="1" x14ac:dyDescent="0.3">
      <c r="A387" s="81">
        <v>0.75000000000002398</v>
      </c>
      <c r="B387" s="166" t="s">
        <v>11</v>
      </c>
      <c r="C387" s="130" t="s">
        <v>120</v>
      </c>
      <c r="D387" s="169" t="s">
        <v>11</v>
      </c>
      <c r="E387" s="130" t="s">
        <v>120</v>
      </c>
      <c r="F387" s="169" t="s">
        <v>11</v>
      </c>
      <c r="G387" s="130" t="s">
        <v>120</v>
      </c>
      <c r="H387" s="169" t="s">
        <v>128</v>
      </c>
      <c r="I387" s="130" t="s">
        <v>228</v>
      </c>
      <c r="J387" s="169" t="s">
        <v>11</v>
      </c>
      <c r="K387" s="130" t="s">
        <v>120</v>
      </c>
      <c r="L387" s="169" t="s">
        <v>116</v>
      </c>
      <c r="M387" s="130" t="s">
        <v>120</v>
      </c>
      <c r="N387" s="169" t="s">
        <v>116</v>
      </c>
      <c r="O387" s="154" t="s">
        <v>120</v>
      </c>
      <c r="P387" s="6">
        <v>0</v>
      </c>
      <c r="Q387" s="122" t="str">
        <f t="shared" si="232"/>
        <v>Aulas Teóricas</v>
      </c>
      <c r="R387" s="105" t="str">
        <f t="shared" si="224"/>
        <v>AL</v>
      </c>
      <c r="S387" s="88">
        <f t="shared" si="221"/>
        <v>0</v>
      </c>
      <c r="T387" s="106">
        <f>IF(VLOOKUP(Q387,'INFO BASE'!$B$40:$I$54,IF(R387='INFO BASE'!$B$32,3,IF(R387='INFO BASE'!$B$33,4,IF(R387='INFO BASE'!$B$34,5,IF(R387='INFO BASE'!$B$35,6,IF(R387='INFO BASE'!$B$36,7,IF(R387='INFO BASE'!$B$37,8,2)))))),0)=0,"",VLOOKUP(Q387,'INFO BASE'!$B$40:$I$54,IF(R387='INFO BASE'!$B$32,3,IF(R387='INFO BASE'!$B$33,4,IF(R387='INFO BASE'!$B$34,5,IF(R387='INFO BASE'!$B$35,6,IF(R387='INFO BASE'!$B$36,7,IF(R387='INFO BASE'!$B$37,8,2)))))),0))</f>
        <v>3</v>
      </c>
      <c r="U387" s="106">
        <f>(COUNTIFS(C351:C398,R387,B351:B398,R383)+COUNTIFS(E351:E398,R387,D351:D398,R383)+COUNTIFS(G351:G398,R387,F351:F398,R383)+COUNTIFS(I351:I398,R387,H351:H398,R383)+COUNTIFS(K351:K398,R387,J351:J398,R383)+COUNTIFS(M351:M398,R387,L351:L398,R383)+COUNTIFS(O351:O398,R387,N351:N398,R383))*0.5</f>
        <v>3</v>
      </c>
      <c r="V387" s="89">
        <f>(COUNTIFS(AI351:AI398,R383,AJ351:AJ398,R380)+COUNTIFS(AK351:AK398,R383,AL351:AL398,R380)+COUNTIFS(AM351:AM398,R383,AN351:AN398,R380)+COUNTIFS(AO351:AO398,R383,AP351:AP398,R380)+COUNTIFS(AQ351:AQ398,R383,AR351:AR398,R380)+COUNTIFS(AS351:AS398,R383,AT351:AT398,R380)+COUNTIFS(AU351:AU398,R383,AV351:AV398,R380))*0.5</f>
        <v>3</v>
      </c>
      <c r="W387" s="90">
        <f>IF(AH347="","-",IF(V387=0,U387,IFERROR((U387/V387)-1,"-")))</f>
        <v>0</v>
      </c>
      <c r="X387" s="201">
        <f t="shared" si="222"/>
        <v>0</v>
      </c>
      <c r="Y387" s="271"/>
      <c r="Z387" s="272"/>
      <c r="AA387" s="272"/>
      <c r="AB387" s="272"/>
      <c r="AC387" s="272"/>
      <c r="AD387" s="272"/>
      <c r="AE387" s="272"/>
      <c r="AF387" s="273"/>
      <c r="AH387" s="136">
        <v>0.75000000000002398</v>
      </c>
      <c r="AI387" s="136" t="s">
        <v>11</v>
      </c>
      <c r="AJ387" s="136" t="s">
        <v>120</v>
      </c>
      <c r="AK387" s="136" t="s">
        <v>11</v>
      </c>
      <c r="AL387" s="136" t="s">
        <v>120</v>
      </c>
      <c r="AM387" s="136" t="s">
        <v>11</v>
      </c>
      <c r="AN387" s="136" t="s">
        <v>120</v>
      </c>
      <c r="AO387" s="136" t="s">
        <v>11</v>
      </c>
      <c r="AP387" s="136" t="s">
        <v>120</v>
      </c>
      <c r="AQ387" s="136" t="s">
        <v>11</v>
      </c>
      <c r="AR387" s="136" t="s">
        <v>120</v>
      </c>
      <c r="AS387" s="136" t="s">
        <v>116</v>
      </c>
      <c r="AT387" s="136" t="s">
        <v>120</v>
      </c>
      <c r="AU387" s="136" t="s">
        <v>116</v>
      </c>
      <c r="AV387" s="136" t="s">
        <v>120</v>
      </c>
      <c r="AX387" s="136" t="str">
        <f>IF(AI347="","",IF(B387="","",B387))</f>
        <v>HD</v>
      </c>
      <c r="AY387" s="136" t="str">
        <f>IF(AI347="","",IF(C387="","",C387))</f>
        <v>-</v>
      </c>
      <c r="AZ387" s="136" t="str">
        <f>IF(AI347="","",IF(D387="","",D387))</f>
        <v>HD</v>
      </c>
      <c r="BA387" s="136" t="str">
        <f>IF(AI347="","",IF(E387="","",E387))</f>
        <v>-</v>
      </c>
      <c r="BB387" s="136" t="str">
        <f>IF(AI347="","",IF(F387="","",F387))</f>
        <v>HD</v>
      </c>
      <c r="BC387" s="136" t="str">
        <f>IF(AI347="","",IF(G387="","",G387))</f>
        <v>-</v>
      </c>
      <c r="BD387" s="136" t="str">
        <f>IF(AI347="","",IF(H387="","",H387))</f>
        <v>EG</v>
      </c>
      <c r="BE387" s="136" t="str">
        <f>IF(AI347="","",IF(I387="","",I387))</f>
        <v>IAC</v>
      </c>
      <c r="BF387" s="136" t="str">
        <f>IF(AI347="","",IF(J387="","",J387))</f>
        <v>HD</v>
      </c>
      <c r="BG387" s="136" t="str">
        <f>IF(AI347="","",IF(K387="","",K387))</f>
        <v>-</v>
      </c>
      <c r="BH387" s="136" t="str">
        <f>IF(AI347="","",IF(L387="","",L387))</f>
        <v>PV</v>
      </c>
      <c r="BI387" s="136" t="str">
        <f>IF(AI347="","",IF(M387="","",M387))</f>
        <v>-</v>
      </c>
      <c r="BJ387" s="136" t="str">
        <f>IF(AI347="","",IF(N387="","",N387))</f>
        <v>PV</v>
      </c>
      <c r="BK387" s="136" t="str">
        <f>IF(AI347="","",IF(O387="","",O387))</f>
        <v>-</v>
      </c>
      <c r="BN387" s="136" t="str">
        <f t="shared" si="217"/>
        <v>Aulas Práticas</v>
      </c>
      <c r="BO387" s="136" t="str">
        <f t="shared" si="217"/>
        <v>APA</v>
      </c>
      <c r="BP387" s="136">
        <f>IF(BO387="","",COUNTIFS(AX351:BK398,BO387)*0.5)</f>
        <v>0</v>
      </c>
      <c r="BQ387" s="136" t="str">
        <f t="shared" si="218"/>
        <v>Aulas Práticas</v>
      </c>
      <c r="BR387" s="136" t="str">
        <f t="shared" si="218"/>
        <v>APA</v>
      </c>
      <c r="BS387" s="136" t="str">
        <f t="shared" si="219"/>
        <v>Aulas Práticas</v>
      </c>
      <c r="BT387" s="136">
        <f t="shared" si="225"/>
        <v>0</v>
      </c>
      <c r="BU387" s="136">
        <f t="shared" si="226"/>
        <v>0</v>
      </c>
      <c r="CA387" s="136">
        <f>'INFO BASE'!L465</f>
        <v>0</v>
      </c>
      <c r="CB387" s="136">
        <f>'INFO BASE'!M465</f>
        <v>0</v>
      </c>
      <c r="CR387" s="177" t="str">
        <f t="shared" si="207"/>
        <v>HD</v>
      </c>
      <c r="CS387" s="177" t="str">
        <f t="shared" si="208"/>
        <v>HD-</v>
      </c>
      <c r="CT387" s="177" t="str">
        <f t="shared" si="207"/>
        <v>HD</v>
      </c>
      <c r="CU387" s="177" t="str">
        <f t="shared" si="209"/>
        <v>HD-</v>
      </c>
      <c r="CV387" s="177" t="str">
        <f t="shared" si="207"/>
        <v>HD</v>
      </c>
      <c r="CW387" s="177" t="str">
        <f t="shared" si="210"/>
        <v>HD-</v>
      </c>
      <c r="CX387" s="177" t="str">
        <f t="shared" si="207"/>
        <v>EG</v>
      </c>
      <c r="CY387" s="177" t="str">
        <f t="shared" si="211"/>
        <v>EGIAC</v>
      </c>
      <c r="CZ387" s="177" t="str">
        <f t="shared" si="207"/>
        <v>HD</v>
      </c>
      <c r="DA387" s="177" t="str">
        <f t="shared" si="212"/>
        <v>HD-</v>
      </c>
      <c r="DB387" s="177" t="str">
        <f t="shared" si="207"/>
        <v>PV</v>
      </c>
      <c r="DC387" s="177">
        <f t="shared" si="213"/>
        <v>0</v>
      </c>
      <c r="DD387" s="177" t="str">
        <f t="shared" si="214"/>
        <v>PV</v>
      </c>
      <c r="DE387" s="177">
        <f t="shared" si="215"/>
        <v>0</v>
      </c>
    </row>
    <row r="388" spans="1:120" ht="18" customHeight="1" x14ac:dyDescent="0.3">
      <c r="A388" s="81">
        <v>0.77083333333335802</v>
      </c>
      <c r="B388" s="166" t="s">
        <v>116</v>
      </c>
      <c r="C388" s="130" t="s">
        <v>120</v>
      </c>
      <c r="D388" s="169" t="s">
        <v>116</v>
      </c>
      <c r="E388" s="130" t="s">
        <v>120</v>
      </c>
      <c r="F388" s="169" t="s">
        <v>116</v>
      </c>
      <c r="G388" s="130" t="s">
        <v>120</v>
      </c>
      <c r="H388" s="169" t="s">
        <v>128</v>
      </c>
      <c r="I388" s="130" t="s">
        <v>228</v>
      </c>
      <c r="J388" s="169" t="s">
        <v>116</v>
      </c>
      <c r="K388" s="130" t="s">
        <v>120</v>
      </c>
      <c r="L388" s="169" t="s">
        <v>116</v>
      </c>
      <c r="M388" s="130" t="s">
        <v>120</v>
      </c>
      <c r="N388" s="169" t="s">
        <v>116</v>
      </c>
      <c r="O388" s="154" t="s">
        <v>120</v>
      </c>
      <c r="P388" s="6">
        <v>0</v>
      </c>
      <c r="Q388" s="122" t="str">
        <f t="shared" si="232"/>
        <v>Aulas Teóricas</v>
      </c>
      <c r="R388" s="105" t="str">
        <f t="shared" si="224"/>
        <v>CDI</v>
      </c>
      <c r="S388" s="88">
        <f t="shared" si="221"/>
        <v>0</v>
      </c>
      <c r="T388" s="106">
        <f>IF(VLOOKUP(Q388,'INFO BASE'!$B$40:$I$54,IF(R388='INFO BASE'!$B$32,3,IF(R388='INFO BASE'!$B$33,4,IF(R388='INFO BASE'!$B$34,5,IF(R388='INFO BASE'!$B$35,6,IF(R388='INFO BASE'!$B$36,7,IF(R388='INFO BASE'!$B$37,8,2)))))),0)=0,"",VLOOKUP(Q388,'INFO BASE'!$B$40:$I$54,IF(R388='INFO BASE'!$B$32,3,IF(R388='INFO BASE'!$B$33,4,IF(R388='INFO BASE'!$B$34,5,IF(R388='INFO BASE'!$B$35,6,IF(R388='INFO BASE'!$B$36,7,IF(R388='INFO BASE'!$B$37,8,2)))))),0))</f>
        <v>3</v>
      </c>
      <c r="U388" s="106">
        <f>(COUNTIFS(C351:C398,R388,B351:B398,R383)+COUNTIFS(E351:E398,R388,D351:D398,R383)+COUNTIFS(G351:G398,R388,F351:F398,R383)+COUNTIFS(I351:I398,R388,H351:H398,R383)+COUNTIFS(K351:K398,R388,J351:J398,R383)+COUNTIFS(M351:M398,R388,L351:L398,R383)+COUNTIFS(O351:O398,R388,N351:N398,R383))*0.5</f>
        <v>3</v>
      </c>
      <c r="V388" s="89">
        <f>(COUNTIFS(AI351:AI398,R383,AJ351:AJ398,R381)+COUNTIFS(AK351:AK398,R383,AL351:AL398,R381)+COUNTIFS(AM351:AM398,R383,AN351:AN398,R381)+COUNTIFS(AO351:AO398,R383,AP351:AP398,R381)+COUNTIFS(AQ351:AQ398,R383,AR351:AR398,R381)+COUNTIFS(AS351:AS398,R383,AT351:AT398,R381)+COUNTIFS(AU351:AU398,R383,AV351:AV398,R381))*0.5</f>
        <v>3</v>
      </c>
      <c r="W388" s="90">
        <f>IF(AH347="","-",IF(V388=0,U388,IFERROR((U388/V388)-1,"-")))</f>
        <v>0</v>
      </c>
      <c r="X388" s="201">
        <f t="shared" si="222"/>
        <v>0</v>
      </c>
      <c r="Y388" s="271"/>
      <c r="Z388" s="272"/>
      <c r="AA388" s="272"/>
      <c r="AB388" s="272"/>
      <c r="AC388" s="272"/>
      <c r="AD388" s="272"/>
      <c r="AE388" s="272"/>
      <c r="AF388" s="273"/>
      <c r="AH388" s="136">
        <v>0.77083333333335802</v>
      </c>
      <c r="AI388" s="136" t="s">
        <v>116</v>
      </c>
      <c r="AJ388" s="136" t="s">
        <v>120</v>
      </c>
      <c r="AK388" s="136" t="s">
        <v>116</v>
      </c>
      <c r="AL388" s="136" t="s">
        <v>120</v>
      </c>
      <c r="AM388" s="136" t="s">
        <v>116</v>
      </c>
      <c r="AN388" s="136" t="s">
        <v>120</v>
      </c>
      <c r="AO388" s="136" t="s">
        <v>116</v>
      </c>
      <c r="AP388" s="136" t="s">
        <v>120</v>
      </c>
      <c r="AQ388" s="136" t="s">
        <v>116</v>
      </c>
      <c r="AR388" s="136" t="s">
        <v>120</v>
      </c>
      <c r="AS388" s="136" t="s">
        <v>116</v>
      </c>
      <c r="AT388" s="136" t="s">
        <v>120</v>
      </c>
      <c r="AU388" s="136" t="s">
        <v>116</v>
      </c>
      <c r="AV388" s="136" t="s">
        <v>120</v>
      </c>
      <c r="AX388" s="136" t="str">
        <f>IF(AI347="","",IF(B388="","",B388))</f>
        <v>PV</v>
      </c>
      <c r="AY388" s="136" t="str">
        <f>IF(AI347="","",IF(C388="","",C388))</f>
        <v>-</v>
      </c>
      <c r="AZ388" s="136" t="str">
        <f>IF(AI347="","",IF(D388="","",D388))</f>
        <v>PV</v>
      </c>
      <c r="BA388" s="136" t="str">
        <f>IF(AI347="","",IF(E388="","",E388))</f>
        <v>-</v>
      </c>
      <c r="BB388" s="136" t="str">
        <f>IF(AI347="","",IF(F388="","",F388))</f>
        <v>PV</v>
      </c>
      <c r="BC388" s="136" t="str">
        <f>IF(AI347="","",IF(G388="","",G388))</f>
        <v>-</v>
      </c>
      <c r="BD388" s="136" t="str">
        <f>IF(AI347="","",IF(H388="","",H388))</f>
        <v>EG</v>
      </c>
      <c r="BE388" s="136" t="str">
        <f>IF(AI347="","",IF(I388="","",I388))</f>
        <v>IAC</v>
      </c>
      <c r="BF388" s="136" t="str">
        <f>IF(AI347="","",IF(J388="","",J388))</f>
        <v>PV</v>
      </c>
      <c r="BG388" s="136" t="str">
        <f>IF(AI347="","",IF(K388="","",K388))</f>
        <v>-</v>
      </c>
      <c r="BH388" s="136" t="str">
        <f>IF(AI347="","",IF(L388="","",L388))</f>
        <v>PV</v>
      </c>
      <c r="BI388" s="136" t="str">
        <f>IF(AI347="","",IF(M388="","",M388))</f>
        <v>-</v>
      </c>
      <c r="BJ388" s="136" t="str">
        <f>IF(AI347="","",IF(N388="","",N388))</f>
        <v>PV</v>
      </c>
      <c r="BK388" s="136" t="str">
        <f>IF(AI347="","",IF(O388="","",O388))</f>
        <v>-</v>
      </c>
      <c r="BN388" s="136" t="str">
        <f t="shared" si="217"/>
        <v>Aulas Problemas</v>
      </c>
      <c r="BO388" s="136" t="str">
        <f t="shared" si="217"/>
        <v>APB</v>
      </c>
      <c r="BP388" s="136">
        <f>IF(BO388="","",COUNTIFS(AX351:BK398,BO388)*0.5)</f>
        <v>4.5</v>
      </c>
      <c r="BQ388" s="136" t="str">
        <f t="shared" si="218"/>
        <v>Aulas Problemas</v>
      </c>
      <c r="BR388" s="136" t="str">
        <f t="shared" si="218"/>
        <v>APB</v>
      </c>
      <c r="BS388" s="136" t="str">
        <f t="shared" si="219"/>
        <v>Aulas Problemas</v>
      </c>
      <c r="BT388" s="136">
        <f t="shared" si="225"/>
        <v>36</v>
      </c>
      <c r="BU388" s="136">
        <f t="shared" si="226"/>
        <v>36</v>
      </c>
      <c r="CR388" s="177" t="str">
        <f t="shared" si="207"/>
        <v>PV</v>
      </c>
      <c r="CS388" s="177">
        <f t="shared" si="208"/>
        <v>0</v>
      </c>
      <c r="CT388" s="177" t="str">
        <f t="shared" si="207"/>
        <v>PV</v>
      </c>
      <c r="CU388" s="177">
        <f t="shared" si="209"/>
        <v>0</v>
      </c>
      <c r="CV388" s="177" t="str">
        <f t="shared" si="207"/>
        <v>PV</v>
      </c>
      <c r="CW388" s="177">
        <f t="shared" si="210"/>
        <v>0</v>
      </c>
      <c r="CX388" s="177" t="str">
        <f t="shared" si="207"/>
        <v>EG</v>
      </c>
      <c r="CY388" s="177" t="str">
        <f t="shared" si="211"/>
        <v>EGIAC</v>
      </c>
      <c r="CZ388" s="177" t="str">
        <f t="shared" si="207"/>
        <v>PV</v>
      </c>
      <c r="DA388" s="177">
        <f t="shared" si="212"/>
        <v>0</v>
      </c>
      <c r="DB388" s="177" t="str">
        <f t="shared" si="207"/>
        <v>PV</v>
      </c>
      <c r="DC388" s="177">
        <f t="shared" si="213"/>
        <v>0</v>
      </c>
      <c r="DD388" s="177" t="str">
        <f t="shared" si="214"/>
        <v>PV</v>
      </c>
      <c r="DE388" s="177">
        <f t="shared" si="215"/>
        <v>0</v>
      </c>
    </row>
    <row r="389" spans="1:120" ht="18" customHeight="1" thickBot="1" x14ac:dyDescent="0.35">
      <c r="A389" s="81">
        <v>0.79166666666669205</v>
      </c>
      <c r="B389" s="166" t="s">
        <v>116</v>
      </c>
      <c r="C389" s="130" t="s">
        <v>120</v>
      </c>
      <c r="D389" s="169" t="s">
        <v>8</v>
      </c>
      <c r="E389" s="130" t="s">
        <v>224</v>
      </c>
      <c r="F389" s="169" t="s">
        <v>116</v>
      </c>
      <c r="G389" s="130" t="s">
        <v>120</v>
      </c>
      <c r="H389" s="169" t="s">
        <v>128</v>
      </c>
      <c r="I389" s="130" t="s">
        <v>228</v>
      </c>
      <c r="J389" s="169" t="s">
        <v>116</v>
      </c>
      <c r="K389" s="130" t="s">
        <v>120</v>
      </c>
      <c r="L389" s="169" t="s">
        <v>116</v>
      </c>
      <c r="M389" s="130" t="s">
        <v>120</v>
      </c>
      <c r="N389" s="169" t="s">
        <v>8</v>
      </c>
      <c r="O389" s="154" t="s">
        <v>231</v>
      </c>
      <c r="P389" s="6">
        <v>0</v>
      </c>
      <c r="Q389" s="124" t="str">
        <f t="shared" si="232"/>
        <v>Aulas Teóricas</v>
      </c>
      <c r="R389" s="107" t="str">
        <f t="shared" si="224"/>
        <v/>
      </c>
      <c r="S389" s="94" t="str">
        <f t="shared" si="221"/>
        <v>-</v>
      </c>
      <c r="T389" s="108" t="str">
        <f>IF(VLOOKUP(Q389,'INFO BASE'!$B$40:$I$54,IF(R389='INFO BASE'!$B$32,3,IF(R389='INFO BASE'!$B$33,4,IF(R389='INFO BASE'!$B$34,5,IF(R389='INFO BASE'!$B$35,6,IF(R389='INFO BASE'!$B$36,7,IF(R389='INFO BASE'!$B$37,8,2)))))),0)=0,"",VLOOKUP(Q389,'INFO BASE'!$B$40:$I$54,IF(R389='INFO BASE'!$B$32,3,IF(R389='INFO BASE'!$B$33,4,IF(R389='INFO BASE'!$B$34,5,IF(R389='INFO BASE'!$B$35,6,IF(R389='INFO BASE'!$B$36,7,IF(R389='INFO BASE'!$B$37,8,2)))))),0))</f>
        <v/>
      </c>
      <c r="U389" s="108">
        <f>(COUNTIFS(C351:C398,R389,B351:B398,R383)+COUNTIFS(E351:E398,R389,D351:D398,R383)+COUNTIFS(G351:G398,R389,F351:F398,R383)+COUNTIFS(I351:I398,R389,H351:H398,R383)+COUNTIFS(K351:K398,R389,J351:J398,R383)+COUNTIFS(M351:M398,R389,L351:L398,R383)+COUNTIFS(O351:O398,R389,N351:N398,R383))*0.5</f>
        <v>0</v>
      </c>
      <c r="V389" s="95">
        <f>(COUNTIFS(AI351:AI398,R383,AJ351:AJ398,R382)+COUNTIFS(AK351:AK398,R383,AL351:AL398,R382)+COUNTIFS(AM351:AM398,R383,AN351:AN398,R382)+COUNTIFS(AO351:AO398,R383,AP351:AP398,R382)+COUNTIFS(AQ351:AQ398,R383,AR351:AR398,R382)+COUNTIFS(AS351:AS398,R383,AT351:AT398,R382)+COUNTIFS(AU351:AU398,R383,AV351:AV398,R382))*0.5</f>
        <v>0</v>
      </c>
      <c r="W389" s="96">
        <f>IF(AH347="","-",IF(V389=0,U389,IFERROR((U389/V389)-1,"-")))</f>
        <v>0</v>
      </c>
      <c r="X389" s="201">
        <f t="shared" si="222"/>
        <v>0</v>
      </c>
      <c r="Y389" s="274"/>
      <c r="Z389" s="275"/>
      <c r="AA389" s="275"/>
      <c r="AB389" s="275"/>
      <c r="AC389" s="275"/>
      <c r="AD389" s="275"/>
      <c r="AE389" s="275"/>
      <c r="AF389" s="276"/>
      <c r="AH389" s="136">
        <v>0.79166666666669205</v>
      </c>
      <c r="AI389" s="136" t="s">
        <v>116</v>
      </c>
      <c r="AJ389" s="136" t="s">
        <v>120</v>
      </c>
      <c r="AK389" s="136" t="s">
        <v>8</v>
      </c>
      <c r="AL389" s="136" t="s">
        <v>224</v>
      </c>
      <c r="AM389" s="136" t="s">
        <v>116</v>
      </c>
      <c r="AN389" s="136" t="s">
        <v>120</v>
      </c>
      <c r="AO389" s="136" t="s">
        <v>8</v>
      </c>
      <c r="AP389" s="136" t="s">
        <v>224</v>
      </c>
      <c r="AQ389" s="136" t="s">
        <v>116</v>
      </c>
      <c r="AR389" s="136" t="s">
        <v>120</v>
      </c>
      <c r="AS389" s="136" t="s">
        <v>116</v>
      </c>
      <c r="AT389" s="136" t="s">
        <v>120</v>
      </c>
      <c r="AU389" s="136" t="s">
        <v>8</v>
      </c>
      <c r="AV389" s="136" t="s">
        <v>231</v>
      </c>
      <c r="AX389" s="136" t="str">
        <f>IF(AI347="","",IF(B389="","",B389))</f>
        <v>PV</v>
      </c>
      <c r="AY389" s="136" t="str">
        <f>IF(AI347="","",IF(C389="","",C389))</f>
        <v>-</v>
      </c>
      <c r="AZ389" s="136" t="str">
        <f>IF(AI347="","",IF(D389="","",D389))</f>
        <v>EA</v>
      </c>
      <c r="BA389" s="136" t="str">
        <f>IF(AI347="","",IF(E389="","",E389))</f>
        <v>FP</v>
      </c>
      <c r="BB389" s="136" t="str">
        <f>IF(AI347="","",IF(F389="","",F389))</f>
        <v>PV</v>
      </c>
      <c r="BC389" s="136" t="str">
        <f>IF(AI347="","",IF(G389="","",G389))</f>
        <v>-</v>
      </c>
      <c r="BD389" s="136" t="str">
        <f>IF(AI347="","",IF(H389="","",H389))</f>
        <v>EG</v>
      </c>
      <c r="BE389" s="136" t="str">
        <f>IF(AI347="","",IF(I389="","",I389))</f>
        <v>IAC</v>
      </c>
      <c r="BF389" s="136" t="str">
        <f>IF(AI347="","",IF(J389="","",J389))</f>
        <v>PV</v>
      </c>
      <c r="BG389" s="136" t="str">
        <f>IF(AI347="","",IF(K389="","",K389))</f>
        <v>-</v>
      </c>
      <c r="BH389" s="136" t="str">
        <f>IF(AI347="","",IF(L389="","",L389))</f>
        <v>PV</v>
      </c>
      <c r="BI389" s="136" t="str">
        <f>IF(AI347="","",IF(M389="","",M389))</f>
        <v>-</v>
      </c>
      <c r="BJ389" s="136" t="str">
        <f>IF(AI347="","",IF(N389="","",N389))</f>
        <v>EA</v>
      </c>
      <c r="BK389" s="136" t="str">
        <f>IF(AI347="","",IF(O389="","",O389))</f>
        <v>CDI</v>
      </c>
      <c r="BN389" s="136" t="str">
        <f t="shared" si="217"/>
        <v>Laboratórios</v>
      </c>
      <c r="BO389" s="136" t="str">
        <f t="shared" si="217"/>
        <v>LAB</v>
      </c>
      <c r="BP389" s="136">
        <f>IF(BO389="","",COUNTIFS(AX351:BK398,BO389)*0.5)</f>
        <v>1.5</v>
      </c>
      <c r="BQ389" s="136" t="str">
        <f t="shared" si="218"/>
        <v>Laboratórios</v>
      </c>
      <c r="BR389" s="136" t="str">
        <f t="shared" si="218"/>
        <v>LAB</v>
      </c>
      <c r="BS389" s="136" t="str">
        <f t="shared" si="219"/>
        <v>Laboratórios</v>
      </c>
      <c r="BT389" s="136">
        <f t="shared" si="225"/>
        <v>10.5</v>
      </c>
      <c r="BU389" s="136">
        <f t="shared" si="226"/>
        <v>10.5</v>
      </c>
      <c r="CA389" s="136">
        <f>'INFO BASE'!L466</f>
        <v>0</v>
      </c>
      <c r="CB389" s="136">
        <f>'INFO BASE'!M466</f>
        <v>0</v>
      </c>
      <c r="CR389" s="177" t="str">
        <f t="shared" si="207"/>
        <v>PV</v>
      </c>
      <c r="CS389" s="177">
        <f t="shared" si="208"/>
        <v>0</v>
      </c>
      <c r="CT389" s="177" t="str">
        <f t="shared" si="207"/>
        <v>EA</v>
      </c>
      <c r="CU389" s="177" t="str">
        <f t="shared" si="209"/>
        <v>EAFP</v>
      </c>
      <c r="CV389" s="177" t="str">
        <f t="shared" si="207"/>
        <v>PV</v>
      </c>
      <c r="CW389" s="177">
        <f t="shared" si="210"/>
        <v>0</v>
      </c>
      <c r="CX389" s="177" t="str">
        <f t="shared" si="207"/>
        <v>EG</v>
      </c>
      <c r="CY389" s="177" t="str">
        <f t="shared" si="211"/>
        <v>EGIAC</v>
      </c>
      <c r="CZ389" s="177" t="str">
        <f t="shared" si="207"/>
        <v>PV</v>
      </c>
      <c r="DA389" s="177">
        <f t="shared" si="212"/>
        <v>0</v>
      </c>
      <c r="DB389" s="177" t="str">
        <f t="shared" si="207"/>
        <v>PV</v>
      </c>
      <c r="DC389" s="177">
        <f t="shared" si="213"/>
        <v>0</v>
      </c>
      <c r="DD389" s="177" t="str">
        <f t="shared" si="214"/>
        <v>EA</v>
      </c>
      <c r="DE389" s="177" t="str">
        <f t="shared" si="215"/>
        <v>EACDI</v>
      </c>
    </row>
    <row r="390" spans="1:120" ht="18" customHeight="1" x14ac:dyDescent="0.3">
      <c r="A390" s="81">
        <v>0.81250000000002598</v>
      </c>
      <c r="B390" s="166" t="s">
        <v>116</v>
      </c>
      <c r="C390" s="130" t="s">
        <v>120</v>
      </c>
      <c r="D390" s="169" t="s">
        <v>8</v>
      </c>
      <c r="E390" s="130" t="s">
        <v>224</v>
      </c>
      <c r="F390" s="169" t="s">
        <v>116</v>
      </c>
      <c r="G390" s="130" t="s">
        <v>120</v>
      </c>
      <c r="H390" s="169" t="s">
        <v>11</v>
      </c>
      <c r="I390" s="130" t="s">
        <v>120</v>
      </c>
      <c r="J390" s="169" t="s">
        <v>116</v>
      </c>
      <c r="K390" s="130" t="s">
        <v>120</v>
      </c>
      <c r="L390" s="169" t="s">
        <v>116</v>
      </c>
      <c r="M390" s="130" t="s">
        <v>120</v>
      </c>
      <c r="N390" s="169" t="s">
        <v>8</v>
      </c>
      <c r="O390" s="154" t="s">
        <v>231</v>
      </c>
      <c r="P390" s="6">
        <v>0</v>
      </c>
      <c r="Q390" s="97" t="str">
        <f>IF('INFO BASE'!$C$21="","",'INFO BASE'!$C$21)</f>
        <v>Aulas Práticas</v>
      </c>
      <c r="R390" s="82" t="str">
        <f t="shared" si="224"/>
        <v>APA</v>
      </c>
      <c r="S390" s="83" t="str">
        <f t="shared" si="221"/>
        <v>-</v>
      </c>
      <c r="T390" s="98" t="str">
        <f>IF(VLOOKUP(Q390,'INFO BASE'!$B$40:$I$54,IF(R390='INFO BASE'!$B$32,3,IF(R390='INFO BASE'!$B$33,4,IF(R390='INFO BASE'!$B$34,5,IF(R390='INFO BASE'!$B$35,6,IF(R390='INFO BASE'!$B$36,7,IF(R390='INFO BASE'!$B$37,8,2)))))),0)=0,"",VLOOKUP(Q390,'INFO BASE'!$B$40:$I$54,IF(R390='INFO BASE'!$B$32,3,IF(R390='INFO BASE'!$B$33,4,IF(R390='INFO BASE'!$B$34,5,IF(R390='INFO BASE'!$B$35,6,IF(R390='INFO BASE'!$B$36,7,IF(R390='INFO BASE'!$B$37,8,2)))))),0))</f>
        <v/>
      </c>
      <c r="U390" s="84">
        <f t="shared" ref="U390:U398" si="233">IF(R390="","",COUNTIFS(SEMANA7,R390)*0.5)</f>
        <v>0</v>
      </c>
      <c r="V390" s="84">
        <f>IF(R390="","",COUNTIFS(AI351:AV398,R390)*0.5)</f>
        <v>0</v>
      </c>
      <c r="W390" s="85">
        <f>IF(AH347="","-",IF(V390=0,U390,IFERROR((U390/V390)-1,"-")))</f>
        <v>0</v>
      </c>
      <c r="X390" s="201">
        <f t="shared" si="222"/>
        <v>0</v>
      </c>
      <c r="Y390" s="277"/>
      <c r="Z390" s="278"/>
      <c r="AA390" s="278"/>
      <c r="AB390" s="278"/>
      <c r="AC390" s="278"/>
      <c r="AD390" s="278"/>
      <c r="AE390" s="278"/>
      <c r="AF390" s="279"/>
      <c r="AH390" s="136">
        <v>0.81250000000002598</v>
      </c>
      <c r="AI390" s="136" t="s">
        <v>116</v>
      </c>
      <c r="AJ390" s="136" t="s">
        <v>120</v>
      </c>
      <c r="AK390" s="136" t="s">
        <v>8</v>
      </c>
      <c r="AL390" s="136" t="s">
        <v>224</v>
      </c>
      <c r="AM390" s="136" t="s">
        <v>116</v>
      </c>
      <c r="AN390" s="136" t="s">
        <v>120</v>
      </c>
      <c r="AO390" s="136" t="s">
        <v>8</v>
      </c>
      <c r="AP390" s="136" t="s">
        <v>224</v>
      </c>
      <c r="AQ390" s="136" t="s">
        <v>116</v>
      </c>
      <c r="AR390" s="136" t="s">
        <v>120</v>
      </c>
      <c r="AS390" s="136" t="s">
        <v>116</v>
      </c>
      <c r="AT390" s="136" t="s">
        <v>120</v>
      </c>
      <c r="AU390" s="136" t="s">
        <v>8</v>
      </c>
      <c r="AV390" s="136" t="s">
        <v>231</v>
      </c>
      <c r="AX390" s="136" t="str">
        <f>IF(AI347="","",IF(B390="","",B390))</f>
        <v>PV</v>
      </c>
      <c r="AY390" s="136" t="str">
        <f>IF(AI347="","",IF(C390="","",C390))</f>
        <v>-</v>
      </c>
      <c r="AZ390" s="136" t="str">
        <f>IF(AI347="","",IF(D390="","",D390))</f>
        <v>EA</v>
      </c>
      <c r="BA390" s="136" t="str">
        <f>IF(AI347="","",IF(E390="","",E390))</f>
        <v>FP</v>
      </c>
      <c r="BB390" s="136" t="str">
        <f>IF(AI347="","",IF(F390="","",F390))</f>
        <v>PV</v>
      </c>
      <c r="BC390" s="136" t="str">
        <f>IF(AI347="","",IF(G390="","",G390))</f>
        <v>-</v>
      </c>
      <c r="BD390" s="136" t="str">
        <f>IF(AI347="","",IF(H390="","",H390))</f>
        <v>HD</v>
      </c>
      <c r="BE390" s="136" t="str">
        <f>IF(AI347="","",IF(I390="","",I390))</f>
        <v>-</v>
      </c>
      <c r="BF390" s="136" t="str">
        <f>IF(AI347="","",IF(J390="","",J390))</f>
        <v>PV</v>
      </c>
      <c r="BG390" s="136" t="str">
        <f>IF(AI347="","",IF(K390="","",K390))</f>
        <v>-</v>
      </c>
      <c r="BH390" s="136" t="str">
        <f>IF(AI347="","",IF(L390="","",L390))</f>
        <v>PV</v>
      </c>
      <c r="BI390" s="136" t="str">
        <f>IF(AI347="","",IF(M390="","",M390))</f>
        <v>-</v>
      </c>
      <c r="BJ390" s="136" t="str">
        <f>IF(AI347="","",IF(N390="","",N390))</f>
        <v>EA</v>
      </c>
      <c r="BK390" s="136" t="str">
        <f>IF(AI347="","",IF(O390="","",O390))</f>
        <v>CDI</v>
      </c>
      <c r="BN390" s="136" t="str">
        <f t="shared" si="217"/>
        <v>Momento Avaliativo</v>
      </c>
      <c r="BO390" s="136" t="str">
        <f t="shared" si="217"/>
        <v>MA</v>
      </c>
      <c r="BP390" s="136">
        <f>IF(BO390="","",COUNTIFS(AX351:BK398,BO390)*0.5)</f>
        <v>0</v>
      </c>
      <c r="BQ390" s="136" t="str">
        <f t="shared" si="218"/>
        <v>Momento Avaliativo</v>
      </c>
      <c r="BR390" s="136" t="str">
        <f t="shared" si="218"/>
        <v>MA</v>
      </c>
      <c r="BS390" s="136" t="str">
        <f t="shared" si="219"/>
        <v>Momento Avaliativo</v>
      </c>
      <c r="BT390" s="136">
        <f t="shared" si="225"/>
        <v>1.5</v>
      </c>
      <c r="BU390" s="136">
        <f t="shared" si="226"/>
        <v>1.5</v>
      </c>
      <c r="CA390" s="136">
        <f>'INFO BASE'!L467</f>
        <v>0</v>
      </c>
      <c r="CB390" s="136">
        <f>'INFO BASE'!M467</f>
        <v>0</v>
      </c>
      <c r="CR390" s="177" t="str">
        <f t="shared" si="207"/>
        <v>PV</v>
      </c>
      <c r="CS390" s="177">
        <f t="shared" si="208"/>
        <v>0</v>
      </c>
      <c r="CT390" s="177" t="str">
        <f t="shared" si="207"/>
        <v>EA</v>
      </c>
      <c r="CU390" s="177" t="str">
        <f t="shared" si="209"/>
        <v>EAFP</v>
      </c>
      <c r="CV390" s="177" t="str">
        <f t="shared" si="207"/>
        <v>PV</v>
      </c>
      <c r="CW390" s="177">
        <f t="shared" si="210"/>
        <v>0</v>
      </c>
      <c r="CX390" s="177" t="str">
        <f t="shared" si="207"/>
        <v>HD</v>
      </c>
      <c r="CY390" s="177" t="str">
        <f t="shared" si="211"/>
        <v>HD-</v>
      </c>
      <c r="CZ390" s="177" t="str">
        <f t="shared" si="207"/>
        <v>PV</v>
      </c>
      <c r="DA390" s="177">
        <f t="shared" si="212"/>
        <v>0</v>
      </c>
      <c r="DB390" s="177" t="str">
        <f t="shared" si="207"/>
        <v>PV</v>
      </c>
      <c r="DC390" s="177">
        <f t="shared" si="213"/>
        <v>0</v>
      </c>
      <c r="DD390" s="177" t="str">
        <f t="shared" si="214"/>
        <v>EA</v>
      </c>
      <c r="DE390" s="177" t="str">
        <f t="shared" si="215"/>
        <v>EACDI</v>
      </c>
    </row>
    <row r="391" spans="1:120" ht="18" customHeight="1" x14ac:dyDescent="0.3">
      <c r="A391" s="81">
        <v>0.83333333333336002</v>
      </c>
      <c r="B391" s="166" t="s">
        <v>116</v>
      </c>
      <c r="C391" s="130" t="s">
        <v>120</v>
      </c>
      <c r="D391" s="169" t="s">
        <v>8</v>
      </c>
      <c r="E391" s="130" t="s">
        <v>224</v>
      </c>
      <c r="F391" s="169" t="s">
        <v>116</v>
      </c>
      <c r="G391" s="130" t="s">
        <v>120</v>
      </c>
      <c r="H391" s="169" t="s">
        <v>11</v>
      </c>
      <c r="I391" s="130" t="s">
        <v>120</v>
      </c>
      <c r="J391" s="169" t="s">
        <v>116</v>
      </c>
      <c r="K391" s="130" t="s">
        <v>120</v>
      </c>
      <c r="L391" s="169" t="s">
        <v>116</v>
      </c>
      <c r="M391" s="130" t="s">
        <v>120</v>
      </c>
      <c r="N391" s="169" t="s">
        <v>8</v>
      </c>
      <c r="O391" s="154" t="s">
        <v>231</v>
      </c>
      <c r="P391" s="6">
        <v>0</v>
      </c>
      <c r="Q391" s="99" t="str">
        <f>IF('INFO BASE'!$C$22="","",'INFO BASE'!$C$22)</f>
        <v>Aulas Problemas</v>
      </c>
      <c r="R391" s="87" t="str">
        <f t="shared" si="224"/>
        <v>APB</v>
      </c>
      <c r="S391" s="88">
        <f t="shared" si="221"/>
        <v>-0.25</v>
      </c>
      <c r="T391" s="100">
        <f>IF(VLOOKUP(Q391,'INFO BASE'!$B$40:$I$54,IF(R391='INFO BASE'!$B$32,3,IF(R391='INFO BASE'!$B$33,4,IF(R391='INFO BASE'!$B$34,5,IF(R391='INFO BASE'!$B$35,6,IF(R391='INFO BASE'!$B$36,7,IF(R391='INFO BASE'!$B$37,8,2)))))),0)=0,"",VLOOKUP(Q391,'INFO BASE'!$B$40:$I$54,IF(R391='INFO BASE'!$B$32,3,IF(R391='INFO BASE'!$B$33,4,IF(R391='INFO BASE'!$B$34,5,IF(R391='INFO BASE'!$B$35,6,IF(R391='INFO BASE'!$B$36,7,IF(R391='INFO BASE'!$B$37,8,2)))))),0))</f>
        <v>6</v>
      </c>
      <c r="U391" s="89">
        <f t="shared" si="233"/>
        <v>4.5</v>
      </c>
      <c r="V391" s="100">
        <f>IF(R391="","",COUNTIFS(AI351:AV398,R391)*0.5)</f>
        <v>4.5</v>
      </c>
      <c r="W391" s="90">
        <f>IF(AH347="","-",IF(V391=0,U391,IFERROR((U391/V391)-1,"-")))</f>
        <v>0</v>
      </c>
      <c r="X391" s="201">
        <f t="shared" si="222"/>
        <v>0</v>
      </c>
      <c r="Y391" s="271"/>
      <c r="Z391" s="272"/>
      <c r="AA391" s="272"/>
      <c r="AB391" s="272"/>
      <c r="AC391" s="272"/>
      <c r="AD391" s="272"/>
      <c r="AE391" s="272"/>
      <c r="AF391" s="273"/>
      <c r="AH391" s="136">
        <v>0.83333333333336002</v>
      </c>
      <c r="AI391" s="136" t="s">
        <v>116</v>
      </c>
      <c r="AJ391" s="136" t="s">
        <v>120</v>
      </c>
      <c r="AK391" s="136" t="s">
        <v>8</v>
      </c>
      <c r="AL391" s="136" t="s">
        <v>224</v>
      </c>
      <c r="AM391" s="136" t="s">
        <v>116</v>
      </c>
      <c r="AN391" s="136" t="s">
        <v>120</v>
      </c>
      <c r="AO391" s="136" t="s">
        <v>8</v>
      </c>
      <c r="AP391" s="136" t="s">
        <v>224</v>
      </c>
      <c r="AQ391" s="136" t="s">
        <v>116</v>
      </c>
      <c r="AR391" s="136" t="s">
        <v>120</v>
      </c>
      <c r="AS391" s="136" t="s">
        <v>116</v>
      </c>
      <c r="AT391" s="136" t="s">
        <v>120</v>
      </c>
      <c r="AU391" s="136" t="s">
        <v>8</v>
      </c>
      <c r="AV391" s="136" t="s">
        <v>231</v>
      </c>
      <c r="AX391" s="136" t="str">
        <f>IF(AI347="","",IF(B391="","",B391))</f>
        <v>PV</v>
      </c>
      <c r="AY391" s="136" t="str">
        <f>IF(AI347="","",IF(C391="","",C391))</f>
        <v>-</v>
      </c>
      <c r="AZ391" s="136" t="str">
        <f>IF(AI347="","",IF(D391="","",D391))</f>
        <v>EA</v>
      </c>
      <c r="BA391" s="136" t="str">
        <f>IF(AI347="","",IF(E391="","",E391))</f>
        <v>FP</v>
      </c>
      <c r="BB391" s="136" t="str">
        <f>IF(AI347="","",IF(F391="","",F391))</f>
        <v>PV</v>
      </c>
      <c r="BC391" s="136" t="str">
        <f>IF(AI347="","",IF(G391="","",G391))</f>
        <v>-</v>
      </c>
      <c r="BD391" s="136" t="str">
        <f>IF(AI347="","",IF(H391="","",H391))</f>
        <v>HD</v>
      </c>
      <c r="BE391" s="136" t="str">
        <f>IF(AI347="","",IF(I391="","",I391))</f>
        <v>-</v>
      </c>
      <c r="BF391" s="136" t="str">
        <f>IF(AI347="","",IF(J391="","",J391))</f>
        <v>PV</v>
      </c>
      <c r="BG391" s="136" t="str">
        <f>IF(AI347="","",IF(K391="","",K391))</f>
        <v>-</v>
      </c>
      <c r="BH391" s="136" t="str">
        <f>IF(AI347="","",IF(L391="","",L391))</f>
        <v>PV</v>
      </c>
      <c r="BI391" s="136" t="str">
        <f>IF(AI347="","",IF(M391="","",M391))</f>
        <v>-</v>
      </c>
      <c r="BJ391" s="136" t="str">
        <f>IF(AI347="","",IF(N391="","",N391))</f>
        <v>EA</v>
      </c>
      <c r="BK391" s="136" t="str">
        <f>IF(AI347="","",IF(O391="","",O391))</f>
        <v>CDI</v>
      </c>
      <c r="BN391" s="136" t="str">
        <f t="shared" si="217"/>
        <v>Horário de Dúvidas</v>
      </c>
      <c r="BO391" s="136" t="str">
        <f t="shared" si="217"/>
        <v>HDV</v>
      </c>
      <c r="BP391" s="136">
        <f>IF(BO391="","",COUNTIFS(AX351:BK398,BO391)*0.5)</f>
        <v>0</v>
      </c>
      <c r="BQ391" s="136" t="str">
        <f t="shared" si="218"/>
        <v>Horário de Dúvidas</v>
      </c>
      <c r="BR391" s="136" t="str">
        <f t="shared" si="218"/>
        <v>HDV</v>
      </c>
      <c r="BS391" s="136" t="str">
        <f t="shared" si="219"/>
        <v>Horário de Dúvidas</v>
      </c>
      <c r="BT391" s="136">
        <f t="shared" si="225"/>
        <v>0</v>
      </c>
      <c r="BU391" s="136">
        <f t="shared" si="226"/>
        <v>0</v>
      </c>
      <c r="CA391" s="136">
        <f>'INFO BASE'!L468</f>
        <v>0</v>
      </c>
      <c r="CB391" s="136">
        <f>'INFO BASE'!M468</f>
        <v>0</v>
      </c>
      <c r="CR391" s="177" t="str">
        <f t="shared" si="207"/>
        <v>PV</v>
      </c>
      <c r="CS391" s="177">
        <f t="shared" si="208"/>
        <v>0</v>
      </c>
      <c r="CT391" s="177" t="str">
        <f t="shared" si="207"/>
        <v>EA</v>
      </c>
      <c r="CU391" s="177" t="str">
        <f t="shared" si="209"/>
        <v>EAFP</v>
      </c>
      <c r="CV391" s="177" t="str">
        <f t="shared" si="207"/>
        <v>PV</v>
      </c>
      <c r="CW391" s="177">
        <f t="shared" si="210"/>
        <v>0</v>
      </c>
      <c r="CX391" s="177" t="str">
        <f t="shared" si="207"/>
        <v>HD</v>
      </c>
      <c r="CY391" s="177" t="str">
        <f t="shared" si="211"/>
        <v>HD-</v>
      </c>
      <c r="CZ391" s="177" t="str">
        <f t="shared" si="207"/>
        <v>PV</v>
      </c>
      <c r="DA391" s="177">
        <f t="shared" si="212"/>
        <v>0</v>
      </c>
      <c r="DB391" s="177" t="str">
        <f t="shared" si="207"/>
        <v>PV</v>
      </c>
      <c r="DC391" s="177">
        <f t="shared" si="213"/>
        <v>0</v>
      </c>
      <c r="DD391" s="177" t="str">
        <f t="shared" si="214"/>
        <v>EA</v>
      </c>
      <c r="DE391" s="177" t="str">
        <f t="shared" si="215"/>
        <v>EACDI</v>
      </c>
    </row>
    <row r="392" spans="1:120" ht="18" customHeight="1" thickBot="1" x14ac:dyDescent="0.35">
      <c r="A392" s="81">
        <v>0.85416666666669405</v>
      </c>
      <c r="B392" s="166" t="s">
        <v>116</v>
      </c>
      <c r="C392" s="130" t="s">
        <v>120</v>
      </c>
      <c r="D392" s="169" t="s">
        <v>116</v>
      </c>
      <c r="E392" s="130" t="s">
        <v>120</v>
      </c>
      <c r="F392" s="169" t="s">
        <v>116</v>
      </c>
      <c r="G392" s="130" t="s">
        <v>120</v>
      </c>
      <c r="H392" s="169" t="s">
        <v>116</v>
      </c>
      <c r="I392" s="130" t="s">
        <v>120</v>
      </c>
      <c r="J392" s="169" t="s">
        <v>116</v>
      </c>
      <c r="K392" s="130" t="s">
        <v>120</v>
      </c>
      <c r="L392" s="169" t="s">
        <v>116</v>
      </c>
      <c r="M392" s="130" t="s">
        <v>120</v>
      </c>
      <c r="N392" s="169" t="s">
        <v>12</v>
      </c>
      <c r="O392" s="154" t="s">
        <v>120</v>
      </c>
      <c r="P392" s="6">
        <v>0</v>
      </c>
      <c r="Q392" s="101" t="str">
        <f>IF('INFO BASE'!$C$23="","",'INFO BASE'!$C$23)</f>
        <v>Laboratórios</v>
      </c>
      <c r="R392" s="93" t="str">
        <f t="shared" si="224"/>
        <v>LAB</v>
      </c>
      <c r="S392" s="94">
        <f t="shared" si="221"/>
        <v>0</v>
      </c>
      <c r="T392" s="95">
        <f>IF(VLOOKUP(Q392,'INFO BASE'!$B$40:$I$54,IF(R392='INFO BASE'!$B$32,3,IF(R392='INFO BASE'!$B$33,4,IF(R392='INFO BASE'!$B$34,5,IF(R392='INFO BASE'!$B$35,6,IF(R392='INFO BASE'!$B$36,7,IF(R392='INFO BASE'!$B$37,8,2)))))),0)=0,"",VLOOKUP(Q392,'INFO BASE'!$B$40:$I$54,IF(R392='INFO BASE'!$B$32,3,IF(R392='INFO BASE'!$B$33,4,IF(R392='INFO BASE'!$B$34,5,IF(R392='INFO BASE'!$B$35,6,IF(R392='INFO BASE'!$B$36,7,IF(R392='INFO BASE'!$B$37,8,2)))))),0))</f>
        <v>1.5</v>
      </c>
      <c r="U392" s="95">
        <f t="shared" si="233"/>
        <v>1.5</v>
      </c>
      <c r="V392" s="95">
        <f>IF(R392="","",COUNTIFS(AI351:AV398,R392)*0.5)</f>
        <v>1.5</v>
      </c>
      <c r="W392" s="96">
        <f>IF(AH347="","-",IF(V392=0,U392,IFERROR((U392/V392)-1,"-")))</f>
        <v>0</v>
      </c>
      <c r="X392" s="201">
        <f t="shared" si="222"/>
        <v>0</v>
      </c>
      <c r="Y392" s="271"/>
      <c r="Z392" s="272"/>
      <c r="AA392" s="272"/>
      <c r="AB392" s="272"/>
      <c r="AC392" s="272"/>
      <c r="AD392" s="272"/>
      <c r="AE392" s="272"/>
      <c r="AF392" s="273"/>
      <c r="AH392" s="136">
        <v>0.85416666666669405</v>
      </c>
      <c r="AI392" s="136" t="s">
        <v>116</v>
      </c>
      <c r="AJ392" s="136" t="s">
        <v>120</v>
      </c>
      <c r="AK392" s="136" t="s">
        <v>116</v>
      </c>
      <c r="AL392" s="136" t="s">
        <v>120</v>
      </c>
      <c r="AM392" s="136" t="s">
        <v>116</v>
      </c>
      <c r="AN392" s="136" t="s">
        <v>120</v>
      </c>
      <c r="AO392" s="136" t="s">
        <v>116</v>
      </c>
      <c r="AP392" s="136" t="s">
        <v>120</v>
      </c>
      <c r="AQ392" s="136" t="s">
        <v>116</v>
      </c>
      <c r="AR392" s="136" t="s">
        <v>120</v>
      </c>
      <c r="AS392" s="136" t="s">
        <v>116</v>
      </c>
      <c r="AT392" s="136" t="s">
        <v>120</v>
      </c>
      <c r="AU392" s="136" t="s">
        <v>12</v>
      </c>
      <c r="AV392" s="136" t="s">
        <v>120</v>
      </c>
      <c r="AX392" s="136" t="str">
        <f>IF(AI347="","",IF(B392="","",B392))</f>
        <v>PV</v>
      </c>
      <c r="AY392" s="136" t="str">
        <f>IF(AI347="","",IF(C392="","",C392))</f>
        <v>-</v>
      </c>
      <c r="AZ392" s="136" t="str">
        <f>IF(AI347="","",IF(D392="","",D392))</f>
        <v>PV</v>
      </c>
      <c r="BA392" s="136" t="str">
        <f>IF(AI347="","",IF(E392="","",E392))</f>
        <v>-</v>
      </c>
      <c r="BB392" s="136" t="str">
        <f>IF(AI347="","",IF(F392="","",F392))</f>
        <v>PV</v>
      </c>
      <c r="BC392" s="136" t="str">
        <f>IF(AI347="","",IF(G392="","",G392))</f>
        <v>-</v>
      </c>
      <c r="BD392" s="136" t="str">
        <f>IF(AI347="","",IF(H392="","",H392))</f>
        <v>PV</v>
      </c>
      <c r="BE392" s="136" t="str">
        <f>IF(AI347="","",IF(I392="","",I392))</f>
        <v>-</v>
      </c>
      <c r="BF392" s="136" t="str">
        <f>IF(AI347="","",IF(J392="","",J392))</f>
        <v>PV</v>
      </c>
      <c r="BG392" s="136" t="str">
        <f>IF(AI347="","",IF(K392="","",K392))</f>
        <v>-</v>
      </c>
      <c r="BH392" s="136" t="str">
        <f>IF(AI347="","",IF(L392="","",L392))</f>
        <v>PV</v>
      </c>
      <c r="BI392" s="136" t="str">
        <f>IF(AI347="","",IF(M392="","",M392))</f>
        <v>-</v>
      </c>
      <c r="BJ392" s="136" t="str">
        <f>IF(AI347="","",IF(N392="","",N392))</f>
        <v>HR</v>
      </c>
      <c r="BK392" s="136" t="str">
        <f>IF(AI347="","",IF(O392="","",O392))</f>
        <v>-</v>
      </c>
      <c r="BN392" s="136" t="str">
        <f t="shared" si="217"/>
        <v>Privado</v>
      </c>
      <c r="BO392" s="136" t="str">
        <f t="shared" si="217"/>
        <v>PV</v>
      </c>
      <c r="BP392" s="136">
        <f>IF(BO392="","",COUNTIFS(AX351:BK398,BO392)*0.5)</f>
        <v>45.5</v>
      </c>
      <c r="BQ392" s="136" t="str">
        <f t="shared" si="218"/>
        <v>Privado</v>
      </c>
      <c r="BR392" s="136" t="str">
        <f t="shared" si="218"/>
        <v>PV</v>
      </c>
      <c r="BS392" s="136" t="str">
        <f t="shared" si="219"/>
        <v>Privado</v>
      </c>
      <c r="BT392" s="136">
        <f t="shared" si="225"/>
        <v>384</v>
      </c>
      <c r="BU392" s="136">
        <f t="shared" si="226"/>
        <v>369</v>
      </c>
      <c r="CA392" s="136">
        <f>'INFO BASE'!L469</f>
        <v>0</v>
      </c>
      <c r="CB392" s="136">
        <f>'INFO BASE'!M469</f>
        <v>0</v>
      </c>
      <c r="CR392" s="177" t="str">
        <f t="shared" si="207"/>
        <v>PV</v>
      </c>
      <c r="CS392" s="177">
        <f t="shared" si="208"/>
        <v>0</v>
      </c>
      <c r="CT392" s="177" t="str">
        <f t="shared" si="207"/>
        <v>PV</v>
      </c>
      <c r="CU392" s="177">
        <f t="shared" si="209"/>
        <v>0</v>
      </c>
      <c r="CV392" s="177" t="str">
        <f t="shared" si="207"/>
        <v>PV</v>
      </c>
      <c r="CW392" s="177">
        <f t="shared" si="210"/>
        <v>0</v>
      </c>
      <c r="CX392" s="177" t="str">
        <f t="shared" si="207"/>
        <v>PV</v>
      </c>
      <c r="CY392" s="177">
        <f t="shared" si="211"/>
        <v>0</v>
      </c>
      <c r="CZ392" s="177" t="str">
        <f t="shared" si="207"/>
        <v>PV</v>
      </c>
      <c r="DA392" s="177">
        <f t="shared" si="212"/>
        <v>0</v>
      </c>
      <c r="DB392" s="177" t="str">
        <f t="shared" si="207"/>
        <v>PV</v>
      </c>
      <c r="DC392" s="177">
        <f t="shared" si="213"/>
        <v>0</v>
      </c>
      <c r="DD392" s="177" t="str">
        <f t="shared" si="214"/>
        <v>HR</v>
      </c>
      <c r="DE392" s="177" t="str">
        <f t="shared" si="215"/>
        <v>HR-</v>
      </c>
    </row>
    <row r="393" spans="1:120" ht="18" customHeight="1" x14ac:dyDescent="0.3">
      <c r="A393" s="81">
        <v>0.87500000000002798</v>
      </c>
      <c r="B393" s="166" t="s">
        <v>12</v>
      </c>
      <c r="C393" s="130" t="s">
        <v>120</v>
      </c>
      <c r="D393" s="169" t="s">
        <v>12</v>
      </c>
      <c r="E393" s="130" t="s">
        <v>120</v>
      </c>
      <c r="F393" s="169" t="s">
        <v>12</v>
      </c>
      <c r="G393" s="130" t="s">
        <v>120</v>
      </c>
      <c r="H393" s="169" t="s">
        <v>12</v>
      </c>
      <c r="I393" s="130" t="s">
        <v>120</v>
      </c>
      <c r="J393" s="169" t="s">
        <v>12</v>
      </c>
      <c r="K393" s="130" t="s">
        <v>120</v>
      </c>
      <c r="L393" s="169" t="s">
        <v>116</v>
      </c>
      <c r="M393" s="130" t="s">
        <v>120</v>
      </c>
      <c r="N393" s="169" t="s">
        <v>12</v>
      </c>
      <c r="O393" s="154" t="s">
        <v>120</v>
      </c>
      <c r="P393" s="6">
        <v>0</v>
      </c>
      <c r="Q393" s="102" t="str">
        <f>IF('INFO BASE'!$C$24="","",'INFO BASE'!$C$24)</f>
        <v>Momento Avaliativo</v>
      </c>
      <c r="R393" s="82" t="str">
        <f t="shared" si="224"/>
        <v>MA</v>
      </c>
      <c r="S393" s="83" t="str">
        <f t="shared" si="221"/>
        <v>-</v>
      </c>
      <c r="T393" s="84" t="str">
        <f>IF(VLOOKUP(Q393,'INFO BASE'!$B$40:$I$54,IF(R393='INFO BASE'!$B$32,3,IF(R393='INFO BASE'!$B$33,4,IF(R393='INFO BASE'!$B$34,5,IF(R393='INFO BASE'!$B$35,6,IF(R393='INFO BASE'!$B$36,7,IF(R393='INFO BASE'!$B$37,8,2)))))),0)=0,"",VLOOKUP(Q393,'INFO BASE'!$B$40:$I$54,IF(R393='INFO BASE'!$B$32,3,IF(R393='INFO BASE'!$B$33,4,IF(R393='INFO BASE'!$B$34,5,IF(R393='INFO BASE'!$B$35,6,IF(R393='INFO BASE'!$B$36,7,IF(R393='INFO BASE'!$B$37,8,2)))))),0))</f>
        <v/>
      </c>
      <c r="U393" s="84">
        <f t="shared" si="233"/>
        <v>0</v>
      </c>
      <c r="V393" s="84">
        <f>IF(R393="","",COUNTIFS(AI351:AV398,R393)*0.5)</f>
        <v>0</v>
      </c>
      <c r="W393" s="85">
        <f>IF(AH347="","-",IF(V393=0,U393,IFERROR((U393/V393)-1,"-")))</f>
        <v>0</v>
      </c>
      <c r="X393" s="201">
        <f t="shared" si="222"/>
        <v>0</v>
      </c>
      <c r="Y393" s="277"/>
      <c r="Z393" s="278"/>
      <c r="AA393" s="278"/>
      <c r="AB393" s="278"/>
      <c r="AC393" s="278"/>
      <c r="AD393" s="278"/>
      <c r="AE393" s="278"/>
      <c r="AF393" s="279"/>
      <c r="AH393" s="136">
        <v>0.87500000000002798</v>
      </c>
      <c r="AI393" s="136" t="s">
        <v>12</v>
      </c>
      <c r="AJ393" s="136" t="s">
        <v>120</v>
      </c>
      <c r="AK393" s="136" t="s">
        <v>12</v>
      </c>
      <c r="AL393" s="136" t="s">
        <v>120</v>
      </c>
      <c r="AM393" s="136" t="s">
        <v>12</v>
      </c>
      <c r="AN393" s="136" t="s">
        <v>120</v>
      </c>
      <c r="AO393" s="136" t="s">
        <v>12</v>
      </c>
      <c r="AP393" s="136" t="s">
        <v>120</v>
      </c>
      <c r="AQ393" s="136" t="s">
        <v>12</v>
      </c>
      <c r="AR393" s="136" t="s">
        <v>120</v>
      </c>
      <c r="AS393" s="136" t="s">
        <v>116</v>
      </c>
      <c r="AT393" s="136" t="s">
        <v>120</v>
      </c>
      <c r="AU393" s="136" t="s">
        <v>12</v>
      </c>
      <c r="AV393" s="136" t="s">
        <v>120</v>
      </c>
      <c r="AX393" s="136" t="str">
        <f>IF(AI347="","",IF(B393="","",B393))</f>
        <v>HR</v>
      </c>
      <c r="AY393" s="136" t="str">
        <f>IF(AI347="","",IF(C393="","",C393))</f>
        <v>-</v>
      </c>
      <c r="AZ393" s="136" t="str">
        <f>IF(AI347="","",IF(D393="","",D393))</f>
        <v>HR</v>
      </c>
      <c r="BA393" s="136" t="str">
        <f>IF(AI347="","",IF(E393="","",E393))</f>
        <v>-</v>
      </c>
      <c r="BB393" s="136" t="str">
        <f>IF(AI347="","",IF(F393="","",F393))</f>
        <v>HR</v>
      </c>
      <c r="BC393" s="136" t="str">
        <f>IF(AI347="","",IF(G393="","",G393))</f>
        <v>-</v>
      </c>
      <c r="BD393" s="136" t="str">
        <f>IF(AI347="","",IF(H393="","",H393))</f>
        <v>HR</v>
      </c>
      <c r="BE393" s="136" t="str">
        <f>IF(AI347="","",IF(I393="","",I393))</f>
        <v>-</v>
      </c>
      <c r="BF393" s="136" t="str">
        <f>IF(AI347="","",IF(J393="","",J393))</f>
        <v>HR</v>
      </c>
      <c r="BG393" s="136" t="str">
        <f>IF(AI347="","",IF(K393="","",K393))</f>
        <v>-</v>
      </c>
      <c r="BH393" s="136" t="str">
        <f>IF(AI347="","",IF(L393="","",L393))</f>
        <v>PV</v>
      </c>
      <c r="BI393" s="136" t="str">
        <f>IF(AI347="","",IF(M393="","",M393))</f>
        <v>-</v>
      </c>
      <c r="BJ393" s="136" t="str">
        <f>IF(AI347="","",IF(N393="","",N393))</f>
        <v>HR</v>
      </c>
      <c r="BK393" s="136" t="str">
        <f>IF(AI347="","",IF(O393="","",O393))</f>
        <v>-</v>
      </c>
      <c r="BN393" s="136" t="str">
        <f t="shared" si="217"/>
        <v>Deslocação</v>
      </c>
      <c r="BO393" s="136" t="str">
        <f t="shared" si="217"/>
        <v>HD</v>
      </c>
      <c r="BP393" s="136">
        <f>IF(BO393="","",COUNTIFS(AX351:BK398,BO393)*0.5)</f>
        <v>14</v>
      </c>
      <c r="BQ393" s="136" t="str">
        <f t="shared" si="218"/>
        <v>Deslocação</v>
      </c>
      <c r="BR393" s="136" t="str">
        <f t="shared" si="218"/>
        <v>HD</v>
      </c>
      <c r="BS393" s="136" t="str">
        <f t="shared" si="219"/>
        <v>Deslocação</v>
      </c>
      <c r="BT393" s="136">
        <f t="shared" si="225"/>
        <v>116.5</v>
      </c>
      <c r="BU393" s="136">
        <f t="shared" si="226"/>
        <v>115</v>
      </c>
      <c r="CA393" s="136">
        <f>'INFO BASE'!L470</f>
        <v>0</v>
      </c>
      <c r="CB393" s="136">
        <f>'INFO BASE'!M470</f>
        <v>0</v>
      </c>
      <c r="CR393" s="177" t="str">
        <f t="shared" si="207"/>
        <v>HR</v>
      </c>
      <c r="CS393" s="177" t="str">
        <f t="shared" si="208"/>
        <v>HR-</v>
      </c>
      <c r="CT393" s="177" t="str">
        <f t="shared" si="207"/>
        <v>HR</v>
      </c>
      <c r="CU393" s="177" t="str">
        <f t="shared" si="209"/>
        <v>HR-</v>
      </c>
      <c r="CV393" s="177" t="str">
        <f t="shared" si="207"/>
        <v>HR</v>
      </c>
      <c r="CW393" s="177" t="str">
        <f t="shared" si="210"/>
        <v>HR-</v>
      </c>
      <c r="CX393" s="177" t="str">
        <f t="shared" si="207"/>
        <v>HR</v>
      </c>
      <c r="CY393" s="177" t="str">
        <f t="shared" si="211"/>
        <v>HR-</v>
      </c>
      <c r="CZ393" s="177" t="str">
        <f t="shared" si="207"/>
        <v>HR</v>
      </c>
      <c r="DA393" s="177" t="str">
        <f t="shared" si="212"/>
        <v>HR-</v>
      </c>
      <c r="DB393" s="177" t="str">
        <f t="shared" si="207"/>
        <v>PV</v>
      </c>
      <c r="DC393" s="177">
        <f t="shared" si="213"/>
        <v>0</v>
      </c>
      <c r="DD393" s="177" t="str">
        <f t="shared" si="214"/>
        <v>HR</v>
      </c>
      <c r="DE393" s="177" t="str">
        <f t="shared" si="215"/>
        <v>HR-</v>
      </c>
    </row>
    <row r="394" spans="1:120" ht="18" customHeight="1" x14ac:dyDescent="0.3">
      <c r="A394" s="81">
        <v>0.89583333333336201</v>
      </c>
      <c r="B394" s="166" t="s">
        <v>12</v>
      </c>
      <c r="C394" s="130" t="s">
        <v>120</v>
      </c>
      <c r="D394" s="169" t="s">
        <v>12</v>
      </c>
      <c r="E394" s="130" t="s">
        <v>120</v>
      </c>
      <c r="F394" s="169" t="s">
        <v>12</v>
      </c>
      <c r="G394" s="130" t="s">
        <v>120</v>
      </c>
      <c r="H394" s="169" t="s">
        <v>12</v>
      </c>
      <c r="I394" s="130" t="s">
        <v>120</v>
      </c>
      <c r="J394" s="169" t="s">
        <v>12</v>
      </c>
      <c r="K394" s="130" t="s">
        <v>120</v>
      </c>
      <c r="L394" s="169" t="s">
        <v>116</v>
      </c>
      <c r="M394" s="130" t="s">
        <v>120</v>
      </c>
      <c r="N394" s="169" t="s">
        <v>8</v>
      </c>
      <c r="O394" s="154" t="s">
        <v>226</v>
      </c>
      <c r="P394" s="6">
        <v>0</v>
      </c>
      <c r="Q394" s="103" t="str">
        <f>IF('INFO BASE'!$C$25="","",'INFO BASE'!$C$25)</f>
        <v>Horário de Dúvidas</v>
      </c>
      <c r="R394" s="87" t="str">
        <f t="shared" si="224"/>
        <v>HDV</v>
      </c>
      <c r="S394" s="88">
        <f t="shared" si="221"/>
        <v>-1</v>
      </c>
      <c r="T394" s="89">
        <f>IF(VLOOKUP(Q394,'INFO BASE'!$B$40:$I$54,IF(R394='INFO BASE'!$B$32,3,IF(R394='INFO BASE'!$B$33,4,IF(R394='INFO BASE'!$B$34,5,IF(R394='INFO BASE'!$B$35,6,IF(R394='INFO BASE'!$B$36,7,IF(R394='INFO BASE'!$B$37,8,2)))))),0)=0,"",VLOOKUP(Q394,'INFO BASE'!$B$40:$I$54,IF(R394='INFO BASE'!$B$32,3,IF(R394='INFO BASE'!$B$33,4,IF(R394='INFO BASE'!$B$34,5,IF(R394='INFO BASE'!$B$35,6,IF(R394='INFO BASE'!$B$36,7,IF(R394='INFO BASE'!$B$37,8,2)))))),0))</f>
        <v>3</v>
      </c>
      <c r="U394" s="89">
        <f t="shared" si="233"/>
        <v>0</v>
      </c>
      <c r="V394" s="89">
        <f>IF(R394="","",COUNTIFS(AI351:AV398,R394)*0.5)</f>
        <v>0</v>
      </c>
      <c r="W394" s="90">
        <f>IF(AH347="","-",IF(V394=0,U394,IFERROR((U394/V394)-1,"-")))</f>
        <v>0</v>
      </c>
      <c r="X394" s="201">
        <f t="shared" si="222"/>
        <v>0</v>
      </c>
      <c r="Y394" s="271"/>
      <c r="Z394" s="272"/>
      <c r="AA394" s="272"/>
      <c r="AB394" s="272"/>
      <c r="AC394" s="272"/>
      <c r="AD394" s="272"/>
      <c r="AE394" s="272"/>
      <c r="AF394" s="273"/>
      <c r="AH394" s="136">
        <v>0.89583333333336201</v>
      </c>
      <c r="AI394" s="136" t="s">
        <v>12</v>
      </c>
      <c r="AJ394" s="136" t="s">
        <v>120</v>
      </c>
      <c r="AK394" s="136" t="s">
        <v>12</v>
      </c>
      <c r="AL394" s="136" t="s">
        <v>120</v>
      </c>
      <c r="AM394" s="136" t="s">
        <v>12</v>
      </c>
      <c r="AN394" s="136" t="s">
        <v>120</v>
      </c>
      <c r="AO394" s="136" t="s">
        <v>12</v>
      </c>
      <c r="AP394" s="136" t="s">
        <v>120</v>
      </c>
      <c r="AQ394" s="136" t="s">
        <v>12</v>
      </c>
      <c r="AR394" s="136" t="s">
        <v>120</v>
      </c>
      <c r="AS394" s="136" t="s">
        <v>116</v>
      </c>
      <c r="AT394" s="136" t="s">
        <v>120</v>
      </c>
      <c r="AU394" s="136" t="s">
        <v>116</v>
      </c>
      <c r="AV394" s="136" t="s">
        <v>120</v>
      </c>
      <c r="AX394" s="136" t="str">
        <f>IF(AI347="","",IF(B394="","",B394))</f>
        <v>HR</v>
      </c>
      <c r="AY394" s="136" t="str">
        <f>IF(AI347="","",IF(C394="","",C394))</f>
        <v>-</v>
      </c>
      <c r="AZ394" s="136" t="str">
        <f>IF(AI347="","",IF(D394="","",D394))</f>
        <v>HR</v>
      </c>
      <c r="BA394" s="136" t="str">
        <f>IF(AI347="","",IF(E394="","",E394))</f>
        <v>-</v>
      </c>
      <c r="BB394" s="136" t="str">
        <f>IF(AI347="","",IF(F394="","",F394))</f>
        <v>HR</v>
      </c>
      <c r="BC394" s="136" t="str">
        <f>IF(AI347="","",IF(G394="","",G394))</f>
        <v>-</v>
      </c>
      <c r="BD394" s="136" t="str">
        <f>IF(AI347="","",IF(H394="","",H394))</f>
        <v>HR</v>
      </c>
      <c r="BE394" s="136" t="str">
        <f>IF(AI347="","",IF(I394="","",I394))</f>
        <v>-</v>
      </c>
      <c r="BF394" s="136" t="str">
        <f>IF(AI347="","",IF(J394="","",J394))</f>
        <v>HR</v>
      </c>
      <c r="BG394" s="136" t="str">
        <f>IF(AI347="","",IF(K394="","",K394))</f>
        <v>-</v>
      </c>
      <c r="BH394" s="136" t="str">
        <f>IF(AI347="","",IF(L394="","",L394))</f>
        <v>PV</v>
      </c>
      <c r="BI394" s="136" t="str">
        <f>IF(AI347="","",IF(M394="","",M394))</f>
        <v>-</v>
      </c>
      <c r="BJ394" s="136" t="str">
        <f>IF(AI347="","",IF(N394="","",N394))</f>
        <v>EA</v>
      </c>
      <c r="BK394" s="136" t="str">
        <f>IF(AI347="","",IF(O394="","",O394))</f>
        <v>IEI</v>
      </c>
      <c r="BN394" s="136" t="str">
        <f t="shared" si="217"/>
        <v>Refeição</v>
      </c>
      <c r="BO394" s="136" t="str">
        <f t="shared" si="217"/>
        <v>HR</v>
      </c>
      <c r="BP394" s="136">
        <f>IF(BO394="","",COUNTIFS(AX351:BK398,BO394)*0.5)</f>
        <v>14</v>
      </c>
      <c r="BQ394" s="136" t="str">
        <f t="shared" si="218"/>
        <v>Refeição</v>
      </c>
      <c r="BR394" s="136" t="str">
        <f t="shared" si="218"/>
        <v>HR</v>
      </c>
      <c r="BS394" s="136" t="str">
        <f t="shared" si="219"/>
        <v>Refeição</v>
      </c>
      <c r="BT394" s="136">
        <f t="shared" si="225"/>
        <v>126</v>
      </c>
      <c r="BU394" s="136">
        <f t="shared" si="226"/>
        <v>124</v>
      </c>
      <c r="CA394" s="136">
        <f>'INFO BASE'!L471</f>
        <v>0</v>
      </c>
      <c r="CB394" s="136">
        <f>'INFO BASE'!M471</f>
        <v>0</v>
      </c>
      <c r="CR394" s="177" t="str">
        <f t="shared" si="207"/>
        <v>HR</v>
      </c>
      <c r="CS394" s="177" t="str">
        <f t="shared" si="208"/>
        <v>HR-</v>
      </c>
      <c r="CT394" s="177" t="str">
        <f t="shared" si="207"/>
        <v>HR</v>
      </c>
      <c r="CU394" s="177" t="str">
        <f t="shared" si="209"/>
        <v>HR-</v>
      </c>
      <c r="CV394" s="177" t="str">
        <f t="shared" si="207"/>
        <v>HR</v>
      </c>
      <c r="CW394" s="177" t="str">
        <f t="shared" si="210"/>
        <v>HR-</v>
      </c>
      <c r="CX394" s="177" t="str">
        <f t="shared" ref="CR394:CZ398" si="234">IF(H394="",1,H394)</f>
        <v>HR</v>
      </c>
      <c r="CY394" s="177" t="str">
        <f t="shared" si="211"/>
        <v>HR-</v>
      </c>
      <c r="CZ394" s="177" t="str">
        <f t="shared" si="234"/>
        <v>HR</v>
      </c>
      <c r="DA394" s="177" t="str">
        <f t="shared" si="212"/>
        <v>HR-</v>
      </c>
      <c r="DB394" s="177" t="str">
        <f t="shared" ref="DB394:DB398" si="235">IF(L394="",1,L394)</f>
        <v>PV</v>
      </c>
      <c r="DC394" s="177">
        <f t="shared" si="213"/>
        <v>0</v>
      </c>
      <c r="DD394" s="177" t="str">
        <f t="shared" si="214"/>
        <v>EA</v>
      </c>
      <c r="DE394" s="177" t="str">
        <f t="shared" si="215"/>
        <v>EAIEI</v>
      </c>
    </row>
    <row r="395" spans="1:120" ht="18" customHeight="1" x14ac:dyDescent="0.3">
      <c r="A395" s="81">
        <v>0.91666666666669605</v>
      </c>
      <c r="B395" s="166" t="s">
        <v>116</v>
      </c>
      <c r="C395" s="130" t="s">
        <v>120</v>
      </c>
      <c r="D395" s="169" t="s">
        <v>116</v>
      </c>
      <c r="E395" s="130" t="s">
        <v>120</v>
      </c>
      <c r="F395" s="169" t="s">
        <v>116</v>
      </c>
      <c r="G395" s="130" t="s">
        <v>120</v>
      </c>
      <c r="H395" s="169" t="s">
        <v>116</v>
      </c>
      <c r="I395" s="130" t="s">
        <v>120</v>
      </c>
      <c r="J395" s="169" t="s">
        <v>8</v>
      </c>
      <c r="K395" s="130" t="s">
        <v>230</v>
      </c>
      <c r="L395" s="169" t="s">
        <v>116</v>
      </c>
      <c r="M395" s="130" t="s">
        <v>120</v>
      </c>
      <c r="N395" s="169" t="s">
        <v>8</v>
      </c>
      <c r="O395" s="154" t="s">
        <v>226</v>
      </c>
      <c r="P395" s="6">
        <v>0.2</v>
      </c>
      <c r="Q395" s="104" t="str">
        <f>IF('INFO BASE'!$C$26="","",'INFO BASE'!$C$26)</f>
        <v>Privado</v>
      </c>
      <c r="R395" s="87" t="str">
        <f t="shared" si="224"/>
        <v>PV</v>
      </c>
      <c r="S395" s="88">
        <f t="shared" si="221"/>
        <v>0.71698113207547176</v>
      </c>
      <c r="T395" s="89">
        <f>IF(VLOOKUP(Q395,'INFO BASE'!$B$40:$I$54,IF(R395='INFO BASE'!$B$32,3,IF(R395='INFO BASE'!$B$33,4,IF(R395='INFO BASE'!$B$34,5,IF(R395='INFO BASE'!$B$35,6,IF(R395='INFO BASE'!$B$36,7,IF(R395='INFO BASE'!$B$37,8,2)))))),0)=0,"",VLOOKUP(Q395,'INFO BASE'!$B$40:$I$54,IF(R395='INFO BASE'!$B$32,3,IF(R395='INFO BASE'!$B$33,4,IF(R395='INFO BASE'!$B$34,5,IF(R395='INFO BASE'!$B$35,6,IF(R395='INFO BASE'!$B$36,7,IF(R395='INFO BASE'!$B$37,8,2)))))),0))</f>
        <v>26.5</v>
      </c>
      <c r="U395" s="89">
        <f t="shared" si="233"/>
        <v>45.5</v>
      </c>
      <c r="V395" s="89">
        <f>IF(R395="","",COUNTIFS(AI351:AV398,R395)*0.5)</f>
        <v>53.5</v>
      </c>
      <c r="W395" s="90">
        <f>IF(AH347="","-",IF(V395=0,U395,IFERROR((U395/V395)-1,"-")))</f>
        <v>-0.14953271028037385</v>
      </c>
      <c r="X395" s="202">
        <f t="shared" si="222"/>
        <v>0</v>
      </c>
      <c r="Y395" s="271"/>
      <c r="Z395" s="272"/>
      <c r="AA395" s="272"/>
      <c r="AB395" s="272"/>
      <c r="AC395" s="272"/>
      <c r="AD395" s="272"/>
      <c r="AE395" s="272"/>
      <c r="AF395" s="273"/>
      <c r="AH395" s="136">
        <v>0.91666666666669605</v>
      </c>
      <c r="AI395" s="136" t="s">
        <v>116</v>
      </c>
      <c r="AJ395" s="136" t="s">
        <v>120</v>
      </c>
      <c r="AK395" s="136" t="s">
        <v>116</v>
      </c>
      <c r="AL395" s="136" t="s">
        <v>120</v>
      </c>
      <c r="AM395" s="136" t="s">
        <v>116</v>
      </c>
      <c r="AN395" s="136" t="s">
        <v>120</v>
      </c>
      <c r="AO395" s="136" t="s">
        <v>116</v>
      </c>
      <c r="AP395" s="136" t="s">
        <v>120</v>
      </c>
      <c r="AQ395" s="136" t="s">
        <v>116</v>
      </c>
      <c r="AR395" s="136" t="s">
        <v>120</v>
      </c>
      <c r="AS395" s="136" t="s">
        <v>116</v>
      </c>
      <c r="AT395" s="136" t="s">
        <v>120</v>
      </c>
      <c r="AU395" s="136" t="s">
        <v>116</v>
      </c>
      <c r="AV395" s="136" t="s">
        <v>120</v>
      </c>
      <c r="AX395" s="136" t="str">
        <f>IF(AI347="","",IF(B395="","",B395))</f>
        <v>PV</v>
      </c>
      <c r="AY395" s="136" t="str">
        <f>IF(AI347="","",IF(C395="","",C395))</f>
        <v>-</v>
      </c>
      <c r="AZ395" s="136" t="str">
        <f>IF(AI347="","",IF(D395="","",D395))</f>
        <v>PV</v>
      </c>
      <c r="BA395" s="136" t="str">
        <f>IF(AI347="","",IF(E395="","",E395))</f>
        <v>-</v>
      </c>
      <c r="BB395" s="136" t="str">
        <f>IF(AI347="","",IF(F395="","",F395))</f>
        <v>PV</v>
      </c>
      <c r="BC395" s="136" t="str">
        <f>IF(AI347="","",IF(G395="","",G395))</f>
        <v>-</v>
      </c>
      <c r="BD395" s="136" t="str">
        <f>IF(AI347="","",IF(H395="","",H395))</f>
        <v>PV</v>
      </c>
      <c r="BE395" s="136" t="str">
        <f>IF(AI347="","",IF(I395="","",I395))</f>
        <v>-</v>
      </c>
      <c r="BF395" s="136" t="str">
        <f>IF(AI347="","",IF(J395="","",J395))</f>
        <v>EA</v>
      </c>
      <c r="BG395" s="136" t="str">
        <f>IF(AI347="","",IF(K395="","",K395))</f>
        <v>AL</v>
      </c>
      <c r="BH395" s="136" t="str">
        <f>IF(AI347="","",IF(L395="","",L395))</f>
        <v>PV</v>
      </c>
      <c r="BI395" s="136" t="str">
        <f>IF(AI347="","",IF(M395="","",M395))</f>
        <v>-</v>
      </c>
      <c r="BJ395" s="136" t="str">
        <f>IF(AI347="","",IF(N395="","",N395))</f>
        <v>EA</v>
      </c>
      <c r="BK395" s="136" t="str">
        <f>IF(AI347="","",IF(O395="","",O395))</f>
        <v>IEI</v>
      </c>
      <c r="BN395" s="136" t="str">
        <f t="shared" si="217"/>
        <v>Sono</v>
      </c>
      <c r="BO395" s="136" t="str">
        <f t="shared" si="217"/>
        <v>HS</v>
      </c>
      <c r="BP395" s="136">
        <f>IF(BO395="","",COUNTIFS(AX351:BK398,BO395)*0.5)</f>
        <v>53.5</v>
      </c>
      <c r="BQ395" s="136" t="str">
        <f t="shared" si="218"/>
        <v>Sono</v>
      </c>
      <c r="BR395" s="136" t="str">
        <f t="shared" si="218"/>
        <v>HS</v>
      </c>
      <c r="BS395" s="136" t="str">
        <f t="shared" si="219"/>
        <v>Sono</v>
      </c>
      <c r="BT395" s="136">
        <f t="shared" si="225"/>
        <v>417</v>
      </c>
      <c r="BU395" s="136">
        <f t="shared" si="226"/>
        <v>417.5</v>
      </c>
      <c r="CA395" s="136">
        <f>'INFO BASE'!L472</f>
        <v>0</v>
      </c>
      <c r="CB395" s="136">
        <f>'INFO BASE'!M472</f>
        <v>0</v>
      </c>
      <c r="CR395" s="177" t="str">
        <f t="shared" si="234"/>
        <v>PV</v>
      </c>
      <c r="CS395" s="177">
        <f t="shared" si="208"/>
        <v>0</v>
      </c>
      <c r="CT395" s="177" t="str">
        <f t="shared" si="234"/>
        <v>PV</v>
      </c>
      <c r="CU395" s="177">
        <f t="shared" si="209"/>
        <v>0</v>
      </c>
      <c r="CV395" s="177" t="str">
        <f t="shared" si="234"/>
        <v>PV</v>
      </c>
      <c r="CW395" s="177">
        <f t="shared" si="210"/>
        <v>0</v>
      </c>
      <c r="CX395" s="177" t="str">
        <f t="shared" si="234"/>
        <v>PV</v>
      </c>
      <c r="CY395" s="177">
        <f t="shared" si="211"/>
        <v>0</v>
      </c>
      <c r="CZ395" s="177" t="str">
        <f t="shared" si="234"/>
        <v>EA</v>
      </c>
      <c r="DA395" s="177" t="str">
        <f t="shared" si="212"/>
        <v>EAAL</v>
      </c>
      <c r="DB395" s="177" t="str">
        <f t="shared" si="235"/>
        <v>PV</v>
      </c>
      <c r="DC395" s="177">
        <f t="shared" si="213"/>
        <v>0</v>
      </c>
      <c r="DD395" s="177" t="str">
        <f t="shared" si="214"/>
        <v>EA</v>
      </c>
      <c r="DE395" s="177" t="str">
        <f t="shared" si="215"/>
        <v>EAIEI</v>
      </c>
    </row>
    <row r="396" spans="1:120" ht="18" customHeight="1" x14ac:dyDescent="0.3">
      <c r="A396" s="81">
        <v>0.93750000000002998</v>
      </c>
      <c r="B396" s="166" t="s">
        <v>116</v>
      </c>
      <c r="C396" s="130" t="s">
        <v>120</v>
      </c>
      <c r="D396" s="169" t="s">
        <v>116</v>
      </c>
      <c r="E396" s="130" t="s">
        <v>120</v>
      </c>
      <c r="F396" s="169" t="s">
        <v>116</v>
      </c>
      <c r="G396" s="130" t="s">
        <v>120</v>
      </c>
      <c r="H396" s="169" t="s">
        <v>116</v>
      </c>
      <c r="I396" s="130" t="s">
        <v>120</v>
      </c>
      <c r="J396" s="169" t="s">
        <v>8</v>
      </c>
      <c r="K396" s="130" t="s">
        <v>230</v>
      </c>
      <c r="L396" s="169" t="s">
        <v>116</v>
      </c>
      <c r="M396" s="130" t="s">
        <v>120</v>
      </c>
      <c r="N396" s="169" t="s">
        <v>8</v>
      </c>
      <c r="O396" s="154" t="s">
        <v>226</v>
      </c>
      <c r="P396" s="6">
        <v>0.2</v>
      </c>
      <c r="Q396" s="86" t="str">
        <f>IF('INFO BASE'!$C$27="","",'INFO BASE'!$C$27)</f>
        <v>Deslocação</v>
      </c>
      <c r="R396" s="87" t="str">
        <f t="shared" si="224"/>
        <v>HD</v>
      </c>
      <c r="S396" s="88">
        <f t="shared" si="221"/>
        <v>0.39999999999999991</v>
      </c>
      <c r="T396" s="89">
        <f>IF(VLOOKUP(Q396,'INFO BASE'!$B$40:$I$54,IF(R396='INFO BASE'!$B$32,3,IF(R396='INFO BASE'!$B$33,4,IF(R396='INFO BASE'!$B$34,5,IF(R396='INFO BASE'!$B$35,6,IF(R396='INFO BASE'!$B$36,7,IF(R396='INFO BASE'!$B$37,8,2)))))),0)=0,"",VLOOKUP(Q396,'INFO BASE'!$B$40:$I$54,IF(R396='INFO BASE'!$B$32,3,IF(R396='INFO BASE'!$B$33,4,IF(R396='INFO BASE'!$B$34,5,IF(R396='INFO BASE'!$B$35,6,IF(R396='INFO BASE'!$B$36,7,IF(R396='INFO BASE'!$B$37,8,2)))))),0))</f>
        <v>10</v>
      </c>
      <c r="U396" s="89">
        <f t="shared" si="233"/>
        <v>14</v>
      </c>
      <c r="V396" s="89">
        <f>IF(R396="","",COUNTIFS(AI351:AV398,R396)*0.5)</f>
        <v>14.5</v>
      </c>
      <c r="W396" s="90">
        <f>IF(AH347="","-",IF(V396=0,U396,IFERROR((U396/V396)-1,"-")))</f>
        <v>-3.4482758620689613E-2</v>
      </c>
      <c r="X396" s="203">
        <f t="shared" si="222"/>
        <v>0</v>
      </c>
      <c r="Y396" s="271"/>
      <c r="Z396" s="272"/>
      <c r="AA396" s="272"/>
      <c r="AB396" s="272"/>
      <c r="AC396" s="272"/>
      <c r="AD396" s="272"/>
      <c r="AE396" s="272"/>
      <c r="AF396" s="273"/>
      <c r="AH396" s="136">
        <v>0.93750000000002998</v>
      </c>
      <c r="AI396" s="136" t="s">
        <v>116</v>
      </c>
      <c r="AJ396" s="136" t="s">
        <v>120</v>
      </c>
      <c r="AK396" s="136" t="s">
        <v>116</v>
      </c>
      <c r="AL396" s="136" t="s">
        <v>120</v>
      </c>
      <c r="AM396" s="136" t="s">
        <v>116</v>
      </c>
      <c r="AN396" s="136" t="s">
        <v>120</v>
      </c>
      <c r="AO396" s="136" t="s">
        <v>116</v>
      </c>
      <c r="AP396" s="136" t="s">
        <v>120</v>
      </c>
      <c r="AQ396" s="136" t="s">
        <v>116</v>
      </c>
      <c r="AR396" s="136" t="s">
        <v>120</v>
      </c>
      <c r="AS396" s="136" t="s">
        <v>116</v>
      </c>
      <c r="AT396" s="136" t="s">
        <v>120</v>
      </c>
      <c r="AU396" s="136" t="s">
        <v>116</v>
      </c>
      <c r="AV396" s="136" t="s">
        <v>120</v>
      </c>
      <c r="AX396" s="136" t="str">
        <f>IF(AI347="","",IF(B396="","",B396))</f>
        <v>PV</v>
      </c>
      <c r="AY396" s="136" t="str">
        <f>IF(AI347="","",IF(C396="","",C396))</f>
        <v>-</v>
      </c>
      <c r="AZ396" s="136" t="str">
        <f>IF(AI347="","",IF(D396="","",D396))</f>
        <v>PV</v>
      </c>
      <c r="BA396" s="136" t="str">
        <f>IF(AI347="","",IF(E396="","",E396))</f>
        <v>-</v>
      </c>
      <c r="BB396" s="136" t="str">
        <f>IF(AI347="","",IF(F396="","",F396))</f>
        <v>PV</v>
      </c>
      <c r="BC396" s="136" t="str">
        <f>IF(AI347="","",IF(G396="","",G396))</f>
        <v>-</v>
      </c>
      <c r="BD396" s="136" t="str">
        <f>IF(AI347="","",IF(H396="","",H396))</f>
        <v>PV</v>
      </c>
      <c r="BE396" s="136" t="str">
        <f>IF(AI347="","",IF(I396="","",I396))</f>
        <v>-</v>
      </c>
      <c r="BF396" s="136" t="str">
        <f>IF(AI347="","",IF(J396="","",J396))</f>
        <v>EA</v>
      </c>
      <c r="BG396" s="136" t="str">
        <f>IF(AI347="","",IF(K396="","",K396))</f>
        <v>AL</v>
      </c>
      <c r="BH396" s="136" t="str">
        <f>IF(AI347="","",IF(L396="","",L396))</f>
        <v>PV</v>
      </c>
      <c r="BI396" s="136" t="str">
        <f>IF(AI347="","",IF(M396="","",M396))</f>
        <v>-</v>
      </c>
      <c r="BJ396" s="136" t="str">
        <f>IF(AI347="","",IF(N396="","",N396))</f>
        <v>EA</v>
      </c>
      <c r="BK396" s="136" t="str">
        <f>IF(AI347="","",IF(O396="","",O396))</f>
        <v>IEI</v>
      </c>
      <c r="BP396" s="136" t="str">
        <f>IF(BO396="","",COUNTIFS(AX351:BK398,BO396)*0.5)</f>
        <v/>
      </c>
      <c r="CA396" s="136">
        <f>'INFO BASE'!L473</f>
        <v>0</v>
      </c>
      <c r="CB396" s="136">
        <f>'INFO BASE'!M473</f>
        <v>0</v>
      </c>
      <c r="CR396" s="177" t="str">
        <f t="shared" si="234"/>
        <v>PV</v>
      </c>
      <c r="CS396" s="177">
        <f t="shared" si="208"/>
        <v>0</v>
      </c>
      <c r="CT396" s="177" t="str">
        <f t="shared" si="234"/>
        <v>PV</v>
      </c>
      <c r="CU396" s="177">
        <f t="shared" si="209"/>
        <v>0</v>
      </c>
      <c r="CV396" s="177" t="str">
        <f t="shared" si="234"/>
        <v>PV</v>
      </c>
      <c r="CW396" s="177">
        <f t="shared" si="210"/>
        <v>0</v>
      </c>
      <c r="CX396" s="177" t="str">
        <f t="shared" si="234"/>
        <v>PV</v>
      </c>
      <c r="CY396" s="177">
        <f t="shared" si="211"/>
        <v>0</v>
      </c>
      <c r="CZ396" s="177" t="str">
        <f t="shared" si="234"/>
        <v>EA</v>
      </c>
      <c r="DA396" s="177" t="str">
        <f t="shared" si="212"/>
        <v>EAAL</v>
      </c>
      <c r="DB396" s="177" t="str">
        <f t="shared" si="235"/>
        <v>PV</v>
      </c>
      <c r="DC396" s="177">
        <f t="shared" si="213"/>
        <v>0</v>
      </c>
      <c r="DD396" s="177" t="str">
        <f t="shared" si="214"/>
        <v>EA</v>
      </c>
      <c r="DE396" s="177" t="str">
        <f t="shared" si="215"/>
        <v>EAIEI</v>
      </c>
    </row>
    <row r="397" spans="1:120" ht="18" customHeight="1" x14ac:dyDescent="0.3">
      <c r="A397" s="81">
        <v>0.95833333333336401</v>
      </c>
      <c r="B397" s="166" t="s">
        <v>10</v>
      </c>
      <c r="C397" s="130" t="s">
        <v>120</v>
      </c>
      <c r="D397" s="169" t="s">
        <v>10</v>
      </c>
      <c r="E397" s="130" t="s">
        <v>120</v>
      </c>
      <c r="F397" s="169" t="s">
        <v>10</v>
      </c>
      <c r="G397" s="130" t="s">
        <v>120</v>
      </c>
      <c r="H397" s="169" t="s">
        <v>10</v>
      </c>
      <c r="I397" s="130" t="s">
        <v>120</v>
      </c>
      <c r="J397" s="169" t="s">
        <v>8</v>
      </c>
      <c r="K397" s="130" t="s">
        <v>230</v>
      </c>
      <c r="L397" s="169" t="s">
        <v>116</v>
      </c>
      <c r="M397" s="130" t="s">
        <v>120</v>
      </c>
      <c r="N397" s="169" t="s">
        <v>8</v>
      </c>
      <c r="O397" s="154" t="s">
        <v>226</v>
      </c>
      <c r="P397" s="6">
        <v>0.2</v>
      </c>
      <c r="Q397" s="91" t="str">
        <f>IF('INFO BASE'!$C$28="","",'INFO BASE'!$C$28)</f>
        <v>Refeição</v>
      </c>
      <c r="R397" s="87" t="str">
        <f t="shared" si="224"/>
        <v>HR</v>
      </c>
      <c r="S397" s="88">
        <f t="shared" si="221"/>
        <v>-6.6666666666666652E-2</v>
      </c>
      <c r="T397" s="89">
        <f>IF(VLOOKUP(Q397,'INFO BASE'!$B$40:$I$54,IF(R397='INFO BASE'!$B$32,3,IF(R397='INFO BASE'!$B$33,4,IF(R397='INFO BASE'!$B$34,5,IF(R397='INFO BASE'!$B$35,6,IF(R397='INFO BASE'!$B$36,7,IF(R397='INFO BASE'!$B$37,8,2)))))),0)=0,"",VLOOKUP(Q397,'INFO BASE'!$B$40:$I$54,IF(R397='INFO BASE'!$B$32,3,IF(R397='INFO BASE'!$B$33,4,IF(R397='INFO BASE'!$B$34,5,IF(R397='INFO BASE'!$B$35,6,IF(R397='INFO BASE'!$B$36,7,IF(R397='INFO BASE'!$B$37,8,2)))))),0))</f>
        <v>15</v>
      </c>
      <c r="U397" s="89">
        <f t="shared" si="233"/>
        <v>14</v>
      </c>
      <c r="V397" s="89">
        <f>IF(R397="","",COUNTIFS(AI351:AV398,R397)*0.5)</f>
        <v>14</v>
      </c>
      <c r="W397" s="90">
        <f>IF(AH347="","-",IF(V397=0,U397,IFERROR((U397/V397)-1,"-")))</f>
        <v>0</v>
      </c>
      <c r="X397" s="204">
        <f t="shared" si="222"/>
        <v>0</v>
      </c>
      <c r="Y397" s="271"/>
      <c r="Z397" s="272"/>
      <c r="AA397" s="272"/>
      <c r="AB397" s="272"/>
      <c r="AC397" s="272"/>
      <c r="AD397" s="272"/>
      <c r="AE397" s="272"/>
      <c r="AF397" s="273"/>
      <c r="AH397" s="136">
        <v>0.95833333333336401</v>
      </c>
      <c r="AI397" s="136" t="s">
        <v>10</v>
      </c>
      <c r="AJ397" s="136" t="s">
        <v>120</v>
      </c>
      <c r="AK397" s="136" t="s">
        <v>10</v>
      </c>
      <c r="AL397" s="136" t="s">
        <v>120</v>
      </c>
      <c r="AM397" s="136" t="s">
        <v>10</v>
      </c>
      <c r="AN397" s="136" t="s">
        <v>120</v>
      </c>
      <c r="AO397" s="136" t="s">
        <v>10</v>
      </c>
      <c r="AP397" s="136" t="s">
        <v>120</v>
      </c>
      <c r="AQ397" s="136" t="s">
        <v>116</v>
      </c>
      <c r="AR397" s="136" t="s">
        <v>120</v>
      </c>
      <c r="AS397" s="136" t="s">
        <v>116</v>
      </c>
      <c r="AT397" s="136" t="s">
        <v>120</v>
      </c>
      <c r="AU397" s="136" t="s">
        <v>116</v>
      </c>
      <c r="AV397" s="136" t="s">
        <v>120</v>
      </c>
      <c r="AX397" s="136" t="str">
        <f>IF(AI347="","",IF(B397="","",B397))</f>
        <v>HS</v>
      </c>
      <c r="AY397" s="136" t="str">
        <f>IF(AI347="","",IF(C397="","",C397))</f>
        <v>-</v>
      </c>
      <c r="AZ397" s="136" t="str">
        <f>IF(AI347="","",IF(D397="","",D397))</f>
        <v>HS</v>
      </c>
      <c r="BA397" s="136" t="str">
        <f>IF(AI347="","",IF(E397="","",E397))</f>
        <v>-</v>
      </c>
      <c r="BB397" s="136" t="str">
        <f>IF(AI347="","",IF(F397="","",F397))</f>
        <v>HS</v>
      </c>
      <c r="BC397" s="136" t="str">
        <f>IF(AI347="","",IF(G397="","",G397))</f>
        <v>-</v>
      </c>
      <c r="BD397" s="136" t="str">
        <f>IF(AI347="","",IF(H397="","",H397))</f>
        <v>HS</v>
      </c>
      <c r="BE397" s="136" t="str">
        <f>IF(AI347="","",IF(I397="","",I397))</f>
        <v>-</v>
      </c>
      <c r="BF397" s="136" t="str">
        <f>IF(AI347="","",IF(J397="","",J397))</f>
        <v>EA</v>
      </c>
      <c r="BG397" s="136" t="str">
        <f>IF(AI347="","",IF(K397="","",K397))</f>
        <v>AL</v>
      </c>
      <c r="BH397" s="136" t="str">
        <f>IF(AI347="","",IF(L397="","",L397))</f>
        <v>PV</v>
      </c>
      <c r="BI397" s="136" t="str">
        <f>IF(AI347="","",IF(M397="","",M397))</f>
        <v>-</v>
      </c>
      <c r="BJ397" s="136" t="str">
        <f>IF(AI347="","",IF(N397="","",N397))</f>
        <v>EA</v>
      </c>
      <c r="BK397" s="136" t="str">
        <f>IF(AI347="","",IF(O397="","",O397))</f>
        <v>IEI</v>
      </c>
      <c r="BP397" s="136" t="str">
        <f>IF(BO397="","",COUNTIFS(AX351:BK398,BO397)*0.5)</f>
        <v/>
      </c>
      <c r="CA397" s="136">
        <f>'INFO BASE'!L474</f>
        <v>0</v>
      </c>
      <c r="CB397" s="136">
        <f>'INFO BASE'!M474</f>
        <v>0</v>
      </c>
      <c r="CR397" s="177" t="str">
        <f t="shared" si="234"/>
        <v>HS</v>
      </c>
      <c r="CS397" s="177" t="str">
        <f t="shared" si="208"/>
        <v>HS-</v>
      </c>
      <c r="CT397" s="177" t="str">
        <f t="shared" si="234"/>
        <v>HS</v>
      </c>
      <c r="CU397" s="177" t="str">
        <f t="shared" si="209"/>
        <v>HS-</v>
      </c>
      <c r="CV397" s="177" t="str">
        <f t="shared" si="234"/>
        <v>HS</v>
      </c>
      <c r="CW397" s="177" t="str">
        <f t="shared" si="210"/>
        <v>HS-</v>
      </c>
      <c r="CX397" s="177" t="str">
        <f t="shared" si="234"/>
        <v>HS</v>
      </c>
      <c r="CY397" s="177" t="str">
        <f t="shared" si="211"/>
        <v>HS-</v>
      </c>
      <c r="CZ397" s="177" t="str">
        <f t="shared" si="234"/>
        <v>EA</v>
      </c>
      <c r="DA397" s="177" t="str">
        <f t="shared" si="212"/>
        <v>EAAL</v>
      </c>
      <c r="DB397" s="177" t="str">
        <f t="shared" si="235"/>
        <v>PV</v>
      </c>
      <c r="DC397" s="177">
        <f t="shared" si="213"/>
        <v>0</v>
      </c>
      <c r="DD397" s="177" t="str">
        <f t="shared" si="214"/>
        <v>EA</v>
      </c>
      <c r="DE397" s="177" t="str">
        <f t="shared" si="215"/>
        <v>EAIEI</v>
      </c>
    </row>
    <row r="398" spans="1:120" ht="18" customHeight="1" thickBot="1" x14ac:dyDescent="0.35">
      <c r="A398" s="180">
        <v>0.97916666666669805</v>
      </c>
      <c r="B398" s="167" t="s">
        <v>10</v>
      </c>
      <c r="C398" s="156" t="s">
        <v>120</v>
      </c>
      <c r="D398" s="170" t="s">
        <v>10</v>
      </c>
      <c r="E398" s="156" t="s">
        <v>120</v>
      </c>
      <c r="F398" s="170" t="s">
        <v>10</v>
      </c>
      <c r="G398" s="156" t="s">
        <v>120</v>
      </c>
      <c r="H398" s="170" t="s">
        <v>10</v>
      </c>
      <c r="I398" s="156" t="s">
        <v>120</v>
      </c>
      <c r="J398" s="170" t="s">
        <v>8</v>
      </c>
      <c r="K398" s="156" t="s">
        <v>230</v>
      </c>
      <c r="L398" s="170" t="s">
        <v>12</v>
      </c>
      <c r="M398" s="156" t="s">
        <v>120</v>
      </c>
      <c r="N398" s="170" t="s">
        <v>8</v>
      </c>
      <c r="O398" s="158" t="s">
        <v>226</v>
      </c>
      <c r="P398" s="6">
        <v>0.2</v>
      </c>
      <c r="Q398" s="92" t="str">
        <f>IF('INFO BASE'!$C$29="","",'INFO BASE'!$C$29)</f>
        <v>Sono</v>
      </c>
      <c r="R398" s="93" t="str">
        <f t="shared" si="224"/>
        <v>HS</v>
      </c>
      <c r="S398" s="94">
        <f t="shared" si="221"/>
        <v>9.1836734693877542E-2</v>
      </c>
      <c r="T398" s="95">
        <f>IF(VLOOKUP(Q398,'INFO BASE'!$B$40:$I$54,IF(R398='INFO BASE'!$B$32,3,IF(R398='INFO BASE'!$B$33,4,IF(R398='INFO BASE'!$B$34,5,IF(R398='INFO BASE'!$B$35,6,IF(R398='INFO BASE'!$B$36,7,IF(R398='INFO BASE'!$B$37,8,2)))))),0)=0,"",VLOOKUP(Q398,'INFO BASE'!$B$40:$I$54,IF(R398='INFO BASE'!$B$32,3,IF(R398='INFO BASE'!$B$33,4,IF(R398='INFO BASE'!$B$34,5,IF(R398='INFO BASE'!$B$35,6,IF(R398='INFO BASE'!$B$36,7,IF(R398='INFO BASE'!$B$37,8,2)))))),0))</f>
        <v>49</v>
      </c>
      <c r="U398" s="95">
        <f t="shared" si="233"/>
        <v>53.5</v>
      </c>
      <c r="V398" s="95">
        <f>IF(R398="","",COUNTIFS(AI351:AV398,R398)*0.5)</f>
        <v>53.5</v>
      </c>
      <c r="W398" s="96">
        <f>IF(AH347="","-",IF(V398=0,U398,IFERROR((U398/V398)-1,"-")))</f>
        <v>0</v>
      </c>
      <c r="X398" s="204">
        <f t="shared" si="222"/>
        <v>0</v>
      </c>
      <c r="Y398" s="274"/>
      <c r="Z398" s="275"/>
      <c r="AA398" s="275"/>
      <c r="AB398" s="275"/>
      <c r="AC398" s="275"/>
      <c r="AD398" s="275"/>
      <c r="AE398" s="275"/>
      <c r="AF398" s="276"/>
      <c r="AH398" s="136">
        <v>0.97916666666669805</v>
      </c>
      <c r="AI398" s="136" t="s">
        <v>10</v>
      </c>
      <c r="AJ398" s="136" t="s">
        <v>120</v>
      </c>
      <c r="AK398" s="136" t="s">
        <v>10</v>
      </c>
      <c r="AL398" s="136" t="s">
        <v>120</v>
      </c>
      <c r="AM398" s="136" t="s">
        <v>10</v>
      </c>
      <c r="AN398" s="136" t="s">
        <v>120</v>
      </c>
      <c r="AO398" s="136" t="s">
        <v>10</v>
      </c>
      <c r="AP398" s="136" t="s">
        <v>120</v>
      </c>
      <c r="AQ398" s="136" t="s">
        <v>116</v>
      </c>
      <c r="AR398" s="136" t="s">
        <v>120</v>
      </c>
      <c r="AS398" s="136" t="s">
        <v>12</v>
      </c>
      <c r="AT398" s="136" t="s">
        <v>120</v>
      </c>
      <c r="AU398" s="136" t="s">
        <v>116</v>
      </c>
      <c r="AV398" s="136" t="s">
        <v>120</v>
      </c>
      <c r="AX398" s="136" t="str">
        <f>IF(AI347="","",IF(B398="","",B398))</f>
        <v>HS</v>
      </c>
      <c r="AY398" s="136" t="str">
        <f>IF(AI347="","",IF(C398="","",C398))</f>
        <v>-</v>
      </c>
      <c r="AZ398" s="136" t="str">
        <f>IF(AI347="","",IF(D398="","",D398))</f>
        <v>HS</v>
      </c>
      <c r="BA398" s="136" t="str">
        <f>IF(AI347="","",IF(E398="","",E398))</f>
        <v>-</v>
      </c>
      <c r="BB398" s="136" t="str">
        <f>IF(AI347="","",IF(F398="","",F398))</f>
        <v>HS</v>
      </c>
      <c r="BC398" s="136" t="str">
        <f>IF(AI347="","",IF(G398="","",G398))</f>
        <v>-</v>
      </c>
      <c r="BD398" s="136" t="str">
        <f>IF(AI347="","",IF(H398="","",H398))</f>
        <v>HS</v>
      </c>
      <c r="BE398" s="136" t="str">
        <f>IF(AI347="","",IF(I398="","",I398))</f>
        <v>-</v>
      </c>
      <c r="BF398" s="136" t="str">
        <f>IF(AI347="","",IF(J398="","",J398))</f>
        <v>EA</v>
      </c>
      <c r="BG398" s="136" t="str">
        <f>IF(AI347="","",IF(K398="","",K398))</f>
        <v>AL</v>
      </c>
      <c r="BH398" s="136" t="str">
        <f>IF(AI347="","",IF(L398="","",L398))</f>
        <v>HR</v>
      </c>
      <c r="BI398" s="136" t="str">
        <f>IF(AI347="","",IF(M398="","",M398))</f>
        <v>-</v>
      </c>
      <c r="BJ398" s="136" t="str">
        <f>IF(AI347="","",IF(N398="","",N398))</f>
        <v>EA</v>
      </c>
      <c r="BK398" s="136" t="str">
        <f>IF(AI347="","",IF(O398="","",O398))</f>
        <v>IEI</v>
      </c>
      <c r="BP398" s="136" t="str">
        <f>IF(BO398="","",COUNTIFS(AX351:BK398,BO398)*0.5)</f>
        <v/>
      </c>
      <c r="CA398" s="136">
        <f>'INFO BASE'!L475</f>
        <v>0</v>
      </c>
      <c r="CB398" s="136">
        <f>'INFO BASE'!M475</f>
        <v>0</v>
      </c>
      <c r="CR398" s="177" t="str">
        <f t="shared" si="234"/>
        <v>HS</v>
      </c>
      <c r="CS398" s="177" t="str">
        <f t="shared" si="208"/>
        <v>HS-</v>
      </c>
      <c r="CT398" s="177" t="str">
        <f t="shared" si="234"/>
        <v>HS</v>
      </c>
      <c r="CU398" s="177" t="str">
        <f t="shared" si="209"/>
        <v>HS-</v>
      </c>
      <c r="CV398" s="177" t="str">
        <f t="shared" si="234"/>
        <v>HS</v>
      </c>
      <c r="CW398" s="177" t="str">
        <f t="shared" si="210"/>
        <v>HS-</v>
      </c>
      <c r="CX398" s="177" t="str">
        <f t="shared" si="234"/>
        <v>HS</v>
      </c>
      <c r="CY398" s="177" t="str">
        <f t="shared" si="211"/>
        <v>HS-</v>
      </c>
      <c r="CZ398" s="177" t="str">
        <f t="shared" si="234"/>
        <v>EA</v>
      </c>
      <c r="DA398" s="177" t="str">
        <f t="shared" si="212"/>
        <v>EAAL</v>
      </c>
      <c r="DB398" s="177" t="str">
        <f t="shared" si="235"/>
        <v>HR</v>
      </c>
      <c r="DC398" s="177" t="str">
        <f t="shared" si="213"/>
        <v>HR-</v>
      </c>
      <c r="DD398" s="177" t="str">
        <f t="shared" si="214"/>
        <v>EA</v>
      </c>
      <c r="DE398" s="177" t="str">
        <f t="shared" si="215"/>
        <v>EAIEI</v>
      </c>
    </row>
    <row r="399" spans="1:120" s="139" customFormat="1" ht="15" thickTop="1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7">
        <v>1</v>
      </c>
      <c r="Y399" s="6">
        <f>COUNTA(Y362:AF398)</f>
        <v>7</v>
      </c>
      <c r="Z399" s="6">
        <f>SUM(X362:X398)</f>
        <v>7</v>
      </c>
      <c r="AA399" s="6">
        <f>IF(Z399&gt;Y399,"ERRO",0)</f>
        <v>0</v>
      </c>
      <c r="AB399" s="6"/>
      <c r="AC399" s="6"/>
      <c r="AD399" s="6"/>
      <c r="AE399" s="6"/>
      <c r="AF399" s="6"/>
      <c r="AG399" s="6"/>
      <c r="BM399" s="136"/>
      <c r="BN399" s="136"/>
      <c r="BO399" s="136"/>
      <c r="BP399" s="136"/>
      <c r="BQ399" s="136"/>
      <c r="BR399" s="136"/>
      <c r="BS399" s="136"/>
      <c r="BT399" s="136"/>
      <c r="BU399" s="136"/>
      <c r="DN399" s="194"/>
      <c r="DO399" s="194"/>
      <c r="DP399" s="194"/>
    </row>
    <row r="400" spans="1:120" s="139" customFormat="1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7">
        <v>1</v>
      </c>
      <c r="Y400" s="6" t="s">
        <v>220</v>
      </c>
      <c r="Z400" s="6" t="s">
        <v>219</v>
      </c>
      <c r="AA400" s="6" t="s">
        <v>221</v>
      </c>
      <c r="AB400" s="6"/>
      <c r="AC400" s="6"/>
      <c r="AD400" s="6"/>
      <c r="AE400" s="6"/>
      <c r="AF400" s="6"/>
      <c r="AG400" s="6"/>
      <c r="BM400" s="136"/>
      <c r="BN400" s="136"/>
      <c r="BO400" s="136"/>
      <c r="BP400" s="136"/>
      <c r="BQ400" s="136"/>
      <c r="BR400" s="136"/>
      <c r="BS400" s="136"/>
      <c r="BT400" s="136"/>
      <c r="BU400" s="136"/>
      <c r="DN400" s="194"/>
      <c r="DO400" s="194"/>
      <c r="DP400" s="194"/>
    </row>
    <row r="401" spans="1:109" x14ac:dyDescent="0.3">
      <c r="X401" s="7">
        <v>1</v>
      </c>
    </row>
    <row r="402" spans="1:109" ht="15" thickBot="1" x14ac:dyDescent="0.35">
      <c r="X402" s="7">
        <v>1</v>
      </c>
    </row>
    <row r="403" spans="1:109" ht="38.25" customHeight="1" thickTop="1" thickBot="1" x14ac:dyDescent="0.35">
      <c r="A403" s="311" t="str">
        <f>IF(LEN(A346)=8,CONCATENATE("SEMANA ",RIGHT(A346,1)+1),CONCATENATE("SEMANA ",RIGHT(A346,2)+1))</f>
        <v>SEMANA 8</v>
      </c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3"/>
      <c r="AG403" s="12"/>
      <c r="CA403" s="136">
        <f>'INFO BASE'!L484</f>
        <v>0</v>
      </c>
      <c r="CB403" s="136">
        <f>'INFO BASE'!M484</f>
        <v>0</v>
      </c>
    </row>
    <row r="404" spans="1:109" ht="9" customHeight="1" thickTop="1" thickBot="1" x14ac:dyDescent="0.35">
      <c r="A404" s="139"/>
      <c r="B404" s="139"/>
      <c r="C404" s="140"/>
      <c r="D404" s="139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41">
        <v>1</v>
      </c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44">
        <v>42317.613465393515</v>
      </c>
      <c r="AI404" s="144">
        <v>42317.618886342592</v>
      </c>
      <c r="CA404" s="136">
        <f>'INFO BASE'!L485</f>
        <v>0</v>
      </c>
      <c r="CB404" s="136">
        <f>'INFO BASE'!M485</f>
        <v>0</v>
      </c>
    </row>
    <row r="405" spans="1:109" ht="30.75" customHeight="1" x14ac:dyDescent="0.3">
      <c r="A405" s="145"/>
      <c r="B405" s="314">
        <f>1-(CR405/673)</f>
        <v>1</v>
      </c>
      <c r="C405" s="315"/>
      <c r="D405" s="315"/>
      <c r="E405" s="315"/>
      <c r="F405" s="315"/>
      <c r="G405" s="315"/>
      <c r="H405" s="315"/>
      <c r="I405" s="315"/>
      <c r="J405" s="315"/>
      <c r="K405" s="315"/>
      <c r="L405" s="315"/>
      <c r="M405" s="315"/>
      <c r="N405" s="315"/>
      <c r="O405" s="316"/>
      <c r="Q405" s="205">
        <f>IF(OR(Q408="Registe aqui o que considera serem as suas três principais prioridades para a semana
(Dica - para criar paragráfos Alt+Enter)",LEN(Q408)&lt;10),1,0)</f>
        <v>0</v>
      </c>
      <c r="X405" s="7">
        <v>1</v>
      </c>
      <c r="AM405" s="136" t="str">
        <f>CONCATENATE("PLANEAMENTO ",I405)</f>
        <v xml:space="preserve">PLANEAMENTO </v>
      </c>
      <c r="AX405" s="136">
        <f>IF(AI404="","",IF(B405="","",B405))</f>
        <v>1</v>
      </c>
      <c r="AY405" s="136" t="str">
        <f>IF(AI404="","",IF(C405="","",C405))</f>
        <v/>
      </c>
      <c r="AZ405" s="136" t="str">
        <f>IF(AI404="","",IF(D405="","",D405))</f>
        <v/>
      </c>
      <c r="BA405" s="136" t="str">
        <f>IF(AI404="","",IF(E405="","",E405))</f>
        <v/>
      </c>
      <c r="BB405" s="136" t="str">
        <f>IF(AI404="","",IF(F405="","",F405))</f>
        <v/>
      </c>
      <c r="BC405" s="136" t="str">
        <f>IF(AI404="","",IF(G405="","",G405))</f>
        <v/>
      </c>
      <c r="BD405" s="136" t="str">
        <f>IF(AI404="","",IF(H405="","",H405))</f>
        <v/>
      </c>
      <c r="BE405" s="136" t="str">
        <f>IF(AI404="","",IF(I405="","",I405))</f>
        <v/>
      </c>
      <c r="BF405" s="136" t="str">
        <f>IF(AI404="","",IF(J405="","",J405))</f>
        <v/>
      </c>
      <c r="BG405" s="136" t="str">
        <f>IF(AI404="","",IF(K405="","",K405))</f>
        <v/>
      </c>
      <c r="BH405" s="136" t="str">
        <f>IF(AI404="","",IF(L405="","",L405))</f>
        <v/>
      </c>
      <c r="BI405" s="136" t="str">
        <f>IF(AI404="","",IF(M405="","",M405))</f>
        <v/>
      </c>
      <c r="BJ405" s="136" t="str">
        <f>IF(AI404="","",IF(N405="","",N405))</f>
        <v/>
      </c>
      <c r="BK405" s="136" t="str">
        <f>IF(AI404="","",IF(O405="","",O405))</f>
        <v/>
      </c>
      <c r="CA405" s="136">
        <f>'INFO BASE'!L471</f>
        <v>0</v>
      </c>
      <c r="CB405" s="136">
        <f>'INFO BASE'!M471</f>
        <v>0</v>
      </c>
      <c r="CR405" s="136">
        <f>SUM(CR408:DE455,Q405)</f>
        <v>0</v>
      </c>
    </row>
    <row r="406" spans="1:109" ht="37.5" customHeight="1" thickBot="1" x14ac:dyDescent="0.35">
      <c r="A406" s="146"/>
      <c r="B406" s="330" t="str">
        <f>CONCATENATE("Segunda ",CHAR(10),TEXT(B407,"dd-mm-aaaa"))</f>
        <v>Segunda 
02-11-2015</v>
      </c>
      <c r="C406" s="317"/>
      <c r="D406" s="317" t="str">
        <f>CONCATENATE("Terça ",CHAR(10),TEXT(D407,"dd-mm-aaaa"))</f>
        <v>Terça 
03-11-2015</v>
      </c>
      <c r="E406" s="317"/>
      <c r="F406" s="317" t="str">
        <f>CONCATENATE("Quarta ",CHAR(10),TEXT(F407,"dd-mm-aaaa"))</f>
        <v>Quarta 
04-11-2015</v>
      </c>
      <c r="G406" s="317"/>
      <c r="H406" s="317" t="str">
        <f>CONCATENATE("Quinta ",CHAR(10),TEXT(H407,"dd-mm-aaaa"))</f>
        <v>Quinta 
05-11-2015</v>
      </c>
      <c r="I406" s="317"/>
      <c r="J406" s="317" t="str">
        <f>CONCATENATE("Sexta ",CHAR(10),TEXT(J407,"dd-mm-aaaa"))</f>
        <v>Sexta 
06-11-2015</v>
      </c>
      <c r="K406" s="317"/>
      <c r="L406" s="317" t="str">
        <f>CONCATENATE("Sábado ",CHAR(10),TEXT(L407,"dd-mm-aaaa"))</f>
        <v>Sábado 
07-11-2015</v>
      </c>
      <c r="M406" s="317"/>
      <c r="N406" s="317" t="str">
        <f>CONCATENATE("Domingo ",CHAR(10),TEXT(N407,"dd-mm-aaaa"))</f>
        <v>Domingo 
08-11-2015</v>
      </c>
      <c r="O406" s="329"/>
      <c r="Q406" s="55" t="str">
        <f>'INFO BASE'!$L$3</f>
        <v>PRIORIDADES PARA ESTA SEMANA</v>
      </c>
      <c r="R406" s="132"/>
      <c r="S406" s="132"/>
      <c r="T406" s="132"/>
      <c r="U406" s="132"/>
      <c r="V406" s="132"/>
      <c r="W406" s="195" t="str">
        <f>CONCATENATE("HORÁRIO ",'INFO BASE'!$C$6,"_",'INFO BASE'!$C$5,": ",UPPER(A403))</f>
        <v>HORÁRIO André Fonseca_84698: SEMANA 8</v>
      </c>
      <c r="X406" s="198">
        <v>1</v>
      </c>
      <c r="Y406" s="261" t="str">
        <f>'INFO BASE'!$L$1</f>
        <v>MOMENTOS AVALIATIVOS</v>
      </c>
      <c r="Z406" s="261"/>
      <c r="AA406" s="261"/>
      <c r="AB406" s="261"/>
      <c r="AC406" s="261" t="s">
        <v>215</v>
      </c>
      <c r="AD406" s="261"/>
      <c r="AE406" s="261"/>
      <c r="AF406" s="261"/>
      <c r="AI406" s="136" t="str">
        <f>B406</f>
        <v>Segunda 
02-11-2015</v>
      </c>
      <c r="AK406" s="136" t="str">
        <f>D406</f>
        <v>Terça 
03-11-2015</v>
      </c>
      <c r="AM406" s="136" t="str">
        <f>F406</f>
        <v>Quarta 
04-11-2015</v>
      </c>
      <c r="AO406" s="136" t="str">
        <f>H406</f>
        <v>Quinta 
05-11-2015</v>
      </c>
      <c r="AQ406" s="136" t="str">
        <f>J406</f>
        <v>Sexta 
06-11-2015</v>
      </c>
      <c r="AS406" s="136" t="str">
        <f>L406</f>
        <v>Sábado 
07-11-2015</v>
      </c>
      <c r="AU406" s="136" t="str">
        <f>N406</f>
        <v>Domingo 
08-11-2015</v>
      </c>
      <c r="AX406" s="136" t="str">
        <f>IF(AI404="","",IF(B406="","",B406))</f>
        <v>Segunda 
02-11-2015</v>
      </c>
      <c r="AY406" s="136" t="str">
        <f>IF(AI404="","",IF(C406="","",C406))</f>
        <v/>
      </c>
      <c r="AZ406" s="136" t="str">
        <f>IF(AI404="","",IF(D406="","",D406))</f>
        <v>Terça 
03-11-2015</v>
      </c>
      <c r="BA406" s="136" t="str">
        <f>IF(AI404="","",IF(E406="","",E406))</f>
        <v/>
      </c>
      <c r="BB406" s="136" t="str">
        <f>IF(AI404="","",IF(F406="","",F406))</f>
        <v>Quarta 
04-11-2015</v>
      </c>
      <c r="BC406" s="136" t="str">
        <f>IF(AI404="","",IF(G406="","",G406))</f>
        <v/>
      </c>
      <c r="BD406" s="136" t="str">
        <f>IF(AI404="","",IF(H406="","",H406))</f>
        <v>Quinta 
05-11-2015</v>
      </c>
      <c r="BE406" s="136" t="str">
        <f>IF(AI404="","",IF(I406="","",I406))</f>
        <v/>
      </c>
      <c r="BF406" s="136" t="str">
        <f>IF(AI404="","",IF(J406="","",J406))</f>
        <v>Sexta 
06-11-2015</v>
      </c>
      <c r="BG406" s="136" t="str">
        <f>IF(AI404="","",IF(K406="","",K406))</f>
        <v/>
      </c>
      <c r="BH406" s="136" t="str">
        <f>IF(AI404="","",IF(L406="","",L406))</f>
        <v>Sábado 
07-11-2015</v>
      </c>
      <c r="BI406" s="136" t="str">
        <f>IF(AI404="","",IF(M406="","",M406))</f>
        <v/>
      </c>
      <c r="BJ406" s="136" t="str">
        <f>IF(AI404="","",IF(N406="","",N406))</f>
        <v>Domingo 
08-11-2015</v>
      </c>
      <c r="BK406" s="136" t="str">
        <f>IF(AI404="","",IF(O406="","",O406))</f>
        <v/>
      </c>
      <c r="CA406" s="136">
        <f>'INFO BASE'!L465</f>
        <v>0</v>
      </c>
      <c r="CB406" s="136">
        <f>'INFO BASE'!M465</f>
        <v>0</v>
      </c>
    </row>
    <row r="407" spans="1:109" ht="21" hidden="1" customHeight="1" thickTop="1" thickBot="1" x14ac:dyDescent="0.35">
      <c r="A407" s="142"/>
      <c r="B407" s="333">
        <f>N350+1</f>
        <v>42310</v>
      </c>
      <c r="C407" s="334"/>
      <c r="D407" s="334">
        <f>B407+1</f>
        <v>42311</v>
      </c>
      <c r="E407" s="334"/>
      <c r="F407" s="334">
        <f>D407+1</f>
        <v>42312</v>
      </c>
      <c r="G407" s="334"/>
      <c r="H407" s="334">
        <f>F407+1</f>
        <v>42313</v>
      </c>
      <c r="I407" s="334"/>
      <c r="J407" s="334">
        <f>H407+1</f>
        <v>42314</v>
      </c>
      <c r="K407" s="334"/>
      <c r="L407" s="334">
        <f>J407+1</f>
        <v>42315</v>
      </c>
      <c r="M407" s="334"/>
      <c r="N407" s="334">
        <f>L407+1</f>
        <v>42316</v>
      </c>
      <c r="O407" s="334"/>
      <c r="Q407" s="132"/>
      <c r="R407" s="132"/>
      <c r="S407" s="132"/>
      <c r="T407" s="132"/>
      <c r="U407" s="132"/>
      <c r="V407" s="132"/>
      <c r="W407" s="132"/>
      <c r="X407" s="198">
        <v>1</v>
      </c>
      <c r="Y407" s="132"/>
      <c r="Z407" s="132"/>
      <c r="AA407" s="132"/>
      <c r="AB407" s="131"/>
      <c r="AC407" s="131"/>
      <c r="AD407" s="131"/>
      <c r="AE407" s="131"/>
      <c r="AF407" s="131"/>
      <c r="AI407" s="136">
        <f>B407</f>
        <v>42310</v>
      </c>
      <c r="AK407" s="136">
        <f>D407</f>
        <v>42311</v>
      </c>
      <c r="AM407" s="136">
        <f>F407</f>
        <v>42312</v>
      </c>
      <c r="AO407" s="136">
        <f>H407</f>
        <v>42313</v>
      </c>
      <c r="AQ407" s="136">
        <f>J407</f>
        <v>42314</v>
      </c>
      <c r="AS407" s="136">
        <f>L407</f>
        <v>42315</v>
      </c>
      <c r="AU407" s="136">
        <f>N407</f>
        <v>42316</v>
      </c>
      <c r="AX407" s="136">
        <f>IF(AI404="","",IF(B407="","",B407))</f>
        <v>42310</v>
      </c>
      <c r="AY407" s="136" t="str">
        <f>IF(AI404="","",IF(C407="","",C407))</f>
        <v/>
      </c>
      <c r="AZ407" s="136">
        <f>IF(AI404="","",IF(D407="","",D407))</f>
        <v>42311</v>
      </c>
      <c r="BA407" s="136" t="str">
        <f>IF(AI404="","",IF(E407="","",E407))</f>
        <v/>
      </c>
      <c r="BB407" s="136">
        <f>IF(AI404="","",IF(F407="","",F407))</f>
        <v>42312</v>
      </c>
      <c r="BC407" s="136" t="str">
        <f>IF(AI404="","",IF(G407="","",G407))</f>
        <v/>
      </c>
      <c r="BD407" s="136">
        <f>IF(AI404="","",IF(H407="","",H407))</f>
        <v>42313</v>
      </c>
      <c r="BE407" s="136" t="str">
        <f>IF(AI404="","",IF(I407="","",I407))</f>
        <v/>
      </c>
      <c r="BF407" s="136">
        <f>IF(AI404="","",IF(J407="","",J407))</f>
        <v>42314</v>
      </c>
      <c r="BG407" s="136" t="str">
        <f>IF(AI404="","",IF(K407="","",K407))</f>
        <v/>
      </c>
      <c r="BH407" s="136">
        <f>IF(AI404="","",IF(L407="","",L407))</f>
        <v>42315</v>
      </c>
      <c r="BI407" s="136" t="str">
        <f>IF(AI404="","",IF(M407="","",M407))</f>
        <v/>
      </c>
      <c r="BJ407" s="136">
        <f>IF(AI404="","",IF(N407="","",N407))</f>
        <v>42316</v>
      </c>
      <c r="BK407" s="136" t="str">
        <f>IF(AI404="","",IF(O407="","",O407))</f>
        <v/>
      </c>
      <c r="CA407" s="136">
        <f>'INFO BASE'!L477</f>
        <v>0</v>
      </c>
      <c r="CB407" s="136">
        <f>'INFO BASE'!M477</f>
        <v>0</v>
      </c>
    </row>
    <row r="408" spans="1:109" ht="18" customHeight="1" thickTop="1" x14ac:dyDescent="0.3">
      <c r="A408" s="81">
        <v>0</v>
      </c>
      <c r="B408" s="165" t="s">
        <v>10</v>
      </c>
      <c r="C408" s="150" t="s">
        <v>120</v>
      </c>
      <c r="D408" s="168" t="s">
        <v>10</v>
      </c>
      <c r="E408" s="150" t="s">
        <v>120</v>
      </c>
      <c r="F408" s="168" t="s">
        <v>10</v>
      </c>
      <c r="G408" s="150" t="s">
        <v>120</v>
      </c>
      <c r="H408" s="168" t="s">
        <v>10</v>
      </c>
      <c r="I408" s="150" t="s">
        <v>120</v>
      </c>
      <c r="J408" s="168" t="s">
        <v>10</v>
      </c>
      <c r="K408" s="150" t="s">
        <v>120</v>
      </c>
      <c r="L408" s="168" t="s">
        <v>10</v>
      </c>
      <c r="M408" s="150" t="s">
        <v>120</v>
      </c>
      <c r="N408" s="168" t="s">
        <v>116</v>
      </c>
      <c r="O408" s="152" t="s">
        <v>120</v>
      </c>
      <c r="Q408" s="281" t="s">
        <v>260</v>
      </c>
      <c r="R408" s="282"/>
      <c r="S408" s="282"/>
      <c r="T408" s="282"/>
      <c r="U408" s="282"/>
      <c r="V408" s="282"/>
      <c r="W408" s="283"/>
      <c r="X408" s="199">
        <v>1</v>
      </c>
      <c r="Y408" s="268" t="str">
        <f t="array" ref="Y408">IF(ISERROR(INDEX($CA$2:$CB$200,SMALL(IF($CA$2:$CA$200=$A$403,ROW($CA$2:$CA$200)),ROW(1:1))-1,2)),"",INDEX($CA$2:$CB$200,SMALL(IF($CA$2:$CA$200=$A$403,ROW($CA$2:$CA$200)),ROW(1:1))-1,2))</f>
        <v/>
      </c>
      <c r="Z408" s="269"/>
      <c r="AA408" s="269"/>
      <c r="AB408" s="269"/>
      <c r="AC408" s="269"/>
      <c r="AD408" s="269"/>
      <c r="AE408" s="269"/>
      <c r="AF408" s="270"/>
      <c r="AH408" s="136">
        <v>0</v>
      </c>
      <c r="AI408" s="136" t="s">
        <v>10</v>
      </c>
      <c r="AJ408" s="136" t="s">
        <v>120</v>
      </c>
      <c r="AK408" s="136" t="s">
        <v>10</v>
      </c>
      <c r="AL408" s="136" t="s">
        <v>120</v>
      </c>
      <c r="AM408" s="136" t="s">
        <v>10</v>
      </c>
      <c r="AN408" s="136" t="s">
        <v>120</v>
      </c>
      <c r="AO408" s="136" t="s">
        <v>10</v>
      </c>
      <c r="AP408" s="136" t="s">
        <v>120</v>
      </c>
      <c r="AQ408" s="136" t="s">
        <v>10</v>
      </c>
      <c r="AR408" s="136" t="s">
        <v>120</v>
      </c>
      <c r="AS408" s="136" t="s">
        <v>10</v>
      </c>
      <c r="AT408" s="136" t="s">
        <v>120</v>
      </c>
      <c r="AU408" s="136" t="s">
        <v>116</v>
      </c>
      <c r="AV408" s="136" t="s">
        <v>120</v>
      </c>
      <c r="AX408" s="136" t="str">
        <f>IF(AI404="","",IF(B408="","",B408))</f>
        <v>HS</v>
      </c>
      <c r="AY408" s="136" t="str">
        <f>IF(AI404="","",IF(C408="","",C408))</f>
        <v>-</v>
      </c>
      <c r="AZ408" s="136" t="str">
        <f>IF(AI404="","",IF(D408="","",D408))</f>
        <v>HS</v>
      </c>
      <c r="BA408" s="136" t="str">
        <f>IF(AI404="","",IF(E408="","",E408))</f>
        <v>-</v>
      </c>
      <c r="BB408" s="136" t="str">
        <f>IF(AI404="","",IF(F408="","",F408))</f>
        <v>HS</v>
      </c>
      <c r="BC408" s="136" t="str">
        <f>IF(AI404="","",IF(G408="","",G408))</f>
        <v>-</v>
      </c>
      <c r="BD408" s="136" t="str">
        <f>IF(AI404="","",IF(H408="","",H408))</f>
        <v>HS</v>
      </c>
      <c r="BE408" s="136" t="str">
        <f>IF(AI404="","",IF(I408="","",I408))</f>
        <v>-</v>
      </c>
      <c r="BF408" s="136" t="str">
        <f>IF(AI404="","",IF(J408="","",J408))</f>
        <v>HS</v>
      </c>
      <c r="BG408" s="136" t="str">
        <f>IF(AI404="","",IF(K408="","",K408))</f>
        <v>-</v>
      </c>
      <c r="BH408" s="136" t="str">
        <f>IF(AI404="","",IF(L408="","",L408))</f>
        <v>HS</v>
      </c>
      <c r="BI408" s="136" t="str">
        <f>IF(AI404="","",IF(M408="","",M408))</f>
        <v>-</v>
      </c>
      <c r="BJ408" s="136" t="str">
        <f>IF(AI404="","",IF(N408="","",N408))</f>
        <v>PV</v>
      </c>
      <c r="BK408" s="136" t="str">
        <f>IF(AI404="","",IF(O408="","",O408))</f>
        <v>-</v>
      </c>
      <c r="CA408" s="136">
        <f>'INFO BASE'!L478</f>
        <v>0</v>
      </c>
      <c r="CB408" s="136">
        <f>'INFO BASE'!M478</f>
        <v>0</v>
      </c>
      <c r="CD408" s="136">
        <f>COUNTA('INFO BASE'!E432:E437)+6</f>
        <v>6</v>
      </c>
      <c r="CR408" s="177" t="str">
        <f>IF(B408="",1,B408)</f>
        <v>HS</v>
      </c>
      <c r="CS408" s="177" t="str">
        <f>IF(B408="PV",0,IFERROR(VLOOKUP(CONCATENATE(B408,C408),$DK$9:$DK$72,1,0),1))</f>
        <v>HS-</v>
      </c>
      <c r="CT408" s="177" t="str">
        <f>IF(D408="",1,D408)</f>
        <v>HS</v>
      </c>
      <c r="CU408" s="177" t="str">
        <f>IF(D408="PV",0,IFERROR(VLOOKUP(CONCATENATE(D408,E408),$DK$9:$DK$72,1,0),1))</f>
        <v>HS-</v>
      </c>
      <c r="CV408" s="177" t="str">
        <f>IF(F408="",1,F408)</f>
        <v>HS</v>
      </c>
      <c r="CW408" s="177" t="str">
        <f>IF(F408="PV",0,IFERROR(VLOOKUP(CONCATENATE(F408,G408),$DK$9:$DK$72,1,0),1))</f>
        <v>HS-</v>
      </c>
      <c r="CX408" s="177" t="str">
        <f>IF(H408="",1,H408)</f>
        <v>HS</v>
      </c>
      <c r="CY408" s="177" t="str">
        <f>IF(H408="PV",0,IFERROR(VLOOKUP(CONCATENATE(H408,I408),$DK$9:$DK$72,1,0),1))</f>
        <v>HS-</v>
      </c>
      <c r="CZ408" s="177" t="str">
        <f>IF(J408="",1,J408)</f>
        <v>HS</v>
      </c>
      <c r="DA408" s="177" t="str">
        <f>IF(J408="PV",0,IFERROR(VLOOKUP(CONCATENATE(J408,K408),$DK$9:$DK$72,1,0),1))</f>
        <v>HS-</v>
      </c>
      <c r="DB408" s="177" t="str">
        <f>IF(L408="",1,L408)</f>
        <v>HS</v>
      </c>
      <c r="DC408" s="177" t="str">
        <f>IF(L408="PV",0,IFERROR(VLOOKUP(CONCATENATE(L408,M408),$DK$9:$DK$72,1,0),1))</f>
        <v>HS-</v>
      </c>
      <c r="DD408" s="177" t="str">
        <f>IF(N408="",1,N408)</f>
        <v>PV</v>
      </c>
      <c r="DE408" s="177">
        <f>IF(N408="PV",0,IFERROR(VLOOKUP(CONCATENATE(N408,O408),$DK$9:$DK$72,1,0),1))</f>
        <v>0</v>
      </c>
    </row>
    <row r="409" spans="1:109" ht="18" customHeight="1" x14ac:dyDescent="0.3">
      <c r="A409" s="81">
        <v>2.0833333333333998E-2</v>
      </c>
      <c r="B409" s="166" t="s">
        <v>10</v>
      </c>
      <c r="C409" s="130" t="s">
        <v>120</v>
      </c>
      <c r="D409" s="169" t="s">
        <v>10</v>
      </c>
      <c r="E409" s="130" t="s">
        <v>120</v>
      </c>
      <c r="F409" s="169" t="s">
        <v>10</v>
      </c>
      <c r="G409" s="130" t="s">
        <v>120</v>
      </c>
      <c r="H409" s="169" t="s">
        <v>10</v>
      </c>
      <c r="I409" s="130" t="s">
        <v>120</v>
      </c>
      <c r="J409" s="169" t="s">
        <v>10</v>
      </c>
      <c r="K409" s="130" t="s">
        <v>120</v>
      </c>
      <c r="L409" s="169" t="s">
        <v>10</v>
      </c>
      <c r="M409" s="130" t="s">
        <v>120</v>
      </c>
      <c r="N409" s="169" t="s">
        <v>116</v>
      </c>
      <c r="O409" s="154" t="s">
        <v>120</v>
      </c>
      <c r="Q409" s="284"/>
      <c r="R409" s="285"/>
      <c r="S409" s="285"/>
      <c r="T409" s="285"/>
      <c r="U409" s="285"/>
      <c r="V409" s="285"/>
      <c r="W409" s="286"/>
      <c r="X409" s="199">
        <v>1</v>
      </c>
      <c r="Y409" s="262" t="str">
        <f t="array" ref="Y409">IF(ISERROR(INDEX($CA$2:$CB$200,SMALL(IF($CA$2:$CA$200=$A$403,ROW($CA$2:$CA$200)),ROW(2:2))-1,2)),"",INDEX($CA$2:$CB$200,SMALL(IF($CA$2:$CA$200=$A$403,ROW($CA$2:$CA$200)),ROW(2:2))-1,2))</f>
        <v/>
      </c>
      <c r="Z409" s="263"/>
      <c r="AA409" s="263"/>
      <c r="AB409" s="263"/>
      <c r="AC409" s="263"/>
      <c r="AD409" s="263"/>
      <c r="AE409" s="263"/>
      <c r="AF409" s="264"/>
      <c r="AH409" s="136">
        <v>2.0833333333333998E-2</v>
      </c>
      <c r="AI409" s="136" t="s">
        <v>10</v>
      </c>
      <c r="AJ409" s="136" t="s">
        <v>120</v>
      </c>
      <c r="AK409" s="136" t="s">
        <v>10</v>
      </c>
      <c r="AL409" s="136" t="s">
        <v>120</v>
      </c>
      <c r="AM409" s="136" t="s">
        <v>10</v>
      </c>
      <c r="AN409" s="136" t="s">
        <v>120</v>
      </c>
      <c r="AO409" s="136" t="s">
        <v>10</v>
      </c>
      <c r="AP409" s="136" t="s">
        <v>120</v>
      </c>
      <c r="AQ409" s="136" t="s">
        <v>10</v>
      </c>
      <c r="AR409" s="136" t="s">
        <v>120</v>
      </c>
      <c r="AS409" s="136" t="s">
        <v>10</v>
      </c>
      <c r="AT409" s="136" t="s">
        <v>120</v>
      </c>
      <c r="AU409" s="136" t="s">
        <v>116</v>
      </c>
      <c r="AV409" s="136" t="s">
        <v>120</v>
      </c>
      <c r="AX409" s="136" t="str">
        <f>IF(AI404="","",IF(B409="","",B409))</f>
        <v>HS</v>
      </c>
      <c r="AY409" s="136" t="str">
        <f>IF(AI404="","",IF(C409="","",C409))</f>
        <v>-</v>
      </c>
      <c r="AZ409" s="136" t="str">
        <f>IF(AI404="","",IF(D409="","",D409))</f>
        <v>HS</v>
      </c>
      <c r="BA409" s="136" t="str">
        <f>IF(AI404="","",IF(E409="","",E409))</f>
        <v>-</v>
      </c>
      <c r="BB409" s="136" t="str">
        <f>IF(AI404="","",IF(F409="","",F409))</f>
        <v>HS</v>
      </c>
      <c r="BC409" s="136" t="str">
        <f>IF(AI404="","",IF(G409="","",G409))</f>
        <v>-</v>
      </c>
      <c r="BD409" s="136" t="str">
        <f>IF(AI404="","",IF(H409="","",H409))</f>
        <v>HS</v>
      </c>
      <c r="BE409" s="136" t="str">
        <f>IF(AI404="","",IF(I409="","",I409))</f>
        <v>-</v>
      </c>
      <c r="BF409" s="136" t="str">
        <f>IF(AI404="","",IF(J409="","",J409))</f>
        <v>HS</v>
      </c>
      <c r="BG409" s="136" t="str">
        <f>IF(AI404="","",IF(K409="","",K409))</f>
        <v>-</v>
      </c>
      <c r="BH409" s="136" t="str">
        <f>IF(AI404="","",IF(L409="","",L409))</f>
        <v>HS</v>
      </c>
      <c r="BI409" s="136" t="str">
        <f>IF(AI404="","",IF(M409="","",M409))</f>
        <v>-</v>
      </c>
      <c r="BJ409" s="136" t="str">
        <f>IF(AI404="","",IF(N409="","",N409))</f>
        <v>PV</v>
      </c>
      <c r="BK409" s="136" t="str">
        <f>IF(AI404="","",IF(O409="","",O409))</f>
        <v>-</v>
      </c>
      <c r="CA409" s="136">
        <f>'INFO BASE'!L479</f>
        <v>0</v>
      </c>
      <c r="CB409" s="136">
        <f>'INFO BASE'!M479</f>
        <v>0</v>
      </c>
      <c r="CR409" s="177" t="str">
        <f t="shared" ref="CR409:DB451" si="236">IF(B409="",1,B409)</f>
        <v>HS</v>
      </c>
      <c r="CS409" s="177" t="str">
        <f t="shared" ref="CS409:CS455" si="237">IF(B409="PV",0,IFERROR(VLOOKUP(CONCATENATE(B409,C409),$DK$9:$DK$72,1,0),1))</f>
        <v>HS-</v>
      </c>
      <c r="CT409" s="177" t="str">
        <f t="shared" si="236"/>
        <v>HS</v>
      </c>
      <c r="CU409" s="177" t="str">
        <f t="shared" ref="CU409:CU455" si="238">IF(D409="PV",0,IFERROR(VLOOKUP(CONCATENATE(D409,E409),$DK$9:$DK$72,1,0),1))</f>
        <v>HS-</v>
      </c>
      <c r="CV409" s="177" t="str">
        <f t="shared" si="236"/>
        <v>HS</v>
      </c>
      <c r="CW409" s="177" t="str">
        <f t="shared" ref="CW409:CW455" si="239">IF(F409="PV",0,IFERROR(VLOOKUP(CONCATENATE(F409,G409),$DK$9:$DK$72,1,0),1))</f>
        <v>HS-</v>
      </c>
      <c r="CX409" s="177" t="str">
        <f t="shared" si="236"/>
        <v>HS</v>
      </c>
      <c r="CY409" s="177" t="str">
        <f t="shared" ref="CY409:CY455" si="240">IF(H409="PV",0,IFERROR(VLOOKUP(CONCATENATE(H409,I409),$DK$9:$DK$72,1,0),1))</f>
        <v>HS-</v>
      </c>
      <c r="CZ409" s="177" t="str">
        <f t="shared" si="236"/>
        <v>HS</v>
      </c>
      <c r="DA409" s="177" t="str">
        <f t="shared" ref="DA409:DA455" si="241">IF(J409="PV",0,IFERROR(VLOOKUP(CONCATENATE(J409,K409),$DK$9:$DK$72,1,0),1))</f>
        <v>HS-</v>
      </c>
      <c r="DB409" s="177" t="str">
        <f t="shared" si="236"/>
        <v>HS</v>
      </c>
      <c r="DC409" s="177" t="str">
        <f t="shared" ref="DC409:DC455" si="242">IF(L409="PV",0,IFERROR(VLOOKUP(CONCATENATE(L409,M409),$DK$9:$DK$72,1,0),1))</f>
        <v>HS-</v>
      </c>
      <c r="DD409" s="177" t="str">
        <f t="shared" ref="DD409:DD455" si="243">IF(N409="",1,N409)</f>
        <v>PV</v>
      </c>
      <c r="DE409" s="177">
        <f t="shared" ref="DE409:DE455" si="244">IF(N409="PV",0,IFERROR(VLOOKUP(CONCATENATE(N409,O409),$DK$9:$DK$72,1,0),1))</f>
        <v>0</v>
      </c>
    </row>
    <row r="410" spans="1:109" ht="18" customHeight="1" x14ac:dyDescent="0.3">
      <c r="A410" s="81">
        <v>4.1666666666667997E-2</v>
      </c>
      <c r="B410" s="166" t="s">
        <v>10</v>
      </c>
      <c r="C410" s="130" t="s">
        <v>120</v>
      </c>
      <c r="D410" s="169" t="s">
        <v>10</v>
      </c>
      <c r="E410" s="130" t="s">
        <v>120</v>
      </c>
      <c r="F410" s="169" t="s">
        <v>10</v>
      </c>
      <c r="G410" s="130" t="s">
        <v>120</v>
      </c>
      <c r="H410" s="169" t="s">
        <v>10</v>
      </c>
      <c r="I410" s="130" t="s">
        <v>120</v>
      </c>
      <c r="J410" s="169" t="s">
        <v>10</v>
      </c>
      <c r="K410" s="130" t="s">
        <v>120</v>
      </c>
      <c r="L410" s="169" t="s">
        <v>10</v>
      </c>
      <c r="M410" s="130" t="s">
        <v>120</v>
      </c>
      <c r="N410" s="169" t="s">
        <v>116</v>
      </c>
      <c r="O410" s="154" t="s">
        <v>120</v>
      </c>
      <c r="Q410" s="284"/>
      <c r="R410" s="285"/>
      <c r="S410" s="285"/>
      <c r="T410" s="285"/>
      <c r="U410" s="285"/>
      <c r="V410" s="285"/>
      <c r="W410" s="286"/>
      <c r="X410" s="199">
        <v>1</v>
      </c>
      <c r="Y410" s="262" t="str">
        <f t="array" ref="Y410">IF(ISERROR(INDEX($CA$2:$CB$200,SMALL(IF($CA$2:$CA$200=$A$403,ROW($CA$2:$CA$200)),ROW(3:3))-1,2)),"",INDEX($CA$2:$CB$200,SMALL(IF($CA$2:$CA$200=$A$403,ROW($CA$2:$CA$200)),ROW(3:3))-1,2))</f>
        <v/>
      </c>
      <c r="Z410" s="263"/>
      <c r="AA410" s="263"/>
      <c r="AB410" s="263"/>
      <c r="AC410" s="263"/>
      <c r="AD410" s="263"/>
      <c r="AE410" s="263"/>
      <c r="AF410" s="264"/>
      <c r="AH410" s="136">
        <v>4.1666666666667997E-2</v>
      </c>
      <c r="AI410" s="136" t="s">
        <v>10</v>
      </c>
      <c r="AJ410" s="136" t="s">
        <v>120</v>
      </c>
      <c r="AK410" s="136" t="s">
        <v>10</v>
      </c>
      <c r="AL410" s="136" t="s">
        <v>120</v>
      </c>
      <c r="AM410" s="136" t="s">
        <v>10</v>
      </c>
      <c r="AN410" s="136" t="s">
        <v>120</v>
      </c>
      <c r="AO410" s="136" t="s">
        <v>10</v>
      </c>
      <c r="AP410" s="136" t="s">
        <v>120</v>
      </c>
      <c r="AQ410" s="136" t="s">
        <v>10</v>
      </c>
      <c r="AR410" s="136" t="s">
        <v>120</v>
      </c>
      <c r="AS410" s="136" t="s">
        <v>10</v>
      </c>
      <c r="AT410" s="136" t="s">
        <v>120</v>
      </c>
      <c r="AU410" s="136" t="s">
        <v>116</v>
      </c>
      <c r="AV410" s="136" t="s">
        <v>120</v>
      </c>
      <c r="AX410" s="136" t="str">
        <f>IF(AI404="","",IF(B410="","",B410))</f>
        <v>HS</v>
      </c>
      <c r="AY410" s="136" t="str">
        <f>IF(AI404="","",IF(C410="","",C410))</f>
        <v>-</v>
      </c>
      <c r="AZ410" s="136" t="str">
        <f>IF(AI404="","",IF(D410="","",D410))</f>
        <v>HS</v>
      </c>
      <c r="BA410" s="136" t="str">
        <f>IF(AI404="","",IF(E410="","",E410))</f>
        <v>-</v>
      </c>
      <c r="BB410" s="136" t="str">
        <f>IF(AI404="","",IF(F410="","",F410))</f>
        <v>HS</v>
      </c>
      <c r="BC410" s="136" t="str">
        <f>IF(AI404="","",IF(G410="","",G410))</f>
        <v>-</v>
      </c>
      <c r="BD410" s="136" t="str">
        <f>IF(AI404="","",IF(H410="","",H410))</f>
        <v>HS</v>
      </c>
      <c r="BE410" s="136" t="str">
        <f>IF(AI404="","",IF(I410="","",I410))</f>
        <v>-</v>
      </c>
      <c r="BF410" s="136" t="str">
        <f>IF(AI404="","",IF(J410="","",J410))</f>
        <v>HS</v>
      </c>
      <c r="BG410" s="136" t="str">
        <f>IF(AI404="","",IF(K410="","",K410))</f>
        <v>-</v>
      </c>
      <c r="BH410" s="136" t="str">
        <f>IF(AI404="","",IF(L410="","",L410))</f>
        <v>HS</v>
      </c>
      <c r="BI410" s="136" t="str">
        <f>IF(AI404="","",IF(M410="","",M410))</f>
        <v>-</v>
      </c>
      <c r="BJ410" s="136" t="str">
        <f>IF(AI404="","",IF(N410="","",N410))</f>
        <v>PV</v>
      </c>
      <c r="BK410" s="136" t="str">
        <f>IF(AI404="","",IF(O410="","",O410))</f>
        <v>-</v>
      </c>
      <c r="CA410" s="136">
        <f>'INFO BASE'!L480</f>
        <v>0</v>
      </c>
      <c r="CB410" s="136">
        <f>'INFO BASE'!M480</f>
        <v>0</v>
      </c>
      <c r="CR410" s="177" t="str">
        <f t="shared" si="236"/>
        <v>HS</v>
      </c>
      <c r="CS410" s="177" t="str">
        <f t="shared" si="237"/>
        <v>HS-</v>
      </c>
      <c r="CT410" s="177" t="str">
        <f t="shared" si="236"/>
        <v>HS</v>
      </c>
      <c r="CU410" s="177" t="str">
        <f t="shared" si="238"/>
        <v>HS-</v>
      </c>
      <c r="CV410" s="177" t="str">
        <f t="shared" si="236"/>
        <v>HS</v>
      </c>
      <c r="CW410" s="177" t="str">
        <f t="shared" si="239"/>
        <v>HS-</v>
      </c>
      <c r="CX410" s="177" t="str">
        <f t="shared" si="236"/>
        <v>HS</v>
      </c>
      <c r="CY410" s="177" t="str">
        <f t="shared" si="240"/>
        <v>HS-</v>
      </c>
      <c r="CZ410" s="177" t="str">
        <f t="shared" si="236"/>
        <v>HS</v>
      </c>
      <c r="DA410" s="177" t="str">
        <f t="shared" si="241"/>
        <v>HS-</v>
      </c>
      <c r="DB410" s="177" t="str">
        <f t="shared" si="236"/>
        <v>HS</v>
      </c>
      <c r="DC410" s="177" t="str">
        <f t="shared" si="242"/>
        <v>HS-</v>
      </c>
      <c r="DD410" s="177" t="str">
        <f t="shared" si="243"/>
        <v>PV</v>
      </c>
      <c r="DE410" s="177">
        <f t="shared" si="244"/>
        <v>0</v>
      </c>
    </row>
    <row r="411" spans="1:109" ht="18" customHeight="1" x14ac:dyDescent="0.3">
      <c r="A411" s="81">
        <v>6.2500000000001998E-2</v>
      </c>
      <c r="B411" s="166" t="s">
        <v>10</v>
      </c>
      <c r="C411" s="130" t="s">
        <v>120</v>
      </c>
      <c r="D411" s="169" t="s">
        <v>10</v>
      </c>
      <c r="E411" s="130" t="s">
        <v>120</v>
      </c>
      <c r="F411" s="169" t="s">
        <v>10</v>
      </c>
      <c r="G411" s="130" t="s">
        <v>120</v>
      </c>
      <c r="H411" s="169" t="s">
        <v>10</v>
      </c>
      <c r="I411" s="130" t="s">
        <v>120</v>
      </c>
      <c r="J411" s="169" t="s">
        <v>10</v>
      </c>
      <c r="K411" s="130" t="s">
        <v>120</v>
      </c>
      <c r="L411" s="169" t="s">
        <v>10</v>
      </c>
      <c r="M411" s="130" t="s">
        <v>120</v>
      </c>
      <c r="N411" s="169" t="s">
        <v>10</v>
      </c>
      <c r="O411" s="154" t="s">
        <v>120</v>
      </c>
      <c r="Q411" s="284"/>
      <c r="R411" s="285"/>
      <c r="S411" s="285"/>
      <c r="T411" s="285"/>
      <c r="U411" s="285"/>
      <c r="V411" s="285"/>
      <c r="W411" s="286"/>
      <c r="X411" s="199">
        <v>1</v>
      </c>
      <c r="Y411" s="262" t="str">
        <f t="array" ref="Y411">IF(ISERROR(INDEX($CA$2:$CB$200,SMALL(IF($CA$2:$CA$200=$A$403,ROW($CA$2:$CA$200)),ROW(4:4))-1,2)),"",INDEX($CA$2:$CB$200,SMALL(IF($CA$2:$CA$200=$A$403,ROW($CA$2:$CA$200)),ROW(4:4))-1,2))</f>
        <v/>
      </c>
      <c r="Z411" s="263"/>
      <c r="AA411" s="263"/>
      <c r="AB411" s="263"/>
      <c r="AC411" s="263"/>
      <c r="AD411" s="263"/>
      <c r="AE411" s="263"/>
      <c r="AF411" s="264"/>
      <c r="AH411" s="136">
        <v>6.2500000000001998E-2</v>
      </c>
      <c r="AI411" s="136" t="s">
        <v>10</v>
      </c>
      <c r="AJ411" s="136" t="s">
        <v>120</v>
      </c>
      <c r="AK411" s="136" t="s">
        <v>10</v>
      </c>
      <c r="AL411" s="136" t="s">
        <v>120</v>
      </c>
      <c r="AM411" s="136" t="s">
        <v>10</v>
      </c>
      <c r="AN411" s="136" t="s">
        <v>120</v>
      </c>
      <c r="AO411" s="136" t="s">
        <v>10</v>
      </c>
      <c r="AP411" s="136" t="s">
        <v>120</v>
      </c>
      <c r="AQ411" s="136" t="s">
        <v>10</v>
      </c>
      <c r="AR411" s="136" t="s">
        <v>120</v>
      </c>
      <c r="AS411" s="136" t="s">
        <v>10</v>
      </c>
      <c r="AT411" s="136" t="s">
        <v>120</v>
      </c>
      <c r="AU411" s="136" t="s">
        <v>10</v>
      </c>
      <c r="AV411" s="136" t="s">
        <v>120</v>
      </c>
      <c r="AX411" s="136" t="str">
        <f>IF(AI404="","",IF(B411="","",B411))</f>
        <v>HS</v>
      </c>
      <c r="AY411" s="136" t="str">
        <f>IF(AI404="","",IF(C411="","",C411))</f>
        <v>-</v>
      </c>
      <c r="AZ411" s="136" t="str">
        <f>IF(AI404="","",IF(D411="","",D411))</f>
        <v>HS</v>
      </c>
      <c r="BA411" s="136" t="str">
        <f>IF(AI404="","",IF(E411="","",E411))</f>
        <v>-</v>
      </c>
      <c r="BB411" s="136" t="str">
        <f>IF(AI404="","",IF(F411="","",F411))</f>
        <v>HS</v>
      </c>
      <c r="BC411" s="136" t="str">
        <f>IF(AI404="","",IF(G411="","",G411))</f>
        <v>-</v>
      </c>
      <c r="BD411" s="136" t="str">
        <f>IF(AI404="","",IF(H411="","",H411))</f>
        <v>HS</v>
      </c>
      <c r="BE411" s="136" t="str">
        <f>IF(AI404="","",IF(I411="","",I411))</f>
        <v>-</v>
      </c>
      <c r="BF411" s="136" t="str">
        <f>IF(AI404="","",IF(J411="","",J411))</f>
        <v>HS</v>
      </c>
      <c r="BG411" s="136" t="str">
        <f>IF(AI404="","",IF(K411="","",K411))</f>
        <v>-</v>
      </c>
      <c r="BH411" s="136" t="str">
        <f>IF(AI404="","",IF(L411="","",L411))</f>
        <v>HS</v>
      </c>
      <c r="BI411" s="136" t="str">
        <f>IF(AI404="","",IF(M411="","",M411))</f>
        <v>-</v>
      </c>
      <c r="BJ411" s="136" t="str">
        <f>IF(AI404="","",IF(N411="","",N411))</f>
        <v>HS</v>
      </c>
      <c r="BK411" s="136" t="str">
        <f>IF(AI404="","",IF(O411="","",O411))</f>
        <v>-</v>
      </c>
      <c r="CA411" s="136">
        <f>'INFO BASE'!L481</f>
        <v>0</v>
      </c>
      <c r="CB411" s="136">
        <f>'INFO BASE'!M481</f>
        <v>0</v>
      </c>
      <c r="CR411" s="177" t="str">
        <f t="shared" si="236"/>
        <v>HS</v>
      </c>
      <c r="CS411" s="177" t="str">
        <f t="shared" si="237"/>
        <v>HS-</v>
      </c>
      <c r="CT411" s="177" t="str">
        <f t="shared" si="236"/>
        <v>HS</v>
      </c>
      <c r="CU411" s="177" t="str">
        <f t="shared" si="238"/>
        <v>HS-</v>
      </c>
      <c r="CV411" s="177" t="str">
        <f t="shared" si="236"/>
        <v>HS</v>
      </c>
      <c r="CW411" s="177" t="str">
        <f t="shared" si="239"/>
        <v>HS-</v>
      </c>
      <c r="CX411" s="177" t="str">
        <f t="shared" si="236"/>
        <v>HS</v>
      </c>
      <c r="CY411" s="177" t="str">
        <f t="shared" si="240"/>
        <v>HS-</v>
      </c>
      <c r="CZ411" s="177" t="str">
        <f t="shared" si="236"/>
        <v>HS</v>
      </c>
      <c r="DA411" s="177" t="str">
        <f t="shared" si="241"/>
        <v>HS-</v>
      </c>
      <c r="DB411" s="177" t="str">
        <f t="shared" si="236"/>
        <v>HS</v>
      </c>
      <c r="DC411" s="177" t="str">
        <f t="shared" si="242"/>
        <v>HS-</v>
      </c>
      <c r="DD411" s="177" t="str">
        <f t="shared" si="243"/>
        <v>HS</v>
      </c>
      <c r="DE411" s="177" t="str">
        <f t="shared" si="244"/>
        <v>HS-</v>
      </c>
    </row>
    <row r="412" spans="1:109" ht="18" customHeight="1" x14ac:dyDescent="0.3">
      <c r="A412" s="81">
        <v>8.3333333333335993E-2</v>
      </c>
      <c r="B412" s="166" t="s">
        <v>10</v>
      </c>
      <c r="C412" s="130" t="s">
        <v>120</v>
      </c>
      <c r="D412" s="169" t="s">
        <v>10</v>
      </c>
      <c r="E412" s="130" t="s">
        <v>120</v>
      </c>
      <c r="F412" s="169" t="s">
        <v>10</v>
      </c>
      <c r="G412" s="130" t="s">
        <v>120</v>
      </c>
      <c r="H412" s="169" t="s">
        <v>10</v>
      </c>
      <c r="I412" s="130" t="s">
        <v>120</v>
      </c>
      <c r="J412" s="169" t="s">
        <v>10</v>
      </c>
      <c r="K412" s="130" t="s">
        <v>120</v>
      </c>
      <c r="L412" s="169" t="s">
        <v>10</v>
      </c>
      <c r="M412" s="130" t="s">
        <v>120</v>
      </c>
      <c r="N412" s="169" t="s">
        <v>10</v>
      </c>
      <c r="O412" s="154" t="s">
        <v>120</v>
      </c>
      <c r="Q412" s="284"/>
      <c r="R412" s="285"/>
      <c r="S412" s="285"/>
      <c r="T412" s="285"/>
      <c r="U412" s="285"/>
      <c r="V412" s="285"/>
      <c r="W412" s="286"/>
      <c r="X412" s="199">
        <v>1</v>
      </c>
      <c r="Y412" s="262" t="str">
        <f t="array" ref="Y412">IF(ISERROR(INDEX($CA$2:$CB$200,SMALL(IF($CA$2:$CA$200=$A$403,ROW($CA$2:$CA$200)),ROW(5:5))-1,2)),"",INDEX($CA$2:$CB$200,SMALL(IF($CA$2:$CA$200=$A$403,ROW($CA$2:$CA$200)),ROW(5:5))-1,2))</f>
        <v/>
      </c>
      <c r="Z412" s="263"/>
      <c r="AA412" s="263"/>
      <c r="AB412" s="263"/>
      <c r="AC412" s="263"/>
      <c r="AD412" s="263"/>
      <c r="AE412" s="263"/>
      <c r="AF412" s="264"/>
      <c r="AH412" s="136">
        <v>8.3333333333335993E-2</v>
      </c>
      <c r="AI412" s="136" t="s">
        <v>10</v>
      </c>
      <c r="AJ412" s="136" t="s">
        <v>120</v>
      </c>
      <c r="AK412" s="136" t="s">
        <v>10</v>
      </c>
      <c r="AL412" s="136" t="s">
        <v>120</v>
      </c>
      <c r="AM412" s="136" t="s">
        <v>10</v>
      </c>
      <c r="AN412" s="136" t="s">
        <v>120</v>
      </c>
      <c r="AO412" s="136" t="s">
        <v>10</v>
      </c>
      <c r="AP412" s="136" t="s">
        <v>120</v>
      </c>
      <c r="AQ412" s="136" t="s">
        <v>10</v>
      </c>
      <c r="AR412" s="136" t="s">
        <v>120</v>
      </c>
      <c r="AS412" s="136" t="s">
        <v>10</v>
      </c>
      <c r="AT412" s="136" t="s">
        <v>120</v>
      </c>
      <c r="AU412" s="136" t="s">
        <v>10</v>
      </c>
      <c r="AV412" s="136" t="s">
        <v>120</v>
      </c>
      <c r="AX412" s="136" t="str">
        <f>IF(AI404="","",IF(B412="","",B412))</f>
        <v>HS</v>
      </c>
      <c r="AY412" s="136" t="str">
        <f>IF(AI404="","",IF(C412="","",C412))</f>
        <v>-</v>
      </c>
      <c r="AZ412" s="136" t="str">
        <f>IF(AI404="","",IF(D412="","",D412))</f>
        <v>HS</v>
      </c>
      <c r="BA412" s="136" t="str">
        <f>IF(AI404="","",IF(E412="","",E412))</f>
        <v>-</v>
      </c>
      <c r="BB412" s="136" t="str">
        <f>IF(AI404="","",IF(F412="","",F412))</f>
        <v>HS</v>
      </c>
      <c r="BC412" s="136" t="str">
        <f>IF(AI404="","",IF(G412="","",G412))</f>
        <v>-</v>
      </c>
      <c r="BD412" s="136" t="str">
        <f>IF(AI404="","",IF(H412="","",H412))</f>
        <v>HS</v>
      </c>
      <c r="BE412" s="136" t="str">
        <f>IF(AI404="","",IF(I412="","",I412))</f>
        <v>-</v>
      </c>
      <c r="BF412" s="136" t="str">
        <f>IF(AI404="","",IF(J412="","",J412))</f>
        <v>HS</v>
      </c>
      <c r="BG412" s="136" t="str">
        <f>IF(AI404="","",IF(K412="","",K412))</f>
        <v>-</v>
      </c>
      <c r="BH412" s="136" t="str">
        <f>IF(AI404="","",IF(L412="","",L412))</f>
        <v>HS</v>
      </c>
      <c r="BI412" s="136" t="str">
        <f>IF(AI404="","",IF(M412="","",M412))</f>
        <v>-</v>
      </c>
      <c r="BJ412" s="136" t="str">
        <f>IF(AI404="","",IF(N412="","",N412))</f>
        <v>HS</v>
      </c>
      <c r="BK412" s="136" t="str">
        <f>IF(AI404="","",IF(O412="","",O412))</f>
        <v>-</v>
      </c>
      <c r="CA412" s="136">
        <f>'INFO BASE'!L482</f>
        <v>0</v>
      </c>
      <c r="CB412" s="136">
        <f>'INFO BASE'!M482</f>
        <v>0</v>
      </c>
      <c r="CD412" s="136" t="str">
        <f t="shared" ref="CD412:CD417" si="245">R420</f>
        <v>FP</v>
      </c>
      <c r="CR412" s="177" t="str">
        <f t="shared" si="236"/>
        <v>HS</v>
      </c>
      <c r="CS412" s="177" t="str">
        <f t="shared" si="237"/>
        <v>HS-</v>
      </c>
      <c r="CT412" s="177" t="str">
        <f t="shared" si="236"/>
        <v>HS</v>
      </c>
      <c r="CU412" s="177" t="str">
        <f t="shared" si="238"/>
        <v>HS-</v>
      </c>
      <c r="CV412" s="177" t="str">
        <f t="shared" si="236"/>
        <v>HS</v>
      </c>
      <c r="CW412" s="177" t="str">
        <f t="shared" si="239"/>
        <v>HS-</v>
      </c>
      <c r="CX412" s="177" t="str">
        <f t="shared" si="236"/>
        <v>HS</v>
      </c>
      <c r="CY412" s="177" t="str">
        <f t="shared" si="240"/>
        <v>HS-</v>
      </c>
      <c r="CZ412" s="177" t="str">
        <f t="shared" si="236"/>
        <v>HS</v>
      </c>
      <c r="DA412" s="177" t="str">
        <f t="shared" si="241"/>
        <v>HS-</v>
      </c>
      <c r="DB412" s="177" t="str">
        <f t="shared" si="236"/>
        <v>HS</v>
      </c>
      <c r="DC412" s="177" t="str">
        <f t="shared" si="242"/>
        <v>HS-</v>
      </c>
      <c r="DD412" s="177" t="str">
        <f t="shared" si="243"/>
        <v>HS</v>
      </c>
      <c r="DE412" s="177" t="str">
        <f t="shared" si="244"/>
        <v>HS-</v>
      </c>
    </row>
    <row r="413" spans="1:109" ht="18" customHeight="1" x14ac:dyDescent="0.3">
      <c r="A413" s="81">
        <v>0.10416666666667</v>
      </c>
      <c r="B413" s="166" t="s">
        <v>10</v>
      </c>
      <c r="C413" s="130" t="s">
        <v>120</v>
      </c>
      <c r="D413" s="169" t="s">
        <v>10</v>
      </c>
      <c r="E413" s="130" t="s">
        <v>120</v>
      </c>
      <c r="F413" s="169" t="s">
        <v>10</v>
      </c>
      <c r="G413" s="130" t="s">
        <v>120</v>
      </c>
      <c r="H413" s="169" t="s">
        <v>10</v>
      </c>
      <c r="I413" s="130" t="s">
        <v>120</v>
      </c>
      <c r="J413" s="169" t="s">
        <v>10</v>
      </c>
      <c r="K413" s="130" t="s">
        <v>120</v>
      </c>
      <c r="L413" s="169" t="s">
        <v>10</v>
      </c>
      <c r="M413" s="130" t="s">
        <v>120</v>
      </c>
      <c r="N413" s="169" t="s">
        <v>10</v>
      </c>
      <c r="O413" s="154" t="s">
        <v>120</v>
      </c>
      <c r="Q413" s="284"/>
      <c r="R413" s="285"/>
      <c r="S413" s="285"/>
      <c r="T413" s="285"/>
      <c r="U413" s="285"/>
      <c r="V413" s="285"/>
      <c r="W413" s="286"/>
      <c r="X413" s="199">
        <v>1</v>
      </c>
      <c r="Y413" s="262" t="str">
        <f t="array" ref="Y413">IF(ISERROR(INDEX($CA$2:$CB$200,SMALL(IF($CA$2:$CA$200=$A$403,ROW($CA$2:$CA$200)),ROW(6:6))-1,2)),"",INDEX($CA$2:$CB$200,SMALL(IF($CA$2:$CA$200=$A$403,ROW($CA$2:$CA$200)),ROW(6:6))-1,2))</f>
        <v/>
      </c>
      <c r="Z413" s="263"/>
      <c r="AA413" s="263"/>
      <c r="AB413" s="263"/>
      <c r="AC413" s="263"/>
      <c r="AD413" s="263"/>
      <c r="AE413" s="263"/>
      <c r="AF413" s="264"/>
      <c r="AH413" s="136">
        <v>0.10416666666667</v>
      </c>
      <c r="AI413" s="136" t="s">
        <v>10</v>
      </c>
      <c r="AJ413" s="136" t="s">
        <v>120</v>
      </c>
      <c r="AK413" s="136" t="s">
        <v>10</v>
      </c>
      <c r="AL413" s="136" t="s">
        <v>120</v>
      </c>
      <c r="AM413" s="136" t="s">
        <v>10</v>
      </c>
      <c r="AN413" s="136" t="s">
        <v>120</v>
      </c>
      <c r="AO413" s="136" t="s">
        <v>10</v>
      </c>
      <c r="AP413" s="136" t="s">
        <v>120</v>
      </c>
      <c r="AQ413" s="136" t="s">
        <v>10</v>
      </c>
      <c r="AR413" s="136" t="s">
        <v>120</v>
      </c>
      <c r="AS413" s="136" t="s">
        <v>10</v>
      </c>
      <c r="AT413" s="136" t="s">
        <v>120</v>
      </c>
      <c r="AU413" s="136" t="s">
        <v>10</v>
      </c>
      <c r="AV413" s="136" t="s">
        <v>120</v>
      </c>
      <c r="AX413" s="136" t="str">
        <f>IF(AI404="","",IF(B413="","",B413))</f>
        <v>HS</v>
      </c>
      <c r="AY413" s="136" t="str">
        <f>IF(AI404="","",IF(C413="","",C413))</f>
        <v>-</v>
      </c>
      <c r="AZ413" s="136" t="str">
        <f>IF(AI404="","",IF(D413="","",D413))</f>
        <v>HS</v>
      </c>
      <c r="BA413" s="136" t="str">
        <f>IF(AI404="","",IF(E413="","",E413))</f>
        <v>-</v>
      </c>
      <c r="BB413" s="136" t="str">
        <f>IF(AI404="","",IF(F413="","",F413))</f>
        <v>HS</v>
      </c>
      <c r="BC413" s="136" t="str">
        <f>IF(AI404="","",IF(G413="","",G413))</f>
        <v>-</v>
      </c>
      <c r="BD413" s="136" t="str">
        <f>IF(AI404="","",IF(H413="","",H413))</f>
        <v>HS</v>
      </c>
      <c r="BE413" s="136" t="str">
        <f>IF(AI404="","",IF(I413="","",I413))</f>
        <v>-</v>
      </c>
      <c r="BF413" s="136" t="str">
        <f>IF(AI404="","",IF(J413="","",J413))</f>
        <v>HS</v>
      </c>
      <c r="BG413" s="136" t="str">
        <f>IF(AI404="","",IF(K413="","",K413))</f>
        <v>-</v>
      </c>
      <c r="BH413" s="136" t="str">
        <f>IF(AI404="","",IF(L413="","",L413))</f>
        <v>HS</v>
      </c>
      <c r="BI413" s="136" t="str">
        <f>IF(AI404="","",IF(M413="","",M413))</f>
        <v>-</v>
      </c>
      <c r="BJ413" s="136" t="str">
        <f>IF(AI404="","",IF(N413="","",N413))</f>
        <v>HS</v>
      </c>
      <c r="BK413" s="136" t="str">
        <f>IF(AI404="","",IF(O413="","",O413))</f>
        <v>-</v>
      </c>
      <c r="CA413" s="136">
        <f>'INFO BASE'!L493</f>
        <v>0</v>
      </c>
      <c r="CB413" s="136">
        <f>'INFO BASE'!M493</f>
        <v>0</v>
      </c>
      <c r="CD413" s="136" t="str">
        <f t="shared" si="245"/>
        <v>IEI</v>
      </c>
      <c r="CR413" s="177" t="str">
        <f t="shared" si="236"/>
        <v>HS</v>
      </c>
      <c r="CS413" s="177" t="str">
        <f t="shared" si="237"/>
        <v>HS-</v>
      </c>
      <c r="CT413" s="177" t="str">
        <f t="shared" si="236"/>
        <v>HS</v>
      </c>
      <c r="CU413" s="177" t="str">
        <f t="shared" si="238"/>
        <v>HS-</v>
      </c>
      <c r="CV413" s="177" t="str">
        <f t="shared" si="236"/>
        <v>HS</v>
      </c>
      <c r="CW413" s="177" t="str">
        <f t="shared" si="239"/>
        <v>HS-</v>
      </c>
      <c r="CX413" s="177" t="str">
        <f t="shared" si="236"/>
        <v>HS</v>
      </c>
      <c r="CY413" s="177" t="str">
        <f t="shared" si="240"/>
        <v>HS-</v>
      </c>
      <c r="CZ413" s="177" t="str">
        <f t="shared" si="236"/>
        <v>HS</v>
      </c>
      <c r="DA413" s="177" t="str">
        <f t="shared" si="241"/>
        <v>HS-</v>
      </c>
      <c r="DB413" s="177" t="str">
        <f t="shared" si="236"/>
        <v>HS</v>
      </c>
      <c r="DC413" s="177" t="str">
        <f t="shared" si="242"/>
        <v>HS-</v>
      </c>
      <c r="DD413" s="177" t="str">
        <f t="shared" si="243"/>
        <v>HS</v>
      </c>
      <c r="DE413" s="177" t="str">
        <f t="shared" si="244"/>
        <v>HS-</v>
      </c>
    </row>
    <row r="414" spans="1:109" ht="18" customHeight="1" x14ac:dyDescent="0.3">
      <c r="A414" s="81">
        <v>0.125000000000004</v>
      </c>
      <c r="B414" s="166" t="s">
        <v>10</v>
      </c>
      <c r="C414" s="130" t="s">
        <v>120</v>
      </c>
      <c r="D414" s="169" t="s">
        <v>10</v>
      </c>
      <c r="E414" s="130" t="s">
        <v>120</v>
      </c>
      <c r="F414" s="169" t="s">
        <v>10</v>
      </c>
      <c r="G414" s="130" t="s">
        <v>120</v>
      </c>
      <c r="H414" s="169" t="s">
        <v>10</v>
      </c>
      <c r="I414" s="130" t="s">
        <v>120</v>
      </c>
      <c r="J414" s="169" t="s">
        <v>10</v>
      </c>
      <c r="K414" s="130" t="s">
        <v>120</v>
      </c>
      <c r="L414" s="169" t="s">
        <v>10</v>
      </c>
      <c r="M414" s="130" t="s">
        <v>120</v>
      </c>
      <c r="N414" s="169" t="s">
        <v>10</v>
      </c>
      <c r="O414" s="154" t="s">
        <v>120</v>
      </c>
      <c r="Q414" s="284"/>
      <c r="R414" s="285"/>
      <c r="S414" s="285"/>
      <c r="T414" s="285"/>
      <c r="U414" s="285"/>
      <c r="V414" s="285"/>
      <c r="W414" s="286"/>
      <c r="X414" s="199">
        <v>1</v>
      </c>
      <c r="Y414" s="262" t="str">
        <f t="array" ref="Y414">IF(ISERROR(INDEX($CA$2:$CB$200,SMALL(IF($CA$2:$CA$200=$A$403,ROW($CA$2:$CA$200)),ROW(7:7))-1,2)),"",INDEX($CA$2:$CB$200,SMALL(IF($CA$2:$CA$200=$A$403,ROW($CA$2:$CA$200)),ROW(7:7))-1,2))</f>
        <v/>
      </c>
      <c r="Z414" s="263"/>
      <c r="AA414" s="263"/>
      <c r="AB414" s="263"/>
      <c r="AC414" s="263"/>
      <c r="AD414" s="263"/>
      <c r="AE414" s="263"/>
      <c r="AF414" s="264"/>
      <c r="AH414" s="136">
        <v>0.125000000000004</v>
      </c>
      <c r="AI414" s="136" t="s">
        <v>10</v>
      </c>
      <c r="AJ414" s="136" t="s">
        <v>120</v>
      </c>
      <c r="AK414" s="136" t="s">
        <v>10</v>
      </c>
      <c r="AL414" s="136" t="s">
        <v>120</v>
      </c>
      <c r="AM414" s="136" t="s">
        <v>10</v>
      </c>
      <c r="AN414" s="136" t="s">
        <v>120</v>
      </c>
      <c r="AO414" s="136" t="s">
        <v>10</v>
      </c>
      <c r="AP414" s="136" t="s">
        <v>120</v>
      </c>
      <c r="AQ414" s="136" t="s">
        <v>10</v>
      </c>
      <c r="AR414" s="136" t="s">
        <v>120</v>
      </c>
      <c r="AS414" s="136" t="s">
        <v>10</v>
      </c>
      <c r="AT414" s="136" t="s">
        <v>120</v>
      </c>
      <c r="AU414" s="136" t="s">
        <v>10</v>
      </c>
      <c r="AV414" s="136" t="s">
        <v>120</v>
      </c>
      <c r="AX414" s="136" t="str">
        <f>IF(AI404="","",IF(B414="","",B414))</f>
        <v>HS</v>
      </c>
      <c r="AY414" s="136" t="str">
        <f>IF(AI404="","",IF(C414="","",C414))</f>
        <v>-</v>
      </c>
      <c r="AZ414" s="136" t="str">
        <f>IF(AI404="","",IF(D414="","",D414))</f>
        <v>HS</v>
      </c>
      <c r="BA414" s="136" t="str">
        <f>IF(AI404="","",IF(E414="","",E414))</f>
        <v>-</v>
      </c>
      <c r="BB414" s="136" t="str">
        <f>IF(AI404="","",IF(F414="","",F414))</f>
        <v>HS</v>
      </c>
      <c r="BC414" s="136" t="str">
        <f>IF(AI404="","",IF(G414="","",G414))</f>
        <v>-</v>
      </c>
      <c r="BD414" s="136" t="str">
        <f>IF(AI404="","",IF(H414="","",H414))</f>
        <v>HS</v>
      </c>
      <c r="BE414" s="136" t="str">
        <f>IF(AI404="","",IF(I414="","",I414))</f>
        <v>-</v>
      </c>
      <c r="BF414" s="136" t="str">
        <f>IF(AI404="","",IF(J414="","",J414))</f>
        <v>HS</v>
      </c>
      <c r="BG414" s="136" t="str">
        <f>IF(AI404="","",IF(K414="","",K414))</f>
        <v>-</v>
      </c>
      <c r="BH414" s="136" t="str">
        <f>IF(AI404="","",IF(L414="","",L414))</f>
        <v>HS</v>
      </c>
      <c r="BI414" s="136" t="str">
        <f>IF(AI404="","",IF(M414="","",M414))</f>
        <v>-</v>
      </c>
      <c r="BJ414" s="136" t="str">
        <f>IF(AI404="","",IF(N414="","",N414))</f>
        <v>HS</v>
      </c>
      <c r="BK414" s="136" t="str">
        <f>IF(AI404="","",IF(O414="","",O414))</f>
        <v>-</v>
      </c>
      <c r="CA414" s="136">
        <f>'INFO BASE'!L494</f>
        <v>0</v>
      </c>
      <c r="CB414" s="136">
        <f>'INFO BASE'!M494</f>
        <v>0</v>
      </c>
      <c r="CD414" s="136" t="str">
        <f t="shared" si="245"/>
        <v>IAC</v>
      </c>
      <c r="CR414" s="177" t="str">
        <f t="shared" si="236"/>
        <v>HS</v>
      </c>
      <c r="CS414" s="177" t="str">
        <f t="shared" si="237"/>
        <v>HS-</v>
      </c>
      <c r="CT414" s="177" t="str">
        <f t="shared" si="236"/>
        <v>HS</v>
      </c>
      <c r="CU414" s="177" t="str">
        <f t="shared" si="238"/>
        <v>HS-</v>
      </c>
      <c r="CV414" s="177" t="str">
        <f t="shared" si="236"/>
        <v>HS</v>
      </c>
      <c r="CW414" s="177" t="str">
        <f t="shared" si="239"/>
        <v>HS-</v>
      </c>
      <c r="CX414" s="177" t="str">
        <f t="shared" si="236"/>
        <v>HS</v>
      </c>
      <c r="CY414" s="177" t="str">
        <f t="shared" si="240"/>
        <v>HS-</v>
      </c>
      <c r="CZ414" s="177" t="str">
        <f t="shared" si="236"/>
        <v>HS</v>
      </c>
      <c r="DA414" s="177" t="str">
        <f t="shared" si="241"/>
        <v>HS-</v>
      </c>
      <c r="DB414" s="177" t="str">
        <f t="shared" si="236"/>
        <v>HS</v>
      </c>
      <c r="DC414" s="177" t="str">
        <f t="shared" si="242"/>
        <v>HS-</v>
      </c>
      <c r="DD414" s="177" t="str">
        <f t="shared" si="243"/>
        <v>HS</v>
      </c>
      <c r="DE414" s="177" t="str">
        <f t="shared" si="244"/>
        <v>HS-</v>
      </c>
    </row>
    <row r="415" spans="1:109" ht="18" customHeight="1" thickBot="1" x14ac:dyDescent="0.35">
      <c r="A415" s="81">
        <v>0.14583333333333801</v>
      </c>
      <c r="B415" s="166" t="s">
        <v>10</v>
      </c>
      <c r="C415" s="130" t="s">
        <v>120</v>
      </c>
      <c r="D415" s="169" t="s">
        <v>10</v>
      </c>
      <c r="E415" s="130" t="s">
        <v>120</v>
      </c>
      <c r="F415" s="169" t="s">
        <v>10</v>
      </c>
      <c r="G415" s="130" t="s">
        <v>120</v>
      </c>
      <c r="H415" s="169" t="s">
        <v>10</v>
      </c>
      <c r="I415" s="130" t="s">
        <v>120</v>
      </c>
      <c r="J415" s="169" t="s">
        <v>10</v>
      </c>
      <c r="K415" s="130" t="s">
        <v>120</v>
      </c>
      <c r="L415" s="169" t="s">
        <v>10</v>
      </c>
      <c r="M415" s="130" t="s">
        <v>120</v>
      </c>
      <c r="N415" s="169" t="s">
        <v>10</v>
      </c>
      <c r="O415" s="154" t="s">
        <v>120</v>
      </c>
      <c r="Q415" s="287"/>
      <c r="R415" s="288"/>
      <c r="S415" s="288"/>
      <c r="T415" s="288"/>
      <c r="U415" s="288"/>
      <c r="V415" s="288"/>
      <c r="W415" s="289"/>
      <c r="X415" s="199">
        <v>1</v>
      </c>
      <c r="Y415" s="265" t="str">
        <f t="array" ref="Y415">IF(ISERROR(INDEX($CA$2:$CB$200,SMALL(IF($CA$2:$CA$200=$A$403,ROW($CA$2:$CA$200)),ROW(8:8))-1,2)),"",INDEX($CA$2:$CB$200,SMALL(IF($CA$2:$CA$200=$A$403,ROW($CA$2:$CA$200)),ROW(8:8))-1,2))</f>
        <v/>
      </c>
      <c r="Z415" s="266"/>
      <c r="AA415" s="266"/>
      <c r="AB415" s="266"/>
      <c r="AC415" s="266"/>
      <c r="AD415" s="266"/>
      <c r="AE415" s="266"/>
      <c r="AF415" s="267"/>
      <c r="AH415" s="136">
        <v>0.14583333333333801</v>
      </c>
      <c r="AI415" s="136" t="s">
        <v>10</v>
      </c>
      <c r="AJ415" s="136" t="s">
        <v>120</v>
      </c>
      <c r="AK415" s="136" t="s">
        <v>10</v>
      </c>
      <c r="AL415" s="136" t="s">
        <v>120</v>
      </c>
      <c r="AM415" s="136" t="s">
        <v>10</v>
      </c>
      <c r="AN415" s="136" t="s">
        <v>120</v>
      </c>
      <c r="AO415" s="136" t="s">
        <v>10</v>
      </c>
      <c r="AP415" s="136" t="s">
        <v>120</v>
      </c>
      <c r="AQ415" s="136" t="s">
        <v>10</v>
      </c>
      <c r="AR415" s="136" t="s">
        <v>120</v>
      </c>
      <c r="AS415" s="136" t="s">
        <v>10</v>
      </c>
      <c r="AT415" s="136" t="s">
        <v>120</v>
      </c>
      <c r="AU415" s="136" t="s">
        <v>10</v>
      </c>
      <c r="AV415" s="136" t="s">
        <v>120</v>
      </c>
      <c r="AX415" s="136" t="str">
        <f>IF(AI404="","",IF(B415="","",B415))</f>
        <v>HS</v>
      </c>
      <c r="AY415" s="136" t="str">
        <f>IF(AI404="","",IF(C415="","",C415))</f>
        <v>-</v>
      </c>
      <c r="AZ415" s="136" t="str">
        <f>IF(AI404="","",IF(D415="","",D415))</f>
        <v>HS</v>
      </c>
      <c r="BA415" s="136" t="str">
        <f>IF(AI404="","",IF(E415="","",E415))</f>
        <v>-</v>
      </c>
      <c r="BB415" s="136" t="str">
        <f>IF(AI404="","",IF(F415="","",F415))</f>
        <v>HS</v>
      </c>
      <c r="BC415" s="136" t="str">
        <f>IF(AI404="","",IF(G415="","",G415))</f>
        <v>-</v>
      </c>
      <c r="BD415" s="136" t="str">
        <f>IF(AI404="","",IF(H415="","",H415))</f>
        <v>HS</v>
      </c>
      <c r="BE415" s="136" t="str">
        <f>IF(AI404="","",IF(I415="","",I415))</f>
        <v>-</v>
      </c>
      <c r="BF415" s="136" t="str">
        <f>IF(AI404="","",IF(J415="","",J415))</f>
        <v>HS</v>
      </c>
      <c r="BG415" s="136" t="str">
        <f>IF(AI404="","",IF(K415="","",K415))</f>
        <v>-</v>
      </c>
      <c r="BH415" s="136" t="str">
        <f>IF(AI404="","",IF(L415="","",L415))</f>
        <v>HS</v>
      </c>
      <c r="BI415" s="136" t="str">
        <f>IF(AI404="","",IF(M415="","",M415))</f>
        <v>-</v>
      </c>
      <c r="BJ415" s="136" t="str">
        <f>IF(AI404="","",IF(N415="","",N415))</f>
        <v>HS</v>
      </c>
      <c r="BK415" s="136" t="str">
        <f>IF(AI404="","",IF(O415="","",O415))</f>
        <v>-</v>
      </c>
      <c r="CA415" s="136">
        <f>'INFO BASE'!L495</f>
        <v>0</v>
      </c>
      <c r="CB415" s="136">
        <f>'INFO BASE'!M495</f>
        <v>0</v>
      </c>
      <c r="CD415" s="136" t="str">
        <f t="shared" si="245"/>
        <v>AL</v>
      </c>
      <c r="CR415" s="177" t="str">
        <f t="shared" si="236"/>
        <v>HS</v>
      </c>
      <c r="CS415" s="177" t="str">
        <f t="shared" si="237"/>
        <v>HS-</v>
      </c>
      <c r="CT415" s="177" t="str">
        <f t="shared" si="236"/>
        <v>HS</v>
      </c>
      <c r="CU415" s="177" t="str">
        <f t="shared" si="238"/>
        <v>HS-</v>
      </c>
      <c r="CV415" s="177" t="str">
        <f t="shared" si="236"/>
        <v>HS</v>
      </c>
      <c r="CW415" s="177" t="str">
        <f t="shared" si="239"/>
        <v>HS-</v>
      </c>
      <c r="CX415" s="177" t="str">
        <f t="shared" si="236"/>
        <v>HS</v>
      </c>
      <c r="CY415" s="177" t="str">
        <f t="shared" si="240"/>
        <v>HS-</v>
      </c>
      <c r="CZ415" s="177" t="str">
        <f t="shared" si="236"/>
        <v>HS</v>
      </c>
      <c r="DA415" s="177" t="str">
        <f t="shared" si="241"/>
        <v>HS-</v>
      </c>
      <c r="DB415" s="177" t="str">
        <f t="shared" si="236"/>
        <v>HS</v>
      </c>
      <c r="DC415" s="177" t="str">
        <f t="shared" si="242"/>
        <v>HS-</v>
      </c>
      <c r="DD415" s="177" t="str">
        <f t="shared" si="243"/>
        <v>HS</v>
      </c>
      <c r="DE415" s="177" t="str">
        <f t="shared" si="244"/>
        <v>HS-</v>
      </c>
    </row>
    <row r="416" spans="1:109" ht="18" customHeight="1" thickBot="1" x14ac:dyDescent="0.35">
      <c r="A416" s="81">
        <v>0.16666666666667199</v>
      </c>
      <c r="B416" s="166" t="s">
        <v>10</v>
      </c>
      <c r="C416" s="130" t="s">
        <v>120</v>
      </c>
      <c r="D416" s="169" t="s">
        <v>10</v>
      </c>
      <c r="E416" s="130" t="s">
        <v>120</v>
      </c>
      <c r="F416" s="169" t="s">
        <v>10</v>
      </c>
      <c r="G416" s="130" t="s">
        <v>120</v>
      </c>
      <c r="H416" s="169" t="s">
        <v>10</v>
      </c>
      <c r="I416" s="130" t="s">
        <v>120</v>
      </c>
      <c r="J416" s="169" t="s">
        <v>10</v>
      </c>
      <c r="K416" s="130" t="s">
        <v>120</v>
      </c>
      <c r="L416" s="169" t="s">
        <v>10</v>
      </c>
      <c r="M416" s="130" t="s">
        <v>120</v>
      </c>
      <c r="N416" s="169" t="s">
        <v>10</v>
      </c>
      <c r="O416" s="154" t="s">
        <v>120</v>
      </c>
      <c r="Q416" s="63"/>
      <c r="R416" s="64"/>
      <c r="S416" s="65"/>
      <c r="T416" s="65"/>
      <c r="U416" s="65"/>
      <c r="V416" s="65"/>
      <c r="W416" s="65"/>
      <c r="X416" s="199">
        <v>1</v>
      </c>
      <c r="Y416" s="59"/>
      <c r="Z416" s="59"/>
      <c r="AA416" s="59"/>
      <c r="AB416" s="59"/>
      <c r="AC416" s="59"/>
      <c r="AD416" s="59"/>
      <c r="AE416" s="59"/>
      <c r="AF416" s="59"/>
      <c r="AH416" s="136">
        <v>0.16666666666667199</v>
      </c>
      <c r="AI416" s="136" t="s">
        <v>10</v>
      </c>
      <c r="AJ416" s="136" t="s">
        <v>120</v>
      </c>
      <c r="AK416" s="136" t="s">
        <v>10</v>
      </c>
      <c r="AL416" s="136" t="s">
        <v>120</v>
      </c>
      <c r="AM416" s="136" t="s">
        <v>10</v>
      </c>
      <c r="AN416" s="136" t="s">
        <v>120</v>
      </c>
      <c r="AO416" s="136" t="s">
        <v>10</v>
      </c>
      <c r="AP416" s="136" t="s">
        <v>120</v>
      </c>
      <c r="AQ416" s="136" t="s">
        <v>10</v>
      </c>
      <c r="AR416" s="136" t="s">
        <v>120</v>
      </c>
      <c r="AS416" s="136" t="s">
        <v>10</v>
      </c>
      <c r="AT416" s="136" t="s">
        <v>120</v>
      </c>
      <c r="AU416" s="136" t="s">
        <v>10</v>
      </c>
      <c r="AV416" s="136" t="s">
        <v>120</v>
      </c>
      <c r="AX416" s="136" t="str">
        <f>IF(AI404="","",IF(B416="","",B416))</f>
        <v>HS</v>
      </c>
      <c r="AY416" s="136" t="str">
        <f>IF(AI404="","",IF(C416="","",C416))</f>
        <v>-</v>
      </c>
      <c r="AZ416" s="136" t="str">
        <f>IF(AI404="","",IF(D416="","",D416))</f>
        <v>HS</v>
      </c>
      <c r="BA416" s="136" t="str">
        <f>IF(AI404="","",IF(E416="","",E416))</f>
        <v>-</v>
      </c>
      <c r="BB416" s="136" t="str">
        <f>IF(AI404="","",IF(F416="","",F416))</f>
        <v>HS</v>
      </c>
      <c r="BC416" s="136" t="str">
        <f>IF(AI404="","",IF(G416="","",G416))</f>
        <v>-</v>
      </c>
      <c r="BD416" s="136" t="str">
        <f>IF(AI404="","",IF(H416="","",H416))</f>
        <v>HS</v>
      </c>
      <c r="BE416" s="136" t="str">
        <f>IF(AI404="","",IF(I416="","",I416))</f>
        <v>-</v>
      </c>
      <c r="BF416" s="136" t="str">
        <f>IF(AI404="","",IF(J416="","",J416))</f>
        <v>HS</v>
      </c>
      <c r="BG416" s="136" t="str">
        <f>IF(AI404="","",IF(K416="","",K416))</f>
        <v>-</v>
      </c>
      <c r="BH416" s="136" t="str">
        <f>IF(AI404="","",IF(L416="","",L416))</f>
        <v>HS</v>
      </c>
      <c r="BI416" s="136" t="str">
        <f>IF(AI404="","",IF(M416="","",M416))</f>
        <v>-</v>
      </c>
      <c r="BJ416" s="136" t="str">
        <f>IF(AI404="","",IF(N416="","",N416))</f>
        <v>HS</v>
      </c>
      <c r="BK416" s="136" t="str">
        <f>IF(AI404="","",IF(O416="","",O416))</f>
        <v>-</v>
      </c>
      <c r="BM416" s="136" t="str">
        <f>BO416</f>
        <v>EA</v>
      </c>
      <c r="BN416" s="136" t="str">
        <f t="shared" ref="BN416:BO452" si="246">Q419</f>
        <v>Estudo Autónomo</v>
      </c>
      <c r="BO416" s="136" t="str">
        <f t="shared" si="246"/>
        <v>EA</v>
      </c>
      <c r="BP416" s="136">
        <f>COUNTIFS(AX408:BK455,BO416)*0.5</f>
        <v>18</v>
      </c>
      <c r="BQ416" s="136" t="str">
        <f t="shared" ref="BQ416:BR452" si="247">BN416</f>
        <v>Estudo Autónomo</v>
      </c>
      <c r="BR416" s="136" t="str">
        <f t="shared" si="247"/>
        <v>EA</v>
      </c>
      <c r="BS416" s="136" t="str">
        <f>BQ416</f>
        <v>Estudo Autónomo</v>
      </c>
      <c r="BT416" s="136">
        <f>SUMIFS(V:V,Q:Q,BQ416,R:R,BR416)</f>
        <v>86.5</v>
      </c>
      <c r="BU416" s="136">
        <f>SUMIFS(BP:BP,BN:BN,BQ416,BO:BO,BR416)</f>
        <v>95.5</v>
      </c>
      <c r="CA416" s="136">
        <f>'INFO BASE'!L496</f>
        <v>0</v>
      </c>
      <c r="CB416" s="136">
        <f>'INFO BASE'!M496</f>
        <v>0</v>
      </c>
      <c r="CD416" s="136" t="str">
        <f t="shared" si="245"/>
        <v>CDI</v>
      </c>
      <c r="CR416" s="177" t="str">
        <f t="shared" si="236"/>
        <v>HS</v>
      </c>
      <c r="CS416" s="177" t="str">
        <f t="shared" si="237"/>
        <v>HS-</v>
      </c>
      <c r="CT416" s="177" t="str">
        <f t="shared" si="236"/>
        <v>HS</v>
      </c>
      <c r="CU416" s="177" t="str">
        <f t="shared" si="238"/>
        <v>HS-</v>
      </c>
      <c r="CV416" s="177" t="str">
        <f t="shared" si="236"/>
        <v>HS</v>
      </c>
      <c r="CW416" s="177" t="str">
        <f t="shared" si="239"/>
        <v>HS-</v>
      </c>
      <c r="CX416" s="177" t="str">
        <f t="shared" si="236"/>
        <v>HS</v>
      </c>
      <c r="CY416" s="177" t="str">
        <f t="shared" si="240"/>
        <v>HS-</v>
      </c>
      <c r="CZ416" s="177" t="str">
        <f t="shared" si="236"/>
        <v>HS</v>
      </c>
      <c r="DA416" s="177" t="str">
        <f t="shared" si="241"/>
        <v>HS-</v>
      </c>
      <c r="DB416" s="177" t="str">
        <f t="shared" si="236"/>
        <v>HS</v>
      </c>
      <c r="DC416" s="177" t="str">
        <f t="shared" si="242"/>
        <v>HS-</v>
      </c>
      <c r="DD416" s="177" t="str">
        <f t="shared" si="243"/>
        <v>HS</v>
      </c>
      <c r="DE416" s="177" t="str">
        <f t="shared" si="244"/>
        <v>HS-</v>
      </c>
    </row>
    <row r="417" spans="1:109" ht="18" customHeight="1" x14ac:dyDescent="0.3">
      <c r="A417" s="81">
        <v>0.187500000000006</v>
      </c>
      <c r="B417" s="166" t="s">
        <v>10</v>
      </c>
      <c r="C417" s="130" t="s">
        <v>120</v>
      </c>
      <c r="D417" s="169" t="s">
        <v>10</v>
      </c>
      <c r="E417" s="130" t="s">
        <v>120</v>
      </c>
      <c r="F417" s="169" t="s">
        <v>10</v>
      </c>
      <c r="G417" s="130" t="s">
        <v>120</v>
      </c>
      <c r="H417" s="169" t="s">
        <v>10</v>
      </c>
      <c r="I417" s="130" t="s">
        <v>120</v>
      </c>
      <c r="J417" s="169" t="s">
        <v>10</v>
      </c>
      <c r="K417" s="130" t="s">
        <v>120</v>
      </c>
      <c r="L417" s="169" t="s">
        <v>10</v>
      </c>
      <c r="M417" s="130" t="s">
        <v>120</v>
      </c>
      <c r="N417" s="169" t="s">
        <v>10</v>
      </c>
      <c r="O417" s="154" t="s">
        <v>120</v>
      </c>
      <c r="Q417" s="294" t="s">
        <v>14</v>
      </c>
      <c r="R417" s="290" t="s">
        <v>88</v>
      </c>
      <c r="S417" s="290" t="s">
        <v>87</v>
      </c>
      <c r="T417" s="290" t="s">
        <v>89</v>
      </c>
      <c r="U417" s="290" t="s">
        <v>41</v>
      </c>
      <c r="V417" s="290" t="s">
        <v>91</v>
      </c>
      <c r="W417" s="292" t="s">
        <v>90</v>
      </c>
      <c r="X417" s="199">
        <v>1</v>
      </c>
      <c r="Y417" s="302" t="s">
        <v>21</v>
      </c>
      <c r="Z417" s="303"/>
      <c r="AA417" s="303"/>
      <c r="AB417" s="303"/>
      <c r="AC417" s="303"/>
      <c r="AD417" s="303"/>
      <c r="AE417" s="303"/>
      <c r="AF417" s="304"/>
      <c r="AH417" s="136">
        <v>0.187500000000006</v>
      </c>
      <c r="AI417" s="136" t="s">
        <v>10</v>
      </c>
      <c r="AJ417" s="136" t="s">
        <v>120</v>
      </c>
      <c r="AK417" s="136" t="s">
        <v>10</v>
      </c>
      <c r="AL417" s="136" t="s">
        <v>120</v>
      </c>
      <c r="AM417" s="136" t="s">
        <v>10</v>
      </c>
      <c r="AN417" s="136" t="s">
        <v>120</v>
      </c>
      <c r="AO417" s="136" t="s">
        <v>10</v>
      </c>
      <c r="AP417" s="136" t="s">
        <v>120</v>
      </c>
      <c r="AQ417" s="136" t="s">
        <v>10</v>
      </c>
      <c r="AR417" s="136" t="s">
        <v>120</v>
      </c>
      <c r="AS417" s="136" t="s">
        <v>10</v>
      </c>
      <c r="AT417" s="136" t="s">
        <v>120</v>
      </c>
      <c r="AU417" s="136" t="s">
        <v>10</v>
      </c>
      <c r="AV417" s="136" t="s">
        <v>120</v>
      </c>
      <c r="AX417" s="136" t="str">
        <f>IF(AI404="","",IF(B417="","",B417))</f>
        <v>HS</v>
      </c>
      <c r="AY417" s="136" t="str">
        <f>IF(AI404="","",IF(C417="","",C417))</f>
        <v>-</v>
      </c>
      <c r="AZ417" s="136" t="str">
        <f>IF(AI404="","",IF(D417="","",D417))</f>
        <v>HS</v>
      </c>
      <c r="BA417" s="136" t="str">
        <f>IF(AI404="","",IF(E417="","",E417))</f>
        <v>-</v>
      </c>
      <c r="BB417" s="136" t="str">
        <f>IF(AI404="","",IF(F417="","",F417))</f>
        <v>HS</v>
      </c>
      <c r="BC417" s="136" t="str">
        <f>IF(AI404="","",IF(G417="","",G417))</f>
        <v>-</v>
      </c>
      <c r="BD417" s="136" t="str">
        <f>IF(AI404="","",IF(H417="","",H417))</f>
        <v>HS</v>
      </c>
      <c r="BE417" s="136" t="str">
        <f>IF(AI404="","",IF(I417="","",I417))</f>
        <v>-</v>
      </c>
      <c r="BF417" s="136" t="str">
        <f>IF(AI404="","",IF(J417="","",J417))</f>
        <v>HS</v>
      </c>
      <c r="BG417" s="136" t="str">
        <f>IF(AI404="","",IF(K417="","",K417))</f>
        <v>-</v>
      </c>
      <c r="BH417" s="136" t="str">
        <f>IF(AI404="","",IF(L417="","",L417))</f>
        <v>HS</v>
      </c>
      <c r="BI417" s="136" t="str">
        <f>IF(AI404="","",IF(M417="","",M417))</f>
        <v>-</v>
      </c>
      <c r="BJ417" s="136" t="str">
        <f>IF(AI404="","",IF(N417="","",N417))</f>
        <v>HS</v>
      </c>
      <c r="BK417" s="136" t="str">
        <f>IF(AI404="","",IF(O417="","",O417))</f>
        <v>-</v>
      </c>
      <c r="BM417" s="136" t="str">
        <f>BM416</f>
        <v>EA</v>
      </c>
      <c r="BN417" s="136" t="str">
        <f t="shared" si="246"/>
        <v>Estudo Autónomo</v>
      </c>
      <c r="BO417" s="136" t="str">
        <f t="shared" si="246"/>
        <v>FP</v>
      </c>
      <c r="BP417" s="136">
        <f>(COUNTIFS(AX408:AX455,BM417,AY408:AY455,BO417)+COUNTIFS(AZ408:AZ455,BM417,BA408:BA455,BO417)+COUNTIFS(BB408:BB455,BM417,BC408:BC455,BO417)+COUNTIFS(BD408:BD455,BM417,BE408:BE455,BO417)+COUNTIFS(BF408:BF455,BM417,BG408:BG455,BO417)+COUNTIFS(BH408:BH455,BM417,BI408:BI455,BO417)+COUNTIFS(BJ408:BJ455,BM417,BK408:BK455,BO417))*0.5</f>
        <v>3</v>
      </c>
      <c r="BQ417" s="136" t="str">
        <f t="shared" si="247"/>
        <v>Estudo Autónomo</v>
      </c>
      <c r="BR417" s="136" t="str">
        <f>$R$20</f>
        <v>EA</v>
      </c>
      <c r="BS417" s="136" t="str">
        <f t="shared" ref="BS417:BS452" si="248">BQ417</f>
        <v>Estudo Autónomo</v>
      </c>
      <c r="BT417" s="136">
        <f>SUMIFS(V:V,Q:Q,BQ417,R:R,BR417)</f>
        <v>86.5</v>
      </c>
      <c r="BU417" s="136">
        <f>SUMIFS(BP:BP,BN:BN,BQ417,BO:BO,BR417)</f>
        <v>95.5</v>
      </c>
      <c r="CA417" s="136">
        <f>'INFO BASE'!L497</f>
        <v>0</v>
      </c>
      <c r="CB417" s="136">
        <f>'INFO BASE'!M497</f>
        <v>0</v>
      </c>
      <c r="CD417" s="136" t="str">
        <f t="shared" si="245"/>
        <v/>
      </c>
      <c r="CR417" s="177" t="str">
        <f t="shared" si="236"/>
        <v>HS</v>
      </c>
      <c r="CS417" s="177" t="str">
        <f t="shared" si="237"/>
        <v>HS-</v>
      </c>
      <c r="CT417" s="177" t="str">
        <f t="shared" si="236"/>
        <v>HS</v>
      </c>
      <c r="CU417" s="177" t="str">
        <f t="shared" si="238"/>
        <v>HS-</v>
      </c>
      <c r="CV417" s="177" t="str">
        <f t="shared" si="236"/>
        <v>HS</v>
      </c>
      <c r="CW417" s="177" t="str">
        <f t="shared" si="239"/>
        <v>HS-</v>
      </c>
      <c r="CX417" s="177" t="str">
        <f t="shared" si="236"/>
        <v>HS</v>
      </c>
      <c r="CY417" s="177" t="str">
        <f t="shared" si="240"/>
        <v>HS-</v>
      </c>
      <c r="CZ417" s="177" t="str">
        <f t="shared" si="236"/>
        <v>HS</v>
      </c>
      <c r="DA417" s="177" t="str">
        <f t="shared" si="241"/>
        <v>HS-</v>
      </c>
      <c r="DB417" s="177" t="str">
        <f t="shared" si="236"/>
        <v>HS</v>
      </c>
      <c r="DC417" s="177" t="str">
        <f t="shared" si="242"/>
        <v>HS-</v>
      </c>
      <c r="DD417" s="177" t="str">
        <f t="shared" si="243"/>
        <v>HS</v>
      </c>
      <c r="DE417" s="177" t="str">
        <f t="shared" si="244"/>
        <v>HS-</v>
      </c>
    </row>
    <row r="418" spans="1:109" ht="18" customHeight="1" thickBot="1" x14ac:dyDescent="0.35">
      <c r="A418" s="81">
        <v>0.20833333333334</v>
      </c>
      <c r="B418" s="166" t="s">
        <v>10</v>
      </c>
      <c r="C418" s="130" t="s">
        <v>120</v>
      </c>
      <c r="D418" s="169" t="s">
        <v>10</v>
      </c>
      <c r="E418" s="130" t="s">
        <v>120</v>
      </c>
      <c r="F418" s="169" t="s">
        <v>10</v>
      </c>
      <c r="G418" s="130" t="s">
        <v>120</v>
      </c>
      <c r="H418" s="169" t="s">
        <v>10</v>
      </c>
      <c r="I418" s="130" t="s">
        <v>120</v>
      </c>
      <c r="J418" s="169" t="s">
        <v>10</v>
      </c>
      <c r="K418" s="130" t="s">
        <v>120</v>
      </c>
      <c r="L418" s="169" t="s">
        <v>10</v>
      </c>
      <c r="M418" s="130" t="s">
        <v>120</v>
      </c>
      <c r="N418" s="169" t="s">
        <v>10</v>
      </c>
      <c r="O418" s="154" t="s">
        <v>120</v>
      </c>
      <c r="Q418" s="295"/>
      <c r="R418" s="291"/>
      <c r="S418" s="291"/>
      <c r="T418" s="291"/>
      <c r="U418" s="291"/>
      <c r="V418" s="291"/>
      <c r="W418" s="293"/>
      <c r="X418" s="199">
        <v>1</v>
      </c>
      <c r="Y418" s="305"/>
      <c r="Z418" s="306"/>
      <c r="AA418" s="306"/>
      <c r="AB418" s="306"/>
      <c r="AC418" s="306"/>
      <c r="AD418" s="306"/>
      <c r="AE418" s="306"/>
      <c r="AF418" s="307"/>
      <c r="AH418" s="136">
        <v>0.20833333333334</v>
      </c>
      <c r="AI418" s="136" t="s">
        <v>10</v>
      </c>
      <c r="AJ418" s="136" t="s">
        <v>120</v>
      </c>
      <c r="AK418" s="136" t="s">
        <v>10</v>
      </c>
      <c r="AL418" s="136" t="s">
        <v>120</v>
      </c>
      <c r="AM418" s="136" t="s">
        <v>10</v>
      </c>
      <c r="AN418" s="136" t="s">
        <v>120</v>
      </c>
      <c r="AO418" s="136" t="s">
        <v>10</v>
      </c>
      <c r="AP418" s="136" t="s">
        <v>120</v>
      </c>
      <c r="AQ418" s="136" t="s">
        <v>10</v>
      </c>
      <c r="AR418" s="136" t="s">
        <v>120</v>
      </c>
      <c r="AS418" s="136" t="s">
        <v>10</v>
      </c>
      <c r="AT418" s="136" t="s">
        <v>120</v>
      </c>
      <c r="AU418" s="136" t="s">
        <v>10</v>
      </c>
      <c r="AV418" s="136" t="s">
        <v>120</v>
      </c>
      <c r="AX418" s="136" t="str">
        <f>IF(AI404="","",IF(B418="","",B418))</f>
        <v>HS</v>
      </c>
      <c r="AY418" s="136" t="str">
        <f>IF(AI404="","",IF(C418="","",C418))</f>
        <v>-</v>
      </c>
      <c r="AZ418" s="136" t="str">
        <f>IF(AI404="","",IF(D418="","",D418))</f>
        <v>HS</v>
      </c>
      <c r="BA418" s="136" t="str">
        <f>IF(AI404="","",IF(E418="","",E418))</f>
        <v>-</v>
      </c>
      <c r="BB418" s="136" t="str">
        <f>IF(AI404="","",IF(F418="","",F418))</f>
        <v>HS</v>
      </c>
      <c r="BC418" s="136" t="str">
        <f>IF(AI404="","",IF(G418="","",G418))</f>
        <v>-</v>
      </c>
      <c r="BD418" s="136" t="str">
        <f>IF(AI404="","",IF(H418="","",H418))</f>
        <v>HS</v>
      </c>
      <c r="BE418" s="136" t="str">
        <f>IF(AI404="","",IF(I418="","",I418))</f>
        <v>-</v>
      </c>
      <c r="BF418" s="136" t="str">
        <f>IF(AI404="","",IF(J418="","",J418))</f>
        <v>HS</v>
      </c>
      <c r="BG418" s="136" t="str">
        <f>IF(AI404="","",IF(K418="","",K418))</f>
        <v>-</v>
      </c>
      <c r="BH418" s="136" t="str">
        <f>IF(AI404="","",IF(L418="","",L418))</f>
        <v>HS</v>
      </c>
      <c r="BI418" s="136" t="str">
        <f>IF(AI404="","",IF(M418="","",M418))</f>
        <v>-</v>
      </c>
      <c r="BJ418" s="136" t="str">
        <f>IF(AI404="","",IF(N418="","",N418))</f>
        <v>HS</v>
      </c>
      <c r="BK418" s="136" t="str">
        <f>IF(AI404="","",IF(O418="","",O418))</f>
        <v>-</v>
      </c>
      <c r="BM418" s="136" t="str">
        <f t="shared" ref="BM418:BM422" si="249">BM417</f>
        <v>EA</v>
      </c>
      <c r="BN418" s="136" t="str">
        <f t="shared" si="246"/>
        <v>Estudo Autónomo</v>
      </c>
      <c r="BO418" s="136" t="str">
        <f t="shared" si="246"/>
        <v>IEI</v>
      </c>
      <c r="BP418" s="136">
        <f>(COUNTIFS(AX408:AX455,BM418,AY408:AY455,BO418)+COUNTIFS(AZ408:AZ455,BM418,BA408:BA455,BO418)+COUNTIFS(BB408:BB455,BM418,BC408:BC455,BO418)+COUNTIFS(BD408:BD455,BM418,BE408:BE455,BO418)+COUNTIFS(BF408:BF455,BM418,BG408:BG455,BO418)+COUNTIFS(BH408:BH455,BM418,BI408:BI455,BO418)+COUNTIFS(BJ408:BJ455,BM418,BK408:BK455,BO418))*0.5</f>
        <v>11</v>
      </c>
      <c r="BQ418" s="136" t="str">
        <f t="shared" si="247"/>
        <v>Estudo Autónomo</v>
      </c>
      <c r="BR418" s="136" t="str">
        <f t="shared" si="247"/>
        <v>IEI</v>
      </c>
      <c r="BS418" s="136" t="str">
        <f t="shared" si="248"/>
        <v>Estudo Autónomo</v>
      </c>
      <c r="BT418" s="136">
        <f>SUMIFS(V:V,Q:Q,BQ418,R:R,BR418)</f>
        <v>20</v>
      </c>
      <c r="BU418" s="136">
        <f>SUMIFS(BP:BP,BN:BN,BQ418,BO:BO,BR418)</f>
        <v>36.5</v>
      </c>
      <c r="CA418" s="136">
        <f>'INFO BASE'!L498</f>
        <v>0</v>
      </c>
      <c r="CB418" s="136">
        <f>'INFO BASE'!M498</f>
        <v>0</v>
      </c>
      <c r="CD418" s="136" t="str">
        <f>IF('INFO BASE'!E432="","",'INFO BASE'!E432)</f>
        <v/>
      </c>
      <c r="CR418" s="177" t="str">
        <f t="shared" si="236"/>
        <v>HS</v>
      </c>
      <c r="CS418" s="177" t="str">
        <f t="shared" si="237"/>
        <v>HS-</v>
      </c>
      <c r="CT418" s="177" t="str">
        <f t="shared" si="236"/>
        <v>HS</v>
      </c>
      <c r="CU418" s="177" t="str">
        <f t="shared" si="238"/>
        <v>HS-</v>
      </c>
      <c r="CV418" s="177" t="str">
        <f t="shared" si="236"/>
        <v>HS</v>
      </c>
      <c r="CW418" s="177" t="str">
        <f t="shared" si="239"/>
        <v>HS-</v>
      </c>
      <c r="CX418" s="177" t="str">
        <f t="shared" si="236"/>
        <v>HS</v>
      </c>
      <c r="CY418" s="177" t="str">
        <f t="shared" si="240"/>
        <v>HS-</v>
      </c>
      <c r="CZ418" s="177" t="str">
        <f t="shared" si="236"/>
        <v>HS</v>
      </c>
      <c r="DA418" s="177" t="str">
        <f t="shared" si="241"/>
        <v>HS-</v>
      </c>
      <c r="DB418" s="177" t="str">
        <f t="shared" si="236"/>
        <v>HS</v>
      </c>
      <c r="DC418" s="177" t="str">
        <f t="shared" si="242"/>
        <v>HS-</v>
      </c>
      <c r="DD418" s="177" t="str">
        <f t="shared" si="243"/>
        <v>HS</v>
      </c>
      <c r="DE418" s="177" t="str">
        <f t="shared" si="244"/>
        <v>HS-</v>
      </c>
    </row>
    <row r="419" spans="1:109" ht="18" customHeight="1" x14ac:dyDescent="0.3">
      <c r="A419" s="81">
        <v>0.22916666666667401</v>
      </c>
      <c r="B419" s="166" t="s">
        <v>10</v>
      </c>
      <c r="C419" s="130" t="s">
        <v>120</v>
      </c>
      <c r="D419" s="169" t="s">
        <v>10</v>
      </c>
      <c r="E419" s="130" t="s">
        <v>120</v>
      </c>
      <c r="F419" s="169" t="s">
        <v>10</v>
      </c>
      <c r="G419" s="130" t="s">
        <v>120</v>
      </c>
      <c r="H419" s="169" t="s">
        <v>10</v>
      </c>
      <c r="I419" s="130" t="s">
        <v>120</v>
      </c>
      <c r="J419" s="169" t="s">
        <v>10</v>
      </c>
      <c r="K419" s="130" t="s">
        <v>120</v>
      </c>
      <c r="L419" s="169" t="s">
        <v>116</v>
      </c>
      <c r="M419" s="130" t="s">
        <v>120</v>
      </c>
      <c r="N419" s="169" t="s">
        <v>10</v>
      </c>
      <c r="O419" s="154" t="s">
        <v>120</v>
      </c>
      <c r="P419" s="6">
        <v>0</v>
      </c>
      <c r="Q419" s="109" t="str">
        <f>IF('INFO BASE'!$C$17="","",'INFO BASE'!$C$17)</f>
        <v>Estudo Autónomo</v>
      </c>
      <c r="R419" s="82" t="str">
        <f>R362</f>
        <v>EA</v>
      </c>
      <c r="S419" s="83">
        <f t="shared" ref="S419:S455" si="250">IFERROR((U419/T419)-1,"-")</f>
        <v>-5.2631578947368474E-2</v>
      </c>
      <c r="T419" s="84">
        <f>IF(VLOOKUP(Q419,'INFO BASE'!$B$40:$I$54,IF(R419='INFO BASE'!$B$32,3,IF(R419='INFO BASE'!$B$33,4,IF(R419='INFO BASE'!$B$34,5,IF(R419='INFO BASE'!$B$35,6,IF(R419='INFO BASE'!$B$36,7,IF(R419='INFO BASE'!$B$37,8,2)))))),0)=0,"",VLOOKUP(Q419,'INFO BASE'!$B$40:$I$54,IF(R419='INFO BASE'!$B$32,3,IF(R419='INFO BASE'!$B$33,4,IF(R419='INFO BASE'!$B$34,5,IF(R419='INFO BASE'!$B$35,6,IF(R419='INFO BASE'!$B$36,7,IF(R419='INFO BASE'!$B$37,8,2)))))),0))</f>
        <v>19</v>
      </c>
      <c r="U419" s="84">
        <f>IF(R419="","",COUNTIFS(SEMANA8,R419)*0.5)</f>
        <v>18</v>
      </c>
      <c r="V419" s="84">
        <f>IF(R419="","",COUNTIFS(AI408:AV455,R419)*0.5)</f>
        <v>9.5</v>
      </c>
      <c r="W419" s="85">
        <f>IF(AH404="","-",IF(V419=0,U419,IFERROR((U419/V419)-1,"-")))</f>
        <v>0.89473684210526305</v>
      </c>
      <c r="X419" s="200">
        <f t="shared" ref="X419:X455" si="251">IFERROR(IF(ABS(W419)&gt;P419,1,0),0)</f>
        <v>1</v>
      </c>
      <c r="Y419" s="296" t="s">
        <v>261</v>
      </c>
      <c r="Z419" s="297"/>
      <c r="AA419" s="297"/>
      <c r="AB419" s="297"/>
      <c r="AC419" s="297"/>
      <c r="AD419" s="297"/>
      <c r="AE419" s="297"/>
      <c r="AF419" s="298"/>
      <c r="AH419" s="136">
        <v>0.22916666666667401</v>
      </c>
      <c r="AI419" s="136" t="s">
        <v>10</v>
      </c>
      <c r="AJ419" s="136" t="s">
        <v>120</v>
      </c>
      <c r="AK419" s="136" t="s">
        <v>10</v>
      </c>
      <c r="AL419" s="136" t="s">
        <v>120</v>
      </c>
      <c r="AM419" s="136" t="s">
        <v>10</v>
      </c>
      <c r="AN419" s="136" t="s">
        <v>120</v>
      </c>
      <c r="AO419" s="136" t="s">
        <v>10</v>
      </c>
      <c r="AP419" s="136" t="s">
        <v>120</v>
      </c>
      <c r="AQ419" s="136" t="s">
        <v>10</v>
      </c>
      <c r="AR419" s="136" t="s">
        <v>120</v>
      </c>
      <c r="AS419" s="136" t="s">
        <v>116</v>
      </c>
      <c r="AT419" s="136" t="s">
        <v>120</v>
      </c>
      <c r="AU419" s="136" t="s">
        <v>10</v>
      </c>
      <c r="AV419" s="136" t="s">
        <v>120</v>
      </c>
      <c r="AX419" s="136" t="str">
        <f>IF(AI404="","",IF(B419="","",B419))</f>
        <v>HS</v>
      </c>
      <c r="AY419" s="136" t="str">
        <f>IF(AI404="","",IF(C419="","",C419))</f>
        <v>-</v>
      </c>
      <c r="AZ419" s="136" t="str">
        <f>IF(AI404="","",IF(D419="","",D419))</f>
        <v>HS</v>
      </c>
      <c r="BA419" s="136" t="str">
        <f>IF(AI404="","",IF(E419="","",E419))</f>
        <v>-</v>
      </c>
      <c r="BB419" s="136" t="str">
        <f>IF(AI404="","",IF(F419="","",F419))</f>
        <v>HS</v>
      </c>
      <c r="BC419" s="136" t="str">
        <f>IF(AI404="","",IF(G419="","",G419))</f>
        <v>-</v>
      </c>
      <c r="BD419" s="136" t="str">
        <f>IF(AI404="","",IF(H419="","",H419))</f>
        <v>HS</v>
      </c>
      <c r="BE419" s="136" t="str">
        <f>IF(AI404="","",IF(I419="","",I419))</f>
        <v>-</v>
      </c>
      <c r="BF419" s="136" t="str">
        <f>IF(AI404="","",IF(J419="","",J419))</f>
        <v>HS</v>
      </c>
      <c r="BG419" s="136" t="str">
        <f>IF(AI404="","",IF(K419="","",K419))</f>
        <v>-</v>
      </c>
      <c r="BH419" s="136" t="str">
        <f>IF(AI404="","",IF(L419="","",L419))</f>
        <v>PV</v>
      </c>
      <c r="BI419" s="136" t="str">
        <f>IF(AI404="","",IF(M419="","",M419))</f>
        <v>-</v>
      </c>
      <c r="BJ419" s="136" t="str">
        <f>IF(AI404="","",IF(N419="","",N419))</f>
        <v>HS</v>
      </c>
      <c r="BK419" s="136" t="str">
        <f>IF(AI404="","",IF(O419="","",O419))</f>
        <v>-</v>
      </c>
      <c r="BM419" s="136" t="str">
        <f t="shared" si="249"/>
        <v>EA</v>
      </c>
      <c r="BN419" s="136" t="str">
        <f t="shared" si="246"/>
        <v>Estudo Autónomo</v>
      </c>
      <c r="BO419" s="136" t="str">
        <f t="shared" si="246"/>
        <v>IAC</v>
      </c>
      <c r="BP419" s="136">
        <f>(COUNTIFS(AX408:AX455,BM419,AY408:AY455,BO419)+COUNTIFS(AZ408:AZ455,BM419,BA408:BA455,BO419)+COUNTIFS(BB408:BB455,BM419,BC408:BC455,BO419)+COUNTIFS(BD408:BD455,BM419,BE408:BE455,BO419)+COUNTIFS(BF408:BF455,BM419,BG408:BG455,BO419)+COUNTIFS(BH408:BH455,BM419,BI408:BI455,BO419)+COUNTIFS(BJ408:BJ455,BM419,BK408:BK455,BO419))*0.5</f>
        <v>2</v>
      </c>
      <c r="BQ419" s="136" t="str">
        <f t="shared" si="247"/>
        <v>Estudo Autónomo</v>
      </c>
      <c r="BR419" s="136" t="str">
        <f t="shared" si="247"/>
        <v>IAC</v>
      </c>
      <c r="BS419" s="136" t="str">
        <f t="shared" si="248"/>
        <v>Estudo Autónomo</v>
      </c>
      <c r="BT419" s="136">
        <f>SUMIFS(V:V,Q:Q,BQ419,R:R,BBO417)</f>
        <v>0</v>
      </c>
      <c r="BU419" s="136">
        <f>SUMIFS(BP:BP,BN:BN,BQ419,BO:BO,BBO417)</f>
        <v>0</v>
      </c>
      <c r="CA419" s="136">
        <f>'INFO BASE'!L499</f>
        <v>0</v>
      </c>
      <c r="CB419" s="136">
        <f>'INFO BASE'!M499</f>
        <v>0</v>
      </c>
      <c r="CD419" s="136" t="str">
        <f>IF('INFO BASE'!E433="","",'INFO BASE'!E433)</f>
        <v/>
      </c>
      <c r="CR419" s="177" t="str">
        <f t="shared" si="236"/>
        <v>HS</v>
      </c>
      <c r="CS419" s="177" t="str">
        <f t="shared" si="237"/>
        <v>HS-</v>
      </c>
      <c r="CT419" s="177" t="str">
        <f t="shared" si="236"/>
        <v>HS</v>
      </c>
      <c r="CU419" s="177" t="str">
        <f t="shared" si="238"/>
        <v>HS-</v>
      </c>
      <c r="CV419" s="177" t="str">
        <f t="shared" si="236"/>
        <v>HS</v>
      </c>
      <c r="CW419" s="177" t="str">
        <f t="shared" si="239"/>
        <v>HS-</v>
      </c>
      <c r="CX419" s="177" t="str">
        <f t="shared" si="236"/>
        <v>HS</v>
      </c>
      <c r="CY419" s="177" t="str">
        <f t="shared" si="240"/>
        <v>HS-</v>
      </c>
      <c r="CZ419" s="177" t="str">
        <f t="shared" si="236"/>
        <v>HS</v>
      </c>
      <c r="DA419" s="177" t="str">
        <f t="shared" si="241"/>
        <v>HS-</v>
      </c>
      <c r="DB419" s="177" t="str">
        <f t="shared" si="236"/>
        <v>PV</v>
      </c>
      <c r="DC419" s="177">
        <f t="shared" si="242"/>
        <v>0</v>
      </c>
      <c r="DD419" s="177" t="str">
        <f t="shared" si="243"/>
        <v>HS</v>
      </c>
      <c r="DE419" s="177" t="str">
        <f t="shared" si="244"/>
        <v>HS-</v>
      </c>
    </row>
    <row r="420" spans="1:109" ht="18" customHeight="1" x14ac:dyDescent="0.3">
      <c r="A420" s="81">
        <v>0.25000000000000799</v>
      </c>
      <c r="B420" s="166" t="s">
        <v>10</v>
      </c>
      <c r="C420" s="130" t="s">
        <v>120</v>
      </c>
      <c r="D420" s="169" t="s">
        <v>10</v>
      </c>
      <c r="E420" s="130" t="s">
        <v>120</v>
      </c>
      <c r="F420" s="169" t="s">
        <v>10</v>
      </c>
      <c r="G420" s="130" t="s">
        <v>120</v>
      </c>
      <c r="H420" s="169" t="s">
        <v>10</v>
      </c>
      <c r="I420" s="130" t="s">
        <v>120</v>
      </c>
      <c r="J420" s="169" t="s">
        <v>10</v>
      </c>
      <c r="K420" s="130" t="s">
        <v>120</v>
      </c>
      <c r="L420" s="169" t="s">
        <v>116</v>
      </c>
      <c r="M420" s="130" t="s">
        <v>120</v>
      </c>
      <c r="N420" s="169" t="s">
        <v>10</v>
      </c>
      <c r="O420" s="154" t="s">
        <v>120</v>
      </c>
      <c r="P420" s="6">
        <v>0</v>
      </c>
      <c r="Q420" s="110" t="str">
        <f t="shared" ref="Q420:Q425" si="252">Q419</f>
        <v>Estudo Autónomo</v>
      </c>
      <c r="R420" s="105" t="str">
        <f t="shared" ref="R420:R455" si="253">R363</f>
        <v>FP</v>
      </c>
      <c r="S420" s="88">
        <f t="shared" si="250"/>
        <v>-0.4</v>
      </c>
      <c r="T420" s="89">
        <f>IF(VLOOKUP(Q420,'INFO BASE'!$B$40:$I$54,IF(R420='INFO BASE'!$B$32,3,IF(R420='INFO BASE'!$B$33,4,IF(R420='INFO BASE'!$B$34,5,IF(R420='INFO BASE'!$B$35,6,IF(R420='INFO BASE'!$B$36,7,IF(R420='INFO BASE'!$B$37,8,2)))))),0)=0,"",VLOOKUP(Q420,'INFO BASE'!$B$40:$I$54,IF(R420='INFO BASE'!$B$32,3,IF(R420='INFO BASE'!$B$33,4,IF(R420='INFO BASE'!$B$34,5,IF(R420='INFO BASE'!$B$35,6,IF(R420='INFO BASE'!$B$36,7,IF(R420='INFO BASE'!$B$37,8,2)))))),0))</f>
        <v>5</v>
      </c>
      <c r="U420" s="89">
        <f>(COUNTIFS(C408:C455,R420,B408:B455,R419)+COUNTIFS(E408:E455,R420,D408:D455,R419)+COUNTIFS(G408:G455,R420,F408:F455,R419)+COUNTIFS(I408:I455,R420,H408:H455,R419)+COUNTIFS(K408:K455,R420,J408:J455,R419)+COUNTIFS(M408:M455,R420,L408:L455,R419)+COUNTIFS(O408:O455,R420,N408:N455,R419))*0.5</f>
        <v>3</v>
      </c>
      <c r="V420" s="89">
        <f>(COUNTIFS(AI408:AI455,R419,AJ408:AJ455,R420)+COUNTIFS(AK408:AK455,R419,AL408:AL455,R420)+COUNTIFS(AM408:AM455,R419,AN408:AN455,R420)+COUNTIFS(AO408:AO455,R419,AP408:AP455,R420)+COUNTIFS(AQ408:AQ455,R419,AR408:AR455,R420)+COUNTIFS(AS408:AS455,R419,AT408:AT455,R420)+COUNTIFS(AU408:AU455,R419,AV408:AV455,R420))*0.5</f>
        <v>3</v>
      </c>
      <c r="W420" s="90">
        <f>IF(AH404="","-",IF(V420=0,U420,IFERROR((U420/V420)-1,"-")))</f>
        <v>0</v>
      </c>
      <c r="X420" s="200">
        <f t="shared" si="251"/>
        <v>0</v>
      </c>
      <c r="Y420" s="299"/>
      <c r="Z420" s="300"/>
      <c r="AA420" s="300"/>
      <c r="AB420" s="300"/>
      <c r="AC420" s="300"/>
      <c r="AD420" s="300"/>
      <c r="AE420" s="300"/>
      <c r="AF420" s="301"/>
      <c r="AH420" s="136">
        <v>0.25000000000000799</v>
      </c>
      <c r="AI420" s="136" t="s">
        <v>10</v>
      </c>
      <c r="AJ420" s="136" t="s">
        <v>120</v>
      </c>
      <c r="AK420" s="136" t="s">
        <v>10</v>
      </c>
      <c r="AL420" s="136" t="s">
        <v>120</v>
      </c>
      <c r="AM420" s="136" t="s">
        <v>10</v>
      </c>
      <c r="AN420" s="136" t="s">
        <v>120</v>
      </c>
      <c r="AO420" s="136" t="s">
        <v>10</v>
      </c>
      <c r="AP420" s="136" t="s">
        <v>120</v>
      </c>
      <c r="AQ420" s="136" t="s">
        <v>10</v>
      </c>
      <c r="AR420" s="136" t="s">
        <v>120</v>
      </c>
      <c r="AS420" s="136" t="s">
        <v>116</v>
      </c>
      <c r="AT420" s="136" t="s">
        <v>120</v>
      </c>
      <c r="AU420" s="136" t="s">
        <v>10</v>
      </c>
      <c r="AV420" s="136" t="s">
        <v>120</v>
      </c>
      <c r="AX420" s="136" t="str">
        <f>IF(AI404="","",IF(B420="","",B420))</f>
        <v>HS</v>
      </c>
      <c r="AY420" s="136" t="str">
        <f>IF(AI404="","",IF(C420="","",C420))</f>
        <v>-</v>
      </c>
      <c r="AZ420" s="136" t="str">
        <f>IF(AI404="","",IF(D420="","",D420))</f>
        <v>HS</v>
      </c>
      <c r="BA420" s="136" t="str">
        <f>IF(AI404="","",IF(E420="","",E420))</f>
        <v>-</v>
      </c>
      <c r="BB420" s="136" t="str">
        <f>IF(AI404="","",IF(F420="","",F420))</f>
        <v>HS</v>
      </c>
      <c r="BC420" s="136" t="str">
        <f>IF(AI404="","",IF(G420="","",G420))</f>
        <v>-</v>
      </c>
      <c r="BD420" s="136" t="str">
        <f>IF(AI404="","",IF(H420="","",H420))</f>
        <v>HS</v>
      </c>
      <c r="BE420" s="136" t="str">
        <f>IF(AI404="","",IF(I420="","",I420))</f>
        <v>-</v>
      </c>
      <c r="BF420" s="136" t="str">
        <f>IF(AI404="","",IF(J420="","",J420))</f>
        <v>HS</v>
      </c>
      <c r="BG420" s="136" t="str">
        <f>IF(AI404="","",IF(K420="","",K420))</f>
        <v>-</v>
      </c>
      <c r="BH420" s="136" t="str">
        <f>IF(AI404="","",IF(L420="","",L420))</f>
        <v>PV</v>
      </c>
      <c r="BI420" s="136" t="str">
        <f>IF(AI404="","",IF(M420="","",M420))</f>
        <v>-</v>
      </c>
      <c r="BJ420" s="136" t="str">
        <f>IF(AI404="","",IF(N420="","",N420))</f>
        <v>HS</v>
      </c>
      <c r="BK420" s="136" t="str">
        <f>IF(AI404="","",IF(O420="","",O420))</f>
        <v>-</v>
      </c>
      <c r="BM420" s="136" t="str">
        <f t="shared" si="249"/>
        <v>EA</v>
      </c>
      <c r="BN420" s="136" t="str">
        <f t="shared" si="246"/>
        <v>Estudo Autónomo</v>
      </c>
      <c r="BO420" s="136" t="str">
        <f t="shared" si="246"/>
        <v>AL</v>
      </c>
      <c r="BP420" s="136">
        <f>(COUNTIFS(AX408:AX455,BM420,AY408:AY455,BO420)+COUNTIFS(AZ408:AZ455,BM420,BA408:BA455,BO420)+COUNTIFS(BB408:BB455,BM420,BC408:BC455,BO420)+COUNTIFS(BD408:BD455,BM420,BE408:BE455,BO420)+COUNTIFS(BF408:BF455,BM420,BG408:BG455,BO420)+COUNTIFS(BH408:BH455,BM420,BI408:BI455,BO420)+COUNTIFS(BJ408:BJ455,BM420,BK408:BK455,BO420))*0.5</f>
        <v>0</v>
      </c>
      <c r="BQ420" s="136" t="str">
        <f t="shared" si="247"/>
        <v>Estudo Autónomo</v>
      </c>
      <c r="BR420" s="136" t="str">
        <f t="shared" si="247"/>
        <v>AL</v>
      </c>
      <c r="BS420" s="136" t="str">
        <f t="shared" si="248"/>
        <v>Estudo Autónomo</v>
      </c>
      <c r="BT420" s="136">
        <f t="shared" ref="BT420:BT452" si="254">SUMIFS(V:V,Q:Q,BQ420,R:R,BR420)</f>
        <v>24</v>
      </c>
      <c r="BU420" s="136">
        <f t="shared" ref="BU420:BU452" si="255">SUMIFS(BP:BP,BN:BN,BQ420,BO:BO,BR420)</f>
        <v>25.5</v>
      </c>
      <c r="CA420" s="136">
        <f>'INFO BASE'!L500</f>
        <v>0</v>
      </c>
      <c r="CB420" s="136">
        <f>'INFO BASE'!M500</f>
        <v>0</v>
      </c>
      <c r="CD420" s="136" t="str">
        <f>IF('INFO BASE'!E434="","",'INFO BASE'!E434)</f>
        <v/>
      </c>
      <c r="CR420" s="177" t="str">
        <f t="shared" si="236"/>
        <v>HS</v>
      </c>
      <c r="CS420" s="177" t="str">
        <f t="shared" si="237"/>
        <v>HS-</v>
      </c>
      <c r="CT420" s="177" t="str">
        <f t="shared" si="236"/>
        <v>HS</v>
      </c>
      <c r="CU420" s="177" t="str">
        <f t="shared" si="238"/>
        <v>HS-</v>
      </c>
      <c r="CV420" s="177" t="str">
        <f t="shared" si="236"/>
        <v>HS</v>
      </c>
      <c r="CW420" s="177" t="str">
        <f t="shared" si="239"/>
        <v>HS-</v>
      </c>
      <c r="CX420" s="177" t="str">
        <f t="shared" si="236"/>
        <v>HS</v>
      </c>
      <c r="CY420" s="177" t="str">
        <f t="shared" si="240"/>
        <v>HS-</v>
      </c>
      <c r="CZ420" s="177" t="str">
        <f t="shared" si="236"/>
        <v>HS</v>
      </c>
      <c r="DA420" s="177" t="str">
        <f t="shared" si="241"/>
        <v>HS-</v>
      </c>
      <c r="DB420" s="177" t="str">
        <f t="shared" si="236"/>
        <v>PV</v>
      </c>
      <c r="DC420" s="177">
        <f t="shared" si="242"/>
        <v>0</v>
      </c>
      <c r="DD420" s="177" t="str">
        <f t="shared" si="243"/>
        <v>HS</v>
      </c>
      <c r="DE420" s="177" t="str">
        <f t="shared" si="244"/>
        <v>HS-</v>
      </c>
    </row>
    <row r="421" spans="1:109" ht="18" customHeight="1" x14ac:dyDescent="0.3">
      <c r="A421" s="81">
        <v>0.27083333333334197</v>
      </c>
      <c r="B421" s="166" t="s">
        <v>116</v>
      </c>
      <c r="C421" s="130" t="s">
        <v>120</v>
      </c>
      <c r="D421" s="169" t="s">
        <v>116</v>
      </c>
      <c r="E421" s="130" t="s">
        <v>120</v>
      </c>
      <c r="F421" s="169" t="s">
        <v>116</v>
      </c>
      <c r="G421" s="130" t="s">
        <v>120</v>
      </c>
      <c r="H421" s="169" t="s">
        <v>116</v>
      </c>
      <c r="I421" s="130" t="s">
        <v>120</v>
      </c>
      <c r="J421" s="169" t="s">
        <v>116</v>
      </c>
      <c r="K421" s="130" t="s">
        <v>120</v>
      </c>
      <c r="L421" s="169" t="s">
        <v>116</v>
      </c>
      <c r="M421" s="130" t="s">
        <v>120</v>
      </c>
      <c r="N421" s="169" t="s">
        <v>10</v>
      </c>
      <c r="O421" s="154" t="s">
        <v>120</v>
      </c>
      <c r="P421" s="6">
        <v>0</v>
      </c>
      <c r="Q421" s="110" t="str">
        <f t="shared" si="252"/>
        <v>Estudo Autónomo</v>
      </c>
      <c r="R421" s="105" t="str">
        <f t="shared" si="253"/>
        <v>IEI</v>
      </c>
      <c r="S421" s="88">
        <f t="shared" si="250"/>
        <v>4.5</v>
      </c>
      <c r="T421" s="89">
        <f>IF(VLOOKUP(Q421,'INFO BASE'!$B$40:$I$54,IF(R421='INFO BASE'!$B$32,3,IF(R421='INFO BASE'!$B$33,4,IF(R421='INFO BASE'!$B$34,5,IF(R421='INFO BASE'!$B$35,6,IF(R421='INFO BASE'!$B$36,7,IF(R421='INFO BASE'!$B$37,8,2)))))),0)=0,"",VLOOKUP(Q421,'INFO BASE'!$B$40:$I$54,IF(R421='INFO BASE'!$B$32,3,IF(R421='INFO BASE'!$B$33,4,IF(R421='INFO BASE'!$B$34,5,IF(R421='INFO BASE'!$B$35,6,IF(R421='INFO BASE'!$B$36,7,IF(R421='INFO BASE'!$B$37,8,2)))))),0))</f>
        <v>2</v>
      </c>
      <c r="U421" s="89">
        <f>(COUNTIFS(C408:C455,R421,B408:B455,R419)+COUNTIFS(E408:E455,R421,D408:D455,R419)+COUNTIFS(G408:G455,R421,F408:F455,R419)+COUNTIFS(I408:I455,R421,H408:H455,R419)+COUNTIFS(K408:K455,R421,J408:J455,R419)+COUNTIFS(M408:M455,R421,L408:L455,R419)+COUNTIFS(O408:O455,R421,N408:N455,R419))*0.5</f>
        <v>11</v>
      </c>
      <c r="V421" s="89">
        <f>(COUNTIFS(AI408:AI455,R419,AJ408:AJ455,R421)+COUNTIFS(AK408:AK455,R419,AL408:AL455,R421)+COUNTIFS(AM408:AM455,R419,AN408:AN455,R421)+COUNTIFS(AO408:AO455,R419,AP408:AP455,R421)+COUNTIFS(AQ408:AQ455,R419,AR408:AR455,R421)+COUNTIFS(AS408:AS455,R419,AT408:AT455,R421)+COUNTIFS(AU408:AU455,R419,AV408:AV455,R421))*0.5</f>
        <v>2.5</v>
      </c>
      <c r="W421" s="90">
        <f>IF(AH404="","-",IF(V421=0,U421,IFERROR((U421/V421)-1,"-")))</f>
        <v>3.4000000000000004</v>
      </c>
      <c r="X421" s="200">
        <f t="shared" si="251"/>
        <v>1</v>
      </c>
      <c r="Y421" s="299" t="s">
        <v>261</v>
      </c>
      <c r="Z421" s="300"/>
      <c r="AA421" s="300"/>
      <c r="AB421" s="300"/>
      <c r="AC421" s="300"/>
      <c r="AD421" s="300"/>
      <c r="AE421" s="300"/>
      <c r="AF421" s="301"/>
      <c r="AH421" s="136">
        <v>0.27083333333334197</v>
      </c>
      <c r="AI421" s="136" t="s">
        <v>116</v>
      </c>
      <c r="AJ421" s="136" t="s">
        <v>120</v>
      </c>
      <c r="AK421" s="136" t="s">
        <v>116</v>
      </c>
      <c r="AL421" s="136" t="s">
        <v>120</v>
      </c>
      <c r="AM421" s="136" t="s">
        <v>116</v>
      </c>
      <c r="AN421" s="136" t="s">
        <v>120</v>
      </c>
      <c r="AO421" s="136" t="s">
        <v>116</v>
      </c>
      <c r="AP421" s="136" t="s">
        <v>120</v>
      </c>
      <c r="AQ421" s="136" t="s">
        <v>116</v>
      </c>
      <c r="AR421" s="136" t="s">
        <v>120</v>
      </c>
      <c r="AS421" s="136" t="s">
        <v>116</v>
      </c>
      <c r="AT421" s="136" t="s">
        <v>120</v>
      </c>
      <c r="AU421" s="136" t="s">
        <v>10</v>
      </c>
      <c r="AV421" s="136" t="s">
        <v>120</v>
      </c>
      <c r="AX421" s="136" t="str">
        <f>IF(AI404="","",IF(B421="","",B421))</f>
        <v>PV</v>
      </c>
      <c r="AY421" s="136" t="str">
        <f>IF(AI404="","",IF(C421="","",C421))</f>
        <v>-</v>
      </c>
      <c r="AZ421" s="136" t="str">
        <f>IF(AI404="","",IF(D421="","",D421))</f>
        <v>PV</v>
      </c>
      <c r="BA421" s="136" t="str">
        <f>IF(AI404="","",IF(E421="","",E421))</f>
        <v>-</v>
      </c>
      <c r="BB421" s="136" t="str">
        <f>IF(AI404="","",IF(F421="","",F421))</f>
        <v>PV</v>
      </c>
      <c r="BC421" s="136" t="str">
        <f>IF(AI404="","",IF(G421="","",G421))</f>
        <v>-</v>
      </c>
      <c r="BD421" s="136" t="str">
        <f>IF(AI404="","",IF(H421="","",H421))</f>
        <v>PV</v>
      </c>
      <c r="BE421" s="136" t="str">
        <f>IF(AI404="","",IF(I421="","",I421))</f>
        <v>-</v>
      </c>
      <c r="BF421" s="136" t="str">
        <f>IF(AI404="","",IF(J421="","",J421))</f>
        <v>PV</v>
      </c>
      <c r="BG421" s="136" t="str">
        <f>IF(AI404="","",IF(K421="","",K421))</f>
        <v>-</v>
      </c>
      <c r="BH421" s="136" t="str">
        <f>IF(AI404="","",IF(L421="","",L421))</f>
        <v>PV</v>
      </c>
      <c r="BI421" s="136" t="str">
        <f>IF(AI404="","",IF(M421="","",M421))</f>
        <v>-</v>
      </c>
      <c r="BJ421" s="136" t="str">
        <f>IF(AI404="","",IF(N421="","",N421))</f>
        <v>HS</v>
      </c>
      <c r="BK421" s="136" t="str">
        <f>IF(AI404="","",IF(O421="","",O421))</f>
        <v>-</v>
      </c>
      <c r="BM421" s="136" t="str">
        <f t="shared" si="249"/>
        <v>EA</v>
      </c>
      <c r="BN421" s="136" t="str">
        <f t="shared" si="246"/>
        <v>Estudo Autónomo</v>
      </c>
      <c r="BO421" s="136" t="str">
        <f t="shared" si="246"/>
        <v>CDI</v>
      </c>
      <c r="BP421" s="136">
        <f>(COUNTIFS(AX408:AX455,BM421,AY408:AY455,BO421)+COUNTIFS(AZ408:AZ455,BM421,BA408:BA455,BO421)+COUNTIFS(BB408:BB455,BM421,BC408:BC455,BO421)+COUNTIFS(BD408:BD455,BM421,BE408:BE455,BO421)+COUNTIFS(BF408:BF455,BM421,BG408:BG455,BO421)+COUNTIFS(BH408:BH455,BM421,BI408:BI455,BO421)+COUNTIFS(BJ408:BJ455,BM421,BK408:BK455,BO421))*0.5</f>
        <v>2</v>
      </c>
      <c r="BQ421" s="136" t="str">
        <f t="shared" si="247"/>
        <v>Estudo Autónomo</v>
      </c>
      <c r="BR421" s="136" t="str">
        <f t="shared" si="247"/>
        <v>CDI</v>
      </c>
      <c r="BS421" s="136" t="str">
        <f t="shared" si="248"/>
        <v>Estudo Autónomo</v>
      </c>
      <c r="BT421" s="136">
        <f t="shared" si="254"/>
        <v>9.5</v>
      </c>
      <c r="BU421" s="136">
        <f t="shared" si="255"/>
        <v>7.5</v>
      </c>
      <c r="CA421" s="136">
        <f>'INFO BASE'!L501</f>
        <v>0</v>
      </c>
      <c r="CB421" s="136">
        <f>'INFO BASE'!M501</f>
        <v>0</v>
      </c>
      <c r="CD421" s="136" t="str">
        <f>IF('INFO BASE'!E435="","",'INFO BASE'!E435)</f>
        <v/>
      </c>
      <c r="CR421" s="177" t="str">
        <f t="shared" si="236"/>
        <v>PV</v>
      </c>
      <c r="CS421" s="177">
        <f t="shared" si="237"/>
        <v>0</v>
      </c>
      <c r="CT421" s="177" t="str">
        <f t="shared" si="236"/>
        <v>PV</v>
      </c>
      <c r="CU421" s="177">
        <f t="shared" si="238"/>
        <v>0</v>
      </c>
      <c r="CV421" s="177" t="str">
        <f t="shared" si="236"/>
        <v>PV</v>
      </c>
      <c r="CW421" s="177">
        <f t="shared" si="239"/>
        <v>0</v>
      </c>
      <c r="CX421" s="177" t="str">
        <f t="shared" si="236"/>
        <v>PV</v>
      </c>
      <c r="CY421" s="177">
        <f t="shared" si="240"/>
        <v>0</v>
      </c>
      <c r="CZ421" s="177" t="str">
        <f t="shared" si="236"/>
        <v>PV</v>
      </c>
      <c r="DA421" s="177">
        <f t="shared" si="241"/>
        <v>0</v>
      </c>
      <c r="DB421" s="177" t="str">
        <f t="shared" si="236"/>
        <v>PV</v>
      </c>
      <c r="DC421" s="177">
        <f t="shared" si="242"/>
        <v>0</v>
      </c>
      <c r="DD421" s="177" t="str">
        <f t="shared" si="243"/>
        <v>HS</v>
      </c>
      <c r="DE421" s="177" t="str">
        <f t="shared" si="244"/>
        <v>HS-</v>
      </c>
    </row>
    <row r="422" spans="1:109" ht="18" customHeight="1" x14ac:dyDescent="0.3">
      <c r="A422" s="81">
        <v>0.29166666666667601</v>
      </c>
      <c r="B422" s="166" t="s">
        <v>116</v>
      </c>
      <c r="C422" s="130" t="s">
        <v>120</v>
      </c>
      <c r="D422" s="169" t="s">
        <v>116</v>
      </c>
      <c r="E422" s="130" t="s">
        <v>120</v>
      </c>
      <c r="F422" s="169" t="s">
        <v>116</v>
      </c>
      <c r="G422" s="130" t="s">
        <v>120</v>
      </c>
      <c r="H422" s="169" t="s">
        <v>116</v>
      </c>
      <c r="I422" s="130" t="s">
        <v>120</v>
      </c>
      <c r="J422" s="169" t="s">
        <v>116</v>
      </c>
      <c r="K422" s="130" t="s">
        <v>120</v>
      </c>
      <c r="L422" s="169" t="s">
        <v>116</v>
      </c>
      <c r="M422" s="130" t="s">
        <v>120</v>
      </c>
      <c r="N422" s="169" t="s">
        <v>10</v>
      </c>
      <c r="O422" s="154" t="s">
        <v>120</v>
      </c>
      <c r="P422" s="6">
        <v>0</v>
      </c>
      <c r="Q422" s="111" t="str">
        <f t="shared" si="252"/>
        <v>Estudo Autónomo</v>
      </c>
      <c r="R422" s="105" t="str">
        <f t="shared" si="253"/>
        <v>IAC</v>
      </c>
      <c r="S422" s="88">
        <f t="shared" si="250"/>
        <v>0</v>
      </c>
      <c r="T422" s="89">
        <f>IF(VLOOKUP(Q422,'INFO BASE'!$B$40:$I$54,IF(R422='INFO BASE'!$B$32,3,IF(R422='INFO BASE'!$B$33,4,IF(R422='INFO BASE'!$B$34,5,IF(R422='INFO BASE'!$B$35,6,IF(R422='INFO BASE'!$B$36,7,IF(R422='INFO BASE'!$B$37,8,2)))))),0)=0,"",VLOOKUP(Q422,'INFO BASE'!$B$40:$I$54,IF(R422='INFO BASE'!$B$32,3,IF(R422='INFO BASE'!$B$33,4,IF(R422='INFO BASE'!$B$34,5,IF(R422='INFO BASE'!$B$35,6,IF(R422='INFO BASE'!$B$36,7,IF(R422='INFO BASE'!$B$37,8,2)))))),0))</f>
        <v>2</v>
      </c>
      <c r="U422" s="89">
        <f>(COUNTIFS(C408:C455,R422,B408:B455,R419)+COUNTIFS(E408:E455,R422,D408:D455,R419)+COUNTIFS(G408:G455,R422,F408:F455,R419)+COUNTIFS(I408:I455,R422,H408:H455,R419)+COUNTIFS(K408:K455,R422,J408:J455,R419)+COUNTIFS(M408:M455,R422,L408:L455,R419)+COUNTIFS(O408:O455,R422,N408:N455,R419))*0.5</f>
        <v>2</v>
      </c>
      <c r="V422" s="89">
        <f>(COUNTIFS(AI408:AI455,R419,AJ408:AJ455,R422)+COUNTIFS(AK408:AK455,R419,AL408:AL455,R422)+COUNTIFS(AM408:AM455,R419,AN408:AN455,R422)+COUNTIFS(AO408:AO455,R419,AP408:AP455,R422)+COUNTIFS(AQ408:AQ455,R419,AR408:AR455,R422)+COUNTIFS(AS408:AS455,R419,AT408:AT455,R422)+COUNTIFS(AU408:AU455,R419,AV408:AV455,R422))*0.5</f>
        <v>2</v>
      </c>
      <c r="W422" s="90">
        <f>IF(AH404="","-",IF(V422=0,U422,IFERROR((U422/V422)-1,"-")))</f>
        <v>0</v>
      </c>
      <c r="X422" s="200">
        <f t="shared" si="251"/>
        <v>0</v>
      </c>
      <c r="Y422" s="299"/>
      <c r="Z422" s="300"/>
      <c r="AA422" s="300"/>
      <c r="AB422" s="300"/>
      <c r="AC422" s="300"/>
      <c r="AD422" s="300"/>
      <c r="AE422" s="300"/>
      <c r="AF422" s="301"/>
      <c r="AH422" s="136">
        <v>0.29166666666667601</v>
      </c>
      <c r="AI422" s="136" t="s">
        <v>116</v>
      </c>
      <c r="AJ422" s="136" t="s">
        <v>120</v>
      </c>
      <c r="AK422" s="136" t="s">
        <v>116</v>
      </c>
      <c r="AL422" s="136" t="s">
        <v>120</v>
      </c>
      <c r="AM422" s="136" t="s">
        <v>116</v>
      </c>
      <c r="AN422" s="136" t="s">
        <v>120</v>
      </c>
      <c r="AO422" s="136" t="s">
        <v>116</v>
      </c>
      <c r="AP422" s="136" t="s">
        <v>120</v>
      </c>
      <c r="AQ422" s="136" t="s">
        <v>116</v>
      </c>
      <c r="AR422" s="136" t="s">
        <v>120</v>
      </c>
      <c r="AS422" s="136" t="s">
        <v>116</v>
      </c>
      <c r="AT422" s="136" t="s">
        <v>120</v>
      </c>
      <c r="AU422" s="136" t="s">
        <v>10</v>
      </c>
      <c r="AV422" s="136" t="s">
        <v>120</v>
      </c>
      <c r="AX422" s="136" t="str">
        <f>IF(AI404="","",IF(B422="","",B422))</f>
        <v>PV</v>
      </c>
      <c r="AY422" s="136" t="str">
        <f>IF(AI404="","",IF(C422="","",C422))</f>
        <v>-</v>
      </c>
      <c r="AZ422" s="136" t="str">
        <f>IF(AI404="","",IF(D422="","",D422))</f>
        <v>PV</v>
      </c>
      <c r="BA422" s="136" t="str">
        <f>IF(AI404="","",IF(E422="","",E422))</f>
        <v>-</v>
      </c>
      <c r="BB422" s="136" t="str">
        <f>IF(AI404="","",IF(F422="","",F422))</f>
        <v>PV</v>
      </c>
      <c r="BC422" s="136" t="str">
        <f>IF(AI404="","",IF(G422="","",G422))</f>
        <v>-</v>
      </c>
      <c r="BD422" s="136" t="str">
        <f>IF(AI404="","",IF(H422="","",H422))</f>
        <v>PV</v>
      </c>
      <c r="BE422" s="136" t="str">
        <f>IF(AI404="","",IF(I422="","",I422))</f>
        <v>-</v>
      </c>
      <c r="BF422" s="136" t="str">
        <f>IF(AI404="","",IF(J422="","",J422))</f>
        <v>PV</v>
      </c>
      <c r="BG422" s="136" t="str">
        <f>IF(AI404="","",IF(K422="","",K422))</f>
        <v>-</v>
      </c>
      <c r="BH422" s="136" t="str">
        <f>IF(AI404="","",IF(L422="","",L422))</f>
        <v>PV</v>
      </c>
      <c r="BI422" s="136" t="str">
        <f>IF(AI404="","",IF(M422="","",M422))</f>
        <v>-</v>
      </c>
      <c r="BJ422" s="136" t="str">
        <f>IF(AI404="","",IF(N422="","",N422))</f>
        <v>HS</v>
      </c>
      <c r="BK422" s="136" t="str">
        <f>IF(AI404="","",IF(O422="","",O422))</f>
        <v>-</v>
      </c>
      <c r="BM422" s="136" t="str">
        <f t="shared" si="249"/>
        <v>EA</v>
      </c>
      <c r="BN422" s="136" t="str">
        <f t="shared" si="246"/>
        <v>Estudo Autónomo</v>
      </c>
      <c r="BO422" s="136" t="str">
        <f t="shared" si="246"/>
        <v/>
      </c>
      <c r="BP422" s="136">
        <f>(COUNTIFS(AX408:AX455,BM422,AY408:AY455,BO422)+COUNTIFS(AZ408:AZ455,BM422,BA408:BA455,BO422)+COUNTIFS(BB408:BB455,BM422,BC408:BC455,BO422)+COUNTIFS(BD408:BD455,BM422,BE408:BE455,BO422)+COUNTIFS(BF408:BF455,BM422,BG408:BG455,BO422)+COUNTIFS(BH408:BH455,BM422,BI408:BI455,BO422)+COUNTIFS(BJ408:BJ455,BM422,BK408:BK455,BO422))*0.5</f>
        <v>0</v>
      </c>
      <c r="BQ422" s="136" t="str">
        <f t="shared" si="247"/>
        <v>Estudo Autónomo</v>
      </c>
      <c r="BR422" s="136" t="str">
        <f t="shared" si="247"/>
        <v/>
      </c>
      <c r="BS422" s="136" t="str">
        <f t="shared" si="248"/>
        <v>Estudo Autónomo</v>
      </c>
      <c r="BT422" s="136">
        <f t="shared" si="254"/>
        <v>0</v>
      </c>
      <c r="BU422" s="136">
        <f t="shared" si="255"/>
        <v>0</v>
      </c>
      <c r="CA422" s="136">
        <f>'INFO BASE'!L502</f>
        <v>0</v>
      </c>
      <c r="CB422" s="136">
        <f>'INFO BASE'!M502</f>
        <v>0</v>
      </c>
      <c r="CD422" s="136" t="str">
        <f>IF('INFO BASE'!E436="","",'INFO BASE'!E436)</f>
        <v/>
      </c>
      <c r="CR422" s="177" t="str">
        <f t="shared" si="236"/>
        <v>PV</v>
      </c>
      <c r="CS422" s="177">
        <f t="shared" si="237"/>
        <v>0</v>
      </c>
      <c r="CT422" s="177" t="str">
        <f t="shared" si="236"/>
        <v>PV</v>
      </c>
      <c r="CU422" s="177">
        <f t="shared" si="238"/>
        <v>0</v>
      </c>
      <c r="CV422" s="177" t="str">
        <f t="shared" si="236"/>
        <v>PV</v>
      </c>
      <c r="CW422" s="177">
        <f t="shared" si="239"/>
        <v>0</v>
      </c>
      <c r="CX422" s="177" t="str">
        <f t="shared" si="236"/>
        <v>PV</v>
      </c>
      <c r="CY422" s="177">
        <f t="shared" si="240"/>
        <v>0</v>
      </c>
      <c r="CZ422" s="177" t="str">
        <f t="shared" si="236"/>
        <v>PV</v>
      </c>
      <c r="DA422" s="177">
        <f t="shared" si="241"/>
        <v>0</v>
      </c>
      <c r="DB422" s="177" t="str">
        <f t="shared" si="236"/>
        <v>PV</v>
      </c>
      <c r="DC422" s="177">
        <f t="shared" si="242"/>
        <v>0</v>
      </c>
      <c r="DD422" s="177" t="str">
        <f t="shared" si="243"/>
        <v>HS</v>
      </c>
      <c r="DE422" s="177" t="str">
        <f t="shared" si="244"/>
        <v>HS-</v>
      </c>
    </row>
    <row r="423" spans="1:109" ht="18" customHeight="1" x14ac:dyDescent="0.3">
      <c r="A423" s="81">
        <v>0.31250000000000999</v>
      </c>
      <c r="B423" s="166" t="s">
        <v>11</v>
      </c>
      <c r="C423" s="130" t="s">
        <v>120</v>
      </c>
      <c r="D423" s="169" t="s">
        <v>11</v>
      </c>
      <c r="E423" s="130" t="s">
        <v>120</v>
      </c>
      <c r="F423" s="169" t="s">
        <v>11</v>
      </c>
      <c r="G423" s="130" t="s">
        <v>120</v>
      </c>
      <c r="H423" s="169" t="s">
        <v>11</v>
      </c>
      <c r="I423" s="130" t="s">
        <v>120</v>
      </c>
      <c r="J423" s="169" t="s">
        <v>11</v>
      </c>
      <c r="K423" s="130" t="s">
        <v>120</v>
      </c>
      <c r="L423" s="169" t="s">
        <v>11</v>
      </c>
      <c r="M423" s="130" t="s">
        <v>120</v>
      </c>
      <c r="N423" s="169" t="s">
        <v>10</v>
      </c>
      <c r="O423" s="154" t="s">
        <v>120</v>
      </c>
      <c r="P423" s="6">
        <v>0</v>
      </c>
      <c r="Q423" s="110" t="str">
        <f t="shared" si="252"/>
        <v>Estudo Autónomo</v>
      </c>
      <c r="R423" s="105" t="str">
        <f t="shared" si="253"/>
        <v>AL</v>
      </c>
      <c r="S423" s="88">
        <f t="shared" si="250"/>
        <v>-1</v>
      </c>
      <c r="T423" s="89">
        <f>IF(VLOOKUP(Q423,'INFO BASE'!$B$40:$I$54,IF(R423='INFO BASE'!$B$32,3,IF(R423='INFO BASE'!$B$33,4,IF(R423='INFO BASE'!$B$34,5,IF(R423='INFO BASE'!$B$35,6,IF(R423='INFO BASE'!$B$36,7,IF(R423='INFO BASE'!$B$37,8,2)))))),0)=0,"",VLOOKUP(Q423,'INFO BASE'!$B$40:$I$54,IF(R423='INFO BASE'!$B$32,3,IF(R423='INFO BASE'!$B$33,4,IF(R423='INFO BASE'!$B$34,5,IF(R423='INFO BASE'!$B$35,6,IF(R423='INFO BASE'!$B$36,7,IF(R423='INFO BASE'!$B$37,8,2)))))),0))</f>
        <v>5</v>
      </c>
      <c r="U423" s="89">
        <f>(COUNTIFS(C408:C455,R423,B408:B455,R419)+COUNTIFS(E408:E455,R423,D408:D455,R419)+COUNTIFS(G408:G455,R423,F408:F455,R419)+COUNTIFS(I408:I455,R423,H408:H455,R419)+COUNTIFS(K408:K455,R423,J408:J455,R419)+COUNTIFS(M408:M455,R423,L408:L455,R419)+COUNTIFS(O408:O455,R423,N408:N455,R419))*0.5</f>
        <v>0</v>
      </c>
      <c r="V423" s="89">
        <f>(COUNTIFS(AI408:AI455,R419,AJ408:AJ455,R423)+COUNTIFS(AK408:AK455,R419,AL408:AL455,R423)+COUNTIFS(AM408:AM455,R419,AN408:AN455,R423)+COUNTIFS(AO408:AO455,R419,AP408:AP455,R423)+COUNTIFS(AQ408:AQ455,R419,AR408:AR455,R423)+COUNTIFS(AS408:AS455,R419,AT408:AT455,R423)+COUNTIFS(AU408:AU455,R419,AV408:AV455,R423))*0.5</f>
        <v>0</v>
      </c>
      <c r="W423" s="90">
        <f>IF(AH404="","-",IF(V423=0,U423,IFERROR((U423/V423)-1,"-")))</f>
        <v>0</v>
      </c>
      <c r="X423" s="200">
        <f t="shared" si="251"/>
        <v>0</v>
      </c>
      <c r="Y423" s="299"/>
      <c r="Z423" s="300"/>
      <c r="AA423" s="300"/>
      <c r="AB423" s="300"/>
      <c r="AC423" s="300"/>
      <c r="AD423" s="300"/>
      <c r="AE423" s="300"/>
      <c r="AF423" s="301"/>
      <c r="AH423" s="136">
        <v>0.31250000000000999</v>
      </c>
      <c r="AI423" s="136" t="s">
        <v>11</v>
      </c>
      <c r="AJ423" s="136" t="s">
        <v>120</v>
      </c>
      <c r="AK423" s="136" t="s">
        <v>11</v>
      </c>
      <c r="AL423" s="136" t="s">
        <v>120</v>
      </c>
      <c r="AM423" s="136" t="s">
        <v>11</v>
      </c>
      <c r="AN423" s="136" t="s">
        <v>120</v>
      </c>
      <c r="AO423" s="136" t="s">
        <v>11</v>
      </c>
      <c r="AP423" s="136" t="s">
        <v>120</v>
      </c>
      <c r="AQ423" s="136" t="s">
        <v>11</v>
      </c>
      <c r="AR423" s="136" t="s">
        <v>120</v>
      </c>
      <c r="AS423" s="136" t="s">
        <v>11</v>
      </c>
      <c r="AT423" s="136" t="s">
        <v>120</v>
      </c>
      <c r="AU423" s="136" t="s">
        <v>10</v>
      </c>
      <c r="AV423" s="136" t="s">
        <v>120</v>
      </c>
      <c r="AX423" s="136" t="str">
        <f>IF(AI404="","",IF(B423="","",B423))</f>
        <v>HD</v>
      </c>
      <c r="AY423" s="136" t="str">
        <f>IF(AI404="","",IF(C423="","",C423))</f>
        <v>-</v>
      </c>
      <c r="AZ423" s="136" t="str">
        <f>IF(AI404="","",IF(D423="","",D423))</f>
        <v>HD</v>
      </c>
      <c r="BA423" s="136" t="str">
        <f>IF(AI404="","",IF(E423="","",E423))</f>
        <v>-</v>
      </c>
      <c r="BB423" s="136" t="str">
        <f>IF(AI404="","",IF(F423="","",F423))</f>
        <v>HD</v>
      </c>
      <c r="BC423" s="136" t="str">
        <f>IF(AI404="","",IF(G423="","",G423))</f>
        <v>-</v>
      </c>
      <c r="BD423" s="136" t="str">
        <f>IF(AI404="","",IF(H423="","",H423))</f>
        <v>HD</v>
      </c>
      <c r="BE423" s="136" t="str">
        <f>IF(AI404="","",IF(I423="","",I423))</f>
        <v>-</v>
      </c>
      <c r="BF423" s="136" t="str">
        <f>IF(AI404="","",IF(J423="","",J423))</f>
        <v>HD</v>
      </c>
      <c r="BG423" s="136" t="str">
        <f>IF(AI404="","",IF(K423="","",K423))</f>
        <v>-</v>
      </c>
      <c r="BH423" s="136" t="str">
        <f>IF(AI404="","",IF(L423="","",L423))</f>
        <v>HD</v>
      </c>
      <c r="BI423" s="136" t="str">
        <f>IF(AI404="","",IF(M423="","",M423))</f>
        <v>-</v>
      </c>
      <c r="BJ423" s="136" t="str">
        <f>IF(AI404="","",IF(N423="","",N423))</f>
        <v>HS</v>
      </c>
      <c r="BK423" s="136" t="str">
        <f>IF(AI404="","",IF(O423="","",O423))</f>
        <v>-</v>
      </c>
      <c r="BM423" s="136" t="str">
        <f>BO423</f>
        <v>EG</v>
      </c>
      <c r="BN423" s="136" t="str">
        <f t="shared" si="246"/>
        <v>Estudo em Grupo</v>
      </c>
      <c r="BO423" s="136" t="str">
        <f t="shared" si="246"/>
        <v>EG</v>
      </c>
      <c r="BP423" s="136">
        <f>COUNTIFS(AX408:BK455,BO423)*0.5</f>
        <v>11.5</v>
      </c>
      <c r="BQ423" s="136" t="str">
        <f t="shared" si="247"/>
        <v>Estudo em Grupo</v>
      </c>
      <c r="BR423" s="136" t="str">
        <f t="shared" si="247"/>
        <v>EG</v>
      </c>
      <c r="BS423" s="136" t="str">
        <f t="shared" si="248"/>
        <v>Estudo em Grupo</v>
      </c>
      <c r="BT423" s="136">
        <f t="shared" si="254"/>
        <v>46.5</v>
      </c>
      <c r="BU423" s="136">
        <f t="shared" si="255"/>
        <v>55.5</v>
      </c>
      <c r="CA423" s="136">
        <f>'INFO BASE'!L503</f>
        <v>0</v>
      </c>
      <c r="CB423" s="136">
        <f>'INFO BASE'!M503</f>
        <v>0</v>
      </c>
      <c r="CD423" s="136" t="str">
        <f>IF('INFO BASE'!E437="","",'INFO BASE'!E437)</f>
        <v/>
      </c>
      <c r="CR423" s="177" t="str">
        <f t="shared" si="236"/>
        <v>HD</v>
      </c>
      <c r="CS423" s="177" t="str">
        <f t="shared" si="237"/>
        <v>HD-</v>
      </c>
      <c r="CT423" s="177" t="str">
        <f t="shared" si="236"/>
        <v>HD</v>
      </c>
      <c r="CU423" s="177" t="str">
        <f t="shared" si="238"/>
        <v>HD-</v>
      </c>
      <c r="CV423" s="177" t="str">
        <f t="shared" si="236"/>
        <v>HD</v>
      </c>
      <c r="CW423" s="177" t="str">
        <f t="shared" si="239"/>
        <v>HD-</v>
      </c>
      <c r="CX423" s="177" t="str">
        <f t="shared" si="236"/>
        <v>HD</v>
      </c>
      <c r="CY423" s="177" t="str">
        <f t="shared" si="240"/>
        <v>HD-</v>
      </c>
      <c r="CZ423" s="177" t="str">
        <f t="shared" si="236"/>
        <v>HD</v>
      </c>
      <c r="DA423" s="177" t="str">
        <f t="shared" si="241"/>
        <v>HD-</v>
      </c>
      <c r="DB423" s="177" t="str">
        <f t="shared" si="236"/>
        <v>HD</v>
      </c>
      <c r="DC423" s="177" t="str">
        <f t="shared" si="242"/>
        <v>HD-</v>
      </c>
      <c r="DD423" s="177" t="str">
        <f t="shared" si="243"/>
        <v>HS</v>
      </c>
      <c r="DE423" s="177" t="str">
        <f t="shared" si="244"/>
        <v>HS-</v>
      </c>
    </row>
    <row r="424" spans="1:109" ht="18" customHeight="1" x14ac:dyDescent="0.3">
      <c r="A424" s="81">
        <v>0.33333333333334397</v>
      </c>
      <c r="B424" s="166" t="s">
        <v>11</v>
      </c>
      <c r="C424" s="130" t="s">
        <v>120</v>
      </c>
      <c r="D424" s="169" t="s">
        <v>11</v>
      </c>
      <c r="E424" s="130" t="s">
        <v>120</v>
      </c>
      <c r="F424" s="169" t="s">
        <v>11</v>
      </c>
      <c r="G424" s="130" t="s">
        <v>120</v>
      </c>
      <c r="H424" s="169" t="s">
        <v>11</v>
      </c>
      <c r="I424" s="130" t="s">
        <v>120</v>
      </c>
      <c r="J424" s="169" t="s">
        <v>11</v>
      </c>
      <c r="K424" s="130" t="s">
        <v>120</v>
      </c>
      <c r="L424" s="169" t="s">
        <v>11</v>
      </c>
      <c r="M424" s="130" t="s">
        <v>120</v>
      </c>
      <c r="N424" s="169" t="s">
        <v>10</v>
      </c>
      <c r="O424" s="154" t="s">
        <v>120</v>
      </c>
      <c r="P424" s="6">
        <v>0</v>
      </c>
      <c r="Q424" s="110" t="str">
        <f t="shared" si="252"/>
        <v>Estudo Autónomo</v>
      </c>
      <c r="R424" s="105" t="str">
        <f t="shared" si="253"/>
        <v>CDI</v>
      </c>
      <c r="S424" s="88">
        <f t="shared" si="250"/>
        <v>-0.6</v>
      </c>
      <c r="T424" s="89">
        <f>IF(VLOOKUP(Q424,'INFO BASE'!$B$40:$I$54,IF(R424='INFO BASE'!$B$32,3,IF(R424='INFO BASE'!$B$33,4,IF(R424='INFO BASE'!$B$34,5,IF(R424='INFO BASE'!$B$35,6,IF(R424='INFO BASE'!$B$36,7,IF(R424='INFO BASE'!$B$37,8,2)))))),0)=0,"",VLOOKUP(Q424,'INFO BASE'!$B$40:$I$54,IF(R424='INFO BASE'!$B$32,3,IF(R424='INFO BASE'!$B$33,4,IF(R424='INFO BASE'!$B$34,5,IF(R424='INFO BASE'!$B$35,6,IF(R424='INFO BASE'!$B$36,7,IF(R424='INFO BASE'!$B$37,8,2)))))),0))</f>
        <v>5</v>
      </c>
      <c r="U424" s="89">
        <f>(COUNTIFS(C408:C455,R424,B408:B455,R419)+COUNTIFS(E408:E455,R424,D408:D455,R419)+COUNTIFS(G408:G455,R424,F408:F455,R419)+COUNTIFS(I408:I455,R424,H408:H455,R419)+COUNTIFS(K408:K455,R424,J408:J455,R419)+COUNTIFS(M408:M455,R424,L408:L455,R419)+COUNTIFS(O408:O455,R424,N408:N455,R419))*0.5</f>
        <v>2</v>
      </c>
      <c r="V424" s="89">
        <f>(COUNTIFS(AI408:AI455,R419,AJ408:AJ455,R424)+COUNTIFS(AK408:AK455,R419,AL408:AL455,R424)+COUNTIFS(AM408:AM455,R419,AN408:AN455,R424)+COUNTIFS(AO408:AO455,R419,AP408:AP455,R424)+COUNTIFS(AQ408:AQ455,R419,AR408:AR455,R424)+COUNTIFS(AS408:AS455,R419,AT408:AT455,R424)+COUNTIFS(AU408:AU455,R419,AV408:AV455,R424))*0.5</f>
        <v>2</v>
      </c>
      <c r="W424" s="90">
        <f>IF(AH404="","-",IF(V424=0,U424,IFERROR((U424/V424)-1,"-")))</f>
        <v>0</v>
      </c>
      <c r="X424" s="200">
        <f t="shared" si="251"/>
        <v>0</v>
      </c>
      <c r="Y424" s="299"/>
      <c r="Z424" s="300"/>
      <c r="AA424" s="300"/>
      <c r="AB424" s="300"/>
      <c r="AC424" s="300"/>
      <c r="AD424" s="300"/>
      <c r="AE424" s="300"/>
      <c r="AF424" s="301"/>
      <c r="AH424" s="136">
        <v>0.33333333333334397</v>
      </c>
      <c r="AI424" s="136" t="s">
        <v>11</v>
      </c>
      <c r="AJ424" s="136" t="s">
        <v>120</v>
      </c>
      <c r="AK424" s="136" t="s">
        <v>11</v>
      </c>
      <c r="AL424" s="136" t="s">
        <v>120</v>
      </c>
      <c r="AM424" s="136" t="s">
        <v>11</v>
      </c>
      <c r="AN424" s="136" t="s">
        <v>120</v>
      </c>
      <c r="AO424" s="136" t="s">
        <v>11</v>
      </c>
      <c r="AP424" s="136" t="s">
        <v>120</v>
      </c>
      <c r="AQ424" s="136" t="s">
        <v>11</v>
      </c>
      <c r="AR424" s="136" t="s">
        <v>120</v>
      </c>
      <c r="AS424" s="136" t="s">
        <v>11</v>
      </c>
      <c r="AT424" s="136" t="s">
        <v>120</v>
      </c>
      <c r="AU424" s="136" t="s">
        <v>10</v>
      </c>
      <c r="AV424" s="136" t="s">
        <v>120</v>
      </c>
      <c r="AX424" s="136" t="str">
        <f>IF(AI404="","",IF(B424="","",B424))</f>
        <v>HD</v>
      </c>
      <c r="AY424" s="136" t="str">
        <f>IF(AI404="","",IF(C424="","",C424))</f>
        <v>-</v>
      </c>
      <c r="AZ424" s="136" t="str">
        <f>IF(AI404="","",IF(D424="","",D424))</f>
        <v>HD</v>
      </c>
      <c r="BA424" s="136" t="str">
        <f>IF(AI404="","",IF(E424="","",E424))</f>
        <v>-</v>
      </c>
      <c r="BB424" s="136" t="str">
        <f>IF(AI404="","",IF(F424="","",F424))</f>
        <v>HD</v>
      </c>
      <c r="BC424" s="136" t="str">
        <f>IF(AI404="","",IF(G424="","",G424))</f>
        <v>-</v>
      </c>
      <c r="BD424" s="136" t="str">
        <f>IF(AI404="","",IF(H424="","",H424))</f>
        <v>HD</v>
      </c>
      <c r="BE424" s="136" t="str">
        <f>IF(AI404="","",IF(I424="","",I424))</f>
        <v>-</v>
      </c>
      <c r="BF424" s="136" t="str">
        <f>IF(AI404="","",IF(J424="","",J424))</f>
        <v>HD</v>
      </c>
      <c r="BG424" s="136" t="str">
        <f>IF(AI404="","",IF(K424="","",K424))</f>
        <v>-</v>
      </c>
      <c r="BH424" s="136" t="str">
        <f>IF(AI404="","",IF(L424="","",L424))</f>
        <v>HD</v>
      </c>
      <c r="BI424" s="136" t="str">
        <f>IF(AI404="","",IF(M424="","",M424))</f>
        <v>-</v>
      </c>
      <c r="BJ424" s="136" t="str">
        <f>IF(AI404="","",IF(N424="","",N424))</f>
        <v>HS</v>
      </c>
      <c r="BK424" s="136" t="str">
        <f>IF(AI404="","",IF(O424="","",O424))</f>
        <v>-</v>
      </c>
      <c r="BM424" s="136" t="str">
        <f>BM423</f>
        <v>EG</v>
      </c>
      <c r="BN424" s="136" t="str">
        <f t="shared" si="246"/>
        <v>Estudo em Grupo</v>
      </c>
      <c r="BO424" s="136" t="str">
        <f t="shared" si="246"/>
        <v>FP</v>
      </c>
      <c r="BP424" s="136">
        <f>(COUNTIFS(AX408:AX455,BM424,AY408:AY455,BO424)+COUNTIFS(AZ408:AZ455,BM424,BA408:BA455,BO424)+COUNTIFS(BB408:BB455,BM424,BC408:BC455,BO424)+COUNTIFS(BD408:BD455,BM424,BE408:BE455,BO424)+COUNTIFS(BF408:BF455,BM424,BG408:BG455,BO424)+COUNTIFS(BH408:BH455,BM424,BI408:BI455,BO424)+COUNTIFS(BJ408:BJ455,BM424,BK408:BK455,BO424))*0.5</f>
        <v>0</v>
      </c>
      <c r="BQ424" s="136" t="str">
        <f t="shared" si="247"/>
        <v>Estudo em Grupo</v>
      </c>
      <c r="BR424" s="136" t="str">
        <f t="shared" si="247"/>
        <v>FP</v>
      </c>
      <c r="BS424" s="136" t="str">
        <f t="shared" si="248"/>
        <v>Estudo em Grupo</v>
      </c>
      <c r="BT424" s="136">
        <f t="shared" si="254"/>
        <v>11</v>
      </c>
      <c r="BU424" s="136">
        <f t="shared" si="255"/>
        <v>12</v>
      </c>
      <c r="CA424" s="136">
        <f>'INFO BASE'!L504</f>
        <v>0</v>
      </c>
      <c r="CB424" s="136">
        <f>'INFO BASE'!M504</f>
        <v>0</v>
      </c>
      <c r="CD424" s="136" t="str">
        <f>IF('INFO BASE'!F438="","",'INFO BASE'!F438)</f>
        <v/>
      </c>
      <c r="CR424" s="177" t="str">
        <f t="shared" si="236"/>
        <v>HD</v>
      </c>
      <c r="CS424" s="177" t="str">
        <f t="shared" si="237"/>
        <v>HD-</v>
      </c>
      <c r="CT424" s="177" t="str">
        <f t="shared" si="236"/>
        <v>HD</v>
      </c>
      <c r="CU424" s="177" t="str">
        <f t="shared" si="238"/>
        <v>HD-</v>
      </c>
      <c r="CV424" s="177" t="str">
        <f t="shared" si="236"/>
        <v>HD</v>
      </c>
      <c r="CW424" s="177" t="str">
        <f t="shared" si="239"/>
        <v>HD-</v>
      </c>
      <c r="CX424" s="177" t="str">
        <f t="shared" si="236"/>
        <v>HD</v>
      </c>
      <c r="CY424" s="177" t="str">
        <f t="shared" si="240"/>
        <v>HD-</v>
      </c>
      <c r="CZ424" s="177" t="str">
        <f t="shared" si="236"/>
        <v>HD</v>
      </c>
      <c r="DA424" s="177" t="str">
        <f t="shared" si="241"/>
        <v>HD-</v>
      </c>
      <c r="DB424" s="177" t="str">
        <f t="shared" si="236"/>
        <v>HD</v>
      </c>
      <c r="DC424" s="177" t="str">
        <f t="shared" si="242"/>
        <v>HD-</v>
      </c>
      <c r="DD424" s="177" t="str">
        <f t="shared" si="243"/>
        <v>HS</v>
      </c>
      <c r="DE424" s="177" t="str">
        <f t="shared" si="244"/>
        <v>HS-</v>
      </c>
    </row>
    <row r="425" spans="1:109" ht="18" customHeight="1" thickBot="1" x14ac:dyDescent="0.35">
      <c r="A425" s="81">
        <v>0.35416666666667801</v>
      </c>
      <c r="B425" s="166" t="s">
        <v>11</v>
      </c>
      <c r="C425" s="130" t="s">
        <v>120</v>
      </c>
      <c r="D425" s="169" t="s">
        <v>11</v>
      </c>
      <c r="E425" s="130" t="s">
        <v>120</v>
      </c>
      <c r="F425" s="169" t="s">
        <v>130</v>
      </c>
      <c r="G425" s="130" t="s">
        <v>230</v>
      </c>
      <c r="H425" s="169" t="s">
        <v>11</v>
      </c>
      <c r="I425" s="130" t="s">
        <v>120</v>
      </c>
      <c r="J425" s="169" t="s">
        <v>11</v>
      </c>
      <c r="K425" s="130" t="s">
        <v>120</v>
      </c>
      <c r="L425" s="169" t="s">
        <v>116</v>
      </c>
      <c r="M425" s="130" t="s">
        <v>120</v>
      </c>
      <c r="N425" s="169" t="s">
        <v>116</v>
      </c>
      <c r="O425" s="154" t="s">
        <v>120</v>
      </c>
      <c r="P425" s="6">
        <v>0</v>
      </c>
      <c r="Q425" s="112" t="str">
        <f t="shared" si="252"/>
        <v>Estudo Autónomo</v>
      </c>
      <c r="R425" s="107" t="str">
        <f t="shared" si="253"/>
        <v/>
      </c>
      <c r="S425" s="94" t="str">
        <f t="shared" si="250"/>
        <v>-</v>
      </c>
      <c r="T425" s="95" t="str">
        <f>IF(VLOOKUP(Q425,'INFO BASE'!$B$40:$I$54,IF(R425='INFO BASE'!$B$32,3,IF(R425='INFO BASE'!$B$33,4,IF(R425='INFO BASE'!$B$34,5,IF(R425='INFO BASE'!$B$35,6,IF(R425='INFO BASE'!$B$36,7,IF(R425='INFO BASE'!$B$37,8,2)))))),0)=0,"",VLOOKUP(Q425,'INFO BASE'!$B$40:$I$54,IF(R425='INFO BASE'!$B$32,3,IF(R425='INFO BASE'!$B$33,4,IF(R425='INFO BASE'!$B$34,5,IF(R425='INFO BASE'!$B$35,6,IF(R425='INFO BASE'!$B$36,7,IF(R425='INFO BASE'!$B$37,8,2)))))),0))</f>
        <v/>
      </c>
      <c r="U425" s="95">
        <f>(COUNTIFS(C408:C455,R425,B408:B455,R419)+COUNTIFS(E408:E455,R425,D408:D455,R419)+COUNTIFS(G408:G455,R425,F408:F455,R419)+COUNTIFS(I408:I455,R425,H408:H455,R419)+COUNTIFS(K408:K455,R425,J408:J455,R419)+COUNTIFS(M408:M455,R425,L408:L455,R419)+COUNTIFS(O408:O455,R425,N408:N455,R419))*0.5</f>
        <v>0</v>
      </c>
      <c r="V425" s="95">
        <f>(COUNTIFS(AI408:AI455,R419,AJ408:AJ455,R425)+COUNTIFS(AK408:AK455,R419,AL408:AL455,R425)+COUNTIFS(AM408:AM455,R419,AN408:AN455,R425)+COUNTIFS(AO408:AO455,R419,AP408:AP455,R425)+COUNTIFS(AQ408:AQ455,R419,AR408:AR455,R425)+COUNTIFS(AS408:AS455,R419,AT408:AT455,R425)+COUNTIFS(AU408:AU455,R419,AV408:AV455,R425))*0.5</f>
        <v>0</v>
      </c>
      <c r="W425" s="96">
        <f>IF(AH404="","-",IF(V425=0,U425,IFERROR((U425/V425)-1,"-")))</f>
        <v>0</v>
      </c>
      <c r="X425" s="201">
        <f t="shared" si="251"/>
        <v>0</v>
      </c>
      <c r="Y425" s="274"/>
      <c r="Z425" s="275"/>
      <c r="AA425" s="275"/>
      <c r="AB425" s="275"/>
      <c r="AC425" s="275"/>
      <c r="AD425" s="275"/>
      <c r="AE425" s="275"/>
      <c r="AF425" s="276"/>
      <c r="AH425" s="136">
        <v>0.35416666666667801</v>
      </c>
      <c r="AI425" s="136" t="s">
        <v>11</v>
      </c>
      <c r="AJ425" s="136" t="s">
        <v>120</v>
      </c>
      <c r="AK425" s="136" t="s">
        <v>11</v>
      </c>
      <c r="AL425" s="136" t="s">
        <v>120</v>
      </c>
      <c r="AM425" s="136" t="s">
        <v>130</v>
      </c>
      <c r="AN425" s="136" t="s">
        <v>230</v>
      </c>
      <c r="AO425" s="136" t="s">
        <v>11</v>
      </c>
      <c r="AP425" s="136" t="s">
        <v>120</v>
      </c>
      <c r="AQ425" s="136" t="s">
        <v>11</v>
      </c>
      <c r="AR425" s="136" t="s">
        <v>120</v>
      </c>
      <c r="AS425" s="136" t="s">
        <v>116</v>
      </c>
      <c r="AT425" s="136" t="s">
        <v>120</v>
      </c>
      <c r="AU425" s="136" t="s">
        <v>10</v>
      </c>
      <c r="AV425" s="136" t="s">
        <v>120</v>
      </c>
      <c r="AX425" s="136" t="str">
        <f>IF(AI404="","",IF(B425="","",B425))</f>
        <v>HD</v>
      </c>
      <c r="AY425" s="136" t="str">
        <f>IF(AI404="","",IF(C425="","",C425))</f>
        <v>-</v>
      </c>
      <c r="AZ425" s="136" t="str">
        <f>IF(AI404="","",IF(D425="","",D425))</f>
        <v>HD</v>
      </c>
      <c r="BA425" s="136" t="str">
        <f>IF(AI404="","",IF(E425="","",E425))</f>
        <v>-</v>
      </c>
      <c r="BB425" s="136" t="str">
        <f>IF(AI404="","",IF(F425="","",F425))</f>
        <v>APB</v>
      </c>
      <c r="BC425" s="136" t="str">
        <f>IF(AI404="","",IF(G425="","",G425))</f>
        <v>AL</v>
      </c>
      <c r="BD425" s="136" t="str">
        <f>IF(AI404="","",IF(H425="","",H425))</f>
        <v>HD</v>
      </c>
      <c r="BE425" s="136" t="str">
        <f>IF(AI404="","",IF(I425="","",I425))</f>
        <v>-</v>
      </c>
      <c r="BF425" s="136" t="str">
        <f>IF(AI404="","",IF(J425="","",J425))</f>
        <v>HD</v>
      </c>
      <c r="BG425" s="136" t="str">
        <f>IF(AI404="","",IF(K425="","",K425))</f>
        <v>-</v>
      </c>
      <c r="BH425" s="136" t="str">
        <f>IF(AI404="","",IF(L425="","",L425))</f>
        <v>PV</v>
      </c>
      <c r="BI425" s="136" t="str">
        <f>IF(AI404="","",IF(M425="","",M425))</f>
        <v>-</v>
      </c>
      <c r="BJ425" s="136" t="str">
        <f>IF(AI404="","",IF(N425="","",N425))</f>
        <v>PV</v>
      </c>
      <c r="BK425" s="136" t="str">
        <f>IF(AI404="","",IF(O425="","",O425))</f>
        <v>-</v>
      </c>
      <c r="BM425" s="136" t="str">
        <f t="shared" ref="BM425:BM429" si="256">BM424</f>
        <v>EG</v>
      </c>
      <c r="BN425" s="136" t="str">
        <f t="shared" si="246"/>
        <v>Estudo em Grupo</v>
      </c>
      <c r="BO425" s="136" t="str">
        <f t="shared" si="246"/>
        <v>IEI</v>
      </c>
      <c r="BP425" s="136">
        <f>(COUNTIFS(AX408:AX455,BM425,AY408:AY455,BO425)+COUNTIFS(AZ408:AZ455,BM425,BA408:BA455,BO425)+COUNTIFS(BB408:BB455,BM425,BC408:BC455,BO425)+COUNTIFS(BD408:BD455,BM425,BE408:BE455,BO425)+COUNTIFS(BF408:BF455,BM425,BG408:BG455,BO425)+COUNTIFS(BH408:BH455,BM425,BI408:BI455,BO425)+COUNTIFS(BJ408:BJ455,BM425,BK408:BK455,BO425))*0.5</f>
        <v>7</v>
      </c>
      <c r="BQ425" s="136" t="str">
        <f t="shared" si="247"/>
        <v>Estudo em Grupo</v>
      </c>
      <c r="BR425" s="136" t="str">
        <f t="shared" si="247"/>
        <v>IEI</v>
      </c>
      <c r="BS425" s="136" t="str">
        <f t="shared" si="248"/>
        <v>Estudo em Grupo</v>
      </c>
      <c r="BT425" s="136">
        <f t="shared" si="254"/>
        <v>2.5</v>
      </c>
      <c r="BU425" s="136">
        <f t="shared" si="255"/>
        <v>7</v>
      </c>
      <c r="CA425" s="136">
        <f>'INFO BASE'!L505</f>
        <v>0</v>
      </c>
      <c r="CB425" s="136">
        <f>'INFO BASE'!M505</f>
        <v>0</v>
      </c>
      <c r="CR425" s="177" t="str">
        <f t="shared" si="236"/>
        <v>HD</v>
      </c>
      <c r="CS425" s="177" t="str">
        <f t="shared" si="237"/>
        <v>HD-</v>
      </c>
      <c r="CT425" s="177" t="str">
        <f t="shared" si="236"/>
        <v>HD</v>
      </c>
      <c r="CU425" s="177" t="str">
        <f t="shared" si="238"/>
        <v>HD-</v>
      </c>
      <c r="CV425" s="177" t="str">
        <f t="shared" si="236"/>
        <v>APB</v>
      </c>
      <c r="CW425" s="177" t="str">
        <f t="shared" si="239"/>
        <v>APBAL</v>
      </c>
      <c r="CX425" s="177" t="str">
        <f t="shared" si="236"/>
        <v>HD</v>
      </c>
      <c r="CY425" s="177" t="str">
        <f t="shared" si="240"/>
        <v>HD-</v>
      </c>
      <c r="CZ425" s="177" t="str">
        <f t="shared" si="236"/>
        <v>HD</v>
      </c>
      <c r="DA425" s="177" t="str">
        <f t="shared" si="241"/>
        <v>HD-</v>
      </c>
      <c r="DB425" s="177" t="str">
        <f t="shared" si="236"/>
        <v>PV</v>
      </c>
      <c r="DC425" s="177">
        <f t="shared" si="242"/>
        <v>0</v>
      </c>
      <c r="DD425" s="177" t="str">
        <f t="shared" si="243"/>
        <v>PV</v>
      </c>
      <c r="DE425" s="177">
        <f t="shared" si="244"/>
        <v>0</v>
      </c>
    </row>
    <row r="426" spans="1:109" ht="18" customHeight="1" x14ac:dyDescent="0.3">
      <c r="A426" s="81">
        <v>0.37500000000001199</v>
      </c>
      <c r="B426" s="166" t="s">
        <v>9</v>
      </c>
      <c r="C426" s="130" t="s">
        <v>228</v>
      </c>
      <c r="D426" s="169" t="s">
        <v>9</v>
      </c>
      <c r="E426" s="130" t="s">
        <v>226</v>
      </c>
      <c r="F426" s="169" t="s">
        <v>130</v>
      </c>
      <c r="G426" s="130" t="s">
        <v>230</v>
      </c>
      <c r="H426" s="169" t="s">
        <v>9</v>
      </c>
      <c r="I426" s="130" t="s">
        <v>228</v>
      </c>
      <c r="J426" s="169" t="s">
        <v>9</v>
      </c>
      <c r="K426" s="130" t="s">
        <v>224</v>
      </c>
      <c r="L426" s="169" t="s">
        <v>134</v>
      </c>
      <c r="M426" s="130" t="s">
        <v>231</v>
      </c>
      <c r="N426" s="169" t="s">
        <v>116</v>
      </c>
      <c r="O426" s="154" t="s">
        <v>120</v>
      </c>
      <c r="P426" s="6">
        <v>0</v>
      </c>
      <c r="Q426" s="113" t="str">
        <f>IF('INFO BASE'!$C$18="","",'INFO BASE'!$C$18)</f>
        <v>Estudo em Grupo</v>
      </c>
      <c r="R426" s="82" t="str">
        <f t="shared" si="253"/>
        <v>EG</v>
      </c>
      <c r="S426" s="83">
        <f t="shared" si="250"/>
        <v>0.4375</v>
      </c>
      <c r="T426" s="84">
        <f>IF(VLOOKUP(Q426,'INFO BASE'!$B$40:$I$54,IF(R426='INFO BASE'!$B$32,3,IF(R426='INFO BASE'!$B$33,4,IF(R426='INFO BASE'!$B$34,5,IF(R426='INFO BASE'!$B$35,6,IF(R426='INFO BASE'!$B$36,7,IF(R426='INFO BASE'!$B$37,8,2)))))),0)=0,"",VLOOKUP(Q426,'INFO BASE'!$B$40:$I$54,IF(R426='INFO BASE'!$B$32,3,IF(R426='INFO BASE'!$B$33,4,IF(R426='INFO BASE'!$B$34,5,IF(R426='INFO BASE'!$B$35,6,IF(R426='INFO BASE'!$B$36,7,IF(R426='INFO BASE'!$B$37,8,2)))))),0))</f>
        <v>8</v>
      </c>
      <c r="U426" s="84">
        <f>IF(R426="","",COUNTIFS(SEMANA8,R426)*0.5)</f>
        <v>11.5</v>
      </c>
      <c r="V426" s="84">
        <f>IF(R426="","",COUNTIFS(AI408:AV455,R426)*0.5)</f>
        <v>8</v>
      </c>
      <c r="W426" s="85">
        <f>IF(AH404="","-",IF(V426=0,U426,IFERROR((U426/V426)-1,"-")))</f>
        <v>0.4375</v>
      </c>
      <c r="X426" s="201">
        <f t="shared" si="251"/>
        <v>1</v>
      </c>
      <c r="Y426" s="277" t="s">
        <v>262</v>
      </c>
      <c r="Z426" s="278"/>
      <c r="AA426" s="278"/>
      <c r="AB426" s="278"/>
      <c r="AC426" s="278"/>
      <c r="AD426" s="278"/>
      <c r="AE426" s="278"/>
      <c r="AF426" s="279"/>
      <c r="AH426" s="136">
        <v>0.37500000000001199</v>
      </c>
      <c r="AI426" s="136" t="s">
        <v>9</v>
      </c>
      <c r="AJ426" s="136" t="s">
        <v>228</v>
      </c>
      <c r="AK426" s="136" t="s">
        <v>9</v>
      </c>
      <c r="AL426" s="136" t="s">
        <v>226</v>
      </c>
      <c r="AM426" s="136" t="s">
        <v>130</v>
      </c>
      <c r="AN426" s="136" t="s">
        <v>230</v>
      </c>
      <c r="AO426" s="136" t="s">
        <v>9</v>
      </c>
      <c r="AP426" s="136" t="s">
        <v>228</v>
      </c>
      <c r="AQ426" s="136" t="s">
        <v>9</v>
      </c>
      <c r="AR426" s="136" t="s">
        <v>224</v>
      </c>
      <c r="AS426" s="136" t="s">
        <v>134</v>
      </c>
      <c r="AT426" s="136" t="s">
        <v>231</v>
      </c>
      <c r="AU426" s="136" t="s">
        <v>10</v>
      </c>
      <c r="AV426" s="136" t="s">
        <v>120</v>
      </c>
      <c r="AX426" s="136" t="str">
        <f>IF(AI404="","",IF(B426="","",B426))</f>
        <v>AT</v>
      </c>
      <c r="AY426" s="136" t="str">
        <f>IF(AI404="","",IF(C426="","",C426))</f>
        <v>IAC</v>
      </c>
      <c r="AZ426" s="136" t="str">
        <f>IF(AI404="","",IF(D426="","",D426))</f>
        <v>AT</v>
      </c>
      <c r="BA426" s="136" t="str">
        <f>IF(AI404="","",IF(E426="","",E426))</f>
        <v>IEI</v>
      </c>
      <c r="BB426" s="136" t="str">
        <f>IF(AI404="","",IF(F426="","",F426))</f>
        <v>APB</v>
      </c>
      <c r="BC426" s="136" t="str">
        <f>IF(AI404="","",IF(G426="","",G426))</f>
        <v>AL</v>
      </c>
      <c r="BD426" s="136" t="str">
        <f>IF(AI404="","",IF(H426="","",H426))</f>
        <v>AT</v>
      </c>
      <c r="BE426" s="136" t="str">
        <f>IF(AI404="","",IF(I426="","",I426))</f>
        <v>IAC</v>
      </c>
      <c r="BF426" s="136" t="str">
        <f>IF(AI404="","",IF(J426="","",J426))</f>
        <v>AT</v>
      </c>
      <c r="BG426" s="136" t="str">
        <f>IF(AI404="","",IF(K426="","",K426))</f>
        <v>FP</v>
      </c>
      <c r="BH426" s="136" t="str">
        <f>IF(AI404="","",IF(L426="","",L426))</f>
        <v>MA</v>
      </c>
      <c r="BI426" s="136" t="str">
        <f>IF(AI404="","",IF(M426="","",M426))</f>
        <v>CDI</v>
      </c>
      <c r="BJ426" s="136" t="str">
        <f>IF(AI404="","",IF(N426="","",N426))</f>
        <v>PV</v>
      </c>
      <c r="BK426" s="136" t="str">
        <f>IF(AI404="","",IF(O426="","",O426))</f>
        <v>-</v>
      </c>
      <c r="BM426" s="136" t="str">
        <f t="shared" si="256"/>
        <v>EG</v>
      </c>
      <c r="BN426" s="136" t="str">
        <f t="shared" si="246"/>
        <v>Estudo em Grupo</v>
      </c>
      <c r="BO426" s="136" t="str">
        <f t="shared" si="246"/>
        <v>IAC</v>
      </c>
      <c r="BP426" s="136">
        <f>(COUNTIFS(AX408:AX455,BM426,AY408:AY455,BO426)+COUNTIFS(AZ408:AZ455,BM426,BA408:BA455,BO426)+COUNTIFS(BB408:BB455,BM426,BC408:BC455,BO426)+COUNTIFS(BD408:BD455,BM426,BE408:BE455,BO426)+COUNTIFS(BF408:BF455,BM426,BG408:BG455,BO426)+COUNTIFS(BH408:BH455,BM426,BI408:BI455,BO426)+COUNTIFS(BJ408:BJ455,BM426,BK408:BK455,BO426))*0.5</f>
        <v>1</v>
      </c>
      <c r="BQ426" s="136" t="str">
        <f t="shared" si="247"/>
        <v>Estudo em Grupo</v>
      </c>
      <c r="BR426" s="136" t="str">
        <f t="shared" si="247"/>
        <v>IAC</v>
      </c>
      <c r="BS426" s="136" t="str">
        <f t="shared" si="248"/>
        <v>Estudo em Grupo</v>
      </c>
      <c r="BT426" s="136">
        <f t="shared" si="254"/>
        <v>6</v>
      </c>
      <c r="BU426" s="136">
        <f t="shared" si="255"/>
        <v>10.5</v>
      </c>
      <c r="CA426" s="136">
        <f>'INFO BASE'!L506</f>
        <v>0</v>
      </c>
      <c r="CB426" s="136">
        <f>'INFO BASE'!M506</f>
        <v>0</v>
      </c>
      <c r="CR426" s="177" t="str">
        <f t="shared" si="236"/>
        <v>AT</v>
      </c>
      <c r="CS426" s="177" t="str">
        <f t="shared" si="237"/>
        <v>ATIAC</v>
      </c>
      <c r="CT426" s="177" t="str">
        <f t="shared" si="236"/>
        <v>AT</v>
      </c>
      <c r="CU426" s="177" t="str">
        <f t="shared" si="238"/>
        <v>ATIEI</v>
      </c>
      <c r="CV426" s="177" t="str">
        <f t="shared" si="236"/>
        <v>APB</v>
      </c>
      <c r="CW426" s="177" t="str">
        <f t="shared" si="239"/>
        <v>APBAL</v>
      </c>
      <c r="CX426" s="177" t="str">
        <f t="shared" si="236"/>
        <v>AT</v>
      </c>
      <c r="CY426" s="177" t="str">
        <f t="shared" si="240"/>
        <v>ATIAC</v>
      </c>
      <c r="CZ426" s="177" t="str">
        <f t="shared" si="236"/>
        <v>AT</v>
      </c>
      <c r="DA426" s="177" t="str">
        <f t="shared" si="241"/>
        <v>ATFP</v>
      </c>
      <c r="DB426" s="177" t="str">
        <f t="shared" si="236"/>
        <v>MA</v>
      </c>
      <c r="DC426" s="177" t="str">
        <f t="shared" si="242"/>
        <v>MACDI</v>
      </c>
      <c r="DD426" s="177" t="str">
        <f t="shared" si="243"/>
        <v>PV</v>
      </c>
      <c r="DE426" s="177">
        <f t="shared" si="244"/>
        <v>0</v>
      </c>
    </row>
    <row r="427" spans="1:109" ht="18" customHeight="1" x14ac:dyDescent="0.3">
      <c r="A427" s="81">
        <v>0.39583333333334603</v>
      </c>
      <c r="B427" s="166" t="s">
        <v>9</v>
      </c>
      <c r="C427" s="130" t="s">
        <v>228</v>
      </c>
      <c r="D427" s="169" t="s">
        <v>9</v>
      </c>
      <c r="E427" s="130" t="s">
        <v>226</v>
      </c>
      <c r="F427" s="169" t="s">
        <v>130</v>
      </c>
      <c r="G427" s="130" t="s">
        <v>230</v>
      </c>
      <c r="H427" s="169" t="s">
        <v>9</v>
      </c>
      <c r="I427" s="130" t="s">
        <v>228</v>
      </c>
      <c r="J427" s="169" t="s">
        <v>9</v>
      </c>
      <c r="K427" s="130" t="s">
        <v>224</v>
      </c>
      <c r="L427" s="169" t="s">
        <v>134</v>
      </c>
      <c r="M427" s="130" t="s">
        <v>231</v>
      </c>
      <c r="N427" s="169" t="s">
        <v>8</v>
      </c>
      <c r="O427" s="154" t="s">
        <v>226</v>
      </c>
      <c r="P427" s="6">
        <v>0</v>
      </c>
      <c r="Q427" s="114" t="str">
        <f t="shared" ref="Q427:Q432" si="257">Q426</f>
        <v>Estudo em Grupo</v>
      </c>
      <c r="R427" s="105" t="str">
        <f t="shared" si="253"/>
        <v>FP</v>
      </c>
      <c r="S427" s="88">
        <f t="shared" si="250"/>
        <v>-1</v>
      </c>
      <c r="T427" s="89">
        <f>IF(VLOOKUP(Q427,'INFO BASE'!$B$40:$I$54,IF(R427='INFO BASE'!$B$32,3,IF(R427='INFO BASE'!$B$33,4,IF(R427='INFO BASE'!$B$34,5,IF(R427='INFO BASE'!$B$35,6,IF(R427='INFO BASE'!$B$36,7,IF(R427='INFO BASE'!$B$37,8,2)))))),0)=0,"",VLOOKUP(Q427,'INFO BASE'!$B$40:$I$54,IF(R427='INFO BASE'!$B$32,3,IF(R427='INFO BASE'!$B$33,4,IF(R427='INFO BASE'!$B$34,5,IF(R427='INFO BASE'!$B$35,6,IF(R427='INFO BASE'!$B$36,7,IF(R427='INFO BASE'!$B$37,8,2)))))),0))</f>
        <v>2</v>
      </c>
      <c r="U427" s="89">
        <f>(COUNTIFS(C408:C455,R427,B408:B455,R426)+COUNTIFS(E408:E455,R427,D408:D455,R426)+COUNTIFS(G408:G455,R427,F408:F455,R426)+COUNTIFS(I408:I455,R427,H408:H455,R426)+COUNTIFS(K408:K455,R427,J408:J455,R426)+COUNTIFS(M408:M455,R427,L408:L455,R426)+COUNTIFS(O408:O455,R427,N408:N455,R426))*0.5</f>
        <v>0</v>
      </c>
      <c r="V427" s="89">
        <f>(COUNTIFS(AI408:AI455,R426,AJ408:AJ455,R420)+COUNTIFS(AK408:AK455,R426,AL408:AL455,R420)+COUNTIFS(AM408:AM455,R426,AN408:AN455,R420)+COUNTIFS(AO408:AO455,R426,AP408:AP455,R420)+COUNTIFS(AQ408:AQ455,R426,AR408:AR455,R420)+COUNTIFS(AS408:AS455,R426,AT408:AT455,R420)+COUNTIFS(AU408:AU455,R426,AV408:AV455,R420))*0.5</f>
        <v>0</v>
      </c>
      <c r="W427" s="90">
        <f>IF(AH404="","-",IF(V427=0,U427,IFERROR((U427/V427)-1,"-")))</f>
        <v>0</v>
      </c>
      <c r="X427" s="201">
        <f t="shared" si="251"/>
        <v>0</v>
      </c>
      <c r="Y427" s="271"/>
      <c r="Z427" s="272"/>
      <c r="AA427" s="272"/>
      <c r="AB427" s="272"/>
      <c r="AC427" s="272"/>
      <c r="AD427" s="272"/>
      <c r="AE427" s="272"/>
      <c r="AF427" s="273"/>
      <c r="AH427" s="136">
        <v>0.39583333333334603</v>
      </c>
      <c r="AI427" s="136" t="s">
        <v>9</v>
      </c>
      <c r="AJ427" s="136" t="s">
        <v>228</v>
      </c>
      <c r="AK427" s="136" t="s">
        <v>9</v>
      </c>
      <c r="AL427" s="136" t="s">
        <v>226</v>
      </c>
      <c r="AM427" s="136" t="s">
        <v>130</v>
      </c>
      <c r="AN427" s="136" t="s">
        <v>230</v>
      </c>
      <c r="AO427" s="136" t="s">
        <v>9</v>
      </c>
      <c r="AP427" s="136" t="s">
        <v>228</v>
      </c>
      <c r="AQ427" s="136" t="s">
        <v>9</v>
      </c>
      <c r="AR427" s="136" t="s">
        <v>224</v>
      </c>
      <c r="AS427" s="136" t="s">
        <v>134</v>
      </c>
      <c r="AT427" s="136" t="s">
        <v>231</v>
      </c>
      <c r="AU427" s="136" t="s">
        <v>10</v>
      </c>
      <c r="AV427" s="136" t="s">
        <v>120</v>
      </c>
      <c r="AX427" s="136" t="str">
        <f>IF(AI404="","",IF(B427="","",B427))</f>
        <v>AT</v>
      </c>
      <c r="AY427" s="136" t="str">
        <f>IF(AI404="","",IF(C427="","",C427))</f>
        <v>IAC</v>
      </c>
      <c r="AZ427" s="136" t="str">
        <f>IF(AI404="","",IF(D427="","",D427))</f>
        <v>AT</v>
      </c>
      <c r="BA427" s="136" t="str">
        <f>IF(AI404="","",IF(E427="","",E427))</f>
        <v>IEI</v>
      </c>
      <c r="BB427" s="136" t="str">
        <f>IF(AI404="","",IF(F427="","",F427))</f>
        <v>APB</v>
      </c>
      <c r="BC427" s="136" t="str">
        <f>IF(AI404="","",IF(G427="","",G427))</f>
        <v>AL</v>
      </c>
      <c r="BD427" s="136" t="str">
        <f>IF(AI404="","",IF(H427="","",H427))</f>
        <v>AT</v>
      </c>
      <c r="BE427" s="136" t="str">
        <f>IF(AI404="","",IF(I427="","",I427))</f>
        <v>IAC</v>
      </c>
      <c r="BF427" s="136" t="str">
        <f>IF(AI404="","",IF(J427="","",J427))</f>
        <v>AT</v>
      </c>
      <c r="BG427" s="136" t="str">
        <f>IF(AI404="","",IF(K427="","",K427))</f>
        <v>FP</v>
      </c>
      <c r="BH427" s="136" t="str">
        <f>IF(AI404="","",IF(L427="","",L427))</f>
        <v>MA</v>
      </c>
      <c r="BI427" s="136" t="str">
        <f>IF(AI404="","",IF(M427="","",M427))</f>
        <v>CDI</v>
      </c>
      <c r="BJ427" s="136" t="str">
        <f>IF(AI404="","",IF(N427="","",N427))</f>
        <v>EA</v>
      </c>
      <c r="BK427" s="136" t="str">
        <f>IF(AI404="","",IF(O427="","",O427))</f>
        <v>IEI</v>
      </c>
      <c r="BM427" s="136" t="str">
        <f t="shared" si="256"/>
        <v>EG</v>
      </c>
      <c r="BN427" s="136" t="str">
        <f t="shared" si="246"/>
        <v>Estudo em Grupo</v>
      </c>
      <c r="BO427" s="136" t="str">
        <f t="shared" si="246"/>
        <v>AL</v>
      </c>
      <c r="BP427" s="136">
        <f>(COUNTIFS(AX408:AX455,BM427,AY408:AY455,BO427)+COUNTIFS(AZ408:AZ455,BM427,BA408:BA455,BO427)+COUNTIFS(BB408:BB455,BM427,BC408:BC455,BO427)+COUNTIFS(BD408:BD455,BM427,BE408:BE455,BO427)+COUNTIFS(BF408:BF455,BM427,BG408:BG455,BO427)+COUNTIFS(BH408:BH455,BM427,BI408:BI455,BO427)+COUNTIFS(BJ408:BJ455,BM427,BK408:BK455,BO427))*0.5</f>
        <v>0</v>
      </c>
      <c r="BQ427" s="136" t="str">
        <f t="shared" si="247"/>
        <v>Estudo em Grupo</v>
      </c>
      <c r="BR427" s="136" t="str">
        <f t="shared" si="247"/>
        <v>AL</v>
      </c>
      <c r="BS427" s="136" t="str">
        <f t="shared" si="248"/>
        <v>Estudo em Grupo</v>
      </c>
      <c r="BT427" s="136">
        <f t="shared" si="254"/>
        <v>16.5</v>
      </c>
      <c r="BU427" s="136">
        <f t="shared" si="255"/>
        <v>17.5</v>
      </c>
      <c r="CA427" s="136">
        <f>'INFO BASE'!L507</f>
        <v>0</v>
      </c>
      <c r="CB427" s="136">
        <f>'INFO BASE'!M507</f>
        <v>0</v>
      </c>
      <c r="CR427" s="177" t="str">
        <f t="shared" si="236"/>
        <v>AT</v>
      </c>
      <c r="CS427" s="177" t="str">
        <f t="shared" si="237"/>
        <v>ATIAC</v>
      </c>
      <c r="CT427" s="177" t="str">
        <f t="shared" si="236"/>
        <v>AT</v>
      </c>
      <c r="CU427" s="177" t="str">
        <f t="shared" si="238"/>
        <v>ATIEI</v>
      </c>
      <c r="CV427" s="177" t="str">
        <f t="shared" si="236"/>
        <v>APB</v>
      </c>
      <c r="CW427" s="177" t="str">
        <f t="shared" si="239"/>
        <v>APBAL</v>
      </c>
      <c r="CX427" s="177" t="str">
        <f t="shared" si="236"/>
        <v>AT</v>
      </c>
      <c r="CY427" s="177" t="str">
        <f t="shared" si="240"/>
        <v>ATIAC</v>
      </c>
      <c r="CZ427" s="177" t="str">
        <f t="shared" si="236"/>
        <v>AT</v>
      </c>
      <c r="DA427" s="177" t="str">
        <f t="shared" si="241"/>
        <v>ATFP</v>
      </c>
      <c r="DB427" s="177" t="str">
        <f t="shared" si="236"/>
        <v>MA</v>
      </c>
      <c r="DC427" s="177" t="str">
        <f t="shared" si="242"/>
        <v>MACDI</v>
      </c>
      <c r="DD427" s="177" t="str">
        <f t="shared" si="243"/>
        <v>EA</v>
      </c>
      <c r="DE427" s="177" t="str">
        <f t="shared" si="244"/>
        <v>EAIEI</v>
      </c>
    </row>
    <row r="428" spans="1:109" ht="18" customHeight="1" x14ac:dyDescent="0.3">
      <c r="A428" s="81">
        <v>0.41666666666668001</v>
      </c>
      <c r="B428" s="166" t="s">
        <v>9</v>
      </c>
      <c r="C428" s="130" t="s">
        <v>228</v>
      </c>
      <c r="D428" s="169" t="s">
        <v>9</v>
      </c>
      <c r="E428" s="130" t="s">
        <v>226</v>
      </c>
      <c r="F428" s="169" t="s">
        <v>9</v>
      </c>
      <c r="G428" s="130" t="s">
        <v>224</v>
      </c>
      <c r="H428" s="169" t="s">
        <v>9</v>
      </c>
      <c r="I428" s="130" t="s">
        <v>228</v>
      </c>
      <c r="J428" s="169" t="s">
        <v>9</v>
      </c>
      <c r="K428" s="130" t="s">
        <v>224</v>
      </c>
      <c r="L428" s="169" t="s">
        <v>134</v>
      </c>
      <c r="M428" s="130" t="s">
        <v>231</v>
      </c>
      <c r="N428" s="169" t="s">
        <v>8</v>
      </c>
      <c r="O428" s="154" t="s">
        <v>226</v>
      </c>
      <c r="P428" s="6">
        <v>0</v>
      </c>
      <c r="Q428" s="114" t="str">
        <f t="shared" si="257"/>
        <v>Estudo em Grupo</v>
      </c>
      <c r="R428" s="105" t="str">
        <f t="shared" si="253"/>
        <v>IEI</v>
      </c>
      <c r="S428" s="88" t="str">
        <f t="shared" si="250"/>
        <v>-</v>
      </c>
      <c r="T428" s="89" t="str">
        <f>IF(VLOOKUP(Q428,'INFO BASE'!$B$40:$I$54,IF(R428='INFO BASE'!$B$32,3,IF(R428='INFO BASE'!$B$33,4,IF(R428='INFO BASE'!$B$34,5,IF(R428='INFO BASE'!$B$35,6,IF(R428='INFO BASE'!$B$36,7,IF(R428='INFO BASE'!$B$37,8,2)))))),0)=0,"",VLOOKUP(Q428,'INFO BASE'!$B$40:$I$54,IF(R428='INFO BASE'!$B$32,3,IF(R428='INFO BASE'!$B$33,4,IF(R428='INFO BASE'!$B$34,5,IF(R428='INFO BASE'!$B$35,6,IF(R428='INFO BASE'!$B$36,7,IF(R428='INFO BASE'!$B$37,8,2)))))),0))</f>
        <v/>
      </c>
      <c r="U428" s="89">
        <f>(COUNTIFS(C408:C455,R428,B408:B455,R426)+COUNTIFS(E408:E455,R428,D408:D455,R426)+COUNTIFS(G408:G455,R428,F408:F455,R426)+COUNTIFS(I408:I455,R428,H408:H455,R426)+COUNTIFS(K408:K455,R428,J408:J455,R426)+COUNTIFS(M408:M455,R428,L408:L455,R426)+COUNTIFS(O408:O455,R428,N408:N455,R426))*0.5</f>
        <v>7</v>
      </c>
      <c r="V428" s="89">
        <f>(COUNTIFS(AI408:AI455,R426,AJ408:AJ455,R421)+COUNTIFS(AK408:AK455,R426,AL408:AL455,R421)+COUNTIFS(AM408:AM455,R426,AN408:AN455,R421)+COUNTIFS(AO408:AO455,R426,AP408:AP455,R421)+COUNTIFS(AQ408:AQ455,R426,AR408:AR455,R421)+COUNTIFS(AS408:AS455,R426,AT408:AT455,R421)+COUNTIFS(AU408:AU455,R426,AV408:AV455,R421))*0.5</f>
        <v>2.5</v>
      </c>
      <c r="W428" s="90">
        <f>IF(AH404="","-",IF(V428=0,U428,IFERROR((U428/V428)-1,"-")))</f>
        <v>1.7999999999999998</v>
      </c>
      <c r="X428" s="201">
        <f t="shared" si="251"/>
        <v>1</v>
      </c>
      <c r="Y428" s="271" t="s">
        <v>262</v>
      </c>
      <c r="Z428" s="272"/>
      <c r="AA428" s="272"/>
      <c r="AB428" s="272"/>
      <c r="AC428" s="272"/>
      <c r="AD428" s="272"/>
      <c r="AE428" s="272"/>
      <c r="AF428" s="273"/>
      <c r="AH428" s="136">
        <v>0.41666666666668001</v>
      </c>
      <c r="AI428" s="136" t="s">
        <v>9</v>
      </c>
      <c r="AJ428" s="136" t="s">
        <v>228</v>
      </c>
      <c r="AK428" s="136" t="s">
        <v>9</v>
      </c>
      <c r="AL428" s="136" t="s">
        <v>226</v>
      </c>
      <c r="AM428" s="136" t="s">
        <v>9</v>
      </c>
      <c r="AN428" s="136" t="s">
        <v>224</v>
      </c>
      <c r="AO428" s="136" t="s">
        <v>9</v>
      </c>
      <c r="AP428" s="136" t="s">
        <v>228</v>
      </c>
      <c r="AQ428" s="136" t="s">
        <v>9</v>
      </c>
      <c r="AR428" s="136" t="s">
        <v>224</v>
      </c>
      <c r="AS428" s="136" t="s">
        <v>134</v>
      </c>
      <c r="AT428" s="136" t="s">
        <v>231</v>
      </c>
      <c r="AU428" s="136" t="s">
        <v>10</v>
      </c>
      <c r="AV428" s="136" t="s">
        <v>120</v>
      </c>
      <c r="AX428" s="136" t="str">
        <f>IF(AI404="","",IF(B428="","",B428))</f>
        <v>AT</v>
      </c>
      <c r="AY428" s="136" t="str">
        <f>IF(AI404="","",IF(C428="","",C428))</f>
        <v>IAC</v>
      </c>
      <c r="AZ428" s="136" t="str">
        <f>IF(AI404="","",IF(D428="","",D428))</f>
        <v>AT</v>
      </c>
      <c r="BA428" s="136" t="str">
        <f>IF(AI404="","",IF(E428="","",E428))</f>
        <v>IEI</v>
      </c>
      <c r="BB428" s="136" t="str">
        <f>IF(AI404="","",IF(F428="","",F428))</f>
        <v>AT</v>
      </c>
      <c r="BC428" s="136" t="str">
        <f>IF(AI404="","",IF(G428="","",G428))</f>
        <v>FP</v>
      </c>
      <c r="BD428" s="136" t="str">
        <f>IF(AI404="","",IF(H428="","",H428))</f>
        <v>AT</v>
      </c>
      <c r="BE428" s="136" t="str">
        <f>IF(AI404="","",IF(I428="","",I428))</f>
        <v>IAC</v>
      </c>
      <c r="BF428" s="136" t="str">
        <f>IF(AI404="","",IF(J428="","",J428))</f>
        <v>AT</v>
      </c>
      <c r="BG428" s="136" t="str">
        <f>IF(AI404="","",IF(K428="","",K428))</f>
        <v>FP</v>
      </c>
      <c r="BH428" s="136" t="str">
        <f>IF(AI404="","",IF(L428="","",L428))</f>
        <v>MA</v>
      </c>
      <c r="BI428" s="136" t="str">
        <f>IF(AI404="","",IF(M428="","",M428))</f>
        <v>CDI</v>
      </c>
      <c r="BJ428" s="136" t="str">
        <f>IF(AI404="","",IF(N428="","",N428))</f>
        <v>EA</v>
      </c>
      <c r="BK428" s="136" t="str">
        <f>IF(AI404="","",IF(O428="","",O428))</f>
        <v>IEI</v>
      </c>
      <c r="BM428" s="136" t="str">
        <f t="shared" si="256"/>
        <v>EG</v>
      </c>
      <c r="BN428" s="136" t="str">
        <f t="shared" si="246"/>
        <v>Estudo em Grupo</v>
      </c>
      <c r="BO428" s="136" t="str">
        <f t="shared" si="246"/>
        <v>CDI</v>
      </c>
      <c r="BP428" s="136">
        <f>(COUNTIFS(AX408:AX455,BM428,AY408:AY455,BO428)+COUNTIFS(AZ408:AZ455,BM428,BA408:BA455,BO428)+COUNTIFS(BB408:BB455,BM428,BC408:BC455,BO428)+COUNTIFS(BD408:BD455,BM428,BE408:BE455,BO428)+COUNTIFS(BF408:BF455,BM428,BG408:BG455,BO428)+COUNTIFS(BH408:BH455,BM428,BI408:BI455,BO428)+COUNTIFS(BJ408:BJ455,BM428,BK408:BK455,BO428))*0.5</f>
        <v>3.5</v>
      </c>
      <c r="BQ428" s="136" t="str">
        <f t="shared" si="247"/>
        <v>Estudo em Grupo</v>
      </c>
      <c r="BR428" s="136" t="str">
        <f t="shared" si="247"/>
        <v>CDI</v>
      </c>
      <c r="BS428" s="136" t="str">
        <f t="shared" si="248"/>
        <v>Estudo em Grupo</v>
      </c>
      <c r="BT428" s="136">
        <f t="shared" si="254"/>
        <v>10.5</v>
      </c>
      <c r="BU428" s="136">
        <f t="shared" si="255"/>
        <v>8.5</v>
      </c>
      <c r="CA428" s="136">
        <f>'INFO BASE'!L508</f>
        <v>0</v>
      </c>
      <c r="CB428" s="136">
        <f>'INFO BASE'!M508</f>
        <v>0</v>
      </c>
      <c r="CR428" s="177" t="str">
        <f t="shared" si="236"/>
        <v>AT</v>
      </c>
      <c r="CS428" s="177" t="str">
        <f t="shared" si="237"/>
        <v>ATIAC</v>
      </c>
      <c r="CT428" s="177" t="str">
        <f t="shared" si="236"/>
        <v>AT</v>
      </c>
      <c r="CU428" s="177" t="str">
        <f t="shared" si="238"/>
        <v>ATIEI</v>
      </c>
      <c r="CV428" s="177" t="str">
        <f t="shared" si="236"/>
        <v>AT</v>
      </c>
      <c r="CW428" s="177" t="str">
        <f t="shared" si="239"/>
        <v>ATFP</v>
      </c>
      <c r="CX428" s="177" t="str">
        <f t="shared" si="236"/>
        <v>AT</v>
      </c>
      <c r="CY428" s="177" t="str">
        <f t="shared" si="240"/>
        <v>ATIAC</v>
      </c>
      <c r="CZ428" s="177" t="str">
        <f t="shared" si="236"/>
        <v>AT</v>
      </c>
      <c r="DA428" s="177" t="str">
        <f t="shared" si="241"/>
        <v>ATFP</v>
      </c>
      <c r="DB428" s="177" t="str">
        <f t="shared" si="236"/>
        <v>MA</v>
      </c>
      <c r="DC428" s="177" t="str">
        <f t="shared" si="242"/>
        <v>MACDI</v>
      </c>
      <c r="DD428" s="177" t="str">
        <f t="shared" si="243"/>
        <v>EA</v>
      </c>
      <c r="DE428" s="177" t="str">
        <f t="shared" si="244"/>
        <v>EAIEI</v>
      </c>
    </row>
    <row r="429" spans="1:109" ht="18" customHeight="1" x14ac:dyDescent="0.3">
      <c r="A429" s="81">
        <v>0.43750000000001399</v>
      </c>
      <c r="B429" s="166" t="s">
        <v>130</v>
      </c>
      <c r="C429" s="130" t="s">
        <v>231</v>
      </c>
      <c r="D429" s="169" t="s">
        <v>9</v>
      </c>
      <c r="E429" s="130" t="s">
        <v>226</v>
      </c>
      <c r="F429" s="169" t="s">
        <v>9</v>
      </c>
      <c r="G429" s="130" t="s">
        <v>224</v>
      </c>
      <c r="H429" s="169" t="s">
        <v>132</v>
      </c>
      <c r="I429" s="130" t="s">
        <v>228</v>
      </c>
      <c r="J429" s="169" t="s">
        <v>9</v>
      </c>
      <c r="K429" s="130" t="s">
        <v>230</v>
      </c>
      <c r="L429" s="169" t="s">
        <v>128</v>
      </c>
      <c r="M429" s="130" t="s">
        <v>226</v>
      </c>
      <c r="N429" s="169" t="s">
        <v>8</v>
      </c>
      <c r="O429" s="154" t="s">
        <v>226</v>
      </c>
      <c r="P429" s="6">
        <v>0</v>
      </c>
      <c r="Q429" s="115" t="str">
        <f t="shared" si="257"/>
        <v>Estudo em Grupo</v>
      </c>
      <c r="R429" s="105" t="str">
        <f t="shared" si="253"/>
        <v>IAC</v>
      </c>
      <c r="S429" s="88">
        <f t="shared" si="250"/>
        <v>-0.5</v>
      </c>
      <c r="T429" s="89">
        <f>IF(VLOOKUP(Q429,'INFO BASE'!$B$40:$I$54,IF(R429='INFO BASE'!$B$32,3,IF(R429='INFO BASE'!$B$33,4,IF(R429='INFO BASE'!$B$34,5,IF(R429='INFO BASE'!$B$35,6,IF(R429='INFO BASE'!$B$36,7,IF(R429='INFO BASE'!$B$37,8,2)))))),0)=0,"",VLOOKUP(Q429,'INFO BASE'!$B$40:$I$54,IF(R429='INFO BASE'!$B$32,3,IF(R429='INFO BASE'!$B$33,4,IF(R429='INFO BASE'!$B$34,5,IF(R429='INFO BASE'!$B$35,6,IF(R429='INFO BASE'!$B$36,7,IF(R429='INFO BASE'!$B$37,8,2)))))),0))</f>
        <v>2</v>
      </c>
      <c r="U429" s="89">
        <f>(COUNTIFS(C408:C455,R429,B408:B455,R426)+COUNTIFS(E408:E455,R429,D408:D455,R426)+COUNTIFS(G408:G455,R429,F408:F455,R426)+COUNTIFS(I408:I455,R429,H408:H455,R426)+COUNTIFS(K408:K455,R429,J408:J455,R426)+COUNTIFS(M408:M455,R429,L408:L455,R426)+COUNTIFS(O408:O455,R429,N408:N455,R426))*0.5</f>
        <v>1</v>
      </c>
      <c r="V429" s="89">
        <f>(COUNTIFS(AI408:AI455,R426,AJ408:AJ455,R422)+COUNTIFS(AK408:AK455,R426,AL408:AL455,R422)+COUNTIFS(AM408:AM455,R426,AN408:AN455,R422)+COUNTIFS(AO408:AO455,R426,AP408:AP455,R422)+COUNTIFS(AQ408:AQ455,R426,AR408:AR455,R422)+COUNTIFS(AS408:AS455,R426,AT408:AT455,R422)+COUNTIFS(AU408:AU455,R426,AV408:AV455,R422))*0.5</f>
        <v>1</v>
      </c>
      <c r="W429" s="90">
        <f>IF(AH404="","-",IF(V429=0,U429,IFERROR((U429/V429)-1,"-")))</f>
        <v>0</v>
      </c>
      <c r="X429" s="201">
        <f t="shared" si="251"/>
        <v>0</v>
      </c>
      <c r="Y429" s="271"/>
      <c r="Z429" s="272"/>
      <c r="AA429" s="272"/>
      <c r="AB429" s="272"/>
      <c r="AC429" s="272"/>
      <c r="AD429" s="272"/>
      <c r="AE429" s="272"/>
      <c r="AF429" s="273"/>
      <c r="AH429" s="136">
        <v>0.43750000000001399</v>
      </c>
      <c r="AI429" s="136" t="s">
        <v>130</v>
      </c>
      <c r="AJ429" s="136" t="s">
        <v>231</v>
      </c>
      <c r="AK429" s="136" t="s">
        <v>9</v>
      </c>
      <c r="AL429" s="136" t="s">
        <v>226</v>
      </c>
      <c r="AM429" s="136" t="s">
        <v>9</v>
      </c>
      <c r="AN429" s="136" t="s">
        <v>224</v>
      </c>
      <c r="AO429" s="136" t="s">
        <v>132</v>
      </c>
      <c r="AP429" s="136" t="s">
        <v>228</v>
      </c>
      <c r="AQ429" s="136" t="s">
        <v>9</v>
      </c>
      <c r="AR429" s="136" t="s">
        <v>230</v>
      </c>
      <c r="AS429" s="136" t="s">
        <v>128</v>
      </c>
      <c r="AT429" s="136" t="s">
        <v>226</v>
      </c>
      <c r="AU429" s="136" t="s">
        <v>10</v>
      </c>
      <c r="AV429" s="136" t="s">
        <v>120</v>
      </c>
      <c r="AX429" s="136" t="str">
        <f>IF(AI404="","",IF(B429="","",B429))</f>
        <v>APB</v>
      </c>
      <c r="AY429" s="136" t="str">
        <f>IF(AI404="","",IF(C429="","",C429))</f>
        <v>CDI</v>
      </c>
      <c r="AZ429" s="136" t="str">
        <f>IF(AI404="","",IF(D429="","",D429))</f>
        <v>AT</v>
      </c>
      <c r="BA429" s="136" t="str">
        <f>IF(AI404="","",IF(E429="","",E429))</f>
        <v>IEI</v>
      </c>
      <c r="BB429" s="136" t="str">
        <f>IF(AI404="","",IF(F429="","",F429))</f>
        <v>AT</v>
      </c>
      <c r="BC429" s="136" t="str">
        <f>IF(AI404="","",IF(G429="","",G429))</f>
        <v>FP</v>
      </c>
      <c r="BD429" s="136" t="str">
        <f>IF(AI404="","",IF(H429="","",H429))</f>
        <v>LAB</v>
      </c>
      <c r="BE429" s="136" t="str">
        <f>IF(AI404="","",IF(I429="","",I429))</f>
        <v>IAC</v>
      </c>
      <c r="BF429" s="136" t="str">
        <f>IF(AI404="","",IF(J429="","",J429))</f>
        <v>AT</v>
      </c>
      <c r="BG429" s="136" t="str">
        <f>IF(AI404="","",IF(K429="","",K429))</f>
        <v>AL</v>
      </c>
      <c r="BH429" s="136" t="str">
        <f>IF(AI404="","",IF(L429="","",L429))</f>
        <v>EG</v>
      </c>
      <c r="BI429" s="136" t="str">
        <f>IF(AI404="","",IF(M429="","",M429))</f>
        <v>IEI</v>
      </c>
      <c r="BJ429" s="136" t="str">
        <f>IF(AI404="","",IF(N429="","",N429))</f>
        <v>EA</v>
      </c>
      <c r="BK429" s="136" t="str">
        <f>IF(AI404="","",IF(O429="","",O429))</f>
        <v>IEI</v>
      </c>
      <c r="BM429" s="136" t="str">
        <f t="shared" si="256"/>
        <v>EG</v>
      </c>
      <c r="BN429" s="136" t="str">
        <f t="shared" si="246"/>
        <v>Estudo em Grupo</v>
      </c>
      <c r="BO429" s="136" t="str">
        <f t="shared" si="246"/>
        <v/>
      </c>
      <c r="BP429" s="136">
        <f>(COUNTIFS(AX408:AX455,BM429,AY408:AY455,BO429)+COUNTIFS(AZ408:AZ455,BM429,BA408:BA455,BO429)+COUNTIFS(BB408:BB455,BM429,BC408:BC455,BO429)+COUNTIFS(BD408:BD455,BM429,BE408:BE455,BO429)+COUNTIFS(BF408:BF455,BM429,BG408:BG455,BO429)+COUNTIFS(BH408:BH455,BM429,BI408:BI455,BO429)+COUNTIFS(BJ408:BJ455,BM429,BK408:BK455,BO429))*0.5</f>
        <v>0</v>
      </c>
      <c r="BQ429" s="136" t="str">
        <f t="shared" si="247"/>
        <v>Estudo em Grupo</v>
      </c>
      <c r="BR429" s="136" t="str">
        <f t="shared" si="247"/>
        <v/>
      </c>
      <c r="BS429" s="136" t="str">
        <f t="shared" si="248"/>
        <v>Estudo em Grupo</v>
      </c>
      <c r="BT429" s="136">
        <f t="shared" si="254"/>
        <v>0</v>
      </c>
      <c r="BU429" s="136">
        <f t="shared" si="255"/>
        <v>0</v>
      </c>
      <c r="CA429" s="136">
        <f>'INFO BASE'!L509</f>
        <v>0</v>
      </c>
      <c r="CB429" s="136">
        <f>'INFO BASE'!M509</f>
        <v>0</v>
      </c>
      <c r="CR429" s="177" t="str">
        <f t="shared" si="236"/>
        <v>APB</v>
      </c>
      <c r="CS429" s="177" t="str">
        <f t="shared" si="237"/>
        <v>APBCDI</v>
      </c>
      <c r="CT429" s="177" t="str">
        <f t="shared" si="236"/>
        <v>AT</v>
      </c>
      <c r="CU429" s="177" t="str">
        <f t="shared" si="238"/>
        <v>ATIEI</v>
      </c>
      <c r="CV429" s="177" t="str">
        <f t="shared" si="236"/>
        <v>AT</v>
      </c>
      <c r="CW429" s="177" t="str">
        <f t="shared" si="239"/>
        <v>ATFP</v>
      </c>
      <c r="CX429" s="177" t="str">
        <f t="shared" si="236"/>
        <v>LAB</v>
      </c>
      <c r="CY429" s="177" t="str">
        <f t="shared" si="240"/>
        <v>LABIAC</v>
      </c>
      <c r="CZ429" s="177" t="str">
        <f t="shared" si="236"/>
        <v>AT</v>
      </c>
      <c r="DA429" s="177" t="str">
        <f t="shared" si="241"/>
        <v>ATAL</v>
      </c>
      <c r="DB429" s="177" t="str">
        <f t="shared" si="236"/>
        <v>EG</v>
      </c>
      <c r="DC429" s="177" t="str">
        <f t="shared" si="242"/>
        <v>EGIEI</v>
      </c>
      <c r="DD429" s="177" t="str">
        <f t="shared" si="243"/>
        <v>EA</v>
      </c>
      <c r="DE429" s="177" t="str">
        <f t="shared" si="244"/>
        <v>EAIEI</v>
      </c>
    </row>
    <row r="430" spans="1:109" ht="18" customHeight="1" x14ac:dyDescent="0.3">
      <c r="A430" s="81">
        <v>0.45833333333334803</v>
      </c>
      <c r="B430" s="166" t="s">
        <v>130</v>
      </c>
      <c r="C430" s="130" t="s">
        <v>231</v>
      </c>
      <c r="D430" s="169" t="s">
        <v>9</v>
      </c>
      <c r="E430" s="130" t="s">
        <v>226</v>
      </c>
      <c r="F430" s="169" t="s">
        <v>9</v>
      </c>
      <c r="G430" s="130" t="s">
        <v>224</v>
      </c>
      <c r="H430" s="169" t="s">
        <v>132</v>
      </c>
      <c r="I430" s="130" t="s">
        <v>228</v>
      </c>
      <c r="J430" s="169" t="s">
        <v>9</v>
      </c>
      <c r="K430" s="130" t="s">
        <v>230</v>
      </c>
      <c r="L430" s="169" t="s">
        <v>128</v>
      </c>
      <c r="M430" s="130" t="s">
        <v>226</v>
      </c>
      <c r="N430" s="169" t="s">
        <v>8</v>
      </c>
      <c r="O430" s="154" t="s">
        <v>226</v>
      </c>
      <c r="P430" s="6">
        <v>0</v>
      </c>
      <c r="Q430" s="114" t="str">
        <f t="shared" si="257"/>
        <v>Estudo em Grupo</v>
      </c>
      <c r="R430" s="105" t="str">
        <f t="shared" si="253"/>
        <v>AL</v>
      </c>
      <c r="S430" s="88">
        <f t="shared" si="250"/>
        <v>-1</v>
      </c>
      <c r="T430" s="89">
        <f>IF(VLOOKUP(Q430,'INFO BASE'!$B$40:$I$54,IF(R430='INFO BASE'!$B$32,3,IF(R430='INFO BASE'!$B$33,4,IF(R430='INFO BASE'!$B$34,5,IF(R430='INFO BASE'!$B$35,6,IF(R430='INFO BASE'!$B$36,7,IF(R430='INFO BASE'!$B$37,8,2)))))),0)=0,"",VLOOKUP(Q430,'INFO BASE'!$B$40:$I$54,IF(R430='INFO BASE'!$B$32,3,IF(R430='INFO BASE'!$B$33,4,IF(R430='INFO BASE'!$B$34,5,IF(R430='INFO BASE'!$B$35,6,IF(R430='INFO BASE'!$B$36,7,IF(R430='INFO BASE'!$B$37,8,2)))))),0))</f>
        <v>2</v>
      </c>
      <c r="U430" s="89">
        <f>(COUNTIFS(C408:C455,R430,B408:B455,R426)+COUNTIFS(E408:E455,R430,D408:D455,R426)+COUNTIFS(G408:G455,R430,F408:F455,R426)+COUNTIFS(I408:I455,R430,H408:H455,R426)+COUNTIFS(K408:K455,R430,J408:J455,R426)+COUNTIFS(M408:M455,R430,L408:L455,R426)+COUNTIFS(O408:O455,R430,N408:N455,R426))*0.5</f>
        <v>0</v>
      </c>
      <c r="V430" s="89">
        <f>(COUNTIFS(AI408:AI455,R426,AJ408:AJ455,R423)+COUNTIFS(AK408:AK455,R426,AL408:AL455,R423)+COUNTIFS(AM408:AM455,R426,AN408:AN455,R423)+COUNTIFS(AO408:AO455,R426,AP408:AP455,R423)+COUNTIFS(AQ408:AQ455,R426,AR408:AR455,R423)+COUNTIFS(AS408:AS455,R426,AT408:AT455,R423)+COUNTIFS(AU408:AU455,R426,AV408:AV455,R423))*0.5</f>
        <v>1</v>
      </c>
      <c r="W430" s="90">
        <f>IF(AH404="","-",IF(V430=0,U430,IFERROR((U430/V430)-1,"-")))</f>
        <v>-1</v>
      </c>
      <c r="X430" s="201">
        <f t="shared" si="251"/>
        <v>1</v>
      </c>
      <c r="Y430" s="271" t="s">
        <v>263</v>
      </c>
      <c r="Z430" s="272"/>
      <c r="AA430" s="272"/>
      <c r="AB430" s="272"/>
      <c r="AC430" s="272"/>
      <c r="AD430" s="272"/>
      <c r="AE430" s="272"/>
      <c r="AF430" s="273"/>
      <c r="AH430" s="136">
        <v>0.45833333333334803</v>
      </c>
      <c r="AI430" s="136" t="s">
        <v>130</v>
      </c>
      <c r="AJ430" s="136" t="s">
        <v>231</v>
      </c>
      <c r="AK430" s="136" t="s">
        <v>9</v>
      </c>
      <c r="AL430" s="136" t="s">
        <v>226</v>
      </c>
      <c r="AM430" s="136" t="s">
        <v>9</v>
      </c>
      <c r="AN430" s="136" t="s">
        <v>224</v>
      </c>
      <c r="AO430" s="136" t="s">
        <v>132</v>
      </c>
      <c r="AP430" s="136" t="s">
        <v>228</v>
      </c>
      <c r="AQ430" s="136" t="s">
        <v>9</v>
      </c>
      <c r="AR430" s="136" t="s">
        <v>230</v>
      </c>
      <c r="AS430" s="136" t="s">
        <v>128</v>
      </c>
      <c r="AT430" s="136" t="s">
        <v>226</v>
      </c>
      <c r="AU430" s="136" t="s">
        <v>10</v>
      </c>
      <c r="AV430" s="136" t="s">
        <v>120</v>
      </c>
      <c r="AX430" s="136" t="str">
        <f>IF(AI404="","",IF(B430="","",B430))</f>
        <v>APB</v>
      </c>
      <c r="AY430" s="136" t="str">
        <f>IF(AI404="","",IF(C430="","",C430))</f>
        <v>CDI</v>
      </c>
      <c r="AZ430" s="136" t="str">
        <f>IF(AI404="","",IF(D430="","",D430))</f>
        <v>AT</v>
      </c>
      <c r="BA430" s="136" t="str">
        <f>IF(AI404="","",IF(E430="","",E430))</f>
        <v>IEI</v>
      </c>
      <c r="BB430" s="136" t="str">
        <f>IF(AI404="","",IF(F430="","",F430))</f>
        <v>AT</v>
      </c>
      <c r="BC430" s="136" t="str">
        <f>IF(AI404="","",IF(G430="","",G430))</f>
        <v>FP</v>
      </c>
      <c r="BD430" s="136" t="str">
        <f>IF(AI404="","",IF(H430="","",H430))</f>
        <v>LAB</v>
      </c>
      <c r="BE430" s="136" t="str">
        <f>IF(AI404="","",IF(I430="","",I430))</f>
        <v>IAC</v>
      </c>
      <c r="BF430" s="136" t="str">
        <f>IF(AI404="","",IF(J430="","",J430))</f>
        <v>AT</v>
      </c>
      <c r="BG430" s="136" t="str">
        <f>IF(AI404="","",IF(K430="","",K430))</f>
        <v>AL</v>
      </c>
      <c r="BH430" s="136" t="str">
        <f>IF(AI404="","",IF(L430="","",L430))</f>
        <v>EG</v>
      </c>
      <c r="BI430" s="136" t="str">
        <f>IF(AI404="","",IF(M430="","",M430))</f>
        <v>IEI</v>
      </c>
      <c r="BJ430" s="136" t="str">
        <f>IF(AI404="","",IF(N430="","",N430))</f>
        <v>EA</v>
      </c>
      <c r="BK430" s="136" t="str">
        <f>IF(AI404="","",IF(O430="","",O430))</f>
        <v>IEI</v>
      </c>
      <c r="BM430" s="136" t="str">
        <f>BO430</f>
        <v>TG</v>
      </c>
      <c r="BN430" s="136" t="str">
        <f t="shared" si="246"/>
        <v>Trabalho de Grupo</v>
      </c>
      <c r="BO430" s="136" t="str">
        <f t="shared" si="246"/>
        <v>TG</v>
      </c>
      <c r="BP430" s="136">
        <f>COUNTIFS(AX408:BK455,BO430)*0.5</f>
        <v>0</v>
      </c>
      <c r="BQ430" s="136" t="str">
        <f t="shared" si="247"/>
        <v>Trabalho de Grupo</v>
      </c>
      <c r="BR430" s="136" t="str">
        <f t="shared" si="247"/>
        <v>TG</v>
      </c>
      <c r="BS430" s="136" t="str">
        <f t="shared" si="248"/>
        <v>Trabalho de Grupo</v>
      </c>
      <c r="BT430" s="136">
        <f t="shared" si="254"/>
        <v>0</v>
      </c>
      <c r="BU430" s="136">
        <f t="shared" si="255"/>
        <v>0</v>
      </c>
      <c r="CA430" s="136">
        <f>'INFO BASE'!L510</f>
        <v>0</v>
      </c>
      <c r="CB430" s="136">
        <f>'INFO BASE'!M510</f>
        <v>0</v>
      </c>
      <c r="CR430" s="177" t="str">
        <f t="shared" si="236"/>
        <v>APB</v>
      </c>
      <c r="CS430" s="177" t="str">
        <f t="shared" si="237"/>
        <v>APBCDI</v>
      </c>
      <c r="CT430" s="177" t="str">
        <f t="shared" si="236"/>
        <v>AT</v>
      </c>
      <c r="CU430" s="177" t="str">
        <f t="shared" si="238"/>
        <v>ATIEI</v>
      </c>
      <c r="CV430" s="177" t="str">
        <f t="shared" si="236"/>
        <v>AT</v>
      </c>
      <c r="CW430" s="177" t="str">
        <f t="shared" si="239"/>
        <v>ATFP</v>
      </c>
      <c r="CX430" s="177" t="str">
        <f t="shared" si="236"/>
        <v>LAB</v>
      </c>
      <c r="CY430" s="177" t="str">
        <f t="shared" si="240"/>
        <v>LABIAC</v>
      </c>
      <c r="CZ430" s="177" t="str">
        <f t="shared" si="236"/>
        <v>AT</v>
      </c>
      <c r="DA430" s="177" t="str">
        <f t="shared" si="241"/>
        <v>ATAL</v>
      </c>
      <c r="DB430" s="177" t="str">
        <f t="shared" si="236"/>
        <v>EG</v>
      </c>
      <c r="DC430" s="177" t="str">
        <f t="shared" si="242"/>
        <v>EGIEI</v>
      </c>
      <c r="DD430" s="177" t="str">
        <f t="shared" si="243"/>
        <v>EA</v>
      </c>
      <c r="DE430" s="177" t="str">
        <f t="shared" si="244"/>
        <v>EAIEI</v>
      </c>
    </row>
    <row r="431" spans="1:109" ht="18" customHeight="1" x14ac:dyDescent="0.3">
      <c r="A431" s="81">
        <v>0.47916666666668201</v>
      </c>
      <c r="B431" s="166" t="s">
        <v>130</v>
      </c>
      <c r="C431" s="130" t="s">
        <v>231</v>
      </c>
      <c r="D431" s="169" t="s">
        <v>9</v>
      </c>
      <c r="E431" s="130" t="s">
        <v>226</v>
      </c>
      <c r="F431" s="169" t="s">
        <v>9</v>
      </c>
      <c r="G431" s="130" t="s">
        <v>231</v>
      </c>
      <c r="H431" s="169" t="s">
        <v>132</v>
      </c>
      <c r="I431" s="130" t="s">
        <v>228</v>
      </c>
      <c r="J431" s="169" t="s">
        <v>9</v>
      </c>
      <c r="K431" s="130" t="s">
        <v>231</v>
      </c>
      <c r="L431" s="169" t="s">
        <v>128</v>
      </c>
      <c r="M431" s="130" t="s">
        <v>226</v>
      </c>
      <c r="N431" s="169" t="s">
        <v>8</v>
      </c>
      <c r="O431" s="154" t="s">
        <v>226</v>
      </c>
      <c r="P431" s="6">
        <v>0</v>
      </c>
      <c r="Q431" s="114" t="str">
        <f t="shared" si="257"/>
        <v>Estudo em Grupo</v>
      </c>
      <c r="R431" s="105" t="str">
        <f t="shared" si="253"/>
        <v>CDI</v>
      </c>
      <c r="S431" s="88">
        <f t="shared" si="250"/>
        <v>0.75</v>
      </c>
      <c r="T431" s="89">
        <f>IF(VLOOKUP(Q431,'INFO BASE'!$B$40:$I$54,IF(R431='INFO BASE'!$B$32,3,IF(R431='INFO BASE'!$B$33,4,IF(R431='INFO BASE'!$B$34,5,IF(R431='INFO BASE'!$B$35,6,IF(R431='INFO BASE'!$B$36,7,IF(R431='INFO BASE'!$B$37,8,2)))))),0)=0,"",VLOOKUP(Q431,'INFO BASE'!$B$40:$I$54,IF(R431='INFO BASE'!$B$32,3,IF(R431='INFO BASE'!$B$33,4,IF(R431='INFO BASE'!$B$34,5,IF(R431='INFO BASE'!$B$35,6,IF(R431='INFO BASE'!$B$36,7,IF(R431='INFO BASE'!$B$37,8,2)))))),0))</f>
        <v>2</v>
      </c>
      <c r="U431" s="89">
        <f>(COUNTIFS(C408:C455,R431,B408:B455,R426)+COUNTIFS(E408:E455,R431,D408:D455,R426)+COUNTIFS(G408:G455,R431,F408:F455,R426)+COUNTIFS(I408:I455,R431,H408:H455,R426)+COUNTIFS(K408:K455,R431,J408:J455,R426)+COUNTIFS(M408:M455,R431,L408:L455,R426)+COUNTIFS(O408:O455,R431,N408:N455,R426))*0.5</f>
        <v>3.5</v>
      </c>
      <c r="V431" s="89">
        <f>(COUNTIFS(AI408:AI455,R426,AJ408:AJ455,R424)+COUNTIFS(AK408:AK455,R426,AL408:AL455,R424)+COUNTIFS(AM408:AM455,R426,AN408:AN455,R424)+COUNTIFS(AO408:AO455,R426,AP408:AP455,R424)+COUNTIFS(AQ408:AQ455,R426,AR408:AR455,R424)+COUNTIFS(AS408:AS455,R426,AT408:AT455,R424)+COUNTIFS(AU408:AU455,R426,AV408:AV455,R424))*0.5</f>
        <v>3.5</v>
      </c>
      <c r="W431" s="90">
        <f>IF(AH404="","-",IF(V431=0,U431,IFERROR((U431/V431)-1,"-")))</f>
        <v>0</v>
      </c>
      <c r="X431" s="201">
        <f t="shared" si="251"/>
        <v>0</v>
      </c>
      <c r="Y431" s="271"/>
      <c r="Z431" s="272"/>
      <c r="AA431" s="272"/>
      <c r="AB431" s="272"/>
      <c r="AC431" s="272"/>
      <c r="AD431" s="272"/>
      <c r="AE431" s="272"/>
      <c r="AF431" s="273"/>
      <c r="AH431" s="136">
        <v>0.47916666666668201</v>
      </c>
      <c r="AI431" s="136" t="s">
        <v>130</v>
      </c>
      <c r="AJ431" s="136" t="s">
        <v>231</v>
      </c>
      <c r="AK431" s="136" t="s">
        <v>9</v>
      </c>
      <c r="AL431" s="136" t="s">
        <v>226</v>
      </c>
      <c r="AM431" s="136" t="s">
        <v>9</v>
      </c>
      <c r="AN431" s="136" t="s">
        <v>231</v>
      </c>
      <c r="AO431" s="136" t="s">
        <v>132</v>
      </c>
      <c r="AP431" s="136" t="s">
        <v>228</v>
      </c>
      <c r="AQ431" s="136" t="s">
        <v>9</v>
      </c>
      <c r="AR431" s="136" t="s">
        <v>231</v>
      </c>
      <c r="AS431" s="136" t="s">
        <v>128</v>
      </c>
      <c r="AT431" s="136" t="s">
        <v>226</v>
      </c>
      <c r="AU431" s="136" t="s">
        <v>10</v>
      </c>
      <c r="AV431" s="136" t="s">
        <v>120</v>
      </c>
      <c r="AX431" s="136" t="str">
        <f>IF(AI404="","",IF(B431="","",B431))</f>
        <v>APB</v>
      </c>
      <c r="AY431" s="136" t="str">
        <f>IF(AI404="","",IF(C431="","",C431))</f>
        <v>CDI</v>
      </c>
      <c r="AZ431" s="136" t="str">
        <f>IF(AI404="","",IF(D431="","",D431))</f>
        <v>AT</v>
      </c>
      <c r="BA431" s="136" t="str">
        <f>IF(AI404="","",IF(E431="","",E431))</f>
        <v>IEI</v>
      </c>
      <c r="BB431" s="136" t="str">
        <f>IF(AI404="","",IF(F431="","",F431))</f>
        <v>AT</v>
      </c>
      <c r="BC431" s="136" t="str">
        <f>IF(AI404="","",IF(G431="","",G431))</f>
        <v>CDI</v>
      </c>
      <c r="BD431" s="136" t="str">
        <f>IF(AI404="","",IF(H431="","",H431))</f>
        <v>LAB</v>
      </c>
      <c r="BE431" s="136" t="str">
        <f>IF(AI404="","",IF(I431="","",I431))</f>
        <v>IAC</v>
      </c>
      <c r="BF431" s="136" t="str">
        <f>IF(AI404="","",IF(J431="","",J431))</f>
        <v>AT</v>
      </c>
      <c r="BG431" s="136" t="str">
        <f>IF(AI404="","",IF(K431="","",K431))</f>
        <v>CDI</v>
      </c>
      <c r="BH431" s="136" t="str">
        <f>IF(AI404="","",IF(L431="","",L431))</f>
        <v>EG</v>
      </c>
      <c r="BI431" s="136" t="str">
        <f>IF(AI404="","",IF(M431="","",M431))</f>
        <v>IEI</v>
      </c>
      <c r="BJ431" s="136" t="str">
        <f>IF(AI404="","",IF(N431="","",N431))</f>
        <v>EA</v>
      </c>
      <c r="BK431" s="136" t="str">
        <f>IF(AI404="","",IF(O431="","",O431))</f>
        <v>IEI</v>
      </c>
      <c r="BM431" s="136" t="str">
        <f>BM430</f>
        <v>TG</v>
      </c>
      <c r="BN431" s="136" t="str">
        <f t="shared" si="246"/>
        <v>Trabalho de Grupo</v>
      </c>
      <c r="BO431" s="136" t="str">
        <f t="shared" si="246"/>
        <v>FP</v>
      </c>
      <c r="BP431" s="136">
        <f>(COUNTIFS(AX408:AX455,BM431,AY408:AY455,BO431)+COUNTIFS(AZ408:AZ455,BM431,BA408:BA455,BO431)+COUNTIFS(BB408:BB455,BM431,BC408:BC455,BO431)+COUNTIFS(BD408:BD455,BM431,BE408:BE455,BO431)+COUNTIFS(BF408:BF455,BM431,BG408:BG455,BO431)+COUNTIFS(BH408:BH455,BM431,BI408:BI455,BO431)+COUNTIFS(BJ408:BJ455,BM431,BK408:BK455,BO431))*0.5</f>
        <v>0</v>
      </c>
      <c r="BQ431" s="136" t="str">
        <f t="shared" si="247"/>
        <v>Trabalho de Grupo</v>
      </c>
      <c r="BR431" s="136" t="str">
        <f t="shared" si="247"/>
        <v>FP</v>
      </c>
      <c r="BS431" s="136" t="str">
        <f t="shared" si="248"/>
        <v>Trabalho de Grupo</v>
      </c>
      <c r="BT431" s="136">
        <f t="shared" si="254"/>
        <v>0</v>
      </c>
      <c r="BU431" s="136">
        <f t="shared" si="255"/>
        <v>0</v>
      </c>
      <c r="CR431" s="177" t="str">
        <f t="shared" si="236"/>
        <v>APB</v>
      </c>
      <c r="CS431" s="177" t="str">
        <f t="shared" si="237"/>
        <v>APBCDI</v>
      </c>
      <c r="CT431" s="177" t="str">
        <f t="shared" si="236"/>
        <v>AT</v>
      </c>
      <c r="CU431" s="177" t="str">
        <f t="shared" si="238"/>
        <v>ATIEI</v>
      </c>
      <c r="CV431" s="177" t="str">
        <f t="shared" si="236"/>
        <v>AT</v>
      </c>
      <c r="CW431" s="177" t="str">
        <f t="shared" si="239"/>
        <v>ATCDI</v>
      </c>
      <c r="CX431" s="177" t="str">
        <f t="shared" si="236"/>
        <v>LAB</v>
      </c>
      <c r="CY431" s="177" t="str">
        <f t="shared" si="240"/>
        <v>LABIAC</v>
      </c>
      <c r="CZ431" s="177" t="str">
        <f t="shared" si="236"/>
        <v>AT</v>
      </c>
      <c r="DA431" s="177" t="str">
        <f t="shared" si="241"/>
        <v>ATCDI</v>
      </c>
      <c r="DB431" s="177" t="str">
        <f t="shared" si="236"/>
        <v>EG</v>
      </c>
      <c r="DC431" s="177" t="str">
        <f t="shared" si="242"/>
        <v>EGIEI</v>
      </c>
      <c r="DD431" s="177" t="str">
        <f t="shared" si="243"/>
        <v>EA</v>
      </c>
      <c r="DE431" s="177" t="str">
        <f t="shared" si="244"/>
        <v>EAIEI</v>
      </c>
    </row>
    <row r="432" spans="1:109" ht="18" customHeight="1" thickBot="1" x14ac:dyDescent="0.35">
      <c r="A432" s="81">
        <v>0.50000000000001599</v>
      </c>
      <c r="B432" s="166" t="s">
        <v>9</v>
      </c>
      <c r="C432" s="130" t="s">
        <v>230</v>
      </c>
      <c r="D432" s="169" t="s">
        <v>116</v>
      </c>
      <c r="E432" s="130" t="s">
        <v>120</v>
      </c>
      <c r="F432" s="169" t="s">
        <v>9</v>
      </c>
      <c r="G432" s="130" t="s">
        <v>231</v>
      </c>
      <c r="H432" s="169" t="s">
        <v>130</v>
      </c>
      <c r="I432" s="130" t="s">
        <v>224</v>
      </c>
      <c r="J432" s="169" t="s">
        <v>9</v>
      </c>
      <c r="K432" s="130" t="s">
        <v>231</v>
      </c>
      <c r="L432" s="169" t="s">
        <v>128</v>
      </c>
      <c r="M432" s="130" t="s">
        <v>226</v>
      </c>
      <c r="N432" s="169" t="s">
        <v>116</v>
      </c>
      <c r="O432" s="154" t="s">
        <v>120</v>
      </c>
      <c r="P432" s="6">
        <v>0</v>
      </c>
      <c r="Q432" s="116" t="str">
        <f t="shared" si="257"/>
        <v>Estudo em Grupo</v>
      </c>
      <c r="R432" s="107" t="str">
        <f t="shared" si="253"/>
        <v/>
      </c>
      <c r="S432" s="94" t="str">
        <f t="shared" si="250"/>
        <v>-</v>
      </c>
      <c r="T432" s="95" t="str">
        <f>IF(VLOOKUP(Q432,'INFO BASE'!$B$40:$I$54,IF(R432='INFO BASE'!$B$32,3,IF(R432='INFO BASE'!$B$33,4,IF(R432='INFO BASE'!$B$34,5,IF(R432='INFO BASE'!$B$35,6,IF(R432='INFO BASE'!$B$36,7,IF(R432='INFO BASE'!$B$37,8,2)))))),0)=0,"",VLOOKUP(Q432,'INFO BASE'!$B$40:$I$54,IF(R432='INFO BASE'!$B$32,3,IF(R432='INFO BASE'!$B$33,4,IF(R432='INFO BASE'!$B$34,5,IF(R432='INFO BASE'!$B$35,6,IF(R432='INFO BASE'!$B$36,7,IF(R432='INFO BASE'!$B$37,8,2)))))),0))</f>
        <v/>
      </c>
      <c r="U432" s="95">
        <f>(COUNTIFS(C408:C455,R432,B408:B455,R426)+COUNTIFS(E408:E455,R432,D408:D455,R426)+COUNTIFS(G408:G455,R432,F408:F455,R426)+COUNTIFS(I408:I455,R432,H408:H455,R426)+COUNTIFS(K408:K455,R432,J408:J455,R426)+COUNTIFS(M408:M455,R432,L408:L455,R426)+COUNTIFS(O408:O455,R432,N408:N455,R426))*0.5</f>
        <v>0</v>
      </c>
      <c r="V432" s="95">
        <f>(COUNTIFS(AI408:AI455,R426,AJ408:AJ455,R425)+COUNTIFS(AK408:AK455,R426,AL408:AL455,R425)+COUNTIFS(AM408:AM455,R426,AN408:AN455,R425)+COUNTIFS(AO408:AO455,R426,AP408:AP455,R425)+COUNTIFS(AQ408:AQ455,R426,AR408:AR455,R425)+COUNTIFS(AS408:AS455,R426,AT408:AT455,R425)+COUNTIFS(AU408:AU455,R426,AV408:AV455,R425))*0.5</f>
        <v>0</v>
      </c>
      <c r="W432" s="96">
        <f>IF(AH404="","-",IF(V432=0,U432,IFERROR((U432/V432)-1,"-")))</f>
        <v>0</v>
      </c>
      <c r="X432" s="201">
        <f t="shared" si="251"/>
        <v>0</v>
      </c>
      <c r="Y432" s="274"/>
      <c r="Z432" s="275"/>
      <c r="AA432" s="275"/>
      <c r="AB432" s="275"/>
      <c r="AC432" s="275"/>
      <c r="AD432" s="275"/>
      <c r="AE432" s="275"/>
      <c r="AF432" s="276"/>
      <c r="AH432" s="136">
        <v>0.50000000000001599</v>
      </c>
      <c r="AI432" s="136" t="s">
        <v>9</v>
      </c>
      <c r="AJ432" s="136" t="s">
        <v>230</v>
      </c>
      <c r="AK432" s="136" t="s">
        <v>116</v>
      </c>
      <c r="AL432" s="136" t="s">
        <v>120</v>
      </c>
      <c r="AM432" s="136" t="s">
        <v>9</v>
      </c>
      <c r="AN432" s="136" t="s">
        <v>231</v>
      </c>
      <c r="AO432" s="136" t="s">
        <v>130</v>
      </c>
      <c r="AP432" s="136" t="s">
        <v>224</v>
      </c>
      <c r="AQ432" s="136" t="s">
        <v>9</v>
      </c>
      <c r="AR432" s="136" t="s">
        <v>231</v>
      </c>
      <c r="AS432" s="136" t="s">
        <v>128</v>
      </c>
      <c r="AT432" s="136" t="s">
        <v>226</v>
      </c>
      <c r="AU432" s="136" t="s">
        <v>116</v>
      </c>
      <c r="AV432" s="136" t="s">
        <v>120</v>
      </c>
      <c r="AX432" s="136" t="str">
        <f>IF(AI404="","",IF(B432="","",B432))</f>
        <v>AT</v>
      </c>
      <c r="AY432" s="136" t="str">
        <f>IF(AI404="","",IF(C432="","",C432))</f>
        <v>AL</v>
      </c>
      <c r="AZ432" s="136" t="str">
        <f>IF(AI404="","",IF(D432="","",D432))</f>
        <v>PV</v>
      </c>
      <c r="BA432" s="136" t="str">
        <f>IF(AI404="","",IF(E432="","",E432))</f>
        <v>-</v>
      </c>
      <c r="BB432" s="136" t="str">
        <f>IF(AI404="","",IF(F432="","",F432))</f>
        <v>AT</v>
      </c>
      <c r="BC432" s="136" t="str">
        <f>IF(AI404="","",IF(G432="","",G432))</f>
        <v>CDI</v>
      </c>
      <c r="BD432" s="136" t="str">
        <f>IF(AI404="","",IF(H432="","",H432))</f>
        <v>APB</v>
      </c>
      <c r="BE432" s="136" t="str">
        <f>IF(AI404="","",IF(I432="","",I432))</f>
        <v>FP</v>
      </c>
      <c r="BF432" s="136" t="str">
        <f>IF(AI404="","",IF(J432="","",J432))</f>
        <v>AT</v>
      </c>
      <c r="BG432" s="136" t="str">
        <f>IF(AI404="","",IF(K432="","",K432))</f>
        <v>CDI</v>
      </c>
      <c r="BH432" s="136" t="str">
        <f>IF(AI404="","",IF(L432="","",L432))</f>
        <v>EG</v>
      </c>
      <c r="BI432" s="136" t="str">
        <f>IF(AI404="","",IF(M432="","",M432))</f>
        <v>IEI</v>
      </c>
      <c r="BJ432" s="136" t="str">
        <f>IF(AI404="","",IF(N432="","",N432))</f>
        <v>PV</v>
      </c>
      <c r="BK432" s="136" t="str">
        <f>IF(AI404="","",IF(O432="","",O432))</f>
        <v>-</v>
      </c>
      <c r="BM432" s="136" t="str">
        <f t="shared" ref="BM432:BM436" si="258">BM431</f>
        <v>TG</v>
      </c>
      <c r="BN432" s="136" t="str">
        <f t="shared" si="246"/>
        <v>Trabalho de Grupo</v>
      </c>
      <c r="BO432" s="136" t="str">
        <f t="shared" si="246"/>
        <v>IEI</v>
      </c>
      <c r="BP432" s="136">
        <f>(COUNTIFS(AX408:AX455,BM432,AY408:AY455,BO432)+COUNTIFS(AZ408:AZ455,BM432,BA408:BA455,BO432)+COUNTIFS(BB408:BB455,BM432,BC408:BC455,BO432)+COUNTIFS(BD408:BD455,BM432,BE408:BE455,BO432)+COUNTIFS(BF408:BF455,BM432,BG408:BG455,BO432)+COUNTIFS(BH408:BH455,BM432,BI408:BI455,BO432)+COUNTIFS(BJ408:BJ455,BM432,BK408:BK455,BO432))*0.5</f>
        <v>0</v>
      </c>
      <c r="BQ432" s="136" t="str">
        <f t="shared" si="247"/>
        <v>Trabalho de Grupo</v>
      </c>
      <c r="BR432" s="136" t="str">
        <f t="shared" si="247"/>
        <v>IEI</v>
      </c>
      <c r="BS432" s="136" t="str">
        <f t="shared" si="248"/>
        <v>Trabalho de Grupo</v>
      </c>
      <c r="BT432" s="136">
        <f t="shared" si="254"/>
        <v>0</v>
      </c>
      <c r="BU432" s="136">
        <f t="shared" si="255"/>
        <v>0</v>
      </c>
      <c r="CA432" s="136">
        <f>'INFO BASE'!L511</f>
        <v>0</v>
      </c>
      <c r="CB432" s="136">
        <f>'INFO BASE'!M511</f>
        <v>0</v>
      </c>
      <c r="CR432" s="177" t="str">
        <f t="shared" si="236"/>
        <v>AT</v>
      </c>
      <c r="CS432" s="177" t="str">
        <f t="shared" si="237"/>
        <v>ATAL</v>
      </c>
      <c r="CT432" s="177" t="str">
        <f t="shared" si="236"/>
        <v>PV</v>
      </c>
      <c r="CU432" s="177">
        <f t="shared" si="238"/>
        <v>0</v>
      </c>
      <c r="CV432" s="177" t="str">
        <f t="shared" si="236"/>
        <v>AT</v>
      </c>
      <c r="CW432" s="177" t="str">
        <f t="shared" si="239"/>
        <v>ATCDI</v>
      </c>
      <c r="CX432" s="177" t="str">
        <f t="shared" si="236"/>
        <v>APB</v>
      </c>
      <c r="CY432" s="177" t="str">
        <f t="shared" si="240"/>
        <v>APBFP</v>
      </c>
      <c r="CZ432" s="177" t="str">
        <f t="shared" si="236"/>
        <v>AT</v>
      </c>
      <c r="DA432" s="177" t="str">
        <f t="shared" si="241"/>
        <v>ATCDI</v>
      </c>
      <c r="DB432" s="177" t="str">
        <f t="shared" si="236"/>
        <v>EG</v>
      </c>
      <c r="DC432" s="177" t="str">
        <f t="shared" si="242"/>
        <v>EGIEI</v>
      </c>
      <c r="DD432" s="177" t="str">
        <f t="shared" si="243"/>
        <v>PV</v>
      </c>
      <c r="DE432" s="177">
        <f t="shared" si="244"/>
        <v>0</v>
      </c>
    </row>
    <row r="433" spans="1:109" ht="18" customHeight="1" x14ac:dyDescent="0.3">
      <c r="A433" s="81">
        <v>0.52083333333335002</v>
      </c>
      <c r="B433" s="166" t="s">
        <v>9</v>
      </c>
      <c r="C433" s="130" t="s">
        <v>230</v>
      </c>
      <c r="D433" s="169" t="s">
        <v>116</v>
      </c>
      <c r="E433" s="130" t="s">
        <v>120</v>
      </c>
      <c r="F433" s="169" t="s">
        <v>9</v>
      </c>
      <c r="G433" s="130" t="s">
        <v>230</v>
      </c>
      <c r="H433" s="169" t="s">
        <v>130</v>
      </c>
      <c r="I433" s="130" t="s">
        <v>224</v>
      </c>
      <c r="J433" s="169" t="s">
        <v>116</v>
      </c>
      <c r="K433" s="130" t="s">
        <v>120</v>
      </c>
      <c r="L433" s="169" t="s">
        <v>128</v>
      </c>
      <c r="M433" s="130" t="s">
        <v>226</v>
      </c>
      <c r="N433" s="169" t="s">
        <v>116</v>
      </c>
      <c r="O433" s="154" t="s">
        <v>120</v>
      </c>
      <c r="P433" s="6">
        <v>0</v>
      </c>
      <c r="Q433" s="117" t="str">
        <f>IF('INFO BASE'!$C$19="","",'INFO BASE'!$C$19)</f>
        <v>Trabalho de Grupo</v>
      </c>
      <c r="R433" s="82" t="str">
        <f t="shared" si="253"/>
        <v>TG</v>
      </c>
      <c r="S433" s="83">
        <f t="shared" si="250"/>
        <v>-1</v>
      </c>
      <c r="T433" s="84">
        <f>IF(VLOOKUP(Q433,'INFO BASE'!$B$40:$I$54,IF(R433='INFO BASE'!$B$32,3,IF(R433='INFO BASE'!$B$33,4,IF(R433='INFO BASE'!$B$34,5,IF(R433='INFO BASE'!$B$35,6,IF(R433='INFO BASE'!$B$36,7,IF(R433='INFO BASE'!$B$37,8,2)))))),0)=0,"",VLOOKUP(Q433,'INFO BASE'!$B$40:$I$54,IF(R433='INFO BASE'!$B$32,3,IF(R433='INFO BASE'!$B$33,4,IF(R433='INFO BASE'!$B$34,5,IF(R433='INFO BASE'!$B$35,6,IF(R433='INFO BASE'!$B$36,7,IF(R433='INFO BASE'!$B$37,8,2)))))),0))</f>
        <v>15</v>
      </c>
      <c r="U433" s="84">
        <f>IF(R433="","",COUNTIFS(SEMANA8,R433)*0.5)</f>
        <v>0</v>
      </c>
      <c r="V433" s="84">
        <f>IF(R433="","",COUNTIFS(AI408:AV455,R433)*0.5)</f>
        <v>0</v>
      </c>
      <c r="W433" s="85">
        <f>IF(AH404="","-",IF(V433=0,U433,IFERROR((U433/V433)-1,"-")))</f>
        <v>0</v>
      </c>
      <c r="X433" s="201">
        <f t="shared" si="251"/>
        <v>0</v>
      </c>
      <c r="Y433" s="277"/>
      <c r="Z433" s="278"/>
      <c r="AA433" s="278"/>
      <c r="AB433" s="278"/>
      <c r="AC433" s="278"/>
      <c r="AD433" s="278"/>
      <c r="AE433" s="278"/>
      <c r="AF433" s="279"/>
      <c r="AH433" s="136">
        <v>0.52083333333335002</v>
      </c>
      <c r="AI433" s="136" t="s">
        <v>9</v>
      </c>
      <c r="AJ433" s="136" t="s">
        <v>230</v>
      </c>
      <c r="AK433" s="136" t="s">
        <v>116</v>
      </c>
      <c r="AL433" s="136" t="s">
        <v>120</v>
      </c>
      <c r="AM433" s="136" t="s">
        <v>9</v>
      </c>
      <c r="AN433" s="136" t="s">
        <v>230</v>
      </c>
      <c r="AO433" s="136" t="s">
        <v>130</v>
      </c>
      <c r="AP433" s="136" t="s">
        <v>224</v>
      </c>
      <c r="AQ433" s="136" t="s">
        <v>116</v>
      </c>
      <c r="AR433" s="136" t="s">
        <v>120</v>
      </c>
      <c r="AS433" s="136" t="s">
        <v>128</v>
      </c>
      <c r="AT433" s="136" t="s">
        <v>226</v>
      </c>
      <c r="AU433" s="136" t="s">
        <v>116</v>
      </c>
      <c r="AV433" s="136" t="s">
        <v>120</v>
      </c>
      <c r="AX433" s="136" t="str">
        <f>IF(AI404="","",IF(B433="","",B433))</f>
        <v>AT</v>
      </c>
      <c r="AY433" s="136" t="str">
        <f>IF(AI404="","",IF(C433="","",C433))</f>
        <v>AL</v>
      </c>
      <c r="AZ433" s="136" t="str">
        <f>IF(AI404="","",IF(D433="","",D433))</f>
        <v>PV</v>
      </c>
      <c r="BA433" s="136" t="str">
        <f>IF(AI404="","",IF(E433="","",E433))</f>
        <v>-</v>
      </c>
      <c r="BB433" s="136" t="str">
        <f>IF(AI404="","",IF(F433="","",F433))</f>
        <v>AT</v>
      </c>
      <c r="BC433" s="136" t="str">
        <f>IF(AI404="","",IF(G433="","",G433))</f>
        <v>AL</v>
      </c>
      <c r="BD433" s="136" t="str">
        <f>IF(AI404="","",IF(H433="","",H433))</f>
        <v>APB</v>
      </c>
      <c r="BE433" s="136" t="str">
        <f>IF(AI404="","",IF(I433="","",I433))</f>
        <v>FP</v>
      </c>
      <c r="BF433" s="136" t="str">
        <f>IF(AI404="","",IF(J433="","",J433))</f>
        <v>PV</v>
      </c>
      <c r="BG433" s="136" t="str">
        <f>IF(AI404="","",IF(K433="","",K433))</f>
        <v>-</v>
      </c>
      <c r="BH433" s="136" t="str">
        <f>IF(AI404="","",IF(L433="","",L433))</f>
        <v>EG</v>
      </c>
      <c r="BI433" s="136" t="str">
        <f>IF(AI404="","",IF(M433="","",M433))</f>
        <v>IEI</v>
      </c>
      <c r="BJ433" s="136" t="str">
        <f>IF(AI404="","",IF(N433="","",N433))</f>
        <v>PV</v>
      </c>
      <c r="BK433" s="136" t="str">
        <f>IF(AI404="","",IF(O433="","",O433))</f>
        <v>-</v>
      </c>
      <c r="BM433" s="136" t="str">
        <f t="shared" si="258"/>
        <v>TG</v>
      </c>
      <c r="BN433" s="136" t="str">
        <f t="shared" si="246"/>
        <v>Trabalho de Grupo</v>
      </c>
      <c r="BO433" s="136" t="str">
        <f t="shared" si="246"/>
        <v>IAC</v>
      </c>
      <c r="BP433" s="136">
        <f>(COUNTIFS(AX408:AX455,BM433,AY408:AY455,BO433)+COUNTIFS(AZ408:AZ455,BM433,BA408:BA455,BO433)+COUNTIFS(BB408:BB455,BM433,BC408:BC455,BO433)+COUNTIFS(BD408:BD455,BM433,BE408:BE455,BO433)+COUNTIFS(BF408:BF455,BM433,BG408:BG455,BO433)+COUNTIFS(BH408:BH455,BM433,BI408:BI455,BO433)+COUNTIFS(BJ408:BJ455,BM433,BK408:BK455,BO433))*0.5</f>
        <v>0</v>
      </c>
      <c r="BQ433" s="136" t="str">
        <f t="shared" si="247"/>
        <v>Trabalho de Grupo</v>
      </c>
      <c r="BR433" s="136" t="str">
        <f t="shared" si="247"/>
        <v>IAC</v>
      </c>
      <c r="BS433" s="136" t="str">
        <f t="shared" si="248"/>
        <v>Trabalho de Grupo</v>
      </c>
      <c r="BT433" s="136">
        <f t="shared" si="254"/>
        <v>0</v>
      </c>
      <c r="BU433" s="136">
        <f t="shared" si="255"/>
        <v>0</v>
      </c>
      <c r="CA433" s="136">
        <f>'INFO BASE'!L512</f>
        <v>0</v>
      </c>
      <c r="CB433" s="136">
        <f>'INFO BASE'!M512</f>
        <v>0</v>
      </c>
      <c r="CR433" s="177" t="str">
        <f t="shared" si="236"/>
        <v>AT</v>
      </c>
      <c r="CS433" s="177" t="str">
        <f t="shared" si="237"/>
        <v>ATAL</v>
      </c>
      <c r="CT433" s="177" t="str">
        <f t="shared" si="236"/>
        <v>PV</v>
      </c>
      <c r="CU433" s="177">
        <f t="shared" si="238"/>
        <v>0</v>
      </c>
      <c r="CV433" s="177" t="str">
        <f t="shared" si="236"/>
        <v>AT</v>
      </c>
      <c r="CW433" s="177" t="str">
        <f t="shared" si="239"/>
        <v>ATAL</v>
      </c>
      <c r="CX433" s="177" t="str">
        <f t="shared" si="236"/>
        <v>APB</v>
      </c>
      <c r="CY433" s="177" t="str">
        <f t="shared" si="240"/>
        <v>APBFP</v>
      </c>
      <c r="CZ433" s="177" t="str">
        <f t="shared" si="236"/>
        <v>PV</v>
      </c>
      <c r="DA433" s="177">
        <f t="shared" si="241"/>
        <v>0</v>
      </c>
      <c r="DB433" s="177" t="str">
        <f t="shared" si="236"/>
        <v>EG</v>
      </c>
      <c r="DC433" s="177" t="str">
        <f t="shared" si="242"/>
        <v>EGIEI</v>
      </c>
      <c r="DD433" s="177" t="str">
        <f t="shared" si="243"/>
        <v>PV</v>
      </c>
      <c r="DE433" s="177">
        <f t="shared" si="244"/>
        <v>0</v>
      </c>
    </row>
    <row r="434" spans="1:109" ht="18" customHeight="1" x14ac:dyDescent="0.3">
      <c r="A434" s="81">
        <v>0.54166666666668395</v>
      </c>
      <c r="B434" s="166" t="s">
        <v>9</v>
      </c>
      <c r="C434" s="130" t="s">
        <v>231</v>
      </c>
      <c r="D434" s="169" t="s">
        <v>116</v>
      </c>
      <c r="E434" s="130" t="s">
        <v>120</v>
      </c>
      <c r="F434" s="169" t="s">
        <v>9</v>
      </c>
      <c r="G434" s="130" t="s">
        <v>230</v>
      </c>
      <c r="H434" s="169" t="s">
        <v>130</v>
      </c>
      <c r="I434" s="130" t="s">
        <v>224</v>
      </c>
      <c r="J434" s="169" t="s">
        <v>116</v>
      </c>
      <c r="K434" s="130" t="s">
        <v>120</v>
      </c>
      <c r="L434" s="169" t="s">
        <v>12</v>
      </c>
      <c r="M434" s="130" t="s">
        <v>120</v>
      </c>
      <c r="N434" s="169" t="s">
        <v>116</v>
      </c>
      <c r="O434" s="154" t="s">
        <v>120</v>
      </c>
      <c r="P434" s="6">
        <v>0</v>
      </c>
      <c r="Q434" s="118" t="str">
        <f t="shared" ref="Q434:Q439" si="259">Q433</f>
        <v>Trabalho de Grupo</v>
      </c>
      <c r="R434" s="105" t="str">
        <f t="shared" si="253"/>
        <v>FP</v>
      </c>
      <c r="S434" s="88">
        <f t="shared" si="250"/>
        <v>-1</v>
      </c>
      <c r="T434" s="89">
        <f>IF(VLOOKUP(Q434,'INFO BASE'!$B$40:$I$54,IF(R434='INFO BASE'!$B$32,3,IF(R434='INFO BASE'!$B$33,4,IF(R434='INFO BASE'!$B$34,5,IF(R434='INFO BASE'!$B$35,6,IF(R434='INFO BASE'!$B$36,7,IF(R434='INFO BASE'!$B$37,8,2)))))),0)=0,"",VLOOKUP(Q434,'INFO BASE'!$B$40:$I$54,IF(R434='INFO BASE'!$B$32,3,IF(R434='INFO BASE'!$B$33,4,IF(R434='INFO BASE'!$B$34,5,IF(R434='INFO BASE'!$B$35,6,IF(R434='INFO BASE'!$B$36,7,IF(R434='INFO BASE'!$B$37,8,2)))))),0))</f>
        <v>3</v>
      </c>
      <c r="U434" s="89">
        <f>(COUNTIFS(C408:C455,R434,B408:B455,R433)+COUNTIFS(E408:E455,R434,D408:D455,R433)+COUNTIFS(G408:G455,R434,F408:F455,R433)+COUNTIFS(I408:I455,R434,H408:H455,R433)+COUNTIFS(K408:K455,R434,J408:J455,R433)+COUNTIFS(M408:M455,R434,L408:L455,R433)+COUNTIFS(O408:O455,R434,N408:N455,R433))*0.5</f>
        <v>0</v>
      </c>
      <c r="V434" s="89">
        <f>(COUNTIFS(AI408:AI455,R433,AJ408:AJ455,R427)+COUNTIFS(AK408:AK455,R433,AL408:AL455,R427)+COUNTIFS(AM408:AM455,R433,AN408:AN455,R427)+COUNTIFS(AO408:AO455,R433,AP408:AP455,R427)+COUNTIFS(AQ408:AQ455,R433,AR408:AR455,R427)+COUNTIFS(AS408:AS455,R433,AT408:AT455,R427)+COUNTIFS(AU408:AU455,R433,AV408:AV455,R427))*0.5</f>
        <v>0</v>
      </c>
      <c r="W434" s="90">
        <f>IF(AH404="","-",IF(V434=0,U434,IFERROR((U434/V434)-1,"-")))</f>
        <v>0</v>
      </c>
      <c r="X434" s="201">
        <f t="shared" si="251"/>
        <v>0</v>
      </c>
      <c r="Y434" s="271"/>
      <c r="Z434" s="272"/>
      <c r="AA434" s="272"/>
      <c r="AB434" s="272"/>
      <c r="AC434" s="272"/>
      <c r="AD434" s="272"/>
      <c r="AE434" s="272"/>
      <c r="AF434" s="273"/>
      <c r="AH434" s="136">
        <v>0.54166666666668395</v>
      </c>
      <c r="AI434" s="136" t="s">
        <v>9</v>
      </c>
      <c r="AJ434" s="136" t="s">
        <v>231</v>
      </c>
      <c r="AK434" s="136" t="s">
        <v>116</v>
      </c>
      <c r="AL434" s="136" t="s">
        <v>120</v>
      </c>
      <c r="AM434" s="136" t="s">
        <v>9</v>
      </c>
      <c r="AN434" s="136" t="s">
        <v>230</v>
      </c>
      <c r="AO434" s="136" t="s">
        <v>130</v>
      </c>
      <c r="AP434" s="136" t="s">
        <v>224</v>
      </c>
      <c r="AQ434" s="136" t="s">
        <v>116</v>
      </c>
      <c r="AR434" s="136" t="s">
        <v>120</v>
      </c>
      <c r="AS434" s="136" t="s">
        <v>12</v>
      </c>
      <c r="AT434" s="136" t="s">
        <v>120</v>
      </c>
      <c r="AU434" s="136" t="s">
        <v>116</v>
      </c>
      <c r="AV434" s="136" t="s">
        <v>120</v>
      </c>
      <c r="AX434" s="136" t="str">
        <f>IF(AI404="","",IF(B434="","",B434))</f>
        <v>AT</v>
      </c>
      <c r="AY434" s="136" t="str">
        <f>IF(AI404="","",IF(C434="","",C434))</f>
        <v>CDI</v>
      </c>
      <c r="AZ434" s="136" t="str">
        <f>IF(AI404="","",IF(D434="","",D434))</f>
        <v>PV</v>
      </c>
      <c r="BA434" s="136" t="str">
        <f>IF(AI404="","",IF(E434="","",E434))</f>
        <v>-</v>
      </c>
      <c r="BB434" s="136" t="str">
        <f>IF(AI404="","",IF(F434="","",F434))</f>
        <v>AT</v>
      </c>
      <c r="BC434" s="136" t="str">
        <f>IF(AI404="","",IF(G434="","",G434))</f>
        <v>AL</v>
      </c>
      <c r="BD434" s="136" t="str">
        <f>IF(AI404="","",IF(H434="","",H434))</f>
        <v>APB</v>
      </c>
      <c r="BE434" s="136" t="str">
        <f>IF(AI404="","",IF(I434="","",I434))</f>
        <v>FP</v>
      </c>
      <c r="BF434" s="136" t="str">
        <f>IF(AI404="","",IF(J434="","",J434))</f>
        <v>PV</v>
      </c>
      <c r="BG434" s="136" t="str">
        <f>IF(AI404="","",IF(K434="","",K434))</f>
        <v>-</v>
      </c>
      <c r="BH434" s="136" t="str">
        <f>IF(AI404="","",IF(L434="","",L434))</f>
        <v>HR</v>
      </c>
      <c r="BI434" s="136" t="str">
        <f>IF(AI404="","",IF(M434="","",M434))</f>
        <v>-</v>
      </c>
      <c r="BJ434" s="136" t="str">
        <f>IF(AI404="","",IF(N434="","",N434))</f>
        <v>PV</v>
      </c>
      <c r="BK434" s="136" t="str">
        <f>IF(AI404="","",IF(O434="","",O434))</f>
        <v>-</v>
      </c>
      <c r="BM434" s="136" t="str">
        <f t="shared" si="258"/>
        <v>TG</v>
      </c>
      <c r="BN434" s="136" t="str">
        <f t="shared" si="246"/>
        <v>Trabalho de Grupo</v>
      </c>
      <c r="BO434" s="136" t="str">
        <f t="shared" si="246"/>
        <v>AL</v>
      </c>
      <c r="BP434" s="136">
        <f>(COUNTIFS(AX408:AX455,BM434,AY408:AY455,BO434)+COUNTIFS(AZ408:AZ455,BM434,BA408:BA455,BO434)+COUNTIFS(BB408:BB455,BM434,BC408:BC455,BO434)+COUNTIFS(BD408:BD455,BM434,BE408:BE455,BO434)+COUNTIFS(BF408:BF455,BM434,BG408:BG455,BO434)+COUNTIFS(BH408:BH455,BM434,BI408:BI455,BO434)+COUNTIFS(BJ408:BJ455,BM434,BK408:BK455,BO434))*0.5</f>
        <v>0</v>
      </c>
      <c r="BQ434" s="136" t="str">
        <f t="shared" si="247"/>
        <v>Trabalho de Grupo</v>
      </c>
      <c r="BR434" s="136" t="str">
        <f t="shared" si="247"/>
        <v>AL</v>
      </c>
      <c r="BS434" s="136" t="str">
        <f t="shared" si="248"/>
        <v>Trabalho de Grupo</v>
      </c>
      <c r="BT434" s="136">
        <f t="shared" si="254"/>
        <v>0</v>
      </c>
      <c r="BU434" s="136">
        <f t="shared" si="255"/>
        <v>0</v>
      </c>
      <c r="CA434" s="136">
        <f>'INFO BASE'!L513</f>
        <v>0</v>
      </c>
      <c r="CB434" s="136">
        <f>'INFO BASE'!M513</f>
        <v>0</v>
      </c>
      <c r="CR434" s="177" t="str">
        <f t="shared" si="236"/>
        <v>AT</v>
      </c>
      <c r="CS434" s="177" t="str">
        <f t="shared" si="237"/>
        <v>ATCDI</v>
      </c>
      <c r="CT434" s="177" t="str">
        <f t="shared" si="236"/>
        <v>PV</v>
      </c>
      <c r="CU434" s="177">
        <f t="shared" si="238"/>
        <v>0</v>
      </c>
      <c r="CV434" s="177" t="str">
        <f t="shared" si="236"/>
        <v>AT</v>
      </c>
      <c r="CW434" s="177" t="str">
        <f t="shared" si="239"/>
        <v>ATAL</v>
      </c>
      <c r="CX434" s="177" t="str">
        <f t="shared" si="236"/>
        <v>APB</v>
      </c>
      <c r="CY434" s="177" t="str">
        <f t="shared" si="240"/>
        <v>APBFP</v>
      </c>
      <c r="CZ434" s="177" t="str">
        <f t="shared" si="236"/>
        <v>PV</v>
      </c>
      <c r="DA434" s="177">
        <f t="shared" si="241"/>
        <v>0</v>
      </c>
      <c r="DB434" s="177" t="str">
        <f t="shared" si="236"/>
        <v>HR</v>
      </c>
      <c r="DC434" s="177" t="str">
        <f t="shared" si="242"/>
        <v>HR-</v>
      </c>
      <c r="DD434" s="177" t="str">
        <f t="shared" si="243"/>
        <v>PV</v>
      </c>
      <c r="DE434" s="177">
        <f t="shared" si="244"/>
        <v>0</v>
      </c>
    </row>
    <row r="435" spans="1:109" ht="18" customHeight="1" x14ac:dyDescent="0.3">
      <c r="A435" s="81">
        <v>0.56250000000001799</v>
      </c>
      <c r="B435" s="166" t="s">
        <v>9</v>
      </c>
      <c r="C435" s="130" t="s">
        <v>231</v>
      </c>
      <c r="D435" s="169" t="s">
        <v>116</v>
      </c>
      <c r="E435" s="130" t="s">
        <v>120</v>
      </c>
      <c r="F435" s="169" t="s">
        <v>116</v>
      </c>
      <c r="G435" s="130" t="s">
        <v>120</v>
      </c>
      <c r="H435" s="169" t="s">
        <v>116</v>
      </c>
      <c r="I435" s="130" t="s">
        <v>120</v>
      </c>
      <c r="J435" s="169" t="s">
        <v>116</v>
      </c>
      <c r="K435" s="130" t="s">
        <v>120</v>
      </c>
      <c r="L435" s="169" t="s">
        <v>12</v>
      </c>
      <c r="M435" s="130" t="s">
        <v>120</v>
      </c>
      <c r="N435" s="169" t="s">
        <v>116</v>
      </c>
      <c r="O435" s="154" t="s">
        <v>120</v>
      </c>
      <c r="P435" s="6">
        <v>0</v>
      </c>
      <c r="Q435" s="118" t="str">
        <f t="shared" si="259"/>
        <v>Trabalho de Grupo</v>
      </c>
      <c r="R435" s="105" t="str">
        <f t="shared" si="253"/>
        <v>IEI</v>
      </c>
      <c r="S435" s="88">
        <f t="shared" si="250"/>
        <v>-1</v>
      </c>
      <c r="T435" s="89">
        <f>IF(VLOOKUP(Q435,'INFO BASE'!$B$40:$I$54,IF(R435='INFO BASE'!$B$32,3,IF(R435='INFO BASE'!$B$33,4,IF(R435='INFO BASE'!$B$34,5,IF(R435='INFO BASE'!$B$35,6,IF(R435='INFO BASE'!$B$36,7,IF(R435='INFO BASE'!$B$37,8,2)))))),0)=0,"",VLOOKUP(Q435,'INFO BASE'!$B$40:$I$54,IF(R435='INFO BASE'!$B$32,3,IF(R435='INFO BASE'!$B$33,4,IF(R435='INFO BASE'!$B$34,5,IF(R435='INFO BASE'!$B$35,6,IF(R435='INFO BASE'!$B$36,7,IF(R435='INFO BASE'!$B$37,8,2)))))),0))</f>
        <v>3</v>
      </c>
      <c r="U435" s="89">
        <f>(COUNTIFS(C408:C455,R435,B408:B455,R433)+COUNTIFS(E408:E455,R435,D408:D455,R433)+COUNTIFS(G408:G455,R435,F408:F455,R433)+COUNTIFS(I408:I455,R435,H408:H455,R433)+COUNTIFS(K408:K455,R435,J408:J455,R433)+COUNTIFS(M408:M455,R435,L408:L455,R433)+COUNTIFS(O408:O455,R435,N408:N455,R433))*0.5</f>
        <v>0</v>
      </c>
      <c r="V435" s="89">
        <f>(COUNTIFS(AI408:AI455,R433,AJ408:AJ455,R428)+COUNTIFS(AK408:AK455,R433,AL408:AL455,R428)+COUNTIFS(AM408:AM455,R433,AN408:AN455,R428)+COUNTIFS(AO408:AO455,R433,AP408:AP455,R428)+COUNTIFS(AQ408:AQ455,R433,AR408:AR455,R428)+COUNTIFS(AS408:AS455,R433,AT408:AT455,R428)+COUNTIFS(AU408:AU455,R433,AV408:AV455,R428))*0.5</f>
        <v>0</v>
      </c>
      <c r="W435" s="90">
        <f>IF(AH404="","-",IF(V435=0,U435,IFERROR((U435/V435)-1,"-")))</f>
        <v>0</v>
      </c>
      <c r="X435" s="201">
        <f t="shared" si="251"/>
        <v>0</v>
      </c>
      <c r="Y435" s="271"/>
      <c r="Z435" s="272"/>
      <c r="AA435" s="272"/>
      <c r="AB435" s="272"/>
      <c r="AC435" s="272"/>
      <c r="AD435" s="272"/>
      <c r="AE435" s="272"/>
      <c r="AF435" s="273"/>
      <c r="AH435" s="136">
        <v>0.56250000000001799</v>
      </c>
      <c r="AI435" s="136" t="s">
        <v>9</v>
      </c>
      <c r="AJ435" s="136" t="s">
        <v>231</v>
      </c>
      <c r="AK435" s="136" t="s">
        <v>116</v>
      </c>
      <c r="AL435" s="136" t="s">
        <v>120</v>
      </c>
      <c r="AM435" s="136" t="s">
        <v>116</v>
      </c>
      <c r="AN435" s="136" t="s">
        <v>120</v>
      </c>
      <c r="AO435" s="136" t="s">
        <v>116</v>
      </c>
      <c r="AP435" s="136" t="s">
        <v>120</v>
      </c>
      <c r="AQ435" s="136" t="s">
        <v>116</v>
      </c>
      <c r="AR435" s="136" t="s">
        <v>120</v>
      </c>
      <c r="AS435" s="136" t="s">
        <v>12</v>
      </c>
      <c r="AT435" s="136" t="s">
        <v>120</v>
      </c>
      <c r="AU435" s="136" t="s">
        <v>116</v>
      </c>
      <c r="AV435" s="136" t="s">
        <v>120</v>
      </c>
      <c r="AX435" s="136" t="str">
        <f>IF(AI404="","",IF(B435="","",B435))</f>
        <v>AT</v>
      </c>
      <c r="AY435" s="136" t="str">
        <f>IF(AI404="","",IF(C435="","",C435))</f>
        <v>CDI</v>
      </c>
      <c r="AZ435" s="136" t="str">
        <f>IF(AI404="","",IF(D435="","",D435))</f>
        <v>PV</v>
      </c>
      <c r="BA435" s="136" t="str">
        <f>IF(AI404="","",IF(E435="","",E435))</f>
        <v>-</v>
      </c>
      <c r="BB435" s="136" t="str">
        <f>IF(AI404="","",IF(F435="","",F435))</f>
        <v>PV</v>
      </c>
      <c r="BC435" s="136" t="str">
        <f>IF(AI404="","",IF(G435="","",G435))</f>
        <v>-</v>
      </c>
      <c r="BD435" s="136" t="str">
        <f>IF(AI404="","",IF(H435="","",H435))</f>
        <v>PV</v>
      </c>
      <c r="BE435" s="136" t="str">
        <f>IF(AI404="","",IF(I435="","",I435))</f>
        <v>-</v>
      </c>
      <c r="BF435" s="136" t="str">
        <f>IF(AI404="","",IF(J435="","",J435))</f>
        <v>PV</v>
      </c>
      <c r="BG435" s="136" t="str">
        <f>IF(AI404="","",IF(K435="","",K435))</f>
        <v>-</v>
      </c>
      <c r="BH435" s="136" t="str">
        <f>IF(AI404="","",IF(L435="","",L435))</f>
        <v>HR</v>
      </c>
      <c r="BI435" s="136" t="str">
        <f>IF(AI404="","",IF(M435="","",M435))</f>
        <v>-</v>
      </c>
      <c r="BJ435" s="136" t="str">
        <f>IF(AI404="","",IF(N435="","",N435))</f>
        <v>PV</v>
      </c>
      <c r="BK435" s="136" t="str">
        <f>IF(AI404="","",IF(O435="","",O435))</f>
        <v>-</v>
      </c>
      <c r="BM435" s="136" t="str">
        <f t="shared" si="258"/>
        <v>TG</v>
      </c>
      <c r="BN435" s="136" t="str">
        <f t="shared" si="246"/>
        <v>Trabalho de Grupo</v>
      </c>
      <c r="BO435" s="136" t="str">
        <f t="shared" si="246"/>
        <v>CDI</v>
      </c>
      <c r="BP435" s="136">
        <f>(COUNTIFS(AX408:AX455,BM435,AY408:AY455,BO435)+COUNTIFS(AZ408:AZ455,BM435,BA408:BA455,BO435)+COUNTIFS(BB408:BB455,BM435,BC408:BC455,BO435)+COUNTIFS(BD408:BD455,BM435,BE408:BE455,BO435)+COUNTIFS(BF408:BF455,BM435,BG408:BG455,BO435)+COUNTIFS(BH408:BH455,BM435,BI408:BI455,BO435)+COUNTIFS(BJ408:BJ455,BM435,BK408:BK455,BO435))*0.5</f>
        <v>0</v>
      </c>
      <c r="BQ435" s="136" t="str">
        <f t="shared" si="247"/>
        <v>Trabalho de Grupo</v>
      </c>
      <c r="BR435" s="136" t="str">
        <f t="shared" si="247"/>
        <v>CDI</v>
      </c>
      <c r="BS435" s="136" t="str">
        <f t="shared" si="248"/>
        <v>Trabalho de Grupo</v>
      </c>
      <c r="BT435" s="136">
        <f t="shared" si="254"/>
        <v>0</v>
      </c>
      <c r="BU435" s="136">
        <f t="shared" si="255"/>
        <v>0</v>
      </c>
      <c r="CA435" s="136">
        <f>'INFO BASE'!L514</f>
        <v>0</v>
      </c>
      <c r="CB435" s="136">
        <f>'INFO BASE'!M514</f>
        <v>0</v>
      </c>
      <c r="CR435" s="177" t="str">
        <f t="shared" si="236"/>
        <v>AT</v>
      </c>
      <c r="CS435" s="177" t="str">
        <f t="shared" si="237"/>
        <v>ATCDI</v>
      </c>
      <c r="CT435" s="177" t="str">
        <f t="shared" si="236"/>
        <v>PV</v>
      </c>
      <c r="CU435" s="177">
        <f t="shared" si="238"/>
        <v>0</v>
      </c>
      <c r="CV435" s="177" t="str">
        <f t="shared" si="236"/>
        <v>PV</v>
      </c>
      <c r="CW435" s="177">
        <f t="shared" si="239"/>
        <v>0</v>
      </c>
      <c r="CX435" s="177" t="str">
        <f t="shared" si="236"/>
        <v>PV</v>
      </c>
      <c r="CY435" s="177">
        <f t="shared" si="240"/>
        <v>0</v>
      </c>
      <c r="CZ435" s="177" t="str">
        <f t="shared" si="236"/>
        <v>PV</v>
      </c>
      <c r="DA435" s="177">
        <f t="shared" si="241"/>
        <v>0</v>
      </c>
      <c r="DB435" s="177" t="str">
        <f t="shared" si="236"/>
        <v>HR</v>
      </c>
      <c r="DC435" s="177" t="str">
        <f t="shared" si="242"/>
        <v>HR-</v>
      </c>
      <c r="DD435" s="177" t="str">
        <f t="shared" si="243"/>
        <v>PV</v>
      </c>
      <c r="DE435" s="177">
        <f t="shared" si="244"/>
        <v>0</v>
      </c>
    </row>
    <row r="436" spans="1:109" ht="18" customHeight="1" x14ac:dyDescent="0.3">
      <c r="A436" s="81">
        <v>0.58333333333335202</v>
      </c>
      <c r="B436" s="166" t="s">
        <v>12</v>
      </c>
      <c r="C436" s="130" t="s">
        <v>120</v>
      </c>
      <c r="D436" s="169" t="s">
        <v>12</v>
      </c>
      <c r="E436" s="130" t="s">
        <v>120</v>
      </c>
      <c r="F436" s="169" t="s">
        <v>12</v>
      </c>
      <c r="G436" s="130" t="s">
        <v>120</v>
      </c>
      <c r="H436" s="169" t="s">
        <v>12</v>
      </c>
      <c r="I436" s="130" t="s">
        <v>120</v>
      </c>
      <c r="J436" s="169" t="s">
        <v>12</v>
      </c>
      <c r="K436" s="130" t="s">
        <v>120</v>
      </c>
      <c r="L436" s="169" t="s">
        <v>12</v>
      </c>
      <c r="M436" s="130" t="s">
        <v>120</v>
      </c>
      <c r="N436" s="169" t="s">
        <v>116</v>
      </c>
      <c r="O436" s="154" t="s">
        <v>120</v>
      </c>
      <c r="P436" s="6">
        <v>0</v>
      </c>
      <c r="Q436" s="119" t="str">
        <f t="shared" si="259"/>
        <v>Trabalho de Grupo</v>
      </c>
      <c r="R436" s="105" t="str">
        <f t="shared" si="253"/>
        <v>IAC</v>
      </c>
      <c r="S436" s="88">
        <f t="shared" si="250"/>
        <v>-1</v>
      </c>
      <c r="T436" s="89">
        <f>IF(VLOOKUP(Q436,'INFO BASE'!$B$40:$I$54,IF(R436='INFO BASE'!$B$32,3,IF(R436='INFO BASE'!$B$33,4,IF(R436='INFO BASE'!$B$34,5,IF(R436='INFO BASE'!$B$35,6,IF(R436='INFO BASE'!$B$36,7,IF(R436='INFO BASE'!$B$37,8,2)))))),0)=0,"",VLOOKUP(Q436,'INFO BASE'!$B$40:$I$54,IF(R436='INFO BASE'!$B$32,3,IF(R436='INFO BASE'!$B$33,4,IF(R436='INFO BASE'!$B$34,5,IF(R436='INFO BASE'!$B$35,6,IF(R436='INFO BASE'!$B$36,7,IF(R436='INFO BASE'!$B$37,8,2)))))),0))</f>
        <v>3</v>
      </c>
      <c r="U436" s="89">
        <f>(COUNTIFS(C408:C455,R436,B408:B455,R433)+COUNTIFS(E408:E455,R436,D408:D455,R433)+COUNTIFS(G408:G455,R436,F408:F455,R433)+COUNTIFS(I408:I455,R436,H408:H455,R433)+COUNTIFS(K408:K455,R436,J408:J455,R433)+COUNTIFS(M408:M455,R436,L408:L455,R433)+COUNTIFS(O408:O455,R436,N408:N455,R433))*0.5</f>
        <v>0</v>
      </c>
      <c r="V436" s="89">
        <f>(COUNTIFS(AI408:AI455,R433,AJ408:AJ455,R429)+COUNTIFS(AK408:AK455,R433,AL408:AL455,R429)+COUNTIFS(AM408:AM455,R433,AN408:AN455,R429)+COUNTIFS(AO408:AO455,R433,AP408:AP455,R429)+COUNTIFS(AQ408:AQ455,R433,AR408:AR455,R429)+COUNTIFS(AS408:AS455,R433,AT408:AT455,R429)+COUNTIFS(AU408:AU455,R433,AV408:AV455,R429))*0.5</f>
        <v>0</v>
      </c>
      <c r="W436" s="90">
        <f>IF(AH404="","-",IF(V436=0,U436,IFERROR((U436/V436)-1,"-")))</f>
        <v>0</v>
      </c>
      <c r="X436" s="201">
        <f t="shared" si="251"/>
        <v>0</v>
      </c>
      <c r="Y436" s="271"/>
      <c r="Z436" s="272"/>
      <c r="AA436" s="272"/>
      <c r="AB436" s="272"/>
      <c r="AC436" s="272"/>
      <c r="AD436" s="272"/>
      <c r="AE436" s="272"/>
      <c r="AF436" s="273"/>
      <c r="AH436" s="136">
        <v>0.58333333333335202</v>
      </c>
      <c r="AI436" s="136" t="s">
        <v>12</v>
      </c>
      <c r="AJ436" s="136" t="s">
        <v>120</v>
      </c>
      <c r="AK436" s="136" t="s">
        <v>12</v>
      </c>
      <c r="AL436" s="136" t="s">
        <v>120</v>
      </c>
      <c r="AM436" s="136" t="s">
        <v>12</v>
      </c>
      <c r="AN436" s="136" t="s">
        <v>120</v>
      </c>
      <c r="AO436" s="136" t="s">
        <v>12</v>
      </c>
      <c r="AP436" s="136" t="s">
        <v>120</v>
      </c>
      <c r="AQ436" s="136" t="s">
        <v>12</v>
      </c>
      <c r="AR436" s="136" t="s">
        <v>120</v>
      </c>
      <c r="AS436" s="136" t="s">
        <v>12</v>
      </c>
      <c r="AT436" s="136" t="s">
        <v>120</v>
      </c>
      <c r="AU436" s="136" t="s">
        <v>116</v>
      </c>
      <c r="AV436" s="136" t="s">
        <v>120</v>
      </c>
      <c r="AX436" s="136" t="str">
        <f>IF(AI404="","",IF(B436="","",B436))</f>
        <v>HR</v>
      </c>
      <c r="AY436" s="136" t="str">
        <f>IF(AI404="","",IF(C436="","",C436))</f>
        <v>-</v>
      </c>
      <c r="AZ436" s="136" t="str">
        <f>IF(AI404="","",IF(D436="","",D436))</f>
        <v>HR</v>
      </c>
      <c r="BA436" s="136" t="str">
        <f>IF(AI404="","",IF(E436="","",E436))</f>
        <v>-</v>
      </c>
      <c r="BB436" s="136" t="str">
        <f>IF(AI404="","",IF(F436="","",F436))</f>
        <v>HR</v>
      </c>
      <c r="BC436" s="136" t="str">
        <f>IF(AI404="","",IF(G436="","",G436))</f>
        <v>-</v>
      </c>
      <c r="BD436" s="136" t="str">
        <f>IF(AI404="","",IF(H436="","",H436))</f>
        <v>HR</v>
      </c>
      <c r="BE436" s="136" t="str">
        <f>IF(AI404="","",IF(I436="","",I436))</f>
        <v>-</v>
      </c>
      <c r="BF436" s="136" t="str">
        <f>IF(AI404="","",IF(J436="","",J436))</f>
        <v>HR</v>
      </c>
      <c r="BG436" s="136" t="str">
        <f>IF(AI404="","",IF(K436="","",K436))</f>
        <v>-</v>
      </c>
      <c r="BH436" s="136" t="str">
        <f>IF(AI404="","",IF(L436="","",L436))</f>
        <v>HR</v>
      </c>
      <c r="BI436" s="136" t="str">
        <f>IF(AI404="","",IF(M436="","",M436))</f>
        <v>-</v>
      </c>
      <c r="BJ436" s="136" t="str">
        <f>IF(AI404="","",IF(N436="","",N436))</f>
        <v>PV</v>
      </c>
      <c r="BK436" s="136" t="str">
        <f>IF(AI404="","",IF(O436="","",O436))</f>
        <v>-</v>
      </c>
      <c r="BM436" s="136" t="str">
        <f t="shared" si="258"/>
        <v>TG</v>
      </c>
      <c r="BN436" s="136" t="str">
        <f t="shared" si="246"/>
        <v>Trabalho de Grupo</v>
      </c>
      <c r="BO436" s="136" t="str">
        <f t="shared" si="246"/>
        <v/>
      </c>
      <c r="BP436" s="136">
        <f>(COUNTIFS(AX408:AX455,BM436,AY408:AY455,BO436)+COUNTIFS(AZ408:AZ455,BM436,BA408:BA455,BO436)+COUNTIFS(BB408:BB455,BM436,BC408:BC455,BO436)+COUNTIFS(BD408:BD455,BM436,BE408:BE455,BO436)+COUNTIFS(BF408:BF455,BM436,BG408:BG455,BO436)+COUNTIFS(BH408:BH455,BM436,BI408:BI455,BO436)+COUNTIFS(BJ408:BJ455,BM436,BK408:BK455,BO436))*0.5</f>
        <v>0</v>
      </c>
      <c r="BQ436" s="136" t="str">
        <f t="shared" si="247"/>
        <v>Trabalho de Grupo</v>
      </c>
      <c r="BR436" s="136" t="str">
        <f t="shared" si="247"/>
        <v/>
      </c>
      <c r="BS436" s="136" t="str">
        <f t="shared" si="248"/>
        <v>Trabalho de Grupo</v>
      </c>
      <c r="BT436" s="136">
        <f t="shared" si="254"/>
        <v>0</v>
      </c>
      <c r="BU436" s="136">
        <f t="shared" si="255"/>
        <v>0</v>
      </c>
      <c r="CA436" s="136">
        <f>'INFO BASE'!L515</f>
        <v>0</v>
      </c>
      <c r="CB436" s="136">
        <f>'INFO BASE'!M515</f>
        <v>0</v>
      </c>
      <c r="CR436" s="177" t="str">
        <f t="shared" si="236"/>
        <v>HR</v>
      </c>
      <c r="CS436" s="177" t="str">
        <f t="shared" si="237"/>
        <v>HR-</v>
      </c>
      <c r="CT436" s="177" t="str">
        <f t="shared" si="236"/>
        <v>HR</v>
      </c>
      <c r="CU436" s="177" t="str">
        <f t="shared" si="238"/>
        <v>HR-</v>
      </c>
      <c r="CV436" s="177" t="str">
        <f t="shared" si="236"/>
        <v>HR</v>
      </c>
      <c r="CW436" s="177" t="str">
        <f t="shared" si="239"/>
        <v>HR-</v>
      </c>
      <c r="CX436" s="177" t="str">
        <f t="shared" si="236"/>
        <v>HR</v>
      </c>
      <c r="CY436" s="177" t="str">
        <f t="shared" si="240"/>
        <v>HR-</v>
      </c>
      <c r="CZ436" s="177" t="str">
        <f t="shared" si="236"/>
        <v>HR</v>
      </c>
      <c r="DA436" s="177" t="str">
        <f t="shared" si="241"/>
        <v>HR-</v>
      </c>
      <c r="DB436" s="177" t="str">
        <f t="shared" si="236"/>
        <v>HR</v>
      </c>
      <c r="DC436" s="177" t="str">
        <f t="shared" si="242"/>
        <v>HR-</v>
      </c>
      <c r="DD436" s="177" t="str">
        <f t="shared" si="243"/>
        <v>PV</v>
      </c>
      <c r="DE436" s="177">
        <f t="shared" si="244"/>
        <v>0</v>
      </c>
    </row>
    <row r="437" spans="1:109" ht="18" customHeight="1" x14ac:dyDescent="0.3">
      <c r="A437" s="81">
        <v>0.60416666666668595</v>
      </c>
      <c r="B437" s="166" t="s">
        <v>12</v>
      </c>
      <c r="C437" s="130" t="s">
        <v>120</v>
      </c>
      <c r="D437" s="169" t="s">
        <v>12</v>
      </c>
      <c r="E437" s="130" t="s">
        <v>120</v>
      </c>
      <c r="F437" s="169" t="s">
        <v>12</v>
      </c>
      <c r="G437" s="130" t="s">
        <v>120</v>
      </c>
      <c r="H437" s="169" t="s">
        <v>12</v>
      </c>
      <c r="I437" s="130" t="s">
        <v>120</v>
      </c>
      <c r="J437" s="169" t="s">
        <v>12</v>
      </c>
      <c r="K437" s="130" t="s">
        <v>120</v>
      </c>
      <c r="L437" s="169" t="s">
        <v>116</v>
      </c>
      <c r="M437" s="130" t="s">
        <v>120</v>
      </c>
      <c r="N437" s="169" t="s">
        <v>12</v>
      </c>
      <c r="O437" s="154" t="s">
        <v>120</v>
      </c>
      <c r="P437" s="6">
        <v>0</v>
      </c>
      <c r="Q437" s="118" t="str">
        <f t="shared" si="259"/>
        <v>Trabalho de Grupo</v>
      </c>
      <c r="R437" s="105" t="str">
        <f t="shared" si="253"/>
        <v>AL</v>
      </c>
      <c r="S437" s="88">
        <f t="shared" si="250"/>
        <v>-1</v>
      </c>
      <c r="T437" s="89">
        <f>IF(VLOOKUP(Q437,'INFO BASE'!$B$40:$I$54,IF(R437='INFO BASE'!$B$32,3,IF(R437='INFO BASE'!$B$33,4,IF(R437='INFO BASE'!$B$34,5,IF(R437='INFO BASE'!$B$35,6,IF(R437='INFO BASE'!$B$36,7,IF(R437='INFO BASE'!$B$37,8,2)))))),0)=0,"",VLOOKUP(Q437,'INFO BASE'!$B$40:$I$54,IF(R437='INFO BASE'!$B$32,3,IF(R437='INFO BASE'!$B$33,4,IF(R437='INFO BASE'!$B$34,5,IF(R437='INFO BASE'!$B$35,6,IF(R437='INFO BASE'!$B$36,7,IF(R437='INFO BASE'!$B$37,8,2)))))),0))</f>
        <v>3</v>
      </c>
      <c r="U437" s="89">
        <f>(COUNTIFS(C408:C455,R437,B408:B455,R433)+COUNTIFS(E408:E455,R437,D408:D455,R433)+COUNTIFS(G408:G455,R437,F408:F455,R433)+COUNTIFS(I408:I455,R437,H408:H455,R433)+COUNTIFS(K408:K455,R437,J408:J455,R433)+COUNTIFS(M408:M455,R437,L408:L455,R433)+COUNTIFS(O408:O455,R437,N408:N455,R433))*0.5</f>
        <v>0</v>
      </c>
      <c r="V437" s="89">
        <f>(COUNTIFS(AI408:AI455,R433,AJ408:AJ455,R430)+COUNTIFS(AK408:AK455,R433,AL408:AL455,R430)+COUNTIFS(AM408:AM455,R433,AN408:AN455,R430)+COUNTIFS(AO408:AO455,R433,AP408:AP455,R430)+COUNTIFS(AQ408:AQ455,R433,AR408:AR455,R430)+COUNTIFS(AS408:AS455,R433,AT408:AT455,R430)+COUNTIFS(AU408:AU455,R433,AV408:AV455,R430))*0.5</f>
        <v>0</v>
      </c>
      <c r="W437" s="90">
        <f>IF(AH404="","-",IF(V437=0,U437,IFERROR((U437/V437)-1,"-")))</f>
        <v>0</v>
      </c>
      <c r="X437" s="201">
        <f t="shared" si="251"/>
        <v>0</v>
      </c>
      <c r="Y437" s="271"/>
      <c r="Z437" s="272"/>
      <c r="AA437" s="272"/>
      <c r="AB437" s="272"/>
      <c r="AC437" s="272"/>
      <c r="AD437" s="272"/>
      <c r="AE437" s="272"/>
      <c r="AF437" s="273"/>
      <c r="AH437" s="136">
        <v>0.60416666666668595</v>
      </c>
      <c r="AI437" s="136" t="s">
        <v>12</v>
      </c>
      <c r="AJ437" s="136" t="s">
        <v>120</v>
      </c>
      <c r="AK437" s="136" t="s">
        <v>12</v>
      </c>
      <c r="AL437" s="136" t="s">
        <v>120</v>
      </c>
      <c r="AM437" s="136" t="s">
        <v>12</v>
      </c>
      <c r="AN437" s="136" t="s">
        <v>120</v>
      </c>
      <c r="AO437" s="136" t="s">
        <v>12</v>
      </c>
      <c r="AP437" s="136" t="s">
        <v>120</v>
      </c>
      <c r="AQ437" s="136" t="s">
        <v>12</v>
      </c>
      <c r="AR437" s="136" t="s">
        <v>120</v>
      </c>
      <c r="AS437" s="136" t="s">
        <v>116</v>
      </c>
      <c r="AT437" s="136" t="s">
        <v>120</v>
      </c>
      <c r="AU437" s="136" t="s">
        <v>12</v>
      </c>
      <c r="AV437" s="136" t="s">
        <v>120</v>
      </c>
      <c r="AX437" s="136" t="str">
        <f>IF(AI404="","",IF(B437="","",B437))</f>
        <v>HR</v>
      </c>
      <c r="AY437" s="136" t="str">
        <f>IF(AI404="","",IF(C437="","",C437))</f>
        <v>-</v>
      </c>
      <c r="AZ437" s="136" t="str">
        <f>IF(AI404="","",IF(D437="","",D437))</f>
        <v>HR</v>
      </c>
      <c r="BA437" s="136" t="str">
        <f>IF(AI404="","",IF(E437="","",E437))</f>
        <v>-</v>
      </c>
      <c r="BB437" s="136" t="str">
        <f>IF(AI404="","",IF(F437="","",F437))</f>
        <v>HR</v>
      </c>
      <c r="BC437" s="136" t="str">
        <f>IF(AI404="","",IF(G437="","",G437))</f>
        <v>-</v>
      </c>
      <c r="BD437" s="136" t="str">
        <f>IF(AI404="","",IF(H437="","",H437))</f>
        <v>HR</v>
      </c>
      <c r="BE437" s="136" t="str">
        <f>IF(AI404="","",IF(I437="","",I437))</f>
        <v>-</v>
      </c>
      <c r="BF437" s="136" t="str">
        <f>IF(AI404="","",IF(J437="","",J437))</f>
        <v>HR</v>
      </c>
      <c r="BG437" s="136" t="str">
        <f>IF(AI404="","",IF(K437="","",K437))</f>
        <v>-</v>
      </c>
      <c r="BH437" s="136" t="str">
        <f>IF(AI404="","",IF(L437="","",L437))</f>
        <v>PV</v>
      </c>
      <c r="BI437" s="136" t="str">
        <f>IF(AI404="","",IF(M437="","",M437))</f>
        <v>-</v>
      </c>
      <c r="BJ437" s="136" t="str">
        <f>IF(AI404="","",IF(N437="","",N437))</f>
        <v>HR</v>
      </c>
      <c r="BK437" s="136" t="str">
        <f>IF(AI404="","",IF(O437="","",O437))</f>
        <v>-</v>
      </c>
      <c r="BM437" s="136" t="str">
        <f>BO437</f>
        <v>AT</v>
      </c>
      <c r="BN437" s="136" t="str">
        <f t="shared" si="246"/>
        <v>Aulas Teóricas</v>
      </c>
      <c r="BO437" s="136" t="str">
        <f t="shared" si="246"/>
        <v>AT</v>
      </c>
      <c r="BP437" s="136">
        <f>COUNTIFS(AX408:BK455,BO437)*0.5</f>
        <v>15</v>
      </c>
      <c r="BQ437" s="136" t="str">
        <f t="shared" si="247"/>
        <v>Aulas Teóricas</v>
      </c>
      <c r="BR437" s="136" t="str">
        <f t="shared" si="247"/>
        <v>AT</v>
      </c>
      <c r="BS437" s="136" t="str">
        <f t="shared" si="248"/>
        <v>Aulas Teóricas</v>
      </c>
      <c r="BT437" s="136">
        <f t="shared" si="254"/>
        <v>120</v>
      </c>
      <c r="BU437" s="136">
        <f t="shared" si="255"/>
        <v>120</v>
      </c>
      <c r="CA437" s="136">
        <f>'INFO BASE'!L516</f>
        <v>0</v>
      </c>
      <c r="CB437" s="136">
        <f>'INFO BASE'!M516</f>
        <v>0</v>
      </c>
      <c r="CR437" s="177" t="str">
        <f t="shared" si="236"/>
        <v>HR</v>
      </c>
      <c r="CS437" s="177" t="str">
        <f t="shared" si="237"/>
        <v>HR-</v>
      </c>
      <c r="CT437" s="177" t="str">
        <f t="shared" si="236"/>
        <v>HR</v>
      </c>
      <c r="CU437" s="177" t="str">
        <f t="shared" si="238"/>
        <v>HR-</v>
      </c>
      <c r="CV437" s="177" t="str">
        <f t="shared" si="236"/>
        <v>HR</v>
      </c>
      <c r="CW437" s="177" t="str">
        <f t="shared" si="239"/>
        <v>HR-</v>
      </c>
      <c r="CX437" s="177" t="str">
        <f t="shared" si="236"/>
        <v>HR</v>
      </c>
      <c r="CY437" s="177" t="str">
        <f t="shared" si="240"/>
        <v>HR-</v>
      </c>
      <c r="CZ437" s="177" t="str">
        <f t="shared" si="236"/>
        <v>HR</v>
      </c>
      <c r="DA437" s="177" t="str">
        <f t="shared" si="241"/>
        <v>HR-</v>
      </c>
      <c r="DB437" s="177" t="str">
        <f t="shared" si="236"/>
        <v>PV</v>
      </c>
      <c r="DC437" s="177">
        <f t="shared" si="242"/>
        <v>0</v>
      </c>
      <c r="DD437" s="177" t="str">
        <f t="shared" si="243"/>
        <v>HR</v>
      </c>
      <c r="DE437" s="177" t="str">
        <f t="shared" si="244"/>
        <v>HR-</v>
      </c>
    </row>
    <row r="438" spans="1:109" ht="18" customHeight="1" x14ac:dyDescent="0.3">
      <c r="A438" s="81">
        <v>0.62500000000001998</v>
      </c>
      <c r="B438" s="166" t="s">
        <v>128</v>
      </c>
      <c r="C438" s="130" t="s">
        <v>226</v>
      </c>
      <c r="D438" s="169" t="s">
        <v>8</v>
      </c>
      <c r="E438" s="130" t="s">
        <v>224</v>
      </c>
      <c r="F438" s="169" t="s">
        <v>128</v>
      </c>
      <c r="G438" s="130" t="s">
        <v>228</v>
      </c>
      <c r="H438" s="169" t="s">
        <v>128</v>
      </c>
      <c r="I438" s="130" t="s">
        <v>231</v>
      </c>
      <c r="J438" s="169" t="s">
        <v>128</v>
      </c>
      <c r="K438" s="130" t="s">
        <v>231</v>
      </c>
      <c r="L438" s="169" t="s">
        <v>116</v>
      </c>
      <c r="M438" s="130" t="s">
        <v>120</v>
      </c>
      <c r="N438" s="169" t="s">
        <v>12</v>
      </c>
      <c r="O438" s="154" t="s">
        <v>120</v>
      </c>
      <c r="P438" s="6">
        <v>0</v>
      </c>
      <c r="Q438" s="118" t="str">
        <f t="shared" si="259"/>
        <v>Trabalho de Grupo</v>
      </c>
      <c r="R438" s="105" t="str">
        <f t="shared" si="253"/>
        <v>CDI</v>
      </c>
      <c r="S438" s="88">
        <f t="shared" si="250"/>
        <v>-1</v>
      </c>
      <c r="T438" s="89">
        <f>IF(VLOOKUP(Q438,'INFO BASE'!$B$40:$I$54,IF(R438='INFO BASE'!$B$32,3,IF(R438='INFO BASE'!$B$33,4,IF(R438='INFO BASE'!$B$34,5,IF(R438='INFO BASE'!$B$35,6,IF(R438='INFO BASE'!$B$36,7,IF(R438='INFO BASE'!$B$37,8,2)))))),0)=0,"",VLOOKUP(Q438,'INFO BASE'!$B$40:$I$54,IF(R438='INFO BASE'!$B$32,3,IF(R438='INFO BASE'!$B$33,4,IF(R438='INFO BASE'!$B$34,5,IF(R438='INFO BASE'!$B$35,6,IF(R438='INFO BASE'!$B$36,7,IF(R438='INFO BASE'!$B$37,8,2)))))),0))</f>
        <v>3</v>
      </c>
      <c r="U438" s="89">
        <f>(COUNTIFS(C408:C455,R438,B408:B455,R433)+COUNTIFS(E408:E455,R438,D408:D455,R433)+COUNTIFS(G408:G455,R438,F408:F455,R433)+COUNTIFS(I408:I455,R438,H408:H455,R433)+COUNTIFS(K408:K455,R438,J408:J455,R433)+COUNTIFS(M408:M455,R438,L408:L455,R433)+COUNTIFS(O408:O455,R438,N408:N455,R433))*0.5</f>
        <v>0</v>
      </c>
      <c r="V438" s="89">
        <f>(COUNTIFS(AI408:AI455,R433,AJ408:AJ455,R431)+COUNTIFS(AK408:AK455,R433,AL408:AL455,R431)+COUNTIFS(AM408:AM455,R433,AN408:AN455,R431)+COUNTIFS(AO408:AO455,R433,AP408:AP455,R431)+COUNTIFS(AQ408:AQ455,R433,AR408:AR455,R431)+COUNTIFS(AS408:AS455,R433,AT408:AT455,R431)+COUNTIFS(AU408:AU455,R433,AV408:AV455,R431))*0.5</f>
        <v>0</v>
      </c>
      <c r="W438" s="90">
        <f>IF(AH404="","-",IF(V438=0,U438,IFERROR((U438/V438)-1,"-")))</f>
        <v>0</v>
      </c>
      <c r="X438" s="201">
        <f t="shared" si="251"/>
        <v>0</v>
      </c>
      <c r="Y438" s="271"/>
      <c r="Z438" s="272"/>
      <c r="AA438" s="272"/>
      <c r="AB438" s="272"/>
      <c r="AC438" s="272"/>
      <c r="AD438" s="272"/>
      <c r="AE438" s="272"/>
      <c r="AF438" s="273"/>
      <c r="AH438" s="136">
        <v>0.62500000000001998</v>
      </c>
      <c r="AI438" s="136" t="s">
        <v>128</v>
      </c>
      <c r="AJ438" s="136" t="s">
        <v>230</v>
      </c>
      <c r="AK438" s="136" t="s">
        <v>8</v>
      </c>
      <c r="AL438" s="136" t="s">
        <v>224</v>
      </c>
      <c r="AM438" s="136" t="s">
        <v>128</v>
      </c>
      <c r="AN438" s="136" t="s">
        <v>228</v>
      </c>
      <c r="AO438" s="136" t="s">
        <v>128</v>
      </c>
      <c r="AP438" s="136" t="s">
        <v>231</v>
      </c>
      <c r="AQ438" s="136" t="s">
        <v>128</v>
      </c>
      <c r="AR438" s="136" t="s">
        <v>231</v>
      </c>
      <c r="AS438" s="136" t="s">
        <v>116</v>
      </c>
      <c r="AT438" s="136" t="s">
        <v>120</v>
      </c>
      <c r="AU438" s="136" t="s">
        <v>12</v>
      </c>
      <c r="AV438" s="136" t="s">
        <v>120</v>
      </c>
      <c r="AX438" s="136" t="str">
        <f>IF(AI404="","",IF(B438="","",B438))</f>
        <v>EG</v>
      </c>
      <c r="AY438" s="136" t="str">
        <f>IF(AI404="","",IF(C438="","",C438))</f>
        <v>IEI</v>
      </c>
      <c r="AZ438" s="136" t="str">
        <f>IF(AI404="","",IF(D438="","",D438))</f>
        <v>EA</v>
      </c>
      <c r="BA438" s="136" t="str">
        <f>IF(AI404="","",IF(E438="","",E438))</f>
        <v>FP</v>
      </c>
      <c r="BB438" s="136" t="str">
        <f>IF(AI404="","",IF(F438="","",F438))</f>
        <v>EG</v>
      </c>
      <c r="BC438" s="136" t="str">
        <f>IF(AI404="","",IF(G438="","",G438))</f>
        <v>IAC</v>
      </c>
      <c r="BD438" s="136" t="str">
        <f>IF(AI404="","",IF(H438="","",H438))</f>
        <v>EG</v>
      </c>
      <c r="BE438" s="136" t="str">
        <f>IF(AI404="","",IF(I438="","",I438))</f>
        <v>CDI</v>
      </c>
      <c r="BF438" s="136" t="str">
        <f>IF(AI404="","",IF(J438="","",J438))</f>
        <v>EG</v>
      </c>
      <c r="BG438" s="136" t="str">
        <f>IF(AI404="","",IF(K438="","",K438))</f>
        <v>CDI</v>
      </c>
      <c r="BH438" s="136" t="str">
        <f>IF(AI404="","",IF(L438="","",L438))</f>
        <v>PV</v>
      </c>
      <c r="BI438" s="136" t="str">
        <f>IF(AI404="","",IF(M438="","",M438))</f>
        <v>-</v>
      </c>
      <c r="BJ438" s="136" t="str">
        <f>IF(AI404="","",IF(N438="","",N438))</f>
        <v>HR</v>
      </c>
      <c r="BK438" s="136" t="str">
        <f>IF(AI404="","",IF(O438="","",O438))</f>
        <v>-</v>
      </c>
      <c r="BM438" s="136" t="str">
        <f>BM437</f>
        <v>AT</v>
      </c>
      <c r="BN438" s="136" t="str">
        <f t="shared" si="246"/>
        <v>Aulas Teóricas</v>
      </c>
      <c r="BO438" s="136" t="str">
        <f t="shared" si="246"/>
        <v>FP</v>
      </c>
      <c r="BP438" s="136">
        <f>(COUNTIFS(AX408:AX455,BM438,AY408:AY455,BO438)+COUNTIFS(AZ408:AZ455,BM438,BA408:BA455,BO438)+COUNTIFS(BB408:BB455,BM438,BC408:BC455,BO438)+COUNTIFS(BD408:BD455,BM438,BE408:BE455,BO438)+COUNTIFS(BF408:BF455,BM438,BG408:BG455,BO438)+COUNTIFS(BH408:BH455,BM438,BI408:BI455,BO438)+COUNTIFS(BJ408:BJ455,BM438,BK408:BK455,BO438))*0.5</f>
        <v>3</v>
      </c>
      <c r="BQ438" s="136" t="str">
        <f t="shared" si="247"/>
        <v>Aulas Teóricas</v>
      </c>
      <c r="BR438" s="136" t="str">
        <f t="shared" si="247"/>
        <v>FP</v>
      </c>
      <c r="BS438" s="136" t="str">
        <f t="shared" si="248"/>
        <v>Aulas Teóricas</v>
      </c>
      <c r="BT438" s="136">
        <f t="shared" si="254"/>
        <v>24</v>
      </c>
      <c r="BU438" s="136">
        <f t="shared" si="255"/>
        <v>24</v>
      </c>
      <c r="CR438" s="177" t="str">
        <f t="shared" si="236"/>
        <v>EG</v>
      </c>
      <c r="CS438" s="177" t="str">
        <f t="shared" si="237"/>
        <v>EGIEI</v>
      </c>
      <c r="CT438" s="177" t="str">
        <f t="shared" si="236"/>
        <v>EA</v>
      </c>
      <c r="CU438" s="177" t="str">
        <f t="shared" si="238"/>
        <v>EAFP</v>
      </c>
      <c r="CV438" s="177" t="str">
        <f t="shared" si="236"/>
        <v>EG</v>
      </c>
      <c r="CW438" s="177" t="str">
        <f t="shared" si="239"/>
        <v>EGIAC</v>
      </c>
      <c r="CX438" s="177" t="str">
        <f t="shared" si="236"/>
        <v>EG</v>
      </c>
      <c r="CY438" s="177" t="str">
        <f t="shared" si="240"/>
        <v>EGCDI</v>
      </c>
      <c r="CZ438" s="177" t="str">
        <f t="shared" si="236"/>
        <v>EG</v>
      </c>
      <c r="DA438" s="177" t="str">
        <f t="shared" si="241"/>
        <v>EGCDI</v>
      </c>
      <c r="DB438" s="177" t="str">
        <f t="shared" si="236"/>
        <v>PV</v>
      </c>
      <c r="DC438" s="177">
        <f t="shared" si="242"/>
        <v>0</v>
      </c>
      <c r="DD438" s="177" t="str">
        <f t="shared" si="243"/>
        <v>HR</v>
      </c>
      <c r="DE438" s="177" t="str">
        <f t="shared" si="244"/>
        <v>HR-</v>
      </c>
    </row>
    <row r="439" spans="1:109" ht="18" customHeight="1" thickBot="1" x14ac:dyDescent="0.35">
      <c r="A439" s="81">
        <v>0.64583333333335402</v>
      </c>
      <c r="B439" s="166" t="s">
        <v>128</v>
      </c>
      <c r="C439" s="130" t="s">
        <v>226</v>
      </c>
      <c r="D439" s="169" t="s">
        <v>8</v>
      </c>
      <c r="E439" s="130" t="s">
        <v>224</v>
      </c>
      <c r="F439" s="169" t="s">
        <v>128</v>
      </c>
      <c r="G439" s="130" t="s">
        <v>228</v>
      </c>
      <c r="H439" s="169" t="s">
        <v>128</v>
      </c>
      <c r="I439" s="130" t="s">
        <v>231</v>
      </c>
      <c r="J439" s="169" t="s">
        <v>128</v>
      </c>
      <c r="K439" s="130" t="s">
        <v>231</v>
      </c>
      <c r="L439" s="169" t="s">
        <v>116</v>
      </c>
      <c r="M439" s="130" t="s">
        <v>120</v>
      </c>
      <c r="N439" s="169" t="s">
        <v>116</v>
      </c>
      <c r="O439" s="154" t="s">
        <v>120</v>
      </c>
      <c r="P439" s="6">
        <v>0</v>
      </c>
      <c r="Q439" s="120" t="str">
        <f t="shared" si="259"/>
        <v>Trabalho de Grupo</v>
      </c>
      <c r="R439" s="107" t="str">
        <f t="shared" si="253"/>
        <v/>
      </c>
      <c r="S439" s="94" t="str">
        <f t="shared" si="250"/>
        <v>-</v>
      </c>
      <c r="T439" s="95" t="str">
        <f>IF(VLOOKUP(Q439,'INFO BASE'!$B$40:$I$54,IF(R439='INFO BASE'!$B$32,3,IF(R439='INFO BASE'!$B$33,4,IF(R439='INFO BASE'!$B$34,5,IF(R439='INFO BASE'!$B$35,6,IF(R439='INFO BASE'!$B$36,7,IF(R439='INFO BASE'!$B$37,8,2)))))),0)=0,"",VLOOKUP(Q439,'INFO BASE'!$B$40:$I$54,IF(R439='INFO BASE'!$B$32,3,IF(R439='INFO BASE'!$B$33,4,IF(R439='INFO BASE'!$B$34,5,IF(R439='INFO BASE'!$B$35,6,IF(R439='INFO BASE'!$B$36,7,IF(R439='INFO BASE'!$B$37,8,2)))))),0))</f>
        <v/>
      </c>
      <c r="U439" s="95">
        <f>(COUNTIFS(C408:C455,R439,B408:B455,R433)+COUNTIFS(E408:E455,R439,D408:D455,R433)+COUNTIFS(G408:G455,R439,F408:F455,R433)+COUNTIFS(I408:I455,R439,H408:H455,R433)+COUNTIFS(K408:K455,R439,J408:J455,R433)+COUNTIFS(M408:M455,R439,L408:L455,R433)+COUNTIFS(O408:O455,R439,N408:N455,R433))*0.5</f>
        <v>0</v>
      </c>
      <c r="V439" s="95">
        <f>(COUNTIFS(AI408:AI455,R433,AJ408:AJ455,R432)+COUNTIFS(AK408:AK455,R433,AL408:AL455,R432)+COUNTIFS(AM408:AM455,R433,AN408:AN455,R432)+COUNTIFS(AO408:AO455,R433,AP408:AP455,R432)+COUNTIFS(AQ408:AQ455,R433,AR408:AR455,R432)+COUNTIFS(AS408:AS455,R433,AT408:AT455,R432)+COUNTIFS(AU408:AU455,R433,AV408:AV455,R432))*0.5</f>
        <v>0</v>
      </c>
      <c r="W439" s="96">
        <f>IF(AH404="","-",IF(V439=0,U439,IFERROR((U439/V439)-1,"-")))</f>
        <v>0</v>
      </c>
      <c r="X439" s="201">
        <f t="shared" si="251"/>
        <v>0</v>
      </c>
      <c r="Y439" s="274"/>
      <c r="Z439" s="275"/>
      <c r="AA439" s="275"/>
      <c r="AB439" s="275"/>
      <c r="AC439" s="275"/>
      <c r="AD439" s="275"/>
      <c r="AE439" s="275"/>
      <c r="AF439" s="276"/>
      <c r="AH439" s="136">
        <v>0.64583333333335402</v>
      </c>
      <c r="AI439" s="136" t="s">
        <v>128</v>
      </c>
      <c r="AJ439" s="136" t="s">
        <v>230</v>
      </c>
      <c r="AK439" s="136" t="s">
        <v>8</v>
      </c>
      <c r="AL439" s="136" t="s">
        <v>224</v>
      </c>
      <c r="AM439" s="136" t="s">
        <v>128</v>
      </c>
      <c r="AN439" s="136" t="s">
        <v>228</v>
      </c>
      <c r="AO439" s="136" t="s">
        <v>128</v>
      </c>
      <c r="AP439" s="136" t="s">
        <v>231</v>
      </c>
      <c r="AQ439" s="136" t="s">
        <v>128</v>
      </c>
      <c r="AR439" s="136" t="s">
        <v>231</v>
      </c>
      <c r="AS439" s="136" t="s">
        <v>116</v>
      </c>
      <c r="AT439" s="136" t="s">
        <v>120</v>
      </c>
      <c r="AU439" s="136" t="s">
        <v>116</v>
      </c>
      <c r="AV439" s="136" t="s">
        <v>120</v>
      </c>
      <c r="AX439" s="136" t="str">
        <f>IF(AI404="","",IF(B439="","",B439))</f>
        <v>EG</v>
      </c>
      <c r="AY439" s="136" t="str">
        <f>IF(AI404="","",IF(C439="","",C439))</f>
        <v>IEI</v>
      </c>
      <c r="AZ439" s="136" t="str">
        <f>IF(AI404="","",IF(D439="","",D439))</f>
        <v>EA</v>
      </c>
      <c r="BA439" s="136" t="str">
        <f>IF(AI404="","",IF(E439="","",E439))</f>
        <v>FP</v>
      </c>
      <c r="BB439" s="136" t="str">
        <f>IF(AI404="","",IF(F439="","",F439))</f>
        <v>EG</v>
      </c>
      <c r="BC439" s="136" t="str">
        <f>IF(AI404="","",IF(G439="","",G439))</f>
        <v>IAC</v>
      </c>
      <c r="BD439" s="136" t="str">
        <f>IF(AI404="","",IF(H439="","",H439))</f>
        <v>EG</v>
      </c>
      <c r="BE439" s="136" t="str">
        <f>IF(AI404="","",IF(I439="","",I439))</f>
        <v>CDI</v>
      </c>
      <c r="BF439" s="136" t="str">
        <f>IF(AI404="","",IF(J439="","",J439))</f>
        <v>EG</v>
      </c>
      <c r="BG439" s="136" t="str">
        <f>IF(AI404="","",IF(K439="","",K439))</f>
        <v>CDI</v>
      </c>
      <c r="BH439" s="136" t="str">
        <f>IF(AI404="","",IF(L439="","",L439))</f>
        <v>PV</v>
      </c>
      <c r="BI439" s="136" t="str">
        <f>IF(AI404="","",IF(M439="","",M439))</f>
        <v>-</v>
      </c>
      <c r="BJ439" s="136" t="str">
        <f>IF(AI404="","",IF(N439="","",N439))</f>
        <v>PV</v>
      </c>
      <c r="BK439" s="136" t="str">
        <f>IF(AI404="","",IF(O439="","",O439))</f>
        <v>-</v>
      </c>
      <c r="BM439" s="136" t="str">
        <f t="shared" ref="BM439:BM443" si="260">BM438</f>
        <v>AT</v>
      </c>
      <c r="BN439" s="136" t="str">
        <f t="shared" si="246"/>
        <v>Aulas Teóricas</v>
      </c>
      <c r="BO439" s="136" t="str">
        <f t="shared" si="246"/>
        <v>IEI</v>
      </c>
      <c r="BP439" s="136">
        <f>(COUNTIFS(AX408:AX455,BM439,AY408:AY455,BO439)+COUNTIFS(AZ408:AZ455,BM439,BA408:BA455,BO439)+COUNTIFS(BB408:BB455,BM439,BC408:BC455,BO439)+COUNTIFS(BD408:BD455,BM439,BE408:BE455,BO439)+COUNTIFS(BF408:BF455,BM439,BG408:BG455,BO439)+COUNTIFS(BH408:BH455,BM439,BI408:BI455,BO439)+COUNTIFS(BJ408:BJ455,BM439,BK408:BK455,BO439))*0.5</f>
        <v>3</v>
      </c>
      <c r="BQ439" s="136" t="str">
        <f t="shared" si="247"/>
        <v>Aulas Teóricas</v>
      </c>
      <c r="BR439" s="136" t="str">
        <f t="shared" si="247"/>
        <v>IEI</v>
      </c>
      <c r="BS439" s="136" t="str">
        <f t="shared" si="248"/>
        <v>Aulas Teóricas</v>
      </c>
      <c r="BT439" s="136">
        <f t="shared" si="254"/>
        <v>24</v>
      </c>
      <c r="BU439" s="136">
        <f t="shared" si="255"/>
        <v>24</v>
      </c>
      <c r="CA439" s="136">
        <f>'INFO BASE'!L517</f>
        <v>0</v>
      </c>
      <c r="CB439" s="136">
        <f>'INFO BASE'!M517</f>
        <v>0</v>
      </c>
      <c r="CR439" s="177" t="str">
        <f t="shared" si="236"/>
        <v>EG</v>
      </c>
      <c r="CS439" s="177" t="str">
        <f t="shared" si="237"/>
        <v>EGIEI</v>
      </c>
      <c r="CT439" s="177" t="str">
        <f t="shared" si="236"/>
        <v>EA</v>
      </c>
      <c r="CU439" s="177" t="str">
        <f t="shared" si="238"/>
        <v>EAFP</v>
      </c>
      <c r="CV439" s="177" t="str">
        <f t="shared" si="236"/>
        <v>EG</v>
      </c>
      <c r="CW439" s="177" t="str">
        <f t="shared" si="239"/>
        <v>EGIAC</v>
      </c>
      <c r="CX439" s="177" t="str">
        <f t="shared" si="236"/>
        <v>EG</v>
      </c>
      <c r="CY439" s="177" t="str">
        <f t="shared" si="240"/>
        <v>EGCDI</v>
      </c>
      <c r="CZ439" s="177" t="str">
        <f t="shared" si="236"/>
        <v>EG</v>
      </c>
      <c r="DA439" s="177" t="str">
        <f t="shared" si="241"/>
        <v>EGCDI</v>
      </c>
      <c r="DB439" s="177" t="str">
        <f t="shared" si="236"/>
        <v>PV</v>
      </c>
      <c r="DC439" s="177">
        <f t="shared" si="242"/>
        <v>0</v>
      </c>
      <c r="DD439" s="177" t="str">
        <f t="shared" si="243"/>
        <v>PV</v>
      </c>
      <c r="DE439" s="177">
        <f t="shared" si="244"/>
        <v>0</v>
      </c>
    </row>
    <row r="440" spans="1:109" ht="18" customHeight="1" x14ac:dyDescent="0.3">
      <c r="A440" s="81">
        <v>0.66666666666668795</v>
      </c>
      <c r="B440" s="166" t="s">
        <v>128</v>
      </c>
      <c r="C440" s="130" t="s">
        <v>226</v>
      </c>
      <c r="D440" s="169" t="s">
        <v>8</v>
      </c>
      <c r="E440" s="130" t="s">
        <v>224</v>
      </c>
      <c r="F440" s="169" t="s">
        <v>116</v>
      </c>
      <c r="G440" s="130" t="s">
        <v>120</v>
      </c>
      <c r="H440" s="169" t="s">
        <v>128</v>
      </c>
      <c r="I440" s="130" t="s">
        <v>231</v>
      </c>
      <c r="J440" s="169" t="s">
        <v>116</v>
      </c>
      <c r="K440" s="130" t="s">
        <v>120</v>
      </c>
      <c r="L440" s="169" t="s">
        <v>116</v>
      </c>
      <c r="M440" s="130" t="s">
        <v>120</v>
      </c>
      <c r="N440" s="169" t="s">
        <v>116</v>
      </c>
      <c r="O440" s="154" t="s">
        <v>120</v>
      </c>
      <c r="P440" s="6">
        <v>0</v>
      </c>
      <c r="Q440" s="121" t="str">
        <f>IF('INFO BASE'!$C$20="","",'INFO BASE'!$C$20)</f>
        <v>Aulas Teóricas</v>
      </c>
      <c r="R440" s="82" t="str">
        <f t="shared" si="253"/>
        <v>AT</v>
      </c>
      <c r="S440" s="83">
        <f t="shared" si="250"/>
        <v>0</v>
      </c>
      <c r="T440" s="84">
        <f>IF(VLOOKUP(Q440,'INFO BASE'!$B$40:$I$54,IF(R440='INFO BASE'!$B$32,3,IF(R440='INFO BASE'!$B$33,4,IF(R440='INFO BASE'!$B$34,5,IF(R440='INFO BASE'!$B$35,6,IF(R440='INFO BASE'!$B$36,7,IF(R440='INFO BASE'!$B$37,8,2)))))),0)=0,"",VLOOKUP(Q440,'INFO BASE'!$B$40:$I$54,IF(R440='INFO BASE'!$B$32,3,IF(R440='INFO BASE'!$B$33,4,IF(R440='INFO BASE'!$B$34,5,IF(R440='INFO BASE'!$B$35,6,IF(R440='INFO BASE'!$B$36,7,IF(R440='INFO BASE'!$B$37,8,2)))))),0))</f>
        <v>15</v>
      </c>
      <c r="U440" s="84">
        <f>IF(R440="","",COUNTIFS(SEMANA8,R440)*0.5)</f>
        <v>15</v>
      </c>
      <c r="V440" s="84">
        <f>IF(R440="","",COUNTIFS(AI408:AV455,R440)*0.5)</f>
        <v>15</v>
      </c>
      <c r="W440" s="85">
        <f>IF(AH404="","-",IF(V440=0,U440,IFERROR((U440/V440)-1,"-")))</f>
        <v>0</v>
      </c>
      <c r="X440" s="201">
        <f t="shared" si="251"/>
        <v>0</v>
      </c>
      <c r="Y440" s="277"/>
      <c r="Z440" s="278"/>
      <c r="AA440" s="278"/>
      <c r="AB440" s="278"/>
      <c r="AC440" s="278"/>
      <c r="AD440" s="278"/>
      <c r="AE440" s="278"/>
      <c r="AF440" s="279"/>
      <c r="AH440" s="136">
        <v>0.66666666666668795</v>
      </c>
      <c r="AI440" s="136" t="s">
        <v>116</v>
      </c>
      <c r="AJ440" s="136" t="s">
        <v>120</v>
      </c>
      <c r="AK440" s="136" t="s">
        <v>8</v>
      </c>
      <c r="AL440" s="136" t="s">
        <v>224</v>
      </c>
      <c r="AM440" s="136" t="s">
        <v>116</v>
      </c>
      <c r="AN440" s="136" t="s">
        <v>120</v>
      </c>
      <c r="AO440" s="136" t="s">
        <v>128</v>
      </c>
      <c r="AP440" s="136" t="s">
        <v>231</v>
      </c>
      <c r="AQ440" s="136" t="s">
        <v>116</v>
      </c>
      <c r="AR440" s="136" t="s">
        <v>120</v>
      </c>
      <c r="AS440" s="136" t="s">
        <v>116</v>
      </c>
      <c r="AT440" s="136" t="s">
        <v>120</v>
      </c>
      <c r="AU440" s="136" t="s">
        <v>116</v>
      </c>
      <c r="AV440" s="136" t="s">
        <v>120</v>
      </c>
      <c r="AX440" s="136" t="str">
        <f>IF(AI404="","",IF(B440="","",B440))</f>
        <v>EG</v>
      </c>
      <c r="AY440" s="136" t="str">
        <f>IF(AI404="","",IF(C440="","",C440))</f>
        <v>IEI</v>
      </c>
      <c r="AZ440" s="136" t="str">
        <f>IF(AI404="","",IF(D440="","",D440))</f>
        <v>EA</v>
      </c>
      <c r="BA440" s="136" t="str">
        <f>IF(AI404="","",IF(E440="","",E440))</f>
        <v>FP</v>
      </c>
      <c r="BB440" s="136" t="str">
        <f>IF(AI404="","",IF(F440="","",F440))</f>
        <v>PV</v>
      </c>
      <c r="BC440" s="136" t="str">
        <f>IF(AI404="","",IF(G440="","",G440))</f>
        <v>-</v>
      </c>
      <c r="BD440" s="136" t="str">
        <f>IF(AI404="","",IF(H440="","",H440))</f>
        <v>EG</v>
      </c>
      <c r="BE440" s="136" t="str">
        <f>IF(AI404="","",IF(I440="","",I440))</f>
        <v>CDI</v>
      </c>
      <c r="BF440" s="136" t="str">
        <f>IF(AI404="","",IF(J440="","",J440))</f>
        <v>PV</v>
      </c>
      <c r="BG440" s="136" t="str">
        <f>IF(AI404="","",IF(K440="","",K440))</f>
        <v>-</v>
      </c>
      <c r="BH440" s="136" t="str">
        <f>IF(AI404="","",IF(L440="","",L440))</f>
        <v>PV</v>
      </c>
      <c r="BI440" s="136" t="str">
        <f>IF(AI404="","",IF(M440="","",M440))</f>
        <v>-</v>
      </c>
      <c r="BJ440" s="136" t="str">
        <f>IF(AI404="","",IF(N440="","",N440))</f>
        <v>PV</v>
      </c>
      <c r="BK440" s="136" t="str">
        <f>IF(AI404="","",IF(O440="","",O440))</f>
        <v>-</v>
      </c>
      <c r="BM440" s="136" t="str">
        <f t="shared" si="260"/>
        <v>AT</v>
      </c>
      <c r="BN440" s="136" t="str">
        <f t="shared" si="246"/>
        <v>Aulas Teóricas</v>
      </c>
      <c r="BO440" s="136" t="str">
        <f t="shared" si="246"/>
        <v>IAC</v>
      </c>
      <c r="BP440" s="136">
        <f>(COUNTIFS(AX408:AX455,BM440,AY408:AY455,BO440)+COUNTIFS(AZ408:AZ455,BM440,BA408:BA455,BO440)+COUNTIFS(BB408:BB455,BM440,BC408:BC455,BO440)+COUNTIFS(BD408:BD455,BM440,BE408:BE455,BO440)+COUNTIFS(BF408:BF455,BM440,BG408:BG455,BO440)+COUNTIFS(BH408:BH455,BM440,BI408:BI455,BO440)+COUNTIFS(BJ408:BJ455,BM440,BK408:BK455,BO440))*0.5</f>
        <v>3</v>
      </c>
      <c r="BQ440" s="136" t="str">
        <f t="shared" si="247"/>
        <v>Aulas Teóricas</v>
      </c>
      <c r="BR440" s="136" t="str">
        <f t="shared" si="247"/>
        <v>IAC</v>
      </c>
      <c r="BS440" s="136" t="str">
        <f t="shared" si="248"/>
        <v>Aulas Teóricas</v>
      </c>
      <c r="BT440" s="136">
        <f t="shared" si="254"/>
        <v>24</v>
      </c>
      <c r="BU440" s="136">
        <f t="shared" si="255"/>
        <v>24</v>
      </c>
      <c r="CA440" s="136">
        <f>'INFO BASE'!L518</f>
        <v>0</v>
      </c>
      <c r="CB440" s="136">
        <f>'INFO BASE'!M518</f>
        <v>0</v>
      </c>
      <c r="CR440" s="177" t="str">
        <f t="shared" si="236"/>
        <v>EG</v>
      </c>
      <c r="CS440" s="177" t="str">
        <f t="shared" si="237"/>
        <v>EGIEI</v>
      </c>
      <c r="CT440" s="177" t="str">
        <f t="shared" si="236"/>
        <v>EA</v>
      </c>
      <c r="CU440" s="177" t="str">
        <f t="shared" si="238"/>
        <v>EAFP</v>
      </c>
      <c r="CV440" s="177" t="str">
        <f t="shared" si="236"/>
        <v>PV</v>
      </c>
      <c r="CW440" s="177">
        <f t="shared" si="239"/>
        <v>0</v>
      </c>
      <c r="CX440" s="177" t="str">
        <f t="shared" si="236"/>
        <v>EG</v>
      </c>
      <c r="CY440" s="177" t="str">
        <f t="shared" si="240"/>
        <v>EGCDI</v>
      </c>
      <c r="CZ440" s="177" t="str">
        <f t="shared" si="236"/>
        <v>PV</v>
      </c>
      <c r="DA440" s="177">
        <f t="shared" si="241"/>
        <v>0</v>
      </c>
      <c r="DB440" s="177" t="str">
        <f t="shared" si="236"/>
        <v>PV</v>
      </c>
      <c r="DC440" s="177">
        <f t="shared" si="242"/>
        <v>0</v>
      </c>
      <c r="DD440" s="177" t="str">
        <f t="shared" si="243"/>
        <v>PV</v>
      </c>
      <c r="DE440" s="177">
        <f t="shared" si="244"/>
        <v>0</v>
      </c>
    </row>
    <row r="441" spans="1:109" ht="18" customHeight="1" x14ac:dyDescent="0.3">
      <c r="A441" s="81">
        <v>0.68750000000002198</v>
      </c>
      <c r="B441" s="166" t="s">
        <v>128</v>
      </c>
      <c r="C441" s="130" t="s">
        <v>226</v>
      </c>
      <c r="D441" s="169" t="s">
        <v>116</v>
      </c>
      <c r="E441" s="130" t="s">
        <v>120</v>
      </c>
      <c r="F441" s="169" t="s">
        <v>116</v>
      </c>
      <c r="G441" s="130" t="s">
        <v>120</v>
      </c>
      <c r="H441" s="169" t="s">
        <v>128</v>
      </c>
      <c r="I441" s="130" t="s">
        <v>231</v>
      </c>
      <c r="J441" s="169" t="s">
        <v>116</v>
      </c>
      <c r="K441" s="130" t="s">
        <v>120</v>
      </c>
      <c r="L441" s="169" t="s">
        <v>116</v>
      </c>
      <c r="M441" s="130" t="s">
        <v>120</v>
      </c>
      <c r="N441" s="169" t="s">
        <v>116</v>
      </c>
      <c r="O441" s="154" t="s">
        <v>120</v>
      </c>
      <c r="P441" s="6">
        <v>0</v>
      </c>
      <c r="Q441" s="122" t="str">
        <f t="shared" ref="Q441:Q446" si="261">Q440</f>
        <v>Aulas Teóricas</v>
      </c>
      <c r="R441" s="105" t="str">
        <f t="shared" si="253"/>
        <v>FP</v>
      </c>
      <c r="S441" s="88">
        <f t="shared" si="250"/>
        <v>0</v>
      </c>
      <c r="T441" s="89">
        <f>IF(VLOOKUP(Q441,'INFO BASE'!$B$40:$I$54,IF(R441='INFO BASE'!$B$32,3,IF(R441='INFO BASE'!$B$33,4,IF(R441='INFO BASE'!$B$34,5,IF(R441='INFO BASE'!$B$35,6,IF(R441='INFO BASE'!$B$36,7,IF(R441='INFO BASE'!$B$37,8,2)))))),0)=0,"",VLOOKUP(Q441,'INFO BASE'!$B$40:$I$54,IF(R441='INFO BASE'!$B$32,3,IF(R441='INFO BASE'!$B$33,4,IF(R441='INFO BASE'!$B$34,5,IF(R441='INFO BASE'!$B$35,6,IF(R441='INFO BASE'!$B$36,7,IF(R441='INFO BASE'!$B$37,8,2)))))),0))</f>
        <v>3</v>
      </c>
      <c r="U441" s="89">
        <f>(COUNTIFS(C408:C455,R441,B408:B455,R440)+COUNTIFS(E408:E455,R441,D408:D455,R440)+COUNTIFS(G408:G455,R441,F408:F455,R440)+COUNTIFS(I408:I455,R441,H408:H455,R440)+COUNTIFS(K408:K455,R441,J408:J455,R440)+COUNTIFS(M408:M455,R441,L408:L455,R440)+COUNTIFS(O408:O455,R441,N408:N455,R440))*0.5</f>
        <v>3</v>
      </c>
      <c r="V441" s="89">
        <f>(COUNTIFS(AI408:AI455,R440,AJ408:AJ455,R434)+COUNTIFS(AK408:AK455,R440,AL408:AL455,R434)+COUNTIFS(AM408:AM455,R440,AN408:AN455,R434)+COUNTIFS(AO408:AO455,R440,AP408:AP455,R434)+COUNTIFS(AQ408:AQ455,R440,AR408:AR455,R434)+COUNTIFS(AS408:AS455,R440,AT408:AT455,R434)+COUNTIFS(AU408:AU455,R440,AV408:AV455,R434))*0.5</f>
        <v>3</v>
      </c>
      <c r="W441" s="90">
        <f>IF(AH404="","-",IF(V441=0,U441,IFERROR((U441/V441)-1,"-")))</f>
        <v>0</v>
      </c>
      <c r="X441" s="201">
        <f t="shared" si="251"/>
        <v>0</v>
      </c>
      <c r="Y441" s="271"/>
      <c r="Z441" s="272"/>
      <c r="AA441" s="272"/>
      <c r="AB441" s="272"/>
      <c r="AC441" s="272"/>
      <c r="AD441" s="272"/>
      <c r="AE441" s="272"/>
      <c r="AF441" s="273"/>
      <c r="AH441" s="136">
        <v>0.68750000000002198</v>
      </c>
      <c r="AI441" s="136" t="s">
        <v>116</v>
      </c>
      <c r="AJ441" s="136" t="s">
        <v>120</v>
      </c>
      <c r="AK441" s="136" t="s">
        <v>116</v>
      </c>
      <c r="AL441" s="136" t="s">
        <v>120</v>
      </c>
      <c r="AM441" s="136" t="s">
        <v>116</v>
      </c>
      <c r="AN441" s="136" t="s">
        <v>120</v>
      </c>
      <c r="AO441" s="136" t="s">
        <v>128</v>
      </c>
      <c r="AP441" s="136" t="s">
        <v>231</v>
      </c>
      <c r="AQ441" s="136" t="s">
        <v>116</v>
      </c>
      <c r="AR441" s="136" t="s">
        <v>120</v>
      </c>
      <c r="AS441" s="136" t="s">
        <v>116</v>
      </c>
      <c r="AT441" s="136" t="s">
        <v>120</v>
      </c>
      <c r="AU441" s="136" t="s">
        <v>116</v>
      </c>
      <c r="AV441" s="136" t="s">
        <v>120</v>
      </c>
      <c r="AX441" s="136" t="str">
        <f>IF(AI404="","",IF(B441="","",B441))</f>
        <v>EG</v>
      </c>
      <c r="AY441" s="136" t="str">
        <f>IF(AI404="","",IF(C441="","",C441))</f>
        <v>IEI</v>
      </c>
      <c r="AZ441" s="136" t="str">
        <f>IF(AI404="","",IF(D441="","",D441))</f>
        <v>PV</v>
      </c>
      <c r="BA441" s="136" t="str">
        <f>IF(AI404="","",IF(E441="","",E441))</f>
        <v>-</v>
      </c>
      <c r="BB441" s="136" t="str">
        <f>IF(AI404="","",IF(F441="","",F441))</f>
        <v>PV</v>
      </c>
      <c r="BC441" s="136" t="str">
        <f>IF(AI404="","",IF(G441="","",G441))</f>
        <v>-</v>
      </c>
      <c r="BD441" s="136" t="str">
        <f>IF(AI404="","",IF(H441="","",H441))</f>
        <v>EG</v>
      </c>
      <c r="BE441" s="136" t="str">
        <f>IF(AI404="","",IF(I441="","",I441))</f>
        <v>CDI</v>
      </c>
      <c r="BF441" s="136" t="str">
        <f>IF(AI404="","",IF(J441="","",J441))</f>
        <v>PV</v>
      </c>
      <c r="BG441" s="136" t="str">
        <f>IF(AI404="","",IF(K441="","",K441))</f>
        <v>-</v>
      </c>
      <c r="BH441" s="136" t="str">
        <f>IF(AI404="","",IF(L441="","",L441))</f>
        <v>PV</v>
      </c>
      <c r="BI441" s="136" t="str">
        <f>IF(AI404="","",IF(M441="","",M441))</f>
        <v>-</v>
      </c>
      <c r="BJ441" s="136" t="str">
        <f>IF(AI404="","",IF(N441="","",N441))</f>
        <v>PV</v>
      </c>
      <c r="BK441" s="136" t="str">
        <f>IF(AI404="","",IF(O441="","",O441))</f>
        <v>-</v>
      </c>
      <c r="BM441" s="136" t="str">
        <f t="shared" si="260"/>
        <v>AT</v>
      </c>
      <c r="BN441" s="136" t="str">
        <f t="shared" si="246"/>
        <v>Aulas Teóricas</v>
      </c>
      <c r="BO441" s="136" t="str">
        <f t="shared" si="246"/>
        <v>AL</v>
      </c>
      <c r="BP441" s="136">
        <f>(COUNTIFS(AX408:AX455,BM441,AY408:AY455,BO441)+COUNTIFS(AZ408:AZ455,BM441,BA408:BA455,BO441)+COUNTIFS(BB408:BB455,BM441,BC408:BC455,BO441)+COUNTIFS(BD408:BD455,BM441,BE408:BE455,BO441)+COUNTIFS(BF408:BF455,BM441,BG408:BG455,BO441)+COUNTIFS(BH408:BH455,BM441,BI408:BI455,BO441)+COUNTIFS(BJ408:BJ455,BM441,BK408:BK455,BO441))*0.5</f>
        <v>3</v>
      </c>
      <c r="BQ441" s="136" t="str">
        <f t="shared" si="247"/>
        <v>Aulas Teóricas</v>
      </c>
      <c r="BR441" s="136" t="str">
        <f t="shared" si="247"/>
        <v>AL</v>
      </c>
      <c r="BS441" s="136" t="str">
        <f t="shared" si="248"/>
        <v>Aulas Teóricas</v>
      </c>
      <c r="BT441" s="136">
        <f t="shared" si="254"/>
        <v>24</v>
      </c>
      <c r="BU441" s="136">
        <f t="shared" si="255"/>
        <v>24</v>
      </c>
      <c r="CA441" s="136">
        <f>'INFO BASE'!L519</f>
        <v>0</v>
      </c>
      <c r="CB441" s="136">
        <f>'INFO BASE'!M519</f>
        <v>0</v>
      </c>
      <c r="CR441" s="177" t="str">
        <f t="shared" si="236"/>
        <v>EG</v>
      </c>
      <c r="CS441" s="177" t="str">
        <f t="shared" si="237"/>
        <v>EGIEI</v>
      </c>
      <c r="CT441" s="177" t="str">
        <f t="shared" si="236"/>
        <v>PV</v>
      </c>
      <c r="CU441" s="177">
        <f t="shared" si="238"/>
        <v>0</v>
      </c>
      <c r="CV441" s="177" t="str">
        <f t="shared" si="236"/>
        <v>PV</v>
      </c>
      <c r="CW441" s="177">
        <f t="shared" si="239"/>
        <v>0</v>
      </c>
      <c r="CX441" s="177" t="str">
        <f t="shared" si="236"/>
        <v>EG</v>
      </c>
      <c r="CY441" s="177" t="str">
        <f t="shared" si="240"/>
        <v>EGCDI</v>
      </c>
      <c r="CZ441" s="177" t="str">
        <f t="shared" si="236"/>
        <v>PV</v>
      </c>
      <c r="DA441" s="177">
        <f t="shared" si="241"/>
        <v>0</v>
      </c>
      <c r="DB441" s="177" t="str">
        <f t="shared" si="236"/>
        <v>PV</v>
      </c>
      <c r="DC441" s="177">
        <f t="shared" si="242"/>
        <v>0</v>
      </c>
      <c r="DD441" s="177" t="str">
        <f t="shared" si="243"/>
        <v>PV</v>
      </c>
      <c r="DE441" s="177">
        <f t="shared" si="244"/>
        <v>0</v>
      </c>
    </row>
    <row r="442" spans="1:109" ht="18" customHeight="1" x14ac:dyDescent="0.3">
      <c r="A442" s="81">
        <v>0.70833333333335602</v>
      </c>
      <c r="B442" s="166" t="s">
        <v>128</v>
      </c>
      <c r="C442" s="130" t="s">
        <v>226</v>
      </c>
      <c r="D442" s="169" t="s">
        <v>11</v>
      </c>
      <c r="E442" s="130" t="s">
        <v>120</v>
      </c>
      <c r="F442" s="169" t="s">
        <v>11</v>
      </c>
      <c r="G442" s="130" t="s">
        <v>120</v>
      </c>
      <c r="H442" s="169" t="s">
        <v>128</v>
      </c>
      <c r="I442" s="130" t="s">
        <v>231</v>
      </c>
      <c r="J442" s="169" t="s">
        <v>11</v>
      </c>
      <c r="K442" s="130" t="s">
        <v>120</v>
      </c>
      <c r="L442" s="169" t="s">
        <v>8</v>
      </c>
      <c r="M442" s="130" t="s">
        <v>226</v>
      </c>
      <c r="N442" s="169" t="s">
        <v>8</v>
      </c>
      <c r="O442" s="154" t="s">
        <v>226</v>
      </c>
      <c r="P442" s="6">
        <v>0</v>
      </c>
      <c r="Q442" s="122" t="str">
        <f t="shared" si="261"/>
        <v>Aulas Teóricas</v>
      </c>
      <c r="R442" s="105" t="str">
        <f t="shared" si="253"/>
        <v>IEI</v>
      </c>
      <c r="S442" s="88">
        <f t="shared" si="250"/>
        <v>0</v>
      </c>
      <c r="T442" s="106">
        <f>IF(VLOOKUP(Q442,'INFO BASE'!$B$40:$I$54,IF(R442='INFO BASE'!$B$32,3,IF(R442='INFO BASE'!$B$33,4,IF(R442='INFO BASE'!$B$34,5,IF(R442='INFO BASE'!$B$35,6,IF(R442='INFO BASE'!$B$36,7,IF(R442='INFO BASE'!$B$37,8,2)))))),0)=0,"",VLOOKUP(Q442,'INFO BASE'!$B$40:$I$54,IF(R442='INFO BASE'!$B$32,3,IF(R442='INFO BASE'!$B$33,4,IF(R442='INFO BASE'!$B$34,5,IF(R442='INFO BASE'!$B$35,6,IF(R442='INFO BASE'!$B$36,7,IF(R442='INFO BASE'!$B$37,8,2)))))),0))</f>
        <v>3</v>
      </c>
      <c r="U442" s="106">
        <f>(COUNTIFS(C408:C455,R442,B408:B455,R440)+COUNTIFS(E408:E455,R442,D408:D455,R440)+COUNTIFS(G408:G455,R442,F408:F455,R440)+COUNTIFS(I408:I455,R442,H408:H455,R440)+COUNTIFS(K408:K455,R442,J408:J455,R440)+COUNTIFS(M408:M455,R442,L408:L455,R440)+COUNTIFS(O408:O455,R442,N408:N455,R440))*0.5</f>
        <v>3</v>
      </c>
      <c r="V442" s="89">
        <f>(COUNTIFS(AI408:AI455,R440,AJ408:AJ455,R435)+COUNTIFS(AK408:AK455,R440,AL408:AL455,R435)+COUNTIFS(AM408:AM455,R440,AN408:AN455,R435)+COUNTIFS(AO408:AO455,R440,AP408:AP455,R435)+COUNTIFS(AQ408:AQ455,R440,AR408:AR455,R435)+COUNTIFS(AS408:AS455,R440,AT408:AT455,R435)+COUNTIFS(AU408:AU455,R440,AV408:AV455,R435))*0.5</f>
        <v>3</v>
      </c>
      <c r="W442" s="90">
        <f>IF(AH404="","-",IF(V442=0,U442,IFERROR((U442/V442)-1,"-")))</f>
        <v>0</v>
      </c>
      <c r="X442" s="201">
        <f t="shared" si="251"/>
        <v>0</v>
      </c>
      <c r="Y442" s="271"/>
      <c r="Z442" s="272"/>
      <c r="AA442" s="272"/>
      <c r="AB442" s="272"/>
      <c r="AC442" s="272"/>
      <c r="AD442" s="272"/>
      <c r="AE442" s="272"/>
      <c r="AF442" s="273"/>
      <c r="AH442" s="136">
        <v>0.70833333333335602</v>
      </c>
      <c r="AI442" s="136" t="s">
        <v>11</v>
      </c>
      <c r="AJ442" s="136" t="s">
        <v>120</v>
      </c>
      <c r="AK442" s="136" t="s">
        <v>11</v>
      </c>
      <c r="AL442" s="136" t="s">
        <v>120</v>
      </c>
      <c r="AM442" s="136" t="s">
        <v>11</v>
      </c>
      <c r="AN442" s="136" t="s">
        <v>120</v>
      </c>
      <c r="AO442" s="136" t="s">
        <v>128</v>
      </c>
      <c r="AP442" s="136" t="s">
        <v>231</v>
      </c>
      <c r="AQ442" s="136" t="s">
        <v>11</v>
      </c>
      <c r="AR442" s="136" t="s">
        <v>120</v>
      </c>
      <c r="AS442" s="136" t="s">
        <v>8</v>
      </c>
      <c r="AT442" s="136" t="s">
        <v>228</v>
      </c>
      <c r="AU442" s="136" t="s">
        <v>8</v>
      </c>
      <c r="AV442" s="136" t="s">
        <v>226</v>
      </c>
      <c r="AX442" s="136" t="str">
        <f>IF(AI404="","",IF(B442="","",B442))</f>
        <v>EG</v>
      </c>
      <c r="AY442" s="136" t="str">
        <f>IF(AI404="","",IF(C442="","",C442))</f>
        <v>IEI</v>
      </c>
      <c r="AZ442" s="136" t="str">
        <f>IF(AI404="","",IF(D442="","",D442))</f>
        <v>HD</v>
      </c>
      <c r="BA442" s="136" t="str">
        <f>IF(AI404="","",IF(E442="","",E442))</f>
        <v>-</v>
      </c>
      <c r="BB442" s="136" t="str">
        <f>IF(AI404="","",IF(F442="","",F442))</f>
        <v>HD</v>
      </c>
      <c r="BC442" s="136" t="str">
        <f>IF(AI404="","",IF(G442="","",G442))</f>
        <v>-</v>
      </c>
      <c r="BD442" s="136" t="str">
        <f>IF(AI404="","",IF(H442="","",H442))</f>
        <v>EG</v>
      </c>
      <c r="BE442" s="136" t="str">
        <f>IF(AI404="","",IF(I442="","",I442))</f>
        <v>CDI</v>
      </c>
      <c r="BF442" s="136" t="str">
        <f>IF(AI404="","",IF(J442="","",J442))</f>
        <v>HD</v>
      </c>
      <c r="BG442" s="136" t="str">
        <f>IF(AI404="","",IF(K442="","",K442))</f>
        <v>-</v>
      </c>
      <c r="BH442" s="136" t="str">
        <f>IF(AI404="","",IF(L442="","",L442))</f>
        <v>EA</v>
      </c>
      <c r="BI442" s="136" t="str">
        <f>IF(AI404="","",IF(M442="","",M442))</f>
        <v>IEI</v>
      </c>
      <c r="BJ442" s="136" t="str">
        <f>IF(AI404="","",IF(N442="","",N442))</f>
        <v>EA</v>
      </c>
      <c r="BK442" s="136" t="str">
        <f>IF(AI404="","",IF(O442="","",O442))</f>
        <v>IEI</v>
      </c>
      <c r="BM442" s="136" t="str">
        <f t="shared" si="260"/>
        <v>AT</v>
      </c>
      <c r="BN442" s="136" t="str">
        <f t="shared" si="246"/>
        <v>Aulas Teóricas</v>
      </c>
      <c r="BO442" s="136" t="str">
        <f t="shared" si="246"/>
        <v>CDI</v>
      </c>
      <c r="BP442" s="136">
        <f>(COUNTIFS(AX408:AX455,BM442,AY408:AY455,BO442)+COUNTIFS(AZ408:AZ455,BM442,BA408:BA455,BO442)+COUNTIFS(BB408:BB455,BM442,BC408:BC455,BO442)+COUNTIFS(BD408:BD455,BM442,BE408:BE455,BO442)+COUNTIFS(BF408:BF455,BM442,BG408:BG455,BO442)+COUNTIFS(BH408:BH455,BM442,BI408:BI455,BO442)+COUNTIFS(BJ408:BJ455,BM442,BK408:BK455,BO442))*0.5</f>
        <v>3</v>
      </c>
      <c r="BQ442" s="136" t="str">
        <f t="shared" si="247"/>
        <v>Aulas Teóricas</v>
      </c>
      <c r="BR442" s="136" t="str">
        <f t="shared" si="247"/>
        <v>CDI</v>
      </c>
      <c r="BS442" s="136" t="str">
        <f t="shared" si="248"/>
        <v>Aulas Teóricas</v>
      </c>
      <c r="BT442" s="136">
        <f t="shared" si="254"/>
        <v>24</v>
      </c>
      <c r="BU442" s="136">
        <f t="shared" si="255"/>
        <v>24</v>
      </c>
      <c r="CA442" s="136">
        <f>'INFO BASE'!L520</f>
        <v>0</v>
      </c>
      <c r="CB442" s="136">
        <f>'INFO BASE'!M520</f>
        <v>0</v>
      </c>
      <c r="CR442" s="177" t="str">
        <f t="shared" si="236"/>
        <v>EG</v>
      </c>
      <c r="CS442" s="177" t="str">
        <f t="shared" si="237"/>
        <v>EGIEI</v>
      </c>
      <c r="CT442" s="177" t="str">
        <f t="shared" si="236"/>
        <v>HD</v>
      </c>
      <c r="CU442" s="177" t="str">
        <f t="shared" si="238"/>
        <v>HD-</v>
      </c>
      <c r="CV442" s="177" t="str">
        <f t="shared" si="236"/>
        <v>HD</v>
      </c>
      <c r="CW442" s="177" t="str">
        <f t="shared" si="239"/>
        <v>HD-</v>
      </c>
      <c r="CX442" s="177" t="str">
        <f t="shared" si="236"/>
        <v>EG</v>
      </c>
      <c r="CY442" s="177" t="str">
        <f t="shared" si="240"/>
        <v>EGCDI</v>
      </c>
      <c r="CZ442" s="177" t="str">
        <f t="shared" si="236"/>
        <v>HD</v>
      </c>
      <c r="DA442" s="177" t="str">
        <f t="shared" si="241"/>
        <v>HD-</v>
      </c>
      <c r="DB442" s="177" t="str">
        <f t="shared" si="236"/>
        <v>EA</v>
      </c>
      <c r="DC442" s="177" t="str">
        <f t="shared" si="242"/>
        <v>EAIEI</v>
      </c>
      <c r="DD442" s="177" t="str">
        <f t="shared" si="243"/>
        <v>EA</v>
      </c>
      <c r="DE442" s="177" t="str">
        <f t="shared" si="244"/>
        <v>EAIEI</v>
      </c>
    </row>
    <row r="443" spans="1:109" ht="18" customHeight="1" x14ac:dyDescent="0.3">
      <c r="A443" s="81">
        <v>0.72916666666669006</v>
      </c>
      <c r="B443" s="166" t="s">
        <v>11</v>
      </c>
      <c r="C443" s="130" t="s">
        <v>120</v>
      </c>
      <c r="D443" s="169" t="s">
        <v>11</v>
      </c>
      <c r="E443" s="130" t="s">
        <v>120</v>
      </c>
      <c r="F443" s="169" t="s">
        <v>11</v>
      </c>
      <c r="G443" s="130" t="s">
        <v>120</v>
      </c>
      <c r="H443" s="169" t="s">
        <v>11</v>
      </c>
      <c r="I443" s="130" t="s">
        <v>120</v>
      </c>
      <c r="J443" s="169" t="s">
        <v>11</v>
      </c>
      <c r="K443" s="130" t="s">
        <v>120</v>
      </c>
      <c r="L443" s="169" t="s">
        <v>8</v>
      </c>
      <c r="M443" s="130" t="s">
        <v>226</v>
      </c>
      <c r="N443" s="169" t="s">
        <v>8</v>
      </c>
      <c r="O443" s="154" t="s">
        <v>226</v>
      </c>
      <c r="P443" s="6">
        <v>0</v>
      </c>
      <c r="Q443" s="123" t="str">
        <f t="shared" si="261"/>
        <v>Aulas Teóricas</v>
      </c>
      <c r="R443" s="105" t="str">
        <f t="shared" si="253"/>
        <v>IAC</v>
      </c>
      <c r="S443" s="88">
        <f t="shared" si="250"/>
        <v>0</v>
      </c>
      <c r="T443" s="106">
        <f>IF(VLOOKUP(Q443,'INFO BASE'!$B$40:$I$54,IF(R443='INFO BASE'!$B$32,3,IF(R443='INFO BASE'!$B$33,4,IF(R443='INFO BASE'!$B$34,5,IF(R443='INFO BASE'!$B$35,6,IF(R443='INFO BASE'!$B$36,7,IF(R443='INFO BASE'!$B$37,8,2)))))),0)=0,"",VLOOKUP(Q443,'INFO BASE'!$B$40:$I$54,IF(R443='INFO BASE'!$B$32,3,IF(R443='INFO BASE'!$B$33,4,IF(R443='INFO BASE'!$B$34,5,IF(R443='INFO BASE'!$B$35,6,IF(R443='INFO BASE'!$B$36,7,IF(R443='INFO BASE'!$B$37,8,2)))))),0))</f>
        <v>3</v>
      </c>
      <c r="U443" s="106">
        <f>(COUNTIFS(C408:C455,R443,B408:B455,R440)+COUNTIFS(E408:E455,R443,D408:D455,R440)+COUNTIFS(G408:G455,R443,F408:F455,R440)+COUNTIFS(I408:I455,R443,H408:H455,R440)+COUNTIFS(K408:K455,R443,J408:J455,R440)+COUNTIFS(M408:M455,R443,L408:L455,R440)+COUNTIFS(O408:O455,R443,N408:N455,R440))*0.5</f>
        <v>3</v>
      </c>
      <c r="V443" s="89">
        <f>(COUNTIFS(AI408:AI455,R440,AJ408:AJ455,R436)+COUNTIFS(AK408:AK455,R440,AL408:AL455,R436)+COUNTIFS(AM408:AM455,R440,AN408:AN455,R436)+COUNTIFS(AO408:AO455,R440,AP408:AP455,R436)+COUNTIFS(AQ408:AQ455,R440,AR408:AR455,R436)+COUNTIFS(AS408:AS455,R440,AT408:AT455,R436)+COUNTIFS(AU408:AU455,R440,AV408:AV455,R436))*0.5</f>
        <v>3</v>
      </c>
      <c r="W443" s="90">
        <f>IF(AH404="","-",IF(V443=0,U443,IFERROR((U443/V443)-1,"-")))</f>
        <v>0</v>
      </c>
      <c r="X443" s="201">
        <f t="shared" si="251"/>
        <v>0</v>
      </c>
      <c r="Y443" s="271"/>
      <c r="Z443" s="272"/>
      <c r="AA443" s="272"/>
      <c r="AB443" s="272"/>
      <c r="AC443" s="272"/>
      <c r="AD443" s="272"/>
      <c r="AE443" s="272"/>
      <c r="AF443" s="273"/>
      <c r="AH443" s="136">
        <v>0.72916666666669006</v>
      </c>
      <c r="AI443" s="136" t="s">
        <v>11</v>
      </c>
      <c r="AJ443" s="136" t="s">
        <v>120</v>
      </c>
      <c r="AK443" s="136" t="s">
        <v>11</v>
      </c>
      <c r="AL443" s="136" t="s">
        <v>120</v>
      </c>
      <c r="AM443" s="136" t="s">
        <v>11</v>
      </c>
      <c r="AN443" s="136" t="s">
        <v>120</v>
      </c>
      <c r="AO443" s="136" t="s">
        <v>11</v>
      </c>
      <c r="AP443" s="136" t="s">
        <v>120</v>
      </c>
      <c r="AQ443" s="136" t="s">
        <v>11</v>
      </c>
      <c r="AR443" s="136" t="s">
        <v>120</v>
      </c>
      <c r="AS443" s="136" t="s">
        <v>8</v>
      </c>
      <c r="AT443" s="136" t="s">
        <v>228</v>
      </c>
      <c r="AU443" s="136" t="s">
        <v>8</v>
      </c>
      <c r="AV443" s="136" t="s">
        <v>226</v>
      </c>
      <c r="AX443" s="136" t="str">
        <f>IF(AI404="","",IF(B443="","",B443))</f>
        <v>HD</v>
      </c>
      <c r="AY443" s="136" t="str">
        <f>IF(AI404="","",IF(C443="","",C443))</f>
        <v>-</v>
      </c>
      <c r="AZ443" s="136" t="str">
        <f>IF(AI404="","",IF(D443="","",D443))</f>
        <v>HD</v>
      </c>
      <c r="BA443" s="136" t="str">
        <f>IF(AI404="","",IF(E443="","",E443))</f>
        <v>-</v>
      </c>
      <c r="BB443" s="136" t="str">
        <f>IF(AI404="","",IF(F443="","",F443))</f>
        <v>HD</v>
      </c>
      <c r="BC443" s="136" t="str">
        <f>IF(AI404="","",IF(G443="","",G443))</f>
        <v>-</v>
      </c>
      <c r="BD443" s="136" t="str">
        <f>IF(AI404="","",IF(H443="","",H443))</f>
        <v>HD</v>
      </c>
      <c r="BE443" s="136" t="str">
        <f>IF(AI404="","",IF(I443="","",I443))</f>
        <v>-</v>
      </c>
      <c r="BF443" s="136" t="str">
        <f>IF(AI404="","",IF(J443="","",J443))</f>
        <v>HD</v>
      </c>
      <c r="BG443" s="136" t="str">
        <f>IF(AI404="","",IF(K443="","",K443))</f>
        <v>-</v>
      </c>
      <c r="BH443" s="136" t="str">
        <f>IF(AI404="","",IF(L443="","",L443))</f>
        <v>EA</v>
      </c>
      <c r="BI443" s="136" t="str">
        <f>IF(AI404="","",IF(M443="","",M443))</f>
        <v>IEI</v>
      </c>
      <c r="BJ443" s="136" t="str">
        <f>IF(AI404="","",IF(N443="","",N443))</f>
        <v>EA</v>
      </c>
      <c r="BK443" s="136" t="str">
        <f>IF(AI404="","",IF(O443="","",O443))</f>
        <v>IEI</v>
      </c>
      <c r="BM443" s="136" t="str">
        <f t="shared" si="260"/>
        <v>AT</v>
      </c>
      <c r="BN443" s="136" t="str">
        <f t="shared" si="246"/>
        <v>Aulas Teóricas</v>
      </c>
      <c r="BO443" s="136" t="str">
        <f t="shared" si="246"/>
        <v/>
      </c>
      <c r="BP443" s="136">
        <f>(COUNTIFS(AX408:AX455,BM443,AY408:AY455,BO443)+COUNTIFS(AZ408:AZ455,BM443,BA408:BA455,BO443)+COUNTIFS(BB408:BB455,BM443,BC408:BC455,BO443)+COUNTIFS(BD408:BD455,BM443,BE408:BE455,BO443)+COUNTIFS(BF408:BF455,BM443,BG408:BG455,BO443)+COUNTIFS(BH408:BH455,BM443,BI408:BI455,BO443)+COUNTIFS(BJ408:BJ455,BM443,BK408:BK455,BO443))*0.5</f>
        <v>0</v>
      </c>
      <c r="BQ443" s="136" t="str">
        <f t="shared" si="247"/>
        <v>Aulas Teóricas</v>
      </c>
      <c r="BR443" s="136" t="str">
        <f t="shared" si="247"/>
        <v/>
      </c>
      <c r="BS443" s="136" t="str">
        <f t="shared" si="248"/>
        <v>Aulas Teóricas</v>
      </c>
      <c r="BT443" s="136">
        <f t="shared" si="254"/>
        <v>0</v>
      </c>
      <c r="BU443" s="136">
        <f t="shared" si="255"/>
        <v>0</v>
      </c>
      <c r="CA443" s="136">
        <f>'INFO BASE'!L521</f>
        <v>0</v>
      </c>
      <c r="CB443" s="136">
        <f>'INFO BASE'!M521</f>
        <v>0</v>
      </c>
      <c r="CR443" s="177" t="str">
        <f t="shared" si="236"/>
        <v>HD</v>
      </c>
      <c r="CS443" s="177" t="str">
        <f t="shared" si="237"/>
        <v>HD-</v>
      </c>
      <c r="CT443" s="177" t="str">
        <f t="shared" si="236"/>
        <v>HD</v>
      </c>
      <c r="CU443" s="177" t="str">
        <f t="shared" si="238"/>
        <v>HD-</v>
      </c>
      <c r="CV443" s="177" t="str">
        <f t="shared" si="236"/>
        <v>HD</v>
      </c>
      <c r="CW443" s="177" t="str">
        <f t="shared" si="239"/>
        <v>HD-</v>
      </c>
      <c r="CX443" s="177" t="str">
        <f t="shared" si="236"/>
        <v>HD</v>
      </c>
      <c r="CY443" s="177" t="str">
        <f t="shared" si="240"/>
        <v>HD-</v>
      </c>
      <c r="CZ443" s="177" t="str">
        <f t="shared" si="236"/>
        <v>HD</v>
      </c>
      <c r="DA443" s="177" t="str">
        <f t="shared" si="241"/>
        <v>HD-</v>
      </c>
      <c r="DB443" s="177" t="str">
        <f t="shared" si="236"/>
        <v>EA</v>
      </c>
      <c r="DC443" s="177" t="str">
        <f t="shared" si="242"/>
        <v>EAIEI</v>
      </c>
      <c r="DD443" s="177" t="str">
        <f t="shared" si="243"/>
        <v>EA</v>
      </c>
      <c r="DE443" s="177" t="str">
        <f t="shared" si="244"/>
        <v>EAIEI</v>
      </c>
    </row>
    <row r="444" spans="1:109" ht="18" customHeight="1" x14ac:dyDescent="0.3">
      <c r="A444" s="81">
        <v>0.75000000000002398</v>
      </c>
      <c r="B444" s="166" t="s">
        <v>11</v>
      </c>
      <c r="C444" s="130" t="s">
        <v>120</v>
      </c>
      <c r="D444" s="169" t="s">
        <v>11</v>
      </c>
      <c r="E444" s="130" t="s">
        <v>120</v>
      </c>
      <c r="F444" s="169" t="s">
        <v>11</v>
      </c>
      <c r="G444" s="130" t="s">
        <v>120</v>
      </c>
      <c r="H444" s="169" t="s">
        <v>11</v>
      </c>
      <c r="I444" s="130" t="s">
        <v>120</v>
      </c>
      <c r="J444" s="169" t="s">
        <v>11</v>
      </c>
      <c r="K444" s="130" t="s">
        <v>120</v>
      </c>
      <c r="L444" s="169" t="s">
        <v>8</v>
      </c>
      <c r="M444" s="130" t="s">
        <v>226</v>
      </c>
      <c r="N444" s="169" t="s">
        <v>8</v>
      </c>
      <c r="O444" s="154" t="s">
        <v>226</v>
      </c>
      <c r="P444" s="6">
        <v>0</v>
      </c>
      <c r="Q444" s="122" t="str">
        <f t="shared" si="261"/>
        <v>Aulas Teóricas</v>
      </c>
      <c r="R444" s="105" t="str">
        <f t="shared" si="253"/>
        <v>AL</v>
      </c>
      <c r="S444" s="88">
        <f t="shared" si="250"/>
        <v>0</v>
      </c>
      <c r="T444" s="106">
        <f>IF(VLOOKUP(Q444,'INFO BASE'!$B$40:$I$54,IF(R444='INFO BASE'!$B$32,3,IF(R444='INFO BASE'!$B$33,4,IF(R444='INFO BASE'!$B$34,5,IF(R444='INFO BASE'!$B$35,6,IF(R444='INFO BASE'!$B$36,7,IF(R444='INFO BASE'!$B$37,8,2)))))),0)=0,"",VLOOKUP(Q444,'INFO BASE'!$B$40:$I$54,IF(R444='INFO BASE'!$B$32,3,IF(R444='INFO BASE'!$B$33,4,IF(R444='INFO BASE'!$B$34,5,IF(R444='INFO BASE'!$B$35,6,IF(R444='INFO BASE'!$B$36,7,IF(R444='INFO BASE'!$B$37,8,2)))))),0))</f>
        <v>3</v>
      </c>
      <c r="U444" s="106">
        <f>(COUNTIFS(C408:C455,R444,B408:B455,R440)+COUNTIFS(E408:E455,R444,D408:D455,R440)+COUNTIFS(G408:G455,R444,F408:F455,R440)+COUNTIFS(I408:I455,R444,H408:H455,R440)+COUNTIFS(K408:K455,R444,J408:J455,R440)+COUNTIFS(M408:M455,R444,L408:L455,R440)+COUNTIFS(O408:O455,R444,N408:N455,R440))*0.5</f>
        <v>3</v>
      </c>
      <c r="V444" s="89">
        <f>(COUNTIFS(AI408:AI455,R440,AJ408:AJ455,R437)+COUNTIFS(AK408:AK455,R440,AL408:AL455,R437)+COUNTIFS(AM408:AM455,R440,AN408:AN455,R437)+COUNTIFS(AO408:AO455,R440,AP408:AP455,R437)+COUNTIFS(AQ408:AQ455,R440,AR408:AR455,R437)+COUNTIFS(AS408:AS455,R440,AT408:AT455,R437)+COUNTIFS(AU408:AU455,R440,AV408:AV455,R437))*0.5</f>
        <v>3</v>
      </c>
      <c r="W444" s="90">
        <f>IF(AH404="","-",IF(V444=0,U444,IFERROR((U444/V444)-1,"-")))</f>
        <v>0</v>
      </c>
      <c r="X444" s="201">
        <f t="shared" si="251"/>
        <v>0</v>
      </c>
      <c r="Y444" s="271"/>
      <c r="Z444" s="272"/>
      <c r="AA444" s="272"/>
      <c r="AB444" s="272"/>
      <c r="AC444" s="272"/>
      <c r="AD444" s="272"/>
      <c r="AE444" s="272"/>
      <c r="AF444" s="273"/>
      <c r="AH444" s="136">
        <v>0.75000000000002398</v>
      </c>
      <c r="AI444" s="136" t="s">
        <v>11</v>
      </c>
      <c r="AJ444" s="136" t="s">
        <v>120</v>
      </c>
      <c r="AK444" s="136" t="s">
        <v>11</v>
      </c>
      <c r="AL444" s="136" t="s">
        <v>120</v>
      </c>
      <c r="AM444" s="136" t="s">
        <v>11</v>
      </c>
      <c r="AN444" s="136" t="s">
        <v>120</v>
      </c>
      <c r="AO444" s="136" t="s">
        <v>11</v>
      </c>
      <c r="AP444" s="136" t="s">
        <v>120</v>
      </c>
      <c r="AQ444" s="136" t="s">
        <v>11</v>
      </c>
      <c r="AR444" s="136" t="s">
        <v>120</v>
      </c>
      <c r="AS444" s="136" t="s">
        <v>8</v>
      </c>
      <c r="AT444" s="136" t="s">
        <v>228</v>
      </c>
      <c r="AU444" s="136" t="s">
        <v>116</v>
      </c>
      <c r="AV444" s="136" t="s">
        <v>120</v>
      </c>
      <c r="AX444" s="136" t="str">
        <f>IF(AI404="","",IF(B444="","",B444))</f>
        <v>HD</v>
      </c>
      <c r="AY444" s="136" t="str">
        <f>IF(AI404="","",IF(C444="","",C444))</f>
        <v>-</v>
      </c>
      <c r="AZ444" s="136" t="str">
        <f>IF(AI404="","",IF(D444="","",D444))</f>
        <v>HD</v>
      </c>
      <c r="BA444" s="136" t="str">
        <f>IF(AI404="","",IF(E444="","",E444))</f>
        <v>-</v>
      </c>
      <c r="BB444" s="136" t="str">
        <f>IF(AI404="","",IF(F444="","",F444))</f>
        <v>HD</v>
      </c>
      <c r="BC444" s="136" t="str">
        <f>IF(AI404="","",IF(G444="","",G444))</f>
        <v>-</v>
      </c>
      <c r="BD444" s="136" t="str">
        <f>IF(AI404="","",IF(H444="","",H444))</f>
        <v>HD</v>
      </c>
      <c r="BE444" s="136" t="str">
        <f>IF(AI404="","",IF(I444="","",I444))</f>
        <v>-</v>
      </c>
      <c r="BF444" s="136" t="str">
        <f>IF(AI404="","",IF(J444="","",J444))</f>
        <v>HD</v>
      </c>
      <c r="BG444" s="136" t="str">
        <f>IF(AI404="","",IF(K444="","",K444))</f>
        <v>-</v>
      </c>
      <c r="BH444" s="136" t="str">
        <f>IF(AI404="","",IF(L444="","",L444))</f>
        <v>EA</v>
      </c>
      <c r="BI444" s="136" t="str">
        <f>IF(AI404="","",IF(M444="","",M444))</f>
        <v>IEI</v>
      </c>
      <c r="BJ444" s="136" t="str">
        <f>IF(AI404="","",IF(N444="","",N444))</f>
        <v>EA</v>
      </c>
      <c r="BK444" s="136" t="str">
        <f>IF(AI404="","",IF(O444="","",O444))</f>
        <v>IEI</v>
      </c>
      <c r="BN444" s="136" t="str">
        <f t="shared" si="246"/>
        <v>Aulas Práticas</v>
      </c>
      <c r="BO444" s="136" t="str">
        <f t="shared" si="246"/>
        <v>APA</v>
      </c>
      <c r="BP444" s="136">
        <f>IF(BO444="","",COUNTIFS(AX408:BK455,BO444)*0.5)</f>
        <v>0</v>
      </c>
      <c r="BQ444" s="136" t="str">
        <f t="shared" si="247"/>
        <v>Aulas Práticas</v>
      </c>
      <c r="BR444" s="136" t="str">
        <f t="shared" si="247"/>
        <v>APA</v>
      </c>
      <c r="BS444" s="136" t="str">
        <f t="shared" si="248"/>
        <v>Aulas Práticas</v>
      </c>
      <c r="BT444" s="136">
        <f t="shared" si="254"/>
        <v>0</v>
      </c>
      <c r="BU444" s="136">
        <f t="shared" si="255"/>
        <v>0</v>
      </c>
      <c r="CA444" s="136">
        <f>'INFO BASE'!L522</f>
        <v>0</v>
      </c>
      <c r="CB444" s="136">
        <f>'INFO BASE'!M522</f>
        <v>0</v>
      </c>
      <c r="CR444" s="177" t="str">
        <f t="shared" si="236"/>
        <v>HD</v>
      </c>
      <c r="CS444" s="177" t="str">
        <f t="shared" si="237"/>
        <v>HD-</v>
      </c>
      <c r="CT444" s="177" t="str">
        <f t="shared" si="236"/>
        <v>HD</v>
      </c>
      <c r="CU444" s="177" t="str">
        <f t="shared" si="238"/>
        <v>HD-</v>
      </c>
      <c r="CV444" s="177" t="str">
        <f t="shared" si="236"/>
        <v>HD</v>
      </c>
      <c r="CW444" s="177" t="str">
        <f t="shared" si="239"/>
        <v>HD-</v>
      </c>
      <c r="CX444" s="177" t="str">
        <f t="shared" si="236"/>
        <v>HD</v>
      </c>
      <c r="CY444" s="177" t="str">
        <f t="shared" si="240"/>
        <v>HD-</v>
      </c>
      <c r="CZ444" s="177" t="str">
        <f t="shared" si="236"/>
        <v>HD</v>
      </c>
      <c r="DA444" s="177" t="str">
        <f t="shared" si="241"/>
        <v>HD-</v>
      </c>
      <c r="DB444" s="177" t="str">
        <f t="shared" si="236"/>
        <v>EA</v>
      </c>
      <c r="DC444" s="177" t="str">
        <f t="shared" si="242"/>
        <v>EAIEI</v>
      </c>
      <c r="DD444" s="177" t="str">
        <f t="shared" si="243"/>
        <v>EA</v>
      </c>
      <c r="DE444" s="177" t="str">
        <f t="shared" si="244"/>
        <v>EAIEI</v>
      </c>
    </row>
    <row r="445" spans="1:109" ht="18" customHeight="1" x14ac:dyDescent="0.3">
      <c r="A445" s="81">
        <v>0.77083333333335802</v>
      </c>
      <c r="B445" s="166" t="s">
        <v>116</v>
      </c>
      <c r="C445" s="130" t="s">
        <v>120</v>
      </c>
      <c r="D445" s="169" t="s">
        <v>116</v>
      </c>
      <c r="E445" s="130" t="s">
        <v>120</v>
      </c>
      <c r="F445" s="169" t="s">
        <v>128</v>
      </c>
      <c r="G445" s="130" t="s">
        <v>226</v>
      </c>
      <c r="H445" s="169" t="s">
        <v>116</v>
      </c>
      <c r="I445" s="130" t="s">
        <v>120</v>
      </c>
      <c r="J445" s="169" t="s">
        <v>116</v>
      </c>
      <c r="K445" s="130" t="s">
        <v>120</v>
      </c>
      <c r="L445" s="169" t="s">
        <v>8</v>
      </c>
      <c r="M445" s="130" t="s">
        <v>226</v>
      </c>
      <c r="N445" s="169" t="s">
        <v>8</v>
      </c>
      <c r="O445" s="154" t="s">
        <v>226</v>
      </c>
      <c r="P445" s="6">
        <v>0</v>
      </c>
      <c r="Q445" s="122" t="str">
        <f t="shared" si="261"/>
        <v>Aulas Teóricas</v>
      </c>
      <c r="R445" s="105" t="str">
        <f t="shared" si="253"/>
        <v>CDI</v>
      </c>
      <c r="S445" s="88">
        <f t="shared" si="250"/>
        <v>0</v>
      </c>
      <c r="T445" s="106">
        <f>IF(VLOOKUP(Q445,'INFO BASE'!$B$40:$I$54,IF(R445='INFO BASE'!$B$32,3,IF(R445='INFO BASE'!$B$33,4,IF(R445='INFO BASE'!$B$34,5,IF(R445='INFO BASE'!$B$35,6,IF(R445='INFO BASE'!$B$36,7,IF(R445='INFO BASE'!$B$37,8,2)))))),0)=0,"",VLOOKUP(Q445,'INFO BASE'!$B$40:$I$54,IF(R445='INFO BASE'!$B$32,3,IF(R445='INFO BASE'!$B$33,4,IF(R445='INFO BASE'!$B$34,5,IF(R445='INFO BASE'!$B$35,6,IF(R445='INFO BASE'!$B$36,7,IF(R445='INFO BASE'!$B$37,8,2)))))),0))</f>
        <v>3</v>
      </c>
      <c r="U445" s="106">
        <f>(COUNTIFS(C408:C455,R445,B408:B455,R440)+COUNTIFS(E408:E455,R445,D408:D455,R440)+COUNTIFS(G408:G455,R445,F408:F455,R440)+COUNTIFS(I408:I455,R445,H408:H455,R440)+COUNTIFS(K408:K455,R445,J408:J455,R440)+COUNTIFS(M408:M455,R445,L408:L455,R440)+COUNTIFS(O408:O455,R445,N408:N455,R440))*0.5</f>
        <v>3</v>
      </c>
      <c r="V445" s="89">
        <f>(COUNTIFS(AI408:AI455,R440,AJ408:AJ455,R438)+COUNTIFS(AK408:AK455,R440,AL408:AL455,R438)+COUNTIFS(AM408:AM455,R440,AN408:AN455,R438)+COUNTIFS(AO408:AO455,R440,AP408:AP455,R438)+COUNTIFS(AQ408:AQ455,R440,AR408:AR455,R438)+COUNTIFS(AS408:AS455,R440,AT408:AT455,R438)+COUNTIFS(AU408:AU455,R440,AV408:AV455,R438))*0.5</f>
        <v>3</v>
      </c>
      <c r="W445" s="90">
        <f>IF(AH404="","-",IF(V445=0,U445,IFERROR((U445/V445)-1,"-")))</f>
        <v>0</v>
      </c>
      <c r="X445" s="201">
        <f t="shared" si="251"/>
        <v>0</v>
      </c>
      <c r="Y445" s="271"/>
      <c r="Z445" s="272"/>
      <c r="AA445" s="272"/>
      <c r="AB445" s="272"/>
      <c r="AC445" s="272"/>
      <c r="AD445" s="272"/>
      <c r="AE445" s="272"/>
      <c r="AF445" s="273"/>
      <c r="AH445" s="136">
        <v>0.77083333333335802</v>
      </c>
      <c r="AI445" s="136" t="s">
        <v>116</v>
      </c>
      <c r="AJ445" s="136" t="s">
        <v>120</v>
      </c>
      <c r="AK445" s="136" t="s">
        <v>116</v>
      </c>
      <c r="AL445" s="136" t="s">
        <v>120</v>
      </c>
      <c r="AM445" s="136" t="s">
        <v>116</v>
      </c>
      <c r="AN445" s="136" t="s">
        <v>120</v>
      </c>
      <c r="AO445" s="136" t="s">
        <v>116</v>
      </c>
      <c r="AP445" s="136" t="s">
        <v>120</v>
      </c>
      <c r="AQ445" s="136" t="s">
        <v>116</v>
      </c>
      <c r="AR445" s="136" t="s">
        <v>120</v>
      </c>
      <c r="AS445" s="136" t="s">
        <v>8</v>
      </c>
      <c r="AT445" s="136" t="s">
        <v>228</v>
      </c>
      <c r="AU445" s="136" t="s">
        <v>116</v>
      </c>
      <c r="AV445" s="136" t="s">
        <v>120</v>
      </c>
      <c r="AX445" s="136" t="str">
        <f>IF(AI404="","",IF(B445="","",B445))</f>
        <v>PV</v>
      </c>
      <c r="AY445" s="136" t="str">
        <f>IF(AI404="","",IF(C445="","",C445))</f>
        <v>-</v>
      </c>
      <c r="AZ445" s="136" t="str">
        <f>IF(AI404="","",IF(D445="","",D445))</f>
        <v>PV</v>
      </c>
      <c r="BA445" s="136" t="str">
        <f>IF(AI404="","",IF(E445="","",E445))</f>
        <v>-</v>
      </c>
      <c r="BB445" s="136" t="str">
        <f>IF(AI404="","",IF(F445="","",F445))</f>
        <v>EG</v>
      </c>
      <c r="BC445" s="136" t="str">
        <f>IF(AI404="","",IF(G445="","",G445))</f>
        <v>IEI</v>
      </c>
      <c r="BD445" s="136" t="str">
        <f>IF(AI404="","",IF(H445="","",H445))</f>
        <v>PV</v>
      </c>
      <c r="BE445" s="136" t="str">
        <f>IF(AI404="","",IF(I445="","",I445))</f>
        <v>-</v>
      </c>
      <c r="BF445" s="136" t="str">
        <f>IF(AI404="","",IF(J445="","",J445))</f>
        <v>PV</v>
      </c>
      <c r="BG445" s="136" t="str">
        <f>IF(AI404="","",IF(K445="","",K445))</f>
        <v>-</v>
      </c>
      <c r="BH445" s="136" t="str">
        <f>IF(AI404="","",IF(L445="","",L445))</f>
        <v>EA</v>
      </c>
      <c r="BI445" s="136" t="str">
        <f>IF(AI404="","",IF(M445="","",M445))</f>
        <v>IEI</v>
      </c>
      <c r="BJ445" s="136" t="str">
        <f>IF(AI404="","",IF(N445="","",N445))</f>
        <v>EA</v>
      </c>
      <c r="BK445" s="136" t="str">
        <f>IF(AI404="","",IF(O445="","",O445))</f>
        <v>IEI</v>
      </c>
      <c r="BN445" s="136" t="str">
        <f t="shared" si="246"/>
        <v>Aulas Problemas</v>
      </c>
      <c r="BO445" s="136" t="str">
        <f t="shared" si="246"/>
        <v>APB</v>
      </c>
      <c r="BP445" s="136">
        <f>IF(BO445="","",COUNTIFS(AX408:BK455,BO445)*0.5)</f>
        <v>4.5</v>
      </c>
      <c r="BQ445" s="136" t="str">
        <f t="shared" si="247"/>
        <v>Aulas Problemas</v>
      </c>
      <c r="BR445" s="136" t="str">
        <f t="shared" si="247"/>
        <v>APB</v>
      </c>
      <c r="BS445" s="136" t="str">
        <f t="shared" si="248"/>
        <v>Aulas Problemas</v>
      </c>
      <c r="BT445" s="136">
        <f t="shared" si="254"/>
        <v>36</v>
      </c>
      <c r="BU445" s="136">
        <f t="shared" si="255"/>
        <v>36</v>
      </c>
      <c r="CR445" s="177" t="str">
        <f t="shared" si="236"/>
        <v>PV</v>
      </c>
      <c r="CS445" s="177">
        <f t="shared" si="237"/>
        <v>0</v>
      </c>
      <c r="CT445" s="177" t="str">
        <f t="shared" si="236"/>
        <v>PV</v>
      </c>
      <c r="CU445" s="177">
        <f t="shared" si="238"/>
        <v>0</v>
      </c>
      <c r="CV445" s="177" t="str">
        <f t="shared" si="236"/>
        <v>EG</v>
      </c>
      <c r="CW445" s="177" t="str">
        <f t="shared" si="239"/>
        <v>EGIEI</v>
      </c>
      <c r="CX445" s="177" t="str">
        <f t="shared" si="236"/>
        <v>PV</v>
      </c>
      <c r="CY445" s="177">
        <f t="shared" si="240"/>
        <v>0</v>
      </c>
      <c r="CZ445" s="177" t="str">
        <f t="shared" si="236"/>
        <v>PV</v>
      </c>
      <c r="DA445" s="177">
        <f t="shared" si="241"/>
        <v>0</v>
      </c>
      <c r="DB445" s="177" t="str">
        <f t="shared" si="236"/>
        <v>EA</v>
      </c>
      <c r="DC445" s="177" t="str">
        <f t="shared" si="242"/>
        <v>EAIEI</v>
      </c>
      <c r="DD445" s="177" t="str">
        <f t="shared" si="243"/>
        <v>EA</v>
      </c>
      <c r="DE445" s="177" t="str">
        <f t="shared" si="244"/>
        <v>EAIEI</v>
      </c>
    </row>
    <row r="446" spans="1:109" ht="18" customHeight="1" thickBot="1" x14ac:dyDescent="0.35">
      <c r="A446" s="81">
        <v>0.79166666666669205</v>
      </c>
      <c r="B446" s="166" t="s">
        <v>116</v>
      </c>
      <c r="C446" s="130" t="s">
        <v>120</v>
      </c>
      <c r="D446" s="169" t="s">
        <v>8</v>
      </c>
      <c r="E446" s="130" t="s">
        <v>224</v>
      </c>
      <c r="F446" s="169" t="s">
        <v>128</v>
      </c>
      <c r="G446" s="130" t="s">
        <v>226</v>
      </c>
      <c r="H446" s="169" t="s">
        <v>116</v>
      </c>
      <c r="I446" s="130" t="s">
        <v>120</v>
      </c>
      <c r="J446" s="169" t="s">
        <v>116</v>
      </c>
      <c r="K446" s="130" t="s">
        <v>120</v>
      </c>
      <c r="L446" s="169" t="s">
        <v>116</v>
      </c>
      <c r="M446" s="130" t="s">
        <v>120</v>
      </c>
      <c r="N446" s="169" t="s">
        <v>8</v>
      </c>
      <c r="O446" s="154" t="s">
        <v>226</v>
      </c>
      <c r="P446" s="6">
        <v>0</v>
      </c>
      <c r="Q446" s="124" t="str">
        <f t="shared" si="261"/>
        <v>Aulas Teóricas</v>
      </c>
      <c r="R446" s="107" t="str">
        <f t="shared" si="253"/>
        <v/>
      </c>
      <c r="S446" s="94" t="str">
        <f t="shared" si="250"/>
        <v>-</v>
      </c>
      <c r="T446" s="108" t="str">
        <f>IF(VLOOKUP(Q446,'INFO BASE'!$B$40:$I$54,IF(R446='INFO BASE'!$B$32,3,IF(R446='INFO BASE'!$B$33,4,IF(R446='INFO BASE'!$B$34,5,IF(R446='INFO BASE'!$B$35,6,IF(R446='INFO BASE'!$B$36,7,IF(R446='INFO BASE'!$B$37,8,2)))))),0)=0,"",VLOOKUP(Q446,'INFO BASE'!$B$40:$I$54,IF(R446='INFO BASE'!$B$32,3,IF(R446='INFO BASE'!$B$33,4,IF(R446='INFO BASE'!$B$34,5,IF(R446='INFO BASE'!$B$35,6,IF(R446='INFO BASE'!$B$36,7,IF(R446='INFO BASE'!$B$37,8,2)))))),0))</f>
        <v/>
      </c>
      <c r="U446" s="108">
        <f>(COUNTIFS(C408:C455,R446,B408:B455,R440)+COUNTIFS(E408:E455,R446,D408:D455,R440)+COUNTIFS(G408:G455,R446,F408:F455,R440)+COUNTIFS(I408:I455,R446,H408:H455,R440)+COUNTIFS(K408:K455,R446,J408:J455,R440)+COUNTIFS(M408:M455,R446,L408:L455,R440)+COUNTIFS(O408:O455,R446,N408:N455,R440))*0.5</f>
        <v>0</v>
      </c>
      <c r="V446" s="95">
        <f>(COUNTIFS(AI408:AI455,R440,AJ408:AJ455,R439)+COUNTIFS(AK408:AK455,R440,AL408:AL455,R439)+COUNTIFS(AM408:AM455,R440,AN408:AN455,R439)+COUNTIFS(AO408:AO455,R440,AP408:AP455,R439)+COUNTIFS(AQ408:AQ455,R440,AR408:AR455,R439)+COUNTIFS(AS408:AS455,R440,AT408:AT455,R439)+COUNTIFS(AU408:AU455,R440,AV408:AV455,R439))*0.5</f>
        <v>0</v>
      </c>
      <c r="W446" s="96">
        <f>IF(AH404="","-",IF(V446=0,U446,IFERROR((U446/V446)-1,"-")))</f>
        <v>0</v>
      </c>
      <c r="X446" s="201">
        <f t="shared" si="251"/>
        <v>0</v>
      </c>
      <c r="Y446" s="274"/>
      <c r="Z446" s="275"/>
      <c r="AA446" s="275"/>
      <c r="AB446" s="275"/>
      <c r="AC446" s="275"/>
      <c r="AD446" s="275"/>
      <c r="AE446" s="275"/>
      <c r="AF446" s="276"/>
      <c r="AH446" s="136">
        <v>0.79166666666669205</v>
      </c>
      <c r="AI446" s="136" t="s">
        <v>116</v>
      </c>
      <c r="AJ446" s="136" t="s">
        <v>120</v>
      </c>
      <c r="AK446" s="136" t="s">
        <v>8</v>
      </c>
      <c r="AL446" s="136" t="s">
        <v>224</v>
      </c>
      <c r="AM446" s="136" t="s">
        <v>116</v>
      </c>
      <c r="AN446" s="136" t="s">
        <v>120</v>
      </c>
      <c r="AO446" s="136" t="s">
        <v>116</v>
      </c>
      <c r="AP446" s="136" t="s">
        <v>120</v>
      </c>
      <c r="AQ446" s="136" t="s">
        <v>116</v>
      </c>
      <c r="AR446" s="136" t="s">
        <v>120</v>
      </c>
      <c r="AS446" s="136" t="s">
        <v>116</v>
      </c>
      <c r="AT446" s="136" t="s">
        <v>120</v>
      </c>
      <c r="AU446" s="136" t="s">
        <v>8</v>
      </c>
      <c r="AV446" s="136" t="s">
        <v>226</v>
      </c>
      <c r="AX446" s="136" t="str">
        <f>IF(AI404="","",IF(B446="","",B446))</f>
        <v>PV</v>
      </c>
      <c r="AY446" s="136" t="str">
        <f>IF(AI404="","",IF(C446="","",C446))</f>
        <v>-</v>
      </c>
      <c r="AZ446" s="136" t="str">
        <f>IF(AI404="","",IF(D446="","",D446))</f>
        <v>EA</v>
      </c>
      <c r="BA446" s="136" t="str">
        <f>IF(AI404="","",IF(E446="","",E446))</f>
        <v>FP</v>
      </c>
      <c r="BB446" s="136" t="str">
        <f>IF(AI404="","",IF(F446="","",F446))</f>
        <v>EG</v>
      </c>
      <c r="BC446" s="136" t="str">
        <f>IF(AI404="","",IF(G446="","",G446))</f>
        <v>IEI</v>
      </c>
      <c r="BD446" s="136" t="str">
        <f>IF(AI404="","",IF(H446="","",H446))</f>
        <v>PV</v>
      </c>
      <c r="BE446" s="136" t="str">
        <f>IF(AI404="","",IF(I446="","",I446))</f>
        <v>-</v>
      </c>
      <c r="BF446" s="136" t="str">
        <f>IF(AI404="","",IF(J446="","",J446))</f>
        <v>PV</v>
      </c>
      <c r="BG446" s="136" t="str">
        <f>IF(AI404="","",IF(K446="","",K446))</f>
        <v>-</v>
      </c>
      <c r="BH446" s="136" t="str">
        <f>IF(AI404="","",IF(L446="","",L446))</f>
        <v>PV</v>
      </c>
      <c r="BI446" s="136" t="str">
        <f>IF(AI404="","",IF(M446="","",M446))</f>
        <v>-</v>
      </c>
      <c r="BJ446" s="136" t="str">
        <f>IF(AI404="","",IF(N446="","",N446))</f>
        <v>EA</v>
      </c>
      <c r="BK446" s="136" t="str">
        <f>IF(AI404="","",IF(O446="","",O446))</f>
        <v>IEI</v>
      </c>
      <c r="BN446" s="136" t="str">
        <f t="shared" si="246"/>
        <v>Laboratórios</v>
      </c>
      <c r="BO446" s="136" t="str">
        <f t="shared" si="246"/>
        <v>LAB</v>
      </c>
      <c r="BP446" s="136">
        <f>IF(BO446="","",COUNTIFS(AX408:BK455,BO446)*0.5)</f>
        <v>1.5</v>
      </c>
      <c r="BQ446" s="136" t="str">
        <f t="shared" si="247"/>
        <v>Laboratórios</v>
      </c>
      <c r="BR446" s="136" t="str">
        <f t="shared" si="247"/>
        <v>LAB</v>
      </c>
      <c r="BS446" s="136" t="str">
        <f t="shared" si="248"/>
        <v>Laboratórios</v>
      </c>
      <c r="BT446" s="136">
        <f t="shared" si="254"/>
        <v>10.5</v>
      </c>
      <c r="BU446" s="136">
        <f t="shared" si="255"/>
        <v>10.5</v>
      </c>
      <c r="CA446" s="136">
        <f>'INFO BASE'!L523</f>
        <v>0</v>
      </c>
      <c r="CB446" s="136">
        <f>'INFO BASE'!M523</f>
        <v>0</v>
      </c>
      <c r="CR446" s="177" t="str">
        <f t="shared" si="236"/>
        <v>PV</v>
      </c>
      <c r="CS446" s="177">
        <f t="shared" si="237"/>
        <v>0</v>
      </c>
      <c r="CT446" s="177" t="str">
        <f t="shared" si="236"/>
        <v>EA</v>
      </c>
      <c r="CU446" s="177" t="str">
        <f t="shared" si="238"/>
        <v>EAFP</v>
      </c>
      <c r="CV446" s="177" t="str">
        <f t="shared" si="236"/>
        <v>EG</v>
      </c>
      <c r="CW446" s="177" t="str">
        <f t="shared" si="239"/>
        <v>EGIEI</v>
      </c>
      <c r="CX446" s="177" t="str">
        <f t="shared" si="236"/>
        <v>PV</v>
      </c>
      <c r="CY446" s="177">
        <f t="shared" si="240"/>
        <v>0</v>
      </c>
      <c r="CZ446" s="177" t="str">
        <f t="shared" si="236"/>
        <v>PV</v>
      </c>
      <c r="DA446" s="177">
        <f t="shared" si="241"/>
        <v>0</v>
      </c>
      <c r="DB446" s="177" t="str">
        <f t="shared" si="236"/>
        <v>PV</v>
      </c>
      <c r="DC446" s="177">
        <f t="shared" si="242"/>
        <v>0</v>
      </c>
      <c r="DD446" s="177" t="str">
        <f t="shared" si="243"/>
        <v>EA</v>
      </c>
      <c r="DE446" s="177" t="str">
        <f t="shared" si="244"/>
        <v>EAIEI</v>
      </c>
    </row>
    <row r="447" spans="1:109" ht="18" customHeight="1" x14ac:dyDescent="0.3">
      <c r="A447" s="81">
        <v>0.81250000000002598</v>
      </c>
      <c r="B447" s="166" t="s">
        <v>116</v>
      </c>
      <c r="C447" s="130" t="s">
        <v>120</v>
      </c>
      <c r="D447" s="169" t="s">
        <v>8</v>
      </c>
      <c r="E447" s="130" t="s">
        <v>224</v>
      </c>
      <c r="F447" s="169" t="s">
        <v>128</v>
      </c>
      <c r="G447" s="130" t="s">
        <v>226</v>
      </c>
      <c r="H447" s="169" t="s">
        <v>11</v>
      </c>
      <c r="I447" s="130" t="s">
        <v>120</v>
      </c>
      <c r="J447" s="169" t="s">
        <v>116</v>
      </c>
      <c r="K447" s="130" t="s">
        <v>120</v>
      </c>
      <c r="L447" s="169" t="s">
        <v>116</v>
      </c>
      <c r="M447" s="130" t="s">
        <v>120</v>
      </c>
      <c r="N447" s="169" t="s">
        <v>8</v>
      </c>
      <c r="O447" s="154" t="s">
        <v>226</v>
      </c>
      <c r="P447" s="6">
        <v>0</v>
      </c>
      <c r="Q447" s="97" t="str">
        <f>IF('INFO BASE'!$C$21="","",'INFO BASE'!$C$21)</f>
        <v>Aulas Práticas</v>
      </c>
      <c r="R447" s="82" t="str">
        <f t="shared" si="253"/>
        <v>APA</v>
      </c>
      <c r="S447" s="83" t="str">
        <f t="shared" si="250"/>
        <v>-</v>
      </c>
      <c r="T447" s="98" t="str">
        <f>IF(VLOOKUP(Q447,'INFO BASE'!$B$40:$I$54,IF(R447='INFO BASE'!$B$32,3,IF(R447='INFO BASE'!$B$33,4,IF(R447='INFO BASE'!$B$34,5,IF(R447='INFO BASE'!$B$35,6,IF(R447='INFO BASE'!$B$36,7,IF(R447='INFO BASE'!$B$37,8,2)))))),0)=0,"",VLOOKUP(Q447,'INFO BASE'!$B$40:$I$54,IF(R447='INFO BASE'!$B$32,3,IF(R447='INFO BASE'!$B$33,4,IF(R447='INFO BASE'!$B$34,5,IF(R447='INFO BASE'!$B$35,6,IF(R447='INFO BASE'!$B$36,7,IF(R447='INFO BASE'!$B$37,8,2)))))),0))</f>
        <v/>
      </c>
      <c r="U447" s="84">
        <f t="shared" ref="U447:U455" si="262">IF(R447="","",COUNTIFS(SEMANA8,R447)*0.5)</f>
        <v>0</v>
      </c>
      <c r="V447" s="84">
        <f>IF(R447="","",COUNTIFS(AI408:AV455,R447)*0.5)</f>
        <v>0</v>
      </c>
      <c r="W447" s="85">
        <f>IF(AH404="","-",IF(V447=0,U447,IFERROR((U447/V447)-1,"-")))</f>
        <v>0</v>
      </c>
      <c r="X447" s="201">
        <f t="shared" si="251"/>
        <v>0</v>
      </c>
      <c r="Y447" s="277"/>
      <c r="Z447" s="278"/>
      <c r="AA447" s="278"/>
      <c r="AB447" s="278"/>
      <c r="AC447" s="278"/>
      <c r="AD447" s="278"/>
      <c r="AE447" s="278"/>
      <c r="AF447" s="279"/>
      <c r="AH447" s="136">
        <v>0.81250000000002598</v>
      </c>
      <c r="AI447" s="136" t="s">
        <v>116</v>
      </c>
      <c r="AJ447" s="136" t="s">
        <v>120</v>
      </c>
      <c r="AK447" s="136" t="s">
        <v>8</v>
      </c>
      <c r="AL447" s="136" t="s">
        <v>224</v>
      </c>
      <c r="AM447" s="136" t="s">
        <v>116</v>
      </c>
      <c r="AN447" s="136" t="s">
        <v>120</v>
      </c>
      <c r="AO447" s="136" t="s">
        <v>11</v>
      </c>
      <c r="AP447" s="136" t="s">
        <v>120</v>
      </c>
      <c r="AQ447" s="136" t="s">
        <v>116</v>
      </c>
      <c r="AR447" s="136" t="s">
        <v>120</v>
      </c>
      <c r="AS447" s="136" t="s">
        <v>116</v>
      </c>
      <c r="AT447" s="136" t="s">
        <v>120</v>
      </c>
      <c r="AU447" s="136" t="s">
        <v>8</v>
      </c>
      <c r="AV447" s="136" t="s">
        <v>226</v>
      </c>
      <c r="AX447" s="136" t="str">
        <f>IF(AI404="","",IF(B447="","",B447))</f>
        <v>PV</v>
      </c>
      <c r="AY447" s="136" t="str">
        <f>IF(AI404="","",IF(C447="","",C447))</f>
        <v>-</v>
      </c>
      <c r="AZ447" s="136" t="str">
        <f>IF(AI404="","",IF(D447="","",D447))</f>
        <v>EA</v>
      </c>
      <c r="BA447" s="136" t="str">
        <f>IF(AI404="","",IF(E447="","",E447))</f>
        <v>FP</v>
      </c>
      <c r="BB447" s="136" t="str">
        <f>IF(AI404="","",IF(F447="","",F447))</f>
        <v>EG</v>
      </c>
      <c r="BC447" s="136" t="str">
        <f>IF(AI404="","",IF(G447="","",G447))</f>
        <v>IEI</v>
      </c>
      <c r="BD447" s="136" t="str">
        <f>IF(AI404="","",IF(H447="","",H447))</f>
        <v>HD</v>
      </c>
      <c r="BE447" s="136" t="str">
        <f>IF(AI404="","",IF(I447="","",I447))</f>
        <v>-</v>
      </c>
      <c r="BF447" s="136" t="str">
        <f>IF(AI404="","",IF(J447="","",J447))</f>
        <v>PV</v>
      </c>
      <c r="BG447" s="136" t="str">
        <f>IF(AI404="","",IF(K447="","",K447))</f>
        <v>-</v>
      </c>
      <c r="BH447" s="136" t="str">
        <f>IF(AI404="","",IF(L447="","",L447))</f>
        <v>PV</v>
      </c>
      <c r="BI447" s="136" t="str">
        <f>IF(AI404="","",IF(M447="","",M447))</f>
        <v>-</v>
      </c>
      <c r="BJ447" s="136" t="str">
        <f>IF(AI404="","",IF(N447="","",N447))</f>
        <v>EA</v>
      </c>
      <c r="BK447" s="136" t="str">
        <f>IF(AI404="","",IF(O447="","",O447))</f>
        <v>IEI</v>
      </c>
      <c r="BN447" s="136" t="str">
        <f t="shared" si="246"/>
        <v>Momento Avaliativo</v>
      </c>
      <c r="BO447" s="136" t="str">
        <f t="shared" si="246"/>
        <v>MA</v>
      </c>
      <c r="BP447" s="136">
        <f>IF(BO447="","",COUNTIFS(AX408:BK455,BO447)*0.5)</f>
        <v>1.5</v>
      </c>
      <c r="BQ447" s="136" t="str">
        <f t="shared" si="247"/>
        <v>Momento Avaliativo</v>
      </c>
      <c r="BR447" s="136" t="str">
        <f t="shared" si="247"/>
        <v>MA</v>
      </c>
      <c r="BS447" s="136" t="str">
        <f t="shared" si="248"/>
        <v>Momento Avaliativo</v>
      </c>
      <c r="BT447" s="136">
        <f t="shared" si="254"/>
        <v>1.5</v>
      </c>
      <c r="BU447" s="136">
        <f t="shared" si="255"/>
        <v>1.5</v>
      </c>
      <c r="CA447" s="136">
        <f>'INFO BASE'!L524</f>
        <v>0</v>
      </c>
      <c r="CB447" s="136">
        <f>'INFO BASE'!M524</f>
        <v>0</v>
      </c>
      <c r="CR447" s="177" t="str">
        <f t="shared" si="236"/>
        <v>PV</v>
      </c>
      <c r="CS447" s="177">
        <f t="shared" si="237"/>
        <v>0</v>
      </c>
      <c r="CT447" s="177" t="str">
        <f t="shared" si="236"/>
        <v>EA</v>
      </c>
      <c r="CU447" s="177" t="str">
        <f t="shared" si="238"/>
        <v>EAFP</v>
      </c>
      <c r="CV447" s="177" t="str">
        <f t="shared" si="236"/>
        <v>EG</v>
      </c>
      <c r="CW447" s="177" t="str">
        <f t="shared" si="239"/>
        <v>EGIEI</v>
      </c>
      <c r="CX447" s="177" t="str">
        <f t="shared" si="236"/>
        <v>HD</v>
      </c>
      <c r="CY447" s="177" t="str">
        <f t="shared" si="240"/>
        <v>HD-</v>
      </c>
      <c r="CZ447" s="177" t="str">
        <f t="shared" si="236"/>
        <v>PV</v>
      </c>
      <c r="DA447" s="177">
        <f t="shared" si="241"/>
        <v>0</v>
      </c>
      <c r="DB447" s="177" t="str">
        <f t="shared" si="236"/>
        <v>PV</v>
      </c>
      <c r="DC447" s="177">
        <f t="shared" si="242"/>
        <v>0</v>
      </c>
      <c r="DD447" s="177" t="str">
        <f t="shared" si="243"/>
        <v>EA</v>
      </c>
      <c r="DE447" s="177" t="str">
        <f t="shared" si="244"/>
        <v>EAIEI</v>
      </c>
    </row>
    <row r="448" spans="1:109" ht="18" customHeight="1" x14ac:dyDescent="0.3">
      <c r="A448" s="81">
        <v>0.83333333333336002</v>
      </c>
      <c r="B448" s="166" t="s">
        <v>116</v>
      </c>
      <c r="C448" s="130" t="s">
        <v>120</v>
      </c>
      <c r="D448" s="169" t="s">
        <v>8</v>
      </c>
      <c r="E448" s="130" t="s">
        <v>224</v>
      </c>
      <c r="F448" s="169" t="s">
        <v>128</v>
      </c>
      <c r="G448" s="130" t="s">
        <v>226</v>
      </c>
      <c r="H448" s="169" t="s">
        <v>11</v>
      </c>
      <c r="I448" s="130" t="s">
        <v>120</v>
      </c>
      <c r="J448" s="169" t="s">
        <v>116</v>
      </c>
      <c r="K448" s="130" t="s">
        <v>120</v>
      </c>
      <c r="L448" s="169" t="s">
        <v>8</v>
      </c>
      <c r="M448" s="130" t="s">
        <v>228</v>
      </c>
      <c r="N448" s="169" t="s">
        <v>8</v>
      </c>
      <c r="O448" s="154" t="s">
        <v>226</v>
      </c>
      <c r="P448" s="6">
        <v>0</v>
      </c>
      <c r="Q448" s="99" t="str">
        <f>IF('INFO BASE'!$C$22="","",'INFO BASE'!$C$22)</f>
        <v>Aulas Problemas</v>
      </c>
      <c r="R448" s="87" t="str">
        <f t="shared" si="253"/>
        <v>APB</v>
      </c>
      <c r="S448" s="88">
        <f t="shared" si="250"/>
        <v>-0.25</v>
      </c>
      <c r="T448" s="100">
        <f>IF(VLOOKUP(Q448,'INFO BASE'!$B$40:$I$54,IF(R448='INFO BASE'!$B$32,3,IF(R448='INFO BASE'!$B$33,4,IF(R448='INFO BASE'!$B$34,5,IF(R448='INFO BASE'!$B$35,6,IF(R448='INFO BASE'!$B$36,7,IF(R448='INFO BASE'!$B$37,8,2)))))),0)=0,"",VLOOKUP(Q448,'INFO BASE'!$B$40:$I$54,IF(R448='INFO BASE'!$B$32,3,IF(R448='INFO BASE'!$B$33,4,IF(R448='INFO BASE'!$B$34,5,IF(R448='INFO BASE'!$B$35,6,IF(R448='INFO BASE'!$B$36,7,IF(R448='INFO BASE'!$B$37,8,2)))))),0))</f>
        <v>6</v>
      </c>
      <c r="U448" s="89">
        <f t="shared" si="262"/>
        <v>4.5</v>
      </c>
      <c r="V448" s="100">
        <f>IF(R448="","",COUNTIFS(AI408:AV455,R448)*0.5)</f>
        <v>4.5</v>
      </c>
      <c r="W448" s="90">
        <f>IF(AH404="","-",IF(V448=0,U448,IFERROR((U448/V448)-1,"-")))</f>
        <v>0</v>
      </c>
      <c r="X448" s="201">
        <f t="shared" si="251"/>
        <v>0</v>
      </c>
      <c r="Y448" s="271"/>
      <c r="Z448" s="272"/>
      <c r="AA448" s="272"/>
      <c r="AB448" s="272"/>
      <c r="AC448" s="272"/>
      <c r="AD448" s="272"/>
      <c r="AE448" s="272"/>
      <c r="AF448" s="273"/>
      <c r="AH448" s="136">
        <v>0.83333333333336002</v>
      </c>
      <c r="AI448" s="136" t="s">
        <v>116</v>
      </c>
      <c r="AJ448" s="136" t="s">
        <v>120</v>
      </c>
      <c r="AK448" s="136" t="s">
        <v>8</v>
      </c>
      <c r="AL448" s="136" t="s">
        <v>224</v>
      </c>
      <c r="AM448" s="136" t="s">
        <v>116</v>
      </c>
      <c r="AN448" s="136" t="s">
        <v>120</v>
      </c>
      <c r="AO448" s="136" t="s">
        <v>11</v>
      </c>
      <c r="AP448" s="136" t="s">
        <v>120</v>
      </c>
      <c r="AQ448" s="136" t="s">
        <v>116</v>
      </c>
      <c r="AR448" s="136" t="s">
        <v>120</v>
      </c>
      <c r="AS448" s="136" t="s">
        <v>116</v>
      </c>
      <c r="AT448" s="136" t="s">
        <v>120</v>
      </c>
      <c r="AU448" s="136" t="s">
        <v>8</v>
      </c>
      <c r="AV448" s="136" t="s">
        <v>226</v>
      </c>
      <c r="AX448" s="136" t="str">
        <f>IF(AI404="","",IF(B448="","",B448))</f>
        <v>PV</v>
      </c>
      <c r="AY448" s="136" t="str">
        <f>IF(AI404="","",IF(C448="","",C448))</f>
        <v>-</v>
      </c>
      <c r="AZ448" s="136" t="str">
        <f>IF(AI404="","",IF(D448="","",D448))</f>
        <v>EA</v>
      </c>
      <c r="BA448" s="136" t="str">
        <f>IF(AI404="","",IF(E448="","",E448))</f>
        <v>FP</v>
      </c>
      <c r="BB448" s="136" t="str">
        <f>IF(AI404="","",IF(F448="","",F448))</f>
        <v>EG</v>
      </c>
      <c r="BC448" s="136" t="str">
        <f>IF(AI404="","",IF(G448="","",G448))</f>
        <v>IEI</v>
      </c>
      <c r="BD448" s="136" t="str">
        <f>IF(AI404="","",IF(H448="","",H448))</f>
        <v>HD</v>
      </c>
      <c r="BE448" s="136" t="str">
        <f>IF(AI404="","",IF(I448="","",I448))</f>
        <v>-</v>
      </c>
      <c r="BF448" s="136" t="str">
        <f>IF(AI404="","",IF(J448="","",J448))</f>
        <v>PV</v>
      </c>
      <c r="BG448" s="136" t="str">
        <f>IF(AI404="","",IF(K448="","",K448))</f>
        <v>-</v>
      </c>
      <c r="BH448" s="136" t="str">
        <f>IF(AI404="","",IF(L448="","",L448))</f>
        <v>EA</v>
      </c>
      <c r="BI448" s="136" t="str">
        <f>IF(AI404="","",IF(M448="","",M448))</f>
        <v>IAC</v>
      </c>
      <c r="BJ448" s="136" t="str">
        <f>IF(AI404="","",IF(N448="","",N448))</f>
        <v>EA</v>
      </c>
      <c r="BK448" s="136" t="str">
        <f>IF(AI404="","",IF(O448="","",O448))</f>
        <v>IEI</v>
      </c>
      <c r="BN448" s="136" t="str">
        <f t="shared" si="246"/>
        <v>Horário de Dúvidas</v>
      </c>
      <c r="BO448" s="136" t="str">
        <f t="shared" si="246"/>
        <v>HDV</v>
      </c>
      <c r="BP448" s="136">
        <f>IF(BO448="","",COUNTIFS(AX408:BK455,BO448)*0.5)</f>
        <v>0</v>
      </c>
      <c r="BQ448" s="136" t="str">
        <f t="shared" si="247"/>
        <v>Horário de Dúvidas</v>
      </c>
      <c r="BR448" s="136" t="str">
        <f t="shared" si="247"/>
        <v>HDV</v>
      </c>
      <c r="BS448" s="136" t="str">
        <f t="shared" si="248"/>
        <v>Horário de Dúvidas</v>
      </c>
      <c r="BT448" s="136">
        <f t="shared" si="254"/>
        <v>0</v>
      </c>
      <c r="BU448" s="136">
        <f t="shared" si="255"/>
        <v>0</v>
      </c>
      <c r="CA448" s="136">
        <f>'INFO BASE'!L525</f>
        <v>0</v>
      </c>
      <c r="CB448" s="136">
        <f>'INFO BASE'!M525</f>
        <v>0</v>
      </c>
      <c r="CR448" s="177" t="str">
        <f t="shared" si="236"/>
        <v>PV</v>
      </c>
      <c r="CS448" s="177">
        <f t="shared" si="237"/>
        <v>0</v>
      </c>
      <c r="CT448" s="177" t="str">
        <f t="shared" si="236"/>
        <v>EA</v>
      </c>
      <c r="CU448" s="177" t="str">
        <f t="shared" si="238"/>
        <v>EAFP</v>
      </c>
      <c r="CV448" s="177" t="str">
        <f t="shared" si="236"/>
        <v>EG</v>
      </c>
      <c r="CW448" s="177" t="str">
        <f t="shared" si="239"/>
        <v>EGIEI</v>
      </c>
      <c r="CX448" s="177" t="str">
        <f t="shared" si="236"/>
        <v>HD</v>
      </c>
      <c r="CY448" s="177" t="str">
        <f t="shared" si="240"/>
        <v>HD-</v>
      </c>
      <c r="CZ448" s="177" t="str">
        <f t="shared" si="236"/>
        <v>PV</v>
      </c>
      <c r="DA448" s="177">
        <f t="shared" si="241"/>
        <v>0</v>
      </c>
      <c r="DB448" s="177" t="str">
        <f t="shared" si="236"/>
        <v>EA</v>
      </c>
      <c r="DC448" s="177" t="str">
        <f t="shared" si="242"/>
        <v>EAIAC</v>
      </c>
      <c r="DD448" s="177" t="str">
        <f t="shared" si="243"/>
        <v>EA</v>
      </c>
      <c r="DE448" s="177" t="str">
        <f t="shared" si="244"/>
        <v>EAIEI</v>
      </c>
    </row>
    <row r="449" spans="1:120" ht="18" customHeight="1" thickBot="1" x14ac:dyDescent="0.35">
      <c r="A449" s="81">
        <v>0.85416666666669405</v>
      </c>
      <c r="B449" s="166" t="s">
        <v>116</v>
      </c>
      <c r="C449" s="130" t="s">
        <v>120</v>
      </c>
      <c r="D449" s="169" t="s">
        <v>116</v>
      </c>
      <c r="E449" s="130" t="s">
        <v>120</v>
      </c>
      <c r="F449" s="169" t="s">
        <v>11</v>
      </c>
      <c r="G449" s="130" t="s">
        <v>120</v>
      </c>
      <c r="H449" s="169" t="s">
        <v>116</v>
      </c>
      <c r="I449" s="130" t="s">
        <v>120</v>
      </c>
      <c r="J449" s="169" t="s">
        <v>116</v>
      </c>
      <c r="K449" s="130" t="s">
        <v>120</v>
      </c>
      <c r="L449" s="169" t="s">
        <v>8</v>
      </c>
      <c r="M449" s="130" t="s">
        <v>228</v>
      </c>
      <c r="N449" s="169" t="s">
        <v>12</v>
      </c>
      <c r="O449" s="154" t="s">
        <v>120</v>
      </c>
      <c r="P449" s="6">
        <v>0</v>
      </c>
      <c r="Q449" s="101" t="str">
        <f>IF('INFO BASE'!$C$23="","",'INFO BASE'!$C$23)</f>
        <v>Laboratórios</v>
      </c>
      <c r="R449" s="93" t="str">
        <f t="shared" si="253"/>
        <v>LAB</v>
      </c>
      <c r="S449" s="94">
        <f t="shared" si="250"/>
        <v>0</v>
      </c>
      <c r="T449" s="95">
        <f>IF(VLOOKUP(Q449,'INFO BASE'!$B$40:$I$54,IF(R449='INFO BASE'!$B$32,3,IF(R449='INFO BASE'!$B$33,4,IF(R449='INFO BASE'!$B$34,5,IF(R449='INFO BASE'!$B$35,6,IF(R449='INFO BASE'!$B$36,7,IF(R449='INFO BASE'!$B$37,8,2)))))),0)=0,"",VLOOKUP(Q449,'INFO BASE'!$B$40:$I$54,IF(R449='INFO BASE'!$B$32,3,IF(R449='INFO BASE'!$B$33,4,IF(R449='INFO BASE'!$B$34,5,IF(R449='INFO BASE'!$B$35,6,IF(R449='INFO BASE'!$B$36,7,IF(R449='INFO BASE'!$B$37,8,2)))))),0))</f>
        <v>1.5</v>
      </c>
      <c r="U449" s="95">
        <f t="shared" si="262"/>
        <v>1.5</v>
      </c>
      <c r="V449" s="95">
        <f>IF(R449="","",COUNTIFS(AI408:AV455,R449)*0.5)</f>
        <v>1.5</v>
      </c>
      <c r="W449" s="96">
        <f>IF(AH404="","-",IF(V449=0,U449,IFERROR((U449/V449)-1,"-")))</f>
        <v>0</v>
      </c>
      <c r="X449" s="201">
        <f t="shared" si="251"/>
        <v>0</v>
      </c>
      <c r="Y449" s="271"/>
      <c r="Z449" s="272"/>
      <c r="AA449" s="272"/>
      <c r="AB449" s="272"/>
      <c r="AC449" s="272"/>
      <c r="AD449" s="272"/>
      <c r="AE449" s="272"/>
      <c r="AF449" s="273"/>
      <c r="AH449" s="136">
        <v>0.85416666666669405</v>
      </c>
      <c r="AI449" s="136" t="s">
        <v>116</v>
      </c>
      <c r="AJ449" s="136" t="s">
        <v>120</v>
      </c>
      <c r="AK449" s="136" t="s">
        <v>116</v>
      </c>
      <c r="AL449" s="136" t="s">
        <v>120</v>
      </c>
      <c r="AM449" s="136" t="s">
        <v>116</v>
      </c>
      <c r="AN449" s="136" t="s">
        <v>120</v>
      </c>
      <c r="AO449" s="136" t="s">
        <v>116</v>
      </c>
      <c r="AP449" s="136" t="s">
        <v>120</v>
      </c>
      <c r="AQ449" s="136" t="s">
        <v>116</v>
      </c>
      <c r="AR449" s="136" t="s">
        <v>120</v>
      </c>
      <c r="AS449" s="136" t="s">
        <v>116</v>
      </c>
      <c r="AT449" s="136" t="s">
        <v>120</v>
      </c>
      <c r="AU449" s="136" t="s">
        <v>12</v>
      </c>
      <c r="AV449" s="136" t="s">
        <v>120</v>
      </c>
      <c r="AX449" s="136" t="str">
        <f>IF(AI404="","",IF(B449="","",B449))</f>
        <v>PV</v>
      </c>
      <c r="AY449" s="136" t="str">
        <f>IF(AI404="","",IF(C449="","",C449))</f>
        <v>-</v>
      </c>
      <c r="AZ449" s="136" t="str">
        <f>IF(AI404="","",IF(D449="","",D449))</f>
        <v>PV</v>
      </c>
      <c r="BA449" s="136" t="str">
        <f>IF(AI404="","",IF(E449="","",E449))</f>
        <v>-</v>
      </c>
      <c r="BB449" s="136" t="str">
        <f>IF(AI404="","",IF(F449="","",F449))</f>
        <v>HD</v>
      </c>
      <c r="BC449" s="136" t="str">
        <f>IF(AI404="","",IF(G449="","",G449))</f>
        <v>-</v>
      </c>
      <c r="BD449" s="136" t="str">
        <f>IF(AI404="","",IF(H449="","",H449))</f>
        <v>PV</v>
      </c>
      <c r="BE449" s="136" t="str">
        <f>IF(AI404="","",IF(I449="","",I449))</f>
        <v>-</v>
      </c>
      <c r="BF449" s="136" t="str">
        <f>IF(AI404="","",IF(J449="","",J449))</f>
        <v>PV</v>
      </c>
      <c r="BG449" s="136" t="str">
        <f>IF(AI404="","",IF(K449="","",K449))</f>
        <v>-</v>
      </c>
      <c r="BH449" s="136" t="str">
        <f>IF(AI404="","",IF(L449="","",L449))</f>
        <v>EA</v>
      </c>
      <c r="BI449" s="136" t="str">
        <f>IF(AI404="","",IF(M449="","",M449))</f>
        <v>IAC</v>
      </c>
      <c r="BJ449" s="136" t="str">
        <f>IF(AI404="","",IF(N449="","",N449))</f>
        <v>HR</v>
      </c>
      <c r="BK449" s="136" t="str">
        <f>IF(AI404="","",IF(O449="","",O449))</f>
        <v>-</v>
      </c>
      <c r="BN449" s="136" t="str">
        <f t="shared" si="246"/>
        <v>Privado</v>
      </c>
      <c r="BO449" s="136" t="str">
        <f t="shared" si="246"/>
        <v>PV</v>
      </c>
      <c r="BP449" s="136">
        <f>IF(BO449="","",COUNTIFS(AX408:BK455,BO449)*0.5)</f>
        <v>37.5</v>
      </c>
      <c r="BQ449" s="136" t="str">
        <f t="shared" si="247"/>
        <v>Privado</v>
      </c>
      <c r="BR449" s="136" t="str">
        <f t="shared" si="247"/>
        <v>PV</v>
      </c>
      <c r="BS449" s="136" t="str">
        <f t="shared" si="248"/>
        <v>Privado</v>
      </c>
      <c r="BT449" s="136">
        <f t="shared" si="254"/>
        <v>384</v>
      </c>
      <c r="BU449" s="136">
        <f t="shared" si="255"/>
        <v>369</v>
      </c>
      <c r="CA449" s="136">
        <f>'INFO BASE'!L526</f>
        <v>0</v>
      </c>
      <c r="CB449" s="136">
        <f>'INFO BASE'!M526</f>
        <v>0</v>
      </c>
      <c r="CR449" s="177" t="str">
        <f t="shared" si="236"/>
        <v>PV</v>
      </c>
      <c r="CS449" s="177">
        <f t="shared" si="237"/>
        <v>0</v>
      </c>
      <c r="CT449" s="177" t="str">
        <f t="shared" si="236"/>
        <v>PV</v>
      </c>
      <c r="CU449" s="177">
        <f t="shared" si="238"/>
        <v>0</v>
      </c>
      <c r="CV449" s="177" t="str">
        <f t="shared" si="236"/>
        <v>HD</v>
      </c>
      <c r="CW449" s="177" t="str">
        <f t="shared" si="239"/>
        <v>HD-</v>
      </c>
      <c r="CX449" s="177" t="str">
        <f t="shared" si="236"/>
        <v>PV</v>
      </c>
      <c r="CY449" s="177">
        <f t="shared" si="240"/>
        <v>0</v>
      </c>
      <c r="CZ449" s="177" t="str">
        <f t="shared" si="236"/>
        <v>PV</v>
      </c>
      <c r="DA449" s="177">
        <f t="shared" si="241"/>
        <v>0</v>
      </c>
      <c r="DB449" s="177" t="str">
        <f t="shared" si="236"/>
        <v>EA</v>
      </c>
      <c r="DC449" s="177" t="str">
        <f t="shared" si="242"/>
        <v>EAIAC</v>
      </c>
      <c r="DD449" s="177" t="str">
        <f t="shared" si="243"/>
        <v>HR</v>
      </c>
      <c r="DE449" s="177" t="str">
        <f t="shared" si="244"/>
        <v>HR-</v>
      </c>
    </row>
    <row r="450" spans="1:120" ht="18" customHeight="1" x14ac:dyDescent="0.3">
      <c r="A450" s="81">
        <v>0.87500000000002798</v>
      </c>
      <c r="B450" s="166" t="s">
        <v>12</v>
      </c>
      <c r="C450" s="130" t="s">
        <v>120</v>
      </c>
      <c r="D450" s="169" t="s">
        <v>12</v>
      </c>
      <c r="E450" s="130" t="s">
        <v>120</v>
      </c>
      <c r="F450" s="169" t="s">
        <v>12</v>
      </c>
      <c r="G450" s="130" t="s">
        <v>120</v>
      </c>
      <c r="H450" s="169" t="s">
        <v>12</v>
      </c>
      <c r="I450" s="130" t="s">
        <v>120</v>
      </c>
      <c r="J450" s="169" t="s">
        <v>12</v>
      </c>
      <c r="K450" s="130" t="s">
        <v>120</v>
      </c>
      <c r="L450" s="169" t="s">
        <v>8</v>
      </c>
      <c r="M450" s="130" t="s">
        <v>228</v>
      </c>
      <c r="N450" s="169" t="s">
        <v>8</v>
      </c>
      <c r="O450" s="154" t="s">
        <v>226</v>
      </c>
      <c r="P450" s="6">
        <v>0</v>
      </c>
      <c r="Q450" s="102" t="str">
        <f>IF('INFO BASE'!$C$24="","",'INFO BASE'!$C$24)</f>
        <v>Momento Avaliativo</v>
      </c>
      <c r="R450" s="82" t="str">
        <f t="shared" si="253"/>
        <v>MA</v>
      </c>
      <c r="S450" s="83" t="str">
        <f t="shared" si="250"/>
        <v>-</v>
      </c>
      <c r="T450" s="84" t="str">
        <f>IF(VLOOKUP(Q450,'INFO BASE'!$B$40:$I$54,IF(R450='INFO BASE'!$B$32,3,IF(R450='INFO BASE'!$B$33,4,IF(R450='INFO BASE'!$B$34,5,IF(R450='INFO BASE'!$B$35,6,IF(R450='INFO BASE'!$B$36,7,IF(R450='INFO BASE'!$B$37,8,2)))))),0)=0,"",VLOOKUP(Q450,'INFO BASE'!$B$40:$I$54,IF(R450='INFO BASE'!$B$32,3,IF(R450='INFO BASE'!$B$33,4,IF(R450='INFO BASE'!$B$34,5,IF(R450='INFO BASE'!$B$35,6,IF(R450='INFO BASE'!$B$36,7,IF(R450='INFO BASE'!$B$37,8,2)))))),0))</f>
        <v/>
      </c>
      <c r="U450" s="84">
        <f t="shared" si="262"/>
        <v>1.5</v>
      </c>
      <c r="V450" s="84">
        <f>IF(R450="","",COUNTIFS(AI408:AV455,R450)*0.5)</f>
        <v>1.5</v>
      </c>
      <c r="W450" s="85">
        <f>IF(AH404="","-",IF(V450=0,U450,IFERROR((U450/V450)-1,"-")))</f>
        <v>0</v>
      </c>
      <c r="X450" s="201">
        <f t="shared" si="251"/>
        <v>0</v>
      </c>
      <c r="Y450" s="277"/>
      <c r="Z450" s="278"/>
      <c r="AA450" s="278"/>
      <c r="AB450" s="278"/>
      <c r="AC450" s="278"/>
      <c r="AD450" s="278"/>
      <c r="AE450" s="278"/>
      <c r="AF450" s="279"/>
      <c r="AH450" s="136">
        <v>0.87500000000002798</v>
      </c>
      <c r="AI450" s="136" t="s">
        <v>12</v>
      </c>
      <c r="AJ450" s="136" t="s">
        <v>120</v>
      </c>
      <c r="AK450" s="136" t="s">
        <v>12</v>
      </c>
      <c r="AL450" s="136" t="s">
        <v>120</v>
      </c>
      <c r="AM450" s="136" t="s">
        <v>12</v>
      </c>
      <c r="AN450" s="136" t="s">
        <v>120</v>
      </c>
      <c r="AO450" s="136" t="s">
        <v>12</v>
      </c>
      <c r="AP450" s="136" t="s">
        <v>120</v>
      </c>
      <c r="AQ450" s="136" t="s">
        <v>12</v>
      </c>
      <c r="AR450" s="136" t="s">
        <v>120</v>
      </c>
      <c r="AS450" s="136" t="s">
        <v>116</v>
      </c>
      <c r="AT450" s="136" t="s">
        <v>120</v>
      </c>
      <c r="AU450" s="136" t="s">
        <v>12</v>
      </c>
      <c r="AV450" s="136" t="s">
        <v>120</v>
      </c>
      <c r="AX450" s="136" t="str">
        <f>IF(AI404="","",IF(B450="","",B450))</f>
        <v>HR</v>
      </c>
      <c r="AY450" s="136" t="str">
        <f>IF(AI404="","",IF(C450="","",C450))</f>
        <v>-</v>
      </c>
      <c r="AZ450" s="136" t="str">
        <f>IF(AI404="","",IF(D450="","",D450))</f>
        <v>HR</v>
      </c>
      <c r="BA450" s="136" t="str">
        <f>IF(AI404="","",IF(E450="","",E450))</f>
        <v>-</v>
      </c>
      <c r="BB450" s="136" t="str">
        <f>IF(AI404="","",IF(F450="","",F450))</f>
        <v>HR</v>
      </c>
      <c r="BC450" s="136" t="str">
        <f>IF(AI404="","",IF(G450="","",G450))</f>
        <v>-</v>
      </c>
      <c r="BD450" s="136" t="str">
        <f>IF(AI404="","",IF(H450="","",H450))</f>
        <v>HR</v>
      </c>
      <c r="BE450" s="136" t="str">
        <f>IF(AI404="","",IF(I450="","",I450))</f>
        <v>-</v>
      </c>
      <c r="BF450" s="136" t="str">
        <f>IF(AI404="","",IF(J450="","",J450))</f>
        <v>HR</v>
      </c>
      <c r="BG450" s="136" t="str">
        <f>IF(AI404="","",IF(K450="","",K450))</f>
        <v>-</v>
      </c>
      <c r="BH450" s="136" t="str">
        <f>IF(AI404="","",IF(L450="","",L450))</f>
        <v>EA</v>
      </c>
      <c r="BI450" s="136" t="str">
        <f>IF(AI404="","",IF(M450="","",M450))</f>
        <v>IAC</v>
      </c>
      <c r="BJ450" s="136" t="str">
        <f>IF(AI404="","",IF(N450="","",N450))</f>
        <v>EA</v>
      </c>
      <c r="BK450" s="136" t="str">
        <f>IF(AI404="","",IF(O450="","",O450))</f>
        <v>IEI</v>
      </c>
      <c r="BN450" s="136" t="str">
        <f t="shared" si="246"/>
        <v>Deslocação</v>
      </c>
      <c r="BO450" s="136" t="str">
        <f t="shared" si="246"/>
        <v>HD</v>
      </c>
      <c r="BP450" s="136">
        <f>IF(BO450="","",COUNTIFS(AX408:BK455,BO450)*0.5)</f>
        <v>16</v>
      </c>
      <c r="BQ450" s="136" t="str">
        <f t="shared" si="247"/>
        <v>Deslocação</v>
      </c>
      <c r="BR450" s="136" t="str">
        <f t="shared" si="247"/>
        <v>HD</v>
      </c>
      <c r="BS450" s="136" t="str">
        <f t="shared" si="248"/>
        <v>Deslocação</v>
      </c>
      <c r="BT450" s="136">
        <f t="shared" si="254"/>
        <v>116.5</v>
      </c>
      <c r="BU450" s="136">
        <f t="shared" si="255"/>
        <v>115</v>
      </c>
      <c r="CA450" s="136">
        <f>'INFO BASE'!L527</f>
        <v>0</v>
      </c>
      <c r="CB450" s="136">
        <f>'INFO BASE'!M527</f>
        <v>0</v>
      </c>
      <c r="CR450" s="177" t="str">
        <f t="shared" si="236"/>
        <v>HR</v>
      </c>
      <c r="CS450" s="177" t="str">
        <f t="shared" si="237"/>
        <v>HR-</v>
      </c>
      <c r="CT450" s="177" t="str">
        <f t="shared" si="236"/>
        <v>HR</v>
      </c>
      <c r="CU450" s="177" t="str">
        <f t="shared" si="238"/>
        <v>HR-</v>
      </c>
      <c r="CV450" s="177" t="str">
        <f t="shared" si="236"/>
        <v>HR</v>
      </c>
      <c r="CW450" s="177" t="str">
        <f t="shared" si="239"/>
        <v>HR-</v>
      </c>
      <c r="CX450" s="177" t="str">
        <f t="shared" si="236"/>
        <v>HR</v>
      </c>
      <c r="CY450" s="177" t="str">
        <f t="shared" si="240"/>
        <v>HR-</v>
      </c>
      <c r="CZ450" s="177" t="str">
        <f t="shared" si="236"/>
        <v>HR</v>
      </c>
      <c r="DA450" s="177" t="str">
        <f t="shared" si="241"/>
        <v>HR-</v>
      </c>
      <c r="DB450" s="177" t="str">
        <f t="shared" si="236"/>
        <v>EA</v>
      </c>
      <c r="DC450" s="177" t="str">
        <f t="shared" si="242"/>
        <v>EAIAC</v>
      </c>
      <c r="DD450" s="177" t="str">
        <f t="shared" si="243"/>
        <v>EA</v>
      </c>
      <c r="DE450" s="177" t="str">
        <f t="shared" si="244"/>
        <v>EAIEI</v>
      </c>
    </row>
    <row r="451" spans="1:120" ht="18" customHeight="1" x14ac:dyDescent="0.3">
      <c r="A451" s="81">
        <v>0.89583333333336201</v>
      </c>
      <c r="B451" s="166" t="s">
        <v>12</v>
      </c>
      <c r="C451" s="130" t="s">
        <v>120</v>
      </c>
      <c r="D451" s="169" t="s">
        <v>12</v>
      </c>
      <c r="E451" s="130" t="s">
        <v>120</v>
      </c>
      <c r="F451" s="169" t="s">
        <v>12</v>
      </c>
      <c r="G451" s="130" t="s">
        <v>120</v>
      </c>
      <c r="H451" s="169" t="s">
        <v>12</v>
      </c>
      <c r="I451" s="130" t="s">
        <v>120</v>
      </c>
      <c r="J451" s="169" t="s">
        <v>12</v>
      </c>
      <c r="K451" s="130" t="s">
        <v>120</v>
      </c>
      <c r="L451" s="169" t="s">
        <v>8</v>
      </c>
      <c r="M451" s="130" t="s">
        <v>228</v>
      </c>
      <c r="N451" s="169" t="s">
        <v>8</v>
      </c>
      <c r="O451" s="154" t="s">
        <v>226</v>
      </c>
      <c r="P451" s="6">
        <v>0</v>
      </c>
      <c r="Q451" s="103" t="str">
        <f>IF('INFO BASE'!$C$25="","",'INFO BASE'!$C$25)</f>
        <v>Horário de Dúvidas</v>
      </c>
      <c r="R451" s="87" t="str">
        <f t="shared" si="253"/>
        <v>HDV</v>
      </c>
      <c r="S451" s="88">
        <f t="shared" si="250"/>
        <v>-1</v>
      </c>
      <c r="T451" s="89">
        <f>IF(VLOOKUP(Q451,'INFO BASE'!$B$40:$I$54,IF(R451='INFO BASE'!$B$32,3,IF(R451='INFO BASE'!$B$33,4,IF(R451='INFO BASE'!$B$34,5,IF(R451='INFO BASE'!$B$35,6,IF(R451='INFO BASE'!$B$36,7,IF(R451='INFO BASE'!$B$37,8,2)))))),0)=0,"",VLOOKUP(Q451,'INFO BASE'!$B$40:$I$54,IF(R451='INFO BASE'!$B$32,3,IF(R451='INFO BASE'!$B$33,4,IF(R451='INFO BASE'!$B$34,5,IF(R451='INFO BASE'!$B$35,6,IF(R451='INFO BASE'!$B$36,7,IF(R451='INFO BASE'!$B$37,8,2)))))),0))</f>
        <v>3</v>
      </c>
      <c r="U451" s="89">
        <f t="shared" si="262"/>
        <v>0</v>
      </c>
      <c r="V451" s="89">
        <f>IF(R451="","",COUNTIFS(AI408:AV455,R451)*0.5)</f>
        <v>0</v>
      </c>
      <c r="W451" s="90">
        <f>IF(AH404="","-",IF(V451=0,U451,IFERROR((U451/V451)-1,"-")))</f>
        <v>0</v>
      </c>
      <c r="X451" s="201">
        <f t="shared" si="251"/>
        <v>0</v>
      </c>
      <c r="Y451" s="271"/>
      <c r="Z451" s="272"/>
      <c r="AA451" s="272"/>
      <c r="AB451" s="272"/>
      <c r="AC451" s="272"/>
      <c r="AD451" s="272"/>
      <c r="AE451" s="272"/>
      <c r="AF451" s="273"/>
      <c r="AH451" s="136">
        <v>0.89583333333336201</v>
      </c>
      <c r="AI451" s="136" t="s">
        <v>12</v>
      </c>
      <c r="AJ451" s="136" t="s">
        <v>120</v>
      </c>
      <c r="AK451" s="136" t="s">
        <v>12</v>
      </c>
      <c r="AL451" s="136" t="s">
        <v>120</v>
      </c>
      <c r="AM451" s="136" t="s">
        <v>12</v>
      </c>
      <c r="AN451" s="136" t="s">
        <v>120</v>
      </c>
      <c r="AO451" s="136" t="s">
        <v>12</v>
      </c>
      <c r="AP451" s="136" t="s">
        <v>120</v>
      </c>
      <c r="AQ451" s="136" t="s">
        <v>12</v>
      </c>
      <c r="AR451" s="136" t="s">
        <v>120</v>
      </c>
      <c r="AS451" s="136" t="s">
        <v>116</v>
      </c>
      <c r="AT451" s="136" t="s">
        <v>120</v>
      </c>
      <c r="AU451" s="136" t="s">
        <v>116</v>
      </c>
      <c r="AV451" s="136" t="s">
        <v>120</v>
      </c>
      <c r="AX451" s="136" t="str">
        <f>IF(AI404="","",IF(B451="","",B451))</f>
        <v>HR</v>
      </c>
      <c r="AY451" s="136" t="str">
        <f>IF(AI404="","",IF(C451="","",C451))</f>
        <v>-</v>
      </c>
      <c r="AZ451" s="136" t="str">
        <f>IF(AI404="","",IF(D451="","",D451))</f>
        <v>HR</v>
      </c>
      <c r="BA451" s="136" t="str">
        <f>IF(AI404="","",IF(E451="","",E451))</f>
        <v>-</v>
      </c>
      <c r="BB451" s="136" t="str">
        <f>IF(AI404="","",IF(F451="","",F451))</f>
        <v>HR</v>
      </c>
      <c r="BC451" s="136" t="str">
        <f>IF(AI404="","",IF(G451="","",G451))</f>
        <v>-</v>
      </c>
      <c r="BD451" s="136" t="str">
        <f>IF(AI404="","",IF(H451="","",H451))</f>
        <v>HR</v>
      </c>
      <c r="BE451" s="136" t="str">
        <f>IF(AI404="","",IF(I451="","",I451))</f>
        <v>-</v>
      </c>
      <c r="BF451" s="136" t="str">
        <f>IF(AI404="","",IF(J451="","",J451))</f>
        <v>HR</v>
      </c>
      <c r="BG451" s="136" t="str">
        <f>IF(AI404="","",IF(K451="","",K451))</f>
        <v>-</v>
      </c>
      <c r="BH451" s="136" t="str">
        <f>IF(AI404="","",IF(L451="","",L451))</f>
        <v>EA</v>
      </c>
      <c r="BI451" s="136" t="str">
        <f>IF(AI404="","",IF(M451="","",M451))</f>
        <v>IAC</v>
      </c>
      <c r="BJ451" s="136" t="str">
        <f>IF(AI404="","",IF(N451="","",N451))</f>
        <v>EA</v>
      </c>
      <c r="BK451" s="136" t="str">
        <f>IF(AI404="","",IF(O451="","",O451))</f>
        <v>IEI</v>
      </c>
      <c r="BN451" s="136" t="str">
        <f t="shared" si="246"/>
        <v>Refeição</v>
      </c>
      <c r="BO451" s="136" t="str">
        <f t="shared" si="246"/>
        <v>HR</v>
      </c>
      <c r="BP451" s="136">
        <f>IF(BO451="","",COUNTIFS(AX408:BK455,BO451)*0.5)</f>
        <v>13.5</v>
      </c>
      <c r="BQ451" s="136" t="str">
        <f t="shared" si="247"/>
        <v>Refeição</v>
      </c>
      <c r="BR451" s="136" t="str">
        <f t="shared" si="247"/>
        <v>HR</v>
      </c>
      <c r="BS451" s="136" t="str">
        <f t="shared" si="248"/>
        <v>Refeição</v>
      </c>
      <c r="BT451" s="136">
        <f t="shared" si="254"/>
        <v>126</v>
      </c>
      <c r="BU451" s="136">
        <f t="shared" si="255"/>
        <v>124</v>
      </c>
      <c r="CA451" s="136">
        <f>'INFO BASE'!L528</f>
        <v>0</v>
      </c>
      <c r="CB451" s="136">
        <f>'INFO BASE'!M528</f>
        <v>0</v>
      </c>
      <c r="CR451" s="177" t="str">
        <f t="shared" si="236"/>
        <v>HR</v>
      </c>
      <c r="CS451" s="177" t="str">
        <f t="shared" si="237"/>
        <v>HR-</v>
      </c>
      <c r="CT451" s="177" t="str">
        <f t="shared" si="236"/>
        <v>HR</v>
      </c>
      <c r="CU451" s="177" t="str">
        <f t="shared" si="238"/>
        <v>HR-</v>
      </c>
      <c r="CV451" s="177" t="str">
        <f t="shared" si="236"/>
        <v>HR</v>
      </c>
      <c r="CW451" s="177" t="str">
        <f t="shared" si="239"/>
        <v>HR-</v>
      </c>
      <c r="CX451" s="177" t="str">
        <f t="shared" ref="CX451:CX455" si="263">IF(H451="",1,H451)</f>
        <v>HR</v>
      </c>
      <c r="CY451" s="177" t="str">
        <f t="shared" si="240"/>
        <v>HR-</v>
      </c>
      <c r="CZ451" s="177" t="str">
        <f t="shared" ref="CZ451:CZ455" si="264">IF(J451="",1,J451)</f>
        <v>HR</v>
      </c>
      <c r="DA451" s="177" t="str">
        <f t="shared" si="241"/>
        <v>HR-</v>
      </c>
      <c r="DB451" s="177" t="str">
        <f t="shared" ref="DB451:DB455" si="265">IF(L451="",1,L451)</f>
        <v>EA</v>
      </c>
      <c r="DC451" s="177" t="str">
        <f t="shared" si="242"/>
        <v>EAIAC</v>
      </c>
      <c r="DD451" s="177" t="str">
        <f t="shared" si="243"/>
        <v>EA</v>
      </c>
      <c r="DE451" s="177" t="str">
        <f t="shared" si="244"/>
        <v>EAIEI</v>
      </c>
    </row>
    <row r="452" spans="1:120" ht="18" customHeight="1" x14ac:dyDescent="0.3">
      <c r="A452" s="81">
        <v>0.91666666666669605</v>
      </c>
      <c r="B452" s="166" t="s">
        <v>116</v>
      </c>
      <c r="C452" s="130" t="s">
        <v>120</v>
      </c>
      <c r="D452" s="169" t="s">
        <v>116</v>
      </c>
      <c r="E452" s="130" t="s">
        <v>120</v>
      </c>
      <c r="F452" s="169" t="s">
        <v>116</v>
      </c>
      <c r="G452" s="130" t="s">
        <v>120</v>
      </c>
      <c r="H452" s="169" t="s">
        <v>116</v>
      </c>
      <c r="I452" s="130" t="s">
        <v>120</v>
      </c>
      <c r="J452" s="169" t="s">
        <v>8</v>
      </c>
      <c r="K452" s="130" t="s">
        <v>231</v>
      </c>
      <c r="L452" s="169" t="s">
        <v>116</v>
      </c>
      <c r="M452" s="130" t="s">
        <v>120</v>
      </c>
      <c r="N452" s="169" t="s">
        <v>8</v>
      </c>
      <c r="O452" s="154" t="s">
        <v>226</v>
      </c>
      <c r="P452" s="6">
        <v>0.2</v>
      </c>
      <c r="Q452" s="104" t="str">
        <f>IF('INFO BASE'!$C$26="","",'INFO BASE'!$C$26)</f>
        <v>Privado</v>
      </c>
      <c r="R452" s="87" t="str">
        <f t="shared" si="253"/>
        <v>PV</v>
      </c>
      <c r="S452" s="88">
        <f t="shared" si="250"/>
        <v>0.41509433962264142</v>
      </c>
      <c r="T452" s="89">
        <f>IF(VLOOKUP(Q452,'INFO BASE'!$B$40:$I$54,IF(R452='INFO BASE'!$B$32,3,IF(R452='INFO BASE'!$B$33,4,IF(R452='INFO BASE'!$B$34,5,IF(R452='INFO BASE'!$B$35,6,IF(R452='INFO BASE'!$B$36,7,IF(R452='INFO BASE'!$B$37,8,2)))))),0)=0,"",VLOOKUP(Q452,'INFO BASE'!$B$40:$I$54,IF(R452='INFO BASE'!$B$32,3,IF(R452='INFO BASE'!$B$33,4,IF(R452='INFO BASE'!$B$34,5,IF(R452='INFO BASE'!$B$35,6,IF(R452='INFO BASE'!$B$36,7,IF(R452='INFO BASE'!$B$37,8,2)))))),0))</f>
        <v>26.5</v>
      </c>
      <c r="U452" s="89">
        <f t="shared" si="262"/>
        <v>37.5</v>
      </c>
      <c r="V452" s="89">
        <f>IF(R452="","",COUNTIFS(AI408:AV455,R452)*0.5)</f>
        <v>45.5</v>
      </c>
      <c r="W452" s="90">
        <f>IF(AH404="","-",IF(V452=0,U452,IFERROR((U452/V452)-1,"-")))</f>
        <v>-0.17582417582417587</v>
      </c>
      <c r="X452" s="202">
        <f t="shared" si="251"/>
        <v>0</v>
      </c>
      <c r="Y452" s="271"/>
      <c r="Z452" s="272"/>
      <c r="AA452" s="272"/>
      <c r="AB452" s="272"/>
      <c r="AC452" s="272"/>
      <c r="AD452" s="272"/>
      <c r="AE452" s="272"/>
      <c r="AF452" s="273"/>
      <c r="AH452" s="136">
        <v>0.91666666666669605</v>
      </c>
      <c r="AI452" s="136" t="s">
        <v>116</v>
      </c>
      <c r="AJ452" s="136" t="s">
        <v>120</v>
      </c>
      <c r="AK452" s="136" t="s">
        <v>116</v>
      </c>
      <c r="AL452" s="136" t="s">
        <v>120</v>
      </c>
      <c r="AM452" s="136" t="s">
        <v>116</v>
      </c>
      <c r="AN452" s="136" t="s">
        <v>120</v>
      </c>
      <c r="AO452" s="136" t="s">
        <v>116</v>
      </c>
      <c r="AP452" s="136" t="s">
        <v>120</v>
      </c>
      <c r="AQ452" s="136" t="s">
        <v>8</v>
      </c>
      <c r="AR452" s="136" t="s">
        <v>231</v>
      </c>
      <c r="AS452" s="136" t="s">
        <v>116</v>
      </c>
      <c r="AT452" s="136" t="s">
        <v>120</v>
      </c>
      <c r="AU452" s="136" t="s">
        <v>116</v>
      </c>
      <c r="AV452" s="136" t="s">
        <v>120</v>
      </c>
      <c r="AX452" s="136" t="str">
        <f>IF(AI404="","",IF(B452="","",B452))</f>
        <v>PV</v>
      </c>
      <c r="AY452" s="136" t="str">
        <f>IF(AI404="","",IF(C452="","",C452))</f>
        <v>-</v>
      </c>
      <c r="AZ452" s="136" t="str">
        <f>IF(AI404="","",IF(D452="","",D452))</f>
        <v>PV</v>
      </c>
      <c r="BA452" s="136" t="str">
        <f>IF(AI404="","",IF(E452="","",E452))</f>
        <v>-</v>
      </c>
      <c r="BB452" s="136" t="str">
        <f>IF(AI404="","",IF(F452="","",F452))</f>
        <v>PV</v>
      </c>
      <c r="BC452" s="136" t="str">
        <f>IF(AI404="","",IF(G452="","",G452))</f>
        <v>-</v>
      </c>
      <c r="BD452" s="136" t="str">
        <f>IF(AI404="","",IF(H452="","",H452))</f>
        <v>PV</v>
      </c>
      <c r="BE452" s="136" t="str">
        <f>IF(AI404="","",IF(I452="","",I452))</f>
        <v>-</v>
      </c>
      <c r="BF452" s="136" t="str">
        <f>IF(AI404="","",IF(J452="","",J452))</f>
        <v>EA</v>
      </c>
      <c r="BG452" s="136" t="str">
        <f>IF(AI404="","",IF(K452="","",K452))</f>
        <v>CDI</v>
      </c>
      <c r="BH452" s="136" t="str">
        <f>IF(AI404="","",IF(L452="","",L452))</f>
        <v>PV</v>
      </c>
      <c r="BI452" s="136" t="str">
        <f>IF(AI404="","",IF(M452="","",M452))</f>
        <v>-</v>
      </c>
      <c r="BJ452" s="136" t="str">
        <f>IF(AI404="","",IF(N452="","",N452))</f>
        <v>EA</v>
      </c>
      <c r="BK452" s="136" t="str">
        <f>IF(AI404="","",IF(O452="","",O452))</f>
        <v>IEI</v>
      </c>
      <c r="BN452" s="136" t="str">
        <f t="shared" si="246"/>
        <v>Sono</v>
      </c>
      <c r="BO452" s="136" t="str">
        <f t="shared" si="246"/>
        <v>HS</v>
      </c>
      <c r="BP452" s="136">
        <f>IF(BO452="","",COUNTIFS(AX408:BK455,BO452)*0.5)</f>
        <v>49</v>
      </c>
      <c r="BQ452" s="136" t="str">
        <f t="shared" si="247"/>
        <v>Sono</v>
      </c>
      <c r="BR452" s="136" t="str">
        <f t="shared" si="247"/>
        <v>HS</v>
      </c>
      <c r="BS452" s="136" t="str">
        <f t="shared" si="248"/>
        <v>Sono</v>
      </c>
      <c r="BT452" s="136">
        <f t="shared" si="254"/>
        <v>417</v>
      </c>
      <c r="BU452" s="136">
        <f t="shared" si="255"/>
        <v>417.5</v>
      </c>
      <c r="CA452" s="136">
        <f>'INFO BASE'!L529</f>
        <v>0</v>
      </c>
      <c r="CB452" s="136">
        <f>'INFO BASE'!M529</f>
        <v>0</v>
      </c>
      <c r="CR452" s="177" t="str">
        <f t="shared" ref="CR452:CR455" si="266">IF(B452="",1,B452)</f>
        <v>PV</v>
      </c>
      <c r="CS452" s="177">
        <f t="shared" si="237"/>
        <v>0</v>
      </c>
      <c r="CT452" s="177" t="str">
        <f t="shared" ref="CT452:CT455" si="267">IF(D452="",1,D452)</f>
        <v>PV</v>
      </c>
      <c r="CU452" s="177">
        <f t="shared" si="238"/>
        <v>0</v>
      </c>
      <c r="CV452" s="177" t="str">
        <f t="shared" ref="CV452:CV455" si="268">IF(F452="",1,F452)</f>
        <v>PV</v>
      </c>
      <c r="CW452" s="177">
        <f t="shared" si="239"/>
        <v>0</v>
      </c>
      <c r="CX452" s="177" t="str">
        <f t="shared" si="263"/>
        <v>PV</v>
      </c>
      <c r="CY452" s="177">
        <f t="shared" si="240"/>
        <v>0</v>
      </c>
      <c r="CZ452" s="177" t="str">
        <f t="shared" si="264"/>
        <v>EA</v>
      </c>
      <c r="DA452" s="177" t="str">
        <f t="shared" si="241"/>
        <v>EACDI</v>
      </c>
      <c r="DB452" s="177" t="str">
        <f t="shared" si="265"/>
        <v>PV</v>
      </c>
      <c r="DC452" s="177">
        <f t="shared" si="242"/>
        <v>0</v>
      </c>
      <c r="DD452" s="177" t="str">
        <f t="shared" si="243"/>
        <v>EA</v>
      </c>
      <c r="DE452" s="177" t="str">
        <f t="shared" si="244"/>
        <v>EAIEI</v>
      </c>
    </row>
    <row r="453" spans="1:120" ht="18" customHeight="1" x14ac:dyDescent="0.3">
      <c r="A453" s="81">
        <v>0.93750000000002998</v>
      </c>
      <c r="B453" s="166" t="s">
        <v>116</v>
      </c>
      <c r="C453" s="130" t="s">
        <v>120</v>
      </c>
      <c r="D453" s="169" t="s">
        <v>116</v>
      </c>
      <c r="E453" s="130" t="s">
        <v>120</v>
      </c>
      <c r="F453" s="169" t="s">
        <v>116</v>
      </c>
      <c r="G453" s="130" t="s">
        <v>120</v>
      </c>
      <c r="H453" s="169" t="s">
        <v>116</v>
      </c>
      <c r="I453" s="130" t="s">
        <v>120</v>
      </c>
      <c r="J453" s="169" t="s">
        <v>8</v>
      </c>
      <c r="K453" s="130" t="s">
        <v>231</v>
      </c>
      <c r="L453" s="169" t="s">
        <v>116</v>
      </c>
      <c r="M453" s="130" t="s">
        <v>120</v>
      </c>
      <c r="N453" s="169" t="s">
        <v>8</v>
      </c>
      <c r="O453" s="154" t="s">
        <v>226</v>
      </c>
      <c r="P453" s="6">
        <v>0.2</v>
      </c>
      <c r="Q453" s="86" t="str">
        <f>IF('INFO BASE'!$C$27="","",'INFO BASE'!$C$27)</f>
        <v>Deslocação</v>
      </c>
      <c r="R453" s="87" t="str">
        <f t="shared" si="253"/>
        <v>HD</v>
      </c>
      <c r="S453" s="88">
        <f t="shared" si="250"/>
        <v>0.60000000000000009</v>
      </c>
      <c r="T453" s="89">
        <f>IF(VLOOKUP(Q453,'INFO BASE'!$B$40:$I$54,IF(R453='INFO BASE'!$B$32,3,IF(R453='INFO BASE'!$B$33,4,IF(R453='INFO BASE'!$B$34,5,IF(R453='INFO BASE'!$B$35,6,IF(R453='INFO BASE'!$B$36,7,IF(R453='INFO BASE'!$B$37,8,2)))))),0)=0,"",VLOOKUP(Q453,'INFO BASE'!$B$40:$I$54,IF(R453='INFO BASE'!$B$32,3,IF(R453='INFO BASE'!$B$33,4,IF(R453='INFO BASE'!$B$34,5,IF(R453='INFO BASE'!$B$35,6,IF(R453='INFO BASE'!$B$36,7,IF(R453='INFO BASE'!$B$37,8,2)))))),0))</f>
        <v>10</v>
      </c>
      <c r="U453" s="89">
        <f t="shared" si="262"/>
        <v>16</v>
      </c>
      <c r="V453" s="89">
        <f>IF(R453="","",COUNTIFS(AI408:AV455,R453)*0.5)</f>
        <v>16</v>
      </c>
      <c r="W453" s="90">
        <f>IF(AH404="","-",IF(V453=0,U453,IFERROR((U453/V453)-1,"-")))</f>
        <v>0</v>
      </c>
      <c r="X453" s="203">
        <f t="shared" si="251"/>
        <v>0</v>
      </c>
      <c r="Y453" s="271"/>
      <c r="Z453" s="272"/>
      <c r="AA453" s="272"/>
      <c r="AB453" s="272"/>
      <c r="AC453" s="272"/>
      <c r="AD453" s="272"/>
      <c r="AE453" s="272"/>
      <c r="AF453" s="273"/>
      <c r="AH453" s="136">
        <v>0.93750000000002998</v>
      </c>
      <c r="AI453" s="136" t="s">
        <v>116</v>
      </c>
      <c r="AJ453" s="136" t="s">
        <v>120</v>
      </c>
      <c r="AK453" s="136" t="s">
        <v>116</v>
      </c>
      <c r="AL453" s="136" t="s">
        <v>120</v>
      </c>
      <c r="AM453" s="136" t="s">
        <v>116</v>
      </c>
      <c r="AN453" s="136" t="s">
        <v>120</v>
      </c>
      <c r="AO453" s="136" t="s">
        <v>116</v>
      </c>
      <c r="AP453" s="136" t="s">
        <v>120</v>
      </c>
      <c r="AQ453" s="136" t="s">
        <v>8</v>
      </c>
      <c r="AR453" s="136" t="s">
        <v>231</v>
      </c>
      <c r="AS453" s="136" t="s">
        <v>116</v>
      </c>
      <c r="AT453" s="136" t="s">
        <v>120</v>
      </c>
      <c r="AU453" s="136" t="s">
        <v>116</v>
      </c>
      <c r="AV453" s="136" t="s">
        <v>120</v>
      </c>
      <c r="AX453" s="136" t="str">
        <f>IF(AI404="","",IF(B453="","",B453))</f>
        <v>PV</v>
      </c>
      <c r="AY453" s="136" t="str">
        <f>IF(AI404="","",IF(C453="","",C453))</f>
        <v>-</v>
      </c>
      <c r="AZ453" s="136" t="str">
        <f>IF(AI404="","",IF(D453="","",D453))</f>
        <v>PV</v>
      </c>
      <c r="BA453" s="136" t="str">
        <f>IF(AI404="","",IF(E453="","",E453))</f>
        <v>-</v>
      </c>
      <c r="BB453" s="136" t="str">
        <f>IF(AI404="","",IF(F453="","",F453))</f>
        <v>PV</v>
      </c>
      <c r="BC453" s="136" t="str">
        <f>IF(AI404="","",IF(G453="","",G453))</f>
        <v>-</v>
      </c>
      <c r="BD453" s="136" t="str">
        <f>IF(AI404="","",IF(H453="","",H453))</f>
        <v>PV</v>
      </c>
      <c r="BE453" s="136" t="str">
        <f>IF(AI404="","",IF(I453="","",I453))</f>
        <v>-</v>
      </c>
      <c r="BF453" s="136" t="str">
        <f>IF(AI404="","",IF(J453="","",J453))</f>
        <v>EA</v>
      </c>
      <c r="BG453" s="136" t="str">
        <f>IF(AI404="","",IF(K453="","",K453))</f>
        <v>CDI</v>
      </c>
      <c r="BH453" s="136" t="str">
        <f>IF(AI404="","",IF(L453="","",L453))</f>
        <v>PV</v>
      </c>
      <c r="BI453" s="136" t="str">
        <f>IF(AI404="","",IF(M453="","",M453))</f>
        <v>-</v>
      </c>
      <c r="BJ453" s="136" t="str">
        <f>IF(AI404="","",IF(N453="","",N453))</f>
        <v>EA</v>
      </c>
      <c r="BK453" s="136" t="str">
        <f>IF(AI404="","",IF(O453="","",O453))</f>
        <v>IEI</v>
      </c>
      <c r="BP453" s="136" t="str">
        <f>IF(BO453="","",COUNTIFS(AX408:BK455,BO453)*0.5)</f>
        <v/>
      </c>
      <c r="CA453" s="136">
        <f>'INFO BASE'!L530</f>
        <v>0</v>
      </c>
      <c r="CB453" s="136">
        <f>'INFO BASE'!M530</f>
        <v>0</v>
      </c>
      <c r="CR453" s="177" t="str">
        <f t="shared" si="266"/>
        <v>PV</v>
      </c>
      <c r="CS453" s="177">
        <f t="shared" si="237"/>
        <v>0</v>
      </c>
      <c r="CT453" s="177" t="str">
        <f t="shared" si="267"/>
        <v>PV</v>
      </c>
      <c r="CU453" s="177">
        <f t="shared" si="238"/>
        <v>0</v>
      </c>
      <c r="CV453" s="177" t="str">
        <f t="shared" si="268"/>
        <v>PV</v>
      </c>
      <c r="CW453" s="177">
        <f t="shared" si="239"/>
        <v>0</v>
      </c>
      <c r="CX453" s="177" t="str">
        <f t="shared" si="263"/>
        <v>PV</v>
      </c>
      <c r="CY453" s="177">
        <f t="shared" si="240"/>
        <v>0</v>
      </c>
      <c r="CZ453" s="177" t="str">
        <f t="shared" si="264"/>
        <v>EA</v>
      </c>
      <c r="DA453" s="177" t="str">
        <f t="shared" si="241"/>
        <v>EACDI</v>
      </c>
      <c r="DB453" s="177" t="str">
        <f t="shared" si="265"/>
        <v>PV</v>
      </c>
      <c r="DC453" s="177">
        <f t="shared" si="242"/>
        <v>0</v>
      </c>
      <c r="DD453" s="177" t="str">
        <f t="shared" si="243"/>
        <v>EA</v>
      </c>
      <c r="DE453" s="177" t="str">
        <f t="shared" si="244"/>
        <v>EAIEI</v>
      </c>
    </row>
    <row r="454" spans="1:120" ht="18" customHeight="1" x14ac:dyDescent="0.3">
      <c r="A454" s="81">
        <v>0.95833333333336401</v>
      </c>
      <c r="B454" s="166" t="s">
        <v>10</v>
      </c>
      <c r="C454" s="130" t="s">
        <v>120</v>
      </c>
      <c r="D454" s="169" t="s">
        <v>10</v>
      </c>
      <c r="E454" s="130" t="s">
        <v>120</v>
      </c>
      <c r="F454" s="169" t="s">
        <v>10</v>
      </c>
      <c r="G454" s="130" t="s">
        <v>120</v>
      </c>
      <c r="H454" s="169" t="s">
        <v>10</v>
      </c>
      <c r="I454" s="130" t="s">
        <v>120</v>
      </c>
      <c r="J454" s="169" t="s">
        <v>8</v>
      </c>
      <c r="K454" s="130" t="s">
        <v>231</v>
      </c>
      <c r="L454" s="169" t="s">
        <v>116</v>
      </c>
      <c r="M454" s="130" t="s">
        <v>120</v>
      </c>
      <c r="N454" s="169" t="s">
        <v>8</v>
      </c>
      <c r="O454" s="154" t="s">
        <v>226</v>
      </c>
      <c r="P454" s="6">
        <v>0.2</v>
      </c>
      <c r="Q454" s="91" t="str">
        <f>IF('INFO BASE'!$C$28="","",'INFO BASE'!$C$28)</f>
        <v>Refeição</v>
      </c>
      <c r="R454" s="87" t="str">
        <f t="shared" si="253"/>
        <v>HR</v>
      </c>
      <c r="S454" s="88">
        <f t="shared" si="250"/>
        <v>-9.9999999999999978E-2</v>
      </c>
      <c r="T454" s="89">
        <f>IF(VLOOKUP(Q454,'INFO BASE'!$B$40:$I$54,IF(R454='INFO BASE'!$B$32,3,IF(R454='INFO BASE'!$B$33,4,IF(R454='INFO BASE'!$B$34,5,IF(R454='INFO BASE'!$B$35,6,IF(R454='INFO BASE'!$B$36,7,IF(R454='INFO BASE'!$B$37,8,2)))))),0)=0,"",VLOOKUP(Q454,'INFO BASE'!$B$40:$I$54,IF(R454='INFO BASE'!$B$32,3,IF(R454='INFO BASE'!$B$33,4,IF(R454='INFO BASE'!$B$34,5,IF(R454='INFO BASE'!$B$35,6,IF(R454='INFO BASE'!$B$36,7,IF(R454='INFO BASE'!$B$37,8,2)))))),0))</f>
        <v>15</v>
      </c>
      <c r="U454" s="89">
        <f t="shared" si="262"/>
        <v>13.5</v>
      </c>
      <c r="V454" s="89">
        <f>IF(R454="","",COUNTIFS(AI408:AV455,R454)*0.5)</f>
        <v>14</v>
      </c>
      <c r="W454" s="90">
        <f>IF(AH404="","-",IF(V454=0,U454,IFERROR((U454/V454)-1,"-")))</f>
        <v>-3.5714285714285698E-2</v>
      </c>
      <c r="X454" s="204">
        <f t="shared" si="251"/>
        <v>0</v>
      </c>
      <c r="Y454" s="271"/>
      <c r="Z454" s="272"/>
      <c r="AA454" s="272"/>
      <c r="AB454" s="272"/>
      <c r="AC454" s="272"/>
      <c r="AD454" s="272"/>
      <c r="AE454" s="272"/>
      <c r="AF454" s="273"/>
      <c r="AH454" s="136">
        <v>0.95833333333336401</v>
      </c>
      <c r="AI454" s="136" t="s">
        <v>10</v>
      </c>
      <c r="AJ454" s="136" t="s">
        <v>120</v>
      </c>
      <c r="AK454" s="136" t="s">
        <v>10</v>
      </c>
      <c r="AL454" s="136" t="s">
        <v>120</v>
      </c>
      <c r="AM454" s="136" t="s">
        <v>10</v>
      </c>
      <c r="AN454" s="136" t="s">
        <v>120</v>
      </c>
      <c r="AO454" s="136" t="s">
        <v>10</v>
      </c>
      <c r="AP454" s="136" t="s">
        <v>120</v>
      </c>
      <c r="AQ454" s="136" t="s">
        <v>8</v>
      </c>
      <c r="AR454" s="136" t="s">
        <v>231</v>
      </c>
      <c r="AS454" s="136" t="s">
        <v>116</v>
      </c>
      <c r="AT454" s="136" t="s">
        <v>120</v>
      </c>
      <c r="AU454" s="136" t="s">
        <v>116</v>
      </c>
      <c r="AV454" s="136" t="s">
        <v>120</v>
      </c>
      <c r="AX454" s="136" t="str">
        <f>IF(AI404="","",IF(B454="","",B454))</f>
        <v>HS</v>
      </c>
      <c r="AY454" s="136" t="str">
        <f>IF(AI404="","",IF(C454="","",C454))</f>
        <v>-</v>
      </c>
      <c r="AZ454" s="136" t="str">
        <f>IF(AI404="","",IF(D454="","",D454))</f>
        <v>HS</v>
      </c>
      <c r="BA454" s="136" t="str">
        <f>IF(AI404="","",IF(E454="","",E454))</f>
        <v>-</v>
      </c>
      <c r="BB454" s="136" t="str">
        <f>IF(AI404="","",IF(F454="","",F454))</f>
        <v>HS</v>
      </c>
      <c r="BC454" s="136" t="str">
        <f>IF(AI404="","",IF(G454="","",G454))</f>
        <v>-</v>
      </c>
      <c r="BD454" s="136" t="str">
        <f>IF(AI404="","",IF(H454="","",H454))</f>
        <v>HS</v>
      </c>
      <c r="BE454" s="136" t="str">
        <f>IF(AI404="","",IF(I454="","",I454))</f>
        <v>-</v>
      </c>
      <c r="BF454" s="136" t="str">
        <f>IF(AI404="","",IF(J454="","",J454))</f>
        <v>EA</v>
      </c>
      <c r="BG454" s="136" t="str">
        <f>IF(AI404="","",IF(K454="","",K454))</f>
        <v>CDI</v>
      </c>
      <c r="BH454" s="136" t="str">
        <f>IF(AI404="","",IF(L454="","",L454))</f>
        <v>PV</v>
      </c>
      <c r="BI454" s="136" t="str">
        <f>IF(AI404="","",IF(M454="","",M454))</f>
        <v>-</v>
      </c>
      <c r="BJ454" s="136" t="str">
        <f>IF(AI404="","",IF(N454="","",N454))</f>
        <v>EA</v>
      </c>
      <c r="BK454" s="136" t="str">
        <f>IF(AI404="","",IF(O454="","",O454))</f>
        <v>IEI</v>
      </c>
      <c r="BP454" s="136" t="str">
        <f>IF(BO454="","",COUNTIFS(AX408:BK455,BO454)*0.5)</f>
        <v/>
      </c>
      <c r="CA454" s="136">
        <f>'INFO BASE'!L531</f>
        <v>0</v>
      </c>
      <c r="CB454" s="136">
        <f>'INFO BASE'!M531</f>
        <v>0</v>
      </c>
      <c r="CR454" s="177" t="str">
        <f t="shared" si="266"/>
        <v>HS</v>
      </c>
      <c r="CS454" s="177" t="str">
        <f t="shared" si="237"/>
        <v>HS-</v>
      </c>
      <c r="CT454" s="177" t="str">
        <f t="shared" si="267"/>
        <v>HS</v>
      </c>
      <c r="CU454" s="177" t="str">
        <f t="shared" si="238"/>
        <v>HS-</v>
      </c>
      <c r="CV454" s="177" t="str">
        <f t="shared" si="268"/>
        <v>HS</v>
      </c>
      <c r="CW454" s="177" t="str">
        <f t="shared" si="239"/>
        <v>HS-</v>
      </c>
      <c r="CX454" s="177" t="str">
        <f t="shared" si="263"/>
        <v>HS</v>
      </c>
      <c r="CY454" s="177" t="str">
        <f t="shared" si="240"/>
        <v>HS-</v>
      </c>
      <c r="CZ454" s="177" t="str">
        <f t="shared" si="264"/>
        <v>EA</v>
      </c>
      <c r="DA454" s="177" t="str">
        <f t="shared" si="241"/>
        <v>EACDI</v>
      </c>
      <c r="DB454" s="177" t="str">
        <f t="shared" si="265"/>
        <v>PV</v>
      </c>
      <c r="DC454" s="177">
        <f t="shared" si="242"/>
        <v>0</v>
      </c>
      <c r="DD454" s="177" t="str">
        <f t="shared" si="243"/>
        <v>EA</v>
      </c>
      <c r="DE454" s="177" t="str">
        <f t="shared" si="244"/>
        <v>EAIEI</v>
      </c>
    </row>
    <row r="455" spans="1:120" ht="18" customHeight="1" thickBot="1" x14ac:dyDescent="0.35">
      <c r="A455" s="180">
        <v>0.97916666666669805</v>
      </c>
      <c r="B455" s="167" t="s">
        <v>10</v>
      </c>
      <c r="C455" s="156" t="s">
        <v>120</v>
      </c>
      <c r="D455" s="170" t="s">
        <v>10</v>
      </c>
      <c r="E455" s="156" t="s">
        <v>120</v>
      </c>
      <c r="F455" s="170" t="s">
        <v>10</v>
      </c>
      <c r="G455" s="156" t="s">
        <v>120</v>
      </c>
      <c r="H455" s="170" t="s">
        <v>10</v>
      </c>
      <c r="I455" s="156" t="s">
        <v>120</v>
      </c>
      <c r="J455" s="170" t="s">
        <v>8</v>
      </c>
      <c r="K455" s="156" t="s">
        <v>231</v>
      </c>
      <c r="L455" s="170" t="s">
        <v>12</v>
      </c>
      <c r="M455" s="156" t="s">
        <v>120</v>
      </c>
      <c r="N455" s="170" t="s">
        <v>8</v>
      </c>
      <c r="O455" s="158" t="s">
        <v>226</v>
      </c>
      <c r="P455" s="6">
        <v>0.2</v>
      </c>
      <c r="Q455" s="92" t="str">
        <f>IF('INFO BASE'!$C$29="","",'INFO BASE'!$C$29)</f>
        <v>Sono</v>
      </c>
      <c r="R455" s="93" t="str">
        <f t="shared" si="253"/>
        <v>HS</v>
      </c>
      <c r="S455" s="94">
        <f t="shared" si="250"/>
        <v>0</v>
      </c>
      <c r="T455" s="95">
        <f>IF(VLOOKUP(Q455,'INFO BASE'!$B$40:$I$54,IF(R455='INFO BASE'!$B$32,3,IF(R455='INFO BASE'!$B$33,4,IF(R455='INFO BASE'!$B$34,5,IF(R455='INFO BASE'!$B$35,6,IF(R455='INFO BASE'!$B$36,7,IF(R455='INFO BASE'!$B$37,8,2)))))),0)=0,"",VLOOKUP(Q455,'INFO BASE'!$B$40:$I$54,IF(R455='INFO BASE'!$B$32,3,IF(R455='INFO BASE'!$B$33,4,IF(R455='INFO BASE'!$B$34,5,IF(R455='INFO BASE'!$B$35,6,IF(R455='INFO BASE'!$B$36,7,IF(R455='INFO BASE'!$B$37,8,2)))))),0))</f>
        <v>49</v>
      </c>
      <c r="U455" s="95">
        <f t="shared" si="262"/>
        <v>49</v>
      </c>
      <c r="V455" s="95">
        <f>IF(R455="","",COUNTIFS(AI408:AV455,R455)*0.5)</f>
        <v>52.5</v>
      </c>
      <c r="W455" s="96">
        <f>IF(AH404="","-",IF(V455=0,U455,IFERROR((U455/V455)-1,"-")))</f>
        <v>-6.6666666666666652E-2</v>
      </c>
      <c r="X455" s="204">
        <f t="shared" si="251"/>
        <v>0</v>
      </c>
      <c r="Y455" s="274"/>
      <c r="Z455" s="275"/>
      <c r="AA455" s="275"/>
      <c r="AB455" s="275"/>
      <c r="AC455" s="275"/>
      <c r="AD455" s="275"/>
      <c r="AE455" s="275"/>
      <c r="AF455" s="276"/>
      <c r="AH455" s="136">
        <v>0.97916666666669805</v>
      </c>
      <c r="AI455" s="136" t="s">
        <v>10</v>
      </c>
      <c r="AJ455" s="136" t="s">
        <v>120</v>
      </c>
      <c r="AK455" s="136" t="s">
        <v>10</v>
      </c>
      <c r="AL455" s="136" t="s">
        <v>120</v>
      </c>
      <c r="AM455" s="136" t="s">
        <v>10</v>
      </c>
      <c r="AN455" s="136" t="s">
        <v>120</v>
      </c>
      <c r="AO455" s="136" t="s">
        <v>10</v>
      </c>
      <c r="AP455" s="136" t="s">
        <v>120</v>
      </c>
      <c r="AQ455" s="136" t="s">
        <v>8</v>
      </c>
      <c r="AR455" s="136" t="s">
        <v>231</v>
      </c>
      <c r="AS455" s="136" t="s">
        <v>12</v>
      </c>
      <c r="AT455" s="136" t="s">
        <v>120</v>
      </c>
      <c r="AU455" s="136" t="s">
        <v>116</v>
      </c>
      <c r="AV455" s="136" t="s">
        <v>120</v>
      </c>
      <c r="AX455" s="136" t="str">
        <f>IF(AI404="","",IF(B455="","",B455))</f>
        <v>HS</v>
      </c>
      <c r="AY455" s="136" t="str">
        <f>IF(AI404="","",IF(C455="","",C455))</f>
        <v>-</v>
      </c>
      <c r="AZ455" s="136" t="str">
        <f>IF(AI404="","",IF(D455="","",D455))</f>
        <v>HS</v>
      </c>
      <c r="BA455" s="136" t="str">
        <f>IF(AI404="","",IF(E455="","",E455))</f>
        <v>-</v>
      </c>
      <c r="BB455" s="136" t="str">
        <f>IF(AI404="","",IF(F455="","",F455))</f>
        <v>HS</v>
      </c>
      <c r="BC455" s="136" t="str">
        <f>IF(AI404="","",IF(G455="","",G455))</f>
        <v>-</v>
      </c>
      <c r="BD455" s="136" t="str">
        <f>IF(AI404="","",IF(H455="","",H455))</f>
        <v>HS</v>
      </c>
      <c r="BE455" s="136" t="str">
        <f>IF(AI404="","",IF(I455="","",I455))</f>
        <v>-</v>
      </c>
      <c r="BF455" s="136" t="str">
        <f>IF(AI404="","",IF(J455="","",J455))</f>
        <v>EA</v>
      </c>
      <c r="BG455" s="136" t="str">
        <f>IF(AI404="","",IF(K455="","",K455))</f>
        <v>CDI</v>
      </c>
      <c r="BH455" s="136" t="str">
        <f>IF(AI404="","",IF(L455="","",L455))</f>
        <v>HR</v>
      </c>
      <c r="BI455" s="136" t="str">
        <f>IF(AI404="","",IF(M455="","",M455))</f>
        <v>-</v>
      </c>
      <c r="BJ455" s="136" t="str">
        <f>IF(AI404="","",IF(N455="","",N455))</f>
        <v>EA</v>
      </c>
      <c r="BK455" s="136" t="str">
        <f>IF(AI404="","",IF(O455="","",O455))</f>
        <v>IEI</v>
      </c>
      <c r="BP455" s="136" t="str">
        <f>IF(BO455="","",COUNTIFS(AX408:BK455,BO455)*0.5)</f>
        <v/>
      </c>
      <c r="CA455" s="136">
        <f>'INFO BASE'!L532</f>
        <v>0</v>
      </c>
      <c r="CB455" s="136">
        <f>'INFO BASE'!M532</f>
        <v>0</v>
      </c>
      <c r="CR455" s="177" t="str">
        <f t="shared" si="266"/>
        <v>HS</v>
      </c>
      <c r="CS455" s="177" t="str">
        <f t="shared" si="237"/>
        <v>HS-</v>
      </c>
      <c r="CT455" s="177" t="str">
        <f t="shared" si="267"/>
        <v>HS</v>
      </c>
      <c r="CU455" s="177" t="str">
        <f t="shared" si="238"/>
        <v>HS-</v>
      </c>
      <c r="CV455" s="177" t="str">
        <f t="shared" si="268"/>
        <v>HS</v>
      </c>
      <c r="CW455" s="177" t="str">
        <f t="shared" si="239"/>
        <v>HS-</v>
      </c>
      <c r="CX455" s="177" t="str">
        <f t="shared" si="263"/>
        <v>HS</v>
      </c>
      <c r="CY455" s="177" t="str">
        <f t="shared" si="240"/>
        <v>HS-</v>
      </c>
      <c r="CZ455" s="177" t="str">
        <f t="shared" si="264"/>
        <v>EA</v>
      </c>
      <c r="DA455" s="177" t="str">
        <f t="shared" si="241"/>
        <v>EACDI</v>
      </c>
      <c r="DB455" s="177" t="str">
        <f t="shared" si="265"/>
        <v>HR</v>
      </c>
      <c r="DC455" s="177" t="str">
        <f t="shared" si="242"/>
        <v>HR-</v>
      </c>
      <c r="DD455" s="177" t="str">
        <f t="shared" si="243"/>
        <v>EA</v>
      </c>
      <c r="DE455" s="177" t="str">
        <f t="shared" si="244"/>
        <v>EAIEI</v>
      </c>
    </row>
    <row r="456" spans="1:120" s="139" customFormat="1" ht="28.5" customHeight="1" thickTop="1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7">
        <v>1</v>
      </c>
      <c r="Y456" s="6">
        <f>COUNTA(Y419:AF455)</f>
        <v>5</v>
      </c>
      <c r="Z456" s="6">
        <f>SUM(X419:X455)</f>
        <v>5</v>
      </c>
      <c r="AA456" s="6">
        <f>IF(Z456&gt;Y456,"ERRO",0)</f>
        <v>0</v>
      </c>
      <c r="AB456" s="6"/>
      <c r="AC456" s="6"/>
      <c r="AD456" s="6"/>
      <c r="AE456" s="6"/>
      <c r="AF456" s="6"/>
      <c r="AG456" s="6"/>
      <c r="BM456" s="136"/>
      <c r="BN456" s="136"/>
      <c r="BO456" s="136"/>
      <c r="BP456" s="136"/>
      <c r="BQ456" s="136"/>
      <c r="BR456" s="136"/>
      <c r="BS456" s="136"/>
      <c r="BT456" s="136"/>
      <c r="BU456" s="136"/>
      <c r="DN456" s="194"/>
      <c r="DO456" s="194"/>
      <c r="DP456" s="194"/>
    </row>
    <row r="457" spans="1:120" s="139" customFormat="1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7">
        <v>1</v>
      </c>
      <c r="Y457" s="6" t="s">
        <v>220</v>
      </c>
      <c r="Z457" s="6" t="s">
        <v>219</v>
      </c>
      <c r="AA457" s="6" t="s">
        <v>221</v>
      </c>
      <c r="AB457" s="6"/>
      <c r="AC457" s="6"/>
      <c r="AD457" s="6"/>
      <c r="AE457" s="6"/>
      <c r="AF457" s="6"/>
      <c r="AG457" s="6"/>
      <c r="BM457" s="136"/>
      <c r="BN457" s="136"/>
      <c r="BO457" s="136"/>
      <c r="BP457" s="136"/>
      <c r="BQ457" s="136"/>
      <c r="BR457" s="136"/>
      <c r="BS457" s="136"/>
      <c r="BT457" s="136"/>
      <c r="BU457" s="136"/>
      <c r="DN457" s="194"/>
      <c r="DO457" s="194"/>
      <c r="DP457" s="194"/>
    </row>
    <row r="458" spans="1:120" x14ac:dyDescent="0.3">
      <c r="X458" s="7">
        <v>1</v>
      </c>
    </row>
    <row r="459" spans="1:120" ht="15" thickBot="1" x14ac:dyDescent="0.35">
      <c r="X459" s="7">
        <v>1</v>
      </c>
    </row>
    <row r="460" spans="1:120" ht="38.25" customHeight="1" thickTop="1" thickBot="1" x14ac:dyDescent="0.35">
      <c r="A460" s="311" t="str">
        <f>IF(LEN(A403)=8,CONCATENATE("SEMANA ",RIGHT(A403,1)+1),CONCATENATE("SEMANA ",RIGHT(A403,2)+1))</f>
        <v>SEMANA 9</v>
      </c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3"/>
      <c r="AG460" s="12"/>
      <c r="CA460" s="136">
        <f>'INFO BASE'!L541</f>
        <v>0</v>
      </c>
      <c r="CB460" s="136">
        <f>'INFO BASE'!M541</f>
        <v>0</v>
      </c>
    </row>
    <row r="461" spans="1:120" ht="9" customHeight="1" thickTop="1" thickBot="1" x14ac:dyDescent="0.35">
      <c r="A461" s="139"/>
      <c r="B461" s="139"/>
      <c r="C461" s="140"/>
      <c r="D461" s="139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41">
        <v>1</v>
      </c>
      <c r="Y461" s="139"/>
      <c r="Z461" s="139"/>
      <c r="AA461" s="139"/>
      <c r="AB461" s="139"/>
      <c r="AC461" s="139"/>
      <c r="AD461" s="139"/>
      <c r="AE461" s="139"/>
      <c r="AF461" s="139"/>
      <c r="AG461" s="139"/>
      <c r="CA461" s="136">
        <f>'INFO BASE'!L542</f>
        <v>0</v>
      </c>
      <c r="CB461" s="136">
        <f>'INFO BASE'!M542</f>
        <v>0</v>
      </c>
    </row>
    <row r="462" spans="1:120" ht="30.75" customHeight="1" x14ac:dyDescent="0.3">
      <c r="A462" s="145"/>
      <c r="B462" s="314">
        <f>1-(CR462/673)</f>
        <v>0.99851411589895989</v>
      </c>
      <c r="C462" s="315"/>
      <c r="D462" s="315"/>
      <c r="E462" s="315"/>
      <c r="F462" s="315"/>
      <c r="G462" s="315"/>
      <c r="H462" s="315"/>
      <c r="I462" s="315"/>
      <c r="J462" s="315"/>
      <c r="K462" s="315"/>
      <c r="L462" s="315"/>
      <c r="M462" s="315"/>
      <c r="N462" s="315"/>
      <c r="O462" s="316"/>
      <c r="Q462" s="205">
        <f>IF(OR(Q465="Registe aqui o que considera serem as suas três principais prioridades para a semana
(Dica - para criar paragráfos Alt+Enter)",LEN(Q465)&lt;10),1,0)</f>
        <v>1</v>
      </c>
      <c r="X462" s="7">
        <v>1</v>
      </c>
      <c r="AM462" s="136" t="str">
        <f>CONCATENATE("PLANEAMENTO ",I462)</f>
        <v xml:space="preserve">PLANEAMENTO </v>
      </c>
      <c r="AX462" s="136" t="str">
        <f>IF(AI461="","",IF(B462="","",B462))</f>
        <v/>
      </c>
      <c r="AY462" s="136" t="str">
        <f>IF(AI461="","",IF(C462="","",C462))</f>
        <v/>
      </c>
      <c r="AZ462" s="136" t="str">
        <f>IF(AI461="","",IF(D462="","",D462))</f>
        <v/>
      </c>
      <c r="BA462" s="136" t="str">
        <f>IF(AI461="","",IF(E462="","",E462))</f>
        <v/>
      </c>
      <c r="BB462" s="136" t="str">
        <f>IF(AI461="","",IF(F462="","",F462))</f>
        <v/>
      </c>
      <c r="BC462" s="136" t="str">
        <f>IF(AI461="","",IF(G462="","",G462))</f>
        <v/>
      </c>
      <c r="BD462" s="136" t="str">
        <f>IF(AI461="","",IF(H462="","",H462))</f>
        <v/>
      </c>
      <c r="BE462" s="136" t="str">
        <f>IF(AI461="","",IF(I462="","",I462))</f>
        <v/>
      </c>
      <c r="BF462" s="136" t="str">
        <f>IF(AI461="","",IF(J462="","",J462))</f>
        <v/>
      </c>
      <c r="BG462" s="136" t="str">
        <f>IF(AI461="","",IF(K462="","",K462))</f>
        <v/>
      </c>
      <c r="BH462" s="136" t="str">
        <f>IF(AI461="","",IF(L462="","",L462))</f>
        <v/>
      </c>
      <c r="BI462" s="136" t="str">
        <f>IF(AI461="","",IF(M462="","",M462))</f>
        <v/>
      </c>
      <c r="BJ462" s="136" t="str">
        <f>IF(AI461="","",IF(N462="","",N462))</f>
        <v/>
      </c>
      <c r="BK462" s="136" t="str">
        <f>IF(AI461="","",IF(O462="","",O462))</f>
        <v/>
      </c>
      <c r="CA462" s="136">
        <f>'INFO BASE'!L528</f>
        <v>0</v>
      </c>
      <c r="CB462" s="136">
        <f>'INFO BASE'!M528</f>
        <v>0</v>
      </c>
      <c r="CR462" s="136">
        <f>SUM(CR465:DE512,Q462)</f>
        <v>1</v>
      </c>
    </row>
    <row r="463" spans="1:120" ht="37.5" customHeight="1" thickBot="1" x14ac:dyDescent="0.35">
      <c r="A463" s="146"/>
      <c r="B463" s="330" t="str">
        <f>CONCATENATE("Segunda ",CHAR(10),TEXT(B464,"dd-mm-aaaa"))</f>
        <v>Segunda 
09-11-2015</v>
      </c>
      <c r="C463" s="317"/>
      <c r="D463" s="317" t="str">
        <f>CONCATENATE("Terça ",CHAR(10),TEXT(D464,"dd-mm-aaaa"))</f>
        <v>Terça 
10-11-2015</v>
      </c>
      <c r="E463" s="317"/>
      <c r="F463" s="317" t="str">
        <f>CONCATENATE("Quarta ",CHAR(10),TEXT(F464,"dd-mm-aaaa"))</f>
        <v>Quarta 
11-11-2015</v>
      </c>
      <c r="G463" s="317"/>
      <c r="H463" s="317" t="str">
        <f>CONCATENATE("Quinta ",CHAR(10),TEXT(H464,"dd-mm-aaaa"))</f>
        <v>Quinta 
12-11-2015</v>
      </c>
      <c r="I463" s="317"/>
      <c r="J463" s="317" t="str">
        <f>CONCATENATE("Sexta ",CHAR(10),TEXT(J464,"dd-mm-aaaa"))</f>
        <v>Sexta 
13-11-2015</v>
      </c>
      <c r="K463" s="317"/>
      <c r="L463" s="317" t="str">
        <f>CONCATENATE("Sábado ",CHAR(10),TEXT(L464,"dd-mm-aaaa"))</f>
        <v>Sábado 
14-11-2015</v>
      </c>
      <c r="M463" s="317"/>
      <c r="N463" s="317" t="str">
        <f>CONCATENATE("Domingo ",CHAR(10),TEXT(N464,"dd-mm-aaaa"))</f>
        <v>Domingo 
15-11-2015</v>
      </c>
      <c r="O463" s="329"/>
      <c r="Q463" s="55" t="str">
        <f>'INFO BASE'!$L$3</f>
        <v>PRIORIDADES PARA ESTA SEMANA</v>
      </c>
      <c r="R463" s="132"/>
      <c r="S463" s="132"/>
      <c r="T463" s="132"/>
      <c r="U463" s="132"/>
      <c r="V463" s="132"/>
      <c r="W463" s="195" t="str">
        <f>CONCATENATE("HORÁRIO ",'INFO BASE'!$C$6,"_",'INFO BASE'!$C$5,": ",UPPER(A460))</f>
        <v>HORÁRIO André Fonseca_84698: SEMANA 9</v>
      </c>
      <c r="X463" s="198">
        <v>1</v>
      </c>
      <c r="Y463" s="261" t="str">
        <f>'INFO BASE'!$L$1</f>
        <v>MOMENTOS AVALIATIVOS</v>
      </c>
      <c r="Z463" s="261"/>
      <c r="AA463" s="261"/>
      <c r="AB463" s="261"/>
      <c r="AC463" s="261" t="s">
        <v>215</v>
      </c>
      <c r="AD463" s="261"/>
      <c r="AE463" s="261"/>
      <c r="AF463" s="261"/>
      <c r="AI463" s="136" t="str">
        <f>B463</f>
        <v>Segunda 
09-11-2015</v>
      </c>
      <c r="AK463" s="136" t="str">
        <f>D463</f>
        <v>Terça 
10-11-2015</v>
      </c>
      <c r="AM463" s="136" t="str">
        <f>F463</f>
        <v>Quarta 
11-11-2015</v>
      </c>
      <c r="AO463" s="136" t="str">
        <f>H463</f>
        <v>Quinta 
12-11-2015</v>
      </c>
      <c r="AQ463" s="136" t="str">
        <f>J463</f>
        <v>Sexta 
13-11-2015</v>
      </c>
      <c r="AS463" s="136" t="str">
        <f>L463</f>
        <v>Sábado 
14-11-2015</v>
      </c>
      <c r="AU463" s="136" t="str">
        <f>N463</f>
        <v>Domingo 
15-11-2015</v>
      </c>
      <c r="AX463" s="136" t="str">
        <f>IF(AI461="","",IF(B463="","",B463))</f>
        <v/>
      </c>
      <c r="AY463" s="136" t="str">
        <f>IF(AI461="","",IF(C463="","",C463))</f>
        <v/>
      </c>
      <c r="AZ463" s="136" t="str">
        <f>IF(AI461="","",IF(D463="","",D463))</f>
        <v/>
      </c>
      <c r="BA463" s="136" t="str">
        <f>IF(AI461="","",IF(E463="","",E463))</f>
        <v/>
      </c>
      <c r="BB463" s="136" t="str">
        <f>IF(AI461="","",IF(F463="","",F463))</f>
        <v/>
      </c>
      <c r="BC463" s="136" t="str">
        <f>IF(AI461="","",IF(G463="","",G463))</f>
        <v/>
      </c>
      <c r="BD463" s="136" t="str">
        <f>IF(AI461="","",IF(H463="","",H463))</f>
        <v/>
      </c>
      <c r="BE463" s="136" t="str">
        <f>IF(AI461="","",IF(I463="","",I463))</f>
        <v/>
      </c>
      <c r="BF463" s="136" t="str">
        <f>IF(AI461="","",IF(J463="","",J463))</f>
        <v/>
      </c>
      <c r="BG463" s="136" t="str">
        <f>IF(AI461="","",IF(K463="","",K463))</f>
        <v/>
      </c>
      <c r="BH463" s="136" t="str">
        <f>IF(AI461="","",IF(L463="","",L463))</f>
        <v/>
      </c>
      <c r="BI463" s="136" t="str">
        <f>IF(AI461="","",IF(M463="","",M463))</f>
        <v/>
      </c>
      <c r="BJ463" s="136" t="str">
        <f>IF(AI461="","",IF(N463="","",N463))</f>
        <v/>
      </c>
      <c r="BK463" s="136" t="str">
        <f>IF(AI461="","",IF(O463="","",O463))</f>
        <v/>
      </c>
      <c r="CA463" s="136">
        <f>'INFO BASE'!L522</f>
        <v>0</v>
      </c>
      <c r="CB463" s="136">
        <f>'INFO BASE'!M522</f>
        <v>0</v>
      </c>
    </row>
    <row r="464" spans="1:120" ht="21" hidden="1" customHeight="1" x14ac:dyDescent="0.3">
      <c r="A464" s="142"/>
      <c r="B464" s="333">
        <f>N407+1</f>
        <v>42317</v>
      </c>
      <c r="C464" s="334"/>
      <c r="D464" s="334">
        <f>B464+1</f>
        <v>42318</v>
      </c>
      <c r="E464" s="334"/>
      <c r="F464" s="334">
        <f>D464+1</f>
        <v>42319</v>
      </c>
      <c r="G464" s="334"/>
      <c r="H464" s="334">
        <f>F464+1</f>
        <v>42320</v>
      </c>
      <c r="I464" s="334"/>
      <c r="J464" s="334">
        <f>H464+1</f>
        <v>42321</v>
      </c>
      <c r="K464" s="334"/>
      <c r="L464" s="334">
        <f>J464+1</f>
        <v>42322</v>
      </c>
      <c r="M464" s="334"/>
      <c r="N464" s="334">
        <f>L464+1</f>
        <v>42323</v>
      </c>
      <c r="O464" s="334"/>
      <c r="Q464" s="132"/>
      <c r="R464" s="132"/>
      <c r="S464" s="132"/>
      <c r="T464" s="132"/>
      <c r="U464" s="132"/>
      <c r="V464" s="132"/>
      <c r="W464" s="132"/>
      <c r="X464" s="198">
        <v>1</v>
      </c>
      <c r="Y464" s="132"/>
      <c r="Z464" s="132"/>
      <c r="AA464" s="132"/>
      <c r="AB464" s="131"/>
      <c r="AC464" s="131"/>
      <c r="AD464" s="131"/>
      <c r="AE464" s="131"/>
      <c r="AF464" s="131"/>
      <c r="AI464" s="136">
        <f>B464</f>
        <v>42317</v>
      </c>
      <c r="AK464" s="136">
        <f>D464</f>
        <v>42318</v>
      </c>
      <c r="AM464" s="136">
        <f>F464</f>
        <v>42319</v>
      </c>
      <c r="AO464" s="136">
        <f>H464</f>
        <v>42320</v>
      </c>
      <c r="AQ464" s="136">
        <f>J464</f>
        <v>42321</v>
      </c>
      <c r="AS464" s="136">
        <f>L464</f>
        <v>42322</v>
      </c>
      <c r="AU464" s="136">
        <f>N464</f>
        <v>42323</v>
      </c>
      <c r="AX464" s="136" t="str">
        <f>IF(AI461="","",IF(B464="","",B464))</f>
        <v/>
      </c>
      <c r="AY464" s="136" t="str">
        <f>IF(AI461="","",IF(C464="","",C464))</f>
        <v/>
      </c>
      <c r="AZ464" s="136" t="str">
        <f>IF(AI461="","",IF(D464="","",D464))</f>
        <v/>
      </c>
      <c r="BA464" s="136" t="str">
        <f>IF(AI461="","",IF(E464="","",E464))</f>
        <v/>
      </c>
      <c r="BB464" s="136" t="str">
        <f>IF(AI461="","",IF(F464="","",F464))</f>
        <v/>
      </c>
      <c r="BC464" s="136" t="str">
        <f>IF(AI461="","",IF(G464="","",G464))</f>
        <v/>
      </c>
      <c r="BD464" s="136" t="str">
        <f>IF(AI461="","",IF(H464="","",H464))</f>
        <v/>
      </c>
      <c r="BE464" s="136" t="str">
        <f>IF(AI461="","",IF(I464="","",I464))</f>
        <v/>
      </c>
      <c r="BF464" s="136" t="str">
        <f>IF(AI461="","",IF(J464="","",J464))</f>
        <v/>
      </c>
      <c r="BG464" s="136" t="str">
        <f>IF(AI461="","",IF(K464="","",K464))</f>
        <v/>
      </c>
      <c r="BH464" s="136" t="str">
        <f>IF(AI461="","",IF(L464="","",L464))</f>
        <v/>
      </c>
      <c r="BI464" s="136" t="str">
        <f>IF(AI461="","",IF(M464="","",M464))</f>
        <v/>
      </c>
      <c r="BJ464" s="136" t="str">
        <f>IF(AI461="","",IF(N464="","",N464))</f>
        <v/>
      </c>
      <c r="BK464" s="136" t="str">
        <f>IF(AI461="","",IF(O464="","",O464))</f>
        <v/>
      </c>
      <c r="CA464" s="136">
        <f>'INFO BASE'!L534</f>
        <v>0</v>
      </c>
      <c r="CB464" s="136">
        <f>'INFO BASE'!M534</f>
        <v>0</v>
      </c>
    </row>
    <row r="465" spans="1:109" ht="18" customHeight="1" thickTop="1" x14ac:dyDescent="0.3">
      <c r="A465" s="81">
        <v>0</v>
      </c>
      <c r="B465" s="165" t="s">
        <v>10</v>
      </c>
      <c r="C465" s="150" t="s">
        <v>120</v>
      </c>
      <c r="D465" s="168" t="s">
        <v>10</v>
      </c>
      <c r="E465" s="150" t="s">
        <v>120</v>
      </c>
      <c r="F465" s="168" t="s">
        <v>10</v>
      </c>
      <c r="G465" s="150" t="s">
        <v>120</v>
      </c>
      <c r="H465" s="168" t="s">
        <v>10</v>
      </c>
      <c r="I465" s="150" t="s">
        <v>120</v>
      </c>
      <c r="J465" s="168" t="s">
        <v>10</v>
      </c>
      <c r="K465" s="150" t="s">
        <v>120</v>
      </c>
      <c r="L465" s="168" t="s">
        <v>10</v>
      </c>
      <c r="M465" s="150" t="s">
        <v>120</v>
      </c>
      <c r="N465" s="168" t="s">
        <v>116</v>
      </c>
      <c r="O465" s="152" t="s">
        <v>120</v>
      </c>
      <c r="Q465" s="281" t="s">
        <v>216</v>
      </c>
      <c r="R465" s="282"/>
      <c r="S465" s="282"/>
      <c r="T465" s="282"/>
      <c r="U465" s="282"/>
      <c r="V465" s="282"/>
      <c r="W465" s="283"/>
      <c r="X465" s="199">
        <v>1</v>
      </c>
      <c r="Y465" s="268" t="str">
        <f t="array" ref="Y465">IF(ISERROR(INDEX($CA$2:$CB$200,SMALL(IF($CA$2:$CA$200=$A$460,ROW($CA$2:$CA$200)),ROW(1:1))-1,2)),"",INDEX($CA$2:$CB$200,SMALL(IF($CA$2:$CA$200=$A$460,ROW($CA$2:$CA$200)),ROW(1:1))-1,2))</f>
        <v/>
      </c>
      <c r="Z465" s="269"/>
      <c r="AA465" s="269"/>
      <c r="AB465" s="269"/>
      <c r="AC465" s="269"/>
      <c r="AD465" s="269"/>
      <c r="AE465" s="269"/>
      <c r="AF465" s="270"/>
      <c r="AH465" s="136">
        <v>0</v>
      </c>
      <c r="AI465" s="136" t="str">
        <f>IF(AH461="","",IF(B465="","",B465))</f>
        <v/>
      </c>
      <c r="AJ465" s="136" t="str">
        <f>IF(AH461="","",IF(C465="","",C465))</f>
        <v/>
      </c>
      <c r="AK465" s="136" t="str">
        <f>IF(AH461="","",IF(D465="","",D465))</f>
        <v/>
      </c>
      <c r="AL465" s="136" t="str">
        <f>IF(AH461="","",IF(E465="","",E465))</f>
        <v/>
      </c>
      <c r="AM465" s="136" t="str">
        <f>IF(AH461="","",IF(F465="","",F465))</f>
        <v/>
      </c>
      <c r="AN465" s="136" t="str">
        <f>IF(AH461="","",IF(G465="","",G465))</f>
        <v/>
      </c>
      <c r="AO465" s="136" t="str">
        <f>IF(AH461="","",IF(H465="","",H465))</f>
        <v/>
      </c>
      <c r="AP465" s="136" t="str">
        <f>IF(AH461="","",IF(I465="","",I465))</f>
        <v/>
      </c>
      <c r="AQ465" s="136" t="str">
        <f>IF(AH461="","",IF(J465="","",J465))</f>
        <v/>
      </c>
      <c r="AR465" s="136" t="str">
        <f>IF(AH461="","",IF(K465="","",K465))</f>
        <v/>
      </c>
      <c r="AS465" s="136" t="str">
        <f>IF(AH461="","",IF(L465="","",L465))</f>
        <v/>
      </c>
      <c r="AT465" s="136" t="str">
        <f>IF(AH461="","",IF(M465="","",M465))</f>
        <v/>
      </c>
      <c r="AU465" s="136" t="str">
        <f>IF(AH461="","",IF(N465="","",N465))</f>
        <v/>
      </c>
      <c r="AV465" s="136" t="str">
        <f>IF(AH461="","",IF(O465="","",O465))</f>
        <v/>
      </c>
      <c r="AX465" s="136" t="str">
        <f>IF(AI461="","",IF(B465="","",B465))</f>
        <v/>
      </c>
      <c r="AY465" s="136" t="str">
        <f>IF(AI461="","",IF(C465="","",C465))</f>
        <v/>
      </c>
      <c r="AZ465" s="136" t="str">
        <f>IF(AI461="","",IF(D465="","",D465))</f>
        <v/>
      </c>
      <c r="BA465" s="136" t="str">
        <f>IF(AI461="","",IF(E465="","",E465))</f>
        <v/>
      </c>
      <c r="BB465" s="136" t="str">
        <f>IF(AI461="","",IF(F465="","",F465))</f>
        <v/>
      </c>
      <c r="BC465" s="136" t="str">
        <f>IF(AI461="","",IF(G465="","",G465))</f>
        <v/>
      </c>
      <c r="BD465" s="136" t="str">
        <f>IF(AI461="","",IF(H465="","",H465))</f>
        <v/>
      </c>
      <c r="BE465" s="136" t="str">
        <f>IF(AI461="","",IF(I465="","",I465))</f>
        <v/>
      </c>
      <c r="BF465" s="136" t="str">
        <f>IF(AI461="","",IF(J465="","",J465))</f>
        <v/>
      </c>
      <c r="BG465" s="136" t="str">
        <f>IF(AI461="","",IF(K465="","",K465))</f>
        <v/>
      </c>
      <c r="BH465" s="136" t="str">
        <f>IF(AI461="","",IF(L465="","",L465))</f>
        <v/>
      </c>
      <c r="BI465" s="136" t="str">
        <f>IF(AI461="","",IF(M465="","",M465))</f>
        <v/>
      </c>
      <c r="BJ465" s="136" t="str">
        <f>IF(AI461="","",IF(N465="","",N465))</f>
        <v/>
      </c>
      <c r="BK465" s="136" t="str">
        <f>IF(AI461="","",IF(O465="","",O465))</f>
        <v/>
      </c>
      <c r="CA465" s="136">
        <f>'INFO BASE'!L535</f>
        <v>0</v>
      </c>
      <c r="CB465" s="136">
        <f>'INFO BASE'!M535</f>
        <v>0</v>
      </c>
      <c r="CD465" s="136">
        <f>COUNTA('INFO BASE'!E489:E494)+6</f>
        <v>6</v>
      </c>
      <c r="CR465" s="177" t="str">
        <f>IF(B465="",1,B465)</f>
        <v>HS</v>
      </c>
      <c r="CS465" s="177" t="str">
        <f>IF(B465="PV",0,IFERROR(VLOOKUP(CONCATENATE(B465,C465),$DK$9:$DK$72,1,0),1))</f>
        <v>HS-</v>
      </c>
      <c r="CT465" s="177" t="str">
        <f>IF(D465="",1,D465)</f>
        <v>HS</v>
      </c>
      <c r="CU465" s="177" t="str">
        <f>IF(D465="PV",0,IFERROR(VLOOKUP(CONCATENATE(D465,E465),$DK$9:$DK$72,1,0),1))</f>
        <v>HS-</v>
      </c>
      <c r="CV465" s="177" t="str">
        <f>IF(F465="",1,F465)</f>
        <v>HS</v>
      </c>
      <c r="CW465" s="177" t="str">
        <f>IF(F465="PV",0,IFERROR(VLOOKUP(CONCATENATE(F465,G465),$DK$9:$DK$72,1,0),1))</f>
        <v>HS-</v>
      </c>
      <c r="CX465" s="177" t="str">
        <f>IF(H465="",1,H465)</f>
        <v>HS</v>
      </c>
      <c r="CY465" s="177" t="str">
        <f>IF(H465="PV",0,IFERROR(VLOOKUP(CONCATENATE(H465,I465),$DK$9:$DK$72,1,0),1))</f>
        <v>HS-</v>
      </c>
      <c r="CZ465" s="177" t="str">
        <f>IF(J465="",1,J465)</f>
        <v>HS</v>
      </c>
      <c r="DA465" s="177" t="str">
        <f>IF(J465="PV",0,IFERROR(VLOOKUP(CONCATENATE(J465,K465),$DK$9:$DK$72,1,0),1))</f>
        <v>HS-</v>
      </c>
      <c r="DB465" s="177" t="str">
        <f>IF(L465="",1,L465)</f>
        <v>HS</v>
      </c>
      <c r="DC465" s="177" t="str">
        <f>IF(L465="PV",0,IFERROR(VLOOKUP(CONCATENATE(L465,M465),$DK$9:$DK$72,1,0),1))</f>
        <v>HS-</v>
      </c>
      <c r="DD465" s="177" t="str">
        <f>IF(N465="",1,N465)</f>
        <v>PV</v>
      </c>
      <c r="DE465" s="177">
        <f>IF(N465="PV",0,IFERROR(VLOOKUP(CONCATENATE(N465,O465),$DK$9:$DK$72,1,0),1))</f>
        <v>0</v>
      </c>
    </row>
    <row r="466" spans="1:109" ht="18" customHeight="1" x14ac:dyDescent="0.3">
      <c r="A466" s="81">
        <v>2.0833333333333998E-2</v>
      </c>
      <c r="B466" s="166" t="s">
        <v>10</v>
      </c>
      <c r="C466" s="130" t="s">
        <v>120</v>
      </c>
      <c r="D466" s="169" t="s">
        <v>10</v>
      </c>
      <c r="E466" s="130" t="s">
        <v>120</v>
      </c>
      <c r="F466" s="169" t="s">
        <v>10</v>
      </c>
      <c r="G466" s="130" t="s">
        <v>120</v>
      </c>
      <c r="H466" s="169" t="s">
        <v>10</v>
      </c>
      <c r="I466" s="130" t="s">
        <v>120</v>
      </c>
      <c r="J466" s="169" t="s">
        <v>10</v>
      </c>
      <c r="K466" s="130" t="s">
        <v>120</v>
      </c>
      <c r="L466" s="169" t="s">
        <v>10</v>
      </c>
      <c r="M466" s="130" t="s">
        <v>120</v>
      </c>
      <c r="N466" s="169" t="s">
        <v>116</v>
      </c>
      <c r="O466" s="154" t="s">
        <v>120</v>
      </c>
      <c r="Q466" s="284"/>
      <c r="R466" s="285"/>
      <c r="S466" s="285"/>
      <c r="T466" s="285"/>
      <c r="U466" s="285"/>
      <c r="V466" s="285"/>
      <c r="W466" s="286"/>
      <c r="X466" s="199">
        <v>1</v>
      </c>
      <c r="Y466" s="262" t="str">
        <f t="array" ref="Y466">IF(ISERROR(INDEX($CA$2:$CB$200,SMALL(IF($CA$2:$CA$200=$A$460,ROW($CA$2:$CA$200)),ROW(2:2))-1,2)),"",INDEX($CA$2:$CB$200,SMALL(IF($CA$2:$CA$200=$A$460,ROW($CA$2:$CA$200)),ROW(2:2))-1,2))</f>
        <v/>
      </c>
      <c r="Z466" s="263"/>
      <c r="AA466" s="263"/>
      <c r="AB466" s="263"/>
      <c r="AC466" s="263"/>
      <c r="AD466" s="263"/>
      <c r="AE466" s="263"/>
      <c r="AF466" s="264"/>
      <c r="AH466" s="136">
        <v>2.0833333333333998E-2</v>
      </c>
      <c r="AI466" s="136" t="str">
        <f>IF(AH461="","",IF(B466="","",B466))</f>
        <v/>
      </c>
      <c r="AJ466" s="136" t="str">
        <f>IF(AH461="","",IF(C466="","",C466))</f>
        <v/>
      </c>
      <c r="AK466" s="136" t="str">
        <f>IF(AH461="","",IF(D466="","",D466))</f>
        <v/>
      </c>
      <c r="AL466" s="136" t="str">
        <f>IF(AH461="","",IF(E466="","",E466))</f>
        <v/>
      </c>
      <c r="AM466" s="136" t="str">
        <f>IF(AH461="","",IF(F466="","",F466))</f>
        <v/>
      </c>
      <c r="AN466" s="136" t="str">
        <f>IF(AH461="","",IF(G466="","",G466))</f>
        <v/>
      </c>
      <c r="AO466" s="136" t="str">
        <f>IF(AH461="","",IF(H466="","",H466))</f>
        <v/>
      </c>
      <c r="AP466" s="136" t="str">
        <f>IF(AH461="","",IF(I466="","",I466))</f>
        <v/>
      </c>
      <c r="AQ466" s="136" t="str">
        <f>IF(AH461="","",IF(J466="","",J466))</f>
        <v/>
      </c>
      <c r="AR466" s="136" t="str">
        <f>IF(AH461="","",IF(K466="","",K466))</f>
        <v/>
      </c>
      <c r="AS466" s="136" t="str">
        <f>IF(AH461="","",IF(L466="","",L466))</f>
        <v/>
      </c>
      <c r="AT466" s="136" t="str">
        <f>IF(AH461="","",IF(M466="","",M466))</f>
        <v/>
      </c>
      <c r="AU466" s="136" t="str">
        <f>IF(AH461="","",IF(N466="","",N466))</f>
        <v/>
      </c>
      <c r="AV466" s="136" t="str">
        <f>IF(AH461="","",IF(O466="","",O466))</f>
        <v/>
      </c>
      <c r="AX466" s="136" t="str">
        <f>IF(AI461="","",IF(B466="","",B466))</f>
        <v/>
      </c>
      <c r="AY466" s="136" t="str">
        <f>IF(AI461="","",IF(C466="","",C466))</f>
        <v/>
      </c>
      <c r="AZ466" s="136" t="str">
        <f>IF(AI461="","",IF(D466="","",D466))</f>
        <v/>
      </c>
      <c r="BA466" s="136" t="str">
        <f>IF(AI461="","",IF(E466="","",E466))</f>
        <v/>
      </c>
      <c r="BB466" s="136" t="str">
        <f>IF(AI461="","",IF(F466="","",F466))</f>
        <v/>
      </c>
      <c r="BC466" s="136" t="str">
        <f>IF(AI461="","",IF(G466="","",G466))</f>
        <v/>
      </c>
      <c r="BD466" s="136" t="str">
        <f>IF(AI461="","",IF(H466="","",H466))</f>
        <v/>
      </c>
      <c r="BE466" s="136" t="str">
        <f>IF(AI461="","",IF(I466="","",I466))</f>
        <v/>
      </c>
      <c r="BF466" s="136" t="str">
        <f>IF(AI461="","",IF(J466="","",J466))</f>
        <v/>
      </c>
      <c r="BG466" s="136" t="str">
        <f>IF(AI461="","",IF(K466="","",K466))</f>
        <v/>
      </c>
      <c r="BH466" s="136" t="str">
        <f>IF(AI461="","",IF(L466="","",L466))</f>
        <v/>
      </c>
      <c r="BI466" s="136" t="str">
        <f>IF(AI461="","",IF(M466="","",M466))</f>
        <v/>
      </c>
      <c r="BJ466" s="136" t="str">
        <f>IF(AI461="","",IF(N466="","",N466))</f>
        <v/>
      </c>
      <c r="BK466" s="136" t="str">
        <f>IF(AI461="","",IF(O466="","",O466))</f>
        <v/>
      </c>
      <c r="CA466" s="136">
        <f>'INFO BASE'!L536</f>
        <v>0</v>
      </c>
      <c r="CB466" s="136">
        <f>'INFO BASE'!M536</f>
        <v>0</v>
      </c>
      <c r="CR466" s="177" t="str">
        <f t="shared" ref="CR466:DB508" si="269">IF(B466="",1,B466)</f>
        <v>HS</v>
      </c>
      <c r="CS466" s="177" t="str">
        <f t="shared" ref="CS466:CS512" si="270">IF(B466="PV",0,IFERROR(VLOOKUP(CONCATENATE(B466,C466),$DK$9:$DK$72,1,0),1))</f>
        <v>HS-</v>
      </c>
      <c r="CT466" s="177" t="str">
        <f t="shared" si="269"/>
        <v>HS</v>
      </c>
      <c r="CU466" s="177" t="str">
        <f t="shared" ref="CU466:CU512" si="271">IF(D466="PV",0,IFERROR(VLOOKUP(CONCATENATE(D466,E466),$DK$9:$DK$72,1,0),1))</f>
        <v>HS-</v>
      </c>
      <c r="CV466" s="177" t="str">
        <f t="shared" si="269"/>
        <v>HS</v>
      </c>
      <c r="CW466" s="177" t="str">
        <f t="shared" ref="CW466:CW512" si="272">IF(F466="PV",0,IFERROR(VLOOKUP(CONCATENATE(F466,G466),$DK$9:$DK$72,1,0),1))</f>
        <v>HS-</v>
      </c>
      <c r="CX466" s="177" t="str">
        <f t="shared" si="269"/>
        <v>HS</v>
      </c>
      <c r="CY466" s="177" t="str">
        <f t="shared" ref="CY466:CY512" si="273">IF(H466="PV",0,IFERROR(VLOOKUP(CONCATENATE(H466,I466),$DK$9:$DK$72,1,0),1))</f>
        <v>HS-</v>
      </c>
      <c r="CZ466" s="177" t="str">
        <f t="shared" si="269"/>
        <v>HS</v>
      </c>
      <c r="DA466" s="177" t="str">
        <f t="shared" ref="DA466:DA512" si="274">IF(J466="PV",0,IFERROR(VLOOKUP(CONCATENATE(J466,K466),$DK$9:$DK$72,1,0),1))</f>
        <v>HS-</v>
      </c>
      <c r="DB466" s="177" t="str">
        <f t="shared" si="269"/>
        <v>HS</v>
      </c>
      <c r="DC466" s="177" t="str">
        <f t="shared" ref="DC466:DC512" si="275">IF(L466="PV",0,IFERROR(VLOOKUP(CONCATENATE(L466,M466),$DK$9:$DK$72,1,0),1))</f>
        <v>HS-</v>
      </c>
      <c r="DD466" s="177" t="str">
        <f t="shared" ref="DD466:DD512" si="276">IF(N466="",1,N466)</f>
        <v>PV</v>
      </c>
      <c r="DE466" s="177">
        <f t="shared" ref="DE466:DE512" si="277">IF(N466="PV",0,IFERROR(VLOOKUP(CONCATENATE(N466,O466),$DK$9:$DK$72,1,0),1))</f>
        <v>0</v>
      </c>
    </row>
    <row r="467" spans="1:109" ht="18" customHeight="1" x14ac:dyDescent="0.3">
      <c r="A467" s="81">
        <v>4.1666666666667997E-2</v>
      </c>
      <c r="B467" s="166" t="s">
        <v>10</v>
      </c>
      <c r="C467" s="130" t="s">
        <v>120</v>
      </c>
      <c r="D467" s="169" t="s">
        <v>10</v>
      </c>
      <c r="E467" s="130" t="s">
        <v>120</v>
      </c>
      <c r="F467" s="169" t="s">
        <v>10</v>
      </c>
      <c r="G467" s="130" t="s">
        <v>120</v>
      </c>
      <c r="H467" s="169" t="s">
        <v>10</v>
      </c>
      <c r="I467" s="130" t="s">
        <v>120</v>
      </c>
      <c r="J467" s="169" t="s">
        <v>10</v>
      </c>
      <c r="K467" s="130" t="s">
        <v>120</v>
      </c>
      <c r="L467" s="169" t="s">
        <v>10</v>
      </c>
      <c r="M467" s="130" t="s">
        <v>120</v>
      </c>
      <c r="N467" s="169" t="s">
        <v>116</v>
      </c>
      <c r="O467" s="154" t="s">
        <v>120</v>
      </c>
      <c r="Q467" s="284"/>
      <c r="R467" s="285"/>
      <c r="S467" s="285"/>
      <c r="T467" s="285"/>
      <c r="U467" s="285"/>
      <c r="V467" s="285"/>
      <c r="W467" s="286"/>
      <c r="X467" s="199">
        <v>1</v>
      </c>
      <c r="Y467" s="262" t="str">
        <f t="array" ref="Y467">IF(ISERROR(INDEX($CA$2:$CB$200,SMALL(IF($CA$2:$CA$200=$A$460,ROW($CA$2:$CA$200)),ROW(3:3))-1,2)),"",INDEX($CA$2:$CB$200,SMALL(IF($CA$2:$CA$200=$A$460,ROW($CA$2:$CA$200)),ROW(3:3))-1,2))</f>
        <v/>
      </c>
      <c r="Z467" s="263"/>
      <c r="AA467" s="263"/>
      <c r="AB467" s="263"/>
      <c r="AC467" s="263"/>
      <c r="AD467" s="263"/>
      <c r="AE467" s="263"/>
      <c r="AF467" s="264"/>
      <c r="AH467" s="136">
        <v>4.1666666666667997E-2</v>
      </c>
      <c r="AI467" s="136" t="str">
        <f>IF(AH461="","",IF(B467="","",B467))</f>
        <v/>
      </c>
      <c r="AJ467" s="136" t="str">
        <f>IF(AH461="","",IF(C467="","",C467))</f>
        <v/>
      </c>
      <c r="AK467" s="136" t="str">
        <f>IF(AH461="","",IF(D467="","",D467))</f>
        <v/>
      </c>
      <c r="AL467" s="136" t="str">
        <f>IF(AH461="","",IF(E467="","",E467))</f>
        <v/>
      </c>
      <c r="AM467" s="136" t="str">
        <f>IF(AH461="","",IF(F467="","",F467))</f>
        <v/>
      </c>
      <c r="AN467" s="136" t="str">
        <f>IF(AH461="","",IF(G467="","",G467))</f>
        <v/>
      </c>
      <c r="AO467" s="136" t="str">
        <f>IF(AH461="","",IF(H467="","",H467))</f>
        <v/>
      </c>
      <c r="AP467" s="136" t="str">
        <f>IF(AH461="","",IF(I467="","",I467))</f>
        <v/>
      </c>
      <c r="AQ467" s="136" t="str">
        <f>IF(AH461="","",IF(J467="","",J467))</f>
        <v/>
      </c>
      <c r="AR467" s="136" t="str">
        <f>IF(AH461="","",IF(K467="","",K467))</f>
        <v/>
      </c>
      <c r="AS467" s="136" t="str">
        <f>IF(AH461="","",IF(L467="","",L467))</f>
        <v/>
      </c>
      <c r="AT467" s="136" t="str">
        <f>IF(AH461="","",IF(M467="","",M467))</f>
        <v/>
      </c>
      <c r="AU467" s="136" t="str">
        <f>IF(AH461="","",IF(N467="","",N467))</f>
        <v/>
      </c>
      <c r="AV467" s="136" t="str">
        <f>IF(AH461="","",IF(O467="","",O467))</f>
        <v/>
      </c>
      <c r="AX467" s="136" t="str">
        <f>IF(AI461="","",IF(B467="","",B467))</f>
        <v/>
      </c>
      <c r="AY467" s="136" t="str">
        <f>IF(AI461="","",IF(C467="","",C467))</f>
        <v/>
      </c>
      <c r="AZ467" s="136" t="str">
        <f>IF(AI461="","",IF(D467="","",D467))</f>
        <v/>
      </c>
      <c r="BA467" s="136" t="str">
        <f>IF(AI461="","",IF(E467="","",E467))</f>
        <v/>
      </c>
      <c r="BB467" s="136" t="str">
        <f>IF(AI461="","",IF(F467="","",F467))</f>
        <v/>
      </c>
      <c r="BC467" s="136" t="str">
        <f>IF(AI461="","",IF(G467="","",G467))</f>
        <v/>
      </c>
      <c r="BD467" s="136" t="str">
        <f>IF(AI461="","",IF(H467="","",H467))</f>
        <v/>
      </c>
      <c r="BE467" s="136" t="str">
        <f>IF(AI461="","",IF(I467="","",I467))</f>
        <v/>
      </c>
      <c r="BF467" s="136" t="str">
        <f>IF(AI461="","",IF(J467="","",J467))</f>
        <v/>
      </c>
      <c r="BG467" s="136" t="str">
        <f>IF(AI461="","",IF(K467="","",K467))</f>
        <v/>
      </c>
      <c r="BH467" s="136" t="str">
        <f>IF(AI461="","",IF(L467="","",L467))</f>
        <v/>
      </c>
      <c r="BI467" s="136" t="str">
        <f>IF(AI461="","",IF(M467="","",M467))</f>
        <v/>
      </c>
      <c r="BJ467" s="136" t="str">
        <f>IF(AI461="","",IF(N467="","",N467))</f>
        <v/>
      </c>
      <c r="BK467" s="136" t="str">
        <f>IF(AI461="","",IF(O467="","",O467))</f>
        <v/>
      </c>
      <c r="CA467" s="136">
        <f>'INFO BASE'!L537</f>
        <v>0</v>
      </c>
      <c r="CB467" s="136">
        <f>'INFO BASE'!M537</f>
        <v>0</v>
      </c>
      <c r="CR467" s="177" t="str">
        <f t="shared" si="269"/>
        <v>HS</v>
      </c>
      <c r="CS467" s="177" t="str">
        <f t="shared" si="270"/>
        <v>HS-</v>
      </c>
      <c r="CT467" s="177" t="str">
        <f t="shared" si="269"/>
        <v>HS</v>
      </c>
      <c r="CU467" s="177" t="str">
        <f t="shared" si="271"/>
        <v>HS-</v>
      </c>
      <c r="CV467" s="177" t="str">
        <f t="shared" si="269"/>
        <v>HS</v>
      </c>
      <c r="CW467" s="177" t="str">
        <f t="shared" si="272"/>
        <v>HS-</v>
      </c>
      <c r="CX467" s="177" t="str">
        <f t="shared" si="269"/>
        <v>HS</v>
      </c>
      <c r="CY467" s="177" t="str">
        <f t="shared" si="273"/>
        <v>HS-</v>
      </c>
      <c r="CZ467" s="177" t="str">
        <f t="shared" si="269"/>
        <v>HS</v>
      </c>
      <c r="DA467" s="177" t="str">
        <f t="shared" si="274"/>
        <v>HS-</v>
      </c>
      <c r="DB467" s="177" t="str">
        <f t="shared" si="269"/>
        <v>HS</v>
      </c>
      <c r="DC467" s="177" t="str">
        <f t="shared" si="275"/>
        <v>HS-</v>
      </c>
      <c r="DD467" s="177" t="str">
        <f t="shared" si="276"/>
        <v>PV</v>
      </c>
      <c r="DE467" s="177">
        <f t="shared" si="277"/>
        <v>0</v>
      </c>
    </row>
    <row r="468" spans="1:109" ht="18" customHeight="1" x14ac:dyDescent="0.3">
      <c r="A468" s="81">
        <v>6.2500000000001998E-2</v>
      </c>
      <c r="B468" s="166" t="s">
        <v>10</v>
      </c>
      <c r="C468" s="130" t="s">
        <v>120</v>
      </c>
      <c r="D468" s="169" t="s">
        <v>10</v>
      </c>
      <c r="E468" s="130" t="s">
        <v>120</v>
      </c>
      <c r="F468" s="169" t="s">
        <v>10</v>
      </c>
      <c r="G468" s="130" t="s">
        <v>120</v>
      </c>
      <c r="H468" s="169" t="s">
        <v>10</v>
      </c>
      <c r="I468" s="130" t="s">
        <v>120</v>
      </c>
      <c r="J468" s="169" t="s">
        <v>10</v>
      </c>
      <c r="K468" s="130" t="s">
        <v>120</v>
      </c>
      <c r="L468" s="169" t="s">
        <v>10</v>
      </c>
      <c r="M468" s="130" t="s">
        <v>120</v>
      </c>
      <c r="N468" s="169" t="s">
        <v>10</v>
      </c>
      <c r="O468" s="154" t="s">
        <v>120</v>
      </c>
      <c r="Q468" s="284"/>
      <c r="R468" s="285"/>
      <c r="S468" s="285"/>
      <c r="T468" s="285"/>
      <c r="U468" s="285"/>
      <c r="V468" s="285"/>
      <c r="W468" s="286"/>
      <c r="X468" s="199">
        <v>1</v>
      </c>
      <c r="Y468" s="262" t="str">
        <f t="array" ref="Y468">IF(ISERROR(INDEX($CA$2:$CB$200,SMALL(IF($CA$2:$CA$200=$A$460,ROW($CA$2:$CA$200)),ROW(4:4))-1,2)),"",INDEX($CA$2:$CB$200,SMALL(IF($CA$2:$CA$200=$A$460,ROW($CA$2:$CA$200)),ROW(4:4))-1,2))</f>
        <v/>
      </c>
      <c r="Z468" s="263"/>
      <c r="AA468" s="263"/>
      <c r="AB468" s="263"/>
      <c r="AC468" s="263"/>
      <c r="AD468" s="263"/>
      <c r="AE468" s="263"/>
      <c r="AF468" s="264"/>
      <c r="AH468" s="136">
        <v>6.2500000000001998E-2</v>
      </c>
      <c r="AI468" s="136" t="str">
        <f>IF(AH461="","",IF(B468="","",B468))</f>
        <v/>
      </c>
      <c r="AJ468" s="136" t="str">
        <f>IF(AH461="","",IF(C468="","",C468))</f>
        <v/>
      </c>
      <c r="AK468" s="136" t="str">
        <f>IF(AH461="","",IF(D468="","",D468))</f>
        <v/>
      </c>
      <c r="AL468" s="136" t="str">
        <f>IF(AH461="","",IF(E468="","",E468))</f>
        <v/>
      </c>
      <c r="AM468" s="136" t="str">
        <f>IF(AH461="","",IF(F468="","",F468))</f>
        <v/>
      </c>
      <c r="AN468" s="136" t="str">
        <f>IF(AH461="","",IF(G468="","",G468))</f>
        <v/>
      </c>
      <c r="AO468" s="136" t="str">
        <f>IF(AH461="","",IF(H468="","",H468))</f>
        <v/>
      </c>
      <c r="AP468" s="136" t="str">
        <f>IF(AH461="","",IF(I468="","",I468))</f>
        <v/>
      </c>
      <c r="AQ468" s="136" t="str">
        <f>IF(AH461="","",IF(J468="","",J468))</f>
        <v/>
      </c>
      <c r="AR468" s="136" t="str">
        <f>IF(AH461="","",IF(K468="","",K468))</f>
        <v/>
      </c>
      <c r="AS468" s="136" t="str">
        <f>IF(AH461="","",IF(L468="","",L468))</f>
        <v/>
      </c>
      <c r="AT468" s="136" t="str">
        <f>IF(AH461="","",IF(M468="","",M468))</f>
        <v/>
      </c>
      <c r="AU468" s="136" t="str">
        <f>IF(AH461="","",IF(N468="","",N468))</f>
        <v/>
      </c>
      <c r="AV468" s="136" t="str">
        <f>IF(AH461="","",IF(O468="","",O468))</f>
        <v/>
      </c>
      <c r="AX468" s="136" t="str">
        <f>IF(AI461="","",IF(B468="","",B468))</f>
        <v/>
      </c>
      <c r="AY468" s="136" t="str">
        <f>IF(AI461="","",IF(C468="","",C468))</f>
        <v/>
      </c>
      <c r="AZ468" s="136" t="str">
        <f>IF(AI461="","",IF(D468="","",D468))</f>
        <v/>
      </c>
      <c r="BA468" s="136" t="str">
        <f>IF(AI461="","",IF(E468="","",E468))</f>
        <v/>
      </c>
      <c r="BB468" s="136" t="str">
        <f>IF(AI461="","",IF(F468="","",F468))</f>
        <v/>
      </c>
      <c r="BC468" s="136" t="str">
        <f>IF(AI461="","",IF(G468="","",G468))</f>
        <v/>
      </c>
      <c r="BD468" s="136" t="str">
        <f>IF(AI461="","",IF(H468="","",H468))</f>
        <v/>
      </c>
      <c r="BE468" s="136" t="str">
        <f>IF(AI461="","",IF(I468="","",I468))</f>
        <v/>
      </c>
      <c r="BF468" s="136" t="str">
        <f>IF(AI461="","",IF(J468="","",J468))</f>
        <v/>
      </c>
      <c r="BG468" s="136" t="str">
        <f>IF(AI461="","",IF(K468="","",K468))</f>
        <v/>
      </c>
      <c r="BH468" s="136" t="str">
        <f>IF(AI461="","",IF(L468="","",L468))</f>
        <v/>
      </c>
      <c r="BI468" s="136" t="str">
        <f>IF(AI461="","",IF(M468="","",M468))</f>
        <v/>
      </c>
      <c r="BJ468" s="136" t="str">
        <f>IF(AI461="","",IF(N468="","",N468))</f>
        <v/>
      </c>
      <c r="BK468" s="136" t="str">
        <f>IF(AI461="","",IF(O468="","",O468))</f>
        <v/>
      </c>
      <c r="CA468" s="136">
        <f>'INFO BASE'!L538</f>
        <v>0</v>
      </c>
      <c r="CB468" s="136">
        <f>'INFO BASE'!M538</f>
        <v>0</v>
      </c>
      <c r="CR468" s="177" t="str">
        <f t="shared" si="269"/>
        <v>HS</v>
      </c>
      <c r="CS468" s="177" t="str">
        <f t="shared" si="270"/>
        <v>HS-</v>
      </c>
      <c r="CT468" s="177" t="str">
        <f t="shared" si="269"/>
        <v>HS</v>
      </c>
      <c r="CU468" s="177" t="str">
        <f t="shared" si="271"/>
        <v>HS-</v>
      </c>
      <c r="CV468" s="177" t="str">
        <f t="shared" si="269"/>
        <v>HS</v>
      </c>
      <c r="CW468" s="177" t="str">
        <f t="shared" si="272"/>
        <v>HS-</v>
      </c>
      <c r="CX468" s="177" t="str">
        <f t="shared" si="269"/>
        <v>HS</v>
      </c>
      <c r="CY468" s="177" t="str">
        <f t="shared" si="273"/>
        <v>HS-</v>
      </c>
      <c r="CZ468" s="177" t="str">
        <f t="shared" si="269"/>
        <v>HS</v>
      </c>
      <c r="DA468" s="177" t="str">
        <f t="shared" si="274"/>
        <v>HS-</v>
      </c>
      <c r="DB468" s="177" t="str">
        <f t="shared" si="269"/>
        <v>HS</v>
      </c>
      <c r="DC468" s="177" t="str">
        <f t="shared" si="275"/>
        <v>HS-</v>
      </c>
      <c r="DD468" s="177" t="str">
        <f t="shared" si="276"/>
        <v>HS</v>
      </c>
      <c r="DE468" s="177" t="str">
        <f t="shared" si="277"/>
        <v>HS-</v>
      </c>
    </row>
    <row r="469" spans="1:109" ht="18" customHeight="1" x14ac:dyDescent="0.3">
      <c r="A469" s="81">
        <v>8.3333333333335993E-2</v>
      </c>
      <c r="B469" s="166" t="s">
        <v>10</v>
      </c>
      <c r="C469" s="130" t="s">
        <v>120</v>
      </c>
      <c r="D469" s="169" t="s">
        <v>10</v>
      </c>
      <c r="E469" s="130" t="s">
        <v>120</v>
      </c>
      <c r="F469" s="169" t="s">
        <v>10</v>
      </c>
      <c r="G469" s="130" t="s">
        <v>120</v>
      </c>
      <c r="H469" s="169" t="s">
        <v>10</v>
      </c>
      <c r="I469" s="130" t="s">
        <v>120</v>
      </c>
      <c r="J469" s="169" t="s">
        <v>10</v>
      </c>
      <c r="K469" s="130" t="s">
        <v>120</v>
      </c>
      <c r="L469" s="169" t="s">
        <v>10</v>
      </c>
      <c r="M469" s="130" t="s">
        <v>120</v>
      </c>
      <c r="N469" s="169" t="s">
        <v>10</v>
      </c>
      <c r="O469" s="154" t="s">
        <v>120</v>
      </c>
      <c r="Q469" s="284"/>
      <c r="R469" s="285"/>
      <c r="S469" s="285"/>
      <c r="T469" s="285"/>
      <c r="U469" s="285"/>
      <c r="V469" s="285"/>
      <c r="W469" s="286"/>
      <c r="X469" s="199">
        <v>1</v>
      </c>
      <c r="Y469" s="262" t="str">
        <f t="array" ref="Y469">IF(ISERROR(INDEX($CA$2:$CB$200,SMALL(IF($CA$2:$CA$200=$A$460,ROW($CA$2:$CA$200)),ROW(5:5))-1,2)),"",INDEX($CA$2:$CB$200,SMALL(IF($CA$2:$CA$200=$A$460,ROW($CA$2:$CA$200)),ROW(5:5))-1,2))</f>
        <v/>
      </c>
      <c r="Z469" s="263"/>
      <c r="AA469" s="263"/>
      <c r="AB469" s="263"/>
      <c r="AC469" s="263"/>
      <c r="AD469" s="263"/>
      <c r="AE469" s="263"/>
      <c r="AF469" s="264"/>
      <c r="AH469" s="136">
        <v>8.3333333333335993E-2</v>
      </c>
      <c r="AI469" s="136" t="str">
        <f>IF(AH461="","",IF(B469="","",B469))</f>
        <v/>
      </c>
      <c r="AJ469" s="136" t="str">
        <f>IF(AH461="","",IF(C469="","",C469))</f>
        <v/>
      </c>
      <c r="AK469" s="136" t="str">
        <f>IF(AH461="","",IF(D469="","",D469))</f>
        <v/>
      </c>
      <c r="AL469" s="136" t="str">
        <f>IF(AH461="","",IF(E469="","",E469))</f>
        <v/>
      </c>
      <c r="AM469" s="136" t="str">
        <f>IF(AH461="","",IF(F469="","",F469))</f>
        <v/>
      </c>
      <c r="AN469" s="136" t="str">
        <f>IF(AH461="","",IF(G469="","",G469))</f>
        <v/>
      </c>
      <c r="AO469" s="136" t="str">
        <f>IF(AH461="","",IF(H469="","",H469))</f>
        <v/>
      </c>
      <c r="AP469" s="136" t="str">
        <f>IF(AH461="","",IF(I469="","",I469))</f>
        <v/>
      </c>
      <c r="AQ469" s="136" t="str">
        <f>IF(AH461="","",IF(J469="","",J469))</f>
        <v/>
      </c>
      <c r="AR469" s="136" t="str">
        <f>IF(AH461="","",IF(K469="","",K469))</f>
        <v/>
      </c>
      <c r="AS469" s="136" t="str">
        <f>IF(AH461="","",IF(L469="","",L469))</f>
        <v/>
      </c>
      <c r="AT469" s="136" t="str">
        <f>IF(AH461="","",IF(M469="","",M469))</f>
        <v/>
      </c>
      <c r="AU469" s="136" t="str">
        <f>IF(AH461="","",IF(N469="","",N469))</f>
        <v/>
      </c>
      <c r="AV469" s="136" t="str">
        <f>IF(AH461="","",IF(O469="","",O469))</f>
        <v/>
      </c>
      <c r="AX469" s="136" t="str">
        <f>IF(AI461="","",IF(B469="","",B469))</f>
        <v/>
      </c>
      <c r="AY469" s="136" t="str">
        <f>IF(AI461="","",IF(C469="","",C469))</f>
        <v/>
      </c>
      <c r="AZ469" s="136" t="str">
        <f>IF(AI461="","",IF(D469="","",D469))</f>
        <v/>
      </c>
      <c r="BA469" s="136" t="str">
        <f>IF(AI461="","",IF(E469="","",E469))</f>
        <v/>
      </c>
      <c r="BB469" s="136" t="str">
        <f>IF(AI461="","",IF(F469="","",F469))</f>
        <v/>
      </c>
      <c r="BC469" s="136" t="str">
        <f>IF(AI461="","",IF(G469="","",G469))</f>
        <v/>
      </c>
      <c r="BD469" s="136" t="str">
        <f>IF(AI461="","",IF(H469="","",H469))</f>
        <v/>
      </c>
      <c r="BE469" s="136" t="str">
        <f>IF(AI461="","",IF(I469="","",I469))</f>
        <v/>
      </c>
      <c r="BF469" s="136" t="str">
        <f>IF(AI461="","",IF(J469="","",J469))</f>
        <v/>
      </c>
      <c r="BG469" s="136" t="str">
        <f>IF(AI461="","",IF(K469="","",K469))</f>
        <v/>
      </c>
      <c r="BH469" s="136" t="str">
        <f>IF(AI461="","",IF(L469="","",L469))</f>
        <v/>
      </c>
      <c r="BI469" s="136" t="str">
        <f>IF(AI461="","",IF(M469="","",M469))</f>
        <v/>
      </c>
      <c r="BJ469" s="136" t="str">
        <f>IF(AI461="","",IF(N469="","",N469))</f>
        <v/>
      </c>
      <c r="BK469" s="136" t="str">
        <f>IF(AI461="","",IF(O469="","",O469))</f>
        <v/>
      </c>
      <c r="CA469" s="136">
        <f>'INFO BASE'!L539</f>
        <v>0</v>
      </c>
      <c r="CB469" s="136">
        <f>'INFO BASE'!M539</f>
        <v>0</v>
      </c>
      <c r="CD469" s="136" t="str">
        <f t="shared" ref="CD469:CD474" si="278">R477</f>
        <v>FP</v>
      </c>
      <c r="CR469" s="177" t="str">
        <f t="shared" si="269"/>
        <v>HS</v>
      </c>
      <c r="CS469" s="177" t="str">
        <f t="shared" si="270"/>
        <v>HS-</v>
      </c>
      <c r="CT469" s="177" t="str">
        <f t="shared" si="269"/>
        <v>HS</v>
      </c>
      <c r="CU469" s="177" t="str">
        <f t="shared" si="271"/>
        <v>HS-</v>
      </c>
      <c r="CV469" s="177" t="str">
        <f t="shared" si="269"/>
        <v>HS</v>
      </c>
      <c r="CW469" s="177" t="str">
        <f t="shared" si="272"/>
        <v>HS-</v>
      </c>
      <c r="CX469" s="177" t="str">
        <f t="shared" si="269"/>
        <v>HS</v>
      </c>
      <c r="CY469" s="177" t="str">
        <f t="shared" si="273"/>
        <v>HS-</v>
      </c>
      <c r="CZ469" s="177" t="str">
        <f t="shared" si="269"/>
        <v>HS</v>
      </c>
      <c r="DA469" s="177" t="str">
        <f t="shared" si="274"/>
        <v>HS-</v>
      </c>
      <c r="DB469" s="177" t="str">
        <f t="shared" si="269"/>
        <v>HS</v>
      </c>
      <c r="DC469" s="177" t="str">
        <f t="shared" si="275"/>
        <v>HS-</v>
      </c>
      <c r="DD469" s="177" t="str">
        <f t="shared" si="276"/>
        <v>HS</v>
      </c>
      <c r="DE469" s="177" t="str">
        <f t="shared" si="277"/>
        <v>HS-</v>
      </c>
    </row>
    <row r="470" spans="1:109" ht="18" customHeight="1" x14ac:dyDescent="0.3">
      <c r="A470" s="81">
        <v>0.10416666666667</v>
      </c>
      <c r="B470" s="166" t="s">
        <v>10</v>
      </c>
      <c r="C470" s="130" t="s">
        <v>120</v>
      </c>
      <c r="D470" s="169" t="s">
        <v>10</v>
      </c>
      <c r="E470" s="130" t="s">
        <v>120</v>
      </c>
      <c r="F470" s="169" t="s">
        <v>10</v>
      </c>
      <c r="G470" s="130" t="s">
        <v>120</v>
      </c>
      <c r="H470" s="169" t="s">
        <v>10</v>
      </c>
      <c r="I470" s="130" t="s">
        <v>120</v>
      </c>
      <c r="J470" s="169" t="s">
        <v>10</v>
      </c>
      <c r="K470" s="130" t="s">
        <v>120</v>
      </c>
      <c r="L470" s="169" t="s">
        <v>10</v>
      </c>
      <c r="M470" s="130" t="s">
        <v>120</v>
      </c>
      <c r="N470" s="169" t="s">
        <v>10</v>
      </c>
      <c r="O470" s="154" t="s">
        <v>120</v>
      </c>
      <c r="Q470" s="284"/>
      <c r="R470" s="285"/>
      <c r="S470" s="285"/>
      <c r="T470" s="285"/>
      <c r="U470" s="285"/>
      <c r="V470" s="285"/>
      <c r="W470" s="286"/>
      <c r="X470" s="199">
        <v>1</v>
      </c>
      <c r="Y470" s="262" t="str">
        <f t="array" ref="Y470">IF(ISERROR(INDEX($CA$2:$CB$200,SMALL(IF($CA$2:$CA$200=$A$460,ROW($CA$2:$CA$200)),ROW(6:6))-1,2)),"",INDEX($CA$2:$CB$200,SMALL(IF($CA$2:$CA$200=$A$460,ROW($CA$2:$CA$200)),ROW(6:6))-1,2))</f>
        <v/>
      </c>
      <c r="Z470" s="263"/>
      <c r="AA470" s="263"/>
      <c r="AB470" s="263"/>
      <c r="AC470" s="263"/>
      <c r="AD470" s="263"/>
      <c r="AE470" s="263"/>
      <c r="AF470" s="264"/>
      <c r="AH470" s="136">
        <v>0.10416666666667</v>
      </c>
      <c r="AI470" s="136" t="str">
        <f>IF(AH461="","",IF(B470="","",B470))</f>
        <v/>
      </c>
      <c r="AJ470" s="136" t="str">
        <f>IF(AH461="","",IF(C470="","",C470))</f>
        <v/>
      </c>
      <c r="AK470" s="136" t="str">
        <f>IF(AH461="","",IF(D470="","",D470))</f>
        <v/>
      </c>
      <c r="AL470" s="136" t="str">
        <f>IF(AH461="","",IF(E470="","",E470))</f>
        <v/>
      </c>
      <c r="AM470" s="136" t="str">
        <f>IF(AH461="","",IF(F470="","",F470))</f>
        <v/>
      </c>
      <c r="AN470" s="136" t="str">
        <f>IF(AH461="","",IF(G470="","",G470))</f>
        <v/>
      </c>
      <c r="AO470" s="136" t="str">
        <f>IF(AH461="","",IF(H470="","",H470))</f>
        <v/>
      </c>
      <c r="AP470" s="136" t="str">
        <f>IF(AH461="","",IF(I470="","",I470))</f>
        <v/>
      </c>
      <c r="AQ470" s="136" t="str">
        <f>IF(AH461="","",IF(J470="","",J470))</f>
        <v/>
      </c>
      <c r="AR470" s="136" t="str">
        <f>IF(AH461="","",IF(K470="","",K470))</f>
        <v/>
      </c>
      <c r="AS470" s="136" t="str">
        <f>IF(AH461="","",IF(L470="","",L470))</f>
        <v/>
      </c>
      <c r="AT470" s="136" t="str">
        <f>IF(AH461="","",IF(M470="","",M470))</f>
        <v/>
      </c>
      <c r="AU470" s="136" t="str">
        <f>IF(AH461="","",IF(N470="","",N470))</f>
        <v/>
      </c>
      <c r="AV470" s="136" t="str">
        <f>IF(AH461="","",IF(O470="","",O470))</f>
        <v/>
      </c>
      <c r="AX470" s="136" t="str">
        <f>IF(AI461="","",IF(B470="","",B470))</f>
        <v/>
      </c>
      <c r="AY470" s="136" t="str">
        <f>IF(AI461="","",IF(C470="","",C470))</f>
        <v/>
      </c>
      <c r="AZ470" s="136" t="str">
        <f>IF(AI461="","",IF(D470="","",D470))</f>
        <v/>
      </c>
      <c r="BA470" s="136" t="str">
        <f>IF(AI461="","",IF(E470="","",E470))</f>
        <v/>
      </c>
      <c r="BB470" s="136" t="str">
        <f>IF(AI461="","",IF(F470="","",F470))</f>
        <v/>
      </c>
      <c r="BC470" s="136" t="str">
        <f>IF(AI461="","",IF(G470="","",G470))</f>
        <v/>
      </c>
      <c r="BD470" s="136" t="str">
        <f>IF(AI461="","",IF(H470="","",H470))</f>
        <v/>
      </c>
      <c r="BE470" s="136" t="str">
        <f>IF(AI461="","",IF(I470="","",I470))</f>
        <v/>
      </c>
      <c r="BF470" s="136" t="str">
        <f>IF(AI461="","",IF(J470="","",J470))</f>
        <v/>
      </c>
      <c r="BG470" s="136" t="str">
        <f>IF(AI461="","",IF(K470="","",K470))</f>
        <v/>
      </c>
      <c r="BH470" s="136" t="str">
        <f>IF(AI461="","",IF(L470="","",L470))</f>
        <v/>
      </c>
      <c r="BI470" s="136" t="str">
        <f>IF(AI461="","",IF(M470="","",M470))</f>
        <v/>
      </c>
      <c r="BJ470" s="136" t="str">
        <f>IF(AI461="","",IF(N470="","",N470))</f>
        <v/>
      </c>
      <c r="BK470" s="136" t="str">
        <f>IF(AI461="","",IF(O470="","",O470))</f>
        <v/>
      </c>
      <c r="CA470" s="136">
        <f>'INFO BASE'!L550</f>
        <v>0</v>
      </c>
      <c r="CB470" s="136">
        <f>'INFO BASE'!M550</f>
        <v>0</v>
      </c>
      <c r="CD470" s="136" t="str">
        <f t="shared" si="278"/>
        <v>IEI</v>
      </c>
      <c r="CR470" s="177" t="str">
        <f t="shared" si="269"/>
        <v>HS</v>
      </c>
      <c r="CS470" s="177" t="str">
        <f t="shared" si="270"/>
        <v>HS-</v>
      </c>
      <c r="CT470" s="177" t="str">
        <f t="shared" si="269"/>
        <v>HS</v>
      </c>
      <c r="CU470" s="177" t="str">
        <f t="shared" si="271"/>
        <v>HS-</v>
      </c>
      <c r="CV470" s="177" t="str">
        <f t="shared" si="269"/>
        <v>HS</v>
      </c>
      <c r="CW470" s="177" t="str">
        <f t="shared" si="272"/>
        <v>HS-</v>
      </c>
      <c r="CX470" s="177" t="str">
        <f t="shared" si="269"/>
        <v>HS</v>
      </c>
      <c r="CY470" s="177" t="str">
        <f t="shared" si="273"/>
        <v>HS-</v>
      </c>
      <c r="CZ470" s="177" t="str">
        <f t="shared" si="269"/>
        <v>HS</v>
      </c>
      <c r="DA470" s="177" t="str">
        <f t="shared" si="274"/>
        <v>HS-</v>
      </c>
      <c r="DB470" s="177" t="str">
        <f t="shared" si="269"/>
        <v>HS</v>
      </c>
      <c r="DC470" s="177" t="str">
        <f t="shared" si="275"/>
        <v>HS-</v>
      </c>
      <c r="DD470" s="177" t="str">
        <f t="shared" si="276"/>
        <v>HS</v>
      </c>
      <c r="DE470" s="177" t="str">
        <f t="shared" si="277"/>
        <v>HS-</v>
      </c>
    </row>
    <row r="471" spans="1:109" ht="18" customHeight="1" x14ac:dyDescent="0.3">
      <c r="A471" s="81">
        <v>0.125000000000004</v>
      </c>
      <c r="B471" s="166" t="s">
        <v>10</v>
      </c>
      <c r="C471" s="130" t="s">
        <v>120</v>
      </c>
      <c r="D471" s="169" t="s">
        <v>10</v>
      </c>
      <c r="E471" s="130" t="s">
        <v>120</v>
      </c>
      <c r="F471" s="169" t="s">
        <v>10</v>
      </c>
      <c r="G471" s="130" t="s">
        <v>120</v>
      </c>
      <c r="H471" s="169" t="s">
        <v>10</v>
      </c>
      <c r="I471" s="130" t="s">
        <v>120</v>
      </c>
      <c r="J471" s="169" t="s">
        <v>10</v>
      </c>
      <c r="K471" s="130" t="s">
        <v>120</v>
      </c>
      <c r="L471" s="169" t="s">
        <v>10</v>
      </c>
      <c r="M471" s="130" t="s">
        <v>120</v>
      </c>
      <c r="N471" s="169" t="s">
        <v>10</v>
      </c>
      <c r="O471" s="154" t="s">
        <v>120</v>
      </c>
      <c r="Q471" s="284"/>
      <c r="R471" s="285"/>
      <c r="S471" s="285"/>
      <c r="T471" s="285"/>
      <c r="U471" s="285"/>
      <c r="V471" s="285"/>
      <c r="W471" s="286"/>
      <c r="X471" s="199">
        <v>1</v>
      </c>
      <c r="Y471" s="262" t="str">
        <f t="array" ref="Y471">IF(ISERROR(INDEX($CA$2:$CB$200,SMALL(IF($CA$2:$CA$200=$A$460,ROW($CA$2:$CA$200)),ROW(7:7))-1,2)),"",INDEX($CA$2:$CB$200,SMALL(IF($CA$2:$CA$200=$A$460,ROW($CA$2:$CA$200)),ROW(7:7))-1,2))</f>
        <v/>
      </c>
      <c r="Z471" s="263"/>
      <c r="AA471" s="263"/>
      <c r="AB471" s="263"/>
      <c r="AC471" s="263"/>
      <c r="AD471" s="263"/>
      <c r="AE471" s="263"/>
      <c r="AF471" s="264"/>
      <c r="AH471" s="136">
        <v>0.125000000000004</v>
      </c>
      <c r="AI471" s="136" t="str">
        <f>IF(AH461="","",IF(B471="","",B471))</f>
        <v/>
      </c>
      <c r="AJ471" s="136" t="str">
        <f>IF(AH461="","",IF(C471="","",C471))</f>
        <v/>
      </c>
      <c r="AK471" s="136" t="str">
        <f>IF(AH461="","",IF(D471="","",D471))</f>
        <v/>
      </c>
      <c r="AL471" s="136" t="str">
        <f>IF(AH461="","",IF(E471="","",E471))</f>
        <v/>
      </c>
      <c r="AM471" s="136" t="str">
        <f>IF(AH461="","",IF(F471="","",F471))</f>
        <v/>
      </c>
      <c r="AN471" s="136" t="str">
        <f>IF(AH461="","",IF(G471="","",G471))</f>
        <v/>
      </c>
      <c r="AO471" s="136" t="str">
        <f>IF(AH461="","",IF(H471="","",H471))</f>
        <v/>
      </c>
      <c r="AP471" s="136" t="str">
        <f>IF(AH461="","",IF(I471="","",I471))</f>
        <v/>
      </c>
      <c r="AQ471" s="136" t="str">
        <f>IF(AH461="","",IF(J471="","",J471))</f>
        <v/>
      </c>
      <c r="AR471" s="136" t="str">
        <f>IF(AH461="","",IF(K471="","",K471))</f>
        <v/>
      </c>
      <c r="AS471" s="136" t="str">
        <f>IF(AH461="","",IF(L471="","",L471))</f>
        <v/>
      </c>
      <c r="AT471" s="136" t="str">
        <f>IF(AH461="","",IF(M471="","",M471))</f>
        <v/>
      </c>
      <c r="AU471" s="136" t="str">
        <f>IF(AH461="","",IF(N471="","",N471))</f>
        <v/>
      </c>
      <c r="AV471" s="136" t="str">
        <f>IF(AH461="","",IF(O471="","",O471))</f>
        <v/>
      </c>
      <c r="AX471" s="136" t="str">
        <f>IF(AI461="","",IF(B471="","",B471))</f>
        <v/>
      </c>
      <c r="AY471" s="136" t="str">
        <f>IF(AI461="","",IF(C471="","",C471))</f>
        <v/>
      </c>
      <c r="AZ471" s="136" t="str">
        <f>IF(AI461="","",IF(D471="","",D471))</f>
        <v/>
      </c>
      <c r="BA471" s="136" t="str">
        <f>IF(AI461="","",IF(E471="","",E471))</f>
        <v/>
      </c>
      <c r="BB471" s="136" t="str">
        <f>IF(AI461="","",IF(F471="","",F471))</f>
        <v/>
      </c>
      <c r="BC471" s="136" t="str">
        <f>IF(AI461="","",IF(G471="","",G471))</f>
        <v/>
      </c>
      <c r="BD471" s="136" t="str">
        <f>IF(AI461="","",IF(H471="","",H471))</f>
        <v/>
      </c>
      <c r="BE471" s="136" t="str">
        <f>IF(AI461="","",IF(I471="","",I471))</f>
        <v/>
      </c>
      <c r="BF471" s="136" t="str">
        <f>IF(AI461="","",IF(J471="","",J471))</f>
        <v/>
      </c>
      <c r="BG471" s="136" t="str">
        <f>IF(AI461="","",IF(K471="","",K471))</f>
        <v/>
      </c>
      <c r="BH471" s="136" t="str">
        <f>IF(AI461="","",IF(L471="","",L471))</f>
        <v/>
      </c>
      <c r="BI471" s="136" t="str">
        <f>IF(AI461="","",IF(M471="","",M471))</f>
        <v/>
      </c>
      <c r="BJ471" s="136" t="str">
        <f>IF(AI461="","",IF(N471="","",N471))</f>
        <v/>
      </c>
      <c r="BK471" s="136" t="str">
        <f>IF(AI461="","",IF(O471="","",O471))</f>
        <v/>
      </c>
      <c r="CA471" s="136">
        <f>'INFO BASE'!L551</f>
        <v>0</v>
      </c>
      <c r="CB471" s="136">
        <f>'INFO BASE'!M551</f>
        <v>0</v>
      </c>
      <c r="CD471" s="136" t="str">
        <f t="shared" si="278"/>
        <v>IAC</v>
      </c>
      <c r="CR471" s="177" t="str">
        <f t="shared" si="269"/>
        <v>HS</v>
      </c>
      <c r="CS471" s="177" t="str">
        <f t="shared" si="270"/>
        <v>HS-</v>
      </c>
      <c r="CT471" s="177" t="str">
        <f t="shared" si="269"/>
        <v>HS</v>
      </c>
      <c r="CU471" s="177" t="str">
        <f t="shared" si="271"/>
        <v>HS-</v>
      </c>
      <c r="CV471" s="177" t="str">
        <f t="shared" si="269"/>
        <v>HS</v>
      </c>
      <c r="CW471" s="177" t="str">
        <f t="shared" si="272"/>
        <v>HS-</v>
      </c>
      <c r="CX471" s="177" t="str">
        <f t="shared" si="269"/>
        <v>HS</v>
      </c>
      <c r="CY471" s="177" t="str">
        <f t="shared" si="273"/>
        <v>HS-</v>
      </c>
      <c r="CZ471" s="177" t="str">
        <f t="shared" si="269"/>
        <v>HS</v>
      </c>
      <c r="DA471" s="177" t="str">
        <f t="shared" si="274"/>
        <v>HS-</v>
      </c>
      <c r="DB471" s="177" t="str">
        <f t="shared" si="269"/>
        <v>HS</v>
      </c>
      <c r="DC471" s="177" t="str">
        <f t="shared" si="275"/>
        <v>HS-</v>
      </c>
      <c r="DD471" s="177" t="str">
        <f t="shared" si="276"/>
        <v>HS</v>
      </c>
      <c r="DE471" s="177" t="str">
        <f t="shared" si="277"/>
        <v>HS-</v>
      </c>
    </row>
    <row r="472" spans="1:109" ht="18" customHeight="1" thickBot="1" x14ac:dyDescent="0.35">
      <c r="A472" s="81">
        <v>0.14583333333333801</v>
      </c>
      <c r="B472" s="166" t="s">
        <v>10</v>
      </c>
      <c r="C472" s="130" t="s">
        <v>120</v>
      </c>
      <c r="D472" s="169" t="s">
        <v>10</v>
      </c>
      <c r="E472" s="130" t="s">
        <v>120</v>
      </c>
      <c r="F472" s="169" t="s">
        <v>10</v>
      </c>
      <c r="G472" s="130" t="s">
        <v>120</v>
      </c>
      <c r="H472" s="169" t="s">
        <v>10</v>
      </c>
      <c r="I472" s="130" t="s">
        <v>120</v>
      </c>
      <c r="J472" s="169" t="s">
        <v>10</v>
      </c>
      <c r="K472" s="130" t="s">
        <v>120</v>
      </c>
      <c r="L472" s="169" t="s">
        <v>10</v>
      </c>
      <c r="M472" s="130" t="s">
        <v>120</v>
      </c>
      <c r="N472" s="169" t="s">
        <v>10</v>
      </c>
      <c r="O472" s="154" t="s">
        <v>120</v>
      </c>
      <c r="Q472" s="287"/>
      <c r="R472" s="288"/>
      <c r="S472" s="288"/>
      <c r="T472" s="288"/>
      <c r="U472" s="288"/>
      <c r="V472" s="288"/>
      <c r="W472" s="289"/>
      <c r="X472" s="199">
        <v>1</v>
      </c>
      <c r="Y472" s="265" t="str">
        <f t="array" ref="Y472">IF(ISERROR(INDEX($CA$2:$CB$200,SMALL(IF($CA$2:$CA$200=$A$460,ROW($CA$2:$CA$200)),ROW(8:8))-1,2)),"",INDEX($CA$2:$CB$200,SMALL(IF($CA$2:$CA$200=$A$460,ROW($CA$2:$CA$200)),ROW(8:8))-1,2))</f>
        <v/>
      </c>
      <c r="Z472" s="266"/>
      <c r="AA472" s="266"/>
      <c r="AB472" s="266"/>
      <c r="AC472" s="266"/>
      <c r="AD472" s="266"/>
      <c r="AE472" s="266"/>
      <c r="AF472" s="267"/>
      <c r="AH472" s="136">
        <v>0.14583333333333801</v>
      </c>
      <c r="AI472" s="136" t="str">
        <f>IF(AH461="","",IF(B472="","",B472))</f>
        <v/>
      </c>
      <c r="AJ472" s="136" t="str">
        <f>IF(AH461="","",IF(C472="","",C472))</f>
        <v/>
      </c>
      <c r="AK472" s="136" t="str">
        <f>IF(AH461="","",IF(D472="","",D472))</f>
        <v/>
      </c>
      <c r="AL472" s="136" t="str">
        <f>IF(AH461="","",IF(E472="","",E472))</f>
        <v/>
      </c>
      <c r="AM472" s="136" t="str">
        <f>IF(AH461="","",IF(F472="","",F472))</f>
        <v/>
      </c>
      <c r="AN472" s="136" t="str">
        <f>IF(AH461="","",IF(G472="","",G472))</f>
        <v/>
      </c>
      <c r="AO472" s="136" t="str">
        <f>IF(AH461="","",IF(H472="","",H472))</f>
        <v/>
      </c>
      <c r="AP472" s="136" t="str">
        <f>IF(AH461="","",IF(I472="","",I472))</f>
        <v/>
      </c>
      <c r="AQ472" s="136" t="str">
        <f>IF(AH461="","",IF(J472="","",J472))</f>
        <v/>
      </c>
      <c r="AR472" s="136" t="str">
        <f>IF(AH461="","",IF(K472="","",K472))</f>
        <v/>
      </c>
      <c r="AS472" s="136" t="str">
        <f>IF(AH461="","",IF(L472="","",L472))</f>
        <v/>
      </c>
      <c r="AT472" s="136" t="str">
        <f>IF(AH461="","",IF(M472="","",M472))</f>
        <v/>
      </c>
      <c r="AU472" s="136" t="str">
        <f>IF(AH461="","",IF(N472="","",N472))</f>
        <v/>
      </c>
      <c r="AV472" s="136" t="str">
        <f>IF(AH461="","",IF(O472="","",O472))</f>
        <v/>
      </c>
      <c r="AX472" s="136" t="str">
        <f>IF(AI461="","",IF(B472="","",B472))</f>
        <v/>
      </c>
      <c r="AY472" s="136" t="str">
        <f>IF(AI461="","",IF(C472="","",C472))</f>
        <v/>
      </c>
      <c r="AZ472" s="136" t="str">
        <f>IF(AI461="","",IF(D472="","",D472))</f>
        <v/>
      </c>
      <c r="BA472" s="136" t="str">
        <f>IF(AI461="","",IF(E472="","",E472))</f>
        <v/>
      </c>
      <c r="BB472" s="136" t="str">
        <f>IF(AI461="","",IF(F472="","",F472))</f>
        <v/>
      </c>
      <c r="BC472" s="136" t="str">
        <f>IF(AI461="","",IF(G472="","",G472))</f>
        <v/>
      </c>
      <c r="BD472" s="136" t="str">
        <f>IF(AI461="","",IF(H472="","",H472))</f>
        <v/>
      </c>
      <c r="BE472" s="136" t="str">
        <f>IF(AI461="","",IF(I472="","",I472))</f>
        <v/>
      </c>
      <c r="BF472" s="136" t="str">
        <f>IF(AI461="","",IF(J472="","",J472))</f>
        <v/>
      </c>
      <c r="BG472" s="136" t="str">
        <f>IF(AI461="","",IF(K472="","",K472))</f>
        <v/>
      </c>
      <c r="BH472" s="136" t="str">
        <f>IF(AI461="","",IF(L472="","",L472))</f>
        <v/>
      </c>
      <c r="BI472" s="136" t="str">
        <f>IF(AI461="","",IF(M472="","",M472))</f>
        <v/>
      </c>
      <c r="BJ472" s="136" t="str">
        <f>IF(AI461="","",IF(N472="","",N472))</f>
        <v/>
      </c>
      <c r="BK472" s="136" t="str">
        <f>IF(AI461="","",IF(O472="","",O472))</f>
        <v/>
      </c>
      <c r="CA472" s="136">
        <f>'INFO BASE'!L552</f>
        <v>0</v>
      </c>
      <c r="CB472" s="136">
        <f>'INFO BASE'!M552</f>
        <v>0</v>
      </c>
      <c r="CD472" s="136" t="str">
        <f t="shared" si="278"/>
        <v>AL</v>
      </c>
      <c r="CR472" s="177" t="str">
        <f t="shared" si="269"/>
        <v>HS</v>
      </c>
      <c r="CS472" s="177" t="str">
        <f t="shared" si="270"/>
        <v>HS-</v>
      </c>
      <c r="CT472" s="177" t="str">
        <f t="shared" si="269"/>
        <v>HS</v>
      </c>
      <c r="CU472" s="177" t="str">
        <f t="shared" si="271"/>
        <v>HS-</v>
      </c>
      <c r="CV472" s="177" t="str">
        <f t="shared" si="269"/>
        <v>HS</v>
      </c>
      <c r="CW472" s="177" t="str">
        <f t="shared" si="272"/>
        <v>HS-</v>
      </c>
      <c r="CX472" s="177" t="str">
        <f t="shared" si="269"/>
        <v>HS</v>
      </c>
      <c r="CY472" s="177" t="str">
        <f t="shared" si="273"/>
        <v>HS-</v>
      </c>
      <c r="CZ472" s="177" t="str">
        <f t="shared" si="269"/>
        <v>HS</v>
      </c>
      <c r="DA472" s="177" t="str">
        <f t="shared" si="274"/>
        <v>HS-</v>
      </c>
      <c r="DB472" s="177" t="str">
        <f t="shared" si="269"/>
        <v>HS</v>
      </c>
      <c r="DC472" s="177" t="str">
        <f t="shared" si="275"/>
        <v>HS-</v>
      </c>
      <c r="DD472" s="177" t="str">
        <f t="shared" si="276"/>
        <v>HS</v>
      </c>
      <c r="DE472" s="177" t="str">
        <f t="shared" si="277"/>
        <v>HS-</v>
      </c>
    </row>
    <row r="473" spans="1:109" ht="18" customHeight="1" thickBot="1" x14ac:dyDescent="0.35">
      <c r="A473" s="81">
        <v>0.16666666666667199</v>
      </c>
      <c r="B473" s="166" t="s">
        <v>10</v>
      </c>
      <c r="C473" s="130" t="s">
        <v>120</v>
      </c>
      <c r="D473" s="169" t="s">
        <v>10</v>
      </c>
      <c r="E473" s="130" t="s">
        <v>120</v>
      </c>
      <c r="F473" s="169" t="s">
        <v>10</v>
      </c>
      <c r="G473" s="130" t="s">
        <v>120</v>
      </c>
      <c r="H473" s="169" t="s">
        <v>10</v>
      </c>
      <c r="I473" s="130" t="s">
        <v>120</v>
      </c>
      <c r="J473" s="169" t="s">
        <v>10</v>
      </c>
      <c r="K473" s="130" t="s">
        <v>120</v>
      </c>
      <c r="L473" s="169" t="s">
        <v>10</v>
      </c>
      <c r="M473" s="130" t="s">
        <v>120</v>
      </c>
      <c r="N473" s="169" t="s">
        <v>10</v>
      </c>
      <c r="O473" s="154" t="s">
        <v>120</v>
      </c>
      <c r="Q473" s="63"/>
      <c r="R473" s="64"/>
      <c r="S473" s="65"/>
      <c r="T473" s="65"/>
      <c r="U473" s="65"/>
      <c r="V473" s="65"/>
      <c r="W473" s="65"/>
      <c r="X473" s="199">
        <v>1</v>
      </c>
      <c r="Y473" s="59"/>
      <c r="Z473" s="59"/>
      <c r="AA473" s="59"/>
      <c r="AB473" s="59"/>
      <c r="AC473" s="59"/>
      <c r="AD473" s="59"/>
      <c r="AE473" s="59"/>
      <c r="AF473" s="59"/>
      <c r="AH473" s="136">
        <v>0.16666666666667199</v>
      </c>
      <c r="AI473" s="136" t="str">
        <f>IF(AH461="","",IF(B473="","",B473))</f>
        <v/>
      </c>
      <c r="AJ473" s="136" t="str">
        <f>IF(AH461="","",IF(C473="","",C473))</f>
        <v/>
      </c>
      <c r="AK473" s="136" t="str">
        <f>IF(AH461="","",IF(D473="","",D473))</f>
        <v/>
      </c>
      <c r="AL473" s="136" t="str">
        <f>IF(AH461="","",IF(E473="","",E473))</f>
        <v/>
      </c>
      <c r="AM473" s="136" t="str">
        <f>IF(AH461="","",IF(F473="","",F473))</f>
        <v/>
      </c>
      <c r="AN473" s="136" t="str">
        <f>IF(AH461="","",IF(G473="","",G473))</f>
        <v/>
      </c>
      <c r="AO473" s="136" t="str">
        <f>IF(AH461="","",IF(H473="","",H473))</f>
        <v/>
      </c>
      <c r="AP473" s="136" t="str">
        <f>IF(AH461="","",IF(I473="","",I473))</f>
        <v/>
      </c>
      <c r="AQ473" s="136" t="str">
        <f>IF(AH461="","",IF(J473="","",J473))</f>
        <v/>
      </c>
      <c r="AR473" s="136" t="str">
        <f>IF(AH461="","",IF(K473="","",K473))</f>
        <v/>
      </c>
      <c r="AS473" s="136" t="str">
        <f>IF(AH461="","",IF(L473="","",L473))</f>
        <v/>
      </c>
      <c r="AT473" s="136" t="str">
        <f>IF(AH461="","",IF(M473="","",M473))</f>
        <v/>
      </c>
      <c r="AU473" s="136" t="str">
        <f>IF(AH461="","",IF(N473="","",N473))</f>
        <v/>
      </c>
      <c r="AV473" s="136" t="str">
        <f>IF(AH461="","",IF(O473="","",O473))</f>
        <v/>
      </c>
      <c r="AX473" s="136" t="str">
        <f>IF(AI461="","",IF(B473="","",B473))</f>
        <v/>
      </c>
      <c r="AY473" s="136" t="str">
        <f>IF(AI461="","",IF(C473="","",C473))</f>
        <v/>
      </c>
      <c r="AZ473" s="136" t="str">
        <f>IF(AI461="","",IF(D473="","",D473))</f>
        <v/>
      </c>
      <c r="BA473" s="136" t="str">
        <f>IF(AI461="","",IF(E473="","",E473))</f>
        <v/>
      </c>
      <c r="BB473" s="136" t="str">
        <f>IF(AI461="","",IF(F473="","",F473))</f>
        <v/>
      </c>
      <c r="BC473" s="136" t="str">
        <f>IF(AI461="","",IF(G473="","",G473))</f>
        <v/>
      </c>
      <c r="BD473" s="136" t="str">
        <f>IF(AI461="","",IF(H473="","",H473))</f>
        <v/>
      </c>
      <c r="BE473" s="136" t="str">
        <f>IF(AI461="","",IF(I473="","",I473))</f>
        <v/>
      </c>
      <c r="BF473" s="136" t="str">
        <f>IF(AI461="","",IF(J473="","",J473))</f>
        <v/>
      </c>
      <c r="BG473" s="136" t="str">
        <f>IF(AI461="","",IF(K473="","",K473))</f>
        <v/>
      </c>
      <c r="BH473" s="136" t="str">
        <f>IF(AI461="","",IF(L473="","",L473))</f>
        <v/>
      </c>
      <c r="BI473" s="136" t="str">
        <f>IF(AI461="","",IF(M473="","",M473))</f>
        <v/>
      </c>
      <c r="BJ473" s="136" t="str">
        <f>IF(AI461="","",IF(N473="","",N473))</f>
        <v/>
      </c>
      <c r="BK473" s="136" t="str">
        <f>IF(AI461="","",IF(O473="","",O473))</f>
        <v/>
      </c>
      <c r="BM473" s="136" t="str">
        <f>BO473</f>
        <v>EA</v>
      </c>
      <c r="BN473" s="136" t="str">
        <f t="shared" ref="BN473:BO509" si="279">Q476</f>
        <v>Estudo Autónomo</v>
      </c>
      <c r="BO473" s="136" t="str">
        <f t="shared" si="279"/>
        <v>EA</v>
      </c>
      <c r="BP473" s="136">
        <f>COUNTIFS(AX465:BK512,BO473)*0.5</f>
        <v>0</v>
      </c>
      <c r="BQ473" s="136" t="str">
        <f t="shared" ref="BQ473:BR509" si="280">BN473</f>
        <v>Estudo Autónomo</v>
      </c>
      <c r="BR473" s="136" t="str">
        <f t="shared" si="280"/>
        <v>EA</v>
      </c>
      <c r="BS473" s="136" t="str">
        <f>BQ473</f>
        <v>Estudo Autónomo</v>
      </c>
      <c r="BT473" s="136">
        <f>SUMIFS(V:V,Q:Q,BQ473,R:R,BR473)</f>
        <v>86.5</v>
      </c>
      <c r="BU473" s="136">
        <f>SUMIFS(BP:BP,BN:BN,BQ473,BO:BO,BR473)</f>
        <v>95.5</v>
      </c>
      <c r="CA473" s="136">
        <f>'INFO BASE'!L553</f>
        <v>0</v>
      </c>
      <c r="CB473" s="136">
        <f>'INFO BASE'!M553</f>
        <v>0</v>
      </c>
      <c r="CD473" s="136" t="str">
        <f t="shared" si="278"/>
        <v>CDI</v>
      </c>
      <c r="CR473" s="177" t="str">
        <f t="shared" si="269"/>
        <v>HS</v>
      </c>
      <c r="CS473" s="177" t="str">
        <f t="shared" si="270"/>
        <v>HS-</v>
      </c>
      <c r="CT473" s="177" t="str">
        <f t="shared" si="269"/>
        <v>HS</v>
      </c>
      <c r="CU473" s="177" t="str">
        <f t="shared" si="271"/>
        <v>HS-</v>
      </c>
      <c r="CV473" s="177" t="str">
        <f t="shared" si="269"/>
        <v>HS</v>
      </c>
      <c r="CW473" s="177" t="str">
        <f t="shared" si="272"/>
        <v>HS-</v>
      </c>
      <c r="CX473" s="177" t="str">
        <f t="shared" si="269"/>
        <v>HS</v>
      </c>
      <c r="CY473" s="177" t="str">
        <f t="shared" si="273"/>
        <v>HS-</v>
      </c>
      <c r="CZ473" s="177" t="str">
        <f t="shared" si="269"/>
        <v>HS</v>
      </c>
      <c r="DA473" s="177" t="str">
        <f t="shared" si="274"/>
        <v>HS-</v>
      </c>
      <c r="DB473" s="177" t="str">
        <f t="shared" si="269"/>
        <v>HS</v>
      </c>
      <c r="DC473" s="177" t="str">
        <f t="shared" si="275"/>
        <v>HS-</v>
      </c>
      <c r="DD473" s="177" t="str">
        <f t="shared" si="276"/>
        <v>HS</v>
      </c>
      <c r="DE473" s="177" t="str">
        <f t="shared" si="277"/>
        <v>HS-</v>
      </c>
    </row>
    <row r="474" spans="1:109" ht="18" customHeight="1" x14ac:dyDescent="0.3">
      <c r="A474" s="81">
        <v>0.187500000000006</v>
      </c>
      <c r="B474" s="166" t="s">
        <v>10</v>
      </c>
      <c r="C474" s="130" t="s">
        <v>120</v>
      </c>
      <c r="D474" s="169" t="s">
        <v>10</v>
      </c>
      <c r="E474" s="130" t="s">
        <v>120</v>
      </c>
      <c r="F474" s="169" t="s">
        <v>10</v>
      </c>
      <c r="G474" s="130" t="s">
        <v>120</v>
      </c>
      <c r="H474" s="169" t="s">
        <v>10</v>
      </c>
      <c r="I474" s="130" t="s">
        <v>120</v>
      </c>
      <c r="J474" s="169" t="s">
        <v>10</v>
      </c>
      <c r="K474" s="130" t="s">
        <v>120</v>
      </c>
      <c r="L474" s="169" t="s">
        <v>10</v>
      </c>
      <c r="M474" s="130" t="s">
        <v>120</v>
      </c>
      <c r="N474" s="169" t="s">
        <v>10</v>
      </c>
      <c r="O474" s="154" t="s">
        <v>120</v>
      </c>
      <c r="Q474" s="294" t="s">
        <v>14</v>
      </c>
      <c r="R474" s="290" t="s">
        <v>88</v>
      </c>
      <c r="S474" s="290" t="s">
        <v>87</v>
      </c>
      <c r="T474" s="290" t="s">
        <v>89</v>
      </c>
      <c r="U474" s="290" t="s">
        <v>41</v>
      </c>
      <c r="V474" s="290" t="s">
        <v>91</v>
      </c>
      <c r="W474" s="292" t="s">
        <v>90</v>
      </c>
      <c r="X474" s="199">
        <v>1</v>
      </c>
      <c r="Y474" s="302" t="s">
        <v>21</v>
      </c>
      <c r="Z474" s="303"/>
      <c r="AA474" s="303"/>
      <c r="AB474" s="303"/>
      <c r="AC474" s="303"/>
      <c r="AD474" s="303"/>
      <c r="AE474" s="303"/>
      <c r="AF474" s="304"/>
      <c r="AH474" s="136">
        <v>0.187500000000006</v>
      </c>
      <c r="AI474" s="136" t="str">
        <f>IF(AH461="","",IF(B474="","",B474))</f>
        <v/>
      </c>
      <c r="AJ474" s="136" t="str">
        <f>IF(AH461="","",IF(C474="","",C474))</f>
        <v/>
      </c>
      <c r="AK474" s="136" t="str">
        <f>IF(AH461="","",IF(D474="","",D474))</f>
        <v/>
      </c>
      <c r="AL474" s="136" t="str">
        <f>IF(AH461="","",IF(E474="","",E474))</f>
        <v/>
      </c>
      <c r="AM474" s="136" t="str">
        <f>IF(AH461="","",IF(F474="","",F474))</f>
        <v/>
      </c>
      <c r="AN474" s="136" t="str">
        <f>IF(AH461="","",IF(G474="","",G474))</f>
        <v/>
      </c>
      <c r="AO474" s="136" t="str">
        <f>IF(AH461="","",IF(H474="","",H474))</f>
        <v/>
      </c>
      <c r="AP474" s="136" t="str">
        <f>IF(AH461="","",IF(I474="","",I474))</f>
        <v/>
      </c>
      <c r="AQ474" s="136" t="str">
        <f>IF(AH461="","",IF(J474="","",J474))</f>
        <v/>
      </c>
      <c r="AR474" s="136" t="str">
        <f>IF(AH461="","",IF(K474="","",K474))</f>
        <v/>
      </c>
      <c r="AS474" s="136" t="str">
        <f>IF(AH461="","",IF(L474="","",L474))</f>
        <v/>
      </c>
      <c r="AT474" s="136" t="str">
        <f>IF(AH461="","",IF(M474="","",M474))</f>
        <v/>
      </c>
      <c r="AU474" s="136" t="str">
        <f>IF(AH461="","",IF(N474="","",N474))</f>
        <v/>
      </c>
      <c r="AV474" s="136" t="str">
        <f>IF(AH461="","",IF(O474="","",O474))</f>
        <v/>
      </c>
      <c r="AX474" s="136" t="str">
        <f>IF(AI461="","",IF(B474="","",B474))</f>
        <v/>
      </c>
      <c r="AY474" s="136" t="str">
        <f>IF(AI461="","",IF(C474="","",C474))</f>
        <v/>
      </c>
      <c r="AZ474" s="136" t="str">
        <f>IF(AI461="","",IF(D474="","",D474))</f>
        <v/>
      </c>
      <c r="BA474" s="136" t="str">
        <f>IF(AI461="","",IF(E474="","",E474))</f>
        <v/>
      </c>
      <c r="BB474" s="136" t="str">
        <f>IF(AI461="","",IF(F474="","",F474))</f>
        <v/>
      </c>
      <c r="BC474" s="136" t="str">
        <f>IF(AI461="","",IF(G474="","",G474))</f>
        <v/>
      </c>
      <c r="BD474" s="136" t="str">
        <f>IF(AI461="","",IF(H474="","",H474))</f>
        <v/>
      </c>
      <c r="BE474" s="136" t="str">
        <f>IF(AI461="","",IF(I474="","",I474))</f>
        <v/>
      </c>
      <c r="BF474" s="136" t="str">
        <f>IF(AI461="","",IF(J474="","",J474))</f>
        <v/>
      </c>
      <c r="BG474" s="136" t="str">
        <f>IF(AI461="","",IF(K474="","",K474))</f>
        <v/>
      </c>
      <c r="BH474" s="136" t="str">
        <f>IF(AI461="","",IF(L474="","",L474))</f>
        <v/>
      </c>
      <c r="BI474" s="136" t="str">
        <f>IF(AI461="","",IF(M474="","",M474))</f>
        <v/>
      </c>
      <c r="BJ474" s="136" t="str">
        <f>IF(AI461="","",IF(N474="","",N474))</f>
        <v/>
      </c>
      <c r="BK474" s="136" t="str">
        <f>IF(AI461="","",IF(O474="","",O474))</f>
        <v/>
      </c>
      <c r="BM474" s="136" t="str">
        <f>BM473</f>
        <v>EA</v>
      </c>
      <c r="BN474" s="136" t="str">
        <f t="shared" si="279"/>
        <v>Estudo Autónomo</v>
      </c>
      <c r="BO474" s="136" t="str">
        <f t="shared" si="279"/>
        <v>FP</v>
      </c>
      <c r="BP474" s="136">
        <f>(COUNTIFS(AX465:AX512,BM474,AY465:AY512,BO474)+COUNTIFS(AZ465:AZ512,BM474,BA465:BA512,BO474)+COUNTIFS(BB465:BB512,BM474,BC465:BC512,BO474)+COUNTIFS(BD465:BD512,BM474,BE465:BE512,BO474)+COUNTIFS(BF465:BF512,BM474,BG465:BG512,BO474)+COUNTIFS(BH465:BH512,BM474,BI465:BI512,BO474)+COUNTIFS(BJ465:BJ512,BM474,BK465:BK512,BO474))*0.5</f>
        <v>0</v>
      </c>
      <c r="BQ474" s="136" t="str">
        <f t="shared" si="280"/>
        <v>Estudo Autónomo</v>
      </c>
      <c r="BR474" s="136" t="str">
        <f>$R$20</f>
        <v>EA</v>
      </c>
      <c r="BS474" s="136" t="str">
        <f t="shared" ref="BS474:BS509" si="281">BQ474</f>
        <v>Estudo Autónomo</v>
      </c>
      <c r="BT474" s="136">
        <f>SUMIFS(V:V,Q:Q,BQ474,R:R,BR474)</f>
        <v>86.5</v>
      </c>
      <c r="BU474" s="136">
        <f>SUMIFS(BP:BP,BN:BN,BQ474,BO:BO,BR474)</f>
        <v>95.5</v>
      </c>
      <c r="CA474" s="136">
        <f>'INFO BASE'!L554</f>
        <v>0</v>
      </c>
      <c r="CB474" s="136">
        <f>'INFO BASE'!M554</f>
        <v>0</v>
      </c>
      <c r="CD474" s="136" t="str">
        <f t="shared" si="278"/>
        <v/>
      </c>
      <c r="CR474" s="177" t="str">
        <f t="shared" si="269"/>
        <v>HS</v>
      </c>
      <c r="CS474" s="177" t="str">
        <f t="shared" si="270"/>
        <v>HS-</v>
      </c>
      <c r="CT474" s="177" t="str">
        <f t="shared" si="269"/>
        <v>HS</v>
      </c>
      <c r="CU474" s="177" t="str">
        <f t="shared" si="271"/>
        <v>HS-</v>
      </c>
      <c r="CV474" s="177" t="str">
        <f t="shared" si="269"/>
        <v>HS</v>
      </c>
      <c r="CW474" s="177" t="str">
        <f t="shared" si="272"/>
        <v>HS-</v>
      </c>
      <c r="CX474" s="177" t="str">
        <f t="shared" si="269"/>
        <v>HS</v>
      </c>
      <c r="CY474" s="177" t="str">
        <f t="shared" si="273"/>
        <v>HS-</v>
      </c>
      <c r="CZ474" s="177" t="str">
        <f t="shared" si="269"/>
        <v>HS</v>
      </c>
      <c r="DA474" s="177" t="str">
        <f t="shared" si="274"/>
        <v>HS-</v>
      </c>
      <c r="DB474" s="177" t="str">
        <f t="shared" si="269"/>
        <v>HS</v>
      </c>
      <c r="DC474" s="177" t="str">
        <f t="shared" si="275"/>
        <v>HS-</v>
      </c>
      <c r="DD474" s="177" t="str">
        <f t="shared" si="276"/>
        <v>HS</v>
      </c>
      <c r="DE474" s="177" t="str">
        <f t="shared" si="277"/>
        <v>HS-</v>
      </c>
    </row>
    <row r="475" spans="1:109" ht="18" customHeight="1" thickBot="1" x14ac:dyDescent="0.35">
      <c r="A475" s="81">
        <v>0.20833333333334</v>
      </c>
      <c r="B475" s="166" t="s">
        <v>10</v>
      </c>
      <c r="C475" s="130" t="s">
        <v>120</v>
      </c>
      <c r="D475" s="169" t="s">
        <v>10</v>
      </c>
      <c r="E475" s="130" t="s">
        <v>120</v>
      </c>
      <c r="F475" s="169" t="s">
        <v>10</v>
      </c>
      <c r="G475" s="130" t="s">
        <v>120</v>
      </c>
      <c r="H475" s="169" t="s">
        <v>10</v>
      </c>
      <c r="I475" s="130" t="s">
        <v>120</v>
      </c>
      <c r="J475" s="169" t="s">
        <v>10</v>
      </c>
      <c r="K475" s="130" t="s">
        <v>120</v>
      </c>
      <c r="L475" s="169" t="s">
        <v>10</v>
      </c>
      <c r="M475" s="130" t="s">
        <v>120</v>
      </c>
      <c r="N475" s="169" t="s">
        <v>10</v>
      </c>
      <c r="O475" s="154" t="s">
        <v>120</v>
      </c>
      <c r="Q475" s="295"/>
      <c r="R475" s="291"/>
      <c r="S475" s="291"/>
      <c r="T475" s="291"/>
      <c r="U475" s="291"/>
      <c r="V475" s="291"/>
      <c r="W475" s="293"/>
      <c r="X475" s="199">
        <v>1</v>
      </c>
      <c r="Y475" s="305"/>
      <c r="Z475" s="306"/>
      <c r="AA475" s="306"/>
      <c r="AB475" s="306"/>
      <c r="AC475" s="306"/>
      <c r="AD475" s="306"/>
      <c r="AE475" s="306"/>
      <c r="AF475" s="307"/>
      <c r="AH475" s="136">
        <v>0.20833333333334</v>
      </c>
      <c r="AI475" s="136" t="str">
        <f>IF(AH461="","",IF(B475="","",B475))</f>
        <v/>
      </c>
      <c r="AJ475" s="136" t="str">
        <f>IF(AH461="","",IF(C475="","",C475))</f>
        <v/>
      </c>
      <c r="AK475" s="136" t="str">
        <f>IF(AH461="","",IF(D475="","",D475))</f>
        <v/>
      </c>
      <c r="AL475" s="136" t="str">
        <f>IF(AH461="","",IF(E475="","",E475))</f>
        <v/>
      </c>
      <c r="AM475" s="136" t="str">
        <f>IF(AH461="","",IF(F475="","",F475))</f>
        <v/>
      </c>
      <c r="AN475" s="136" t="str">
        <f>IF(AH461="","",IF(G475="","",G475))</f>
        <v/>
      </c>
      <c r="AO475" s="136" t="str">
        <f>IF(AH461="","",IF(H475="","",H475))</f>
        <v/>
      </c>
      <c r="AP475" s="136" t="str">
        <f>IF(AH461="","",IF(I475="","",I475))</f>
        <v/>
      </c>
      <c r="AQ475" s="136" t="str">
        <f>IF(AH461="","",IF(J475="","",J475))</f>
        <v/>
      </c>
      <c r="AR475" s="136" t="str">
        <f>IF(AH461="","",IF(K475="","",K475))</f>
        <v/>
      </c>
      <c r="AS475" s="136" t="str">
        <f>IF(AH461="","",IF(L475="","",L475))</f>
        <v/>
      </c>
      <c r="AT475" s="136" t="str">
        <f>IF(AH461="","",IF(M475="","",M475))</f>
        <v/>
      </c>
      <c r="AU475" s="136" t="str">
        <f>IF(AH461="","",IF(N475="","",N475))</f>
        <v/>
      </c>
      <c r="AV475" s="136" t="str">
        <f>IF(AH461="","",IF(O475="","",O475))</f>
        <v/>
      </c>
      <c r="AX475" s="136" t="str">
        <f>IF(AI461="","",IF(B475="","",B475))</f>
        <v/>
      </c>
      <c r="AY475" s="136" t="str">
        <f>IF(AI461="","",IF(C475="","",C475))</f>
        <v/>
      </c>
      <c r="AZ475" s="136" t="str">
        <f>IF(AI461="","",IF(D475="","",D475))</f>
        <v/>
      </c>
      <c r="BA475" s="136" t="str">
        <f>IF(AI461="","",IF(E475="","",E475))</f>
        <v/>
      </c>
      <c r="BB475" s="136" t="str">
        <f>IF(AI461="","",IF(F475="","",F475))</f>
        <v/>
      </c>
      <c r="BC475" s="136" t="str">
        <f>IF(AI461="","",IF(G475="","",G475))</f>
        <v/>
      </c>
      <c r="BD475" s="136" t="str">
        <f>IF(AI461="","",IF(H475="","",H475))</f>
        <v/>
      </c>
      <c r="BE475" s="136" t="str">
        <f>IF(AI461="","",IF(I475="","",I475))</f>
        <v/>
      </c>
      <c r="BF475" s="136" t="str">
        <f>IF(AI461="","",IF(J475="","",J475))</f>
        <v/>
      </c>
      <c r="BG475" s="136" t="str">
        <f>IF(AI461="","",IF(K475="","",K475))</f>
        <v/>
      </c>
      <c r="BH475" s="136" t="str">
        <f>IF(AI461="","",IF(L475="","",L475))</f>
        <v/>
      </c>
      <c r="BI475" s="136" t="str">
        <f>IF(AI461="","",IF(M475="","",M475))</f>
        <v/>
      </c>
      <c r="BJ475" s="136" t="str">
        <f>IF(AI461="","",IF(N475="","",N475))</f>
        <v/>
      </c>
      <c r="BK475" s="136" t="str">
        <f>IF(AI461="","",IF(O475="","",O475))</f>
        <v/>
      </c>
      <c r="BM475" s="136" t="str">
        <f t="shared" ref="BM475:BM479" si="282">BM474</f>
        <v>EA</v>
      </c>
      <c r="BN475" s="136" t="str">
        <f t="shared" si="279"/>
        <v>Estudo Autónomo</v>
      </c>
      <c r="BO475" s="136" t="str">
        <f t="shared" si="279"/>
        <v>IEI</v>
      </c>
      <c r="BP475" s="136">
        <f>(COUNTIFS(AX465:AX512,BM475,AY465:AY512,BO475)+COUNTIFS(AZ465:AZ512,BM475,BA465:BA512,BO475)+COUNTIFS(BB465:BB512,BM475,BC465:BC512,BO475)+COUNTIFS(BD465:BD512,BM475,BE465:BE512,BO475)+COUNTIFS(BF465:BF512,BM475,BG465:BG512,BO475)+COUNTIFS(BH465:BH512,BM475,BI465:BI512,BO475)+COUNTIFS(BJ465:BJ512,BM475,BK465:BK512,BO475))*0.5</f>
        <v>0</v>
      </c>
      <c r="BQ475" s="136" t="str">
        <f t="shared" si="280"/>
        <v>Estudo Autónomo</v>
      </c>
      <c r="BR475" s="136" t="str">
        <f t="shared" si="280"/>
        <v>IEI</v>
      </c>
      <c r="BS475" s="136" t="str">
        <f t="shared" si="281"/>
        <v>Estudo Autónomo</v>
      </c>
      <c r="BT475" s="136">
        <f>SUMIFS(V:V,Q:Q,BQ475,R:R,BR475)</f>
        <v>20</v>
      </c>
      <c r="BU475" s="136">
        <f>SUMIFS(BP:BP,BN:BN,BQ475,BO:BO,BR475)</f>
        <v>36.5</v>
      </c>
      <c r="CA475" s="136">
        <f>'INFO BASE'!L555</f>
        <v>0</v>
      </c>
      <c r="CB475" s="136">
        <f>'INFO BASE'!M555</f>
        <v>0</v>
      </c>
      <c r="CD475" s="136" t="str">
        <f>IF('INFO BASE'!E489="","",'INFO BASE'!E489)</f>
        <v/>
      </c>
      <c r="CR475" s="177" t="str">
        <f t="shared" si="269"/>
        <v>HS</v>
      </c>
      <c r="CS475" s="177" t="str">
        <f t="shared" si="270"/>
        <v>HS-</v>
      </c>
      <c r="CT475" s="177" t="str">
        <f t="shared" si="269"/>
        <v>HS</v>
      </c>
      <c r="CU475" s="177" t="str">
        <f t="shared" si="271"/>
        <v>HS-</v>
      </c>
      <c r="CV475" s="177" t="str">
        <f t="shared" si="269"/>
        <v>HS</v>
      </c>
      <c r="CW475" s="177" t="str">
        <f t="shared" si="272"/>
        <v>HS-</v>
      </c>
      <c r="CX475" s="177" t="str">
        <f t="shared" si="269"/>
        <v>HS</v>
      </c>
      <c r="CY475" s="177" t="str">
        <f t="shared" si="273"/>
        <v>HS-</v>
      </c>
      <c r="CZ475" s="177" t="str">
        <f t="shared" si="269"/>
        <v>HS</v>
      </c>
      <c r="DA475" s="177" t="str">
        <f t="shared" si="274"/>
        <v>HS-</v>
      </c>
      <c r="DB475" s="177" t="str">
        <f t="shared" si="269"/>
        <v>HS</v>
      </c>
      <c r="DC475" s="177" t="str">
        <f t="shared" si="275"/>
        <v>HS-</v>
      </c>
      <c r="DD475" s="177" t="str">
        <f t="shared" si="276"/>
        <v>HS</v>
      </c>
      <c r="DE475" s="177" t="str">
        <f t="shared" si="277"/>
        <v>HS-</v>
      </c>
    </row>
    <row r="476" spans="1:109" ht="18" customHeight="1" x14ac:dyDescent="0.3">
      <c r="A476" s="81">
        <v>0.22916666666667401</v>
      </c>
      <c r="B476" s="166" t="s">
        <v>10</v>
      </c>
      <c r="C476" s="130" t="s">
        <v>120</v>
      </c>
      <c r="D476" s="169" t="s">
        <v>10</v>
      </c>
      <c r="E476" s="130" t="s">
        <v>120</v>
      </c>
      <c r="F476" s="169" t="s">
        <v>10</v>
      </c>
      <c r="G476" s="130" t="s">
        <v>120</v>
      </c>
      <c r="H476" s="169" t="s">
        <v>10</v>
      </c>
      <c r="I476" s="130" t="s">
        <v>120</v>
      </c>
      <c r="J476" s="169" t="s">
        <v>10</v>
      </c>
      <c r="K476" s="130" t="s">
        <v>120</v>
      </c>
      <c r="L476" s="169" t="s">
        <v>116</v>
      </c>
      <c r="M476" s="130" t="s">
        <v>120</v>
      </c>
      <c r="N476" s="169" t="s">
        <v>10</v>
      </c>
      <c r="O476" s="154" t="s">
        <v>120</v>
      </c>
      <c r="P476" s="6">
        <v>0</v>
      </c>
      <c r="Q476" s="109" t="str">
        <f>IF('INFO BASE'!$C$17="","",'INFO BASE'!$C$17)</f>
        <v>Estudo Autónomo</v>
      </c>
      <c r="R476" s="82" t="str">
        <f>R419</f>
        <v>EA</v>
      </c>
      <c r="S476" s="83">
        <f t="shared" ref="S476:S512" si="283">IFERROR((U476/T476)-1,"-")</f>
        <v>-5.2631578947368474E-2</v>
      </c>
      <c r="T476" s="84">
        <f>IF(VLOOKUP(Q476,'INFO BASE'!$B$40:$I$54,IF(R476='INFO BASE'!$B$32,3,IF(R476='INFO BASE'!$B$33,4,IF(R476='INFO BASE'!$B$34,5,IF(R476='INFO BASE'!$B$35,6,IF(R476='INFO BASE'!$B$36,7,IF(R476='INFO BASE'!$B$37,8,2)))))),0)=0,"",VLOOKUP(Q476,'INFO BASE'!$B$40:$I$54,IF(R476='INFO BASE'!$B$32,3,IF(R476='INFO BASE'!$B$33,4,IF(R476='INFO BASE'!$B$34,5,IF(R476='INFO BASE'!$B$35,6,IF(R476='INFO BASE'!$B$36,7,IF(R476='INFO BASE'!$B$37,8,2)))))),0))</f>
        <v>19</v>
      </c>
      <c r="U476" s="84">
        <f>IF(R476="","",COUNTIFS(SEMANA9,R476)*0.5)</f>
        <v>18</v>
      </c>
      <c r="V476" s="84">
        <f>IF(R476="","",COUNTIFS(AI465:AV512,R476)*0.5)</f>
        <v>0</v>
      </c>
      <c r="W476" s="85" t="str">
        <f>IF(AH461="","-",IF(V476=0,U476,IFERROR((U476/V476)-1,"-")))</f>
        <v>-</v>
      </c>
      <c r="X476" s="200">
        <f t="shared" ref="X476:X512" si="284">IFERROR(IF(ABS(W476)&gt;P476,1,0),0)</f>
        <v>0</v>
      </c>
      <c r="Y476" s="296"/>
      <c r="Z476" s="297"/>
      <c r="AA476" s="297"/>
      <c r="AB476" s="297"/>
      <c r="AC476" s="297"/>
      <c r="AD476" s="297"/>
      <c r="AE476" s="297"/>
      <c r="AF476" s="298"/>
      <c r="AH476" s="136">
        <v>0.22916666666667401</v>
      </c>
      <c r="AI476" s="136" t="str">
        <f>IF(AH461="","",IF(B476="","",B476))</f>
        <v/>
      </c>
      <c r="AJ476" s="136" t="str">
        <f>IF(AH461="","",IF(C476="","",C476))</f>
        <v/>
      </c>
      <c r="AK476" s="136" t="str">
        <f>IF(AH461="","",IF(D476="","",D476))</f>
        <v/>
      </c>
      <c r="AL476" s="136" t="str">
        <f>IF(AH461="","",IF(E476="","",E476))</f>
        <v/>
      </c>
      <c r="AM476" s="136" t="str">
        <f>IF(AH461="","",IF(F476="","",F476))</f>
        <v/>
      </c>
      <c r="AN476" s="136" t="str">
        <f>IF(AH461="","",IF(G476="","",G476))</f>
        <v/>
      </c>
      <c r="AO476" s="136" t="str">
        <f>IF(AH461="","",IF(H476="","",H476))</f>
        <v/>
      </c>
      <c r="AP476" s="136" t="str">
        <f>IF(AH461="","",IF(I476="","",I476))</f>
        <v/>
      </c>
      <c r="AQ476" s="136" t="str">
        <f>IF(AH461="","",IF(J476="","",J476))</f>
        <v/>
      </c>
      <c r="AR476" s="136" t="str">
        <f>IF(AH461="","",IF(K476="","",K476))</f>
        <v/>
      </c>
      <c r="AS476" s="136" t="str">
        <f>IF(AH461="","",IF(L476="","",L476))</f>
        <v/>
      </c>
      <c r="AT476" s="136" t="str">
        <f>IF(AH461="","",IF(M476="","",M476))</f>
        <v/>
      </c>
      <c r="AU476" s="136" t="str">
        <f>IF(AH461="","",IF(N476="","",N476))</f>
        <v/>
      </c>
      <c r="AV476" s="136" t="str">
        <f>IF(AH461="","",IF(O476="","",O476))</f>
        <v/>
      </c>
      <c r="AX476" s="136" t="str">
        <f>IF(AI461="","",IF(B476="","",B476))</f>
        <v/>
      </c>
      <c r="AY476" s="136" t="str">
        <f>IF(AI461="","",IF(C476="","",C476))</f>
        <v/>
      </c>
      <c r="AZ476" s="136" t="str">
        <f>IF(AI461="","",IF(D476="","",D476))</f>
        <v/>
      </c>
      <c r="BA476" s="136" t="str">
        <f>IF(AI461="","",IF(E476="","",E476))</f>
        <v/>
      </c>
      <c r="BB476" s="136" t="str">
        <f>IF(AI461="","",IF(F476="","",F476))</f>
        <v/>
      </c>
      <c r="BC476" s="136" t="str">
        <f>IF(AI461="","",IF(G476="","",G476))</f>
        <v/>
      </c>
      <c r="BD476" s="136" t="str">
        <f>IF(AI461="","",IF(H476="","",H476))</f>
        <v/>
      </c>
      <c r="BE476" s="136" t="str">
        <f>IF(AI461="","",IF(I476="","",I476))</f>
        <v/>
      </c>
      <c r="BF476" s="136" t="str">
        <f>IF(AI461="","",IF(J476="","",J476))</f>
        <v/>
      </c>
      <c r="BG476" s="136" t="str">
        <f>IF(AI461="","",IF(K476="","",K476))</f>
        <v/>
      </c>
      <c r="BH476" s="136" t="str">
        <f>IF(AI461="","",IF(L476="","",L476))</f>
        <v/>
      </c>
      <c r="BI476" s="136" t="str">
        <f>IF(AI461="","",IF(M476="","",M476))</f>
        <v/>
      </c>
      <c r="BJ476" s="136" t="str">
        <f>IF(AI461="","",IF(N476="","",N476))</f>
        <v/>
      </c>
      <c r="BK476" s="136" t="str">
        <f>IF(AI461="","",IF(O476="","",O476))</f>
        <v/>
      </c>
      <c r="BM476" s="136" t="str">
        <f t="shared" si="282"/>
        <v>EA</v>
      </c>
      <c r="BN476" s="136" t="str">
        <f t="shared" si="279"/>
        <v>Estudo Autónomo</v>
      </c>
      <c r="BO476" s="136" t="str">
        <f t="shared" si="279"/>
        <v>IAC</v>
      </c>
      <c r="BP476" s="136">
        <f>(COUNTIFS(AX465:AX512,BM476,AY465:AY512,BO476)+COUNTIFS(AZ465:AZ512,BM476,BA465:BA512,BO476)+COUNTIFS(BB465:BB512,BM476,BC465:BC512,BO476)+COUNTIFS(BD465:BD512,BM476,BE465:BE512,BO476)+COUNTIFS(BF465:BF512,BM476,BG465:BG512,BO476)+COUNTIFS(BH465:BH512,BM476,BI465:BI512,BO476)+COUNTIFS(BJ465:BJ512,BM476,BK465:BK512,BO476))*0.5</f>
        <v>0</v>
      </c>
      <c r="BQ476" s="136" t="str">
        <f t="shared" si="280"/>
        <v>Estudo Autónomo</v>
      </c>
      <c r="BR476" s="136" t="str">
        <f t="shared" si="280"/>
        <v>IAC</v>
      </c>
      <c r="BS476" s="136" t="str">
        <f t="shared" si="281"/>
        <v>Estudo Autónomo</v>
      </c>
      <c r="BT476" s="136">
        <f>SUMIFS(V:V,Q:Q,BQ476,R:R,BBO474)</f>
        <v>0</v>
      </c>
      <c r="BU476" s="136">
        <f>SUMIFS(BP:BP,BN:BN,BQ476,BO:BO,BBO474)</f>
        <v>0</v>
      </c>
      <c r="CA476" s="136">
        <f>'INFO BASE'!L556</f>
        <v>0</v>
      </c>
      <c r="CB476" s="136">
        <f>'INFO BASE'!M556</f>
        <v>0</v>
      </c>
      <c r="CD476" s="136" t="str">
        <f>IF('INFO BASE'!E490="","",'INFO BASE'!E490)</f>
        <v/>
      </c>
      <c r="CR476" s="177" t="str">
        <f t="shared" si="269"/>
        <v>HS</v>
      </c>
      <c r="CS476" s="177" t="str">
        <f t="shared" si="270"/>
        <v>HS-</v>
      </c>
      <c r="CT476" s="177" t="str">
        <f t="shared" si="269"/>
        <v>HS</v>
      </c>
      <c r="CU476" s="177" t="str">
        <f t="shared" si="271"/>
        <v>HS-</v>
      </c>
      <c r="CV476" s="177" t="str">
        <f t="shared" si="269"/>
        <v>HS</v>
      </c>
      <c r="CW476" s="177" t="str">
        <f t="shared" si="272"/>
        <v>HS-</v>
      </c>
      <c r="CX476" s="177" t="str">
        <f t="shared" si="269"/>
        <v>HS</v>
      </c>
      <c r="CY476" s="177" t="str">
        <f t="shared" si="273"/>
        <v>HS-</v>
      </c>
      <c r="CZ476" s="177" t="str">
        <f t="shared" si="269"/>
        <v>HS</v>
      </c>
      <c r="DA476" s="177" t="str">
        <f t="shared" si="274"/>
        <v>HS-</v>
      </c>
      <c r="DB476" s="177" t="str">
        <f t="shared" si="269"/>
        <v>PV</v>
      </c>
      <c r="DC476" s="177">
        <f t="shared" si="275"/>
        <v>0</v>
      </c>
      <c r="DD476" s="177" t="str">
        <f t="shared" si="276"/>
        <v>HS</v>
      </c>
      <c r="DE476" s="177" t="str">
        <f t="shared" si="277"/>
        <v>HS-</v>
      </c>
    </row>
    <row r="477" spans="1:109" ht="18" customHeight="1" x14ac:dyDescent="0.3">
      <c r="A477" s="81">
        <v>0.25000000000000799</v>
      </c>
      <c r="B477" s="166" t="s">
        <v>10</v>
      </c>
      <c r="C477" s="130" t="s">
        <v>120</v>
      </c>
      <c r="D477" s="169" t="s">
        <v>10</v>
      </c>
      <c r="E477" s="130" t="s">
        <v>120</v>
      </c>
      <c r="F477" s="169" t="s">
        <v>10</v>
      </c>
      <c r="G477" s="130" t="s">
        <v>120</v>
      </c>
      <c r="H477" s="169" t="s">
        <v>10</v>
      </c>
      <c r="I477" s="130" t="s">
        <v>120</v>
      </c>
      <c r="J477" s="169" t="s">
        <v>10</v>
      </c>
      <c r="K477" s="130" t="s">
        <v>120</v>
      </c>
      <c r="L477" s="169" t="s">
        <v>116</v>
      </c>
      <c r="M477" s="130" t="s">
        <v>120</v>
      </c>
      <c r="N477" s="169" t="s">
        <v>10</v>
      </c>
      <c r="O477" s="154" t="s">
        <v>120</v>
      </c>
      <c r="P477" s="6">
        <v>0</v>
      </c>
      <c r="Q477" s="110" t="str">
        <f t="shared" ref="Q477:Q482" si="285">Q476</f>
        <v>Estudo Autónomo</v>
      </c>
      <c r="R477" s="105" t="str">
        <f t="shared" ref="R477:R512" si="286">R420</f>
        <v>FP</v>
      </c>
      <c r="S477" s="88">
        <f t="shared" si="283"/>
        <v>-0.4</v>
      </c>
      <c r="T477" s="89">
        <f>IF(VLOOKUP(Q477,'INFO BASE'!$B$40:$I$54,IF(R477='INFO BASE'!$B$32,3,IF(R477='INFO BASE'!$B$33,4,IF(R477='INFO BASE'!$B$34,5,IF(R477='INFO BASE'!$B$35,6,IF(R477='INFO BASE'!$B$36,7,IF(R477='INFO BASE'!$B$37,8,2)))))),0)=0,"",VLOOKUP(Q477,'INFO BASE'!$B$40:$I$54,IF(R477='INFO BASE'!$B$32,3,IF(R477='INFO BASE'!$B$33,4,IF(R477='INFO BASE'!$B$34,5,IF(R477='INFO BASE'!$B$35,6,IF(R477='INFO BASE'!$B$36,7,IF(R477='INFO BASE'!$B$37,8,2)))))),0))</f>
        <v>5</v>
      </c>
      <c r="U477" s="89">
        <f>(COUNTIFS(C465:C512,R477,B465:B512,R476)+COUNTIFS(E465:E512,R477,D465:D512,R476)+COUNTIFS(G465:G512,R477,F465:F512,R476)+COUNTIFS(I465:I512,R477,H465:H512,R476)+COUNTIFS(K465:K512,R477,J465:J512,R476)+COUNTIFS(M465:M512,R477,L465:L512,R476)+COUNTIFS(O465:O512,R477,N465:N512,R476))*0.5</f>
        <v>3</v>
      </c>
      <c r="V477" s="89">
        <f>(COUNTIFS(AI465:AI512,R476,AJ465:AJ512,R477)+COUNTIFS(AK465:AK512,R476,AL465:AL512,R477)+COUNTIFS(AM465:AM512,R476,AN465:AN512,R477)+COUNTIFS(AO465:AO512,R476,AP465:AP512,R477)+COUNTIFS(AQ465:AQ512,R476,AR465:AR512,R477)+COUNTIFS(AS465:AS512,R476,AT465:AT512,R477)+COUNTIFS(AU465:AU512,R476,AV465:AV512,R477))*0.5</f>
        <v>0</v>
      </c>
      <c r="W477" s="90" t="str">
        <f>IF(AH461="","-",IF(V477=0,U477,IFERROR((U477/V477)-1,"-")))</f>
        <v>-</v>
      </c>
      <c r="X477" s="200">
        <f t="shared" si="284"/>
        <v>0</v>
      </c>
      <c r="Y477" s="299"/>
      <c r="Z477" s="300"/>
      <c r="AA477" s="300"/>
      <c r="AB477" s="300"/>
      <c r="AC477" s="300"/>
      <c r="AD477" s="300"/>
      <c r="AE477" s="300"/>
      <c r="AF477" s="301"/>
      <c r="AH477" s="136">
        <v>0.25000000000000799</v>
      </c>
      <c r="AI477" s="136" t="str">
        <f>IF(AH461="","",IF(B477="","",B477))</f>
        <v/>
      </c>
      <c r="AJ477" s="136" t="str">
        <f>IF(AH461="","",IF(C477="","",C477))</f>
        <v/>
      </c>
      <c r="AK477" s="136" t="str">
        <f>IF(AH461="","",IF(D477="","",D477))</f>
        <v/>
      </c>
      <c r="AL477" s="136" t="str">
        <f>IF(AH461="","",IF(E477="","",E477))</f>
        <v/>
      </c>
      <c r="AM477" s="136" t="str">
        <f>IF(AH461="","",IF(F477="","",F477))</f>
        <v/>
      </c>
      <c r="AN477" s="136" t="str">
        <f>IF(AH461="","",IF(G477="","",G477))</f>
        <v/>
      </c>
      <c r="AO477" s="136" t="str">
        <f>IF(AH461="","",IF(H477="","",H477))</f>
        <v/>
      </c>
      <c r="AP477" s="136" t="str">
        <f>IF(AH461="","",IF(I477="","",I477))</f>
        <v/>
      </c>
      <c r="AQ477" s="136" t="str">
        <f>IF(AH461="","",IF(J477="","",J477))</f>
        <v/>
      </c>
      <c r="AR477" s="136" t="str">
        <f>IF(AH461="","",IF(K477="","",K477))</f>
        <v/>
      </c>
      <c r="AS477" s="136" t="str">
        <f>IF(AH461="","",IF(L477="","",L477))</f>
        <v/>
      </c>
      <c r="AT477" s="136" t="str">
        <f>IF(AH461="","",IF(M477="","",M477))</f>
        <v/>
      </c>
      <c r="AU477" s="136" t="str">
        <f>IF(AH461="","",IF(N477="","",N477))</f>
        <v/>
      </c>
      <c r="AV477" s="136" t="str">
        <f>IF(AH461="","",IF(O477="","",O477))</f>
        <v/>
      </c>
      <c r="AX477" s="136" t="str">
        <f>IF(AI461="","",IF(B477="","",B477))</f>
        <v/>
      </c>
      <c r="AY477" s="136" t="str">
        <f>IF(AI461="","",IF(C477="","",C477))</f>
        <v/>
      </c>
      <c r="AZ477" s="136" t="str">
        <f>IF(AI461="","",IF(D477="","",D477))</f>
        <v/>
      </c>
      <c r="BA477" s="136" t="str">
        <f>IF(AI461="","",IF(E477="","",E477))</f>
        <v/>
      </c>
      <c r="BB477" s="136" t="str">
        <f>IF(AI461="","",IF(F477="","",F477))</f>
        <v/>
      </c>
      <c r="BC477" s="136" t="str">
        <f>IF(AI461="","",IF(G477="","",G477))</f>
        <v/>
      </c>
      <c r="BD477" s="136" t="str">
        <f>IF(AI461="","",IF(H477="","",H477))</f>
        <v/>
      </c>
      <c r="BE477" s="136" t="str">
        <f>IF(AI461="","",IF(I477="","",I477))</f>
        <v/>
      </c>
      <c r="BF477" s="136" t="str">
        <f>IF(AI461="","",IF(J477="","",J477))</f>
        <v/>
      </c>
      <c r="BG477" s="136" t="str">
        <f>IF(AI461="","",IF(K477="","",K477))</f>
        <v/>
      </c>
      <c r="BH477" s="136" t="str">
        <f>IF(AI461="","",IF(L477="","",L477))</f>
        <v/>
      </c>
      <c r="BI477" s="136" t="str">
        <f>IF(AI461="","",IF(M477="","",M477))</f>
        <v/>
      </c>
      <c r="BJ477" s="136" t="str">
        <f>IF(AI461="","",IF(N477="","",N477))</f>
        <v/>
      </c>
      <c r="BK477" s="136" t="str">
        <f>IF(AI461="","",IF(O477="","",O477))</f>
        <v/>
      </c>
      <c r="BM477" s="136" t="str">
        <f t="shared" si="282"/>
        <v>EA</v>
      </c>
      <c r="BN477" s="136" t="str">
        <f t="shared" si="279"/>
        <v>Estudo Autónomo</v>
      </c>
      <c r="BO477" s="136" t="str">
        <f t="shared" si="279"/>
        <v>AL</v>
      </c>
      <c r="BP477" s="136">
        <f>(COUNTIFS(AX465:AX512,BM477,AY465:AY512,BO477)+COUNTIFS(AZ465:AZ512,BM477,BA465:BA512,BO477)+COUNTIFS(BB465:BB512,BM477,BC465:BC512,BO477)+COUNTIFS(BD465:BD512,BM477,BE465:BE512,BO477)+COUNTIFS(BF465:BF512,BM477,BG465:BG512,BO477)+COUNTIFS(BH465:BH512,BM477,BI465:BI512,BO477)+COUNTIFS(BJ465:BJ512,BM477,BK465:BK512,BO477))*0.5</f>
        <v>0</v>
      </c>
      <c r="BQ477" s="136" t="str">
        <f t="shared" si="280"/>
        <v>Estudo Autónomo</v>
      </c>
      <c r="BR477" s="136" t="str">
        <f t="shared" si="280"/>
        <v>AL</v>
      </c>
      <c r="BS477" s="136" t="str">
        <f t="shared" si="281"/>
        <v>Estudo Autónomo</v>
      </c>
      <c r="BT477" s="136">
        <f t="shared" ref="BT477:BT509" si="287">SUMIFS(V:V,Q:Q,BQ477,R:R,BR477)</f>
        <v>24</v>
      </c>
      <c r="BU477" s="136">
        <f t="shared" ref="BU477:BU509" si="288">SUMIFS(BP:BP,BN:BN,BQ477,BO:BO,BR477)</f>
        <v>25.5</v>
      </c>
      <c r="CA477" s="136">
        <f>'INFO BASE'!L557</f>
        <v>0</v>
      </c>
      <c r="CB477" s="136">
        <f>'INFO BASE'!M557</f>
        <v>0</v>
      </c>
      <c r="CD477" s="136" t="str">
        <f>IF('INFO BASE'!E491="","",'INFO BASE'!E491)</f>
        <v/>
      </c>
      <c r="CR477" s="177" t="str">
        <f t="shared" si="269"/>
        <v>HS</v>
      </c>
      <c r="CS477" s="177" t="str">
        <f t="shared" si="270"/>
        <v>HS-</v>
      </c>
      <c r="CT477" s="177" t="str">
        <f t="shared" si="269"/>
        <v>HS</v>
      </c>
      <c r="CU477" s="177" t="str">
        <f t="shared" si="271"/>
        <v>HS-</v>
      </c>
      <c r="CV477" s="177" t="str">
        <f t="shared" si="269"/>
        <v>HS</v>
      </c>
      <c r="CW477" s="177" t="str">
        <f t="shared" si="272"/>
        <v>HS-</v>
      </c>
      <c r="CX477" s="177" t="str">
        <f t="shared" si="269"/>
        <v>HS</v>
      </c>
      <c r="CY477" s="177" t="str">
        <f t="shared" si="273"/>
        <v>HS-</v>
      </c>
      <c r="CZ477" s="177" t="str">
        <f t="shared" si="269"/>
        <v>HS</v>
      </c>
      <c r="DA477" s="177" t="str">
        <f t="shared" si="274"/>
        <v>HS-</v>
      </c>
      <c r="DB477" s="177" t="str">
        <f t="shared" si="269"/>
        <v>PV</v>
      </c>
      <c r="DC477" s="177">
        <f t="shared" si="275"/>
        <v>0</v>
      </c>
      <c r="DD477" s="177" t="str">
        <f t="shared" si="276"/>
        <v>HS</v>
      </c>
      <c r="DE477" s="177" t="str">
        <f t="shared" si="277"/>
        <v>HS-</v>
      </c>
    </row>
    <row r="478" spans="1:109" ht="18" customHeight="1" x14ac:dyDescent="0.3">
      <c r="A478" s="81">
        <v>0.27083333333334197</v>
      </c>
      <c r="B478" s="166" t="s">
        <v>116</v>
      </c>
      <c r="C478" s="130" t="s">
        <v>120</v>
      </c>
      <c r="D478" s="169" t="s">
        <v>116</v>
      </c>
      <c r="E478" s="130" t="s">
        <v>120</v>
      </c>
      <c r="F478" s="169" t="s">
        <v>116</v>
      </c>
      <c r="G478" s="130" t="s">
        <v>120</v>
      </c>
      <c r="H478" s="169" t="s">
        <v>116</v>
      </c>
      <c r="I478" s="130" t="s">
        <v>120</v>
      </c>
      <c r="J478" s="169" t="s">
        <v>116</v>
      </c>
      <c r="K478" s="130" t="s">
        <v>120</v>
      </c>
      <c r="L478" s="169" t="s">
        <v>116</v>
      </c>
      <c r="M478" s="130" t="s">
        <v>120</v>
      </c>
      <c r="N478" s="169" t="s">
        <v>10</v>
      </c>
      <c r="O478" s="154" t="s">
        <v>120</v>
      </c>
      <c r="P478" s="6">
        <v>0</v>
      </c>
      <c r="Q478" s="110" t="str">
        <f t="shared" si="285"/>
        <v>Estudo Autónomo</v>
      </c>
      <c r="R478" s="105" t="str">
        <f t="shared" si="286"/>
        <v>IEI</v>
      </c>
      <c r="S478" s="88">
        <f t="shared" si="283"/>
        <v>4.5</v>
      </c>
      <c r="T478" s="89">
        <f>IF(VLOOKUP(Q478,'INFO BASE'!$B$40:$I$54,IF(R478='INFO BASE'!$B$32,3,IF(R478='INFO BASE'!$B$33,4,IF(R478='INFO BASE'!$B$34,5,IF(R478='INFO BASE'!$B$35,6,IF(R478='INFO BASE'!$B$36,7,IF(R478='INFO BASE'!$B$37,8,2)))))),0)=0,"",VLOOKUP(Q478,'INFO BASE'!$B$40:$I$54,IF(R478='INFO BASE'!$B$32,3,IF(R478='INFO BASE'!$B$33,4,IF(R478='INFO BASE'!$B$34,5,IF(R478='INFO BASE'!$B$35,6,IF(R478='INFO BASE'!$B$36,7,IF(R478='INFO BASE'!$B$37,8,2)))))),0))</f>
        <v>2</v>
      </c>
      <c r="U478" s="89">
        <f>(COUNTIFS(C465:C512,R478,B465:B512,R476)+COUNTIFS(E465:E512,R478,D465:D512,R476)+COUNTIFS(G465:G512,R478,F465:F512,R476)+COUNTIFS(I465:I512,R478,H465:H512,R476)+COUNTIFS(K465:K512,R478,J465:J512,R476)+COUNTIFS(M465:M512,R478,L465:L512,R476)+COUNTIFS(O465:O512,R478,N465:N512,R476))*0.5</f>
        <v>11</v>
      </c>
      <c r="V478" s="89">
        <f>(COUNTIFS(AI465:AI512,R476,AJ465:AJ512,R478)+COUNTIFS(AK465:AK512,R476,AL465:AL512,R478)+COUNTIFS(AM465:AM512,R476,AN465:AN512,R478)+COUNTIFS(AO465:AO512,R476,AP465:AP512,R478)+COUNTIFS(AQ465:AQ512,R476,AR465:AR512,R478)+COUNTIFS(AS465:AS512,R476,AT465:AT512,R478)+COUNTIFS(AU465:AU512,R476,AV465:AV512,R478))*0.5</f>
        <v>0</v>
      </c>
      <c r="W478" s="90" t="str">
        <f>IF(AH461="","-",IF(V478=0,U478,IFERROR((U478/V478)-1,"-")))</f>
        <v>-</v>
      </c>
      <c r="X478" s="200">
        <f t="shared" si="284"/>
        <v>0</v>
      </c>
      <c r="Y478" s="299"/>
      <c r="Z478" s="300"/>
      <c r="AA478" s="300"/>
      <c r="AB478" s="300"/>
      <c r="AC478" s="300"/>
      <c r="AD478" s="300"/>
      <c r="AE478" s="300"/>
      <c r="AF478" s="301"/>
      <c r="AH478" s="136">
        <v>0.27083333333334197</v>
      </c>
      <c r="AI478" s="136" t="str">
        <f>IF(AH461="","",IF(B478="","",B478))</f>
        <v/>
      </c>
      <c r="AJ478" s="136" t="str">
        <f>IF(AH461="","",IF(C478="","",C478))</f>
        <v/>
      </c>
      <c r="AK478" s="136" t="str">
        <f>IF(AH461="","",IF(D478="","",D478))</f>
        <v/>
      </c>
      <c r="AL478" s="136" t="str">
        <f>IF(AH461="","",IF(E478="","",E478))</f>
        <v/>
      </c>
      <c r="AM478" s="136" t="str">
        <f>IF(AH461="","",IF(F478="","",F478))</f>
        <v/>
      </c>
      <c r="AN478" s="136" t="str">
        <f>IF(AH461="","",IF(G478="","",G478))</f>
        <v/>
      </c>
      <c r="AO478" s="136" t="str">
        <f>IF(AH461="","",IF(H478="","",H478))</f>
        <v/>
      </c>
      <c r="AP478" s="136" t="str">
        <f>IF(AH461="","",IF(I478="","",I478))</f>
        <v/>
      </c>
      <c r="AQ478" s="136" t="str">
        <f>IF(AH461="","",IF(J478="","",J478))</f>
        <v/>
      </c>
      <c r="AR478" s="136" t="str">
        <f>IF(AH461="","",IF(K478="","",K478))</f>
        <v/>
      </c>
      <c r="AS478" s="136" t="str">
        <f>IF(AH461="","",IF(L478="","",L478))</f>
        <v/>
      </c>
      <c r="AT478" s="136" t="str">
        <f>IF(AH461="","",IF(M478="","",M478))</f>
        <v/>
      </c>
      <c r="AU478" s="136" t="str">
        <f>IF(AH461="","",IF(N478="","",N478))</f>
        <v/>
      </c>
      <c r="AV478" s="136" t="str">
        <f>IF(AH461="","",IF(O478="","",O478))</f>
        <v/>
      </c>
      <c r="AX478" s="136" t="str">
        <f>IF(AI461="","",IF(B478="","",B478))</f>
        <v/>
      </c>
      <c r="AY478" s="136" t="str">
        <f>IF(AI461="","",IF(C478="","",C478))</f>
        <v/>
      </c>
      <c r="AZ478" s="136" t="str">
        <f>IF(AI461="","",IF(D478="","",D478))</f>
        <v/>
      </c>
      <c r="BA478" s="136" t="str">
        <f>IF(AI461="","",IF(E478="","",E478))</f>
        <v/>
      </c>
      <c r="BB478" s="136" t="str">
        <f>IF(AI461="","",IF(F478="","",F478))</f>
        <v/>
      </c>
      <c r="BC478" s="136" t="str">
        <f>IF(AI461="","",IF(G478="","",G478))</f>
        <v/>
      </c>
      <c r="BD478" s="136" t="str">
        <f>IF(AI461="","",IF(H478="","",H478))</f>
        <v/>
      </c>
      <c r="BE478" s="136" t="str">
        <f>IF(AI461="","",IF(I478="","",I478))</f>
        <v/>
      </c>
      <c r="BF478" s="136" t="str">
        <f>IF(AI461="","",IF(J478="","",J478))</f>
        <v/>
      </c>
      <c r="BG478" s="136" t="str">
        <f>IF(AI461="","",IF(K478="","",K478))</f>
        <v/>
      </c>
      <c r="BH478" s="136" t="str">
        <f>IF(AI461="","",IF(L478="","",L478))</f>
        <v/>
      </c>
      <c r="BI478" s="136" t="str">
        <f>IF(AI461="","",IF(M478="","",M478))</f>
        <v/>
      </c>
      <c r="BJ478" s="136" t="str">
        <f>IF(AI461="","",IF(N478="","",N478))</f>
        <v/>
      </c>
      <c r="BK478" s="136" t="str">
        <f>IF(AI461="","",IF(O478="","",O478))</f>
        <v/>
      </c>
      <c r="BM478" s="136" t="str">
        <f t="shared" si="282"/>
        <v>EA</v>
      </c>
      <c r="BN478" s="136" t="str">
        <f t="shared" si="279"/>
        <v>Estudo Autónomo</v>
      </c>
      <c r="BO478" s="136" t="str">
        <f t="shared" si="279"/>
        <v>CDI</v>
      </c>
      <c r="BP478" s="136">
        <f>(COUNTIFS(AX465:AX512,BM478,AY465:AY512,BO478)+COUNTIFS(AZ465:AZ512,BM478,BA465:BA512,BO478)+COUNTIFS(BB465:BB512,BM478,BC465:BC512,BO478)+COUNTIFS(BD465:BD512,BM478,BE465:BE512,BO478)+COUNTIFS(BF465:BF512,BM478,BG465:BG512,BO478)+COUNTIFS(BH465:BH512,BM478,BI465:BI512,BO478)+COUNTIFS(BJ465:BJ512,BM478,BK465:BK512,BO478))*0.5</f>
        <v>0</v>
      </c>
      <c r="BQ478" s="136" t="str">
        <f t="shared" si="280"/>
        <v>Estudo Autónomo</v>
      </c>
      <c r="BR478" s="136" t="str">
        <f t="shared" si="280"/>
        <v>CDI</v>
      </c>
      <c r="BS478" s="136" t="str">
        <f t="shared" si="281"/>
        <v>Estudo Autónomo</v>
      </c>
      <c r="BT478" s="136">
        <f t="shared" si="287"/>
        <v>9.5</v>
      </c>
      <c r="BU478" s="136">
        <f t="shared" si="288"/>
        <v>7.5</v>
      </c>
      <c r="CA478" s="136">
        <f>'INFO BASE'!L558</f>
        <v>0</v>
      </c>
      <c r="CB478" s="136">
        <f>'INFO BASE'!M558</f>
        <v>0</v>
      </c>
      <c r="CD478" s="136" t="str">
        <f>IF('INFO BASE'!E492="","",'INFO BASE'!E492)</f>
        <v/>
      </c>
      <c r="CR478" s="177" t="str">
        <f t="shared" si="269"/>
        <v>PV</v>
      </c>
      <c r="CS478" s="177">
        <f t="shared" si="270"/>
        <v>0</v>
      </c>
      <c r="CT478" s="177" t="str">
        <f t="shared" si="269"/>
        <v>PV</v>
      </c>
      <c r="CU478" s="177">
        <f t="shared" si="271"/>
        <v>0</v>
      </c>
      <c r="CV478" s="177" t="str">
        <f t="shared" si="269"/>
        <v>PV</v>
      </c>
      <c r="CW478" s="177">
        <f t="shared" si="272"/>
        <v>0</v>
      </c>
      <c r="CX478" s="177" t="str">
        <f t="shared" si="269"/>
        <v>PV</v>
      </c>
      <c r="CY478" s="177">
        <f t="shared" si="273"/>
        <v>0</v>
      </c>
      <c r="CZ478" s="177" t="str">
        <f t="shared" si="269"/>
        <v>PV</v>
      </c>
      <c r="DA478" s="177">
        <f t="shared" si="274"/>
        <v>0</v>
      </c>
      <c r="DB478" s="177" t="str">
        <f t="shared" si="269"/>
        <v>PV</v>
      </c>
      <c r="DC478" s="177">
        <f t="shared" si="275"/>
        <v>0</v>
      </c>
      <c r="DD478" s="177" t="str">
        <f t="shared" si="276"/>
        <v>HS</v>
      </c>
      <c r="DE478" s="177" t="str">
        <f t="shared" si="277"/>
        <v>HS-</v>
      </c>
    </row>
    <row r="479" spans="1:109" ht="18" customHeight="1" x14ac:dyDescent="0.3">
      <c r="A479" s="81">
        <v>0.29166666666667601</v>
      </c>
      <c r="B479" s="166" t="s">
        <v>116</v>
      </c>
      <c r="C479" s="130" t="s">
        <v>120</v>
      </c>
      <c r="D479" s="169" t="s">
        <v>116</v>
      </c>
      <c r="E479" s="130" t="s">
        <v>120</v>
      </c>
      <c r="F479" s="169" t="s">
        <v>116</v>
      </c>
      <c r="G479" s="130" t="s">
        <v>120</v>
      </c>
      <c r="H479" s="169" t="s">
        <v>116</v>
      </c>
      <c r="I479" s="130" t="s">
        <v>120</v>
      </c>
      <c r="J479" s="169" t="s">
        <v>116</v>
      </c>
      <c r="K479" s="130" t="s">
        <v>120</v>
      </c>
      <c r="L479" s="169" t="s">
        <v>116</v>
      </c>
      <c r="M479" s="130" t="s">
        <v>120</v>
      </c>
      <c r="N479" s="169" t="s">
        <v>10</v>
      </c>
      <c r="O479" s="154" t="s">
        <v>120</v>
      </c>
      <c r="P479" s="6">
        <v>0</v>
      </c>
      <c r="Q479" s="111" t="str">
        <f t="shared" si="285"/>
        <v>Estudo Autónomo</v>
      </c>
      <c r="R479" s="105" t="str">
        <f t="shared" si="286"/>
        <v>IAC</v>
      </c>
      <c r="S479" s="88">
        <f t="shared" si="283"/>
        <v>0</v>
      </c>
      <c r="T479" s="89">
        <f>IF(VLOOKUP(Q479,'INFO BASE'!$B$40:$I$54,IF(R479='INFO BASE'!$B$32,3,IF(R479='INFO BASE'!$B$33,4,IF(R479='INFO BASE'!$B$34,5,IF(R479='INFO BASE'!$B$35,6,IF(R479='INFO BASE'!$B$36,7,IF(R479='INFO BASE'!$B$37,8,2)))))),0)=0,"",VLOOKUP(Q479,'INFO BASE'!$B$40:$I$54,IF(R479='INFO BASE'!$B$32,3,IF(R479='INFO BASE'!$B$33,4,IF(R479='INFO BASE'!$B$34,5,IF(R479='INFO BASE'!$B$35,6,IF(R479='INFO BASE'!$B$36,7,IF(R479='INFO BASE'!$B$37,8,2)))))),0))</f>
        <v>2</v>
      </c>
      <c r="U479" s="89">
        <f>(COUNTIFS(C465:C512,R479,B465:B512,R476)+COUNTIFS(E465:E512,R479,D465:D512,R476)+COUNTIFS(G465:G512,R479,F465:F512,R476)+COUNTIFS(I465:I512,R479,H465:H512,R476)+COUNTIFS(K465:K512,R479,J465:J512,R476)+COUNTIFS(M465:M512,R479,L465:L512,R476)+COUNTIFS(O465:O512,R479,N465:N512,R476))*0.5</f>
        <v>2</v>
      </c>
      <c r="V479" s="89">
        <f>(COUNTIFS(AI465:AI512,R476,AJ465:AJ512,R479)+COUNTIFS(AK465:AK512,R476,AL465:AL512,R479)+COUNTIFS(AM465:AM512,R476,AN465:AN512,R479)+COUNTIFS(AO465:AO512,R476,AP465:AP512,R479)+COUNTIFS(AQ465:AQ512,R476,AR465:AR512,R479)+COUNTIFS(AS465:AS512,R476,AT465:AT512,R479)+COUNTIFS(AU465:AU512,R476,AV465:AV512,R479))*0.5</f>
        <v>0</v>
      </c>
      <c r="W479" s="90" t="str">
        <f>IF(AH461="","-",IF(V479=0,U479,IFERROR((U479/V479)-1,"-")))</f>
        <v>-</v>
      </c>
      <c r="X479" s="200">
        <f t="shared" si="284"/>
        <v>0</v>
      </c>
      <c r="Y479" s="299"/>
      <c r="Z479" s="300"/>
      <c r="AA479" s="300"/>
      <c r="AB479" s="300"/>
      <c r="AC479" s="300"/>
      <c r="AD479" s="300"/>
      <c r="AE479" s="300"/>
      <c r="AF479" s="301"/>
      <c r="AH479" s="136">
        <v>0.29166666666667601</v>
      </c>
      <c r="AI479" s="136" t="str">
        <f>IF(AH461="","",IF(B479="","",B479))</f>
        <v/>
      </c>
      <c r="AJ479" s="136" t="str">
        <f>IF(AH461="","",IF(C479="","",C479))</f>
        <v/>
      </c>
      <c r="AK479" s="136" t="str">
        <f>IF(AH461="","",IF(D479="","",D479))</f>
        <v/>
      </c>
      <c r="AL479" s="136" t="str">
        <f>IF(AH461="","",IF(E479="","",E479))</f>
        <v/>
      </c>
      <c r="AM479" s="136" t="str">
        <f>IF(AH461="","",IF(F479="","",F479))</f>
        <v/>
      </c>
      <c r="AN479" s="136" t="str">
        <f>IF(AH461="","",IF(G479="","",G479))</f>
        <v/>
      </c>
      <c r="AO479" s="136" t="str">
        <f>IF(AH461="","",IF(H479="","",H479))</f>
        <v/>
      </c>
      <c r="AP479" s="136" t="str">
        <f>IF(AH461="","",IF(I479="","",I479))</f>
        <v/>
      </c>
      <c r="AQ479" s="136" t="str">
        <f>IF(AH461="","",IF(J479="","",J479))</f>
        <v/>
      </c>
      <c r="AR479" s="136" t="str">
        <f>IF(AH461="","",IF(K479="","",K479))</f>
        <v/>
      </c>
      <c r="AS479" s="136" t="str">
        <f>IF(AH461="","",IF(L479="","",L479))</f>
        <v/>
      </c>
      <c r="AT479" s="136" t="str">
        <f>IF(AH461="","",IF(M479="","",M479))</f>
        <v/>
      </c>
      <c r="AU479" s="136" t="str">
        <f>IF(AH461="","",IF(N479="","",N479))</f>
        <v/>
      </c>
      <c r="AV479" s="136" t="str">
        <f>IF(AH461="","",IF(O479="","",O479))</f>
        <v/>
      </c>
      <c r="AX479" s="136" t="str">
        <f>IF(AI461="","",IF(B479="","",B479))</f>
        <v/>
      </c>
      <c r="AY479" s="136" t="str">
        <f>IF(AI461="","",IF(C479="","",C479))</f>
        <v/>
      </c>
      <c r="AZ479" s="136" t="str">
        <f>IF(AI461="","",IF(D479="","",D479))</f>
        <v/>
      </c>
      <c r="BA479" s="136" t="str">
        <f>IF(AI461="","",IF(E479="","",E479))</f>
        <v/>
      </c>
      <c r="BB479" s="136" t="str">
        <f>IF(AI461="","",IF(F479="","",F479))</f>
        <v/>
      </c>
      <c r="BC479" s="136" t="str">
        <f>IF(AI461="","",IF(G479="","",G479))</f>
        <v/>
      </c>
      <c r="BD479" s="136" t="str">
        <f>IF(AI461="","",IF(H479="","",H479))</f>
        <v/>
      </c>
      <c r="BE479" s="136" t="str">
        <f>IF(AI461="","",IF(I479="","",I479))</f>
        <v/>
      </c>
      <c r="BF479" s="136" t="str">
        <f>IF(AI461="","",IF(J479="","",J479))</f>
        <v/>
      </c>
      <c r="BG479" s="136" t="str">
        <f>IF(AI461="","",IF(K479="","",K479))</f>
        <v/>
      </c>
      <c r="BH479" s="136" t="str">
        <f>IF(AI461="","",IF(L479="","",L479))</f>
        <v/>
      </c>
      <c r="BI479" s="136" t="str">
        <f>IF(AI461="","",IF(M479="","",M479))</f>
        <v/>
      </c>
      <c r="BJ479" s="136" t="str">
        <f>IF(AI461="","",IF(N479="","",N479))</f>
        <v/>
      </c>
      <c r="BK479" s="136" t="str">
        <f>IF(AI461="","",IF(O479="","",O479))</f>
        <v/>
      </c>
      <c r="BM479" s="136" t="str">
        <f t="shared" si="282"/>
        <v>EA</v>
      </c>
      <c r="BN479" s="136" t="str">
        <f t="shared" si="279"/>
        <v>Estudo Autónomo</v>
      </c>
      <c r="BO479" s="136" t="str">
        <f t="shared" si="279"/>
        <v/>
      </c>
      <c r="BP479" s="136">
        <f>(COUNTIFS(AX465:AX512,BM479,AY465:AY512,BO479)+COUNTIFS(AZ465:AZ512,BM479,BA465:BA512,BO479)+COUNTIFS(BB465:BB512,BM479,BC465:BC512,BO479)+COUNTIFS(BD465:BD512,BM479,BE465:BE512,BO479)+COUNTIFS(BF465:BF512,BM479,BG465:BG512,BO479)+COUNTIFS(BH465:BH512,BM479,BI465:BI512,BO479)+COUNTIFS(BJ465:BJ512,BM479,BK465:BK512,BO479))*0.5</f>
        <v>0</v>
      </c>
      <c r="BQ479" s="136" t="str">
        <f t="shared" si="280"/>
        <v>Estudo Autónomo</v>
      </c>
      <c r="BR479" s="136" t="str">
        <f t="shared" si="280"/>
        <v/>
      </c>
      <c r="BS479" s="136" t="str">
        <f t="shared" si="281"/>
        <v>Estudo Autónomo</v>
      </c>
      <c r="BT479" s="136">
        <f t="shared" si="287"/>
        <v>0</v>
      </c>
      <c r="BU479" s="136">
        <f t="shared" si="288"/>
        <v>0</v>
      </c>
      <c r="CA479" s="136">
        <f>'INFO BASE'!L559</f>
        <v>0</v>
      </c>
      <c r="CB479" s="136">
        <f>'INFO BASE'!M559</f>
        <v>0</v>
      </c>
      <c r="CD479" s="136" t="str">
        <f>IF('INFO BASE'!E493="","",'INFO BASE'!E493)</f>
        <v/>
      </c>
      <c r="CR479" s="177" t="str">
        <f t="shared" si="269"/>
        <v>PV</v>
      </c>
      <c r="CS479" s="177">
        <f t="shared" si="270"/>
        <v>0</v>
      </c>
      <c r="CT479" s="177" t="str">
        <f t="shared" si="269"/>
        <v>PV</v>
      </c>
      <c r="CU479" s="177">
        <f t="shared" si="271"/>
        <v>0</v>
      </c>
      <c r="CV479" s="177" t="str">
        <f t="shared" si="269"/>
        <v>PV</v>
      </c>
      <c r="CW479" s="177">
        <f t="shared" si="272"/>
        <v>0</v>
      </c>
      <c r="CX479" s="177" t="str">
        <f t="shared" si="269"/>
        <v>PV</v>
      </c>
      <c r="CY479" s="177">
        <f t="shared" si="273"/>
        <v>0</v>
      </c>
      <c r="CZ479" s="177" t="str">
        <f t="shared" si="269"/>
        <v>PV</v>
      </c>
      <c r="DA479" s="177">
        <f t="shared" si="274"/>
        <v>0</v>
      </c>
      <c r="DB479" s="177" t="str">
        <f t="shared" si="269"/>
        <v>PV</v>
      </c>
      <c r="DC479" s="177">
        <f t="shared" si="275"/>
        <v>0</v>
      </c>
      <c r="DD479" s="177" t="str">
        <f t="shared" si="276"/>
        <v>HS</v>
      </c>
      <c r="DE479" s="177" t="str">
        <f t="shared" si="277"/>
        <v>HS-</v>
      </c>
    </row>
    <row r="480" spans="1:109" ht="18" customHeight="1" x14ac:dyDescent="0.3">
      <c r="A480" s="81">
        <v>0.31250000000000999</v>
      </c>
      <c r="B480" s="166" t="s">
        <v>11</v>
      </c>
      <c r="C480" s="130" t="s">
        <v>120</v>
      </c>
      <c r="D480" s="169" t="s">
        <v>11</v>
      </c>
      <c r="E480" s="130" t="s">
        <v>120</v>
      </c>
      <c r="F480" s="169" t="s">
        <v>11</v>
      </c>
      <c r="G480" s="130" t="s">
        <v>120</v>
      </c>
      <c r="H480" s="169" t="s">
        <v>11</v>
      </c>
      <c r="I480" s="130" t="s">
        <v>120</v>
      </c>
      <c r="J480" s="169" t="s">
        <v>11</v>
      </c>
      <c r="K480" s="130" t="s">
        <v>120</v>
      </c>
      <c r="L480" s="169" t="s">
        <v>11</v>
      </c>
      <c r="M480" s="130" t="s">
        <v>120</v>
      </c>
      <c r="N480" s="169" t="s">
        <v>10</v>
      </c>
      <c r="O480" s="154" t="s">
        <v>120</v>
      </c>
      <c r="P480" s="6">
        <v>0</v>
      </c>
      <c r="Q480" s="110" t="str">
        <f t="shared" si="285"/>
        <v>Estudo Autónomo</v>
      </c>
      <c r="R480" s="105" t="str">
        <f t="shared" si="286"/>
        <v>AL</v>
      </c>
      <c r="S480" s="88">
        <f t="shared" si="283"/>
        <v>-1</v>
      </c>
      <c r="T480" s="89">
        <f>IF(VLOOKUP(Q480,'INFO BASE'!$B$40:$I$54,IF(R480='INFO BASE'!$B$32,3,IF(R480='INFO BASE'!$B$33,4,IF(R480='INFO BASE'!$B$34,5,IF(R480='INFO BASE'!$B$35,6,IF(R480='INFO BASE'!$B$36,7,IF(R480='INFO BASE'!$B$37,8,2)))))),0)=0,"",VLOOKUP(Q480,'INFO BASE'!$B$40:$I$54,IF(R480='INFO BASE'!$B$32,3,IF(R480='INFO BASE'!$B$33,4,IF(R480='INFO BASE'!$B$34,5,IF(R480='INFO BASE'!$B$35,6,IF(R480='INFO BASE'!$B$36,7,IF(R480='INFO BASE'!$B$37,8,2)))))),0))</f>
        <v>5</v>
      </c>
      <c r="U480" s="89">
        <f>(COUNTIFS(C465:C512,R480,B465:B512,R476)+COUNTIFS(E465:E512,R480,D465:D512,R476)+COUNTIFS(G465:G512,R480,F465:F512,R476)+COUNTIFS(I465:I512,R480,H465:H512,R476)+COUNTIFS(K465:K512,R480,J465:J512,R476)+COUNTIFS(M465:M512,R480,L465:L512,R476)+COUNTIFS(O465:O512,R480,N465:N512,R476))*0.5</f>
        <v>0</v>
      </c>
      <c r="V480" s="89">
        <f>(COUNTIFS(AI465:AI512,R476,AJ465:AJ512,R480)+COUNTIFS(AK465:AK512,R476,AL465:AL512,R480)+COUNTIFS(AM465:AM512,R476,AN465:AN512,R480)+COUNTIFS(AO465:AO512,R476,AP465:AP512,R480)+COUNTIFS(AQ465:AQ512,R476,AR465:AR512,R480)+COUNTIFS(AS465:AS512,R476,AT465:AT512,R480)+COUNTIFS(AU465:AU512,R476,AV465:AV512,R480))*0.5</f>
        <v>0</v>
      </c>
      <c r="W480" s="90" t="str">
        <f>IF(AH461="","-",IF(V480=0,U480,IFERROR((U480/V480)-1,"-")))</f>
        <v>-</v>
      </c>
      <c r="X480" s="200">
        <f t="shared" si="284"/>
        <v>0</v>
      </c>
      <c r="Y480" s="299"/>
      <c r="Z480" s="300"/>
      <c r="AA480" s="300"/>
      <c r="AB480" s="300"/>
      <c r="AC480" s="300"/>
      <c r="AD480" s="300"/>
      <c r="AE480" s="300"/>
      <c r="AF480" s="301"/>
      <c r="AH480" s="136">
        <v>0.31250000000000999</v>
      </c>
      <c r="AI480" s="136" t="str">
        <f>IF(AH461="","",IF(B480="","",B480))</f>
        <v/>
      </c>
      <c r="AJ480" s="136" t="str">
        <f>IF(AH461="","",IF(C480="","",C480))</f>
        <v/>
      </c>
      <c r="AK480" s="136" t="str">
        <f>IF(AH461="","",IF(D480="","",D480))</f>
        <v/>
      </c>
      <c r="AL480" s="136" t="str">
        <f>IF(AH461="","",IF(E480="","",E480))</f>
        <v/>
      </c>
      <c r="AM480" s="136" t="str">
        <f>IF(AH461="","",IF(F480="","",F480))</f>
        <v/>
      </c>
      <c r="AN480" s="136" t="str">
        <f>IF(AH461="","",IF(G480="","",G480))</f>
        <v/>
      </c>
      <c r="AO480" s="136" t="str">
        <f>IF(AH461="","",IF(H480="","",H480))</f>
        <v/>
      </c>
      <c r="AP480" s="136" t="str">
        <f>IF(AH461="","",IF(I480="","",I480))</f>
        <v/>
      </c>
      <c r="AQ480" s="136" t="str">
        <f>IF(AH461="","",IF(J480="","",J480))</f>
        <v/>
      </c>
      <c r="AR480" s="136" t="str">
        <f>IF(AH461="","",IF(K480="","",K480))</f>
        <v/>
      </c>
      <c r="AS480" s="136" t="str">
        <f>IF(AH461="","",IF(L480="","",L480))</f>
        <v/>
      </c>
      <c r="AT480" s="136" t="str">
        <f>IF(AH461="","",IF(M480="","",M480))</f>
        <v/>
      </c>
      <c r="AU480" s="136" t="str">
        <f>IF(AH461="","",IF(N480="","",N480))</f>
        <v/>
      </c>
      <c r="AV480" s="136" t="str">
        <f>IF(AH461="","",IF(O480="","",O480))</f>
        <v/>
      </c>
      <c r="AX480" s="136" t="str">
        <f>IF(AI461="","",IF(B480="","",B480))</f>
        <v/>
      </c>
      <c r="AY480" s="136" t="str">
        <f>IF(AI461="","",IF(C480="","",C480))</f>
        <v/>
      </c>
      <c r="AZ480" s="136" t="str">
        <f>IF(AI461="","",IF(D480="","",D480))</f>
        <v/>
      </c>
      <c r="BA480" s="136" t="str">
        <f>IF(AI461="","",IF(E480="","",E480))</f>
        <v/>
      </c>
      <c r="BB480" s="136" t="str">
        <f>IF(AI461="","",IF(F480="","",F480))</f>
        <v/>
      </c>
      <c r="BC480" s="136" t="str">
        <f>IF(AI461="","",IF(G480="","",G480))</f>
        <v/>
      </c>
      <c r="BD480" s="136" t="str">
        <f>IF(AI461="","",IF(H480="","",H480))</f>
        <v/>
      </c>
      <c r="BE480" s="136" t="str">
        <f>IF(AI461="","",IF(I480="","",I480))</f>
        <v/>
      </c>
      <c r="BF480" s="136" t="str">
        <f>IF(AI461="","",IF(J480="","",J480))</f>
        <v/>
      </c>
      <c r="BG480" s="136" t="str">
        <f>IF(AI461="","",IF(K480="","",K480))</f>
        <v/>
      </c>
      <c r="BH480" s="136" t="str">
        <f>IF(AI461="","",IF(L480="","",L480))</f>
        <v/>
      </c>
      <c r="BI480" s="136" t="str">
        <f>IF(AI461="","",IF(M480="","",M480))</f>
        <v/>
      </c>
      <c r="BJ480" s="136" t="str">
        <f>IF(AI461="","",IF(N480="","",N480))</f>
        <v/>
      </c>
      <c r="BK480" s="136" t="str">
        <f>IF(AI461="","",IF(O480="","",O480))</f>
        <v/>
      </c>
      <c r="BM480" s="136" t="str">
        <f>BO480</f>
        <v>EG</v>
      </c>
      <c r="BN480" s="136" t="str">
        <f t="shared" si="279"/>
        <v>Estudo em Grupo</v>
      </c>
      <c r="BO480" s="136" t="str">
        <f t="shared" si="279"/>
        <v>EG</v>
      </c>
      <c r="BP480" s="136">
        <f>COUNTIFS(AX465:BK512,BO480)*0.5</f>
        <v>0</v>
      </c>
      <c r="BQ480" s="136" t="str">
        <f t="shared" si="280"/>
        <v>Estudo em Grupo</v>
      </c>
      <c r="BR480" s="136" t="str">
        <f t="shared" si="280"/>
        <v>EG</v>
      </c>
      <c r="BS480" s="136" t="str">
        <f t="shared" si="281"/>
        <v>Estudo em Grupo</v>
      </c>
      <c r="BT480" s="136">
        <f t="shared" si="287"/>
        <v>46.5</v>
      </c>
      <c r="BU480" s="136">
        <f t="shared" si="288"/>
        <v>55.5</v>
      </c>
      <c r="CA480" s="136">
        <f>'INFO BASE'!L560</f>
        <v>0</v>
      </c>
      <c r="CB480" s="136">
        <f>'INFO BASE'!M560</f>
        <v>0</v>
      </c>
      <c r="CD480" s="136" t="str">
        <f>IF('INFO BASE'!E494="","",'INFO BASE'!E494)</f>
        <v/>
      </c>
      <c r="CR480" s="177" t="str">
        <f t="shared" si="269"/>
        <v>HD</v>
      </c>
      <c r="CS480" s="177" t="str">
        <f t="shared" si="270"/>
        <v>HD-</v>
      </c>
      <c r="CT480" s="177" t="str">
        <f t="shared" si="269"/>
        <v>HD</v>
      </c>
      <c r="CU480" s="177" t="str">
        <f t="shared" si="271"/>
        <v>HD-</v>
      </c>
      <c r="CV480" s="177" t="str">
        <f t="shared" si="269"/>
        <v>HD</v>
      </c>
      <c r="CW480" s="177" t="str">
        <f t="shared" si="272"/>
        <v>HD-</v>
      </c>
      <c r="CX480" s="177" t="str">
        <f t="shared" si="269"/>
        <v>HD</v>
      </c>
      <c r="CY480" s="177" t="str">
        <f t="shared" si="273"/>
        <v>HD-</v>
      </c>
      <c r="CZ480" s="177" t="str">
        <f t="shared" si="269"/>
        <v>HD</v>
      </c>
      <c r="DA480" s="177" t="str">
        <f t="shared" si="274"/>
        <v>HD-</v>
      </c>
      <c r="DB480" s="177" t="str">
        <f t="shared" si="269"/>
        <v>HD</v>
      </c>
      <c r="DC480" s="177" t="str">
        <f t="shared" si="275"/>
        <v>HD-</v>
      </c>
      <c r="DD480" s="177" t="str">
        <f t="shared" si="276"/>
        <v>HS</v>
      </c>
      <c r="DE480" s="177" t="str">
        <f t="shared" si="277"/>
        <v>HS-</v>
      </c>
    </row>
    <row r="481" spans="1:109" ht="18" customHeight="1" x14ac:dyDescent="0.3">
      <c r="A481" s="81">
        <v>0.33333333333334397</v>
      </c>
      <c r="B481" s="166" t="s">
        <v>11</v>
      </c>
      <c r="C481" s="130" t="s">
        <v>120</v>
      </c>
      <c r="D481" s="169" t="s">
        <v>11</v>
      </c>
      <c r="E481" s="130" t="s">
        <v>120</v>
      </c>
      <c r="F481" s="169" t="s">
        <v>11</v>
      </c>
      <c r="G481" s="130" t="s">
        <v>120</v>
      </c>
      <c r="H481" s="169" t="s">
        <v>11</v>
      </c>
      <c r="I481" s="130" t="s">
        <v>120</v>
      </c>
      <c r="J481" s="169" t="s">
        <v>11</v>
      </c>
      <c r="K481" s="130" t="s">
        <v>120</v>
      </c>
      <c r="L481" s="169" t="s">
        <v>11</v>
      </c>
      <c r="M481" s="130" t="s">
        <v>120</v>
      </c>
      <c r="N481" s="169" t="s">
        <v>10</v>
      </c>
      <c r="O481" s="154" t="s">
        <v>120</v>
      </c>
      <c r="P481" s="6">
        <v>0</v>
      </c>
      <c r="Q481" s="110" t="str">
        <f t="shared" si="285"/>
        <v>Estudo Autónomo</v>
      </c>
      <c r="R481" s="105" t="str">
        <f t="shared" si="286"/>
        <v>CDI</v>
      </c>
      <c r="S481" s="88">
        <f t="shared" si="283"/>
        <v>-0.6</v>
      </c>
      <c r="T481" s="89">
        <f>IF(VLOOKUP(Q481,'INFO BASE'!$B$40:$I$54,IF(R481='INFO BASE'!$B$32,3,IF(R481='INFO BASE'!$B$33,4,IF(R481='INFO BASE'!$B$34,5,IF(R481='INFO BASE'!$B$35,6,IF(R481='INFO BASE'!$B$36,7,IF(R481='INFO BASE'!$B$37,8,2)))))),0)=0,"",VLOOKUP(Q481,'INFO BASE'!$B$40:$I$54,IF(R481='INFO BASE'!$B$32,3,IF(R481='INFO BASE'!$B$33,4,IF(R481='INFO BASE'!$B$34,5,IF(R481='INFO BASE'!$B$35,6,IF(R481='INFO BASE'!$B$36,7,IF(R481='INFO BASE'!$B$37,8,2)))))),0))</f>
        <v>5</v>
      </c>
      <c r="U481" s="89">
        <f>(COUNTIFS(C465:C512,R481,B465:B512,R476)+COUNTIFS(E465:E512,R481,D465:D512,R476)+COUNTIFS(G465:G512,R481,F465:F512,R476)+COUNTIFS(I465:I512,R481,H465:H512,R476)+COUNTIFS(K465:K512,R481,J465:J512,R476)+COUNTIFS(M465:M512,R481,L465:L512,R476)+COUNTIFS(O465:O512,R481,N465:N512,R476))*0.5</f>
        <v>2</v>
      </c>
      <c r="V481" s="89">
        <f>(COUNTIFS(AI465:AI512,R476,AJ465:AJ512,R481)+COUNTIFS(AK465:AK512,R476,AL465:AL512,R481)+COUNTIFS(AM465:AM512,R476,AN465:AN512,R481)+COUNTIFS(AO465:AO512,R476,AP465:AP512,R481)+COUNTIFS(AQ465:AQ512,R476,AR465:AR512,R481)+COUNTIFS(AS465:AS512,R476,AT465:AT512,R481)+COUNTIFS(AU465:AU512,R476,AV465:AV512,R481))*0.5</f>
        <v>0</v>
      </c>
      <c r="W481" s="90" t="str">
        <f>IF(AH461="","-",IF(V481=0,U481,IFERROR((U481/V481)-1,"-")))</f>
        <v>-</v>
      </c>
      <c r="X481" s="200">
        <f t="shared" si="284"/>
        <v>0</v>
      </c>
      <c r="Y481" s="299"/>
      <c r="Z481" s="300"/>
      <c r="AA481" s="300"/>
      <c r="AB481" s="300"/>
      <c r="AC481" s="300"/>
      <c r="AD481" s="300"/>
      <c r="AE481" s="300"/>
      <c r="AF481" s="301"/>
      <c r="AH481" s="136">
        <v>0.33333333333334397</v>
      </c>
      <c r="AI481" s="136" t="str">
        <f>IF(AH461="","",IF(B481="","",B481))</f>
        <v/>
      </c>
      <c r="AJ481" s="136" t="str">
        <f>IF(AH461="","",IF(C481="","",C481))</f>
        <v/>
      </c>
      <c r="AK481" s="136" t="str">
        <f>IF(AH461="","",IF(D481="","",D481))</f>
        <v/>
      </c>
      <c r="AL481" s="136" t="str">
        <f>IF(AH461="","",IF(E481="","",E481))</f>
        <v/>
      </c>
      <c r="AM481" s="136" t="str">
        <f>IF(AH461="","",IF(F481="","",F481))</f>
        <v/>
      </c>
      <c r="AN481" s="136" t="str">
        <f>IF(AH461="","",IF(G481="","",G481))</f>
        <v/>
      </c>
      <c r="AO481" s="136" t="str">
        <f>IF(AH461="","",IF(H481="","",H481))</f>
        <v/>
      </c>
      <c r="AP481" s="136" t="str">
        <f>IF(AH461="","",IF(I481="","",I481))</f>
        <v/>
      </c>
      <c r="AQ481" s="136" t="str">
        <f>IF(AH461="","",IF(J481="","",J481))</f>
        <v/>
      </c>
      <c r="AR481" s="136" t="str">
        <f>IF(AH461="","",IF(K481="","",K481))</f>
        <v/>
      </c>
      <c r="AS481" s="136" t="str">
        <f>IF(AH461="","",IF(L481="","",L481))</f>
        <v/>
      </c>
      <c r="AT481" s="136" t="str">
        <f>IF(AH461="","",IF(M481="","",M481))</f>
        <v/>
      </c>
      <c r="AU481" s="136" t="str">
        <f>IF(AH461="","",IF(N481="","",N481))</f>
        <v/>
      </c>
      <c r="AV481" s="136" t="str">
        <f>IF(AH461="","",IF(O481="","",O481))</f>
        <v/>
      </c>
      <c r="AX481" s="136" t="str">
        <f>IF(AI461="","",IF(B481="","",B481))</f>
        <v/>
      </c>
      <c r="AY481" s="136" t="str">
        <f>IF(AI461="","",IF(C481="","",C481))</f>
        <v/>
      </c>
      <c r="AZ481" s="136" t="str">
        <f>IF(AI461="","",IF(D481="","",D481))</f>
        <v/>
      </c>
      <c r="BA481" s="136" t="str">
        <f>IF(AI461="","",IF(E481="","",E481))</f>
        <v/>
      </c>
      <c r="BB481" s="136" t="str">
        <f>IF(AI461="","",IF(F481="","",F481))</f>
        <v/>
      </c>
      <c r="BC481" s="136" t="str">
        <f>IF(AI461="","",IF(G481="","",G481))</f>
        <v/>
      </c>
      <c r="BD481" s="136" t="str">
        <f>IF(AI461="","",IF(H481="","",H481))</f>
        <v/>
      </c>
      <c r="BE481" s="136" t="str">
        <f>IF(AI461="","",IF(I481="","",I481))</f>
        <v/>
      </c>
      <c r="BF481" s="136" t="str">
        <f>IF(AI461="","",IF(J481="","",J481))</f>
        <v/>
      </c>
      <c r="BG481" s="136" t="str">
        <f>IF(AI461="","",IF(K481="","",K481))</f>
        <v/>
      </c>
      <c r="BH481" s="136" t="str">
        <f>IF(AI461="","",IF(L481="","",L481))</f>
        <v/>
      </c>
      <c r="BI481" s="136" t="str">
        <f>IF(AI461="","",IF(M481="","",M481))</f>
        <v/>
      </c>
      <c r="BJ481" s="136" t="str">
        <f>IF(AI461="","",IF(N481="","",N481))</f>
        <v/>
      </c>
      <c r="BK481" s="136" t="str">
        <f>IF(AI461="","",IF(O481="","",O481))</f>
        <v/>
      </c>
      <c r="BM481" s="136" t="str">
        <f>BM480</f>
        <v>EG</v>
      </c>
      <c r="BN481" s="136" t="str">
        <f t="shared" si="279"/>
        <v>Estudo em Grupo</v>
      </c>
      <c r="BO481" s="136" t="str">
        <f t="shared" si="279"/>
        <v>FP</v>
      </c>
      <c r="BP481" s="136">
        <f>(COUNTIFS(AX465:AX512,BM481,AY465:AY512,BO481)+COUNTIFS(AZ465:AZ512,BM481,BA465:BA512,BO481)+COUNTIFS(BB465:BB512,BM481,BC465:BC512,BO481)+COUNTIFS(BD465:BD512,BM481,BE465:BE512,BO481)+COUNTIFS(BF465:BF512,BM481,BG465:BG512,BO481)+COUNTIFS(BH465:BH512,BM481,BI465:BI512,BO481)+COUNTIFS(BJ465:BJ512,BM481,BK465:BK512,BO481))*0.5</f>
        <v>0</v>
      </c>
      <c r="BQ481" s="136" t="str">
        <f t="shared" si="280"/>
        <v>Estudo em Grupo</v>
      </c>
      <c r="BR481" s="136" t="str">
        <f t="shared" si="280"/>
        <v>FP</v>
      </c>
      <c r="BS481" s="136" t="str">
        <f t="shared" si="281"/>
        <v>Estudo em Grupo</v>
      </c>
      <c r="BT481" s="136">
        <f t="shared" si="287"/>
        <v>11</v>
      </c>
      <c r="BU481" s="136">
        <f t="shared" si="288"/>
        <v>12</v>
      </c>
      <c r="CA481" s="136">
        <f>'INFO BASE'!L561</f>
        <v>0</v>
      </c>
      <c r="CB481" s="136">
        <f>'INFO BASE'!M561</f>
        <v>0</v>
      </c>
      <c r="CD481" s="136" t="str">
        <f>IF('INFO BASE'!F495="","",'INFO BASE'!F495)</f>
        <v/>
      </c>
      <c r="CR481" s="177" t="str">
        <f t="shared" si="269"/>
        <v>HD</v>
      </c>
      <c r="CS481" s="177" t="str">
        <f t="shared" si="270"/>
        <v>HD-</v>
      </c>
      <c r="CT481" s="177" t="str">
        <f t="shared" si="269"/>
        <v>HD</v>
      </c>
      <c r="CU481" s="177" t="str">
        <f t="shared" si="271"/>
        <v>HD-</v>
      </c>
      <c r="CV481" s="177" t="str">
        <f t="shared" si="269"/>
        <v>HD</v>
      </c>
      <c r="CW481" s="177" t="str">
        <f t="shared" si="272"/>
        <v>HD-</v>
      </c>
      <c r="CX481" s="177" t="str">
        <f t="shared" si="269"/>
        <v>HD</v>
      </c>
      <c r="CY481" s="177" t="str">
        <f t="shared" si="273"/>
        <v>HD-</v>
      </c>
      <c r="CZ481" s="177" t="str">
        <f t="shared" si="269"/>
        <v>HD</v>
      </c>
      <c r="DA481" s="177" t="str">
        <f t="shared" si="274"/>
        <v>HD-</v>
      </c>
      <c r="DB481" s="177" t="str">
        <f t="shared" si="269"/>
        <v>HD</v>
      </c>
      <c r="DC481" s="177" t="str">
        <f t="shared" si="275"/>
        <v>HD-</v>
      </c>
      <c r="DD481" s="177" t="str">
        <f t="shared" si="276"/>
        <v>HS</v>
      </c>
      <c r="DE481" s="177" t="str">
        <f t="shared" si="277"/>
        <v>HS-</v>
      </c>
    </row>
    <row r="482" spans="1:109" ht="18" customHeight="1" thickBot="1" x14ac:dyDescent="0.35">
      <c r="A482" s="81">
        <v>0.35416666666667801</v>
      </c>
      <c r="B482" s="166" t="s">
        <v>11</v>
      </c>
      <c r="C482" s="130" t="s">
        <v>120</v>
      </c>
      <c r="D482" s="169" t="s">
        <v>11</v>
      </c>
      <c r="E482" s="130" t="s">
        <v>120</v>
      </c>
      <c r="F482" s="169" t="s">
        <v>130</v>
      </c>
      <c r="G482" s="130" t="s">
        <v>230</v>
      </c>
      <c r="H482" s="169" t="s">
        <v>11</v>
      </c>
      <c r="I482" s="130" t="s">
        <v>120</v>
      </c>
      <c r="J482" s="169" t="s">
        <v>11</v>
      </c>
      <c r="K482" s="130" t="s">
        <v>120</v>
      </c>
      <c r="L482" s="169" t="s">
        <v>116</v>
      </c>
      <c r="M482" s="130" t="s">
        <v>120</v>
      </c>
      <c r="N482" s="169" t="s">
        <v>116</v>
      </c>
      <c r="O482" s="154" t="s">
        <v>120</v>
      </c>
      <c r="P482" s="6">
        <v>0</v>
      </c>
      <c r="Q482" s="112" t="str">
        <f t="shared" si="285"/>
        <v>Estudo Autónomo</v>
      </c>
      <c r="R482" s="107" t="str">
        <f t="shared" si="286"/>
        <v/>
      </c>
      <c r="S482" s="94" t="str">
        <f t="shared" si="283"/>
        <v>-</v>
      </c>
      <c r="T482" s="95" t="str">
        <f>IF(VLOOKUP(Q482,'INFO BASE'!$B$40:$I$54,IF(R482='INFO BASE'!$B$32,3,IF(R482='INFO BASE'!$B$33,4,IF(R482='INFO BASE'!$B$34,5,IF(R482='INFO BASE'!$B$35,6,IF(R482='INFO BASE'!$B$36,7,IF(R482='INFO BASE'!$B$37,8,2)))))),0)=0,"",VLOOKUP(Q482,'INFO BASE'!$B$40:$I$54,IF(R482='INFO BASE'!$B$32,3,IF(R482='INFO BASE'!$B$33,4,IF(R482='INFO BASE'!$B$34,5,IF(R482='INFO BASE'!$B$35,6,IF(R482='INFO BASE'!$B$36,7,IF(R482='INFO BASE'!$B$37,8,2)))))),0))</f>
        <v/>
      </c>
      <c r="U482" s="95">
        <f>(COUNTIFS(C465:C512,R482,B465:B512,R476)+COUNTIFS(E465:E512,R482,D465:D512,R476)+COUNTIFS(G465:G512,R482,F465:F512,R476)+COUNTIFS(I465:I512,R482,H465:H512,R476)+COUNTIFS(K465:K512,R482,J465:J512,R476)+COUNTIFS(M465:M512,R482,L465:L512,R476)+COUNTIFS(O465:O512,R482,N465:N512,R476))*0.5</f>
        <v>0</v>
      </c>
      <c r="V482" s="95">
        <f>(COUNTIFS(AI465:AI512,R476,AJ465:AJ512,R482)+COUNTIFS(AK465:AK512,R476,AL465:AL512,R482)+COUNTIFS(AM465:AM512,R476,AN465:AN512,R482)+COUNTIFS(AO465:AO512,R476,AP465:AP512,R482)+COUNTIFS(AQ465:AQ512,R476,AR465:AR512,R482)+COUNTIFS(AS465:AS512,R476,AT465:AT512,R482)+COUNTIFS(AU465:AU512,R476,AV465:AV512,R482))*0.5</f>
        <v>0</v>
      </c>
      <c r="W482" s="96" t="str">
        <f>IF(AH461="","-",IF(V482=0,U482,IFERROR((U482/V482)-1,"-")))</f>
        <v>-</v>
      </c>
      <c r="X482" s="201">
        <f t="shared" si="284"/>
        <v>0</v>
      </c>
      <c r="Y482" s="274"/>
      <c r="Z482" s="275"/>
      <c r="AA482" s="275"/>
      <c r="AB482" s="275"/>
      <c r="AC482" s="275"/>
      <c r="AD482" s="275"/>
      <c r="AE482" s="275"/>
      <c r="AF482" s="276"/>
      <c r="AH482" s="136">
        <v>0.35416666666667801</v>
      </c>
      <c r="AI482" s="136" t="str">
        <f>IF(AH461="","",IF(B482="","",B482))</f>
        <v/>
      </c>
      <c r="AJ482" s="136" t="str">
        <f>IF(AH461="","",IF(C482="","",C482))</f>
        <v/>
      </c>
      <c r="AK482" s="136" t="str">
        <f>IF(AH461="","",IF(D482="","",D482))</f>
        <v/>
      </c>
      <c r="AL482" s="136" t="str">
        <f>IF(AH461="","",IF(E482="","",E482))</f>
        <v/>
      </c>
      <c r="AM482" s="136" t="str">
        <f>IF(AH461="","",IF(F482="","",F482))</f>
        <v/>
      </c>
      <c r="AN482" s="136" t="str">
        <f>IF(AH461="","",IF(G482="","",G482))</f>
        <v/>
      </c>
      <c r="AO482" s="136" t="str">
        <f>IF(AH461="","",IF(H482="","",H482))</f>
        <v/>
      </c>
      <c r="AP482" s="136" t="str">
        <f>IF(AH461="","",IF(I482="","",I482))</f>
        <v/>
      </c>
      <c r="AQ482" s="136" t="str">
        <f>IF(AH461="","",IF(J482="","",J482))</f>
        <v/>
      </c>
      <c r="AR482" s="136" t="str">
        <f>IF(AH461="","",IF(K482="","",K482))</f>
        <v/>
      </c>
      <c r="AS482" s="136" t="str">
        <f>IF(AH461="","",IF(L482="","",L482))</f>
        <v/>
      </c>
      <c r="AT482" s="136" t="str">
        <f>IF(AH461="","",IF(M482="","",M482))</f>
        <v/>
      </c>
      <c r="AU482" s="136" t="str">
        <f>IF(AH461="","",IF(N482="","",N482))</f>
        <v/>
      </c>
      <c r="AV482" s="136" t="str">
        <f>IF(AH461="","",IF(O482="","",O482))</f>
        <v/>
      </c>
      <c r="AX482" s="136" t="str">
        <f>IF(AI461="","",IF(B482="","",B482))</f>
        <v/>
      </c>
      <c r="AY482" s="136" t="str">
        <f>IF(AI461="","",IF(C482="","",C482))</f>
        <v/>
      </c>
      <c r="AZ482" s="136" t="str">
        <f>IF(AI461="","",IF(D482="","",D482))</f>
        <v/>
      </c>
      <c r="BA482" s="136" t="str">
        <f>IF(AI461="","",IF(E482="","",E482))</f>
        <v/>
      </c>
      <c r="BB482" s="136" t="str">
        <f>IF(AI461="","",IF(F482="","",F482))</f>
        <v/>
      </c>
      <c r="BC482" s="136" t="str">
        <f>IF(AI461="","",IF(G482="","",G482))</f>
        <v/>
      </c>
      <c r="BD482" s="136" t="str">
        <f>IF(AI461="","",IF(H482="","",H482))</f>
        <v/>
      </c>
      <c r="BE482" s="136" t="str">
        <f>IF(AI461="","",IF(I482="","",I482))</f>
        <v/>
      </c>
      <c r="BF482" s="136" t="str">
        <f>IF(AI461="","",IF(J482="","",J482))</f>
        <v/>
      </c>
      <c r="BG482" s="136" t="str">
        <f>IF(AI461="","",IF(K482="","",K482))</f>
        <v/>
      </c>
      <c r="BH482" s="136" t="str">
        <f>IF(AI461="","",IF(L482="","",L482))</f>
        <v/>
      </c>
      <c r="BI482" s="136" t="str">
        <f>IF(AI461="","",IF(M482="","",M482))</f>
        <v/>
      </c>
      <c r="BJ482" s="136" t="str">
        <f>IF(AI461="","",IF(N482="","",N482))</f>
        <v/>
      </c>
      <c r="BK482" s="136" t="str">
        <f>IF(AI461="","",IF(O482="","",O482))</f>
        <v/>
      </c>
      <c r="BM482" s="136" t="str">
        <f t="shared" ref="BM482:BM486" si="289">BM481</f>
        <v>EG</v>
      </c>
      <c r="BN482" s="136" t="str">
        <f t="shared" si="279"/>
        <v>Estudo em Grupo</v>
      </c>
      <c r="BO482" s="136" t="str">
        <f t="shared" si="279"/>
        <v>IEI</v>
      </c>
      <c r="BP482" s="136">
        <f>(COUNTIFS(AX465:AX512,BM482,AY465:AY512,BO482)+COUNTIFS(AZ465:AZ512,BM482,BA465:BA512,BO482)+COUNTIFS(BB465:BB512,BM482,BC465:BC512,BO482)+COUNTIFS(BD465:BD512,BM482,BE465:BE512,BO482)+COUNTIFS(BF465:BF512,BM482,BG465:BG512,BO482)+COUNTIFS(BH465:BH512,BM482,BI465:BI512,BO482)+COUNTIFS(BJ465:BJ512,BM482,BK465:BK512,BO482))*0.5</f>
        <v>0</v>
      </c>
      <c r="BQ482" s="136" t="str">
        <f t="shared" si="280"/>
        <v>Estudo em Grupo</v>
      </c>
      <c r="BR482" s="136" t="str">
        <f t="shared" si="280"/>
        <v>IEI</v>
      </c>
      <c r="BS482" s="136" t="str">
        <f t="shared" si="281"/>
        <v>Estudo em Grupo</v>
      </c>
      <c r="BT482" s="136">
        <f t="shared" si="287"/>
        <v>2.5</v>
      </c>
      <c r="BU482" s="136">
        <f t="shared" si="288"/>
        <v>7</v>
      </c>
      <c r="CA482" s="136">
        <f>'INFO BASE'!L562</f>
        <v>0</v>
      </c>
      <c r="CB482" s="136">
        <f>'INFO BASE'!M562</f>
        <v>0</v>
      </c>
      <c r="CR482" s="177" t="str">
        <f t="shared" si="269"/>
        <v>HD</v>
      </c>
      <c r="CS482" s="177" t="str">
        <f t="shared" si="270"/>
        <v>HD-</v>
      </c>
      <c r="CT482" s="177" t="str">
        <f t="shared" si="269"/>
        <v>HD</v>
      </c>
      <c r="CU482" s="177" t="str">
        <f t="shared" si="271"/>
        <v>HD-</v>
      </c>
      <c r="CV482" s="177" t="str">
        <f t="shared" si="269"/>
        <v>APB</v>
      </c>
      <c r="CW482" s="177" t="str">
        <f t="shared" si="272"/>
        <v>APBAL</v>
      </c>
      <c r="CX482" s="177" t="str">
        <f t="shared" si="269"/>
        <v>HD</v>
      </c>
      <c r="CY482" s="177" t="str">
        <f t="shared" si="273"/>
        <v>HD-</v>
      </c>
      <c r="CZ482" s="177" t="str">
        <f t="shared" si="269"/>
        <v>HD</v>
      </c>
      <c r="DA482" s="177" t="str">
        <f t="shared" si="274"/>
        <v>HD-</v>
      </c>
      <c r="DB482" s="177" t="str">
        <f t="shared" si="269"/>
        <v>PV</v>
      </c>
      <c r="DC482" s="177">
        <f t="shared" si="275"/>
        <v>0</v>
      </c>
      <c r="DD482" s="177" t="str">
        <f t="shared" si="276"/>
        <v>PV</v>
      </c>
      <c r="DE482" s="177">
        <f t="shared" si="277"/>
        <v>0</v>
      </c>
    </row>
    <row r="483" spans="1:109" ht="18" customHeight="1" x14ac:dyDescent="0.3">
      <c r="A483" s="81">
        <v>0.37500000000001199</v>
      </c>
      <c r="B483" s="166" t="s">
        <v>9</v>
      </c>
      <c r="C483" s="130" t="s">
        <v>228</v>
      </c>
      <c r="D483" s="169" t="s">
        <v>9</v>
      </c>
      <c r="E483" s="130" t="s">
        <v>226</v>
      </c>
      <c r="F483" s="169" t="s">
        <v>130</v>
      </c>
      <c r="G483" s="130" t="s">
        <v>230</v>
      </c>
      <c r="H483" s="169" t="s">
        <v>9</v>
      </c>
      <c r="I483" s="130" t="s">
        <v>228</v>
      </c>
      <c r="J483" s="169" t="s">
        <v>9</v>
      </c>
      <c r="K483" s="130" t="s">
        <v>224</v>
      </c>
      <c r="L483" s="169" t="s">
        <v>134</v>
      </c>
      <c r="M483" s="130" t="s">
        <v>231</v>
      </c>
      <c r="N483" s="169" t="s">
        <v>116</v>
      </c>
      <c r="O483" s="154" t="s">
        <v>120</v>
      </c>
      <c r="P483" s="6">
        <v>0</v>
      </c>
      <c r="Q483" s="113" t="str">
        <f>IF('INFO BASE'!$C$18="","",'INFO BASE'!$C$18)</f>
        <v>Estudo em Grupo</v>
      </c>
      <c r="R483" s="82" t="str">
        <f t="shared" si="286"/>
        <v>EG</v>
      </c>
      <c r="S483" s="83">
        <f t="shared" si="283"/>
        <v>0.4375</v>
      </c>
      <c r="T483" s="84">
        <f>IF(VLOOKUP(Q483,'INFO BASE'!$B$40:$I$54,IF(R483='INFO BASE'!$B$32,3,IF(R483='INFO BASE'!$B$33,4,IF(R483='INFO BASE'!$B$34,5,IF(R483='INFO BASE'!$B$35,6,IF(R483='INFO BASE'!$B$36,7,IF(R483='INFO BASE'!$B$37,8,2)))))),0)=0,"",VLOOKUP(Q483,'INFO BASE'!$B$40:$I$54,IF(R483='INFO BASE'!$B$32,3,IF(R483='INFO BASE'!$B$33,4,IF(R483='INFO BASE'!$B$34,5,IF(R483='INFO BASE'!$B$35,6,IF(R483='INFO BASE'!$B$36,7,IF(R483='INFO BASE'!$B$37,8,2)))))),0))</f>
        <v>8</v>
      </c>
      <c r="U483" s="84">
        <f>IF(R483="","",COUNTIFS(SEMANA9,R483)*0.5)</f>
        <v>11.5</v>
      </c>
      <c r="V483" s="84">
        <f>IF(R483="","",COUNTIFS(AI465:AV512,R483)*0.5)</f>
        <v>0</v>
      </c>
      <c r="W483" s="85" t="str">
        <f>IF(AH461="","-",IF(V483=0,U483,IFERROR((U483/V483)-1,"-")))</f>
        <v>-</v>
      </c>
      <c r="X483" s="201">
        <f t="shared" si="284"/>
        <v>0</v>
      </c>
      <c r="Y483" s="277"/>
      <c r="Z483" s="278"/>
      <c r="AA483" s="278"/>
      <c r="AB483" s="278"/>
      <c r="AC483" s="278"/>
      <c r="AD483" s="278"/>
      <c r="AE483" s="278"/>
      <c r="AF483" s="279"/>
      <c r="AH483" s="136">
        <v>0.37500000000001199</v>
      </c>
      <c r="AI483" s="136" t="str">
        <f>IF(AH461="","",IF(B483="","",B483))</f>
        <v/>
      </c>
      <c r="AJ483" s="136" t="str">
        <f>IF(AH461="","",IF(C483="","",C483))</f>
        <v/>
      </c>
      <c r="AK483" s="136" t="str">
        <f>IF(AH461="","",IF(D483="","",D483))</f>
        <v/>
      </c>
      <c r="AL483" s="136" t="str">
        <f>IF(AH461="","",IF(E483="","",E483))</f>
        <v/>
      </c>
      <c r="AM483" s="136" t="str">
        <f>IF(AH461="","",IF(F483="","",F483))</f>
        <v/>
      </c>
      <c r="AN483" s="136" t="str">
        <f>IF(AH461="","",IF(G483="","",G483))</f>
        <v/>
      </c>
      <c r="AO483" s="136" t="str">
        <f>IF(AH461="","",IF(H483="","",H483))</f>
        <v/>
      </c>
      <c r="AP483" s="136" t="str">
        <f>IF(AH461="","",IF(I483="","",I483))</f>
        <v/>
      </c>
      <c r="AQ483" s="136" t="str">
        <f>IF(AH461="","",IF(J483="","",J483))</f>
        <v/>
      </c>
      <c r="AR483" s="136" t="str">
        <f>IF(AH461="","",IF(K483="","",K483))</f>
        <v/>
      </c>
      <c r="AS483" s="136" t="str">
        <f>IF(AH461="","",IF(L483="","",L483))</f>
        <v/>
      </c>
      <c r="AT483" s="136" t="str">
        <f>IF(AH461="","",IF(M483="","",M483))</f>
        <v/>
      </c>
      <c r="AU483" s="136" t="str">
        <f>IF(AH461="","",IF(N483="","",N483))</f>
        <v/>
      </c>
      <c r="AV483" s="136" t="str">
        <f>IF(AH461="","",IF(O483="","",O483))</f>
        <v/>
      </c>
      <c r="AX483" s="136" t="str">
        <f>IF(AI461="","",IF(B483="","",B483))</f>
        <v/>
      </c>
      <c r="AY483" s="136" t="str">
        <f>IF(AI461="","",IF(C483="","",C483))</f>
        <v/>
      </c>
      <c r="AZ483" s="136" t="str">
        <f>IF(AI461="","",IF(D483="","",D483))</f>
        <v/>
      </c>
      <c r="BA483" s="136" t="str">
        <f>IF(AI461="","",IF(E483="","",E483))</f>
        <v/>
      </c>
      <c r="BB483" s="136" t="str">
        <f>IF(AI461="","",IF(F483="","",F483))</f>
        <v/>
      </c>
      <c r="BC483" s="136" t="str">
        <f>IF(AI461="","",IF(G483="","",G483))</f>
        <v/>
      </c>
      <c r="BD483" s="136" t="str">
        <f>IF(AI461="","",IF(H483="","",H483))</f>
        <v/>
      </c>
      <c r="BE483" s="136" t="str">
        <f>IF(AI461="","",IF(I483="","",I483))</f>
        <v/>
      </c>
      <c r="BF483" s="136" t="str">
        <f>IF(AI461="","",IF(J483="","",J483))</f>
        <v/>
      </c>
      <c r="BG483" s="136" t="str">
        <f>IF(AI461="","",IF(K483="","",K483))</f>
        <v/>
      </c>
      <c r="BH483" s="136" t="str">
        <f>IF(AI461="","",IF(L483="","",L483))</f>
        <v/>
      </c>
      <c r="BI483" s="136" t="str">
        <f>IF(AI461="","",IF(M483="","",M483))</f>
        <v/>
      </c>
      <c r="BJ483" s="136" t="str">
        <f>IF(AI461="","",IF(N483="","",N483))</f>
        <v/>
      </c>
      <c r="BK483" s="136" t="str">
        <f>IF(AI461="","",IF(O483="","",O483))</f>
        <v/>
      </c>
      <c r="BM483" s="136" t="str">
        <f t="shared" si="289"/>
        <v>EG</v>
      </c>
      <c r="BN483" s="136" t="str">
        <f t="shared" si="279"/>
        <v>Estudo em Grupo</v>
      </c>
      <c r="BO483" s="136" t="str">
        <f t="shared" si="279"/>
        <v>IAC</v>
      </c>
      <c r="BP483" s="136">
        <f>(COUNTIFS(AX465:AX512,BM483,AY465:AY512,BO483)+COUNTIFS(AZ465:AZ512,BM483,BA465:BA512,BO483)+COUNTIFS(BB465:BB512,BM483,BC465:BC512,BO483)+COUNTIFS(BD465:BD512,BM483,BE465:BE512,BO483)+COUNTIFS(BF465:BF512,BM483,BG465:BG512,BO483)+COUNTIFS(BH465:BH512,BM483,BI465:BI512,BO483)+COUNTIFS(BJ465:BJ512,BM483,BK465:BK512,BO483))*0.5</f>
        <v>0</v>
      </c>
      <c r="BQ483" s="136" t="str">
        <f t="shared" si="280"/>
        <v>Estudo em Grupo</v>
      </c>
      <c r="BR483" s="136" t="str">
        <f t="shared" si="280"/>
        <v>IAC</v>
      </c>
      <c r="BS483" s="136" t="str">
        <f t="shared" si="281"/>
        <v>Estudo em Grupo</v>
      </c>
      <c r="BT483" s="136">
        <f t="shared" si="287"/>
        <v>6</v>
      </c>
      <c r="BU483" s="136">
        <f t="shared" si="288"/>
        <v>10.5</v>
      </c>
      <c r="CA483" s="136">
        <f>'INFO BASE'!L563</f>
        <v>0</v>
      </c>
      <c r="CB483" s="136">
        <f>'INFO BASE'!M563</f>
        <v>0</v>
      </c>
      <c r="CR483" s="177" t="str">
        <f t="shared" si="269"/>
        <v>AT</v>
      </c>
      <c r="CS483" s="177" t="str">
        <f t="shared" si="270"/>
        <v>ATIAC</v>
      </c>
      <c r="CT483" s="177" t="str">
        <f t="shared" si="269"/>
        <v>AT</v>
      </c>
      <c r="CU483" s="177" t="str">
        <f t="shared" si="271"/>
        <v>ATIEI</v>
      </c>
      <c r="CV483" s="177" t="str">
        <f t="shared" si="269"/>
        <v>APB</v>
      </c>
      <c r="CW483" s="177" t="str">
        <f t="shared" si="272"/>
        <v>APBAL</v>
      </c>
      <c r="CX483" s="177" t="str">
        <f t="shared" si="269"/>
        <v>AT</v>
      </c>
      <c r="CY483" s="177" t="str">
        <f t="shared" si="273"/>
        <v>ATIAC</v>
      </c>
      <c r="CZ483" s="177" t="str">
        <f t="shared" si="269"/>
        <v>AT</v>
      </c>
      <c r="DA483" s="177" t="str">
        <f t="shared" si="274"/>
        <v>ATFP</v>
      </c>
      <c r="DB483" s="177" t="str">
        <f t="shared" si="269"/>
        <v>MA</v>
      </c>
      <c r="DC483" s="177" t="str">
        <f t="shared" si="275"/>
        <v>MACDI</v>
      </c>
      <c r="DD483" s="177" t="str">
        <f t="shared" si="276"/>
        <v>PV</v>
      </c>
      <c r="DE483" s="177">
        <f t="shared" si="277"/>
        <v>0</v>
      </c>
    </row>
    <row r="484" spans="1:109" ht="18" customHeight="1" x14ac:dyDescent="0.3">
      <c r="A484" s="81">
        <v>0.39583333333334603</v>
      </c>
      <c r="B484" s="166" t="s">
        <v>9</v>
      </c>
      <c r="C484" s="130" t="s">
        <v>228</v>
      </c>
      <c r="D484" s="169" t="s">
        <v>9</v>
      </c>
      <c r="E484" s="130" t="s">
        <v>226</v>
      </c>
      <c r="F484" s="169" t="s">
        <v>130</v>
      </c>
      <c r="G484" s="130" t="s">
        <v>230</v>
      </c>
      <c r="H484" s="169" t="s">
        <v>9</v>
      </c>
      <c r="I484" s="130" t="s">
        <v>228</v>
      </c>
      <c r="J484" s="169" t="s">
        <v>9</v>
      </c>
      <c r="K484" s="130" t="s">
        <v>224</v>
      </c>
      <c r="L484" s="169" t="s">
        <v>134</v>
      </c>
      <c r="M484" s="130" t="s">
        <v>231</v>
      </c>
      <c r="N484" s="169" t="s">
        <v>8</v>
      </c>
      <c r="O484" s="154" t="s">
        <v>226</v>
      </c>
      <c r="P484" s="6">
        <v>0</v>
      </c>
      <c r="Q484" s="114" t="str">
        <f t="shared" ref="Q484:Q489" si="290">Q483</f>
        <v>Estudo em Grupo</v>
      </c>
      <c r="R484" s="105" t="str">
        <f t="shared" si="286"/>
        <v>FP</v>
      </c>
      <c r="S484" s="88">
        <f t="shared" si="283"/>
        <v>-1</v>
      </c>
      <c r="T484" s="89">
        <f>IF(VLOOKUP(Q484,'INFO BASE'!$B$40:$I$54,IF(R484='INFO BASE'!$B$32,3,IF(R484='INFO BASE'!$B$33,4,IF(R484='INFO BASE'!$B$34,5,IF(R484='INFO BASE'!$B$35,6,IF(R484='INFO BASE'!$B$36,7,IF(R484='INFO BASE'!$B$37,8,2)))))),0)=0,"",VLOOKUP(Q484,'INFO BASE'!$B$40:$I$54,IF(R484='INFO BASE'!$B$32,3,IF(R484='INFO BASE'!$B$33,4,IF(R484='INFO BASE'!$B$34,5,IF(R484='INFO BASE'!$B$35,6,IF(R484='INFO BASE'!$B$36,7,IF(R484='INFO BASE'!$B$37,8,2)))))),0))</f>
        <v>2</v>
      </c>
      <c r="U484" s="89">
        <f>(COUNTIFS(C465:C512,R484,B465:B512,R483)+COUNTIFS(E465:E512,R484,D465:D512,R483)+COUNTIFS(G465:G512,R484,F465:F512,R483)+COUNTIFS(I465:I512,R484,H465:H512,R483)+COUNTIFS(K465:K512,R484,J465:J512,R483)+COUNTIFS(M465:M512,R484,L465:L512,R483)+COUNTIFS(O465:O512,R484,N465:N512,R483))*0.5</f>
        <v>0</v>
      </c>
      <c r="V484" s="89">
        <f>(COUNTIFS(AI465:AI512,R483,AJ465:AJ512,R477)+COUNTIFS(AK465:AK512,R483,AL465:AL512,R477)+COUNTIFS(AM465:AM512,R483,AN465:AN512,R477)+COUNTIFS(AO465:AO512,R483,AP465:AP512,R477)+COUNTIFS(AQ465:AQ512,R483,AR465:AR512,R477)+COUNTIFS(AS465:AS512,R483,AT465:AT512,R477)+COUNTIFS(AU465:AU512,R483,AV465:AV512,R477))*0.5</f>
        <v>0</v>
      </c>
      <c r="W484" s="90" t="str">
        <f>IF(AH461="","-",IF(V484=0,U484,IFERROR((U484/V484)-1,"-")))</f>
        <v>-</v>
      </c>
      <c r="X484" s="201">
        <f t="shared" si="284"/>
        <v>0</v>
      </c>
      <c r="Y484" s="271"/>
      <c r="Z484" s="272"/>
      <c r="AA484" s="272"/>
      <c r="AB484" s="272"/>
      <c r="AC484" s="272"/>
      <c r="AD484" s="272"/>
      <c r="AE484" s="272"/>
      <c r="AF484" s="273"/>
      <c r="AH484" s="136">
        <v>0.39583333333334603</v>
      </c>
      <c r="AI484" s="136" t="str">
        <f>IF(AH461="","",IF(B484="","",B484))</f>
        <v/>
      </c>
      <c r="AJ484" s="136" t="str">
        <f>IF(AH461="","",IF(C484="","",C484))</f>
        <v/>
      </c>
      <c r="AK484" s="136" t="str">
        <f>IF(AH461="","",IF(D484="","",D484))</f>
        <v/>
      </c>
      <c r="AL484" s="136" t="str">
        <f>IF(AH461="","",IF(E484="","",E484))</f>
        <v/>
      </c>
      <c r="AM484" s="136" t="str">
        <f>IF(AH461="","",IF(F484="","",F484))</f>
        <v/>
      </c>
      <c r="AN484" s="136" t="str">
        <f>IF(AH461="","",IF(G484="","",G484))</f>
        <v/>
      </c>
      <c r="AO484" s="136" t="str">
        <f>IF(AH461="","",IF(H484="","",H484))</f>
        <v/>
      </c>
      <c r="AP484" s="136" t="str">
        <f>IF(AH461="","",IF(I484="","",I484))</f>
        <v/>
      </c>
      <c r="AQ484" s="136" t="str">
        <f>IF(AH461="","",IF(J484="","",J484))</f>
        <v/>
      </c>
      <c r="AR484" s="136" t="str">
        <f>IF(AH461="","",IF(K484="","",K484))</f>
        <v/>
      </c>
      <c r="AS484" s="136" t="str">
        <f>IF(AH461="","",IF(L484="","",L484))</f>
        <v/>
      </c>
      <c r="AT484" s="136" t="str">
        <f>IF(AH461="","",IF(M484="","",M484))</f>
        <v/>
      </c>
      <c r="AU484" s="136" t="str">
        <f>IF(AH461="","",IF(N484="","",N484))</f>
        <v/>
      </c>
      <c r="AV484" s="136" t="str">
        <f>IF(AH461="","",IF(O484="","",O484))</f>
        <v/>
      </c>
      <c r="AX484" s="136" t="str">
        <f>IF(AI461="","",IF(B484="","",B484))</f>
        <v/>
      </c>
      <c r="AY484" s="136" t="str">
        <f>IF(AI461="","",IF(C484="","",C484))</f>
        <v/>
      </c>
      <c r="AZ484" s="136" t="str">
        <f>IF(AI461="","",IF(D484="","",D484))</f>
        <v/>
      </c>
      <c r="BA484" s="136" t="str">
        <f>IF(AI461="","",IF(E484="","",E484))</f>
        <v/>
      </c>
      <c r="BB484" s="136" t="str">
        <f>IF(AI461="","",IF(F484="","",F484))</f>
        <v/>
      </c>
      <c r="BC484" s="136" t="str">
        <f>IF(AI461="","",IF(G484="","",G484))</f>
        <v/>
      </c>
      <c r="BD484" s="136" t="str">
        <f>IF(AI461="","",IF(H484="","",H484))</f>
        <v/>
      </c>
      <c r="BE484" s="136" t="str">
        <f>IF(AI461="","",IF(I484="","",I484))</f>
        <v/>
      </c>
      <c r="BF484" s="136" t="str">
        <f>IF(AI461="","",IF(J484="","",J484))</f>
        <v/>
      </c>
      <c r="BG484" s="136" t="str">
        <f>IF(AI461="","",IF(K484="","",K484))</f>
        <v/>
      </c>
      <c r="BH484" s="136" t="str">
        <f>IF(AI461="","",IF(L484="","",L484))</f>
        <v/>
      </c>
      <c r="BI484" s="136" t="str">
        <f>IF(AI461="","",IF(M484="","",M484))</f>
        <v/>
      </c>
      <c r="BJ484" s="136" t="str">
        <f>IF(AI461="","",IF(N484="","",N484))</f>
        <v/>
      </c>
      <c r="BK484" s="136" t="str">
        <f>IF(AI461="","",IF(O484="","",O484))</f>
        <v/>
      </c>
      <c r="BM484" s="136" t="str">
        <f t="shared" si="289"/>
        <v>EG</v>
      </c>
      <c r="BN484" s="136" t="str">
        <f t="shared" si="279"/>
        <v>Estudo em Grupo</v>
      </c>
      <c r="BO484" s="136" t="str">
        <f t="shared" si="279"/>
        <v>AL</v>
      </c>
      <c r="BP484" s="136">
        <f>(COUNTIFS(AX465:AX512,BM484,AY465:AY512,BO484)+COUNTIFS(AZ465:AZ512,BM484,BA465:BA512,BO484)+COUNTIFS(BB465:BB512,BM484,BC465:BC512,BO484)+COUNTIFS(BD465:BD512,BM484,BE465:BE512,BO484)+COUNTIFS(BF465:BF512,BM484,BG465:BG512,BO484)+COUNTIFS(BH465:BH512,BM484,BI465:BI512,BO484)+COUNTIFS(BJ465:BJ512,BM484,BK465:BK512,BO484))*0.5</f>
        <v>0</v>
      </c>
      <c r="BQ484" s="136" t="str">
        <f t="shared" si="280"/>
        <v>Estudo em Grupo</v>
      </c>
      <c r="BR484" s="136" t="str">
        <f t="shared" si="280"/>
        <v>AL</v>
      </c>
      <c r="BS484" s="136" t="str">
        <f t="shared" si="281"/>
        <v>Estudo em Grupo</v>
      </c>
      <c r="BT484" s="136">
        <f t="shared" si="287"/>
        <v>16.5</v>
      </c>
      <c r="BU484" s="136">
        <f t="shared" si="288"/>
        <v>17.5</v>
      </c>
      <c r="CA484" s="136">
        <f>'INFO BASE'!L564</f>
        <v>0</v>
      </c>
      <c r="CB484" s="136">
        <f>'INFO BASE'!M564</f>
        <v>0</v>
      </c>
      <c r="CR484" s="177" t="str">
        <f t="shared" si="269"/>
        <v>AT</v>
      </c>
      <c r="CS484" s="177" t="str">
        <f t="shared" si="270"/>
        <v>ATIAC</v>
      </c>
      <c r="CT484" s="177" t="str">
        <f t="shared" si="269"/>
        <v>AT</v>
      </c>
      <c r="CU484" s="177" t="str">
        <f t="shared" si="271"/>
        <v>ATIEI</v>
      </c>
      <c r="CV484" s="177" t="str">
        <f t="shared" si="269"/>
        <v>APB</v>
      </c>
      <c r="CW484" s="177" t="str">
        <f t="shared" si="272"/>
        <v>APBAL</v>
      </c>
      <c r="CX484" s="177" t="str">
        <f t="shared" si="269"/>
        <v>AT</v>
      </c>
      <c r="CY484" s="177" t="str">
        <f t="shared" si="273"/>
        <v>ATIAC</v>
      </c>
      <c r="CZ484" s="177" t="str">
        <f t="shared" si="269"/>
        <v>AT</v>
      </c>
      <c r="DA484" s="177" t="str">
        <f t="shared" si="274"/>
        <v>ATFP</v>
      </c>
      <c r="DB484" s="177" t="str">
        <f t="shared" si="269"/>
        <v>MA</v>
      </c>
      <c r="DC484" s="177" t="str">
        <f t="shared" si="275"/>
        <v>MACDI</v>
      </c>
      <c r="DD484" s="177" t="str">
        <f t="shared" si="276"/>
        <v>EA</v>
      </c>
      <c r="DE484" s="177" t="str">
        <f t="shared" si="277"/>
        <v>EAIEI</v>
      </c>
    </row>
    <row r="485" spans="1:109" ht="18" customHeight="1" x14ac:dyDescent="0.3">
      <c r="A485" s="81">
        <v>0.41666666666668001</v>
      </c>
      <c r="B485" s="166" t="s">
        <v>9</v>
      </c>
      <c r="C485" s="130" t="s">
        <v>228</v>
      </c>
      <c r="D485" s="169" t="s">
        <v>9</v>
      </c>
      <c r="E485" s="130" t="s">
        <v>226</v>
      </c>
      <c r="F485" s="169" t="s">
        <v>9</v>
      </c>
      <c r="G485" s="130" t="s">
        <v>224</v>
      </c>
      <c r="H485" s="169" t="s">
        <v>9</v>
      </c>
      <c r="I485" s="130" t="s">
        <v>228</v>
      </c>
      <c r="J485" s="169" t="s">
        <v>9</v>
      </c>
      <c r="K485" s="130" t="s">
        <v>224</v>
      </c>
      <c r="L485" s="169" t="s">
        <v>134</v>
      </c>
      <c r="M485" s="130" t="s">
        <v>231</v>
      </c>
      <c r="N485" s="169" t="s">
        <v>8</v>
      </c>
      <c r="O485" s="154" t="s">
        <v>226</v>
      </c>
      <c r="P485" s="6">
        <v>0</v>
      </c>
      <c r="Q485" s="114" t="str">
        <f t="shared" si="290"/>
        <v>Estudo em Grupo</v>
      </c>
      <c r="R485" s="105" t="str">
        <f t="shared" si="286"/>
        <v>IEI</v>
      </c>
      <c r="S485" s="88" t="str">
        <f t="shared" si="283"/>
        <v>-</v>
      </c>
      <c r="T485" s="89" t="str">
        <f>IF(VLOOKUP(Q485,'INFO BASE'!$B$40:$I$54,IF(R485='INFO BASE'!$B$32,3,IF(R485='INFO BASE'!$B$33,4,IF(R485='INFO BASE'!$B$34,5,IF(R485='INFO BASE'!$B$35,6,IF(R485='INFO BASE'!$B$36,7,IF(R485='INFO BASE'!$B$37,8,2)))))),0)=0,"",VLOOKUP(Q485,'INFO BASE'!$B$40:$I$54,IF(R485='INFO BASE'!$B$32,3,IF(R485='INFO BASE'!$B$33,4,IF(R485='INFO BASE'!$B$34,5,IF(R485='INFO BASE'!$B$35,6,IF(R485='INFO BASE'!$B$36,7,IF(R485='INFO BASE'!$B$37,8,2)))))),0))</f>
        <v/>
      </c>
      <c r="U485" s="89">
        <f>(COUNTIFS(C465:C512,R485,B465:B512,R483)+COUNTIFS(E465:E512,R485,D465:D512,R483)+COUNTIFS(G465:G512,R485,F465:F512,R483)+COUNTIFS(I465:I512,R485,H465:H512,R483)+COUNTIFS(K465:K512,R485,J465:J512,R483)+COUNTIFS(M465:M512,R485,L465:L512,R483)+COUNTIFS(O465:O512,R485,N465:N512,R483))*0.5</f>
        <v>7</v>
      </c>
      <c r="V485" s="89">
        <f>(COUNTIFS(AI465:AI512,R483,AJ465:AJ512,R478)+COUNTIFS(AK465:AK512,R483,AL465:AL512,R478)+COUNTIFS(AM465:AM512,R483,AN465:AN512,R478)+COUNTIFS(AO465:AO512,R483,AP465:AP512,R478)+COUNTIFS(AQ465:AQ512,R483,AR465:AR512,R478)+COUNTIFS(AS465:AS512,R483,AT465:AT512,R478)+COUNTIFS(AU465:AU512,R483,AV465:AV512,R478))*0.5</f>
        <v>0</v>
      </c>
      <c r="W485" s="90" t="str">
        <f>IF(AH461="","-",IF(V485=0,U485,IFERROR((U485/V485)-1,"-")))</f>
        <v>-</v>
      </c>
      <c r="X485" s="201">
        <f t="shared" si="284"/>
        <v>0</v>
      </c>
      <c r="Y485" s="271"/>
      <c r="Z485" s="272"/>
      <c r="AA485" s="272"/>
      <c r="AB485" s="272"/>
      <c r="AC485" s="272"/>
      <c r="AD485" s="272"/>
      <c r="AE485" s="272"/>
      <c r="AF485" s="273"/>
      <c r="AH485" s="136">
        <v>0.41666666666668001</v>
      </c>
      <c r="AI485" s="136" t="str">
        <f>IF(AH461="","",IF(B485="","",B485))</f>
        <v/>
      </c>
      <c r="AJ485" s="136" t="str">
        <f>IF(AH461="","",IF(C485="","",C485))</f>
        <v/>
      </c>
      <c r="AK485" s="136" t="str">
        <f>IF(AH461="","",IF(D485="","",D485))</f>
        <v/>
      </c>
      <c r="AL485" s="136" t="str">
        <f>IF(AH461="","",IF(E485="","",E485))</f>
        <v/>
      </c>
      <c r="AM485" s="136" t="str">
        <f>IF(AH461="","",IF(F485="","",F485))</f>
        <v/>
      </c>
      <c r="AN485" s="136" t="str">
        <f>IF(AH461="","",IF(G485="","",G485))</f>
        <v/>
      </c>
      <c r="AO485" s="136" t="str">
        <f>IF(AH461="","",IF(H485="","",H485))</f>
        <v/>
      </c>
      <c r="AP485" s="136" t="str">
        <f>IF(AH461="","",IF(I485="","",I485))</f>
        <v/>
      </c>
      <c r="AQ485" s="136" t="str">
        <f>IF(AH461="","",IF(J485="","",J485))</f>
        <v/>
      </c>
      <c r="AR485" s="136" t="str">
        <f>IF(AH461="","",IF(K485="","",K485))</f>
        <v/>
      </c>
      <c r="AS485" s="136" t="str">
        <f>IF(AH461="","",IF(L485="","",L485))</f>
        <v/>
      </c>
      <c r="AT485" s="136" t="str">
        <f>IF(AH461="","",IF(M485="","",M485))</f>
        <v/>
      </c>
      <c r="AU485" s="136" t="str">
        <f>IF(AH461="","",IF(N485="","",N485))</f>
        <v/>
      </c>
      <c r="AV485" s="136" t="str">
        <f>IF(AH461="","",IF(O485="","",O485))</f>
        <v/>
      </c>
      <c r="AX485" s="136" t="str">
        <f>IF(AI461="","",IF(B485="","",B485))</f>
        <v/>
      </c>
      <c r="AY485" s="136" t="str">
        <f>IF(AI461="","",IF(C485="","",C485))</f>
        <v/>
      </c>
      <c r="AZ485" s="136" t="str">
        <f>IF(AI461="","",IF(D485="","",D485))</f>
        <v/>
      </c>
      <c r="BA485" s="136" t="str">
        <f>IF(AI461="","",IF(E485="","",E485))</f>
        <v/>
      </c>
      <c r="BB485" s="136" t="str">
        <f>IF(AI461="","",IF(F485="","",F485))</f>
        <v/>
      </c>
      <c r="BC485" s="136" t="str">
        <f>IF(AI461="","",IF(G485="","",G485))</f>
        <v/>
      </c>
      <c r="BD485" s="136" t="str">
        <f>IF(AI461="","",IF(H485="","",H485))</f>
        <v/>
      </c>
      <c r="BE485" s="136" t="str">
        <f>IF(AI461="","",IF(I485="","",I485))</f>
        <v/>
      </c>
      <c r="BF485" s="136" t="str">
        <f>IF(AI461="","",IF(J485="","",J485))</f>
        <v/>
      </c>
      <c r="BG485" s="136" t="str">
        <f>IF(AI461="","",IF(K485="","",K485))</f>
        <v/>
      </c>
      <c r="BH485" s="136" t="str">
        <f>IF(AI461="","",IF(L485="","",L485))</f>
        <v/>
      </c>
      <c r="BI485" s="136" t="str">
        <f>IF(AI461="","",IF(M485="","",M485))</f>
        <v/>
      </c>
      <c r="BJ485" s="136" t="str">
        <f>IF(AI461="","",IF(N485="","",N485))</f>
        <v/>
      </c>
      <c r="BK485" s="136" t="str">
        <f>IF(AI461="","",IF(O485="","",O485))</f>
        <v/>
      </c>
      <c r="BM485" s="136" t="str">
        <f t="shared" si="289"/>
        <v>EG</v>
      </c>
      <c r="BN485" s="136" t="str">
        <f t="shared" si="279"/>
        <v>Estudo em Grupo</v>
      </c>
      <c r="BO485" s="136" t="str">
        <f t="shared" si="279"/>
        <v>CDI</v>
      </c>
      <c r="BP485" s="136">
        <f>(COUNTIFS(AX465:AX512,BM485,AY465:AY512,BO485)+COUNTIFS(AZ465:AZ512,BM485,BA465:BA512,BO485)+COUNTIFS(BB465:BB512,BM485,BC465:BC512,BO485)+COUNTIFS(BD465:BD512,BM485,BE465:BE512,BO485)+COUNTIFS(BF465:BF512,BM485,BG465:BG512,BO485)+COUNTIFS(BH465:BH512,BM485,BI465:BI512,BO485)+COUNTIFS(BJ465:BJ512,BM485,BK465:BK512,BO485))*0.5</f>
        <v>0</v>
      </c>
      <c r="BQ485" s="136" t="str">
        <f t="shared" si="280"/>
        <v>Estudo em Grupo</v>
      </c>
      <c r="BR485" s="136" t="str">
        <f t="shared" si="280"/>
        <v>CDI</v>
      </c>
      <c r="BS485" s="136" t="str">
        <f t="shared" si="281"/>
        <v>Estudo em Grupo</v>
      </c>
      <c r="BT485" s="136">
        <f t="shared" si="287"/>
        <v>10.5</v>
      </c>
      <c r="BU485" s="136">
        <f t="shared" si="288"/>
        <v>8.5</v>
      </c>
      <c r="CA485" s="136">
        <f>'INFO BASE'!L565</f>
        <v>0</v>
      </c>
      <c r="CB485" s="136">
        <f>'INFO BASE'!M565</f>
        <v>0</v>
      </c>
      <c r="CR485" s="177" t="str">
        <f t="shared" si="269"/>
        <v>AT</v>
      </c>
      <c r="CS485" s="177" t="str">
        <f t="shared" si="270"/>
        <v>ATIAC</v>
      </c>
      <c r="CT485" s="177" t="str">
        <f t="shared" si="269"/>
        <v>AT</v>
      </c>
      <c r="CU485" s="177" t="str">
        <f t="shared" si="271"/>
        <v>ATIEI</v>
      </c>
      <c r="CV485" s="177" t="str">
        <f t="shared" si="269"/>
        <v>AT</v>
      </c>
      <c r="CW485" s="177" t="str">
        <f t="shared" si="272"/>
        <v>ATFP</v>
      </c>
      <c r="CX485" s="177" t="str">
        <f t="shared" si="269"/>
        <v>AT</v>
      </c>
      <c r="CY485" s="177" t="str">
        <f t="shared" si="273"/>
        <v>ATIAC</v>
      </c>
      <c r="CZ485" s="177" t="str">
        <f t="shared" si="269"/>
        <v>AT</v>
      </c>
      <c r="DA485" s="177" t="str">
        <f t="shared" si="274"/>
        <v>ATFP</v>
      </c>
      <c r="DB485" s="177" t="str">
        <f t="shared" si="269"/>
        <v>MA</v>
      </c>
      <c r="DC485" s="177" t="str">
        <f t="shared" si="275"/>
        <v>MACDI</v>
      </c>
      <c r="DD485" s="177" t="str">
        <f t="shared" si="276"/>
        <v>EA</v>
      </c>
      <c r="DE485" s="177" t="str">
        <f t="shared" si="277"/>
        <v>EAIEI</v>
      </c>
    </row>
    <row r="486" spans="1:109" ht="18" customHeight="1" x14ac:dyDescent="0.3">
      <c r="A486" s="81">
        <v>0.43750000000001399</v>
      </c>
      <c r="B486" s="166" t="s">
        <v>130</v>
      </c>
      <c r="C486" s="130" t="s">
        <v>231</v>
      </c>
      <c r="D486" s="169" t="s">
        <v>9</v>
      </c>
      <c r="E486" s="130" t="s">
        <v>226</v>
      </c>
      <c r="F486" s="169" t="s">
        <v>9</v>
      </c>
      <c r="G486" s="130" t="s">
        <v>224</v>
      </c>
      <c r="H486" s="169" t="s">
        <v>132</v>
      </c>
      <c r="I486" s="130" t="s">
        <v>228</v>
      </c>
      <c r="J486" s="169" t="s">
        <v>9</v>
      </c>
      <c r="K486" s="130" t="s">
        <v>230</v>
      </c>
      <c r="L486" s="169" t="s">
        <v>128</v>
      </c>
      <c r="M486" s="130" t="s">
        <v>226</v>
      </c>
      <c r="N486" s="169" t="s">
        <v>8</v>
      </c>
      <c r="O486" s="154" t="s">
        <v>226</v>
      </c>
      <c r="P486" s="6">
        <v>0</v>
      </c>
      <c r="Q486" s="115" t="str">
        <f t="shared" si="290"/>
        <v>Estudo em Grupo</v>
      </c>
      <c r="R486" s="105" t="str">
        <f t="shared" si="286"/>
        <v>IAC</v>
      </c>
      <c r="S486" s="88">
        <f t="shared" si="283"/>
        <v>-0.5</v>
      </c>
      <c r="T486" s="89">
        <f>IF(VLOOKUP(Q486,'INFO BASE'!$B$40:$I$54,IF(R486='INFO BASE'!$B$32,3,IF(R486='INFO BASE'!$B$33,4,IF(R486='INFO BASE'!$B$34,5,IF(R486='INFO BASE'!$B$35,6,IF(R486='INFO BASE'!$B$36,7,IF(R486='INFO BASE'!$B$37,8,2)))))),0)=0,"",VLOOKUP(Q486,'INFO BASE'!$B$40:$I$54,IF(R486='INFO BASE'!$B$32,3,IF(R486='INFO BASE'!$B$33,4,IF(R486='INFO BASE'!$B$34,5,IF(R486='INFO BASE'!$B$35,6,IF(R486='INFO BASE'!$B$36,7,IF(R486='INFO BASE'!$B$37,8,2)))))),0))</f>
        <v>2</v>
      </c>
      <c r="U486" s="89">
        <f>(COUNTIFS(C465:C512,R486,B465:B512,R483)+COUNTIFS(E465:E512,R486,D465:D512,R483)+COUNTIFS(G465:G512,R486,F465:F512,R483)+COUNTIFS(I465:I512,R486,H465:H512,R483)+COUNTIFS(K465:K512,R486,J465:J512,R483)+COUNTIFS(M465:M512,R486,L465:L512,R483)+COUNTIFS(O465:O512,R486,N465:N512,R483))*0.5</f>
        <v>1</v>
      </c>
      <c r="V486" s="89">
        <f>(COUNTIFS(AI465:AI512,R483,AJ465:AJ512,R479)+COUNTIFS(AK465:AK512,R483,AL465:AL512,R479)+COUNTIFS(AM465:AM512,R483,AN465:AN512,R479)+COUNTIFS(AO465:AO512,R483,AP465:AP512,R479)+COUNTIFS(AQ465:AQ512,R483,AR465:AR512,R479)+COUNTIFS(AS465:AS512,R483,AT465:AT512,R479)+COUNTIFS(AU465:AU512,R483,AV465:AV512,R479))*0.5</f>
        <v>0</v>
      </c>
      <c r="W486" s="90" t="str">
        <f>IF(AH461="","-",IF(V486=0,U486,IFERROR((U486/V486)-1,"-")))</f>
        <v>-</v>
      </c>
      <c r="X486" s="201">
        <f t="shared" si="284"/>
        <v>0</v>
      </c>
      <c r="Y486" s="271"/>
      <c r="Z486" s="272"/>
      <c r="AA486" s="272"/>
      <c r="AB486" s="272"/>
      <c r="AC486" s="272"/>
      <c r="AD486" s="272"/>
      <c r="AE486" s="272"/>
      <c r="AF486" s="273"/>
      <c r="AH486" s="136">
        <v>0.43750000000001399</v>
      </c>
      <c r="AI486" s="136" t="str">
        <f>IF(AH461="","",IF(B486="","",B486))</f>
        <v/>
      </c>
      <c r="AJ486" s="136" t="str">
        <f>IF(AH461="","",IF(C486="","",C486))</f>
        <v/>
      </c>
      <c r="AK486" s="136" t="str">
        <f>IF(AH461="","",IF(D486="","",D486))</f>
        <v/>
      </c>
      <c r="AL486" s="136" t="str">
        <f>IF(AH461="","",IF(E486="","",E486))</f>
        <v/>
      </c>
      <c r="AM486" s="136" t="str">
        <f>IF(AH461="","",IF(F486="","",F486))</f>
        <v/>
      </c>
      <c r="AN486" s="136" t="str">
        <f>IF(AH461="","",IF(G486="","",G486))</f>
        <v/>
      </c>
      <c r="AO486" s="136" t="str">
        <f>IF(AH461="","",IF(H486="","",H486))</f>
        <v/>
      </c>
      <c r="AP486" s="136" t="str">
        <f>IF(AH461="","",IF(I486="","",I486))</f>
        <v/>
      </c>
      <c r="AQ486" s="136" t="str">
        <f>IF(AH461="","",IF(J486="","",J486))</f>
        <v/>
      </c>
      <c r="AR486" s="136" t="str">
        <f>IF(AH461="","",IF(K486="","",K486))</f>
        <v/>
      </c>
      <c r="AS486" s="136" t="str">
        <f>IF(AH461="","",IF(L486="","",L486))</f>
        <v/>
      </c>
      <c r="AT486" s="136" t="str">
        <f>IF(AH461="","",IF(M486="","",M486))</f>
        <v/>
      </c>
      <c r="AU486" s="136" t="str">
        <f>IF(AH461="","",IF(N486="","",N486))</f>
        <v/>
      </c>
      <c r="AV486" s="136" t="str">
        <f>IF(AH461="","",IF(O486="","",O486))</f>
        <v/>
      </c>
      <c r="AX486" s="136" t="str">
        <f>IF(AI461="","",IF(B486="","",B486))</f>
        <v/>
      </c>
      <c r="AY486" s="136" t="str">
        <f>IF(AI461="","",IF(C486="","",C486))</f>
        <v/>
      </c>
      <c r="AZ486" s="136" t="str">
        <f>IF(AI461="","",IF(D486="","",D486))</f>
        <v/>
      </c>
      <c r="BA486" s="136" t="str">
        <f>IF(AI461="","",IF(E486="","",E486))</f>
        <v/>
      </c>
      <c r="BB486" s="136" t="str">
        <f>IF(AI461="","",IF(F486="","",F486))</f>
        <v/>
      </c>
      <c r="BC486" s="136" t="str">
        <f>IF(AI461="","",IF(G486="","",G486))</f>
        <v/>
      </c>
      <c r="BD486" s="136" t="str">
        <f>IF(AI461="","",IF(H486="","",H486))</f>
        <v/>
      </c>
      <c r="BE486" s="136" t="str">
        <f>IF(AI461="","",IF(I486="","",I486))</f>
        <v/>
      </c>
      <c r="BF486" s="136" t="str">
        <f>IF(AI461="","",IF(J486="","",J486))</f>
        <v/>
      </c>
      <c r="BG486" s="136" t="str">
        <f>IF(AI461="","",IF(K486="","",K486))</f>
        <v/>
      </c>
      <c r="BH486" s="136" t="str">
        <f>IF(AI461="","",IF(L486="","",L486))</f>
        <v/>
      </c>
      <c r="BI486" s="136" t="str">
        <f>IF(AI461="","",IF(M486="","",M486))</f>
        <v/>
      </c>
      <c r="BJ486" s="136" t="str">
        <f>IF(AI461="","",IF(N486="","",N486))</f>
        <v/>
      </c>
      <c r="BK486" s="136" t="str">
        <f>IF(AI461="","",IF(O486="","",O486))</f>
        <v/>
      </c>
      <c r="BM486" s="136" t="str">
        <f t="shared" si="289"/>
        <v>EG</v>
      </c>
      <c r="BN486" s="136" t="str">
        <f t="shared" si="279"/>
        <v>Estudo em Grupo</v>
      </c>
      <c r="BO486" s="136" t="str">
        <f t="shared" si="279"/>
        <v/>
      </c>
      <c r="BP486" s="136">
        <f>(COUNTIFS(AX465:AX512,BM486,AY465:AY512,BO486)+COUNTIFS(AZ465:AZ512,BM486,BA465:BA512,BO486)+COUNTIFS(BB465:BB512,BM486,BC465:BC512,BO486)+COUNTIFS(BD465:BD512,BM486,BE465:BE512,BO486)+COUNTIFS(BF465:BF512,BM486,BG465:BG512,BO486)+COUNTIFS(BH465:BH512,BM486,BI465:BI512,BO486)+COUNTIFS(BJ465:BJ512,BM486,BK465:BK512,BO486))*0.5</f>
        <v>0</v>
      </c>
      <c r="BQ486" s="136" t="str">
        <f t="shared" si="280"/>
        <v>Estudo em Grupo</v>
      </c>
      <c r="BR486" s="136" t="str">
        <f t="shared" si="280"/>
        <v/>
      </c>
      <c r="BS486" s="136" t="str">
        <f t="shared" si="281"/>
        <v>Estudo em Grupo</v>
      </c>
      <c r="BT486" s="136">
        <f t="shared" si="287"/>
        <v>0</v>
      </c>
      <c r="BU486" s="136">
        <f t="shared" si="288"/>
        <v>0</v>
      </c>
      <c r="CA486" s="136">
        <f>'INFO BASE'!L566</f>
        <v>0</v>
      </c>
      <c r="CB486" s="136">
        <f>'INFO BASE'!M566</f>
        <v>0</v>
      </c>
      <c r="CR486" s="177" t="str">
        <f t="shared" si="269"/>
        <v>APB</v>
      </c>
      <c r="CS486" s="177" t="str">
        <f t="shared" si="270"/>
        <v>APBCDI</v>
      </c>
      <c r="CT486" s="177" t="str">
        <f t="shared" si="269"/>
        <v>AT</v>
      </c>
      <c r="CU486" s="177" t="str">
        <f t="shared" si="271"/>
        <v>ATIEI</v>
      </c>
      <c r="CV486" s="177" t="str">
        <f t="shared" si="269"/>
        <v>AT</v>
      </c>
      <c r="CW486" s="177" t="str">
        <f t="shared" si="272"/>
        <v>ATFP</v>
      </c>
      <c r="CX486" s="177" t="str">
        <f t="shared" si="269"/>
        <v>LAB</v>
      </c>
      <c r="CY486" s="177" t="str">
        <f t="shared" si="273"/>
        <v>LABIAC</v>
      </c>
      <c r="CZ486" s="177" t="str">
        <f t="shared" si="269"/>
        <v>AT</v>
      </c>
      <c r="DA486" s="177" t="str">
        <f t="shared" si="274"/>
        <v>ATAL</v>
      </c>
      <c r="DB486" s="177" t="str">
        <f t="shared" si="269"/>
        <v>EG</v>
      </c>
      <c r="DC486" s="177" t="str">
        <f t="shared" si="275"/>
        <v>EGIEI</v>
      </c>
      <c r="DD486" s="177" t="str">
        <f t="shared" si="276"/>
        <v>EA</v>
      </c>
      <c r="DE486" s="177" t="str">
        <f t="shared" si="277"/>
        <v>EAIEI</v>
      </c>
    </row>
    <row r="487" spans="1:109" ht="18" customHeight="1" x14ac:dyDescent="0.3">
      <c r="A487" s="81">
        <v>0.45833333333334803</v>
      </c>
      <c r="B487" s="166" t="s">
        <v>130</v>
      </c>
      <c r="C487" s="130" t="s">
        <v>231</v>
      </c>
      <c r="D487" s="169" t="s">
        <v>9</v>
      </c>
      <c r="E487" s="130" t="s">
        <v>226</v>
      </c>
      <c r="F487" s="169" t="s">
        <v>9</v>
      </c>
      <c r="G487" s="130" t="s">
        <v>224</v>
      </c>
      <c r="H487" s="169" t="s">
        <v>132</v>
      </c>
      <c r="I487" s="130" t="s">
        <v>228</v>
      </c>
      <c r="J487" s="169" t="s">
        <v>9</v>
      </c>
      <c r="K487" s="130" t="s">
        <v>230</v>
      </c>
      <c r="L487" s="169" t="s">
        <v>128</v>
      </c>
      <c r="M487" s="130" t="s">
        <v>226</v>
      </c>
      <c r="N487" s="169" t="s">
        <v>8</v>
      </c>
      <c r="O487" s="154" t="s">
        <v>226</v>
      </c>
      <c r="P487" s="6">
        <v>0</v>
      </c>
      <c r="Q487" s="114" t="str">
        <f t="shared" si="290"/>
        <v>Estudo em Grupo</v>
      </c>
      <c r="R487" s="105" t="str">
        <f t="shared" si="286"/>
        <v>AL</v>
      </c>
      <c r="S487" s="88">
        <f t="shared" si="283"/>
        <v>-1</v>
      </c>
      <c r="T487" s="89">
        <f>IF(VLOOKUP(Q487,'INFO BASE'!$B$40:$I$54,IF(R487='INFO BASE'!$B$32,3,IF(R487='INFO BASE'!$B$33,4,IF(R487='INFO BASE'!$B$34,5,IF(R487='INFO BASE'!$B$35,6,IF(R487='INFO BASE'!$B$36,7,IF(R487='INFO BASE'!$B$37,8,2)))))),0)=0,"",VLOOKUP(Q487,'INFO BASE'!$B$40:$I$54,IF(R487='INFO BASE'!$B$32,3,IF(R487='INFO BASE'!$B$33,4,IF(R487='INFO BASE'!$B$34,5,IF(R487='INFO BASE'!$B$35,6,IF(R487='INFO BASE'!$B$36,7,IF(R487='INFO BASE'!$B$37,8,2)))))),0))</f>
        <v>2</v>
      </c>
      <c r="U487" s="89">
        <f>(COUNTIFS(C465:C512,R487,B465:B512,R483)+COUNTIFS(E465:E512,R487,D465:D512,R483)+COUNTIFS(G465:G512,R487,F465:F512,R483)+COUNTIFS(I465:I512,R487,H465:H512,R483)+COUNTIFS(K465:K512,R487,J465:J512,R483)+COUNTIFS(M465:M512,R487,L465:L512,R483)+COUNTIFS(O465:O512,R487,N465:N512,R483))*0.5</f>
        <v>0</v>
      </c>
      <c r="V487" s="89">
        <f>(COUNTIFS(AI465:AI512,R483,AJ465:AJ512,R480)+COUNTIFS(AK465:AK512,R483,AL465:AL512,R480)+COUNTIFS(AM465:AM512,R483,AN465:AN512,R480)+COUNTIFS(AO465:AO512,R483,AP465:AP512,R480)+COUNTIFS(AQ465:AQ512,R483,AR465:AR512,R480)+COUNTIFS(AS465:AS512,R483,AT465:AT512,R480)+COUNTIFS(AU465:AU512,R483,AV465:AV512,R480))*0.5</f>
        <v>0</v>
      </c>
      <c r="W487" s="90" t="str">
        <f>IF(AH461="","-",IF(V487=0,U487,IFERROR((U487/V487)-1,"-")))</f>
        <v>-</v>
      </c>
      <c r="X487" s="201">
        <f t="shared" si="284"/>
        <v>0</v>
      </c>
      <c r="Y487" s="271"/>
      <c r="Z487" s="272"/>
      <c r="AA487" s="272"/>
      <c r="AB487" s="272"/>
      <c r="AC487" s="272"/>
      <c r="AD487" s="272"/>
      <c r="AE487" s="272"/>
      <c r="AF487" s="273"/>
      <c r="AH487" s="136">
        <v>0.45833333333334803</v>
      </c>
      <c r="AI487" s="136" t="str">
        <f>IF(AH461="","",IF(B487="","",B487))</f>
        <v/>
      </c>
      <c r="AJ487" s="136" t="str">
        <f>IF(AH461="","",IF(C487="","",C487))</f>
        <v/>
      </c>
      <c r="AK487" s="136" t="str">
        <f>IF(AH461="","",IF(D487="","",D487))</f>
        <v/>
      </c>
      <c r="AL487" s="136" t="str">
        <f>IF(AH461="","",IF(E487="","",E487))</f>
        <v/>
      </c>
      <c r="AM487" s="136" t="str">
        <f>IF(AH461="","",IF(F487="","",F487))</f>
        <v/>
      </c>
      <c r="AN487" s="136" t="str">
        <f>IF(AH461="","",IF(G487="","",G487))</f>
        <v/>
      </c>
      <c r="AO487" s="136" t="str">
        <f>IF(AH461="","",IF(H487="","",H487))</f>
        <v/>
      </c>
      <c r="AP487" s="136" t="str">
        <f>IF(AH461="","",IF(I487="","",I487))</f>
        <v/>
      </c>
      <c r="AQ487" s="136" t="str">
        <f>IF(AH461="","",IF(J487="","",J487))</f>
        <v/>
      </c>
      <c r="AR487" s="136" t="str">
        <f>IF(AH461="","",IF(K487="","",K487))</f>
        <v/>
      </c>
      <c r="AS487" s="136" t="str">
        <f>IF(AH461="","",IF(L487="","",L487))</f>
        <v/>
      </c>
      <c r="AT487" s="136" t="str">
        <f>IF(AH461="","",IF(M487="","",M487))</f>
        <v/>
      </c>
      <c r="AU487" s="136" t="str">
        <f>IF(AH461="","",IF(N487="","",N487))</f>
        <v/>
      </c>
      <c r="AV487" s="136" t="str">
        <f>IF(AH461="","",IF(O487="","",O487))</f>
        <v/>
      </c>
      <c r="AX487" s="136" t="str">
        <f>IF(AI461="","",IF(B487="","",B487))</f>
        <v/>
      </c>
      <c r="AY487" s="136" t="str">
        <f>IF(AI461="","",IF(C487="","",C487))</f>
        <v/>
      </c>
      <c r="AZ487" s="136" t="str">
        <f>IF(AI461="","",IF(D487="","",D487))</f>
        <v/>
      </c>
      <c r="BA487" s="136" t="str">
        <f>IF(AI461="","",IF(E487="","",E487))</f>
        <v/>
      </c>
      <c r="BB487" s="136" t="str">
        <f>IF(AI461="","",IF(F487="","",F487))</f>
        <v/>
      </c>
      <c r="BC487" s="136" t="str">
        <f>IF(AI461="","",IF(G487="","",G487))</f>
        <v/>
      </c>
      <c r="BD487" s="136" t="str">
        <f>IF(AI461="","",IF(H487="","",H487))</f>
        <v/>
      </c>
      <c r="BE487" s="136" t="str">
        <f>IF(AI461="","",IF(I487="","",I487))</f>
        <v/>
      </c>
      <c r="BF487" s="136" t="str">
        <f>IF(AI461="","",IF(J487="","",J487))</f>
        <v/>
      </c>
      <c r="BG487" s="136" t="str">
        <f>IF(AI461="","",IF(K487="","",K487))</f>
        <v/>
      </c>
      <c r="BH487" s="136" t="str">
        <f>IF(AI461="","",IF(L487="","",L487))</f>
        <v/>
      </c>
      <c r="BI487" s="136" t="str">
        <f>IF(AI461="","",IF(M487="","",M487))</f>
        <v/>
      </c>
      <c r="BJ487" s="136" t="str">
        <f>IF(AI461="","",IF(N487="","",N487))</f>
        <v/>
      </c>
      <c r="BK487" s="136" t="str">
        <f>IF(AI461="","",IF(O487="","",O487))</f>
        <v/>
      </c>
      <c r="BM487" s="136" t="str">
        <f>BO487</f>
        <v>TG</v>
      </c>
      <c r="BN487" s="136" t="str">
        <f t="shared" si="279"/>
        <v>Trabalho de Grupo</v>
      </c>
      <c r="BO487" s="136" t="str">
        <f t="shared" si="279"/>
        <v>TG</v>
      </c>
      <c r="BP487" s="136">
        <f>COUNTIFS(AX465:BK512,BO487)*0.5</f>
        <v>0</v>
      </c>
      <c r="BQ487" s="136" t="str">
        <f t="shared" si="280"/>
        <v>Trabalho de Grupo</v>
      </c>
      <c r="BR487" s="136" t="str">
        <f t="shared" si="280"/>
        <v>TG</v>
      </c>
      <c r="BS487" s="136" t="str">
        <f t="shared" si="281"/>
        <v>Trabalho de Grupo</v>
      </c>
      <c r="BT487" s="136">
        <f t="shared" si="287"/>
        <v>0</v>
      </c>
      <c r="BU487" s="136">
        <f t="shared" si="288"/>
        <v>0</v>
      </c>
      <c r="CA487" s="136">
        <f>'INFO BASE'!L567</f>
        <v>0</v>
      </c>
      <c r="CB487" s="136">
        <f>'INFO BASE'!M567</f>
        <v>0</v>
      </c>
      <c r="CR487" s="177" t="str">
        <f t="shared" si="269"/>
        <v>APB</v>
      </c>
      <c r="CS487" s="177" t="str">
        <f t="shared" si="270"/>
        <v>APBCDI</v>
      </c>
      <c r="CT487" s="177" t="str">
        <f t="shared" si="269"/>
        <v>AT</v>
      </c>
      <c r="CU487" s="177" t="str">
        <f t="shared" si="271"/>
        <v>ATIEI</v>
      </c>
      <c r="CV487" s="177" t="str">
        <f t="shared" si="269"/>
        <v>AT</v>
      </c>
      <c r="CW487" s="177" t="str">
        <f t="shared" si="272"/>
        <v>ATFP</v>
      </c>
      <c r="CX487" s="177" t="str">
        <f t="shared" si="269"/>
        <v>LAB</v>
      </c>
      <c r="CY487" s="177" t="str">
        <f t="shared" si="273"/>
        <v>LABIAC</v>
      </c>
      <c r="CZ487" s="177" t="str">
        <f t="shared" si="269"/>
        <v>AT</v>
      </c>
      <c r="DA487" s="177" t="str">
        <f t="shared" si="274"/>
        <v>ATAL</v>
      </c>
      <c r="DB487" s="177" t="str">
        <f t="shared" si="269"/>
        <v>EG</v>
      </c>
      <c r="DC487" s="177" t="str">
        <f t="shared" si="275"/>
        <v>EGIEI</v>
      </c>
      <c r="DD487" s="177" t="str">
        <f t="shared" si="276"/>
        <v>EA</v>
      </c>
      <c r="DE487" s="177" t="str">
        <f t="shared" si="277"/>
        <v>EAIEI</v>
      </c>
    </row>
    <row r="488" spans="1:109" ht="18" customHeight="1" x14ac:dyDescent="0.3">
      <c r="A488" s="81">
        <v>0.47916666666668201</v>
      </c>
      <c r="B488" s="166" t="s">
        <v>130</v>
      </c>
      <c r="C488" s="130" t="s">
        <v>231</v>
      </c>
      <c r="D488" s="169" t="s">
        <v>9</v>
      </c>
      <c r="E488" s="130" t="s">
        <v>226</v>
      </c>
      <c r="F488" s="169" t="s">
        <v>9</v>
      </c>
      <c r="G488" s="130" t="s">
        <v>231</v>
      </c>
      <c r="H488" s="169" t="s">
        <v>132</v>
      </c>
      <c r="I488" s="130" t="s">
        <v>228</v>
      </c>
      <c r="J488" s="169" t="s">
        <v>9</v>
      </c>
      <c r="K488" s="130" t="s">
        <v>231</v>
      </c>
      <c r="L488" s="169" t="s">
        <v>128</v>
      </c>
      <c r="M488" s="130" t="s">
        <v>226</v>
      </c>
      <c r="N488" s="169" t="s">
        <v>8</v>
      </c>
      <c r="O488" s="154" t="s">
        <v>226</v>
      </c>
      <c r="P488" s="6">
        <v>0</v>
      </c>
      <c r="Q488" s="114" t="str">
        <f t="shared" si="290"/>
        <v>Estudo em Grupo</v>
      </c>
      <c r="R488" s="105" t="str">
        <f t="shared" si="286"/>
        <v>CDI</v>
      </c>
      <c r="S488" s="88">
        <f t="shared" si="283"/>
        <v>0.75</v>
      </c>
      <c r="T488" s="89">
        <f>IF(VLOOKUP(Q488,'INFO BASE'!$B$40:$I$54,IF(R488='INFO BASE'!$B$32,3,IF(R488='INFO BASE'!$B$33,4,IF(R488='INFO BASE'!$B$34,5,IF(R488='INFO BASE'!$B$35,6,IF(R488='INFO BASE'!$B$36,7,IF(R488='INFO BASE'!$B$37,8,2)))))),0)=0,"",VLOOKUP(Q488,'INFO BASE'!$B$40:$I$54,IF(R488='INFO BASE'!$B$32,3,IF(R488='INFO BASE'!$B$33,4,IF(R488='INFO BASE'!$B$34,5,IF(R488='INFO BASE'!$B$35,6,IF(R488='INFO BASE'!$B$36,7,IF(R488='INFO BASE'!$B$37,8,2)))))),0))</f>
        <v>2</v>
      </c>
      <c r="U488" s="89">
        <f>(COUNTIFS(C465:C512,R488,B465:B512,R483)+COUNTIFS(E465:E512,R488,D465:D512,R483)+COUNTIFS(G465:G512,R488,F465:F512,R483)+COUNTIFS(I465:I512,R488,H465:H512,R483)+COUNTIFS(K465:K512,R488,J465:J512,R483)+COUNTIFS(M465:M512,R488,L465:L512,R483)+COUNTIFS(O465:O512,R488,N465:N512,R483))*0.5</f>
        <v>3.5</v>
      </c>
      <c r="V488" s="89">
        <f>(COUNTIFS(AI465:AI512,R483,AJ465:AJ512,R481)+COUNTIFS(AK465:AK512,R483,AL465:AL512,R481)+COUNTIFS(AM465:AM512,R483,AN465:AN512,R481)+COUNTIFS(AO465:AO512,R483,AP465:AP512,R481)+COUNTIFS(AQ465:AQ512,R483,AR465:AR512,R481)+COUNTIFS(AS465:AS512,R483,AT465:AT512,R481)+COUNTIFS(AU465:AU512,R483,AV465:AV512,R481))*0.5</f>
        <v>0</v>
      </c>
      <c r="W488" s="90" t="str">
        <f>IF(AH461="","-",IF(V488=0,U488,IFERROR((U488/V488)-1,"-")))</f>
        <v>-</v>
      </c>
      <c r="X488" s="201">
        <f t="shared" si="284"/>
        <v>0</v>
      </c>
      <c r="Y488" s="271"/>
      <c r="Z488" s="272"/>
      <c r="AA488" s="272"/>
      <c r="AB488" s="272"/>
      <c r="AC488" s="272"/>
      <c r="AD488" s="272"/>
      <c r="AE488" s="272"/>
      <c r="AF488" s="273"/>
      <c r="AH488" s="136">
        <v>0.47916666666668201</v>
      </c>
      <c r="AI488" s="136" t="str">
        <f>IF(AH461="","",IF(B488="","",B488))</f>
        <v/>
      </c>
      <c r="AJ488" s="136" t="str">
        <f>IF(AH461="","",IF(C488="","",C488))</f>
        <v/>
      </c>
      <c r="AK488" s="136" t="str">
        <f>IF(AH461="","",IF(D488="","",D488))</f>
        <v/>
      </c>
      <c r="AL488" s="136" t="str">
        <f>IF(AH461="","",IF(E488="","",E488))</f>
        <v/>
      </c>
      <c r="AM488" s="136" t="str">
        <f>IF(AH461="","",IF(F488="","",F488))</f>
        <v/>
      </c>
      <c r="AN488" s="136" t="str">
        <f>IF(AH461="","",IF(G488="","",G488))</f>
        <v/>
      </c>
      <c r="AO488" s="136" t="str">
        <f>IF(AH461="","",IF(H488="","",H488))</f>
        <v/>
      </c>
      <c r="AP488" s="136" t="str">
        <f>IF(AH461="","",IF(I488="","",I488))</f>
        <v/>
      </c>
      <c r="AQ488" s="136" t="str">
        <f>IF(AH461="","",IF(J488="","",J488))</f>
        <v/>
      </c>
      <c r="AR488" s="136" t="str">
        <f>IF(AH461="","",IF(K488="","",K488))</f>
        <v/>
      </c>
      <c r="AS488" s="136" t="str">
        <f>IF(AH461="","",IF(L488="","",L488))</f>
        <v/>
      </c>
      <c r="AT488" s="136" t="str">
        <f>IF(AH461="","",IF(M488="","",M488))</f>
        <v/>
      </c>
      <c r="AU488" s="136" t="str">
        <f>IF(AH461="","",IF(N488="","",N488))</f>
        <v/>
      </c>
      <c r="AV488" s="136" t="str">
        <f>IF(AH461="","",IF(O488="","",O488))</f>
        <v/>
      </c>
      <c r="AX488" s="136" t="str">
        <f>IF(AI461="","",IF(B488="","",B488))</f>
        <v/>
      </c>
      <c r="AY488" s="136" t="str">
        <f>IF(AI461="","",IF(C488="","",C488))</f>
        <v/>
      </c>
      <c r="AZ488" s="136" t="str">
        <f>IF(AI461="","",IF(D488="","",D488))</f>
        <v/>
      </c>
      <c r="BA488" s="136" t="str">
        <f>IF(AI461="","",IF(E488="","",E488))</f>
        <v/>
      </c>
      <c r="BB488" s="136" t="str">
        <f>IF(AI461="","",IF(F488="","",F488))</f>
        <v/>
      </c>
      <c r="BC488" s="136" t="str">
        <f>IF(AI461="","",IF(G488="","",G488))</f>
        <v/>
      </c>
      <c r="BD488" s="136" t="str">
        <f>IF(AI461="","",IF(H488="","",H488))</f>
        <v/>
      </c>
      <c r="BE488" s="136" t="str">
        <f>IF(AI461="","",IF(I488="","",I488))</f>
        <v/>
      </c>
      <c r="BF488" s="136" t="str">
        <f>IF(AI461="","",IF(J488="","",J488))</f>
        <v/>
      </c>
      <c r="BG488" s="136" t="str">
        <f>IF(AI461="","",IF(K488="","",K488))</f>
        <v/>
      </c>
      <c r="BH488" s="136" t="str">
        <f>IF(AI461="","",IF(L488="","",L488))</f>
        <v/>
      </c>
      <c r="BI488" s="136" t="str">
        <f>IF(AI461="","",IF(M488="","",M488))</f>
        <v/>
      </c>
      <c r="BJ488" s="136" t="str">
        <f>IF(AI461="","",IF(N488="","",N488))</f>
        <v/>
      </c>
      <c r="BK488" s="136" t="str">
        <f>IF(AI461="","",IF(O488="","",O488))</f>
        <v/>
      </c>
      <c r="BM488" s="136" t="str">
        <f>BM487</f>
        <v>TG</v>
      </c>
      <c r="BN488" s="136" t="str">
        <f t="shared" si="279"/>
        <v>Trabalho de Grupo</v>
      </c>
      <c r="BO488" s="136" t="str">
        <f t="shared" si="279"/>
        <v>FP</v>
      </c>
      <c r="BP488" s="136">
        <f>(COUNTIFS(AX465:AX512,BM488,AY465:AY512,BO488)+COUNTIFS(AZ465:AZ512,BM488,BA465:BA512,BO488)+COUNTIFS(BB465:BB512,BM488,BC465:BC512,BO488)+COUNTIFS(BD465:BD512,BM488,BE465:BE512,BO488)+COUNTIFS(BF465:BF512,BM488,BG465:BG512,BO488)+COUNTIFS(BH465:BH512,BM488,BI465:BI512,BO488)+COUNTIFS(BJ465:BJ512,BM488,BK465:BK512,BO488))*0.5</f>
        <v>0</v>
      </c>
      <c r="BQ488" s="136" t="str">
        <f t="shared" si="280"/>
        <v>Trabalho de Grupo</v>
      </c>
      <c r="BR488" s="136" t="str">
        <f t="shared" si="280"/>
        <v>FP</v>
      </c>
      <c r="BS488" s="136" t="str">
        <f t="shared" si="281"/>
        <v>Trabalho de Grupo</v>
      </c>
      <c r="BT488" s="136">
        <f t="shared" si="287"/>
        <v>0</v>
      </c>
      <c r="BU488" s="136">
        <f t="shared" si="288"/>
        <v>0</v>
      </c>
      <c r="CR488" s="177" t="str">
        <f t="shared" si="269"/>
        <v>APB</v>
      </c>
      <c r="CS488" s="177" t="str">
        <f t="shared" si="270"/>
        <v>APBCDI</v>
      </c>
      <c r="CT488" s="177" t="str">
        <f t="shared" si="269"/>
        <v>AT</v>
      </c>
      <c r="CU488" s="177" t="str">
        <f t="shared" si="271"/>
        <v>ATIEI</v>
      </c>
      <c r="CV488" s="177" t="str">
        <f t="shared" si="269"/>
        <v>AT</v>
      </c>
      <c r="CW488" s="177" t="str">
        <f t="shared" si="272"/>
        <v>ATCDI</v>
      </c>
      <c r="CX488" s="177" t="str">
        <f t="shared" si="269"/>
        <v>LAB</v>
      </c>
      <c r="CY488" s="177" t="str">
        <f t="shared" si="273"/>
        <v>LABIAC</v>
      </c>
      <c r="CZ488" s="177" t="str">
        <f t="shared" si="269"/>
        <v>AT</v>
      </c>
      <c r="DA488" s="177" t="str">
        <f t="shared" si="274"/>
        <v>ATCDI</v>
      </c>
      <c r="DB488" s="177" t="str">
        <f t="shared" si="269"/>
        <v>EG</v>
      </c>
      <c r="DC488" s="177" t="str">
        <f t="shared" si="275"/>
        <v>EGIEI</v>
      </c>
      <c r="DD488" s="177" t="str">
        <f t="shared" si="276"/>
        <v>EA</v>
      </c>
      <c r="DE488" s="177" t="str">
        <f t="shared" si="277"/>
        <v>EAIEI</v>
      </c>
    </row>
    <row r="489" spans="1:109" ht="18" customHeight="1" thickBot="1" x14ac:dyDescent="0.35">
      <c r="A489" s="81">
        <v>0.50000000000001599</v>
      </c>
      <c r="B489" s="166" t="s">
        <v>9</v>
      </c>
      <c r="C489" s="130" t="s">
        <v>230</v>
      </c>
      <c r="D489" s="169" t="s">
        <v>116</v>
      </c>
      <c r="E489" s="130" t="s">
        <v>120</v>
      </c>
      <c r="F489" s="169" t="s">
        <v>9</v>
      </c>
      <c r="G489" s="130" t="s">
        <v>231</v>
      </c>
      <c r="H489" s="169" t="s">
        <v>130</v>
      </c>
      <c r="I489" s="130" t="s">
        <v>224</v>
      </c>
      <c r="J489" s="169" t="s">
        <v>9</v>
      </c>
      <c r="K489" s="130" t="s">
        <v>231</v>
      </c>
      <c r="L489" s="169" t="s">
        <v>128</v>
      </c>
      <c r="M489" s="130" t="s">
        <v>226</v>
      </c>
      <c r="N489" s="169" t="s">
        <v>116</v>
      </c>
      <c r="O489" s="154" t="s">
        <v>120</v>
      </c>
      <c r="P489" s="6">
        <v>0</v>
      </c>
      <c r="Q489" s="116" t="str">
        <f t="shared" si="290"/>
        <v>Estudo em Grupo</v>
      </c>
      <c r="R489" s="107" t="str">
        <f t="shared" si="286"/>
        <v/>
      </c>
      <c r="S489" s="94" t="str">
        <f t="shared" si="283"/>
        <v>-</v>
      </c>
      <c r="T489" s="95" t="str">
        <f>IF(VLOOKUP(Q489,'INFO BASE'!$B$40:$I$54,IF(R489='INFO BASE'!$B$32,3,IF(R489='INFO BASE'!$B$33,4,IF(R489='INFO BASE'!$B$34,5,IF(R489='INFO BASE'!$B$35,6,IF(R489='INFO BASE'!$B$36,7,IF(R489='INFO BASE'!$B$37,8,2)))))),0)=0,"",VLOOKUP(Q489,'INFO BASE'!$B$40:$I$54,IF(R489='INFO BASE'!$B$32,3,IF(R489='INFO BASE'!$B$33,4,IF(R489='INFO BASE'!$B$34,5,IF(R489='INFO BASE'!$B$35,6,IF(R489='INFO BASE'!$B$36,7,IF(R489='INFO BASE'!$B$37,8,2)))))),0))</f>
        <v/>
      </c>
      <c r="U489" s="95">
        <f>(COUNTIFS(C465:C512,R489,B465:B512,R483)+COUNTIFS(E465:E512,R489,D465:D512,R483)+COUNTIFS(G465:G512,R489,F465:F512,R483)+COUNTIFS(I465:I512,R489,H465:H512,R483)+COUNTIFS(K465:K512,R489,J465:J512,R483)+COUNTIFS(M465:M512,R489,L465:L512,R483)+COUNTIFS(O465:O512,R489,N465:N512,R483))*0.5</f>
        <v>0</v>
      </c>
      <c r="V489" s="95">
        <f>(COUNTIFS(AI465:AI512,R483,AJ465:AJ512,R482)+COUNTIFS(AK465:AK512,R483,AL465:AL512,R482)+COUNTIFS(AM465:AM512,R483,AN465:AN512,R482)+COUNTIFS(AO465:AO512,R483,AP465:AP512,R482)+COUNTIFS(AQ465:AQ512,R483,AR465:AR512,R482)+COUNTIFS(AS465:AS512,R483,AT465:AT512,R482)+COUNTIFS(AU465:AU512,R483,AV465:AV512,R482))*0.5</f>
        <v>0</v>
      </c>
      <c r="W489" s="96" t="str">
        <f>IF(AH461="","-",IF(V489=0,U489,IFERROR((U489/V489)-1,"-")))</f>
        <v>-</v>
      </c>
      <c r="X489" s="201">
        <f t="shared" si="284"/>
        <v>0</v>
      </c>
      <c r="Y489" s="274"/>
      <c r="Z489" s="275"/>
      <c r="AA489" s="275"/>
      <c r="AB489" s="275"/>
      <c r="AC489" s="275"/>
      <c r="AD489" s="275"/>
      <c r="AE489" s="275"/>
      <c r="AF489" s="276"/>
      <c r="AH489" s="136">
        <v>0.50000000000001599</v>
      </c>
      <c r="AI489" s="136" t="str">
        <f>IF(AH461="","",IF(B489="","",B489))</f>
        <v/>
      </c>
      <c r="AJ489" s="136" t="str">
        <f>IF(AH461="","",IF(C489="","",C489))</f>
        <v/>
      </c>
      <c r="AK489" s="136" t="str">
        <f>IF(AH461="","",IF(D489="","",D489))</f>
        <v/>
      </c>
      <c r="AL489" s="136" t="str">
        <f>IF(AH461="","",IF(E489="","",E489))</f>
        <v/>
      </c>
      <c r="AM489" s="136" t="str">
        <f>IF(AH461="","",IF(F489="","",F489))</f>
        <v/>
      </c>
      <c r="AN489" s="136" t="str">
        <f>IF(AH461="","",IF(G489="","",G489))</f>
        <v/>
      </c>
      <c r="AO489" s="136" t="str">
        <f>IF(AH461="","",IF(H489="","",H489))</f>
        <v/>
      </c>
      <c r="AP489" s="136" t="str">
        <f>IF(AH461="","",IF(I489="","",I489))</f>
        <v/>
      </c>
      <c r="AQ489" s="136" t="str">
        <f>IF(AH461="","",IF(J489="","",J489))</f>
        <v/>
      </c>
      <c r="AR489" s="136" t="str">
        <f>IF(AH461="","",IF(K489="","",K489))</f>
        <v/>
      </c>
      <c r="AS489" s="136" t="str">
        <f>IF(AH461="","",IF(L489="","",L489))</f>
        <v/>
      </c>
      <c r="AT489" s="136" t="str">
        <f>IF(AH461="","",IF(M489="","",M489))</f>
        <v/>
      </c>
      <c r="AU489" s="136" t="str">
        <f>IF(AH461="","",IF(N489="","",N489))</f>
        <v/>
      </c>
      <c r="AV489" s="136" t="str">
        <f>IF(AH461="","",IF(O489="","",O489))</f>
        <v/>
      </c>
      <c r="AX489" s="136" t="str">
        <f>IF(AI461="","",IF(B489="","",B489))</f>
        <v/>
      </c>
      <c r="AY489" s="136" t="str">
        <f>IF(AI461="","",IF(C489="","",C489))</f>
        <v/>
      </c>
      <c r="AZ489" s="136" t="str">
        <f>IF(AI461="","",IF(D489="","",D489))</f>
        <v/>
      </c>
      <c r="BA489" s="136" t="str">
        <f>IF(AI461="","",IF(E489="","",E489))</f>
        <v/>
      </c>
      <c r="BB489" s="136" t="str">
        <f>IF(AI461="","",IF(F489="","",F489))</f>
        <v/>
      </c>
      <c r="BC489" s="136" t="str">
        <f>IF(AI461="","",IF(G489="","",G489))</f>
        <v/>
      </c>
      <c r="BD489" s="136" t="str">
        <f>IF(AI461="","",IF(H489="","",H489))</f>
        <v/>
      </c>
      <c r="BE489" s="136" t="str">
        <f>IF(AI461="","",IF(I489="","",I489))</f>
        <v/>
      </c>
      <c r="BF489" s="136" t="str">
        <f>IF(AI461="","",IF(J489="","",J489))</f>
        <v/>
      </c>
      <c r="BG489" s="136" t="str">
        <f>IF(AI461="","",IF(K489="","",K489))</f>
        <v/>
      </c>
      <c r="BH489" s="136" t="str">
        <f>IF(AI461="","",IF(L489="","",L489))</f>
        <v/>
      </c>
      <c r="BI489" s="136" t="str">
        <f>IF(AI461="","",IF(M489="","",M489))</f>
        <v/>
      </c>
      <c r="BJ489" s="136" t="str">
        <f>IF(AI461="","",IF(N489="","",N489))</f>
        <v/>
      </c>
      <c r="BK489" s="136" t="str">
        <f>IF(AI461="","",IF(O489="","",O489))</f>
        <v/>
      </c>
      <c r="BM489" s="136" t="str">
        <f t="shared" ref="BM489:BM493" si="291">BM488</f>
        <v>TG</v>
      </c>
      <c r="BN489" s="136" t="str">
        <f t="shared" si="279"/>
        <v>Trabalho de Grupo</v>
      </c>
      <c r="BO489" s="136" t="str">
        <f t="shared" si="279"/>
        <v>IEI</v>
      </c>
      <c r="BP489" s="136">
        <f>(COUNTIFS(AX465:AX512,BM489,AY465:AY512,BO489)+COUNTIFS(AZ465:AZ512,BM489,BA465:BA512,BO489)+COUNTIFS(BB465:BB512,BM489,BC465:BC512,BO489)+COUNTIFS(BD465:BD512,BM489,BE465:BE512,BO489)+COUNTIFS(BF465:BF512,BM489,BG465:BG512,BO489)+COUNTIFS(BH465:BH512,BM489,BI465:BI512,BO489)+COUNTIFS(BJ465:BJ512,BM489,BK465:BK512,BO489))*0.5</f>
        <v>0</v>
      </c>
      <c r="BQ489" s="136" t="str">
        <f t="shared" si="280"/>
        <v>Trabalho de Grupo</v>
      </c>
      <c r="BR489" s="136" t="str">
        <f t="shared" si="280"/>
        <v>IEI</v>
      </c>
      <c r="BS489" s="136" t="str">
        <f t="shared" si="281"/>
        <v>Trabalho de Grupo</v>
      </c>
      <c r="BT489" s="136">
        <f t="shared" si="287"/>
        <v>0</v>
      </c>
      <c r="BU489" s="136">
        <f t="shared" si="288"/>
        <v>0</v>
      </c>
      <c r="CA489" s="136">
        <f>'INFO BASE'!L568</f>
        <v>0</v>
      </c>
      <c r="CB489" s="136">
        <f>'INFO BASE'!M568</f>
        <v>0</v>
      </c>
      <c r="CR489" s="177" t="str">
        <f t="shared" si="269"/>
        <v>AT</v>
      </c>
      <c r="CS489" s="177" t="str">
        <f t="shared" si="270"/>
        <v>ATAL</v>
      </c>
      <c r="CT489" s="177" t="str">
        <f t="shared" si="269"/>
        <v>PV</v>
      </c>
      <c r="CU489" s="177">
        <f t="shared" si="271"/>
        <v>0</v>
      </c>
      <c r="CV489" s="177" t="str">
        <f t="shared" si="269"/>
        <v>AT</v>
      </c>
      <c r="CW489" s="177" t="str">
        <f t="shared" si="272"/>
        <v>ATCDI</v>
      </c>
      <c r="CX489" s="177" t="str">
        <f t="shared" si="269"/>
        <v>APB</v>
      </c>
      <c r="CY489" s="177" t="str">
        <f t="shared" si="273"/>
        <v>APBFP</v>
      </c>
      <c r="CZ489" s="177" t="str">
        <f t="shared" si="269"/>
        <v>AT</v>
      </c>
      <c r="DA489" s="177" t="str">
        <f t="shared" si="274"/>
        <v>ATCDI</v>
      </c>
      <c r="DB489" s="177" t="str">
        <f t="shared" si="269"/>
        <v>EG</v>
      </c>
      <c r="DC489" s="177" t="str">
        <f t="shared" si="275"/>
        <v>EGIEI</v>
      </c>
      <c r="DD489" s="177" t="str">
        <f t="shared" si="276"/>
        <v>PV</v>
      </c>
      <c r="DE489" s="177">
        <f t="shared" si="277"/>
        <v>0</v>
      </c>
    </row>
    <row r="490" spans="1:109" ht="18" customHeight="1" x14ac:dyDescent="0.3">
      <c r="A490" s="81">
        <v>0.52083333333335002</v>
      </c>
      <c r="B490" s="166" t="s">
        <v>9</v>
      </c>
      <c r="C490" s="130" t="s">
        <v>230</v>
      </c>
      <c r="D490" s="169" t="s">
        <v>116</v>
      </c>
      <c r="E490" s="130" t="s">
        <v>120</v>
      </c>
      <c r="F490" s="169" t="s">
        <v>9</v>
      </c>
      <c r="G490" s="130" t="s">
        <v>230</v>
      </c>
      <c r="H490" s="169" t="s">
        <v>130</v>
      </c>
      <c r="I490" s="130" t="s">
        <v>224</v>
      </c>
      <c r="J490" s="169" t="s">
        <v>116</v>
      </c>
      <c r="K490" s="130" t="s">
        <v>120</v>
      </c>
      <c r="L490" s="169" t="s">
        <v>128</v>
      </c>
      <c r="M490" s="130" t="s">
        <v>226</v>
      </c>
      <c r="N490" s="169" t="s">
        <v>116</v>
      </c>
      <c r="O490" s="154" t="s">
        <v>120</v>
      </c>
      <c r="P490" s="6">
        <v>0</v>
      </c>
      <c r="Q490" s="117" t="str">
        <f>IF('INFO BASE'!$C$19="","",'INFO BASE'!$C$19)</f>
        <v>Trabalho de Grupo</v>
      </c>
      <c r="R490" s="82" t="str">
        <f t="shared" si="286"/>
        <v>TG</v>
      </c>
      <c r="S490" s="83">
        <f t="shared" si="283"/>
        <v>-1</v>
      </c>
      <c r="T490" s="84">
        <f>IF(VLOOKUP(Q490,'INFO BASE'!$B$40:$I$54,IF(R490='INFO BASE'!$B$32,3,IF(R490='INFO BASE'!$B$33,4,IF(R490='INFO BASE'!$B$34,5,IF(R490='INFO BASE'!$B$35,6,IF(R490='INFO BASE'!$B$36,7,IF(R490='INFO BASE'!$B$37,8,2)))))),0)=0,"",VLOOKUP(Q490,'INFO BASE'!$B$40:$I$54,IF(R490='INFO BASE'!$B$32,3,IF(R490='INFO BASE'!$B$33,4,IF(R490='INFO BASE'!$B$34,5,IF(R490='INFO BASE'!$B$35,6,IF(R490='INFO BASE'!$B$36,7,IF(R490='INFO BASE'!$B$37,8,2)))))),0))</f>
        <v>15</v>
      </c>
      <c r="U490" s="84">
        <f>IF(R490="","",COUNTIFS(SEMANA9,R490)*0.5)</f>
        <v>0</v>
      </c>
      <c r="V490" s="84">
        <f>IF(R490="","",COUNTIFS(AI465:AV512,R490)*0.5)</f>
        <v>0</v>
      </c>
      <c r="W490" s="85" t="str">
        <f>IF(AH461="","-",IF(V490=0,U490,IFERROR((U490/V490)-1,"-")))</f>
        <v>-</v>
      </c>
      <c r="X490" s="201">
        <f t="shared" si="284"/>
        <v>0</v>
      </c>
      <c r="Y490" s="277"/>
      <c r="Z490" s="278"/>
      <c r="AA490" s="278"/>
      <c r="AB490" s="278"/>
      <c r="AC490" s="278"/>
      <c r="AD490" s="278"/>
      <c r="AE490" s="278"/>
      <c r="AF490" s="279"/>
      <c r="AH490" s="136">
        <v>0.52083333333335002</v>
      </c>
      <c r="AI490" s="136" t="str">
        <f>IF(AH461="","",IF(B490="","",B490))</f>
        <v/>
      </c>
      <c r="AJ490" s="136" t="str">
        <f>IF(AH461="","",IF(C490="","",C490))</f>
        <v/>
      </c>
      <c r="AK490" s="136" t="str">
        <f>IF(AH461="","",IF(D490="","",D490))</f>
        <v/>
      </c>
      <c r="AL490" s="136" t="str">
        <f>IF(AH461="","",IF(E490="","",E490))</f>
        <v/>
      </c>
      <c r="AM490" s="136" t="str">
        <f>IF(AH461="","",IF(F490="","",F490))</f>
        <v/>
      </c>
      <c r="AN490" s="136" t="str">
        <f>IF(AH461="","",IF(G490="","",G490))</f>
        <v/>
      </c>
      <c r="AO490" s="136" t="str">
        <f>IF(AH461="","",IF(H490="","",H490))</f>
        <v/>
      </c>
      <c r="AP490" s="136" t="str">
        <f>IF(AH461="","",IF(I490="","",I490))</f>
        <v/>
      </c>
      <c r="AQ490" s="136" t="str">
        <f>IF(AH461="","",IF(J490="","",J490))</f>
        <v/>
      </c>
      <c r="AR490" s="136" t="str">
        <f>IF(AH461="","",IF(K490="","",K490))</f>
        <v/>
      </c>
      <c r="AS490" s="136" t="str">
        <f>IF(AH461="","",IF(L490="","",L490))</f>
        <v/>
      </c>
      <c r="AT490" s="136" t="str">
        <f>IF(AH461="","",IF(M490="","",M490))</f>
        <v/>
      </c>
      <c r="AU490" s="136" t="str">
        <f>IF(AH461="","",IF(N490="","",N490))</f>
        <v/>
      </c>
      <c r="AV490" s="136" t="str">
        <f>IF(AH461="","",IF(O490="","",O490))</f>
        <v/>
      </c>
      <c r="AX490" s="136" t="str">
        <f>IF(AI461="","",IF(B490="","",B490))</f>
        <v/>
      </c>
      <c r="AY490" s="136" t="str">
        <f>IF(AI461="","",IF(C490="","",C490))</f>
        <v/>
      </c>
      <c r="AZ490" s="136" t="str">
        <f>IF(AI461="","",IF(D490="","",D490))</f>
        <v/>
      </c>
      <c r="BA490" s="136" t="str">
        <f>IF(AI461="","",IF(E490="","",E490))</f>
        <v/>
      </c>
      <c r="BB490" s="136" t="str">
        <f>IF(AI461="","",IF(F490="","",F490))</f>
        <v/>
      </c>
      <c r="BC490" s="136" t="str">
        <f>IF(AI461="","",IF(G490="","",G490))</f>
        <v/>
      </c>
      <c r="BD490" s="136" t="str">
        <f>IF(AI461="","",IF(H490="","",H490))</f>
        <v/>
      </c>
      <c r="BE490" s="136" t="str">
        <f>IF(AI461="","",IF(I490="","",I490))</f>
        <v/>
      </c>
      <c r="BF490" s="136" t="str">
        <f>IF(AI461="","",IF(J490="","",J490))</f>
        <v/>
      </c>
      <c r="BG490" s="136" t="str">
        <f>IF(AI461="","",IF(K490="","",K490))</f>
        <v/>
      </c>
      <c r="BH490" s="136" t="str">
        <f>IF(AI461="","",IF(L490="","",L490))</f>
        <v/>
      </c>
      <c r="BI490" s="136" t="str">
        <f>IF(AI461="","",IF(M490="","",M490))</f>
        <v/>
      </c>
      <c r="BJ490" s="136" t="str">
        <f>IF(AI461="","",IF(N490="","",N490))</f>
        <v/>
      </c>
      <c r="BK490" s="136" t="str">
        <f>IF(AI461="","",IF(O490="","",O490))</f>
        <v/>
      </c>
      <c r="BM490" s="136" t="str">
        <f t="shared" si="291"/>
        <v>TG</v>
      </c>
      <c r="BN490" s="136" t="str">
        <f t="shared" si="279"/>
        <v>Trabalho de Grupo</v>
      </c>
      <c r="BO490" s="136" t="str">
        <f t="shared" si="279"/>
        <v>IAC</v>
      </c>
      <c r="BP490" s="136">
        <f>(COUNTIFS(AX465:AX512,BM490,AY465:AY512,BO490)+COUNTIFS(AZ465:AZ512,BM490,BA465:BA512,BO490)+COUNTIFS(BB465:BB512,BM490,BC465:BC512,BO490)+COUNTIFS(BD465:BD512,BM490,BE465:BE512,BO490)+COUNTIFS(BF465:BF512,BM490,BG465:BG512,BO490)+COUNTIFS(BH465:BH512,BM490,BI465:BI512,BO490)+COUNTIFS(BJ465:BJ512,BM490,BK465:BK512,BO490))*0.5</f>
        <v>0</v>
      </c>
      <c r="BQ490" s="136" t="str">
        <f t="shared" si="280"/>
        <v>Trabalho de Grupo</v>
      </c>
      <c r="BR490" s="136" t="str">
        <f t="shared" si="280"/>
        <v>IAC</v>
      </c>
      <c r="BS490" s="136" t="str">
        <f t="shared" si="281"/>
        <v>Trabalho de Grupo</v>
      </c>
      <c r="BT490" s="136">
        <f t="shared" si="287"/>
        <v>0</v>
      </c>
      <c r="BU490" s="136">
        <f t="shared" si="288"/>
        <v>0</v>
      </c>
      <c r="CA490" s="136">
        <f>'INFO BASE'!L569</f>
        <v>0</v>
      </c>
      <c r="CB490" s="136">
        <f>'INFO BASE'!M569</f>
        <v>0</v>
      </c>
      <c r="CR490" s="177" t="str">
        <f t="shared" si="269"/>
        <v>AT</v>
      </c>
      <c r="CS490" s="177" t="str">
        <f t="shared" si="270"/>
        <v>ATAL</v>
      </c>
      <c r="CT490" s="177" t="str">
        <f t="shared" si="269"/>
        <v>PV</v>
      </c>
      <c r="CU490" s="177">
        <f t="shared" si="271"/>
        <v>0</v>
      </c>
      <c r="CV490" s="177" t="str">
        <f t="shared" si="269"/>
        <v>AT</v>
      </c>
      <c r="CW490" s="177" t="str">
        <f t="shared" si="272"/>
        <v>ATAL</v>
      </c>
      <c r="CX490" s="177" t="str">
        <f t="shared" si="269"/>
        <v>APB</v>
      </c>
      <c r="CY490" s="177" t="str">
        <f t="shared" si="273"/>
        <v>APBFP</v>
      </c>
      <c r="CZ490" s="177" t="str">
        <f t="shared" si="269"/>
        <v>PV</v>
      </c>
      <c r="DA490" s="177">
        <f t="shared" si="274"/>
        <v>0</v>
      </c>
      <c r="DB490" s="177" t="str">
        <f t="shared" si="269"/>
        <v>EG</v>
      </c>
      <c r="DC490" s="177" t="str">
        <f t="shared" si="275"/>
        <v>EGIEI</v>
      </c>
      <c r="DD490" s="177" t="str">
        <f t="shared" si="276"/>
        <v>PV</v>
      </c>
      <c r="DE490" s="177">
        <f t="shared" si="277"/>
        <v>0</v>
      </c>
    </row>
    <row r="491" spans="1:109" ht="18" customHeight="1" x14ac:dyDescent="0.3">
      <c r="A491" s="81">
        <v>0.54166666666668395</v>
      </c>
      <c r="B491" s="166" t="s">
        <v>9</v>
      </c>
      <c r="C491" s="130" t="s">
        <v>231</v>
      </c>
      <c r="D491" s="169" t="s">
        <v>116</v>
      </c>
      <c r="E491" s="130" t="s">
        <v>120</v>
      </c>
      <c r="F491" s="169" t="s">
        <v>9</v>
      </c>
      <c r="G491" s="130" t="s">
        <v>230</v>
      </c>
      <c r="H491" s="169" t="s">
        <v>130</v>
      </c>
      <c r="I491" s="130" t="s">
        <v>224</v>
      </c>
      <c r="J491" s="169" t="s">
        <v>116</v>
      </c>
      <c r="K491" s="130" t="s">
        <v>120</v>
      </c>
      <c r="L491" s="169" t="s">
        <v>12</v>
      </c>
      <c r="M491" s="130" t="s">
        <v>120</v>
      </c>
      <c r="N491" s="169" t="s">
        <v>116</v>
      </c>
      <c r="O491" s="154" t="s">
        <v>120</v>
      </c>
      <c r="P491" s="6">
        <v>0</v>
      </c>
      <c r="Q491" s="118" t="str">
        <f t="shared" ref="Q491:Q496" si="292">Q490</f>
        <v>Trabalho de Grupo</v>
      </c>
      <c r="R491" s="105" t="str">
        <f t="shared" si="286"/>
        <v>FP</v>
      </c>
      <c r="S491" s="88">
        <f t="shared" si="283"/>
        <v>-1</v>
      </c>
      <c r="T491" s="89">
        <f>IF(VLOOKUP(Q491,'INFO BASE'!$B$40:$I$54,IF(R491='INFO BASE'!$B$32,3,IF(R491='INFO BASE'!$B$33,4,IF(R491='INFO BASE'!$B$34,5,IF(R491='INFO BASE'!$B$35,6,IF(R491='INFO BASE'!$B$36,7,IF(R491='INFO BASE'!$B$37,8,2)))))),0)=0,"",VLOOKUP(Q491,'INFO BASE'!$B$40:$I$54,IF(R491='INFO BASE'!$B$32,3,IF(R491='INFO BASE'!$B$33,4,IF(R491='INFO BASE'!$B$34,5,IF(R491='INFO BASE'!$B$35,6,IF(R491='INFO BASE'!$B$36,7,IF(R491='INFO BASE'!$B$37,8,2)))))),0))</f>
        <v>3</v>
      </c>
      <c r="U491" s="89">
        <f>(COUNTIFS(C465:C512,R491,B465:B512,R490)+COUNTIFS(E465:E512,R491,D465:D512,R490)+COUNTIFS(G465:G512,R491,F465:F512,R490)+COUNTIFS(I465:I512,R491,H465:H512,R490)+COUNTIFS(K465:K512,R491,J465:J512,R490)+COUNTIFS(M465:M512,R491,L465:L512,R490)+COUNTIFS(O465:O512,R491,N465:N512,R490))*0.5</f>
        <v>0</v>
      </c>
      <c r="V491" s="89">
        <f>(COUNTIFS(AI465:AI512,R490,AJ465:AJ512,R484)+COUNTIFS(AK465:AK512,R490,AL465:AL512,R484)+COUNTIFS(AM465:AM512,R490,AN465:AN512,R484)+COUNTIFS(AO465:AO512,R490,AP465:AP512,R484)+COUNTIFS(AQ465:AQ512,R490,AR465:AR512,R484)+COUNTIFS(AS465:AS512,R490,AT465:AT512,R484)+COUNTIFS(AU465:AU512,R490,AV465:AV512,R484))*0.5</f>
        <v>0</v>
      </c>
      <c r="W491" s="90" t="str">
        <f>IF(AH461="","-",IF(V491=0,U491,IFERROR((U491/V491)-1,"-")))</f>
        <v>-</v>
      </c>
      <c r="X491" s="201">
        <f t="shared" si="284"/>
        <v>0</v>
      </c>
      <c r="Y491" s="271"/>
      <c r="Z491" s="272"/>
      <c r="AA491" s="272"/>
      <c r="AB491" s="272"/>
      <c r="AC491" s="272"/>
      <c r="AD491" s="272"/>
      <c r="AE491" s="272"/>
      <c r="AF491" s="273"/>
      <c r="AH491" s="136">
        <v>0.54166666666668395</v>
      </c>
      <c r="AI491" s="136" t="str">
        <f>IF(AH461="","",IF(B491="","",B491))</f>
        <v/>
      </c>
      <c r="AJ491" s="136" t="str">
        <f>IF(AH461="","",IF(C491="","",C491))</f>
        <v/>
      </c>
      <c r="AK491" s="136" t="str">
        <f>IF(AH461="","",IF(D491="","",D491))</f>
        <v/>
      </c>
      <c r="AL491" s="136" t="str">
        <f>IF(AH461="","",IF(E491="","",E491))</f>
        <v/>
      </c>
      <c r="AM491" s="136" t="str">
        <f>IF(AH461="","",IF(F491="","",F491))</f>
        <v/>
      </c>
      <c r="AN491" s="136" t="str">
        <f>IF(AH461="","",IF(G491="","",G491))</f>
        <v/>
      </c>
      <c r="AO491" s="136" t="str">
        <f>IF(AH461="","",IF(H491="","",H491))</f>
        <v/>
      </c>
      <c r="AP491" s="136" t="str">
        <f>IF(AH461="","",IF(I491="","",I491))</f>
        <v/>
      </c>
      <c r="AQ491" s="136" t="str">
        <f>IF(AH461="","",IF(J491="","",J491))</f>
        <v/>
      </c>
      <c r="AR491" s="136" t="str">
        <f>IF(AH461="","",IF(K491="","",K491))</f>
        <v/>
      </c>
      <c r="AS491" s="136" t="str">
        <f>IF(AH461="","",IF(L491="","",L491))</f>
        <v/>
      </c>
      <c r="AT491" s="136" t="str">
        <f>IF(AH461="","",IF(M491="","",M491))</f>
        <v/>
      </c>
      <c r="AU491" s="136" t="str">
        <f>IF(AH461="","",IF(N491="","",N491))</f>
        <v/>
      </c>
      <c r="AV491" s="136" t="str">
        <f>IF(AH461="","",IF(O491="","",O491))</f>
        <v/>
      </c>
      <c r="AX491" s="136" t="str">
        <f>IF(AI461="","",IF(B491="","",B491))</f>
        <v/>
      </c>
      <c r="AY491" s="136" t="str">
        <f>IF(AI461="","",IF(C491="","",C491))</f>
        <v/>
      </c>
      <c r="AZ491" s="136" t="str">
        <f>IF(AI461="","",IF(D491="","",D491))</f>
        <v/>
      </c>
      <c r="BA491" s="136" t="str">
        <f>IF(AI461="","",IF(E491="","",E491))</f>
        <v/>
      </c>
      <c r="BB491" s="136" t="str">
        <f>IF(AI461="","",IF(F491="","",F491))</f>
        <v/>
      </c>
      <c r="BC491" s="136" t="str">
        <f>IF(AI461="","",IF(G491="","",G491))</f>
        <v/>
      </c>
      <c r="BD491" s="136" t="str">
        <f>IF(AI461="","",IF(H491="","",H491))</f>
        <v/>
      </c>
      <c r="BE491" s="136" t="str">
        <f>IF(AI461="","",IF(I491="","",I491))</f>
        <v/>
      </c>
      <c r="BF491" s="136" t="str">
        <f>IF(AI461="","",IF(J491="","",J491))</f>
        <v/>
      </c>
      <c r="BG491" s="136" t="str">
        <f>IF(AI461="","",IF(K491="","",K491))</f>
        <v/>
      </c>
      <c r="BH491" s="136" t="str">
        <f>IF(AI461="","",IF(L491="","",L491))</f>
        <v/>
      </c>
      <c r="BI491" s="136" t="str">
        <f>IF(AI461="","",IF(M491="","",M491))</f>
        <v/>
      </c>
      <c r="BJ491" s="136" t="str">
        <f>IF(AI461="","",IF(N491="","",N491))</f>
        <v/>
      </c>
      <c r="BK491" s="136" t="str">
        <f>IF(AI461="","",IF(O491="","",O491))</f>
        <v/>
      </c>
      <c r="BM491" s="136" t="str">
        <f t="shared" si="291"/>
        <v>TG</v>
      </c>
      <c r="BN491" s="136" t="str">
        <f t="shared" si="279"/>
        <v>Trabalho de Grupo</v>
      </c>
      <c r="BO491" s="136" t="str">
        <f t="shared" si="279"/>
        <v>AL</v>
      </c>
      <c r="BP491" s="136">
        <f>(COUNTIFS(AX465:AX512,BM491,AY465:AY512,BO491)+COUNTIFS(AZ465:AZ512,BM491,BA465:BA512,BO491)+COUNTIFS(BB465:BB512,BM491,BC465:BC512,BO491)+COUNTIFS(BD465:BD512,BM491,BE465:BE512,BO491)+COUNTIFS(BF465:BF512,BM491,BG465:BG512,BO491)+COUNTIFS(BH465:BH512,BM491,BI465:BI512,BO491)+COUNTIFS(BJ465:BJ512,BM491,BK465:BK512,BO491))*0.5</f>
        <v>0</v>
      </c>
      <c r="BQ491" s="136" t="str">
        <f t="shared" si="280"/>
        <v>Trabalho de Grupo</v>
      </c>
      <c r="BR491" s="136" t="str">
        <f t="shared" si="280"/>
        <v>AL</v>
      </c>
      <c r="BS491" s="136" t="str">
        <f t="shared" si="281"/>
        <v>Trabalho de Grupo</v>
      </c>
      <c r="BT491" s="136">
        <f t="shared" si="287"/>
        <v>0</v>
      </c>
      <c r="BU491" s="136">
        <f t="shared" si="288"/>
        <v>0</v>
      </c>
      <c r="CA491" s="136">
        <f>'INFO BASE'!L570</f>
        <v>0</v>
      </c>
      <c r="CB491" s="136">
        <f>'INFO BASE'!M570</f>
        <v>0</v>
      </c>
      <c r="CR491" s="177" t="str">
        <f t="shared" si="269"/>
        <v>AT</v>
      </c>
      <c r="CS491" s="177" t="str">
        <f t="shared" si="270"/>
        <v>ATCDI</v>
      </c>
      <c r="CT491" s="177" t="str">
        <f t="shared" si="269"/>
        <v>PV</v>
      </c>
      <c r="CU491" s="177">
        <f t="shared" si="271"/>
        <v>0</v>
      </c>
      <c r="CV491" s="177" t="str">
        <f t="shared" si="269"/>
        <v>AT</v>
      </c>
      <c r="CW491" s="177" t="str">
        <f t="shared" si="272"/>
        <v>ATAL</v>
      </c>
      <c r="CX491" s="177" t="str">
        <f t="shared" si="269"/>
        <v>APB</v>
      </c>
      <c r="CY491" s="177" t="str">
        <f t="shared" si="273"/>
        <v>APBFP</v>
      </c>
      <c r="CZ491" s="177" t="str">
        <f t="shared" si="269"/>
        <v>PV</v>
      </c>
      <c r="DA491" s="177">
        <f t="shared" si="274"/>
        <v>0</v>
      </c>
      <c r="DB491" s="177" t="str">
        <f t="shared" si="269"/>
        <v>HR</v>
      </c>
      <c r="DC491" s="177" t="str">
        <f t="shared" si="275"/>
        <v>HR-</v>
      </c>
      <c r="DD491" s="177" t="str">
        <f t="shared" si="276"/>
        <v>PV</v>
      </c>
      <c r="DE491" s="177">
        <f t="shared" si="277"/>
        <v>0</v>
      </c>
    </row>
    <row r="492" spans="1:109" ht="18" customHeight="1" x14ac:dyDescent="0.3">
      <c r="A492" s="81">
        <v>0.56250000000001799</v>
      </c>
      <c r="B492" s="166" t="s">
        <v>9</v>
      </c>
      <c r="C492" s="130" t="s">
        <v>231</v>
      </c>
      <c r="D492" s="169" t="s">
        <v>116</v>
      </c>
      <c r="E492" s="130" t="s">
        <v>120</v>
      </c>
      <c r="F492" s="169" t="s">
        <v>116</v>
      </c>
      <c r="G492" s="130" t="s">
        <v>120</v>
      </c>
      <c r="H492" s="169" t="s">
        <v>116</v>
      </c>
      <c r="I492" s="130" t="s">
        <v>120</v>
      </c>
      <c r="J492" s="169" t="s">
        <v>116</v>
      </c>
      <c r="K492" s="130" t="s">
        <v>120</v>
      </c>
      <c r="L492" s="169" t="s">
        <v>12</v>
      </c>
      <c r="M492" s="130" t="s">
        <v>120</v>
      </c>
      <c r="N492" s="169" t="s">
        <v>116</v>
      </c>
      <c r="O492" s="154" t="s">
        <v>120</v>
      </c>
      <c r="P492" s="6">
        <v>0</v>
      </c>
      <c r="Q492" s="118" t="str">
        <f t="shared" si="292"/>
        <v>Trabalho de Grupo</v>
      </c>
      <c r="R492" s="105" t="str">
        <f t="shared" si="286"/>
        <v>IEI</v>
      </c>
      <c r="S492" s="88">
        <f t="shared" si="283"/>
        <v>-1</v>
      </c>
      <c r="T492" s="89">
        <f>IF(VLOOKUP(Q492,'INFO BASE'!$B$40:$I$54,IF(R492='INFO BASE'!$B$32,3,IF(R492='INFO BASE'!$B$33,4,IF(R492='INFO BASE'!$B$34,5,IF(R492='INFO BASE'!$B$35,6,IF(R492='INFO BASE'!$B$36,7,IF(R492='INFO BASE'!$B$37,8,2)))))),0)=0,"",VLOOKUP(Q492,'INFO BASE'!$B$40:$I$54,IF(R492='INFO BASE'!$B$32,3,IF(R492='INFO BASE'!$B$33,4,IF(R492='INFO BASE'!$B$34,5,IF(R492='INFO BASE'!$B$35,6,IF(R492='INFO BASE'!$B$36,7,IF(R492='INFO BASE'!$B$37,8,2)))))),0))</f>
        <v>3</v>
      </c>
      <c r="U492" s="89">
        <f>(COUNTIFS(C465:C512,R492,B465:B512,R490)+COUNTIFS(E465:E512,R492,D465:D512,R490)+COUNTIFS(G465:G512,R492,F465:F512,R490)+COUNTIFS(I465:I512,R492,H465:H512,R490)+COUNTIFS(K465:K512,R492,J465:J512,R490)+COUNTIFS(M465:M512,R492,L465:L512,R490)+COUNTIFS(O465:O512,R492,N465:N512,R490))*0.5</f>
        <v>0</v>
      </c>
      <c r="V492" s="89">
        <f>(COUNTIFS(AI465:AI512,R490,AJ465:AJ512,R485)+COUNTIFS(AK465:AK512,R490,AL465:AL512,R485)+COUNTIFS(AM465:AM512,R490,AN465:AN512,R485)+COUNTIFS(AO465:AO512,R490,AP465:AP512,R485)+COUNTIFS(AQ465:AQ512,R490,AR465:AR512,R485)+COUNTIFS(AS465:AS512,R490,AT465:AT512,R485)+COUNTIFS(AU465:AU512,R490,AV465:AV512,R485))*0.5</f>
        <v>0</v>
      </c>
      <c r="W492" s="90" t="str">
        <f>IF(AH461="","-",IF(V492=0,U492,IFERROR((U492/V492)-1,"-")))</f>
        <v>-</v>
      </c>
      <c r="X492" s="201">
        <f t="shared" si="284"/>
        <v>0</v>
      </c>
      <c r="Y492" s="271"/>
      <c r="Z492" s="272"/>
      <c r="AA492" s="272"/>
      <c r="AB492" s="272"/>
      <c r="AC492" s="272"/>
      <c r="AD492" s="272"/>
      <c r="AE492" s="272"/>
      <c r="AF492" s="273"/>
      <c r="AH492" s="136">
        <v>0.56250000000001799</v>
      </c>
      <c r="AI492" s="136" t="str">
        <f>IF(AH461="","",IF(B492="","",B492))</f>
        <v/>
      </c>
      <c r="AJ492" s="136" t="str">
        <f>IF(AH461="","",IF(C492="","",C492))</f>
        <v/>
      </c>
      <c r="AK492" s="136" t="str">
        <f>IF(AH461="","",IF(D492="","",D492))</f>
        <v/>
      </c>
      <c r="AL492" s="136" t="str">
        <f>IF(AH461="","",IF(E492="","",E492))</f>
        <v/>
      </c>
      <c r="AM492" s="136" t="str">
        <f>IF(AH461="","",IF(F492="","",F492))</f>
        <v/>
      </c>
      <c r="AN492" s="136" t="str">
        <f>IF(AH461="","",IF(G492="","",G492))</f>
        <v/>
      </c>
      <c r="AO492" s="136" t="str">
        <f>IF(AH461="","",IF(H492="","",H492))</f>
        <v/>
      </c>
      <c r="AP492" s="136" t="str">
        <f>IF(AH461="","",IF(I492="","",I492))</f>
        <v/>
      </c>
      <c r="AQ492" s="136" t="str">
        <f>IF(AH461="","",IF(J492="","",J492))</f>
        <v/>
      </c>
      <c r="AR492" s="136" t="str">
        <f>IF(AH461="","",IF(K492="","",K492))</f>
        <v/>
      </c>
      <c r="AS492" s="136" t="str">
        <f>IF(AH461="","",IF(L492="","",L492))</f>
        <v/>
      </c>
      <c r="AT492" s="136" t="str">
        <f>IF(AH461="","",IF(M492="","",M492))</f>
        <v/>
      </c>
      <c r="AU492" s="136" t="str">
        <f>IF(AH461="","",IF(N492="","",N492))</f>
        <v/>
      </c>
      <c r="AV492" s="136" t="str">
        <f>IF(AH461="","",IF(O492="","",O492))</f>
        <v/>
      </c>
      <c r="AX492" s="136" t="str">
        <f>IF(AI461="","",IF(B492="","",B492))</f>
        <v/>
      </c>
      <c r="AY492" s="136" t="str">
        <f>IF(AI461="","",IF(C492="","",C492))</f>
        <v/>
      </c>
      <c r="AZ492" s="136" t="str">
        <f>IF(AI461="","",IF(D492="","",D492))</f>
        <v/>
      </c>
      <c r="BA492" s="136" t="str">
        <f>IF(AI461="","",IF(E492="","",E492))</f>
        <v/>
      </c>
      <c r="BB492" s="136" t="str">
        <f>IF(AI461="","",IF(F492="","",F492))</f>
        <v/>
      </c>
      <c r="BC492" s="136" t="str">
        <f>IF(AI461="","",IF(G492="","",G492))</f>
        <v/>
      </c>
      <c r="BD492" s="136" t="str">
        <f>IF(AI461="","",IF(H492="","",H492))</f>
        <v/>
      </c>
      <c r="BE492" s="136" t="str">
        <f>IF(AI461="","",IF(I492="","",I492))</f>
        <v/>
      </c>
      <c r="BF492" s="136" t="str">
        <f>IF(AI461="","",IF(J492="","",J492))</f>
        <v/>
      </c>
      <c r="BG492" s="136" t="str">
        <f>IF(AI461="","",IF(K492="","",K492))</f>
        <v/>
      </c>
      <c r="BH492" s="136" t="str">
        <f>IF(AI461="","",IF(L492="","",L492))</f>
        <v/>
      </c>
      <c r="BI492" s="136" t="str">
        <f>IF(AI461="","",IF(M492="","",M492))</f>
        <v/>
      </c>
      <c r="BJ492" s="136" t="str">
        <f>IF(AI461="","",IF(N492="","",N492))</f>
        <v/>
      </c>
      <c r="BK492" s="136" t="str">
        <f>IF(AI461="","",IF(O492="","",O492))</f>
        <v/>
      </c>
      <c r="BM492" s="136" t="str">
        <f t="shared" si="291"/>
        <v>TG</v>
      </c>
      <c r="BN492" s="136" t="str">
        <f t="shared" si="279"/>
        <v>Trabalho de Grupo</v>
      </c>
      <c r="BO492" s="136" t="str">
        <f t="shared" si="279"/>
        <v>CDI</v>
      </c>
      <c r="BP492" s="136">
        <f>(COUNTIFS(AX465:AX512,BM492,AY465:AY512,BO492)+COUNTIFS(AZ465:AZ512,BM492,BA465:BA512,BO492)+COUNTIFS(BB465:BB512,BM492,BC465:BC512,BO492)+COUNTIFS(BD465:BD512,BM492,BE465:BE512,BO492)+COUNTIFS(BF465:BF512,BM492,BG465:BG512,BO492)+COUNTIFS(BH465:BH512,BM492,BI465:BI512,BO492)+COUNTIFS(BJ465:BJ512,BM492,BK465:BK512,BO492))*0.5</f>
        <v>0</v>
      </c>
      <c r="BQ492" s="136" t="str">
        <f t="shared" si="280"/>
        <v>Trabalho de Grupo</v>
      </c>
      <c r="BR492" s="136" t="str">
        <f t="shared" si="280"/>
        <v>CDI</v>
      </c>
      <c r="BS492" s="136" t="str">
        <f t="shared" si="281"/>
        <v>Trabalho de Grupo</v>
      </c>
      <c r="BT492" s="136">
        <f t="shared" si="287"/>
        <v>0</v>
      </c>
      <c r="BU492" s="136">
        <f t="shared" si="288"/>
        <v>0</v>
      </c>
      <c r="CA492" s="136">
        <f>'INFO BASE'!L571</f>
        <v>0</v>
      </c>
      <c r="CB492" s="136">
        <f>'INFO BASE'!M571</f>
        <v>0</v>
      </c>
      <c r="CR492" s="177" t="str">
        <f t="shared" si="269"/>
        <v>AT</v>
      </c>
      <c r="CS492" s="177" t="str">
        <f t="shared" si="270"/>
        <v>ATCDI</v>
      </c>
      <c r="CT492" s="177" t="str">
        <f t="shared" si="269"/>
        <v>PV</v>
      </c>
      <c r="CU492" s="177">
        <f t="shared" si="271"/>
        <v>0</v>
      </c>
      <c r="CV492" s="177" t="str">
        <f t="shared" si="269"/>
        <v>PV</v>
      </c>
      <c r="CW492" s="177">
        <f t="shared" si="272"/>
        <v>0</v>
      </c>
      <c r="CX492" s="177" t="str">
        <f t="shared" si="269"/>
        <v>PV</v>
      </c>
      <c r="CY492" s="177">
        <f t="shared" si="273"/>
        <v>0</v>
      </c>
      <c r="CZ492" s="177" t="str">
        <f t="shared" si="269"/>
        <v>PV</v>
      </c>
      <c r="DA492" s="177">
        <f t="shared" si="274"/>
        <v>0</v>
      </c>
      <c r="DB492" s="177" t="str">
        <f t="shared" si="269"/>
        <v>HR</v>
      </c>
      <c r="DC492" s="177" t="str">
        <f t="shared" si="275"/>
        <v>HR-</v>
      </c>
      <c r="DD492" s="177" t="str">
        <f t="shared" si="276"/>
        <v>PV</v>
      </c>
      <c r="DE492" s="177">
        <f t="shared" si="277"/>
        <v>0</v>
      </c>
    </row>
    <row r="493" spans="1:109" ht="18" customHeight="1" x14ac:dyDescent="0.3">
      <c r="A493" s="81">
        <v>0.58333333333335202</v>
      </c>
      <c r="B493" s="166" t="s">
        <v>12</v>
      </c>
      <c r="C493" s="130" t="s">
        <v>120</v>
      </c>
      <c r="D493" s="169" t="s">
        <v>12</v>
      </c>
      <c r="E493" s="130" t="s">
        <v>120</v>
      </c>
      <c r="F493" s="169" t="s">
        <v>12</v>
      </c>
      <c r="G493" s="130" t="s">
        <v>120</v>
      </c>
      <c r="H493" s="169" t="s">
        <v>12</v>
      </c>
      <c r="I493" s="130" t="s">
        <v>120</v>
      </c>
      <c r="J493" s="169" t="s">
        <v>12</v>
      </c>
      <c r="K493" s="130" t="s">
        <v>120</v>
      </c>
      <c r="L493" s="169" t="s">
        <v>12</v>
      </c>
      <c r="M493" s="130" t="s">
        <v>120</v>
      </c>
      <c r="N493" s="169" t="s">
        <v>116</v>
      </c>
      <c r="O493" s="154" t="s">
        <v>120</v>
      </c>
      <c r="P493" s="6">
        <v>0</v>
      </c>
      <c r="Q493" s="119" t="str">
        <f t="shared" si="292"/>
        <v>Trabalho de Grupo</v>
      </c>
      <c r="R493" s="105" t="str">
        <f t="shared" si="286"/>
        <v>IAC</v>
      </c>
      <c r="S493" s="88">
        <f t="shared" si="283"/>
        <v>-1</v>
      </c>
      <c r="T493" s="89">
        <f>IF(VLOOKUP(Q493,'INFO BASE'!$B$40:$I$54,IF(R493='INFO BASE'!$B$32,3,IF(R493='INFO BASE'!$B$33,4,IF(R493='INFO BASE'!$B$34,5,IF(R493='INFO BASE'!$B$35,6,IF(R493='INFO BASE'!$B$36,7,IF(R493='INFO BASE'!$B$37,8,2)))))),0)=0,"",VLOOKUP(Q493,'INFO BASE'!$B$40:$I$54,IF(R493='INFO BASE'!$B$32,3,IF(R493='INFO BASE'!$B$33,4,IF(R493='INFO BASE'!$B$34,5,IF(R493='INFO BASE'!$B$35,6,IF(R493='INFO BASE'!$B$36,7,IF(R493='INFO BASE'!$B$37,8,2)))))),0))</f>
        <v>3</v>
      </c>
      <c r="U493" s="89">
        <f>(COUNTIFS(C465:C512,R493,B465:B512,R490)+COUNTIFS(E465:E512,R493,D465:D512,R490)+COUNTIFS(G465:G512,R493,F465:F512,R490)+COUNTIFS(I465:I512,R493,H465:H512,R490)+COUNTIFS(K465:K512,R493,J465:J512,R490)+COUNTIFS(M465:M512,R493,L465:L512,R490)+COUNTIFS(O465:O512,R493,N465:N512,R490))*0.5</f>
        <v>0</v>
      </c>
      <c r="V493" s="89">
        <f>(COUNTIFS(AI465:AI512,R490,AJ465:AJ512,R486)+COUNTIFS(AK465:AK512,R490,AL465:AL512,R486)+COUNTIFS(AM465:AM512,R490,AN465:AN512,R486)+COUNTIFS(AO465:AO512,R490,AP465:AP512,R486)+COUNTIFS(AQ465:AQ512,R490,AR465:AR512,R486)+COUNTIFS(AS465:AS512,R490,AT465:AT512,R486)+COUNTIFS(AU465:AU512,R490,AV465:AV512,R486))*0.5</f>
        <v>0</v>
      </c>
      <c r="W493" s="90" t="str">
        <f>IF(AH461="","-",IF(V493=0,U493,IFERROR((U493/V493)-1,"-")))</f>
        <v>-</v>
      </c>
      <c r="X493" s="201">
        <f t="shared" si="284"/>
        <v>0</v>
      </c>
      <c r="Y493" s="271"/>
      <c r="Z493" s="272"/>
      <c r="AA493" s="272"/>
      <c r="AB493" s="272"/>
      <c r="AC493" s="272"/>
      <c r="AD493" s="272"/>
      <c r="AE493" s="272"/>
      <c r="AF493" s="273"/>
      <c r="AH493" s="136">
        <v>0.58333333333335202</v>
      </c>
      <c r="AI493" s="136" t="str">
        <f>IF(AH461="","",IF(B493="","",B493))</f>
        <v/>
      </c>
      <c r="AJ493" s="136" t="str">
        <f>IF(AH461="","",IF(C493="","",C493))</f>
        <v/>
      </c>
      <c r="AK493" s="136" t="str">
        <f>IF(AH461="","",IF(D493="","",D493))</f>
        <v/>
      </c>
      <c r="AL493" s="136" t="str">
        <f>IF(AH461="","",IF(E493="","",E493))</f>
        <v/>
      </c>
      <c r="AM493" s="136" t="str">
        <f>IF(AH461="","",IF(F493="","",F493))</f>
        <v/>
      </c>
      <c r="AN493" s="136" t="str">
        <f>IF(AH461="","",IF(G493="","",G493))</f>
        <v/>
      </c>
      <c r="AO493" s="136" t="str">
        <f>IF(AH461="","",IF(H493="","",H493))</f>
        <v/>
      </c>
      <c r="AP493" s="136" t="str">
        <f>IF(AH461="","",IF(I493="","",I493))</f>
        <v/>
      </c>
      <c r="AQ493" s="136" t="str">
        <f>IF(AH461="","",IF(J493="","",J493))</f>
        <v/>
      </c>
      <c r="AR493" s="136" t="str">
        <f>IF(AH461="","",IF(K493="","",K493))</f>
        <v/>
      </c>
      <c r="AS493" s="136" t="str">
        <f>IF(AH461="","",IF(L493="","",L493))</f>
        <v/>
      </c>
      <c r="AT493" s="136" t="str">
        <f>IF(AH461="","",IF(M493="","",M493))</f>
        <v/>
      </c>
      <c r="AU493" s="136" t="str">
        <f>IF(AH461="","",IF(N493="","",N493))</f>
        <v/>
      </c>
      <c r="AV493" s="136" t="str">
        <f>IF(AH461="","",IF(O493="","",O493))</f>
        <v/>
      </c>
      <c r="AX493" s="136" t="str">
        <f>IF(AI461="","",IF(B493="","",B493))</f>
        <v/>
      </c>
      <c r="AY493" s="136" t="str">
        <f>IF(AI461="","",IF(C493="","",C493))</f>
        <v/>
      </c>
      <c r="AZ493" s="136" t="str">
        <f>IF(AI461="","",IF(D493="","",D493))</f>
        <v/>
      </c>
      <c r="BA493" s="136" t="str">
        <f>IF(AI461="","",IF(E493="","",E493))</f>
        <v/>
      </c>
      <c r="BB493" s="136" t="str">
        <f>IF(AI461="","",IF(F493="","",F493))</f>
        <v/>
      </c>
      <c r="BC493" s="136" t="str">
        <f>IF(AI461="","",IF(G493="","",G493))</f>
        <v/>
      </c>
      <c r="BD493" s="136" t="str">
        <f>IF(AI461="","",IF(H493="","",H493))</f>
        <v/>
      </c>
      <c r="BE493" s="136" t="str">
        <f>IF(AI461="","",IF(I493="","",I493))</f>
        <v/>
      </c>
      <c r="BF493" s="136" t="str">
        <f>IF(AI461="","",IF(J493="","",J493))</f>
        <v/>
      </c>
      <c r="BG493" s="136" t="str">
        <f>IF(AI461="","",IF(K493="","",K493))</f>
        <v/>
      </c>
      <c r="BH493" s="136" t="str">
        <f>IF(AI461="","",IF(L493="","",L493))</f>
        <v/>
      </c>
      <c r="BI493" s="136" t="str">
        <f>IF(AI461="","",IF(M493="","",M493))</f>
        <v/>
      </c>
      <c r="BJ493" s="136" t="str">
        <f>IF(AI461="","",IF(N493="","",N493))</f>
        <v/>
      </c>
      <c r="BK493" s="136" t="str">
        <f>IF(AI461="","",IF(O493="","",O493))</f>
        <v/>
      </c>
      <c r="BM493" s="136" t="str">
        <f t="shared" si="291"/>
        <v>TG</v>
      </c>
      <c r="BN493" s="136" t="str">
        <f t="shared" si="279"/>
        <v>Trabalho de Grupo</v>
      </c>
      <c r="BO493" s="136" t="str">
        <f t="shared" si="279"/>
        <v/>
      </c>
      <c r="BP493" s="136">
        <f>(COUNTIFS(AX465:AX512,BM493,AY465:AY512,BO493)+COUNTIFS(AZ465:AZ512,BM493,BA465:BA512,BO493)+COUNTIFS(BB465:BB512,BM493,BC465:BC512,BO493)+COUNTIFS(BD465:BD512,BM493,BE465:BE512,BO493)+COUNTIFS(BF465:BF512,BM493,BG465:BG512,BO493)+COUNTIFS(BH465:BH512,BM493,BI465:BI512,BO493)+COUNTIFS(BJ465:BJ512,BM493,BK465:BK512,BO493))*0.5</f>
        <v>0</v>
      </c>
      <c r="BQ493" s="136" t="str">
        <f t="shared" si="280"/>
        <v>Trabalho de Grupo</v>
      </c>
      <c r="BR493" s="136" t="str">
        <f t="shared" si="280"/>
        <v/>
      </c>
      <c r="BS493" s="136" t="str">
        <f t="shared" si="281"/>
        <v>Trabalho de Grupo</v>
      </c>
      <c r="BT493" s="136">
        <f t="shared" si="287"/>
        <v>0</v>
      </c>
      <c r="BU493" s="136">
        <f t="shared" si="288"/>
        <v>0</v>
      </c>
      <c r="CA493" s="136">
        <f>'INFO BASE'!L572</f>
        <v>0</v>
      </c>
      <c r="CB493" s="136">
        <f>'INFO BASE'!M572</f>
        <v>0</v>
      </c>
      <c r="CR493" s="177" t="str">
        <f t="shared" si="269"/>
        <v>HR</v>
      </c>
      <c r="CS493" s="177" t="str">
        <f t="shared" si="270"/>
        <v>HR-</v>
      </c>
      <c r="CT493" s="177" t="str">
        <f t="shared" si="269"/>
        <v>HR</v>
      </c>
      <c r="CU493" s="177" t="str">
        <f t="shared" si="271"/>
        <v>HR-</v>
      </c>
      <c r="CV493" s="177" t="str">
        <f t="shared" si="269"/>
        <v>HR</v>
      </c>
      <c r="CW493" s="177" t="str">
        <f t="shared" si="272"/>
        <v>HR-</v>
      </c>
      <c r="CX493" s="177" t="str">
        <f t="shared" si="269"/>
        <v>HR</v>
      </c>
      <c r="CY493" s="177" t="str">
        <f t="shared" si="273"/>
        <v>HR-</v>
      </c>
      <c r="CZ493" s="177" t="str">
        <f t="shared" si="269"/>
        <v>HR</v>
      </c>
      <c r="DA493" s="177" t="str">
        <f t="shared" si="274"/>
        <v>HR-</v>
      </c>
      <c r="DB493" s="177" t="str">
        <f t="shared" si="269"/>
        <v>HR</v>
      </c>
      <c r="DC493" s="177" t="str">
        <f t="shared" si="275"/>
        <v>HR-</v>
      </c>
      <c r="DD493" s="177" t="str">
        <f t="shared" si="276"/>
        <v>PV</v>
      </c>
      <c r="DE493" s="177">
        <f t="shared" si="277"/>
        <v>0</v>
      </c>
    </row>
    <row r="494" spans="1:109" ht="18" customHeight="1" x14ac:dyDescent="0.3">
      <c r="A494" s="81">
        <v>0.60416666666668595</v>
      </c>
      <c r="B494" s="166" t="s">
        <v>12</v>
      </c>
      <c r="C494" s="130" t="s">
        <v>120</v>
      </c>
      <c r="D494" s="169" t="s">
        <v>12</v>
      </c>
      <c r="E494" s="130" t="s">
        <v>120</v>
      </c>
      <c r="F494" s="169" t="s">
        <v>12</v>
      </c>
      <c r="G494" s="130" t="s">
        <v>120</v>
      </c>
      <c r="H494" s="169" t="s">
        <v>12</v>
      </c>
      <c r="I494" s="130" t="s">
        <v>120</v>
      </c>
      <c r="J494" s="169" t="s">
        <v>12</v>
      </c>
      <c r="K494" s="130" t="s">
        <v>120</v>
      </c>
      <c r="L494" s="169" t="s">
        <v>116</v>
      </c>
      <c r="M494" s="130" t="s">
        <v>120</v>
      </c>
      <c r="N494" s="169" t="s">
        <v>12</v>
      </c>
      <c r="O494" s="154" t="s">
        <v>120</v>
      </c>
      <c r="P494" s="6">
        <v>0</v>
      </c>
      <c r="Q494" s="118" t="str">
        <f t="shared" si="292"/>
        <v>Trabalho de Grupo</v>
      </c>
      <c r="R494" s="105" t="str">
        <f t="shared" si="286"/>
        <v>AL</v>
      </c>
      <c r="S494" s="88">
        <f t="shared" si="283"/>
        <v>-1</v>
      </c>
      <c r="T494" s="89">
        <f>IF(VLOOKUP(Q494,'INFO BASE'!$B$40:$I$54,IF(R494='INFO BASE'!$B$32,3,IF(R494='INFO BASE'!$B$33,4,IF(R494='INFO BASE'!$B$34,5,IF(R494='INFO BASE'!$B$35,6,IF(R494='INFO BASE'!$B$36,7,IF(R494='INFO BASE'!$B$37,8,2)))))),0)=0,"",VLOOKUP(Q494,'INFO BASE'!$B$40:$I$54,IF(R494='INFO BASE'!$B$32,3,IF(R494='INFO BASE'!$B$33,4,IF(R494='INFO BASE'!$B$34,5,IF(R494='INFO BASE'!$B$35,6,IF(R494='INFO BASE'!$B$36,7,IF(R494='INFO BASE'!$B$37,8,2)))))),0))</f>
        <v>3</v>
      </c>
      <c r="U494" s="89">
        <f>(COUNTIFS(C465:C512,R494,B465:B512,R490)+COUNTIFS(E465:E512,R494,D465:D512,R490)+COUNTIFS(G465:G512,R494,F465:F512,R490)+COUNTIFS(I465:I512,R494,H465:H512,R490)+COUNTIFS(K465:K512,R494,J465:J512,R490)+COUNTIFS(M465:M512,R494,L465:L512,R490)+COUNTIFS(O465:O512,R494,N465:N512,R490))*0.5</f>
        <v>0</v>
      </c>
      <c r="V494" s="89">
        <f>(COUNTIFS(AI465:AI512,R490,AJ465:AJ512,R487)+COUNTIFS(AK465:AK512,R490,AL465:AL512,R487)+COUNTIFS(AM465:AM512,R490,AN465:AN512,R487)+COUNTIFS(AO465:AO512,R490,AP465:AP512,R487)+COUNTIFS(AQ465:AQ512,R490,AR465:AR512,R487)+COUNTIFS(AS465:AS512,R490,AT465:AT512,R487)+COUNTIFS(AU465:AU512,R490,AV465:AV512,R487))*0.5</f>
        <v>0</v>
      </c>
      <c r="W494" s="90" t="str">
        <f>IF(AH461="","-",IF(V494=0,U494,IFERROR((U494/V494)-1,"-")))</f>
        <v>-</v>
      </c>
      <c r="X494" s="201">
        <f t="shared" si="284"/>
        <v>0</v>
      </c>
      <c r="Y494" s="271"/>
      <c r="Z494" s="272"/>
      <c r="AA494" s="272"/>
      <c r="AB494" s="272"/>
      <c r="AC494" s="272"/>
      <c r="AD494" s="272"/>
      <c r="AE494" s="272"/>
      <c r="AF494" s="273"/>
      <c r="AH494" s="136">
        <v>0.60416666666668595</v>
      </c>
      <c r="AI494" s="136" t="str">
        <f>IF(AH461="","",IF(B494="","",B494))</f>
        <v/>
      </c>
      <c r="AJ494" s="136" t="str">
        <f>IF(AH461="","",IF(C494="","",C494))</f>
        <v/>
      </c>
      <c r="AK494" s="136" t="str">
        <f>IF(AH461="","",IF(D494="","",D494))</f>
        <v/>
      </c>
      <c r="AL494" s="136" t="str">
        <f>IF(AH461="","",IF(E494="","",E494))</f>
        <v/>
      </c>
      <c r="AM494" s="136" t="str">
        <f>IF(AH461="","",IF(F494="","",F494))</f>
        <v/>
      </c>
      <c r="AN494" s="136" t="str">
        <f>IF(AH461="","",IF(G494="","",G494))</f>
        <v/>
      </c>
      <c r="AO494" s="136" t="str">
        <f>IF(AH461="","",IF(H494="","",H494))</f>
        <v/>
      </c>
      <c r="AP494" s="136" t="str">
        <f>IF(AH461="","",IF(I494="","",I494))</f>
        <v/>
      </c>
      <c r="AQ494" s="136" t="str">
        <f>IF(AH461="","",IF(J494="","",J494))</f>
        <v/>
      </c>
      <c r="AR494" s="136" t="str">
        <f>IF(AH461="","",IF(K494="","",K494))</f>
        <v/>
      </c>
      <c r="AS494" s="136" t="str">
        <f>IF(AH461="","",IF(L494="","",L494))</f>
        <v/>
      </c>
      <c r="AT494" s="136" t="str">
        <f>IF(AH461="","",IF(M494="","",M494))</f>
        <v/>
      </c>
      <c r="AU494" s="136" t="str">
        <f>IF(AH461="","",IF(N494="","",N494))</f>
        <v/>
      </c>
      <c r="AV494" s="136" t="str">
        <f>IF(AH461="","",IF(O494="","",O494))</f>
        <v/>
      </c>
      <c r="AX494" s="136" t="str">
        <f>IF(AI461="","",IF(B494="","",B494))</f>
        <v/>
      </c>
      <c r="AY494" s="136" t="str">
        <f>IF(AI461="","",IF(C494="","",C494))</f>
        <v/>
      </c>
      <c r="AZ494" s="136" t="str">
        <f>IF(AI461="","",IF(D494="","",D494))</f>
        <v/>
      </c>
      <c r="BA494" s="136" t="str">
        <f>IF(AI461="","",IF(E494="","",E494))</f>
        <v/>
      </c>
      <c r="BB494" s="136" t="str">
        <f>IF(AI461="","",IF(F494="","",F494))</f>
        <v/>
      </c>
      <c r="BC494" s="136" t="str">
        <f>IF(AI461="","",IF(G494="","",G494))</f>
        <v/>
      </c>
      <c r="BD494" s="136" t="str">
        <f>IF(AI461="","",IF(H494="","",H494))</f>
        <v/>
      </c>
      <c r="BE494" s="136" t="str">
        <f>IF(AI461="","",IF(I494="","",I494))</f>
        <v/>
      </c>
      <c r="BF494" s="136" t="str">
        <f>IF(AI461="","",IF(J494="","",J494))</f>
        <v/>
      </c>
      <c r="BG494" s="136" t="str">
        <f>IF(AI461="","",IF(K494="","",K494))</f>
        <v/>
      </c>
      <c r="BH494" s="136" t="str">
        <f>IF(AI461="","",IF(L494="","",L494))</f>
        <v/>
      </c>
      <c r="BI494" s="136" t="str">
        <f>IF(AI461="","",IF(M494="","",M494))</f>
        <v/>
      </c>
      <c r="BJ494" s="136" t="str">
        <f>IF(AI461="","",IF(N494="","",N494))</f>
        <v/>
      </c>
      <c r="BK494" s="136" t="str">
        <f>IF(AI461="","",IF(O494="","",O494))</f>
        <v/>
      </c>
      <c r="BM494" s="136" t="str">
        <f>BO494</f>
        <v>AT</v>
      </c>
      <c r="BN494" s="136" t="str">
        <f t="shared" si="279"/>
        <v>Aulas Teóricas</v>
      </c>
      <c r="BO494" s="136" t="str">
        <f t="shared" si="279"/>
        <v>AT</v>
      </c>
      <c r="BP494" s="136">
        <f>COUNTIFS(AX465:BK512,BO494)*0.5</f>
        <v>0</v>
      </c>
      <c r="BQ494" s="136" t="str">
        <f t="shared" si="280"/>
        <v>Aulas Teóricas</v>
      </c>
      <c r="BR494" s="136" t="str">
        <f t="shared" si="280"/>
        <v>AT</v>
      </c>
      <c r="BS494" s="136" t="str">
        <f t="shared" si="281"/>
        <v>Aulas Teóricas</v>
      </c>
      <c r="BT494" s="136">
        <f t="shared" si="287"/>
        <v>120</v>
      </c>
      <c r="BU494" s="136">
        <f t="shared" si="288"/>
        <v>120</v>
      </c>
      <c r="CA494" s="136">
        <f>'INFO BASE'!L573</f>
        <v>0</v>
      </c>
      <c r="CB494" s="136">
        <f>'INFO BASE'!M573</f>
        <v>0</v>
      </c>
      <c r="CR494" s="177" t="str">
        <f t="shared" si="269"/>
        <v>HR</v>
      </c>
      <c r="CS494" s="177" t="str">
        <f t="shared" si="270"/>
        <v>HR-</v>
      </c>
      <c r="CT494" s="177" t="str">
        <f t="shared" si="269"/>
        <v>HR</v>
      </c>
      <c r="CU494" s="177" t="str">
        <f t="shared" si="271"/>
        <v>HR-</v>
      </c>
      <c r="CV494" s="177" t="str">
        <f t="shared" si="269"/>
        <v>HR</v>
      </c>
      <c r="CW494" s="177" t="str">
        <f t="shared" si="272"/>
        <v>HR-</v>
      </c>
      <c r="CX494" s="177" t="str">
        <f t="shared" si="269"/>
        <v>HR</v>
      </c>
      <c r="CY494" s="177" t="str">
        <f t="shared" si="273"/>
        <v>HR-</v>
      </c>
      <c r="CZ494" s="177" t="str">
        <f t="shared" si="269"/>
        <v>HR</v>
      </c>
      <c r="DA494" s="177" t="str">
        <f t="shared" si="274"/>
        <v>HR-</v>
      </c>
      <c r="DB494" s="177" t="str">
        <f t="shared" si="269"/>
        <v>PV</v>
      </c>
      <c r="DC494" s="177">
        <f t="shared" si="275"/>
        <v>0</v>
      </c>
      <c r="DD494" s="177" t="str">
        <f t="shared" si="276"/>
        <v>HR</v>
      </c>
      <c r="DE494" s="177" t="str">
        <f t="shared" si="277"/>
        <v>HR-</v>
      </c>
    </row>
    <row r="495" spans="1:109" ht="18" customHeight="1" x14ac:dyDescent="0.3">
      <c r="A495" s="81">
        <v>0.62500000000001998</v>
      </c>
      <c r="B495" s="166" t="s">
        <v>128</v>
      </c>
      <c r="C495" s="130" t="s">
        <v>226</v>
      </c>
      <c r="D495" s="169" t="s">
        <v>8</v>
      </c>
      <c r="E495" s="130" t="s">
        <v>224</v>
      </c>
      <c r="F495" s="169" t="s">
        <v>128</v>
      </c>
      <c r="G495" s="130" t="s">
        <v>228</v>
      </c>
      <c r="H495" s="169" t="s">
        <v>128</v>
      </c>
      <c r="I495" s="130" t="s">
        <v>231</v>
      </c>
      <c r="J495" s="169" t="s">
        <v>128</v>
      </c>
      <c r="K495" s="130" t="s">
        <v>231</v>
      </c>
      <c r="L495" s="169" t="s">
        <v>116</v>
      </c>
      <c r="M495" s="130" t="s">
        <v>120</v>
      </c>
      <c r="N495" s="169" t="s">
        <v>12</v>
      </c>
      <c r="O495" s="154" t="s">
        <v>120</v>
      </c>
      <c r="P495" s="6">
        <v>0</v>
      </c>
      <c r="Q495" s="118" t="str">
        <f t="shared" si="292"/>
        <v>Trabalho de Grupo</v>
      </c>
      <c r="R495" s="105" t="str">
        <f t="shared" si="286"/>
        <v>CDI</v>
      </c>
      <c r="S495" s="88">
        <f t="shared" si="283"/>
        <v>-1</v>
      </c>
      <c r="T495" s="89">
        <f>IF(VLOOKUP(Q495,'INFO BASE'!$B$40:$I$54,IF(R495='INFO BASE'!$B$32,3,IF(R495='INFO BASE'!$B$33,4,IF(R495='INFO BASE'!$B$34,5,IF(R495='INFO BASE'!$B$35,6,IF(R495='INFO BASE'!$B$36,7,IF(R495='INFO BASE'!$B$37,8,2)))))),0)=0,"",VLOOKUP(Q495,'INFO BASE'!$B$40:$I$54,IF(R495='INFO BASE'!$B$32,3,IF(R495='INFO BASE'!$B$33,4,IF(R495='INFO BASE'!$B$34,5,IF(R495='INFO BASE'!$B$35,6,IF(R495='INFO BASE'!$B$36,7,IF(R495='INFO BASE'!$B$37,8,2)))))),0))</f>
        <v>3</v>
      </c>
      <c r="U495" s="89">
        <f>(COUNTIFS(C465:C512,R495,B465:B512,R490)+COUNTIFS(E465:E512,R495,D465:D512,R490)+COUNTIFS(G465:G512,R495,F465:F512,R490)+COUNTIFS(I465:I512,R495,H465:H512,R490)+COUNTIFS(K465:K512,R495,J465:J512,R490)+COUNTIFS(M465:M512,R495,L465:L512,R490)+COUNTIFS(O465:O512,R495,N465:N512,R490))*0.5</f>
        <v>0</v>
      </c>
      <c r="V495" s="89">
        <f>(COUNTIFS(AI465:AI512,R490,AJ465:AJ512,R488)+COUNTIFS(AK465:AK512,R490,AL465:AL512,R488)+COUNTIFS(AM465:AM512,R490,AN465:AN512,R488)+COUNTIFS(AO465:AO512,R490,AP465:AP512,R488)+COUNTIFS(AQ465:AQ512,R490,AR465:AR512,R488)+COUNTIFS(AS465:AS512,R490,AT465:AT512,R488)+COUNTIFS(AU465:AU512,R490,AV465:AV512,R488))*0.5</f>
        <v>0</v>
      </c>
      <c r="W495" s="90" t="str">
        <f>IF(AH461="","-",IF(V495=0,U495,IFERROR((U495/V495)-1,"-")))</f>
        <v>-</v>
      </c>
      <c r="X495" s="201">
        <f t="shared" si="284"/>
        <v>0</v>
      </c>
      <c r="Y495" s="271"/>
      <c r="Z495" s="272"/>
      <c r="AA495" s="272"/>
      <c r="AB495" s="272"/>
      <c r="AC495" s="272"/>
      <c r="AD495" s="272"/>
      <c r="AE495" s="272"/>
      <c r="AF495" s="273"/>
      <c r="AH495" s="136">
        <v>0.62500000000001998</v>
      </c>
      <c r="AI495" s="136" t="str">
        <f>IF(AH461="","",IF(B495="","",B495))</f>
        <v/>
      </c>
      <c r="AJ495" s="136" t="str">
        <f>IF(AH461="","",IF(C495="","",C495))</f>
        <v/>
      </c>
      <c r="AK495" s="136" t="str">
        <f>IF(AH461="","",IF(D495="","",D495))</f>
        <v/>
      </c>
      <c r="AL495" s="136" t="str">
        <f>IF(AH461="","",IF(E495="","",E495))</f>
        <v/>
      </c>
      <c r="AM495" s="136" t="str">
        <f>IF(AH461="","",IF(F495="","",F495))</f>
        <v/>
      </c>
      <c r="AN495" s="136" t="str">
        <f>IF(AH461="","",IF(G495="","",G495))</f>
        <v/>
      </c>
      <c r="AO495" s="136" t="str">
        <f>IF(AH461="","",IF(H495="","",H495))</f>
        <v/>
      </c>
      <c r="AP495" s="136" t="str">
        <f>IF(AH461="","",IF(I495="","",I495))</f>
        <v/>
      </c>
      <c r="AQ495" s="136" t="str">
        <f>IF(AH461="","",IF(J495="","",J495))</f>
        <v/>
      </c>
      <c r="AR495" s="136" t="str">
        <f>IF(AH461="","",IF(K495="","",K495))</f>
        <v/>
      </c>
      <c r="AS495" s="136" t="str">
        <f>IF(AH461="","",IF(L495="","",L495))</f>
        <v/>
      </c>
      <c r="AT495" s="136" t="str">
        <f>IF(AH461="","",IF(M495="","",M495))</f>
        <v/>
      </c>
      <c r="AU495" s="136" t="str">
        <f>IF(AH461="","",IF(N495="","",N495))</f>
        <v/>
      </c>
      <c r="AV495" s="136" t="str">
        <f>IF(AH461="","",IF(O495="","",O495))</f>
        <v/>
      </c>
      <c r="AX495" s="136" t="str">
        <f>IF(AI461="","",IF(B495="","",B495))</f>
        <v/>
      </c>
      <c r="AY495" s="136" t="str">
        <f>IF(AI461="","",IF(C495="","",C495))</f>
        <v/>
      </c>
      <c r="AZ495" s="136" t="str">
        <f>IF(AI461="","",IF(D495="","",D495))</f>
        <v/>
      </c>
      <c r="BA495" s="136" t="str">
        <f>IF(AI461="","",IF(E495="","",E495))</f>
        <v/>
      </c>
      <c r="BB495" s="136" t="str">
        <f>IF(AI461="","",IF(F495="","",F495))</f>
        <v/>
      </c>
      <c r="BC495" s="136" t="str">
        <f>IF(AI461="","",IF(G495="","",G495))</f>
        <v/>
      </c>
      <c r="BD495" s="136" t="str">
        <f>IF(AI461="","",IF(H495="","",H495))</f>
        <v/>
      </c>
      <c r="BE495" s="136" t="str">
        <f>IF(AI461="","",IF(I495="","",I495))</f>
        <v/>
      </c>
      <c r="BF495" s="136" t="str">
        <f>IF(AI461="","",IF(J495="","",J495))</f>
        <v/>
      </c>
      <c r="BG495" s="136" t="str">
        <f>IF(AI461="","",IF(K495="","",K495))</f>
        <v/>
      </c>
      <c r="BH495" s="136" t="str">
        <f>IF(AI461="","",IF(L495="","",L495))</f>
        <v/>
      </c>
      <c r="BI495" s="136" t="str">
        <f>IF(AI461="","",IF(M495="","",M495))</f>
        <v/>
      </c>
      <c r="BJ495" s="136" t="str">
        <f>IF(AI461="","",IF(N495="","",N495))</f>
        <v/>
      </c>
      <c r="BK495" s="136" t="str">
        <f>IF(AI461="","",IF(O495="","",O495))</f>
        <v/>
      </c>
      <c r="BM495" s="136" t="str">
        <f>BM494</f>
        <v>AT</v>
      </c>
      <c r="BN495" s="136" t="str">
        <f t="shared" si="279"/>
        <v>Aulas Teóricas</v>
      </c>
      <c r="BO495" s="136" t="str">
        <f t="shared" si="279"/>
        <v>FP</v>
      </c>
      <c r="BP495" s="136">
        <f>(COUNTIFS(AX465:AX512,BM495,AY465:AY512,BO495)+COUNTIFS(AZ465:AZ512,BM495,BA465:BA512,BO495)+COUNTIFS(BB465:BB512,BM495,BC465:BC512,BO495)+COUNTIFS(BD465:BD512,BM495,BE465:BE512,BO495)+COUNTIFS(BF465:BF512,BM495,BG465:BG512,BO495)+COUNTIFS(BH465:BH512,BM495,BI465:BI512,BO495)+COUNTIFS(BJ465:BJ512,BM495,BK465:BK512,BO495))*0.5</f>
        <v>0</v>
      </c>
      <c r="BQ495" s="136" t="str">
        <f t="shared" si="280"/>
        <v>Aulas Teóricas</v>
      </c>
      <c r="BR495" s="136" t="str">
        <f t="shared" si="280"/>
        <v>FP</v>
      </c>
      <c r="BS495" s="136" t="str">
        <f t="shared" si="281"/>
        <v>Aulas Teóricas</v>
      </c>
      <c r="BT495" s="136">
        <f t="shared" si="287"/>
        <v>24</v>
      </c>
      <c r="BU495" s="136">
        <f t="shared" si="288"/>
        <v>24</v>
      </c>
      <c r="CR495" s="177" t="str">
        <f t="shared" si="269"/>
        <v>EG</v>
      </c>
      <c r="CS495" s="177" t="str">
        <f t="shared" si="270"/>
        <v>EGIEI</v>
      </c>
      <c r="CT495" s="177" t="str">
        <f t="shared" si="269"/>
        <v>EA</v>
      </c>
      <c r="CU495" s="177" t="str">
        <f t="shared" si="271"/>
        <v>EAFP</v>
      </c>
      <c r="CV495" s="177" t="str">
        <f t="shared" si="269"/>
        <v>EG</v>
      </c>
      <c r="CW495" s="177" t="str">
        <f t="shared" si="272"/>
        <v>EGIAC</v>
      </c>
      <c r="CX495" s="177" t="str">
        <f t="shared" si="269"/>
        <v>EG</v>
      </c>
      <c r="CY495" s="177" t="str">
        <f t="shared" si="273"/>
        <v>EGCDI</v>
      </c>
      <c r="CZ495" s="177" t="str">
        <f t="shared" si="269"/>
        <v>EG</v>
      </c>
      <c r="DA495" s="177" t="str">
        <f t="shared" si="274"/>
        <v>EGCDI</v>
      </c>
      <c r="DB495" s="177" t="str">
        <f t="shared" si="269"/>
        <v>PV</v>
      </c>
      <c r="DC495" s="177">
        <f t="shared" si="275"/>
        <v>0</v>
      </c>
      <c r="DD495" s="177" t="str">
        <f t="shared" si="276"/>
        <v>HR</v>
      </c>
      <c r="DE495" s="177" t="str">
        <f t="shared" si="277"/>
        <v>HR-</v>
      </c>
    </row>
    <row r="496" spans="1:109" ht="18" customHeight="1" thickBot="1" x14ac:dyDescent="0.35">
      <c r="A496" s="81">
        <v>0.64583333333335402</v>
      </c>
      <c r="B496" s="166" t="s">
        <v>128</v>
      </c>
      <c r="C496" s="130" t="s">
        <v>226</v>
      </c>
      <c r="D496" s="169" t="s">
        <v>8</v>
      </c>
      <c r="E496" s="130" t="s">
        <v>224</v>
      </c>
      <c r="F496" s="169" t="s">
        <v>128</v>
      </c>
      <c r="G496" s="130" t="s">
        <v>228</v>
      </c>
      <c r="H496" s="169" t="s">
        <v>128</v>
      </c>
      <c r="I496" s="130" t="s">
        <v>231</v>
      </c>
      <c r="J496" s="169" t="s">
        <v>128</v>
      </c>
      <c r="K496" s="130" t="s">
        <v>231</v>
      </c>
      <c r="L496" s="169" t="s">
        <v>116</v>
      </c>
      <c r="M496" s="130" t="s">
        <v>120</v>
      </c>
      <c r="N496" s="169" t="s">
        <v>116</v>
      </c>
      <c r="O496" s="154" t="s">
        <v>120</v>
      </c>
      <c r="P496" s="6">
        <v>0</v>
      </c>
      <c r="Q496" s="120" t="str">
        <f t="shared" si="292"/>
        <v>Trabalho de Grupo</v>
      </c>
      <c r="R496" s="107" t="str">
        <f t="shared" si="286"/>
        <v/>
      </c>
      <c r="S496" s="94" t="str">
        <f t="shared" si="283"/>
        <v>-</v>
      </c>
      <c r="T496" s="95" t="str">
        <f>IF(VLOOKUP(Q496,'INFO BASE'!$B$40:$I$54,IF(R496='INFO BASE'!$B$32,3,IF(R496='INFO BASE'!$B$33,4,IF(R496='INFO BASE'!$B$34,5,IF(R496='INFO BASE'!$B$35,6,IF(R496='INFO BASE'!$B$36,7,IF(R496='INFO BASE'!$B$37,8,2)))))),0)=0,"",VLOOKUP(Q496,'INFO BASE'!$B$40:$I$54,IF(R496='INFO BASE'!$B$32,3,IF(R496='INFO BASE'!$B$33,4,IF(R496='INFO BASE'!$B$34,5,IF(R496='INFO BASE'!$B$35,6,IF(R496='INFO BASE'!$B$36,7,IF(R496='INFO BASE'!$B$37,8,2)))))),0))</f>
        <v/>
      </c>
      <c r="U496" s="95">
        <f>(COUNTIFS(C465:C512,R496,B465:B512,R490)+COUNTIFS(E465:E512,R496,D465:D512,R490)+COUNTIFS(G465:G512,R496,F465:F512,R490)+COUNTIFS(I465:I512,R496,H465:H512,R490)+COUNTIFS(K465:K512,R496,J465:J512,R490)+COUNTIFS(M465:M512,R496,L465:L512,R490)+COUNTIFS(O465:O512,R496,N465:N512,R490))*0.5</f>
        <v>0</v>
      </c>
      <c r="V496" s="95">
        <f>(COUNTIFS(AI465:AI512,R490,AJ465:AJ512,R489)+COUNTIFS(AK465:AK512,R490,AL465:AL512,R489)+COUNTIFS(AM465:AM512,R490,AN465:AN512,R489)+COUNTIFS(AO465:AO512,R490,AP465:AP512,R489)+COUNTIFS(AQ465:AQ512,R490,AR465:AR512,R489)+COUNTIFS(AS465:AS512,R490,AT465:AT512,R489)+COUNTIFS(AU465:AU512,R490,AV465:AV512,R489))*0.5</f>
        <v>0</v>
      </c>
      <c r="W496" s="96" t="str">
        <f>IF(AH461="","-",IF(V496=0,U496,IFERROR((U496/V496)-1,"-")))</f>
        <v>-</v>
      </c>
      <c r="X496" s="201">
        <f t="shared" si="284"/>
        <v>0</v>
      </c>
      <c r="Y496" s="274"/>
      <c r="Z496" s="275"/>
      <c r="AA496" s="275"/>
      <c r="AB496" s="275"/>
      <c r="AC496" s="275"/>
      <c r="AD496" s="275"/>
      <c r="AE496" s="275"/>
      <c r="AF496" s="276"/>
      <c r="AH496" s="136">
        <v>0.64583333333335402</v>
      </c>
      <c r="AI496" s="136" t="str">
        <f>IF(AH461="","",IF(B496="","",B496))</f>
        <v/>
      </c>
      <c r="AJ496" s="136" t="str">
        <f>IF(AH461="","",IF(C496="","",C496))</f>
        <v/>
      </c>
      <c r="AK496" s="136" t="str">
        <f>IF(AH461="","",IF(D496="","",D496))</f>
        <v/>
      </c>
      <c r="AL496" s="136" t="str">
        <f>IF(AH461="","",IF(E496="","",E496))</f>
        <v/>
      </c>
      <c r="AM496" s="136" t="str">
        <f>IF(AH461="","",IF(F496="","",F496))</f>
        <v/>
      </c>
      <c r="AN496" s="136" t="str">
        <f>IF(AH461="","",IF(G496="","",G496))</f>
        <v/>
      </c>
      <c r="AO496" s="136" t="str">
        <f>IF(AH461="","",IF(H496="","",H496))</f>
        <v/>
      </c>
      <c r="AP496" s="136" t="str">
        <f>IF(AH461="","",IF(I496="","",I496))</f>
        <v/>
      </c>
      <c r="AQ496" s="136" t="str">
        <f>IF(AH461="","",IF(J496="","",J496))</f>
        <v/>
      </c>
      <c r="AR496" s="136" t="str">
        <f>IF(AH461="","",IF(K496="","",K496))</f>
        <v/>
      </c>
      <c r="AS496" s="136" t="str">
        <f>IF(AH461="","",IF(L496="","",L496))</f>
        <v/>
      </c>
      <c r="AT496" s="136" t="str">
        <f>IF(AH461="","",IF(M496="","",M496))</f>
        <v/>
      </c>
      <c r="AU496" s="136" t="str">
        <f>IF(AH461="","",IF(N496="","",N496))</f>
        <v/>
      </c>
      <c r="AV496" s="136" t="str">
        <f>IF(AH461="","",IF(O496="","",O496))</f>
        <v/>
      </c>
      <c r="AX496" s="136" t="str">
        <f>IF(AI461="","",IF(B496="","",B496))</f>
        <v/>
      </c>
      <c r="AY496" s="136" t="str">
        <f>IF(AI461="","",IF(C496="","",C496))</f>
        <v/>
      </c>
      <c r="AZ496" s="136" t="str">
        <f>IF(AI461="","",IF(D496="","",D496))</f>
        <v/>
      </c>
      <c r="BA496" s="136" t="str">
        <f>IF(AI461="","",IF(E496="","",E496))</f>
        <v/>
      </c>
      <c r="BB496" s="136" t="str">
        <f>IF(AI461="","",IF(F496="","",F496))</f>
        <v/>
      </c>
      <c r="BC496" s="136" t="str">
        <f>IF(AI461="","",IF(G496="","",G496))</f>
        <v/>
      </c>
      <c r="BD496" s="136" t="str">
        <f>IF(AI461="","",IF(H496="","",H496))</f>
        <v/>
      </c>
      <c r="BE496" s="136" t="str">
        <f>IF(AI461="","",IF(I496="","",I496))</f>
        <v/>
      </c>
      <c r="BF496" s="136" t="str">
        <f>IF(AI461="","",IF(J496="","",J496))</f>
        <v/>
      </c>
      <c r="BG496" s="136" t="str">
        <f>IF(AI461="","",IF(K496="","",K496))</f>
        <v/>
      </c>
      <c r="BH496" s="136" t="str">
        <f>IF(AI461="","",IF(L496="","",L496))</f>
        <v/>
      </c>
      <c r="BI496" s="136" t="str">
        <f>IF(AI461="","",IF(M496="","",M496))</f>
        <v/>
      </c>
      <c r="BJ496" s="136" t="str">
        <f>IF(AI461="","",IF(N496="","",N496))</f>
        <v/>
      </c>
      <c r="BK496" s="136" t="str">
        <f>IF(AI461="","",IF(O496="","",O496))</f>
        <v/>
      </c>
      <c r="BM496" s="136" t="str">
        <f t="shared" ref="BM496:BM500" si="293">BM495</f>
        <v>AT</v>
      </c>
      <c r="BN496" s="136" t="str">
        <f t="shared" si="279"/>
        <v>Aulas Teóricas</v>
      </c>
      <c r="BO496" s="136" t="str">
        <f t="shared" si="279"/>
        <v>IEI</v>
      </c>
      <c r="BP496" s="136">
        <f>(COUNTIFS(AX465:AX512,BM496,AY465:AY512,BO496)+COUNTIFS(AZ465:AZ512,BM496,BA465:BA512,BO496)+COUNTIFS(BB465:BB512,BM496,BC465:BC512,BO496)+COUNTIFS(BD465:BD512,BM496,BE465:BE512,BO496)+COUNTIFS(BF465:BF512,BM496,BG465:BG512,BO496)+COUNTIFS(BH465:BH512,BM496,BI465:BI512,BO496)+COUNTIFS(BJ465:BJ512,BM496,BK465:BK512,BO496))*0.5</f>
        <v>0</v>
      </c>
      <c r="BQ496" s="136" t="str">
        <f t="shared" si="280"/>
        <v>Aulas Teóricas</v>
      </c>
      <c r="BR496" s="136" t="str">
        <f t="shared" si="280"/>
        <v>IEI</v>
      </c>
      <c r="BS496" s="136" t="str">
        <f t="shared" si="281"/>
        <v>Aulas Teóricas</v>
      </c>
      <c r="BT496" s="136">
        <f t="shared" si="287"/>
        <v>24</v>
      </c>
      <c r="BU496" s="136">
        <f t="shared" si="288"/>
        <v>24</v>
      </c>
      <c r="CA496" s="136">
        <f>'INFO BASE'!L574</f>
        <v>0</v>
      </c>
      <c r="CB496" s="136">
        <f>'INFO BASE'!M574</f>
        <v>0</v>
      </c>
      <c r="CR496" s="177" t="str">
        <f t="shared" si="269"/>
        <v>EG</v>
      </c>
      <c r="CS496" s="177" t="str">
        <f t="shared" si="270"/>
        <v>EGIEI</v>
      </c>
      <c r="CT496" s="177" t="str">
        <f t="shared" si="269"/>
        <v>EA</v>
      </c>
      <c r="CU496" s="177" t="str">
        <f t="shared" si="271"/>
        <v>EAFP</v>
      </c>
      <c r="CV496" s="177" t="str">
        <f t="shared" si="269"/>
        <v>EG</v>
      </c>
      <c r="CW496" s="177" t="str">
        <f t="shared" si="272"/>
        <v>EGIAC</v>
      </c>
      <c r="CX496" s="177" t="str">
        <f t="shared" si="269"/>
        <v>EG</v>
      </c>
      <c r="CY496" s="177" t="str">
        <f t="shared" si="273"/>
        <v>EGCDI</v>
      </c>
      <c r="CZ496" s="177" t="str">
        <f t="shared" si="269"/>
        <v>EG</v>
      </c>
      <c r="DA496" s="177" t="str">
        <f t="shared" si="274"/>
        <v>EGCDI</v>
      </c>
      <c r="DB496" s="177" t="str">
        <f t="shared" si="269"/>
        <v>PV</v>
      </c>
      <c r="DC496" s="177">
        <f t="shared" si="275"/>
        <v>0</v>
      </c>
      <c r="DD496" s="177" t="str">
        <f t="shared" si="276"/>
        <v>PV</v>
      </c>
      <c r="DE496" s="177">
        <f t="shared" si="277"/>
        <v>0</v>
      </c>
    </row>
    <row r="497" spans="1:109" ht="18" customHeight="1" x14ac:dyDescent="0.3">
      <c r="A497" s="81">
        <v>0.66666666666668795</v>
      </c>
      <c r="B497" s="166" t="s">
        <v>128</v>
      </c>
      <c r="C497" s="130" t="s">
        <v>226</v>
      </c>
      <c r="D497" s="169" t="s">
        <v>8</v>
      </c>
      <c r="E497" s="130" t="s">
        <v>224</v>
      </c>
      <c r="F497" s="169" t="s">
        <v>116</v>
      </c>
      <c r="G497" s="130" t="s">
        <v>120</v>
      </c>
      <c r="H497" s="169" t="s">
        <v>128</v>
      </c>
      <c r="I497" s="130" t="s">
        <v>231</v>
      </c>
      <c r="J497" s="169" t="s">
        <v>116</v>
      </c>
      <c r="K497" s="130" t="s">
        <v>120</v>
      </c>
      <c r="L497" s="169" t="s">
        <v>116</v>
      </c>
      <c r="M497" s="130" t="s">
        <v>120</v>
      </c>
      <c r="N497" s="169" t="s">
        <v>116</v>
      </c>
      <c r="O497" s="154" t="s">
        <v>120</v>
      </c>
      <c r="P497" s="6">
        <v>0</v>
      </c>
      <c r="Q497" s="121" t="str">
        <f>IF('INFO BASE'!$C$20="","",'INFO BASE'!$C$20)</f>
        <v>Aulas Teóricas</v>
      </c>
      <c r="R497" s="82" t="str">
        <f t="shared" si="286"/>
        <v>AT</v>
      </c>
      <c r="S497" s="83">
        <f t="shared" si="283"/>
        <v>0</v>
      </c>
      <c r="T497" s="84">
        <f>IF(VLOOKUP(Q497,'INFO BASE'!$B$40:$I$54,IF(R497='INFO BASE'!$B$32,3,IF(R497='INFO BASE'!$B$33,4,IF(R497='INFO BASE'!$B$34,5,IF(R497='INFO BASE'!$B$35,6,IF(R497='INFO BASE'!$B$36,7,IF(R497='INFO BASE'!$B$37,8,2)))))),0)=0,"",VLOOKUP(Q497,'INFO BASE'!$B$40:$I$54,IF(R497='INFO BASE'!$B$32,3,IF(R497='INFO BASE'!$B$33,4,IF(R497='INFO BASE'!$B$34,5,IF(R497='INFO BASE'!$B$35,6,IF(R497='INFO BASE'!$B$36,7,IF(R497='INFO BASE'!$B$37,8,2)))))),0))</f>
        <v>15</v>
      </c>
      <c r="U497" s="84">
        <f>IF(R497="","",COUNTIFS(SEMANA9,R497)*0.5)</f>
        <v>15</v>
      </c>
      <c r="V497" s="84">
        <f>IF(R497="","",COUNTIFS(AI465:AV512,R497)*0.5)</f>
        <v>0</v>
      </c>
      <c r="W497" s="85" t="str">
        <f>IF(AH461="","-",IF(V497=0,U497,IFERROR((U497/V497)-1,"-")))</f>
        <v>-</v>
      </c>
      <c r="X497" s="201">
        <f t="shared" si="284"/>
        <v>0</v>
      </c>
      <c r="Y497" s="277"/>
      <c r="Z497" s="278"/>
      <c r="AA497" s="278"/>
      <c r="AB497" s="278"/>
      <c r="AC497" s="278"/>
      <c r="AD497" s="278"/>
      <c r="AE497" s="278"/>
      <c r="AF497" s="279"/>
      <c r="AH497" s="136">
        <v>0.66666666666668795</v>
      </c>
      <c r="AI497" s="136" t="str">
        <f>IF(AH461="","",IF(B497="","",B497))</f>
        <v/>
      </c>
      <c r="AJ497" s="136" t="str">
        <f>IF(AH461="","",IF(C497="","",C497))</f>
        <v/>
      </c>
      <c r="AK497" s="136" t="str">
        <f>IF(AH461="","",IF(D497="","",D497))</f>
        <v/>
      </c>
      <c r="AL497" s="136" t="str">
        <f>IF(AH461="","",IF(E497="","",E497))</f>
        <v/>
      </c>
      <c r="AM497" s="136" t="str">
        <f>IF(AH461="","",IF(F497="","",F497))</f>
        <v/>
      </c>
      <c r="AN497" s="136" t="str">
        <f>IF(AH461="","",IF(G497="","",G497))</f>
        <v/>
      </c>
      <c r="AO497" s="136" t="str">
        <f>IF(AH461="","",IF(H497="","",H497))</f>
        <v/>
      </c>
      <c r="AP497" s="136" t="str">
        <f>IF(AH461="","",IF(I497="","",I497))</f>
        <v/>
      </c>
      <c r="AQ497" s="136" t="str">
        <f>IF(AH461="","",IF(J497="","",J497))</f>
        <v/>
      </c>
      <c r="AR497" s="136" t="str">
        <f>IF(AH461="","",IF(K497="","",K497))</f>
        <v/>
      </c>
      <c r="AS497" s="136" t="str">
        <f>IF(AH461="","",IF(L497="","",L497))</f>
        <v/>
      </c>
      <c r="AT497" s="136" t="str">
        <f>IF(AH461="","",IF(M497="","",M497))</f>
        <v/>
      </c>
      <c r="AU497" s="136" t="str">
        <f>IF(AH461="","",IF(N497="","",N497))</f>
        <v/>
      </c>
      <c r="AV497" s="136" t="str">
        <f>IF(AH461="","",IF(O497="","",O497))</f>
        <v/>
      </c>
      <c r="AX497" s="136" t="str">
        <f>IF(AI461="","",IF(B497="","",B497))</f>
        <v/>
      </c>
      <c r="AY497" s="136" t="str">
        <f>IF(AI461="","",IF(C497="","",C497))</f>
        <v/>
      </c>
      <c r="AZ497" s="136" t="str">
        <f>IF(AI461="","",IF(D497="","",D497))</f>
        <v/>
      </c>
      <c r="BA497" s="136" t="str">
        <f>IF(AI461="","",IF(E497="","",E497))</f>
        <v/>
      </c>
      <c r="BB497" s="136" t="str">
        <f>IF(AI461="","",IF(F497="","",F497))</f>
        <v/>
      </c>
      <c r="BC497" s="136" t="str">
        <f>IF(AI461="","",IF(G497="","",G497))</f>
        <v/>
      </c>
      <c r="BD497" s="136" t="str">
        <f>IF(AI461="","",IF(H497="","",H497))</f>
        <v/>
      </c>
      <c r="BE497" s="136" t="str">
        <f>IF(AI461="","",IF(I497="","",I497))</f>
        <v/>
      </c>
      <c r="BF497" s="136" t="str">
        <f>IF(AI461="","",IF(J497="","",J497))</f>
        <v/>
      </c>
      <c r="BG497" s="136" t="str">
        <f>IF(AI461="","",IF(K497="","",K497))</f>
        <v/>
      </c>
      <c r="BH497" s="136" t="str">
        <f>IF(AI461="","",IF(L497="","",L497))</f>
        <v/>
      </c>
      <c r="BI497" s="136" t="str">
        <f>IF(AI461="","",IF(M497="","",M497))</f>
        <v/>
      </c>
      <c r="BJ497" s="136" t="str">
        <f>IF(AI461="","",IF(N497="","",N497))</f>
        <v/>
      </c>
      <c r="BK497" s="136" t="str">
        <f>IF(AI461="","",IF(O497="","",O497))</f>
        <v/>
      </c>
      <c r="BM497" s="136" t="str">
        <f t="shared" si="293"/>
        <v>AT</v>
      </c>
      <c r="BN497" s="136" t="str">
        <f t="shared" si="279"/>
        <v>Aulas Teóricas</v>
      </c>
      <c r="BO497" s="136" t="str">
        <f t="shared" si="279"/>
        <v>IAC</v>
      </c>
      <c r="BP497" s="136">
        <f>(COUNTIFS(AX465:AX512,BM497,AY465:AY512,BO497)+COUNTIFS(AZ465:AZ512,BM497,BA465:BA512,BO497)+COUNTIFS(BB465:BB512,BM497,BC465:BC512,BO497)+COUNTIFS(BD465:BD512,BM497,BE465:BE512,BO497)+COUNTIFS(BF465:BF512,BM497,BG465:BG512,BO497)+COUNTIFS(BH465:BH512,BM497,BI465:BI512,BO497)+COUNTIFS(BJ465:BJ512,BM497,BK465:BK512,BO497))*0.5</f>
        <v>0</v>
      </c>
      <c r="BQ497" s="136" t="str">
        <f t="shared" si="280"/>
        <v>Aulas Teóricas</v>
      </c>
      <c r="BR497" s="136" t="str">
        <f t="shared" si="280"/>
        <v>IAC</v>
      </c>
      <c r="BS497" s="136" t="str">
        <f t="shared" si="281"/>
        <v>Aulas Teóricas</v>
      </c>
      <c r="BT497" s="136">
        <f t="shared" si="287"/>
        <v>24</v>
      </c>
      <c r="BU497" s="136">
        <f t="shared" si="288"/>
        <v>24</v>
      </c>
      <c r="CA497" s="136">
        <f>'INFO BASE'!L575</f>
        <v>0</v>
      </c>
      <c r="CB497" s="136">
        <f>'INFO BASE'!M575</f>
        <v>0</v>
      </c>
      <c r="CR497" s="177" t="str">
        <f t="shared" si="269"/>
        <v>EG</v>
      </c>
      <c r="CS497" s="177" t="str">
        <f t="shared" si="270"/>
        <v>EGIEI</v>
      </c>
      <c r="CT497" s="177" t="str">
        <f t="shared" si="269"/>
        <v>EA</v>
      </c>
      <c r="CU497" s="177" t="str">
        <f t="shared" si="271"/>
        <v>EAFP</v>
      </c>
      <c r="CV497" s="177" t="str">
        <f t="shared" si="269"/>
        <v>PV</v>
      </c>
      <c r="CW497" s="177">
        <f t="shared" si="272"/>
        <v>0</v>
      </c>
      <c r="CX497" s="177" t="str">
        <f t="shared" si="269"/>
        <v>EG</v>
      </c>
      <c r="CY497" s="177" t="str">
        <f t="shared" si="273"/>
        <v>EGCDI</v>
      </c>
      <c r="CZ497" s="177" t="str">
        <f t="shared" si="269"/>
        <v>PV</v>
      </c>
      <c r="DA497" s="177">
        <f t="shared" si="274"/>
        <v>0</v>
      </c>
      <c r="DB497" s="177" t="str">
        <f t="shared" si="269"/>
        <v>PV</v>
      </c>
      <c r="DC497" s="177">
        <f t="shared" si="275"/>
        <v>0</v>
      </c>
      <c r="DD497" s="177" t="str">
        <f t="shared" si="276"/>
        <v>PV</v>
      </c>
      <c r="DE497" s="177">
        <f t="shared" si="277"/>
        <v>0</v>
      </c>
    </row>
    <row r="498" spans="1:109" ht="18" customHeight="1" x14ac:dyDescent="0.3">
      <c r="A498" s="81">
        <v>0.68750000000002198</v>
      </c>
      <c r="B498" s="166" t="s">
        <v>128</v>
      </c>
      <c r="C498" s="130" t="s">
        <v>226</v>
      </c>
      <c r="D498" s="169" t="s">
        <v>116</v>
      </c>
      <c r="E498" s="130" t="s">
        <v>120</v>
      </c>
      <c r="F498" s="169" t="s">
        <v>116</v>
      </c>
      <c r="G498" s="130" t="s">
        <v>120</v>
      </c>
      <c r="H498" s="169" t="s">
        <v>128</v>
      </c>
      <c r="I498" s="130" t="s">
        <v>231</v>
      </c>
      <c r="J498" s="169" t="s">
        <v>116</v>
      </c>
      <c r="K498" s="130" t="s">
        <v>120</v>
      </c>
      <c r="L498" s="169" t="s">
        <v>116</v>
      </c>
      <c r="M498" s="130" t="s">
        <v>120</v>
      </c>
      <c r="N498" s="169" t="s">
        <v>116</v>
      </c>
      <c r="O498" s="154" t="s">
        <v>120</v>
      </c>
      <c r="P498" s="6">
        <v>0</v>
      </c>
      <c r="Q498" s="122" t="str">
        <f t="shared" ref="Q498:Q503" si="294">Q497</f>
        <v>Aulas Teóricas</v>
      </c>
      <c r="R498" s="105" t="str">
        <f t="shared" si="286"/>
        <v>FP</v>
      </c>
      <c r="S498" s="88">
        <f t="shared" si="283"/>
        <v>0</v>
      </c>
      <c r="T498" s="89">
        <f>IF(VLOOKUP(Q498,'INFO BASE'!$B$40:$I$54,IF(R498='INFO BASE'!$B$32,3,IF(R498='INFO BASE'!$B$33,4,IF(R498='INFO BASE'!$B$34,5,IF(R498='INFO BASE'!$B$35,6,IF(R498='INFO BASE'!$B$36,7,IF(R498='INFO BASE'!$B$37,8,2)))))),0)=0,"",VLOOKUP(Q498,'INFO BASE'!$B$40:$I$54,IF(R498='INFO BASE'!$B$32,3,IF(R498='INFO BASE'!$B$33,4,IF(R498='INFO BASE'!$B$34,5,IF(R498='INFO BASE'!$B$35,6,IF(R498='INFO BASE'!$B$36,7,IF(R498='INFO BASE'!$B$37,8,2)))))),0))</f>
        <v>3</v>
      </c>
      <c r="U498" s="89">
        <f>(COUNTIFS(C465:C512,R498,B465:B512,R497)+COUNTIFS(E465:E512,R498,D465:D512,R497)+COUNTIFS(G465:G512,R498,F465:F512,R497)+COUNTIFS(I465:I512,R498,H465:H512,R497)+COUNTIFS(K465:K512,R498,J465:J512,R497)+COUNTIFS(M465:M512,R498,L465:L512,R497)+COUNTIFS(O465:O512,R498,N465:N512,R497))*0.5</f>
        <v>3</v>
      </c>
      <c r="V498" s="89">
        <f>(COUNTIFS(AI465:AI512,R497,AJ465:AJ512,R491)+COUNTIFS(AK465:AK512,R497,AL465:AL512,R491)+COUNTIFS(AM465:AM512,R497,AN465:AN512,R491)+COUNTIFS(AO465:AO512,R497,AP465:AP512,R491)+COUNTIFS(AQ465:AQ512,R497,AR465:AR512,R491)+COUNTIFS(AS465:AS512,R497,AT465:AT512,R491)+COUNTIFS(AU465:AU512,R497,AV465:AV512,R491))*0.5</f>
        <v>0</v>
      </c>
      <c r="W498" s="90" t="str">
        <f>IF(AH461="","-",IF(V498=0,U498,IFERROR((U498/V498)-1,"-")))</f>
        <v>-</v>
      </c>
      <c r="X498" s="201">
        <f t="shared" si="284"/>
        <v>0</v>
      </c>
      <c r="Y498" s="271"/>
      <c r="Z498" s="272"/>
      <c r="AA498" s="272"/>
      <c r="AB498" s="272"/>
      <c r="AC498" s="272"/>
      <c r="AD498" s="272"/>
      <c r="AE498" s="272"/>
      <c r="AF498" s="273"/>
      <c r="AH498" s="136">
        <v>0.68750000000002198</v>
      </c>
      <c r="AI498" s="136" t="str">
        <f>IF(AH461="","",IF(B498="","",B498))</f>
        <v/>
      </c>
      <c r="AJ498" s="136" t="str">
        <f>IF(AH461="","",IF(C498="","",C498))</f>
        <v/>
      </c>
      <c r="AK498" s="136" t="str">
        <f>IF(AH461="","",IF(D498="","",D498))</f>
        <v/>
      </c>
      <c r="AL498" s="136" t="str">
        <f>IF(AH461="","",IF(E498="","",E498))</f>
        <v/>
      </c>
      <c r="AM498" s="136" t="str">
        <f>IF(AH461="","",IF(F498="","",F498))</f>
        <v/>
      </c>
      <c r="AN498" s="136" t="str">
        <f>IF(AH461="","",IF(G498="","",G498))</f>
        <v/>
      </c>
      <c r="AO498" s="136" t="str">
        <f>IF(AH461="","",IF(H498="","",H498))</f>
        <v/>
      </c>
      <c r="AP498" s="136" t="str">
        <f>IF(AH461="","",IF(I498="","",I498))</f>
        <v/>
      </c>
      <c r="AQ498" s="136" t="str">
        <f>IF(AH461="","",IF(J498="","",J498))</f>
        <v/>
      </c>
      <c r="AR498" s="136" t="str">
        <f>IF(AH461="","",IF(K498="","",K498))</f>
        <v/>
      </c>
      <c r="AS498" s="136" t="str">
        <f>IF(AH461="","",IF(L498="","",L498))</f>
        <v/>
      </c>
      <c r="AT498" s="136" t="str">
        <f>IF(AH461="","",IF(M498="","",M498))</f>
        <v/>
      </c>
      <c r="AU498" s="136" t="str">
        <f>IF(AH461="","",IF(N498="","",N498))</f>
        <v/>
      </c>
      <c r="AV498" s="136" t="str">
        <f>IF(AH461="","",IF(O498="","",O498))</f>
        <v/>
      </c>
      <c r="AX498" s="136" t="str">
        <f>IF(AI461="","",IF(B498="","",B498))</f>
        <v/>
      </c>
      <c r="AY498" s="136" t="str">
        <f>IF(AI461="","",IF(C498="","",C498))</f>
        <v/>
      </c>
      <c r="AZ498" s="136" t="str">
        <f>IF(AI461="","",IF(D498="","",D498))</f>
        <v/>
      </c>
      <c r="BA498" s="136" t="str">
        <f>IF(AI461="","",IF(E498="","",E498))</f>
        <v/>
      </c>
      <c r="BB498" s="136" t="str">
        <f>IF(AI461="","",IF(F498="","",F498))</f>
        <v/>
      </c>
      <c r="BC498" s="136" t="str">
        <f>IF(AI461="","",IF(G498="","",G498))</f>
        <v/>
      </c>
      <c r="BD498" s="136" t="str">
        <f>IF(AI461="","",IF(H498="","",H498))</f>
        <v/>
      </c>
      <c r="BE498" s="136" t="str">
        <f>IF(AI461="","",IF(I498="","",I498))</f>
        <v/>
      </c>
      <c r="BF498" s="136" t="str">
        <f>IF(AI461="","",IF(J498="","",J498))</f>
        <v/>
      </c>
      <c r="BG498" s="136" t="str">
        <f>IF(AI461="","",IF(K498="","",K498))</f>
        <v/>
      </c>
      <c r="BH498" s="136" t="str">
        <f>IF(AI461="","",IF(L498="","",L498))</f>
        <v/>
      </c>
      <c r="BI498" s="136" t="str">
        <f>IF(AI461="","",IF(M498="","",M498))</f>
        <v/>
      </c>
      <c r="BJ498" s="136" t="str">
        <f>IF(AI461="","",IF(N498="","",N498))</f>
        <v/>
      </c>
      <c r="BK498" s="136" t="str">
        <f>IF(AI461="","",IF(O498="","",O498))</f>
        <v/>
      </c>
      <c r="BM498" s="136" t="str">
        <f t="shared" si="293"/>
        <v>AT</v>
      </c>
      <c r="BN498" s="136" t="str">
        <f t="shared" si="279"/>
        <v>Aulas Teóricas</v>
      </c>
      <c r="BO498" s="136" t="str">
        <f t="shared" si="279"/>
        <v>AL</v>
      </c>
      <c r="BP498" s="136">
        <f>(COUNTIFS(AX465:AX512,BM498,AY465:AY512,BO498)+COUNTIFS(AZ465:AZ512,BM498,BA465:BA512,BO498)+COUNTIFS(BB465:BB512,BM498,BC465:BC512,BO498)+COUNTIFS(BD465:BD512,BM498,BE465:BE512,BO498)+COUNTIFS(BF465:BF512,BM498,BG465:BG512,BO498)+COUNTIFS(BH465:BH512,BM498,BI465:BI512,BO498)+COUNTIFS(BJ465:BJ512,BM498,BK465:BK512,BO498))*0.5</f>
        <v>0</v>
      </c>
      <c r="BQ498" s="136" t="str">
        <f t="shared" si="280"/>
        <v>Aulas Teóricas</v>
      </c>
      <c r="BR498" s="136" t="str">
        <f t="shared" si="280"/>
        <v>AL</v>
      </c>
      <c r="BS498" s="136" t="str">
        <f t="shared" si="281"/>
        <v>Aulas Teóricas</v>
      </c>
      <c r="BT498" s="136">
        <f t="shared" si="287"/>
        <v>24</v>
      </c>
      <c r="BU498" s="136">
        <f t="shared" si="288"/>
        <v>24</v>
      </c>
      <c r="CA498" s="136">
        <f>'INFO BASE'!L576</f>
        <v>0</v>
      </c>
      <c r="CB498" s="136">
        <f>'INFO BASE'!M576</f>
        <v>0</v>
      </c>
      <c r="CR498" s="177" t="str">
        <f t="shared" si="269"/>
        <v>EG</v>
      </c>
      <c r="CS498" s="177" t="str">
        <f t="shared" si="270"/>
        <v>EGIEI</v>
      </c>
      <c r="CT498" s="177" t="str">
        <f t="shared" si="269"/>
        <v>PV</v>
      </c>
      <c r="CU498" s="177">
        <f t="shared" si="271"/>
        <v>0</v>
      </c>
      <c r="CV498" s="177" t="str">
        <f t="shared" si="269"/>
        <v>PV</v>
      </c>
      <c r="CW498" s="177">
        <f t="shared" si="272"/>
        <v>0</v>
      </c>
      <c r="CX498" s="177" t="str">
        <f t="shared" si="269"/>
        <v>EG</v>
      </c>
      <c r="CY498" s="177" t="str">
        <f t="shared" si="273"/>
        <v>EGCDI</v>
      </c>
      <c r="CZ498" s="177" t="str">
        <f t="shared" si="269"/>
        <v>PV</v>
      </c>
      <c r="DA498" s="177">
        <f t="shared" si="274"/>
        <v>0</v>
      </c>
      <c r="DB498" s="177" t="str">
        <f t="shared" si="269"/>
        <v>PV</v>
      </c>
      <c r="DC498" s="177">
        <f t="shared" si="275"/>
        <v>0</v>
      </c>
      <c r="DD498" s="177" t="str">
        <f t="shared" si="276"/>
        <v>PV</v>
      </c>
      <c r="DE498" s="177">
        <f t="shared" si="277"/>
        <v>0</v>
      </c>
    </row>
    <row r="499" spans="1:109" ht="18" customHeight="1" x14ac:dyDescent="0.3">
      <c r="A499" s="81">
        <v>0.70833333333335602</v>
      </c>
      <c r="B499" s="166" t="s">
        <v>128</v>
      </c>
      <c r="C499" s="130" t="s">
        <v>226</v>
      </c>
      <c r="D499" s="169" t="s">
        <v>11</v>
      </c>
      <c r="E499" s="130" t="s">
        <v>120</v>
      </c>
      <c r="F499" s="169" t="s">
        <v>11</v>
      </c>
      <c r="G499" s="130" t="s">
        <v>120</v>
      </c>
      <c r="H499" s="169" t="s">
        <v>128</v>
      </c>
      <c r="I499" s="130" t="s">
        <v>231</v>
      </c>
      <c r="J499" s="169" t="s">
        <v>11</v>
      </c>
      <c r="K499" s="130" t="s">
        <v>120</v>
      </c>
      <c r="L499" s="169" t="s">
        <v>8</v>
      </c>
      <c r="M499" s="130" t="s">
        <v>226</v>
      </c>
      <c r="N499" s="169" t="s">
        <v>8</v>
      </c>
      <c r="O499" s="154" t="s">
        <v>226</v>
      </c>
      <c r="P499" s="6">
        <v>0</v>
      </c>
      <c r="Q499" s="122" t="str">
        <f t="shared" si="294"/>
        <v>Aulas Teóricas</v>
      </c>
      <c r="R499" s="105" t="str">
        <f t="shared" si="286"/>
        <v>IEI</v>
      </c>
      <c r="S499" s="88">
        <f t="shared" si="283"/>
        <v>0</v>
      </c>
      <c r="T499" s="106">
        <f>IF(VLOOKUP(Q499,'INFO BASE'!$B$40:$I$54,IF(R499='INFO BASE'!$B$32,3,IF(R499='INFO BASE'!$B$33,4,IF(R499='INFO BASE'!$B$34,5,IF(R499='INFO BASE'!$B$35,6,IF(R499='INFO BASE'!$B$36,7,IF(R499='INFO BASE'!$B$37,8,2)))))),0)=0,"",VLOOKUP(Q499,'INFO BASE'!$B$40:$I$54,IF(R499='INFO BASE'!$B$32,3,IF(R499='INFO BASE'!$B$33,4,IF(R499='INFO BASE'!$B$34,5,IF(R499='INFO BASE'!$B$35,6,IF(R499='INFO BASE'!$B$36,7,IF(R499='INFO BASE'!$B$37,8,2)))))),0))</f>
        <v>3</v>
      </c>
      <c r="U499" s="106">
        <f>(COUNTIFS(C465:C512,R499,B465:B512,R497)+COUNTIFS(E465:E512,R499,D465:D512,R497)+COUNTIFS(G465:G512,R499,F465:F512,R497)+COUNTIFS(I465:I512,R499,H465:H512,R497)+COUNTIFS(K465:K512,R499,J465:J512,R497)+COUNTIFS(M465:M512,R499,L465:L512,R497)+COUNTIFS(O465:O512,R499,N465:N512,R497))*0.5</f>
        <v>3</v>
      </c>
      <c r="V499" s="89">
        <f>(COUNTIFS(AI465:AI512,R497,AJ465:AJ512,R492)+COUNTIFS(AK465:AK512,R497,AL465:AL512,R492)+COUNTIFS(AM465:AM512,R497,AN465:AN512,R492)+COUNTIFS(AO465:AO512,R497,AP465:AP512,R492)+COUNTIFS(AQ465:AQ512,R497,AR465:AR512,R492)+COUNTIFS(AS465:AS512,R497,AT465:AT512,R492)+COUNTIFS(AU465:AU512,R497,AV465:AV512,R492))*0.5</f>
        <v>0</v>
      </c>
      <c r="W499" s="90" t="str">
        <f>IF(AH461="","-",IF(V499=0,U499,IFERROR((U499/V499)-1,"-")))</f>
        <v>-</v>
      </c>
      <c r="X499" s="201">
        <f t="shared" si="284"/>
        <v>0</v>
      </c>
      <c r="Y499" s="271"/>
      <c r="Z499" s="272"/>
      <c r="AA499" s="272"/>
      <c r="AB499" s="272"/>
      <c r="AC499" s="272"/>
      <c r="AD499" s="272"/>
      <c r="AE499" s="272"/>
      <c r="AF499" s="273"/>
      <c r="AH499" s="136">
        <v>0.70833333333335602</v>
      </c>
      <c r="AI499" s="136" t="str">
        <f>IF(AH461="","",IF(B499="","",B499))</f>
        <v/>
      </c>
      <c r="AJ499" s="136" t="str">
        <f>IF(AH461="","",IF(C499="","",C499))</f>
        <v/>
      </c>
      <c r="AK499" s="136" t="str">
        <f>IF(AH461="","",IF(D499="","",D499))</f>
        <v/>
      </c>
      <c r="AL499" s="136" t="str">
        <f>IF(AH461="","",IF(E499="","",E499))</f>
        <v/>
      </c>
      <c r="AM499" s="136" t="str">
        <f>IF(AH461="","",IF(F499="","",F499))</f>
        <v/>
      </c>
      <c r="AN499" s="136" t="str">
        <f>IF(AH461="","",IF(G499="","",G499))</f>
        <v/>
      </c>
      <c r="AO499" s="136" t="str">
        <f>IF(AH461="","",IF(H499="","",H499))</f>
        <v/>
      </c>
      <c r="AP499" s="136" t="str">
        <f>IF(AH461="","",IF(I499="","",I499))</f>
        <v/>
      </c>
      <c r="AQ499" s="136" t="str">
        <f>IF(AH461="","",IF(J499="","",J499))</f>
        <v/>
      </c>
      <c r="AR499" s="136" t="str">
        <f>IF(AH461="","",IF(K499="","",K499))</f>
        <v/>
      </c>
      <c r="AS499" s="136" t="str">
        <f>IF(AH461="","",IF(L499="","",L499))</f>
        <v/>
      </c>
      <c r="AT499" s="136" t="str">
        <f>IF(AH461="","",IF(M499="","",M499))</f>
        <v/>
      </c>
      <c r="AU499" s="136" t="str">
        <f>IF(AH461="","",IF(N499="","",N499))</f>
        <v/>
      </c>
      <c r="AV499" s="136" t="str">
        <f>IF(AH461="","",IF(O499="","",O499))</f>
        <v/>
      </c>
      <c r="AX499" s="136" t="str">
        <f>IF(AI461="","",IF(B499="","",B499))</f>
        <v/>
      </c>
      <c r="AY499" s="136" t="str">
        <f>IF(AI461="","",IF(C499="","",C499))</f>
        <v/>
      </c>
      <c r="AZ499" s="136" t="str">
        <f>IF(AI461="","",IF(D499="","",D499))</f>
        <v/>
      </c>
      <c r="BA499" s="136" t="str">
        <f>IF(AI461="","",IF(E499="","",E499))</f>
        <v/>
      </c>
      <c r="BB499" s="136" t="str">
        <f>IF(AI461="","",IF(F499="","",F499))</f>
        <v/>
      </c>
      <c r="BC499" s="136" t="str">
        <f>IF(AI461="","",IF(G499="","",G499))</f>
        <v/>
      </c>
      <c r="BD499" s="136" t="str">
        <f>IF(AI461="","",IF(H499="","",H499))</f>
        <v/>
      </c>
      <c r="BE499" s="136" t="str">
        <f>IF(AI461="","",IF(I499="","",I499))</f>
        <v/>
      </c>
      <c r="BF499" s="136" t="str">
        <f>IF(AI461="","",IF(J499="","",J499))</f>
        <v/>
      </c>
      <c r="BG499" s="136" t="str">
        <f>IF(AI461="","",IF(K499="","",K499))</f>
        <v/>
      </c>
      <c r="BH499" s="136" t="str">
        <f>IF(AI461="","",IF(L499="","",L499))</f>
        <v/>
      </c>
      <c r="BI499" s="136" t="str">
        <f>IF(AI461="","",IF(M499="","",M499))</f>
        <v/>
      </c>
      <c r="BJ499" s="136" t="str">
        <f>IF(AI461="","",IF(N499="","",N499))</f>
        <v/>
      </c>
      <c r="BK499" s="136" t="str">
        <f>IF(AI461="","",IF(O499="","",O499))</f>
        <v/>
      </c>
      <c r="BM499" s="136" t="str">
        <f t="shared" si="293"/>
        <v>AT</v>
      </c>
      <c r="BN499" s="136" t="str">
        <f t="shared" si="279"/>
        <v>Aulas Teóricas</v>
      </c>
      <c r="BO499" s="136" t="str">
        <f t="shared" si="279"/>
        <v>CDI</v>
      </c>
      <c r="BP499" s="136">
        <f>(COUNTIFS(AX465:AX512,BM499,AY465:AY512,BO499)+COUNTIFS(AZ465:AZ512,BM499,BA465:BA512,BO499)+COUNTIFS(BB465:BB512,BM499,BC465:BC512,BO499)+COUNTIFS(BD465:BD512,BM499,BE465:BE512,BO499)+COUNTIFS(BF465:BF512,BM499,BG465:BG512,BO499)+COUNTIFS(BH465:BH512,BM499,BI465:BI512,BO499)+COUNTIFS(BJ465:BJ512,BM499,BK465:BK512,BO499))*0.5</f>
        <v>0</v>
      </c>
      <c r="BQ499" s="136" t="str">
        <f t="shared" si="280"/>
        <v>Aulas Teóricas</v>
      </c>
      <c r="BR499" s="136" t="str">
        <f t="shared" si="280"/>
        <v>CDI</v>
      </c>
      <c r="BS499" s="136" t="str">
        <f t="shared" si="281"/>
        <v>Aulas Teóricas</v>
      </c>
      <c r="BT499" s="136">
        <f t="shared" si="287"/>
        <v>24</v>
      </c>
      <c r="BU499" s="136">
        <f t="shared" si="288"/>
        <v>24</v>
      </c>
      <c r="CA499" s="136">
        <f>'INFO BASE'!L577</f>
        <v>0</v>
      </c>
      <c r="CB499" s="136">
        <f>'INFO BASE'!M577</f>
        <v>0</v>
      </c>
      <c r="CR499" s="177" t="str">
        <f t="shared" si="269"/>
        <v>EG</v>
      </c>
      <c r="CS499" s="177" t="str">
        <f t="shared" si="270"/>
        <v>EGIEI</v>
      </c>
      <c r="CT499" s="177" t="str">
        <f t="shared" si="269"/>
        <v>HD</v>
      </c>
      <c r="CU499" s="177" t="str">
        <f t="shared" si="271"/>
        <v>HD-</v>
      </c>
      <c r="CV499" s="177" t="str">
        <f t="shared" si="269"/>
        <v>HD</v>
      </c>
      <c r="CW499" s="177" t="str">
        <f t="shared" si="272"/>
        <v>HD-</v>
      </c>
      <c r="CX499" s="177" t="str">
        <f t="shared" si="269"/>
        <v>EG</v>
      </c>
      <c r="CY499" s="177" t="str">
        <f t="shared" si="273"/>
        <v>EGCDI</v>
      </c>
      <c r="CZ499" s="177" t="str">
        <f t="shared" si="269"/>
        <v>HD</v>
      </c>
      <c r="DA499" s="177" t="str">
        <f t="shared" si="274"/>
        <v>HD-</v>
      </c>
      <c r="DB499" s="177" t="str">
        <f t="shared" si="269"/>
        <v>EA</v>
      </c>
      <c r="DC499" s="177" t="str">
        <f t="shared" si="275"/>
        <v>EAIEI</v>
      </c>
      <c r="DD499" s="177" t="str">
        <f t="shared" si="276"/>
        <v>EA</v>
      </c>
      <c r="DE499" s="177" t="str">
        <f t="shared" si="277"/>
        <v>EAIEI</v>
      </c>
    </row>
    <row r="500" spans="1:109" ht="18" customHeight="1" x14ac:dyDescent="0.3">
      <c r="A500" s="81">
        <v>0.72916666666669006</v>
      </c>
      <c r="B500" s="166" t="s">
        <v>11</v>
      </c>
      <c r="C500" s="130" t="s">
        <v>120</v>
      </c>
      <c r="D500" s="169" t="s">
        <v>11</v>
      </c>
      <c r="E500" s="130" t="s">
        <v>120</v>
      </c>
      <c r="F500" s="169" t="s">
        <v>11</v>
      </c>
      <c r="G500" s="130" t="s">
        <v>120</v>
      </c>
      <c r="H500" s="169" t="s">
        <v>11</v>
      </c>
      <c r="I500" s="130" t="s">
        <v>120</v>
      </c>
      <c r="J500" s="169" t="s">
        <v>11</v>
      </c>
      <c r="K500" s="130" t="s">
        <v>120</v>
      </c>
      <c r="L500" s="169" t="s">
        <v>8</v>
      </c>
      <c r="M500" s="130" t="s">
        <v>226</v>
      </c>
      <c r="N500" s="169" t="s">
        <v>8</v>
      </c>
      <c r="O500" s="154" t="s">
        <v>226</v>
      </c>
      <c r="P500" s="6">
        <v>0</v>
      </c>
      <c r="Q500" s="123" t="str">
        <f t="shared" si="294"/>
        <v>Aulas Teóricas</v>
      </c>
      <c r="R500" s="105" t="str">
        <f t="shared" si="286"/>
        <v>IAC</v>
      </c>
      <c r="S500" s="88">
        <f t="shared" si="283"/>
        <v>0</v>
      </c>
      <c r="T500" s="106">
        <f>IF(VLOOKUP(Q500,'INFO BASE'!$B$40:$I$54,IF(R500='INFO BASE'!$B$32,3,IF(R500='INFO BASE'!$B$33,4,IF(R500='INFO BASE'!$B$34,5,IF(R500='INFO BASE'!$B$35,6,IF(R500='INFO BASE'!$B$36,7,IF(R500='INFO BASE'!$B$37,8,2)))))),0)=0,"",VLOOKUP(Q500,'INFO BASE'!$B$40:$I$54,IF(R500='INFO BASE'!$B$32,3,IF(R500='INFO BASE'!$B$33,4,IF(R500='INFO BASE'!$B$34,5,IF(R500='INFO BASE'!$B$35,6,IF(R500='INFO BASE'!$B$36,7,IF(R500='INFO BASE'!$B$37,8,2)))))),0))</f>
        <v>3</v>
      </c>
      <c r="U500" s="106">
        <f>(COUNTIFS(C465:C512,R500,B465:B512,R497)+COUNTIFS(E465:E512,R500,D465:D512,R497)+COUNTIFS(G465:G512,R500,F465:F512,R497)+COUNTIFS(I465:I512,R500,H465:H512,R497)+COUNTIFS(K465:K512,R500,J465:J512,R497)+COUNTIFS(M465:M512,R500,L465:L512,R497)+COUNTIFS(O465:O512,R500,N465:N512,R497))*0.5</f>
        <v>3</v>
      </c>
      <c r="V500" s="89">
        <f>(COUNTIFS(AI465:AI512,R497,AJ465:AJ512,R493)+COUNTIFS(AK465:AK512,R497,AL465:AL512,R493)+COUNTIFS(AM465:AM512,R497,AN465:AN512,R493)+COUNTIFS(AO465:AO512,R497,AP465:AP512,R493)+COUNTIFS(AQ465:AQ512,R497,AR465:AR512,R493)+COUNTIFS(AS465:AS512,R497,AT465:AT512,R493)+COUNTIFS(AU465:AU512,R497,AV465:AV512,R493))*0.5</f>
        <v>0</v>
      </c>
      <c r="W500" s="90" t="str">
        <f>IF(AH461="","-",IF(V500=0,U500,IFERROR((U500/V500)-1,"-")))</f>
        <v>-</v>
      </c>
      <c r="X500" s="201">
        <f t="shared" si="284"/>
        <v>0</v>
      </c>
      <c r="Y500" s="271"/>
      <c r="Z500" s="272"/>
      <c r="AA500" s="272"/>
      <c r="AB500" s="272"/>
      <c r="AC500" s="272"/>
      <c r="AD500" s="272"/>
      <c r="AE500" s="272"/>
      <c r="AF500" s="273"/>
      <c r="AH500" s="136">
        <v>0.72916666666669006</v>
      </c>
      <c r="AI500" s="136" t="str">
        <f>IF(AH461="","",IF(B500="","",B500))</f>
        <v/>
      </c>
      <c r="AJ500" s="136" t="str">
        <f>IF(AH461="","",IF(C500="","",C500))</f>
        <v/>
      </c>
      <c r="AK500" s="136" t="str">
        <f>IF(AH461="","",IF(D500="","",D500))</f>
        <v/>
      </c>
      <c r="AL500" s="136" t="str">
        <f>IF(AH461="","",IF(E500="","",E500))</f>
        <v/>
      </c>
      <c r="AM500" s="136" t="str">
        <f>IF(AH461="","",IF(F500="","",F500))</f>
        <v/>
      </c>
      <c r="AN500" s="136" t="str">
        <f>IF(AH461="","",IF(G500="","",G500))</f>
        <v/>
      </c>
      <c r="AO500" s="136" t="str">
        <f>IF(AH461="","",IF(H500="","",H500))</f>
        <v/>
      </c>
      <c r="AP500" s="136" t="str">
        <f>IF(AH461="","",IF(I500="","",I500))</f>
        <v/>
      </c>
      <c r="AQ500" s="136" t="str">
        <f>IF(AH461="","",IF(J500="","",J500))</f>
        <v/>
      </c>
      <c r="AR500" s="136" t="str">
        <f>IF(AH461="","",IF(K500="","",K500))</f>
        <v/>
      </c>
      <c r="AS500" s="136" t="str">
        <f>IF(AH461="","",IF(L500="","",L500))</f>
        <v/>
      </c>
      <c r="AT500" s="136" t="str">
        <f>IF(AH461="","",IF(M500="","",M500))</f>
        <v/>
      </c>
      <c r="AU500" s="136" t="str">
        <f>IF(AH461="","",IF(N500="","",N500))</f>
        <v/>
      </c>
      <c r="AV500" s="136" t="str">
        <f>IF(AH461="","",IF(O500="","",O500))</f>
        <v/>
      </c>
      <c r="AX500" s="136" t="str">
        <f>IF(AI461="","",IF(B500="","",B500))</f>
        <v/>
      </c>
      <c r="AY500" s="136" t="str">
        <f>IF(AI461="","",IF(C500="","",C500))</f>
        <v/>
      </c>
      <c r="AZ500" s="136" t="str">
        <f>IF(AI461="","",IF(D500="","",D500))</f>
        <v/>
      </c>
      <c r="BA500" s="136" t="str">
        <f>IF(AI461="","",IF(E500="","",E500))</f>
        <v/>
      </c>
      <c r="BB500" s="136" t="str">
        <f>IF(AI461="","",IF(F500="","",F500))</f>
        <v/>
      </c>
      <c r="BC500" s="136" t="str">
        <f>IF(AI461="","",IF(G500="","",G500))</f>
        <v/>
      </c>
      <c r="BD500" s="136" t="str">
        <f>IF(AI461="","",IF(H500="","",H500))</f>
        <v/>
      </c>
      <c r="BE500" s="136" t="str">
        <f>IF(AI461="","",IF(I500="","",I500))</f>
        <v/>
      </c>
      <c r="BF500" s="136" t="str">
        <f>IF(AI461="","",IF(J500="","",J500))</f>
        <v/>
      </c>
      <c r="BG500" s="136" t="str">
        <f>IF(AI461="","",IF(K500="","",K500))</f>
        <v/>
      </c>
      <c r="BH500" s="136" t="str">
        <f>IF(AI461="","",IF(L500="","",L500))</f>
        <v/>
      </c>
      <c r="BI500" s="136" t="str">
        <f>IF(AI461="","",IF(M500="","",M500))</f>
        <v/>
      </c>
      <c r="BJ500" s="136" t="str">
        <f>IF(AI461="","",IF(N500="","",N500))</f>
        <v/>
      </c>
      <c r="BK500" s="136" t="str">
        <f>IF(AI461="","",IF(O500="","",O500))</f>
        <v/>
      </c>
      <c r="BM500" s="136" t="str">
        <f t="shared" si="293"/>
        <v>AT</v>
      </c>
      <c r="BN500" s="136" t="str">
        <f t="shared" si="279"/>
        <v>Aulas Teóricas</v>
      </c>
      <c r="BO500" s="136" t="str">
        <f t="shared" si="279"/>
        <v/>
      </c>
      <c r="BP500" s="136">
        <f>(COUNTIFS(AX465:AX512,BM500,AY465:AY512,BO500)+COUNTIFS(AZ465:AZ512,BM500,BA465:BA512,BO500)+COUNTIFS(BB465:BB512,BM500,BC465:BC512,BO500)+COUNTIFS(BD465:BD512,BM500,BE465:BE512,BO500)+COUNTIFS(BF465:BF512,BM500,BG465:BG512,BO500)+COUNTIFS(BH465:BH512,BM500,BI465:BI512,BO500)+COUNTIFS(BJ465:BJ512,BM500,BK465:BK512,BO500))*0.5</f>
        <v>0</v>
      </c>
      <c r="BQ500" s="136" t="str">
        <f t="shared" si="280"/>
        <v>Aulas Teóricas</v>
      </c>
      <c r="BR500" s="136" t="str">
        <f t="shared" si="280"/>
        <v/>
      </c>
      <c r="BS500" s="136" t="str">
        <f t="shared" si="281"/>
        <v>Aulas Teóricas</v>
      </c>
      <c r="BT500" s="136">
        <f t="shared" si="287"/>
        <v>0</v>
      </c>
      <c r="BU500" s="136">
        <f t="shared" si="288"/>
        <v>0</v>
      </c>
      <c r="CA500" s="136">
        <f>'INFO BASE'!L578</f>
        <v>0</v>
      </c>
      <c r="CB500" s="136">
        <f>'INFO BASE'!M578</f>
        <v>0</v>
      </c>
      <c r="CR500" s="177" t="str">
        <f t="shared" si="269"/>
        <v>HD</v>
      </c>
      <c r="CS500" s="177" t="str">
        <f t="shared" si="270"/>
        <v>HD-</v>
      </c>
      <c r="CT500" s="177" t="str">
        <f t="shared" si="269"/>
        <v>HD</v>
      </c>
      <c r="CU500" s="177" t="str">
        <f t="shared" si="271"/>
        <v>HD-</v>
      </c>
      <c r="CV500" s="177" t="str">
        <f t="shared" si="269"/>
        <v>HD</v>
      </c>
      <c r="CW500" s="177" t="str">
        <f t="shared" si="272"/>
        <v>HD-</v>
      </c>
      <c r="CX500" s="177" t="str">
        <f t="shared" si="269"/>
        <v>HD</v>
      </c>
      <c r="CY500" s="177" t="str">
        <f t="shared" si="273"/>
        <v>HD-</v>
      </c>
      <c r="CZ500" s="177" t="str">
        <f t="shared" si="269"/>
        <v>HD</v>
      </c>
      <c r="DA500" s="177" t="str">
        <f t="shared" si="274"/>
        <v>HD-</v>
      </c>
      <c r="DB500" s="177" t="str">
        <f t="shared" si="269"/>
        <v>EA</v>
      </c>
      <c r="DC500" s="177" t="str">
        <f t="shared" si="275"/>
        <v>EAIEI</v>
      </c>
      <c r="DD500" s="177" t="str">
        <f t="shared" si="276"/>
        <v>EA</v>
      </c>
      <c r="DE500" s="177" t="str">
        <f t="shared" si="277"/>
        <v>EAIEI</v>
      </c>
    </row>
    <row r="501" spans="1:109" ht="18" customHeight="1" x14ac:dyDescent="0.3">
      <c r="A501" s="81">
        <v>0.75000000000002398</v>
      </c>
      <c r="B501" s="166" t="s">
        <v>11</v>
      </c>
      <c r="C501" s="130" t="s">
        <v>120</v>
      </c>
      <c r="D501" s="169" t="s">
        <v>11</v>
      </c>
      <c r="E501" s="130" t="s">
        <v>120</v>
      </c>
      <c r="F501" s="169" t="s">
        <v>11</v>
      </c>
      <c r="G501" s="130" t="s">
        <v>120</v>
      </c>
      <c r="H501" s="169" t="s">
        <v>11</v>
      </c>
      <c r="I501" s="130" t="s">
        <v>120</v>
      </c>
      <c r="J501" s="169" t="s">
        <v>11</v>
      </c>
      <c r="K501" s="130" t="s">
        <v>120</v>
      </c>
      <c r="L501" s="169" t="s">
        <v>8</v>
      </c>
      <c r="M501" s="130" t="s">
        <v>226</v>
      </c>
      <c r="N501" s="169" t="s">
        <v>8</v>
      </c>
      <c r="O501" s="154" t="s">
        <v>226</v>
      </c>
      <c r="P501" s="6">
        <v>0</v>
      </c>
      <c r="Q501" s="122" t="str">
        <f t="shared" si="294"/>
        <v>Aulas Teóricas</v>
      </c>
      <c r="R501" s="105" t="str">
        <f t="shared" si="286"/>
        <v>AL</v>
      </c>
      <c r="S501" s="88">
        <f t="shared" si="283"/>
        <v>0</v>
      </c>
      <c r="T501" s="106">
        <f>IF(VLOOKUP(Q501,'INFO BASE'!$B$40:$I$54,IF(R501='INFO BASE'!$B$32,3,IF(R501='INFO BASE'!$B$33,4,IF(R501='INFO BASE'!$B$34,5,IF(R501='INFO BASE'!$B$35,6,IF(R501='INFO BASE'!$B$36,7,IF(R501='INFO BASE'!$B$37,8,2)))))),0)=0,"",VLOOKUP(Q501,'INFO BASE'!$B$40:$I$54,IF(R501='INFO BASE'!$B$32,3,IF(R501='INFO BASE'!$B$33,4,IF(R501='INFO BASE'!$B$34,5,IF(R501='INFO BASE'!$B$35,6,IF(R501='INFO BASE'!$B$36,7,IF(R501='INFO BASE'!$B$37,8,2)))))),0))</f>
        <v>3</v>
      </c>
      <c r="U501" s="106">
        <f>(COUNTIFS(C465:C512,R501,B465:B512,R497)+COUNTIFS(E465:E512,R501,D465:D512,R497)+COUNTIFS(G465:G512,R501,F465:F512,R497)+COUNTIFS(I465:I512,R501,H465:H512,R497)+COUNTIFS(K465:K512,R501,J465:J512,R497)+COUNTIFS(M465:M512,R501,L465:L512,R497)+COUNTIFS(O465:O512,R501,N465:N512,R497))*0.5</f>
        <v>3</v>
      </c>
      <c r="V501" s="89">
        <f>(COUNTIFS(AI465:AI512,R497,AJ465:AJ512,R494)+COUNTIFS(AK465:AK512,R497,AL465:AL512,R494)+COUNTIFS(AM465:AM512,R497,AN465:AN512,R494)+COUNTIFS(AO465:AO512,R497,AP465:AP512,R494)+COUNTIFS(AQ465:AQ512,R497,AR465:AR512,R494)+COUNTIFS(AS465:AS512,R497,AT465:AT512,R494)+COUNTIFS(AU465:AU512,R497,AV465:AV512,R494))*0.5</f>
        <v>0</v>
      </c>
      <c r="W501" s="90" t="str">
        <f>IF(AH461="","-",IF(V501=0,U501,IFERROR((U501/V501)-1,"-")))</f>
        <v>-</v>
      </c>
      <c r="X501" s="201">
        <f t="shared" si="284"/>
        <v>0</v>
      </c>
      <c r="Y501" s="271"/>
      <c r="Z501" s="272"/>
      <c r="AA501" s="272"/>
      <c r="AB501" s="272"/>
      <c r="AC501" s="272"/>
      <c r="AD501" s="272"/>
      <c r="AE501" s="272"/>
      <c r="AF501" s="273"/>
      <c r="AH501" s="136">
        <v>0.75000000000002398</v>
      </c>
      <c r="AI501" s="136" t="str">
        <f>IF(AH461="","",IF(B501="","",B501))</f>
        <v/>
      </c>
      <c r="AJ501" s="136" t="str">
        <f>IF(AH461="","",IF(C501="","",C501))</f>
        <v/>
      </c>
      <c r="AK501" s="136" t="str">
        <f>IF(AH461="","",IF(D501="","",D501))</f>
        <v/>
      </c>
      <c r="AL501" s="136" t="str">
        <f>IF(AH461="","",IF(E501="","",E501))</f>
        <v/>
      </c>
      <c r="AM501" s="136" t="str">
        <f>IF(AH461="","",IF(F501="","",F501))</f>
        <v/>
      </c>
      <c r="AN501" s="136" t="str">
        <f>IF(AH461="","",IF(G501="","",G501))</f>
        <v/>
      </c>
      <c r="AO501" s="136" t="str">
        <f>IF(AH461="","",IF(H501="","",H501))</f>
        <v/>
      </c>
      <c r="AP501" s="136" t="str">
        <f>IF(AH461="","",IF(I501="","",I501))</f>
        <v/>
      </c>
      <c r="AQ501" s="136" t="str">
        <f>IF(AH461="","",IF(J501="","",J501))</f>
        <v/>
      </c>
      <c r="AR501" s="136" t="str">
        <f>IF(AH461="","",IF(K501="","",K501))</f>
        <v/>
      </c>
      <c r="AS501" s="136" t="str">
        <f>IF(AH461="","",IF(L501="","",L501))</f>
        <v/>
      </c>
      <c r="AT501" s="136" t="str">
        <f>IF(AH461="","",IF(M501="","",M501))</f>
        <v/>
      </c>
      <c r="AU501" s="136" t="str">
        <f>IF(AH461="","",IF(N501="","",N501))</f>
        <v/>
      </c>
      <c r="AV501" s="136" t="str">
        <f>IF(AH461="","",IF(O501="","",O501))</f>
        <v/>
      </c>
      <c r="AX501" s="136" t="str">
        <f>IF(AI461="","",IF(B501="","",B501))</f>
        <v/>
      </c>
      <c r="AY501" s="136" t="str">
        <f>IF(AI461="","",IF(C501="","",C501))</f>
        <v/>
      </c>
      <c r="AZ501" s="136" t="str">
        <f>IF(AI461="","",IF(D501="","",D501))</f>
        <v/>
      </c>
      <c r="BA501" s="136" t="str">
        <f>IF(AI461="","",IF(E501="","",E501))</f>
        <v/>
      </c>
      <c r="BB501" s="136" t="str">
        <f>IF(AI461="","",IF(F501="","",F501))</f>
        <v/>
      </c>
      <c r="BC501" s="136" t="str">
        <f>IF(AI461="","",IF(G501="","",G501))</f>
        <v/>
      </c>
      <c r="BD501" s="136" t="str">
        <f>IF(AI461="","",IF(H501="","",H501))</f>
        <v/>
      </c>
      <c r="BE501" s="136" t="str">
        <f>IF(AI461="","",IF(I501="","",I501))</f>
        <v/>
      </c>
      <c r="BF501" s="136" t="str">
        <f>IF(AI461="","",IF(J501="","",J501))</f>
        <v/>
      </c>
      <c r="BG501" s="136" t="str">
        <f>IF(AI461="","",IF(K501="","",K501))</f>
        <v/>
      </c>
      <c r="BH501" s="136" t="str">
        <f>IF(AI461="","",IF(L501="","",L501))</f>
        <v/>
      </c>
      <c r="BI501" s="136" t="str">
        <f>IF(AI461="","",IF(M501="","",M501))</f>
        <v/>
      </c>
      <c r="BJ501" s="136" t="str">
        <f>IF(AI461="","",IF(N501="","",N501))</f>
        <v/>
      </c>
      <c r="BK501" s="136" t="str">
        <f>IF(AI461="","",IF(O501="","",O501))</f>
        <v/>
      </c>
      <c r="BN501" s="136" t="str">
        <f t="shared" si="279"/>
        <v>Aulas Práticas</v>
      </c>
      <c r="BO501" s="136" t="str">
        <f t="shared" si="279"/>
        <v>APA</v>
      </c>
      <c r="BP501" s="136">
        <f>IF(BO501="","",COUNTIFS(AX465:BK512,BO501)*0.5)</f>
        <v>0</v>
      </c>
      <c r="BQ501" s="136" t="str">
        <f t="shared" si="280"/>
        <v>Aulas Práticas</v>
      </c>
      <c r="BR501" s="136" t="str">
        <f t="shared" si="280"/>
        <v>APA</v>
      </c>
      <c r="BS501" s="136" t="str">
        <f t="shared" si="281"/>
        <v>Aulas Práticas</v>
      </c>
      <c r="BT501" s="136">
        <f t="shared" si="287"/>
        <v>0</v>
      </c>
      <c r="BU501" s="136">
        <f t="shared" si="288"/>
        <v>0</v>
      </c>
      <c r="CA501" s="136">
        <f>'INFO BASE'!L579</f>
        <v>0</v>
      </c>
      <c r="CB501" s="136">
        <f>'INFO BASE'!M579</f>
        <v>0</v>
      </c>
      <c r="CR501" s="177" t="str">
        <f t="shared" si="269"/>
        <v>HD</v>
      </c>
      <c r="CS501" s="177" t="str">
        <f t="shared" si="270"/>
        <v>HD-</v>
      </c>
      <c r="CT501" s="177" t="str">
        <f t="shared" si="269"/>
        <v>HD</v>
      </c>
      <c r="CU501" s="177" t="str">
        <f t="shared" si="271"/>
        <v>HD-</v>
      </c>
      <c r="CV501" s="177" t="str">
        <f t="shared" si="269"/>
        <v>HD</v>
      </c>
      <c r="CW501" s="177" t="str">
        <f t="shared" si="272"/>
        <v>HD-</v>
      </c>
      <c r="CX501" s="177" t="str">
        <f t="shared" si="269"/>
        <v>HD</v>
      </c>
      <c r="CY501" s="177" t="str">
        <f t="shared" si="273"/>
        <v>HD-</v>
      </c>
      <c r="CZ501" s="177" t="str">
        <f t="shared" si="269"/>
        <v>HD</v>
      </c>
      <c r="DA501" s="177" t="str">
        <f t="shared" si="274"/>
        <v>HD-</v>
      </c>
      <c r="DB501" s="177" t="str">
        <f t="shared" si="269"/>
        <v>EA</v>
      </c>
      <c r="DC501" s="177" t="str">
        <f t="shared" si="275"/>
        <v>EAIEI</v>
      </c>
      <c r="DD501" s="177" t="str">
        <f t="shared" si="276"/>
        <v>EA</v>
      </c>
      <c r="DE501" s="177" t="str">
        <f t="shared" si="277"/>
        <v>EAIEI</v>
      </c>
    </row>
    <row r="502" spans="1:109" ht="18" customHeight="1" x14ac:dyDescent="0.3">
      <c r="A502" s="81">
        <v>0.77083333333335802</v>
      </c>
      <c r="B502" s="166" t="s">
        <v>116</v>
      </c>
      <c r="C502" s="130" t="s">
        <v>120</v>
      </c>
      <c r="D502" s="169" t="s">
        <v>116</v>
      </c>
      <c r="E502" s="130" t="s">
        <v>120</v>
      </c>
      <c r="F502" s="169" t="s">
        <v>128</v>
      </c>
      <c r="G502" s="130" t="s">
        <v>226</v>
      </c>
      <c r="H502" s="169" t="s">
        <v>116</v>
      </c>
      <c r="I502" s="130" t="s">
        <v>120</v>
      </c>
      <c r="J502" s="169" t="s">
        <v>116</v>
      </c>
      <c r="K502" s="130" t="s">
        <v>120</v>
      </c>
      <c r="L502" s="169" t="s">
        <v>8</v>
      </c>
      <c r="M502" s="130" t="s">
        <v>226</v>
      </c>
      <c r="N502" s="169" t="s">
        <v>8</v>
      </c>
      <c r="O502" s="154" t="s">
        <v>226</v>
      </c>
      <c r="P502" s="6">
        <v>0</v>
      </c>
      <c r="Q502" s="122" t="str">
        <f t="shared" si="294"/>
        <v>Aulas Teóricas</v>
      </c>
      <c r="R502" s="105" t="str">
        <f t="shared" si="286"/>
        <v>CDI</v>
      </c>
      <c r="S502" s="88">
        <f t="shared" si="283"/>
        <v>0</v>
      </c>
      <c r="T502" s="106">
        <f>IF(VLOOKUP(Q502,'INFO BASE'!$B$40:$I$54,IF(R502='INFO BASE'!$B$32,3,IF(R502='INFO BASE'!$B$33,4,IF(R502='INFO BASE'!$B$34,5,IF(R502='INFO BASE'!$B$35,6,IF(R502='INFO BASE'!$B$36,7,IF(R502='INFO BASE'!$B$37,8,2)))))),0)=0,"",VLOOKUP(Q502,'INFO BASE'!$B$40:$I$54,IF(R502='INFO BASE'!$B$32,3,IF(R502='INFO BASE'!$B$33,4,IF(R502='INFO BASE'!$B$34,5,IF(R502='INFO BASE'!$B$35,6,IF(R502='INFO BASE'!$B$36,7,IF(R502='INFO BASE'!$B$37,8,2)))))),0))</f>
        <v>3</v>
      </c>
      <c r="U502" s="106">
        <f>(COUNTIFS(C465:C512,R502,B465:B512,R497)+COUNTIFS(E465:E512,R502,D465:D512,R497)+COUNTIFS(G465:G512,R502,F465:F512,R497)+COUNTIFS(I465:I512,R502,H465:H512,R497)+COUNTIFS(K465:K512,R502,J465:J512,R497)+COUNTIFS(M465:M512,R502,L465:L512,R497)+COUNTIFS(O465:O512,R502,N465:N512,R497))*0.5</f>
        <v>3</v>
      </c>
      <c r="V502" s="89">
        <f>(COUNTIFS(AI465:AI512,R497,AJ465:AJ512,R495)+COUNTIFS(AK465:AK512,R497,AL465:AL512,R495)+COUNTIFS(AM465:AM512,R497,AN465:AN512,R495)+COUNTIFS(AO465:AO512,R497,AP465:AP512,R495)+COUNTIFS(AQ465:AQ512,R497,AR465:AR512,R495)+COUNTIFS(AS465:AS512,R497,AT465:AT512,R495)+COUNTIFS(AU465:AU512,R497,AV465:AV512,R495))*0.5</f>
        <v>0</v>
      </c>
      <c r="W502" s="90" t="str">
        <f>IF(AH461="","-",IF(V502=0,U502,IFERROR((U502/V502)-1,"-")))</f>
        <v>-</v>
      </c>
      <c r="X502" s="201">
        <f t="shared" si="284"/>
        <v>0</v>
      </c>
      <c r="Y502" s="271"/>
      <c r="Z502" s="272"/>
      <c r="AA502" s="272"/>
      <c r="AB502" s="272"/>
      <c r="AC502" s="272"/>
      <c r="AD502" s="272"/>
      <c r="AE502" s="272"/>
      <c r="AF502" s="273"/>
      <c r="AH502" s="136">
        <v>0.77083333333335802</v>
      </c>
      <c r="AI502" s="136" t="str">
        <f>IF(AH461="","",IF(B502="","",B502))</f>
        <v/>
      </c>
      <c r="AJ502" s="136" t="str">
        <f>IF(AH461="","",IF(C502="","",C502))</f>
        <v/>
      </c>
      <c r="AK502" s="136" t="str">
        <f>IF(AH461="","",IF(D502="","",D502))</f>
        <v/>
      </c>
      <c r="AL502" s="136" t="str">
        <f>IF(AH461="","",IF(E502="","",E502))</f>
        <v/>
      </c>
      <c r="AM502" s="136" t="str">
        <f>IF(AH461="","",IF(F502="","",F502))</f>
        <v/>
      </c>
      <c r="AN502" s="136" t="str">
        <f>IF(AH461="","",IF(G502="","",G502))</f>
        <v/>
      </c>
      <c r="AO502" s="136" t="str">
        <f>IF(AH461="","",IF(H502="","",H502))</f>
        <v/>
      </c>
      <c r="AP502" s="136" t="str">
        <f>IF(AH461="","",IF(I502="","",I502))</f>
        <v/>
      </c>
      <c r="AQ502" s="136" t="str">
        <f>IF(AH461="","",IF(J502="","",J502))</f>
        <v/>
      </c>
      <c r="AR502" s="136" t="str">
        <f>IF(AH461="","",IF(K502="","",K502))</f>
        <v/>
      </c>
      <c r="AS502" s="136" t="str">
        <f>IF(AH461="","",IF(L502="","",L502))</f>
        <v/>
      </c>
      <c r="AT502" s="136" t="str">
        <f>IF(AH461="","",IF(M502="","",M502))</f>
        <v/>
      </c>
      <c r="AU502" s="136" t="str">
        <f>IF(AH461="","",IF(N502="","",N502))</f>
        <v/>
      </c>
      <c r="AV502" s="136" t="str">
        <f>IF(AH461="","",IF(O502="","",O502))</f>
        <v/>
      </c>
      <c r="AX502" s="136" t="str">
        <f>IF(AI461="","",IF(B502="","",B502))</f>
        <v/>
      </c>
      <c r="AY502" s="136" t="str">
        <f>IF(AI461="","",IF(C502="","",C502))</f>
        <v/>
      </c>
      <c r="AZ502" s="136" t="str">
        <f>IF(AI461="","",IF(D502="","",D502))</f>
        <v/>
      </c>
      <c r="BA502" s="136" t="str">
        <f>IF(AI461="","",IF(E502="","",E502))</f>
        <v/>
      </c>
      <c r="BB502" s="136" t="str">
        <f>IF(AI461="","",IF(F502="","",F502))</f>
        <v/>
      </c>
      <c r="BC502" s="136" t="str">
        <f>IF(AI461="","",IF(G502="","",G502))</f>
        <v/>
      </c>
      <c r="BD502" s="136" t="str">
        <f>IF(AI461="","",IF(H502="","",H502))</f>
        <v/>
      </c>
      <c r="BE502" s="136" t="str">
        <f>IF(AI461="","",IF(I502="","",I502))</f>
        <v/>
      </c>
      <c r="BF502" s="136" t="str">
        <f>IF(AI461="","",IF(J502="","",J502))</f>
        <v/>
      </c>
      <c r="BG502" s="136" t="str">
        <f>IF(AI461="","",IF(K502="","",K502))</f>
        <v/>
      </c>
      <c r="BH502" s="136" t="str">
        <f>IF(AI461="","",IF(L502="","",L502))</f>
        <v/>
      </c>
      <c r="BI502" s="136" t="str">
        <f>IF(AI461="","",IF(M502="","",M502))</f>
        <v/>
      </c>
      <c r="BJ502" s="136" t="str">
        <f>IF(AI461="","",IF(N502="","",N502))</f>
        <v/>
      </c>
      <c r="BK502" s="136" t="str">
        <f>IF(AI461="","",IF(O502="","",O502))</f>
        <v/>
      </c>
      <c r="BN502" s="136" t="str">
        <f t="shared" si="279"/>
        <v>Aulas Problemas</v>
      </c>
      <c r="BO502" s="136" t="str">
        <f t="shared" si="279"/>
        <v>APB</v>
      </c>
      <c r="BP502" s="136">
        <f>IF(BO502="","",COUNTIFS(AX465:BK512,BO502)*0.5)</f>
        <v>0</v>
      </c>
      <c r="BQ502" s="136" t="str">
        <f t="shared" si="280"/>
        <v>Aulas Problemas</v>
      </c>
      <c r="BR502" s="136" t="str">
        <f t="shared" si="280"/>
        <v>APB</v>
      </c>
      <c r="BS502" s="136" t="str">
        <f t="shared" si="281"/>
        <v>Aulas Problemas</v>
      </c>
      <c r="BT502" s="136">
        <f t="shared" si="287"/>
        <v>36</v>
      </c>
      <c r="BU502" s="136">
        <f t="shared" si="288"/>
        <v>36</v>
      </c>
      <c r="CR502" s="177" t="str">
        <f t="shared" si="269"/>
        <v>PV</v>
      </c>
      <c r="CS502" s="177">
        <f t="shared" si="270"/>
        <v>0</v>
      </c>
      <c r="CT502" s="177" t="str">
        <f t="shared" si="269"/>
        <v>PV</v>
      </c>
      <c r="CU502" s="177">
        <f t="shared" si="271"/>
        <v>0</v>
      </c>
      <c r="CV502" s="177" t="str">
        <f t="shared" si="269"/>
        <v>EG</v>
      </c>
      <c r="CW502" s="177" t="str">
        <f t="shared" si="272"/>
        <v>EGIEI</v>
      </c>
      <c r="CX502" s="177" t="str">
        <f t="shared" si="269"/>
        <v>PV</v>
      </c>
      <c r="CY502" s="177">
        <f t="shared" si="273"/>
        <v>0</v>
      </c>
      <c r="CZ502" s="177" t="str">
        <f t="shared" si="269"/>
        <v>PV</v>
      </c>
      <c r="DA502" s="177">
        <f t="shared" si="274"/>
        <v>0</v>
      </c>
      <c r="DB502" s="177" t="str">
        <f t="shared" si="269"/>
        <v>EA</v>
      </c>
      <c r="DC502" s="177" t="str">
        <f t="shared" si="275"/>
        <v>EAIEI</v>
      </c>
      <c r="DD502" s="177" t="str">
        <f t="shared" si="276"/>
        <v>EA</v>
      </c>
      <c r="DE502" s="177" t="str">
        <f t="shared" si="277"/>
        <v>EAIEI</v>
      </c>
    </row>
    <row r="503" spans="1:109" ht="18" customHeight="1" thickBot="1" x14ac:dyDescent="0.35">
      <c r="A503" s="81">
        <v>0.79166666666669205</v>
      </c>
      <c r="B503" s="166" t="s">
        <v>116</v>
      </c>
      <c r="C503" s="130" t="s">
        <v>120</v>
      </c>
      <c r="D503" s="169" t="s">
        <v>8</v>
      </c>
      <c r="E503" s="130" t="s">
        <v>224</v>
      </c>
      <c r="F503" s="169" t="s">
        <v>128</v>
      </c>
      <c r="G503" s="130" t="s">
        <v>226</v>
      </c>
      <c r="H503" s="169" t="s">
        <v>116</v>
      </c>
      <c r="I503" s="130" t="s">
        <v>120</v>
      </c>
      <c r="J503" s="169" t="s">
        <v>116</v>
      </c>
      <c r="K503" s="130" t="s">
        <v>120</v>
      </c>
      <c r="L503" s="169" t="s">
        <v>116</v>
      </c>
      <c r="M503" s="130" t="s">
        <v>120</v>
      </c>
      <c r="N503" s="169" t="s">
        <v>8</v>
      </c>
      <c r="O503" s="154" t="s">
        <v>226</v>
      </c>
      <c r="P503" s="6">
        <v>0</v>
      </c>
      <c r="Q503" s="124" t="str">
        <f t="shared" si="294"/>
        <v>Aulas Teóricas</v>
      </c>
      <c r="R503" s="107" t="str">
        <f t="shared" si="286"/>
        <v/>
      </c>
      <c r="S503" s="94" t="str">
        <f t="shared" si="283"/>
        <v>-</v>
      </c>
      <c r="T503" s="108" t="str">
        <f>IF(VLOOKUP(Q503,'INFO BASE'!$B$40:$I$54,IF(R503='INFO BASE'!$B$32,3,IF(R503='INFO BASE'!$B$33,4,IF(R503='INFO BASE'!$B$34,5,IF(R503='INFO BASE'!$B$35,6,IF(R503='INFO BASE'!$B$36,7,IF(R503='INFO BASE'!$B$37,8,2)))))),0)=0,"",VLOOKUP(Q503,'INFO BASE'!$B$40:$I$54,IF(R503='INFO BASE'!$B$32,3,IF(R503='INFO BASE'!$B$33,4,IF(R503='INFO BASE'!$B$34,5,IF(R503='INFO BASE'!$B$35,6,IF(R503='INFO BASE'!$B$36,7,IF(R503='INFO BASE'!$B$37,8,2)))))),0))</f>
        <v/>
      </c>
      <c r="U503" s="108">
        <f>(COUNTIFS(C465:C512,R503,B465:B512,R497)+COUNTIFS(E465:E512,R503,D465:D512,R497)+COUNTIFS(G465:G512,R503,F465:F512,R497)+COUNTIFS(I465:I512,R503,H465:H512,R497)+COUNTIFS(K465:K512,R503,J465:J512,R497)+COUNTIFS(M465:M512,R503,L465:L512,R497)+COUNTIFS(O465:O512,R503,N465:N512,R497))*0.5</f>
        <v>0</v>
      </c>
      <c r="V503" s="95">
        <f>(COUNTIFS(AI465:AI512,R497,AJ465:AJ512,R496)+COUNTIFS(AK465:AK512,R497,AL465:AL512,R496)+COUNTIFS(AM465:AM512,R497,AN465:AN512,R496)+COUNTIFS(AO465:AO512,R497,AP465:AP512,R496)+COUNTIFS(AQ465:AQ512,R497,AR465:AR512,R496)+COUNTIFS(AS465:AS512,R497,AT465:AT512,R496)+COUNTIFS(AU465:AU512,R497,AV465:AV512,R496))*0.5</f>
        <v>0</v>
      </c>
      <c r="W503" s="96" t="str">
        <f>IF(AH461="","-",IF(V503=0,U503,IFERROR((U503/V503)-1,"-")))</f>
        <v>-</v>
      </c>
      <c r="X503" s="201">
        <f t="shared" si="284"/>
        <v>0</v>
      </c>
      <c r="Y503" s="274"/>
      <c r="Z503" s="275"/>
      <c r="AA503" s="275"/>
      <c r="AB503" s="275"/>
      <c r="AC503" s="275"/>
      <c r="AD503" s="275"/>
      <c r="AE503" s="275"/>
      <c r="AF503" s="276"/>
      <c r="AH503" s="136">
        <v>0.79166666666669205</v>
      </c>
      <c r="AI503" s="136" t="str">
        <f>IF(AH461="","",IF(B503="","",B503))</f>
        <v/>
      </c>
      <c r="AJ503" s="136" t="str">
        <f>IF(AH461="","",IF(C503="","",C503))</f>
        <v/>
      </c>
      <c r="AK503" s="136" t="str">
        <f>IF(AH461="","",IF(D503="","",D503))</f>
        <v/>
      </c>
      <c r="AL503" s="136" t="str">
        <f>IF(AH461="","",IF(E503="","",E503))</f>
        <v/>
      </c>
      <c r="AM503" s="136" t="str">
        <f>IF(AH461="","",IF(F503="","",F503))</f>
        <v/>
      </c>
      <c r="AN503" s="136" t="str">
        <f>IF(AH461="","",IF(G503="","",G503))</f>
        <v/>
      </c>
      <c r="AO503" s="136" t="str">
        <f>IF(AH461="","",IF(H503="","",H503))</f>
        <v/>
      </c>
      <c r="AP503" s="136" t="str">
        <f>IF(AH461="","",IF(I503="","",I503))</f>
        <v/>
      </c>
      <c r="AQ503" s="136" t="str">
        <f>IF(AH461="","",IF(J503="","",J503))</f>
        <v/>
      </c>
      <c r="AR503" s="136" t="str">
        <f>IF(AH461="","",IF(K503="","",K503))</f>
        <v/>
      </c>
      <c r="AS503" s="136" t="str">
        <f>IF(AH461="","",IF(L503="","",L503))</f>
        <v/>
      </c>
      <c r="AT503" s="136" t="str">
        <f>IF(AH461="","",IF(M503="","",M503))</f>
        <v/>
      </c>
      <c r="AU503" s="136" t="str">
        <f>IF(AH461="","",IF(N503="","",N503))</f>
        <v/>
      </c>
      <c r="AV503" s="136" t="str">
        <f>IF(AH461="","",IF(O503="","",O503))</f>
        <v/>
      </c>
      <c r="AX503" s="136" t="str">
        <f>IF(AI461="","",IF(B503="","",B503))</f>
        <v/>
      </c>
      <c r="AY503" s="136" t="str">
        <f>IF(AI461="","",IF(C503="","",C503))</f>
        <v/>
      </c>
      <c r="AZ503" s="136" t="str">
        <f>IF(AI461="","",IF(D503="","",D503))</f>
        <v/>
      </c>
      <c r="BA503" s="136" t="str">
        <f>IF(AI461="","",IF(E503="","",E503))</f>
        <v/>
      </c>
      <c r="BB503" s="136" t="str">
        <f>IF(AI461="","",IF(F503="","",F503))</f>
        <v/>
      </c>
      <c r="BC503" s="136" t="str">
        <f>IF(AI461="","",IF(G503="","",G503))</f>
        <v/>
      </c>
      <c r="BD503" s="136" t="str">
        <f>IF(AI461="","",IF(H503="","",H503))</f>
        <v/>
      </c>
      <c r="BE503" s="136" t="str">
        <f>IF(AI461="","",IF(I503="","",I503))</f>
        <v/>
      </c>
      <c r="BF503" s="136" t="str">
        <f>IF(AI461="","",IF(J503="","",J503))</f>
        <v/>
      </c>
      <c r="BG503" s="136" t="str">
        <f>IF(AI461="","",IF(K503="","",K503))</f>
        <v/>
      </c>
      <c r="BH503" s="136" t="str">
        <f>IF(AI461="","",IF(L503="","",L503))</f>
        <v/>
      </c>
      <c r="BI503" s="136" t="str">
        <f>IF(AI461="","",IF(M503="","",M503))</f>
        <v/>
      </c>
      <c r="BJ503" s="136" t="str">
        <f>IF(AI461="","",IF(N503="","",N503))</f>
        <v/>
      </c>
      <c r="BK503" s="136" t="str">
        <f>IF(AI461="","",IF(O503="","",O503))</f>
        <v/>
      </c>
      <c r="BN503" s="136" t="str">
        <f t="shared" si="279"/>
        <v>Laboratórios</v>
      </c>
      <c r="BO503" s="136" t="str">
        <f t="shared" si="279"/>
        <v>LAB</v>
      </c>
      <c r="BP503" s="136">
        <f>IF(BO503="","",COUNTIFS(AX465:BK512,BO503)*0.5)</f>
        <v>0</v>
      </c>
      <c r="BQ503" s="136" t="str">
        <f t="shared" si="280"/>
        <v>Laboratórios</v>
      </c>
      <c r="BR503" s="136" t="str">
        <f t="shared" si="280"/>
        <v>LAB</v>
      </c>
      <c r="BS503" s="136" t="str">
        <f t="shared" si="281"/>
        <v>Laboratórios</v>
      </c>
      <c r="BT503" s="136">
        <f t="shared" si="287"/>
        <v>10.5</v>
      </c>
      <c r="BU503" s="136">
        <f t="shared" si="288"/>
        <v>10.5</v>
      </c>
      <c r="CA503" s="136">
        <f>'INFO BASE'!L580</f>
        <v>0</v>
      </c>
      <c r="CB503" s="136">
        <f>'INFO BASE'!M580</f>
        <v>0</v>
      </c>
      <c r="CR503" s="177" t="str">
        <f t="shared" si="269"/>
        <v>PV</v>
      </c>
      <c r="CS503" s="177">
        <f t="shared" si="270"/>
        <v>0</v>
      </c>
      <c r="CT503" s="177" t="str">
        <f t="shared" si="269"/>
        <v>EA</v>
      </c>
      <c r="CU503" s="177" t="str">
        <f t="shared" si="271"/>
        <v>EAFP</v>
      </c>
      <c r="CV503" s="177" t="str">
        <f t="shared" si="269"/>
        <v>EG</v>
      </c>
      <c r="CW503" s="177" t="str">
        <f t="shared" si="272"/>
        <v>EGIEI</v>
      </c>
      <c r="CX503" s="177" t="str">
        <f t="shared" si="269"/>
        <v>PV</v>
      </c>
      <c r="CY503" s="177">
        <f t="shared" si="273"/>
        <v>0</v>
      </c>
      <c r="CZ503" s="177" t="str">
        <f t="shared" si="269"/>
        <v>PV</v>
      </c>
      <c r="DA503" s="177">
        <f t="shared" si="274"/>
        <v>0</v>
      </c>
      <c r="DB503" s="177" t="str">
        <f t="shared" si="269"/>
        <v>PV</v>
      </c>
      <c r="DC503" s="177">
        <f t="shared" si="275"/>
        <v>0</v>
      </c>
      <c r="DD503" s="177" t="str">
        <f t="shared" si="276"/>
        <v>EA</v>
      </c>
      <c r="DE503" s="177" t="str">
        <f t="shared" si="277"/>
        <v>EAIEI</v>
      </c>
    </row>
    <row r="504" spans="1:109" ht="18" customHeight="1" x14ac:dyDescent="0.3">
      <c r="A504" s="81">
        <v>0.81250000000002598</v>
      </c>
      <c r="B504" s="166" t="s">
        <v>116</v>
      </c>
      <c r="C504" s="130" t="s">
        <v>120</v>
      </c>
      <c r="D504" s="169" t="s">
        <v>8</v>
      </c>
      <c r="E504" s="130" t="s">
        <v>224</v>
      </c>
      <c r="F504" s="169" t="s">
        <v>128</v>
      </c>
      <c r="G504" s="130" t="s">
        <v>226</v>
      </c>
      <c r="H504" s="169" t="s">
        <v>11</v>
      </c>
      <c r="I504" s="130" t="s">
        <v>120</v>
      </c>
      <c r="J504" s="169" t="s">
        <v>116</v>
      </c>
      <c r="K504" s="130" t="s">
        <v>120</v>
      </c>
      <c r="L504" s="169" t="s">
        <v>116</v>
      </c>
      <c r="M504" s="130" t="s">
        <v>120</v>
      </c>
      <c r="N504" s="169" t="s">
        <v>8</v>
      </c>
      <c r="O504" s="154" t="s">
        <v>226</v>
      </c>
      <c r="P504" s="6">
        <v>0</v>
      </c>
      <c r="Q504" s="97" t="str">
        <f>IF('INFO BASE'!$C$21="","",'INFO BASE'!$C$21)</f>
        <v>Aulas Práticas</v>
      </c>
      <c r="R504" s="82" t="str">
        <f t="shared" si="286"/>
        <v>APA</v>
      </c>
      <c r="S504" s="83" t="str">
        <f t="shared" si="283"/>
        <v>-</v>
      </c>
      <c r="T504" s="98" t="str">
        <f>IF(VLOOKUP(Q504,'INFO BASE'!$B$40:$I$54,IF(R504='INFO BASE'!$B$32,3,IF(R504='INFO BASE'!$B$33,4,IF(R504='INFO BASE'!$B$34,5,IF(R504='INFO BASE'!$B$35,6,IF(R504='INFO BASE'!$B$36,7,IF(R504='INFO BASE'!$B$37,8,2)))))),0)=0,"",VLOOKUP(Q504,'INFO BASE'!$B$40:$I$54,IF(R504='INFO BASE'!$B$32,3,IF(R504='INFO BASE'!$B$33,4,IF(R504='INFO BASE'!$B$34,5,IF(R504='INFO BASE'!$B$35,6,IF(R504='INFO BASE'!$B$36,7,IF(R504='INFO BASE'!$B$37,8,2)))))),0))</f>
        <v/>
      </c>
      <c r="U504" s="84">
        <f t="shared" ref="U504:U512" si="295">IF(R504="","",COUNTIFS(SEMANA9,R504)*0.5)</f>
        <v>0</v>
      </c>
      <c r="V504" s="84">
        <f>IF(R504="","",COUNTIFS(AI465:AV512,R504)*0.5)</f>
        <v>0</v>
      </c>
      <c r="W504" s="85" t="str">
        <f>IF(AH461="","-",IF(V504=0,U504,IFERROR((U504/V504)-1,"-")))</f>
        <v>-</v>
      </c>
      <c r="X504" s="201">
        <f t="shared" si="284"/>
        <v>0</v>
      </c>
      <c r="Y504" s="277"/>
      <c r="Z504" s="278"/>
      <c r="AA504" s="278"/>
      <c r="AB504" s="278"/>
      <c r="AC504" s="278"/>
      <c r="AD504" s="278"/>
      <c r="AE504" s="278"/>
      <c r="AF504" s="279"/>
      <c r="AH504" s="136">
        <v>0.81250000000002598</v>
      </c>
      <c r="AI504" s="136" t="str">
        <f>IF(AH461="","",IF(B504="","",B504))</f>
        <v/>
      </c>
      <c r="AJ504" s="136" t="str">
        <f>IF(AH461="","",IF(C504="","",C504))</f>
        <v/>
      </c>
      <c r="AK504" s="136" t="str">
        <f>IF(AH461="","",IF(D504="","",D504))</f>
        <v/>
      </c>
      <c r="AL504" s="136" t="str">
        <f>IF(AH461="","",IF(E504="","",E504))</f>
        <v/>
      </c>
      <c r="AM504" s="136" t="str">
        <f>IF(AH461="","",IF(F504="","",F504))</f>
        <v/>
      </c>
      <c r="AN504" s="136" t="str">
        <f>IF(AH461="","",IF(G504="","",G504))</f>
        <v/>
      </c>
      <c r="AO504" s="136" t="str">
        <f>IF(AH461="","",IF(H504="","",H504))</f>
        <v/>
      </c>
      <c r="AP504" s="136" t="str">
        <f>IF(AH461="","",IF(I504="","",I504))</f>
        <v/>
      </c>
      <c r="AQ504" s="136" t="str">
        <f>IF(AH461="","",IF(J504="","",J504))</f>
        <v/>
      </c>
      <c r="AR504" s="136" t="str">
        <f>IF(AH461="","",IF(K504="","",K504))</f>
        <v/>
      </c>
      <c r="AS504" s="136" t="str">
        <f>IF(AH461="","",IF(L504="","",L504))</f>
        <v/>
      </c>
      <c r="AT504" s="136" t="str">
        <f>IF(AH461="","",IF(M504="","",M504))</f>
        <v/>
      </c>
      <c r="AU504" s="136" t="str">
        <f>IF(AH461="","",IF(N504="","",N504))</f>
        <v/>
      </c>
      <c r="AV504" s="136" t="str">
        <f>IF(AH461="","",IF(O504="","",O504))</f>
        <v/>
      </c>
      <c r="AX504" s="136" t="str">
        <f>IF(AI461="","",IF(B504="","",B504))</f>
        <v/>
      </c>
      <c r="AY504" s="136" t="str">
        <f>IF(AI461="","",IF(C504="","",C504))</f>
        <v/>
      </c>
      <c r="AZ504" s="136" t="str">
        <f>IF(AI461="","",IF(D504="","",D504))</f>
        <v/>
      </c>
      <c r="BA504" s="136" t="str">
        <f>IF(AI461="","",IF(E504="","",E504))</f>
        <v/>
      </c>
      <c r="BB504" s="136" t="str">
        <f>IF(AI461="","",IF(F504="","",F504))</f>
        <v/>
      </c>
      <c r="BC504" s="136" t="str">
        <f>IF(AI461="","",IF(G504="","",G504))</f>
        <v/>
      </c>
      <c r="BD504" s="136" t="str">
        <f>IF(AI461="","",IF(H504="","",H504))</f>
        <v/>
      </c>
      <c r="BE504" s="136" t="str">
        <f>IF(AI461="","",IF(I504="","",I504))</f>
        <v/>
      </c>
      <c r="BF504" s="136" t="str">
        <f>IF(AI461="","",IF(J504="","",J504))</f>
        <v/>
      </c>
      <c r="BG504" s="136" t="str">
        <f>IF(AI461="","",IF(K504="","",K504))</f>
        <v/>
      </c>
      <c r="BH504" s="136" t="str">
        <f>IF(AI461="","",IF(L504="","",L504))</f>
        <v/>
      </c>
      <c r="BI504" s="136" t="str">
        <f>IF(AI461="","",IF(M504="","",M504))</f>
        <v/>
      </c>
      <c r="BJ504" s="136" t="str">
        <f>IF(AI461="","",IF(N504="","",N504))</f>
        <v/>
      </c>
      <c r="BK504" s="136" t="str">
        <f>IF(AI461="","",IF(O504="","",O504))</f>
        <v/>
      </c>
      <c r="BN504" s="136" t="str">
        <f t="shared" si="279"/>
        <v>Momento Avaliativo</v>
      </c>
      <c r="BO504" s="136" t="str">
        <f t="shared" si="279"/>
        <v>MA</v>
      </c>
      <c r="BP504" s="136">
        <f>IF(BO504="","",COUNTIFS(AX465:BK512,BO504)*0.5)</f>
        <v>0</v>
      </c>
      <c r="BQ504" s="136" t="str">
        <f t="shared" si="280"/>
        <v>Momento Avaliativo</v>
      </c>
      <c r="BR504" s="136" t="str">
        <f t="shared" si="280"/>
        <v>MA</v>
      </c>
      <c r="BS504" s="136" t="str">
        <f t="shared" si="281"/>
        <v>Momento Avaliativo</v>
      </c>
      <c r="BT504" s="136">
        <f t="shared" si="287"/>
        <v>1.5</v>
      </c>
      <c r="BU504" s="136">
        <f t="shared" si="288"/>
        <v>1.5</v>
      </c>
      <c r="CA504" s="136">
        <f>'INFO BASE'!L581</f>
        <v>0</v>
      </c>
      <c r="CB504" s="136">
        <f>'INFO BASE'!M581</f>
        <v>0</v>
      </c>
      <c r="CR504" s="177" t="str">
        <f t="shared" si="269"/>
        <v>PV</v>
      </c>
      <c r="CS504" s="177">
        <f t="shared" si="270"/>
        <v>0</v>
      </c>
      <c r="CT504" s="177" t="str">
        <f t="shared" si="269"/>
        <v>EA</v>
      </c>
      <c r="CU504" s="177" t="str">
        <f t="shared" si="271"/>
        <v>EAFP</v>
      </c>
      <c r="CV504" s="177" t="str">
        <f t="shared" si="269"/>
        <v>EG</v>
      </c>
      <c r="CW504" s="177" t="str">
        <f t="shared" si="272"/>
        <v>EGIEI</v>
      </c>
      <c r="CX504" s="177" t="str">
        <f t="shared" si="269"/>
        <v>HD</v>
      </c>
      <c r="CY504" s="177" t="str">
        <f t="shared" si="273"/>
        <v>HD-</v>
      </c>
      <c r="CZ504" s="177" t="str">
        <f t="shared" si="269"/>
        <v>PV</v>
      </c>
      <c r="DA504" s="177">
        <f t="shared" si="274"/>
        <v>0</v>
      </c>
      <c r="DB504" s="177" t="str">
        <f t="shared" si="269"/>
        <v>PV</v>
      </c>
      <c r="DC504" s="177">
        <f t="shared" si="275"/>
        <v>0</v>
      </c>
      <c r="DD504" s="177" t="str">
        <f t="shared" si="276"/>
        <v>EA</v>
      </c>
      <c r="DE504" s="177" t="str">
        <f t="shared" si="277"/>
        <v>EAIEI</v>
      </c>
    </row>
    <row r="505" spans="1:109" ht="18" customHeight="1" x14ac:dyDescent="0.3">
      <c r="A505" s="81">
        <v>0.83333333333336002</v>
      </c>
      <c r="B505" s="166" t="s">
        <v>116</v>
      </c>
      <c r="C505" s="130" t="s">
        <v>120</v>
      </c>
      <c r="D505" s="169" t="s">
        <v>8</v>
      </c>
      <c r="E505" s="130" t="s">
        <v>224</v>
      </c>
      <c r="F505" s="169" t="s">
        <v>128</v>
      </c>
      <c r="G505" s="130" t="s">
        <v>226</v>
      </c>
      <c r="H505" s="169" t="s">
        <v>11</v>
      </c>
      <c r="I505" s="130" t="s">
        <v>120</v>
      </c>
      <c r="J505" s="169" t="s">
        <v>116</v>
      </c>
      <c r="K505" s="130" t="s">
        <v>120</v>
      </c>
      <c r="L505" s="169" t="s">
        <v>8</v>
      </c>
      <c r="M505" s="130" t="s">
        <v>228</v>
      </c>
      <c r="N505" s="169" t="s">
        <v>8</v>
      </c>
      <c r="O505" s="154" t="s">
        <v>226</v>
      </c>
      <c r="P505" s="6">
        <v>0</v>
      </c>
      <c r="Q505" s="99" t="str">
        <f>IF('INFO BASE'!$C$22="","",'INFO BASE'!$C$22)</f>
        <v>Aulas Problemas</v>
      </c>
      <c r="R505" s="87" t="str">
        <f t="shared" si="286"/>
        <v>APB</v>
      </c>
      <c r="S505" s="88">
        <f t="shared" si="283"/>
        <v>-0.25</v>
      </c>
      <c r="T505" s="100">
        <f>IF(VLOOKUP(Q505,'INFO BASE'!$B$40:$I$54,IF(R505='INFO BASE'!$B$32,3,IF(R505='INFO BASE'!$B$33,4,IF(R505='INFO BASE'!$B$34,5,IF(R505='INFO BASE'!$B$35,6,IF(R505='INFO BASE'!$B$36,7,IF(R505='INFO BASE'!$B$37,8,2)))))),0)=0,"",VLOOKUP(Q505,'INFO BASE'!$B$40:$I$54,IF(R505='INFO BASE'!$B$32,3,IF(R505='INFO BASE'!$B$33,4,IF(R505='INFO BASE'!$B$34,5,IF(R505='INFO BASE'!$B$35,6,IF(R505='INFO BASE'!$B$36,7,IF(R505='INFO BASE'!$B$37,8,2)))))),0))</f>
        <v>6</v>
      </c>
      <c r="U505" s="89">
        <f t="shared" si="295"/>
        <v>4.5</v>
      </c>
      <c r="V505" s="100">
        <f>IF(R505="","",COUNTIFS(AI465:AV512,R505)*0.5)</f>
        <v>0</v>
      </c>
      <c r="W505" s="90" t="str">
        <f>IF(AH461="","-",IF(V505=0,U505,IFERROR((U505/V505)-1,"-")))</f>
        <v>-</v>
      </c>
      <c r="X505" s="201">
        <f t="shared" si="284"/>
        <v>0</v>
      </c>
      <c r="Y505" s="271"/>
      <c r="Z505" s="272"/>
      <c r="AA505" s="272"/>
      <c r="AB505" s="272"/>
      <c r="AC505" s="272"/>
      <c r="AD505" s="272"/>
      <c r="AE505" s="272"/>
      <c r="AF505" s="273"/>
      <c r="AH505" s="136">
        <v>0.83333333333336002</v>
      </c>
      <c r="AI505" s="136" t="str">
        <f>IF(AH461="","",IF(B505="","",B505))</f>
        <v/>
      </c>
      <c r="AJ505" s="136" t="str">
        <f>IF(AH461="","",IF(C505="","",C505))</f>
        <v/>
      </c>
      <c r="AK505" s="136" t="str">
        <f>IF(AH461="","",IF(D505="","",D505))</f>
        <v/>
      </c>
      <c r="AL505" s="136" t="str">
        <f>IF(AH461="","",IF(E505="","",E505))</f>
        <v/>
      </c>
      <c r="AM505" s="136" t="str">
        <f>IF(AH461="","",IF(F505="","",F505))</f>
        <v/>
      </c>
      <c r="AN505" s="136" t="str">
        <f>IF(AH461="","",IF(G505="","",G505))</f>
        <v/>
      </c>
      <c r="AO505" s="136" t="str">
        <f>IF(AH461="","",IF(H505="","",H505))</f>
        <v/>
      </c>
      <c r="AP505" s="136" t="str">
        <f>IF(AH461="","",IF(I505="","",I505))</f>
        <v/>
      </c>
      <c r="AQ505" s="136" t="str">
        <f>IF(AH461="","",IF(J505="","",J505))</f>
        <v/>
      </c>
      <c r="AR505" s="136" t="str">
        <f>IF(AH461="","",IF(K505="","",K505))</f>
        <v/>
      </c>
      <c r="AS505" s="136" t="str">
        <f>IF(AH461="","",IF(L505="","",L505))</f>
        <v/>
      </c>
      <c r="AT505" s="136" t="str">
        <f>IF(AH461="","",IF(M505="","",M505))</f>
        <v/>
      </c>
      <c r="AU505" s="136" t="str">
        <f>IF(AH461="","",IF(N505="","",N505))</f>
        <v/>
      </c>
      <c r="AV505" s="136" t="str">
        <f>IF(AH461="","",IF(O505="","",O505))</f>
        <v/>
      </c>
      <c r="AX505" s="136" t="str">
        <f>IF(AI461="","",IF(B505="","",B505))</f>
        <v/>
      </c>
      <c r="AY505" s="136" t="str">
        <f>IF(AI461="","",IF(C505="","",C505))</f>
        <v/>
      </c>
      <c r="AZ505" s="136" t="str">
        <f>IF(AI461="","",IF(D505="","",D505))</f>
        <v/>
      </c>
      <c r="BA505" s="136" t="str">
        <f>IF(AI461="","",IF(E505="","",E505))</f>
        <v/>
      </c>
      <c r="BB505" s="136" t="str">
        <f>IF(AI461="","",IF(F505="","",F505))</f>
        <v/>
      </c>
      <c r="BC505" s="136" t="str">
        <f>IF(AI461="","",IF(G505="","",G505))</f>
        <v/>
      </c>
      <c r="BD505" s="136" t="str">
        <f>IF(AI461="","",IF(H505="","",H505))</f>
        <v/>
      </c>
      <c r="BE505" s="136" t="str">
        <f>IF(AI461="","",IF(I505="","",I505))</f>
        <v/>
      </c>
      <c r="BF505" s="136" t="str">
        <f>IF(AI461="","",IF(J505="","",J505))</f>
        <v/>
      </c>
      <c r="BG505" s="136" t="str">
        <f>IF(AI461="","",IF(K505="","",K505))</f>
        <v/>
      </c>
      <c r="BH505" s="136" t="str">
        <f>IF(AI461="","",IF(L505="","",L505))</f>
        <v/>
      </c>
      <c r="BI505" s="136" t="str">
        <f>IF(AI461="","",IF(M505="","",M505))</f>
        <v/>
      </c>
      <c r="BJ505" s="136" t="str">
        <f>IF(AI461="","",IF(N505="","",N505))</f>
        <v/>
      </c>
      <c r="BK505" s="136" t="str">
        <f>IF(AI461="","",IF(O505="","",O505))</f>
        <v/>
      </c>
      <c r="BN505" s="136" t="str">
        <f t="shared" si="279"/>
        <v>Horário de Dúvidas</v>
      </c>
      <c r="BO505" s="136" t="str">
        <f t="shared" si="279"/>
        <v>HDV</v>
      </c>
      <c r="BP505" s="136">
        <f>IF(BO505="","",COUNTIFS(AX465:BK512,BO505)*0.5)</f>
        <v>0</v>
      </c>
      <c r="BQ505" s="136" t="str">
        <f t="shared" si="280"/>
        <v>Horário de Dúvidas</v>
      </c>
      <c r="BR505" s="136" t="str">
        <f t="shared" si="280"/>
        <v>HDV</v>
      </c>
      <c r="BS505" s="136" t="str">
        <f t="shared" si="281"/>
        <v>Horário de Dúvidas</v>
      </c>
      <c r="BT505" s="136">
        <f t="shared" si="287"/>
        <v>0</v>
      </c>
      <c r="BU505" s="136">
        <f t="shared" si="288"/>
        <v>0</v>
      </c>
      <c r="CA505" s="136">
        <f>'INFO BASE'!L582</f>
        <v>0</v>
      </c>
      <c r="CB505" s="136">
        <f>'INFO BASE'!M582</f>
        <v>0</v>
      </c>
      <c r="CR505" s="177" t="str">
        <f t="shared" si="269"/>
        <v>PV</v>
      </c>
      <c r="CS505" s="177">
        <f t="shared" si="270"/>
        <v>0</v>
      </c>
      <c r="CT505" s="177" t="str">
        <f t="shared" si="269"/>
        <v>EA</v>
      </c>
      <c r="CU505" s="177" t="str">
        <f t="shared" si="271"/>
        <v>EAFP</v>
      </c>
      <c r="CV505" s="177" t="str">
        <f t="shared" si="269"/>
        <v>EG</v>
      </c>
      <c r="CW505" s="177" t="str">
        <f t="shared" si="272"/>
        <v>EGIEI</v>
      </c>
      <c r="CX505" s="177" t="str">
        <f t="shared" si="269"/>
        <v>HD</v>
      </c>
      <c r="CY505" s="177" t="str">
        <f t="shared" si="273"/>
        <v>HD-</v>
      </c>
      <c r="CZ505" s="177" t="str">
        <f t="shared" si="269"/>
        <v>PV</v>
      </c>
      <c r="DA505" s="177">
        <f t="shared" si="274"/>
        <v>0</v>
      </c>
      <c r="DB505" s="177" t="str">
        <f t="shared" si="269"/>
        <v>EA</v>
      </c>
      <c r="DC505" s="177" t="str">
        <f t="shared" si="275"/>
        <v>EAIAC</v>
      </c>
      <c r="DD505" s="177" t="str">
        <f t="shared" si="276"/>
        <v>EA</v>
      </c>
      <c r="DE505" s="177" t="str">
        <f t="shared" si="277"/>
        <v>EAIEI</v>
      </c>
    </row>
    <row r="506" spans="1:109" ht="18" customHeight="1" thickBot="1" x14ac:dyDescent="0.35">
      <c r="A506" s="81">
        <v>0.85416666666669405</v>
      </c>
      <c r="B506" s="166" t="s">
        <v>116</v>
      </c>
      <c r="C506" s="130" t="s">
        <v>120</v>
      </c>
      <c r="D506" s="169" t="s">
        <v>116</v>
      </c>
      <c r="E506" s="130" t="s">
        <v>120</v>
      </c>
      <c r="F506" s="169" t="s">
        <v>11</v>
      </c>
      <c r="G506" s="130" t="s">
        <v>120</v>
      </c>
      <c r="H506" s="169" t="s">
        <v>116</v>
      </c>
      <c r="I506" s="130" t="s">
        <v>120</v>
      </c>
      <c r="J506" s="169" t="s">
        <v>116</v>
      </c>
      <c r="K506" s="130" t="s">
        <v>120</v>
      </c>
      <c r="L506" s="169" t="s">
        <v>8</v>
      </c>
      <c r="M506" s="130" t="s">
        <v>228</v>
      </c>
      <c r="N506" s="169" t="s">
        <v>12</v>
      </c>
      <c r="O506" s="154" t="s">
        <v>120</v>
      </c>
      <c r="P506" s="6">
        <v>0</v>
      </c>
      <c r="Q506" s="101" t="str">
        <f>IF('INFO BASE'!$C$23="","",'INFO BASE'!$C$23)</f>
        <v>Laboratórios</v>
      </c>
      <c r="R506" s="93" t="str">
        <f t="shared" si="286"/>
        <v>LAB</v>
      </c>
      <c r="S506" s="94">
        <f t="shared" si="283"/>
        <v>0</v>
      </c>
      <c r="T506" s="95">
        <f>IF(VLOOKUP(Q506,'INFO BASE'!$B$40:$I$54,IF(R506='INFO BASE'!$B$32,3,IF(R506='INFO BASE'!$B$33,4,IF(R506='INFO BASE'!$B$34,5,IF(R506='INFO BASE'!$B$35,6,IF(R506='INFO BASE'!$B$36,7,IF(R506='INFO BASE'!$B$37,8,2)))))),0)=0,"",VLOOKUP(Q506,'INFO BASE'!$B$40:$I$54,IF(R506='INFO BASE'!$B$32,3,IF(R506='INFO BASE'!$B$33,4,IF(R506='INFO BASE'!$B$34,5,IF(R506='INFO BASE'!$B$35,6,IF(R506='INFO BASE'!$B$36,7,IF(R506='INFO BASE'!$B$37,8,2)))))),0))</f>
        <v>1.5</v>
      </c>
      <c r="U506" s="95">
        <f t="shared" si="295"/>
        <v>1.5</v>
      </c>
      <c r="V506" s="95">
        <f>IF(R506="","",COUNTIFS(AI465:AV512,R506)*0.5)</f>
        <v>0</v>
      </c>
      <c r="W506" s="96" t="str">
        <f>IF(AH461="","-",IF(V506=0,U506,IFERROR((U506/V506)-1,"-")))</f>
        <v>-</v>
      </c>
      <c r="X506" s="201">
        <f t="shared" si="284"/>
        <v>0</v>
      </c>
      <c r="Y506" s="271"/>
      <c r="Z506" s="272"/>
      <c r="AA506" s="272"/>
      <c r="AB506" s="272"/>
      <c r="AC506" s="272"/>
      <c r="AD506" s="272"/>
      <c r="AE506" s="272"/>
      <c r="AF506" s="273"/>
      <c r="AH506" s="136">
        <v>0.85416666666669405</v>
      </c>
      <c r="AI506" s="136" t="str">
        <f>IF(AH461="","",IF(B506="","",B506))</f>
        <v/>
      </c>
      <c r="AJ506" s="136" t="str">
        <f>IF(AH461="","",IF(C506="","",C506))</f>
        <v/>
      </c>
      <c r="AK506" s="136" t="str">
        <f>IF(AH461="","",IF(D506="","",D506))</f>
        <v/>
      </c>
      <c r="AL506" s="136" t="str">
        <f>IF(AH461="","",IF(E506="","",E506))</f>
        <v/>
      </c>
      <c r="AM506" s="136" t="str">
        <f>IF(AH461="","",IF(F506="","",F506))</f>
        <v/>
      </c>
      <c r="AN506" s="136" t="str">
        <f>IF(AH461="","",IF(G506="","",G506))</f>
        <v/>
      </c>
      <c r="AO506" s="136" t="str">
        <f>IF(AH461="","",IF(H506="","",H506))</f>
        <v/>
      </c>
      <c r="AP506" s="136" t="str">
        <f>IF(AH461="","",IF(I506="","",I506))</f>
        <v/>
      </c>
      <c r="AQ506" s="136" t="str">
        <f>IF(AH461="","",IF(J506="","",J506))</f>
        <v/>
      </c>
      <c r="AR506" s="136" t="str">
        <f>IF(AH461="","",IF(K506="","",K506))</f>
        <v/>
      </c>
      <c r="AS506" s="136" t="str">
        <f>IF(AH461="","",IF(L506="","",L506))</f>
        <v/>
      </c>
      <c r="AT506" s="136" t="str">
        <f>IF(AH461="","",IF(M506="","",M506))</f>
        <v/>
      </c>
      <c r="AU506" s="136" t="str">
        <f>IF(AH461="","",IF(N506="","",N506))</f>
        <v/>
      </c>
      <c r="AV506" s="136" t="str">
        <f>IF(AH461="","",IF(O506="","",O506))</f>
        <v/>
      </c>
      <c r="AX506" s="136" t="str">
        <f>IF(AI461="","",IF(B506="","",B506))</f>
        <v/>
      </c>
      <c r="AY506" s="136" t="str">
        <f>IF(AI461="","",IF(C506="","",C506))</f>
        <v/>
      </c>
      <c r="AZ506" s="136" t="str">
        <f>IF(AI461="","",IF(D506="","",D506))</f>
        <v/>
      </c>
      <c r="BA506" s="136" t="str">
        <f>IF(AI461="","",IF(E506="","",E506))</f>
        <v/>
      </c>
      <c r="BB506" s="136" t="str">
        <f>IF(AI461="","",IF(F506="","",F506))</f>
        <v/>
      </c>
      <c r="BC506" s="136" t="str">
        <f>IF(AI461="","",IF(G506="","",G506))</f>
        <v/>
      </c>
      <c r="BD506" s="136" t="str">
        <f>IF(AI461="","",IF(H506="","",H506))</f>
        <v/>
      </c>
      <c r="BE506" s="136" t="str">
        <f>IF(AI461="","",IF(I506="","",I506))</f>
        <v/>
      </c>
      <c r="BF506" s="136" t="str">
        <f>IF(AI461="","",IF(J506="","",J506))</f>
        <v/>
      </c>
      <c r="BG506" s="136" t="str">
        <f>IF(AI461="","",IF(K506="","",K506))</f>
        <v/>
      </c>
      <c r="BH506" s="136" t="str">
        <f>IF(AI461="","",IF(L506="","",L506))</f>
        <v/>
      </c>
      <c r="BI506" s="136" t="str">
        <f>IF(AI461="","",IF(M506="","",M506))</f>
        <v/>
      </c>
      <c r="BJ506" s="136" t="str">
        <f>IF(AI461="","",IF(N506="","",N506))</f>
        <v/>
      </c>
      <c r="BK506" s="136" t="str">
        <f>IF(AI461="","",IF(O506="","",O506))</f>
        <v/>
      </c>
      <c r="BN506" s="136" t="str">
        <f t="shared" si="279"/>
        <v>Privado</v>
      </c>
      <c r="BO506" s="136" t="str">
        <f t="shared" si="279"/>
        <v>PV</v>
      </c>
      <c r="BP506" s="136">
        <f>IF(BO506="","",COUNTIFS(AX465:BK512,BO506)*0.5)</f>
        <v>0</v>
      </c>
      <c r="BQ506" s="136" t="str">
        <f t="shared" si="280"/>
        <v>Privado</v>
      </c>
      <c r="BR506" s="136" t="str">
        <f t="shared" si="280"/>
        <v>PV</v>
      </c>
      <c r="BS506" s="136" t="str">
        <f t="shared" si="281"/>
        <v>Privado</v>
      </c>
      <c r="BT506" s="136">
        <f t="shared" si="287"/>
        <v>384</v>
      </c>
      <c r="BU506" s="136">
        <f t="shared" si="288"/>
        <v>369</v>
      </c>
      <c r="CA506" s="136">
        <f>'INFO BASE'!L583</f>
        <v>0</v>
      </c>
      <c r="CB506" s="136">
        <f>'INFO BASE'!M583</f>
        <v>0</v>
      </c>
      <c r="CR506" s="177" t="str">
        <f t="shared" si="269"/>
        <v>PV</v>
      </c>
      <c r="CS506" s="177">
        <f t="shared" si="270"/>
        <v>0</v>
      </c>
      <c r="CT506" s="177" t="str">
        <f t="shared" si="269"/>
        <v>PV</v>
      </c>
      <c r="CU506" s="177">
        <f t="shared" si="271"/>
        <v>0</v>
      </c>
      <c r="CV506" s="177" t="str">
        <f t="shared" si="269"/>
        <v>HD</v>
      </c>
      <c r="CW506" s="177" t="str">
        <f t="shared" si="272"/>
        <v>HD-</v>
      </c>
      <c r="CX506" s="177" t="str">
        <f t="shared" si="269"/>
        <v>PV</v>
      </c>
      <c r="CY506" s="177">
        <f t="shared" si="273"/>
        <v>0</v>
      </c>
      <c r="CZ506" s="177" t="str">
        <f t="shared" si="269"/>
        <v>PV</v>
      </c>
      <c r="DA506" s="177">
        <f t="shared" si="274"/>
        <v>0</v>
      </c>
      <c r="DB506" s="177" t="str">
        <f t="shared" si="269"/>
        <v>EA</v>
      </c>
      <c r="DC506" s="177" t="str">
        <f t="shared" si="275"/>
        <v>EAIAC</v>
      </c>
      <c r="DD506" s="177" t="str">
        <f t="shared" si="276"/>
        <v>HR</v>
      </c>
      <c r="DE506" s="177" t="str">
        <f t="shared" si="277"/>
        <v>HR-</v>
      </c>
    </row>
    <row r="507" spans="1:109" ht="18" customHeight="1" x14ac:dyDescent="0.3">
      <c r="A507" s="81">
        <v>0.87500000000002798</v>
      </c>
      <c r="B507" s="166" t="s">
        <v>12</v>
      </c>
      <c r="C507" s="130" t="s">
        <v>120</v>
      </c>
      <c r="D507" s="169" t="s">
        <v>12</v>
      </c>
      <c r="E507" s="130" t="s">
        <v>120</v>
      </c>
      <c r="F507" s="169" t="s">
        <v>12</v>
      </c>
      <c r="G507" s="130" t="s">
        <v>120</v>
      </c>
      <c r="H507" s="169" t="s">
        <v>12</v>
      </c>
      <c r="I507" s="130" t="s">
        <v>120</v>
      </c>
      <c r="J507" s="169" t="s">
        <v>12</v>
      </c>
      <c r="K507" s="130" t="s">
        <v>120</v>
      </c>
      <c r="L507" s="169" t="s">
        <v>8</v>
      </c>
      <c r="M507" s="130" t="s">
        <v>228</v>
      </c>
      <c r="N507" s="169" t="s">
        <v>8</v>
      </c>
      <c r="O507" s="154" t="s">
        <v>226</v>
      </c>
      <c r="P507" s="6">
        <v>0</v>
      </c>
      <c r="Q507" s="102" t="str">
        <f>IF('INFO BASE'!$C$24="","",'INFO BASE'!$C$24)</f>
        <v>Momento Avaliativo</v>
      </c>
      <c r="R507" s="82" t="str">
        <f t="shared" si="286"/>
        <v>MA</v>
      </c>
      <c r="S507" s="83" t="str">
        <f t="shared" si="283"/>
        <v>-</v>
      </c>
      <c r="T507" s="84" t="str">
        <f>IF(VLOOKUP(Q507,'INFO BASE'!$B$40:$I$54,IF(R507='INFO BASE'!$B$32,3,IF(R507='INFO BASE'!$B$33,4,IF(R507='INFO BASE'!$B$34,5,IF(R507='INFO BASE'!$B$35,6,IF(R507='INFO BASE'!$B$36,7,IF(R507='INFO BASE'!$B$37,8,2)))))),0)=0,"",VLOOKUP(Q507,'INFO BASE'!$B$40:$I$54,IF(R507='INFO BASE'!$B$32,3,IF(R507='INFO BASE'!$B$33,4,IF(R507='INFO BASE'!$B$34,5,IF(R507='INFO BASE'!$B$35,6,IF(R507='INFO BASE'!$B$36,7,IF(R507='INFO BASE'!$B$37,8,2)))))),0))</f>
        <v/>
      </c>
      <c r="U507" s="84">
        <f t="shared" si="295"/>
        <v>1.5</v>
      </c>
      <c r="V507" s="84">
        <f>IF(R507="","",COUNTIFS(AI465:AV512,R507)*0.5)</f>
        <v>0</v>
      </c>
      <c r="W507" s="85" t="str">
        <f>IF(AH461="","-",IF(V507=0,U507,IFERROR((U507/V507)-1,"-")))</f>
        <v>-</v>
      </c>
      <c r="X507" s="201">
        <f t="shared" si="284"/>
        <v>0</v>
      </c>
      <c r="Y507" s="277"/>
      <c r="Z507" s="278"/>
      <c r="AA507" s="278"/>
      <c r="AB507" s="278"/>
      <c r="AC507" s="278"/>
      <c r="AD507" s="278"/>
      <c r="AE507" s="278"/>
      <c r="AF507" s="279"/>
      <c r="AH507" s="136">
        <v>0.87500000000002798</v>
      </c>
      <c r="AI507" s="136" t="str">
        <f>IF(AH461="","",IF(B507="","",B507))</f>
        <v/>
      </c>
      <c r="AJ507" s="136" t="str">
        <f>IF(AH461="","",IF(C507="","",C507))</f>
        <v/>
      </c>
      <c r="AK507" s="136" t="str">
        <f>IF(AH461="","",IF(D507="","",D507))</f>
        <v/>
      </c>
      <c r="AL507" s="136" t="str">
        <f>IF(AH461="","",IF(E507="","",E507))</f>
        <v/>
      </c>
      <c r="AM507" s="136" t="str">
        <f>IF(AH461="","",IF(F507="","",F507))</f>
        <v/>
      </c>
      <c r="AN507" s="136" t="str">
        <f>IF(AH461="","",IF(G507="","",G507))</f>
        <v/>
      </c>
      <c r="AO507" s="136" t="str">
        <f>IF(AH461="","",IF(H507="","",H507))</f>
        <v/>
      </c>
      <c r="AP507" s="136" t="str">
        <f>IF(AH461="","",IF(I507="","",I507))</f>
        <v/>
      </c>
      <c r="AQ507" s="136" t="str">
        <f>IF(AH461="","",IF(J507="","",J507))</f>
        <v/>
      </c>
      <c r="AR507" s="136" t="str">
        <f>IF(AH461="","",IF(K507="","",K507))</f>
        <v/>
      </c>
      <c r="AS507" s="136" t="str">
        <f>IF(AH461="","",IF(L507="","",L507))</f>
        <v/>
      </c>
      <c r="AT507" s="136" t="str">
        <f>IF(AH461="","",IF(M507="","",M507))</f>
        <v/>
      </c>
      <c r="AU507" s="136" t="str">
        <f>IF(AH461="","",IF(N507="","",N507))</f>
        <v/>
      </c>
      <c r="AV507" s="136" t="str">
        <f>IF(AH461="","",IF(O507="","",O507))</f>
        <v/>
      </c>
      <c r="AX507" s="136" t="str">
        <f>IF(AI461="","",IF(B507="","",B507))</f>
        <v/>
      </c>
      <c r="AY507" s="136" t="str">
        <f>IF(AI461="","",IF(C507="","",C507))</f>
        <v/>
      </c>
      <c r="AZ507" s="136" t="str">
        <f>IF(AI461="","",IF(D507="","",D507))</f>
        <v/>
      </c>
      <c r="BA507" s="136" t="str">
        <f>IF(AI461="","",IF(E507="","",E507))</f>
        <v/>
      </c>
      <c r="BB507" s="136" t="str">
        <f>IF(AI461="","",IF(F507="","",F507))</f>
        <v/>
      </c>
      <c r="BC507" s="136" t="str">
        <f>IF(AI461="","",IF(G507="","",G507))</f>
        <v/>
      </c>
      <c r="BD507" s="136" t="str">
        <f>IF(AI461="","",IF(H507="","",H507))</f>
        <v/>
      </c>
      <c r="BE507" s="136" t="str">
        <f>IF(AI461="","",IF(I507="","",I507))</f>
        <v/>
      </c>
      <c r="BF507" s="136" t="str">
        <f>IF(AI461="","",IF(J507="","",J507))</f>
        <v/>
      </c>
      <c r="BG507" s="136" t="str">
        <f>IF(AI461="","",IF(K507="","",K507))</f>
        <v/>
      </c>
      <c r="BH507" s="136" t="str">
        <f>IF(AI461="","",IF(L507="","",L507))</f>
        <v/>
      </c>
      <c r="BI507" s="136" t="str">
        <f>IF(AI461="","",IF(M507="","",M507))</f>
        <v/>
      </c>
      <c r="BJ507" s="136" t="str">
        <f>IF(AI461="","",IF(N507="","",N507))</f>
        <v/>
      </c>
      <c r="BK507" s="136" t="str">
        <f>IF(AI461="","",IF(O507="","",O507))</f>
        <v/>
      </c>
      <c r="BN507" s="136" t="str">
        <f t="shared" si="279"/>
        <v>Deslocação</v>
      </c>
      <c r="BO507" s="136" t="str">
        <f t="shared" si="279"/>
        <v>HD</v>
      </c>
      <c r="BP507" s="136">
        <f>IF(BO507="","",COUNTIFS(AX465:BK512,BO507)*0.5)</f>
        <v>0</v>
      </c>
      <c r="BQ507" s="136" t="str">
        <f t="shared" si="280"/>
        <v>Deslocação</v>
      </c>
      <c r="BR507" s="136" t="str">
        <f t="shared" si="280"/>
        <v>HD</v>
      </c>
      <c r="BS507" s="136" t="str">
        <f t="shared" si="281"/>
        <v>Deslocação</v>
      </c>
      <c r="BT507" s="136">
        <f t="shared" si="287"/>
        <v>116.5</v>
      </c>
      <c r="BU507" s="136">
        <f t="shared" si="288"/>
        <v>115</v>
      </c>
      <c r="CA507" s="136">
        <f>'INFO BASE'!L584</f>
        <v>0</v>
      </c>
      <c r="CB507" s="136">
        <f>'INFO BASE'!M584</f>
        <v>0</v>
      </c>
      <c r="CR507" s="177" t="str">
        <f t="shared" si="269"/>
        <v>HR</v>
      </c>
      <c r="CS507" s="177" t="str">
        <f t="shared" si="270"/>
        <v>HR-</v>
      </c>
      <c r="CT507" s="177" t="str">
        <f t="shared" si="269"/>
        <v>HR</v>
      </c>
      <c r="CU507" s="177" t="str">
        <f t="shared" si="271"/>
        <v>HR-</v>
      </c>
      <c r="CV507" s="177" t="str">
        <f t="shared" si="269"/>
        <v>HR</v>
      </c>
      <c r="CW507" s="177" t="str">
        <f t="shared" si="272"/>
        <v>HR-</v>
      </c>
      <c r="CX507" s="177" t="str">
        <f t="shared" si="269"/>
        <v>HR</v>
      </c>
      <c r="CY507" s="177" t="str">
        <f t="shared" si="273"/>
        <v>HR-</v>
      </c>
      <c r="CZ507" s="177" t="str">
        <f t="shared" si="269"/>
        <v>HR</v>
      </c>
      <c r="DA507" s="177" t="str">
        <f t="shared" si="274"/>
        <v>HR-</v>
      </c>
      <c r="DB507" s="177" t="str">
        <f t="shared" si="269"/>
        <v>EA</v>
      </c>
      <c r="DC507" s="177" t="str">
        <f t="shared" si="275"/>
        <v>EAIAC</v>
      </c>
      <c r="DD507" s="177" t="str">
        <f t="shared" si="276"/>
        <v>EA</v>
      </c>
      <c r="DE507" s="177" t="str">
        <f t="shared" si="277"/>
        <v>EAIEI</v>
      </c>
    </row>
    <row r="508" spans="1:109" ht="18" customHeight="1" x14ac:dyDescent="0.3">
      <c r="A508" s="81">
        <v>0.89583333333336201</v>
      </c>
      <c r="B508" s="166" t="s">
        <v>12</v>
      </c>
      <c r="C508" s="130" t="s">
        <v>120</v>
      </c>
      <c r="D508" s="169" t="s">
        <v>12</v>
      </c>
      <c r="E508" s="130" t="s">
        <v>120</v>
      </c>
      <c r="F508" s="169" t="s">
        <v>12</v>
      </c>
      <c r="G508" s="130" t="s">
        <v>120</v>
      </c>
      <c r="H508" s="169" t="s">
        <v>12</v>
      </c>
      <c r="I508" s="130" t="s">
        <v>120</v>
      </c>
      <c r="J508" s="169" t="s">
        <v>12</v>
      </c>
      <c r="K508" s="130" t="s">
        <v>120</v>
      </c>
      <c r="L508" s="169" t="s">
        <v>8</v>
      </c>
      <c r="M508" s="130" t="s">
        <v>228</v>
      </c>
      <c r="N508" s="169" t="s">
        <v>8</v>
      </c>
      <c r="O508" s="154" t="s">
        <v>226</v>
      </c>
      <c r="P508" s="6">
        <v>0</v>
      </c>
      <c r="Q508" s="103" t="str">
        <f>IF('INFO BASE'!$C$25="","",'INFO BASE'!$C$25)</f>
        <v>Horário de Dúvidas</v>
      </c>
      <c r="R508" s="87" t="str">
        <f t="shared" si="286"/>
        <v>HDV</v>
      </c>
      <c r="S508" s="88">
        <f t="shared" si="283"/>
        <v>-1</v>
      </c>
      <c r="T508" s="89">
        <f>IF(VLOOKUP(Q508,'INFO BASE'!$B$40:$I$54,IF(R508='INFO BASE'!$B$32,3,IF(R508='INFO BASE'!$B$33,4,IF(R508='INFO BASE'!$B$34,5,IF(R508='INFO BASE'!$B$35,6,IF(R508='INFO BASE'!$B$36,7,IF(R508='INFO BASE'!$B$37,8,2)))))),0)=0,"",VLOOKUP(Q508,'INFO BASE'!$B$40:$I$54,IF(R508='INFO BASE'!$B$32,3,IF(R508='INFO BASE'!$B$33,4,IF(R508='INFO BASE'!$B$34,5,IF(R508='INFO BASE'!$B$35,6,IF(R508='INFO BASE'!$B$36,7,IF(R508='INFO BASE'!$B$37,8,2)))))),0))</f>
        <v>3</v>
      </c>
      <c r="U508" s="89">
        <f t="shared" si="295"/>
        <v>0</v>
      </c>
      <c r="V508" s="89">
        <f>IF(R508="","",COUNTIFS(AI465:AV512,R508)*0.5)</f>
        <v>0</v>
      </c>
      <c r="W508" s="90" t="str">
        <f>IF(AH461="","-",IF(V508=0,U508,IFERROR((U508/V508)-1,"-")))</f>
        <v>-</v>
      </c>
      <c r="X508" s="201">
        <f t="shared" si="284"/>
        <v>0</v>
      </c>
      <c r="Y508" s="271"/>
      <c r="Z508" s="272"/>
      <c r="AA508" s="272"/>
      <c r="AB508" s="272"/>
      <c r="AC508" s="272"/>
      <c r="AD508" s="272"/>
      <c r="AE508" s="272"/>
      <c r="AF508" s="273"/>
      <c r="AH508" s="136">
        <v>0.89583333333336201</v>
      </c>
      <c r="AI508" s="136" t="str">
        <f>IF(AH461="","",IF(B508="","",B508))</f>
        <v/>
      </c>
      <c r="AJ508" s="136" t="str">
        <f>IF(AH461="","",IF(C508="","",C508))</f>
        <v/>
      </c>
      <c r="AK508" s="136" t="str">
        <f>IF(AH461="","",IF(D508="","",D508))</f>
        <v/>
      </c>
      <c r="AL508" s="136" t="str">
        <f>IF(AH461="","",IF(E508="","",E508))</f>
        <v/>
      </c>
      <c r="AM508" s="136" t="str">
        <f>IF(AH461="","",IF(F508="","",F508))</f>
        <v/>
      </c>
      <c r="AN508" s="136" t="str">
        <f>IF(AH461="","",IF(G508="","",G508))</f>
        <v/>
      </c>
      <c r="AO508" s="136" t="str">
        <f>IF(AH461="","",IF(H508="","",H508))</f>
        <v/>
      </c>
      <c r="AP508" s="136" t="str">
        <f>IF(AH461="","",IF(I508="","",I508))</f>
        <v/>
      </c>
      <c r="AQ508" s="136" t="str">
        <f>IF(AH461="","",IF(J508="","",J508))</f>
        <v/>
      </c>
      <c r="AR508" s="136" t="str">
        <f>IF(AH461="","",IF(K508="","",K508))</f>
        <v/>
      </c>
      <c r="AS508" s="136" t="str">
        <f>IF(AH461="","",IF(L508="","",L508))</f>
        <v/>
      </c>
      <c r="AT508" s="136" t="str">
        <f>IF(AH461="","",IF(M508="","",M508))</f>
        <v/>
      </c>
      <c r="AU508" s="136" t="str">
        <f>IF(AH461="","",IF(N508="","",N508))</f>
        <v/>
      </c>
      <c r="AV508" s="136" t="str">
        <f>IF(AH461="","",IF(O508="","",O508))</f>
        <v/>
      </c>
      <c r="AX508" s="136" t="str">
        <f>IF(AI461="","",IF(B508="","",B508))</f>
        <v/>
      </c>
      <c r="AY508" s="136" t="str">
        <f>IF(AI461="","",IF(C508="","",C508))</f>
        <v/>
      </c>
      <c r="AZ508" s="136" t="str">
        <f>IF(AI461="","",IF(D508="","",D508))</f>
        <v/>
      </c>
      <c r="BA508" s="136" t="str">
        <f>IF(AI461="","",IF(E508="","",E508))</f>
        <v/>
      </c>
      <c r="BB508" s="136" t="str">
        <f>IF(AI461="","",IF(F508="","",F508))</f>
        <v/>
      </c>
      <c r="BC508" s="136" t="str">
        <f>IF(AI461="","",IF(G508="","",G508))</f>
        <v/>
      </c>
      <c r="BD508" s="136" t="str">
        <f>IF(AI461="","",IF(H508="","",H508))</f>
        <v/>
      </c>
      <c r="BE508" s="136" t="str">
        <f>IF(AI461="","",IF(I508="","",I508))</f>
        <v/>
      </c>
      <c r="BF508" s="136" t="str">
        <f>IF(AI461="","",IF(J508="","",J508))</f>
        <v/>
      </c>
      <c r="BG508" s="136" t="str">
        <f>IF(AI461="","",IF(K508="","",K508))</f>
        <v/>
      </c>
      <c r="BH508" s="136" t="str">
        <f>IF(AI461="","",IF(L508="","",L508))</f>
        <v/>
      </c>
      <c r="BI508" s="136" t="str">
        <f>IF(AI461="","",IF(M508="","",M508))</f>
        <v/>
      </c>
      <c r="BJ508" s="136" t="str">
        <f>IF(AI461="","",IF(N508="","",N508))</f>
        <v/>
      </c>
      <c r="BK508" s="136" t="str">
        <f>IF(AI461="","",IF(O508="","",O508))</f>
        <v/>
      </c>
      <c r="BN508" s="136" t="str">
        <f t="shared" si="279"/>
        <v>Refeição</v>
      </c>
      <c r="BO508" s="136" t="str">
        <f t="shared" si="279"/>
        <v>HR</v>
      </c>
      <c r="BP508" s="136">
        <f>IF(BO508="","",COUNTIFS(AX465:BK512,BO508)*0.5)</f>
        <v>0</v>
      </c>
      <c r="BQ508" s="136" t="str">
        <f t="shared" si="280"/>
        <v>Refeição</v>
      </c>
      <c r="BR508" s="136" t="str">
        <f t="shared" si="280"/>
        <v>HR</v>
      </c>
      <c r="BS508" s="136" t="str">
        <f t="shared" si="281"/>
        <v>Refeição</v>
      </c>
      <c r="BT508" s="136">
        <f t="shared" si="287"/>
        <v>126</v>
      </c>
      <c r="BU508" s="136">
        <f t="shared" si="288"/>
        <v>124</v>
      </c>
      <c r="CA508" s="136">
        <f>'INFO BASE'!L585</f>
        <v>0</v>
      </c>
      <c r="CB508" s="136">
        <f>'INFO BASE'!M585</f>
        <v>0</v>
      </c>
      <c r="CR508" s="177" t="str">
        <f t="shared" si="269"/>
        <v>HR</v>
      </c>
      <c r="CS508" s="177" t="str">
        <f t="shared" si="270"/>
        <v>HR-</v>
      </c>
      <c r="CT508" s="177" t="str">
        <f t="shared" si="269"/>
        <v>HR</v>
      </c>
      <c r="CU508" s="177" t="str">
        <f t="shared" si="271"/>
        <v>HR-</v>
      </c>
      <c r="CV508" s="177" t="str">
        <f t="shared" si="269"/>
        <v>HR</v>
      </c>
      <c r="CW508" s="177" t="str">
        <f t="shared" si="272"/>
        <v>HR-</v>
      </c>
      <c r="CX508" s="177" t="str">
        <f t="shared" ref="CR508:CZ512" si="296">IF(H508="",1,H508)</f>
        <v>HR</v>
      </c>
      <c r="CY508" s="177" t="str">
        <f t="shared" si="273"/>
        <v>HR-</v>
      </c>
      <c r="CZ508" s="177" t="str">
        <f t="shared" si="296"/>
        <v>HR</v>
      </c>
      <c r="DA508" s="177" t="str">
        <f t="shared" si="274"/>
        <v>HR-</v>
      </c>
      <c r="DB508" s="177" t="str">
        <f t="shared" ref="DB508:DB512" si="297">IF(L508="",1,L508)</f>
        <v>EA</v>
      </c>
      <c r="DC508" s="177" t="str">
        <f t="shared" si="275"/>
        <v>EAIAC</v>
      </c>
      <c r="DD508" s="177" t="str">
        <f t="shared" si="276"/>
        <v>EA</v>
      </c>
      <c r="DE508" s="177" t="str">
        <f t="shared" si="277"/>
        <v>EAIEI</v>
      </c>
    </row>
    <row r="509" spans="1:109" ht="18" customHeight="1" x14ac:dyDescent="0.3">
      <c r="A509" s="81">
        <v>0.91666666666669605</v>
      </c>
      <c r="B509" s="166" t="s">
        <v>116</v>
      </c>
      <c r="C509" s="130" t="s">
        <v>120</v>
      </c>
      <c r="D509" s="169" t="s">
        <v>116</v>
      </c>
      <c r="E509" s="130" t="s">
        <v>120</v>
      </c>
      <c r="F509" s="169" t="s">
        <v>116</v>
      </c>
      <c r="G509" s="130" t="s">
        <v>120</v>
      </c>
      <c r="H509" s="169" t="s">
        <v>116</v>
      </c>
      <c r="I509" s="130" t="s">
        <v>120</v>
      </c>
      <c r="J509" s="169" t="s">
        <v>8</v>
      </c>
      <c r="K509" s="130" t="s">
        <v>231</v>
      </c>
      <c r="L509" s="169" t="s">
        <v>116</v>
      </c>
      <c r="M509" s="130" t="s">
        <v>120</v>
      </c>
      <c r="N509" s="169" t="s">
        <v>8</v>
      </c>
      <c r="O509" s="154" t="s">
        <v>226</v>
      </c>
      <c r="P509" s="6">
        <v>0.2</v>
      </c>
      <c r="Q509" s="104" t="str">
        <f>IF('INFO BASE'!$C$26="","",'INFO BASE'!$C$26)</f>
        <v>Privado</v>
      </c>
      <c r="R509" s="87" t="str">
        <f t="shared" si="286"/>
        <v>PV</v>
      </c>
      <c r="S509" s="88">
        <f t="shared" si="283"/>
        <v>0.41509433962264142</v>
      </c>
      <c r="T509" s="89">
        <f>IF(VLOOKUP(Q509,'INFO BASE'!$B$40:$I$54,IF(R509='INFO BASE'!$B$32,3,IF(R509='INFO BASE'!$B$33,4,IF(R509='INFO BASE'!$B$34,5,IF(R509='INFO BASE'!$B$35,6,IF(R509='INFO BASE'!$B$36,7,IF(R509='INFO BASE'!$B$37,8,2)))))),0)=0,"",VLOOKUP(Q509,'INFO BASE'!$B$40:$I$54,IF(R509='INFO BASE'!$B$32,3,IF(R509='INFO BASE'!$B$33,4,IF(R509='INFO BASE'!$B$34,5,IF(R509='INFO BASE'!$B$35,6,IF(R509='INFO BASE'!$B$36,7,IF(R509='INFO BASE'!$B$37,8,2)))))),0))</f>
        <v>26.5</v>
      </c>
      <c r="U509" s="89">
        <f t="shared" si="295"/>
        <v>37.5</v>
      </c>
      <c r="V509" s="89">
        <f>IF(R509="","",COUNTIFS(AI465:AV512,R509)*0.5)</f>
        <v>0</v>
      </c>
      <c r="W509" s="90" t="str">
        <f>IF(AH461="","-",IF(V509=0,U509,IFERROR((U509/V509)-1,"-")))</f>
        <v>-</v>
      </c>
      <c r="X509" s="202">
        <f t="shared" si="284"/>
        <v>0</v>
      </c>
      <c r="Y509" s="271"/>
      <c r="Z509" s="272"/>
      <c r="AA509" s="272"/>
      <c r="AB509" s="272"/>
      <c r="AC509" s="272"/>
      <c r="AD509" s="272"/>
      <c r="AE509" s="272"/>
      <c r="AF509" s="273"/>
      <c r="AH509" s="136">
        <v>0.91666666666669605</v>
      </c>
      <c r="AI509" s="136" t="str">
        <f>IF(AH461="","",IF(B509="","",B509))</f>
        <v/>
      </c>
      <c r="AJ509" s="136" t="str">
        <f>IF(AH461="","",IF(C509="","",C509))</f>
        <v/>
      </c>
      <c r="AK509" s="136" t="str">
        <f>IF(AH461="","",IF(D509="","",D509))</f>
        <v/>
      </c>
      <c r="AL509" s="136" t="str">
        <f>IF(AH461="","",IF(E509="","",E509))</f>
        <v/>
      </c>
      <c r="AM509" s="136" t="str">
        <f>IF(AH461="","",IF(F509="","",F509))</f>
        <v/>
      </c>
      <c r="AN509" s="136" t="str">
        <f>IF(AH461="","",IF(G509="","",G509))</f>
        <v/>
      </c>
      <c r="AO509" s="136" t="str">
        <f>IF(AH461="","",IF(H509="","",H509))</f>
        <v/>
      </c>
      <c r="AP509" s="136" t="str">
        <f>IF(AH461="","",IF(I509="","",I509))</f>
        <v/>
      </c>
      <c r="AQ509" s="136" t="str">
        <f>IF(AH461="","",IF(J509="","",J509))</f>
        <v/>
      </c>
      <c r="AR509" s="136" t="str">
        <f>IF(AH461="","",IF(K509="","",K509))</f>
        <v/>
      </c>
      <c r="AS509" s="136" t="str">
        <f>IF(AH461="","",IF(L509="","",L509))</f>
        <v/>
      </c>
      <c r="AT509" s="136" t="str">
        <f>IF(AH461="","",IF(M509="","",M509))</f>
        <v/>
      </c>
      <c r="AU509" s="136" t="str">
        <f>IF(AH461="","",IF(N509="","",N509))</f>
        <v/>
      </c>
      <c r="AV509" s="136" t="str">
        <f>IF(AH461="","",IF(O509="","",O509))</f>
        <v/>
      </c>
      <c r="AX509" s="136" t="str">
        <f>IF(AI461="","",IF(B509="","",B509))</f>
        <v/>
      </c>
      <c r="AY509" s="136" t="str">
        <f>IF(AI461="","",IF(C509="","",C509))</f>
        <v/>
      </c>
      <c r="AZ509" s="136" t="str">
        <f>IF(AI461="","",IF(D509="","",D509))</f>
        <v/>
      </c>
      <c r="BA509" s="136" t="str">
        <f>IF(AI461="","",IF(E509="","",E509))</f>
        <v/>
      </c>
      <c r="BB509" s="136" t="str">
        <f>IF(AI461="","",IF(F509="","",F509))</f>
        <v/>
      </c>
      <c r="BC509" s="136" t="str">
        <f>IF(AI461="","",IF(G509="","",G509))</f>
        <v/>
      </c>
      <c r="BD509" s="136" t="str">
        <f>IF(AI461="","",IF(H509="","",H509))</f>
        <v/>
      </c>
      <c r="BE509" s="136" t="str">
        <f>IF(AI461="","",IF(I509="","",I509))</f>
        <v/>
      </c>
      <c r="BF509" s="136" t="str">
        <f>IF(AI461="","",IF(J509="","",J509))</f>
        <v/>
      </c>
      <c r="BG509" s="136" t="str">
        <f>IF(AI461="","",IF(K509="","",K509))</f>
        <v/>
      </c>
      <c r="BH509" s="136" t="str">
        <f>IF(AI461="","",IF(L509="","",L509))</f>
        <v/>
      </c>
      <c r="BI509" s="136" t="str">
        <f>IF(AI461="","",IF(M509="","",M509))</f>
        <v/>
      </c>
      <c r="BJ509" s="136" t="str">
        <f>IF(AI461="","",IF(N509="","",N509))</f>
        <v/>
      </c>
      <c r="BK509" s="136" t="str">
        <f>IF(AI461="","",IF(O509="","",O509))</f>
        <v/>
      </c>
      <c r="BN509" s="136" t="str">
        <f t="shared" si="279"/>
        <v>Sono</v>
      </c>
      <c r="BO509" s="136" t="str">
        <f t="shared" si="279"/>
        <v>HS</v>
      </c>
      <c r="BP509" s="136">
        <f>IF(BO509="","",COUNTIFS(AX465:BK512,BO509)*0.5)</f>
        <v>0</v>
      </c>
      <c r="BQ509" s="136" t="str">
        <f t="shared" si="280"/>
        <v>Sono</v>
      </c>
      <c r="BR509" s="136" t="str">
        <f t="shared" si="280"/>
        <v>HS</v>
      </c>
      <c r="BS509" s="136" t="str">
        <f t="shared" si="281"/>
        <v>Sono</v>
      </c>
      <c r="BT509" s="136">
        <f t="shared" si="287"/>
        <v>417</v>
      </c>
      <c r="BU509" s="136">
        <f t="shared" si="288"/>
        <v>417.5</v>
      </c>
      <c r="CA509" s="136">
        <f>'INFO BASE'!L586</f>
        <v>0</v>
      </c>
      <c r="CB509" s="136">
        <f>'INFO BASE'!M586</f>
        <v>0</v>
      </c>
      <c r="CR509" s="177" t="str">
        <f t="shared" si="296"/>
        <v>PV</v>
      </c>
      <c r="CS509" s="177">
        <f t="shared" si="270"/>
        <v>0</v>
      </c>
      <c r="CT509" s="177" t="str">
        <f t="shared" si="296"/>
        <v>PV</v>
      </c>
      <c r="CU509" s="177">
        <f t="shared" si="271"/>
        <v>0</v>
      </c>
      <c r="CV509" s="177" t="str">
        <f t="shared" si="296"/>
        <v>PV</v>
      </c>
      <c r="CW509" s="177">
        <f t="shared" si="272"/>
        <v>0</v>
      </c>
      <c r="CX509" s="177" t="str">
        <f t="shared" si="296"/>
        <v>PV</v>
      </c>
      <c r="CY509" s="177">
        <f t="shared" si="273"/>
        <v>0</v>
      </c>
      <c r="CZ509" s="177" t="str">
        <f t="shared" si="296"/>
        <v>EA</v>
      </c>
      <c r="DA509" s="177" t="str">
        <f t="shared" si="274"/>
        <v>EACDI</v>
      </c>
      <c r="DB509" s="177" t="str">
        <f t="shared" si="297"/>
        <v>PV</v>
      </c>
      <c r="DC509" s="177">
        <f t="shared" si="275"/>
        <v>0</v>
      </c>
      <c r="DD509" s="177" t="str">
        <f t="shared" si="276"/>
        <v>EA</v>
      </c>
      <c r="DE509" s="177" t="str">
        <f t="shared" si="277"/>
        <v>EAIEI</v>
      </c>
    </row>
    <row r="510" spans="1:109" ht="18" customHeight="1" x14ac:dyDescent="0.3">
      <c r="A510" s="81">
        <v>0.93750000000002998</v>
      </c>
      <c r="B510" s="166" t="s">
        <v>116</v>
      </c>
      <c r="C510" s="130" t="s">
        <v>120</v>
      </c>
      <c r="D510" s="169" t="s">
        <v>116</v>
      </c>
      <c r="E510" s="130" t="s">
        <v>120</v>
      </c>
      <c r="F510" s="169" t="s">
        <v>116</v>
      </c>
      <c r="G510" s="130" t="s">
        <v>120</v>
      </c>
      <c r="H510" s="169" t="s">
        <v>116</v>
      </c>
      <c r="I510" s="130" t="s">
        <v>120</v>
      </c>
      <c r="J510" s="169" t="s">
        <v>8</v>
      </c>
      <c r="K510" s="130" t="s">
        <v>231</v>
      </c>
      <c r="L510" s="169" t="s">
        <v>116</v>
      </c>
      <c r="M510" s="130" t="s">
        <v>120</v>
      </c>
      <c r="N510" s="169" t="s">
        <v>8</v>
      </c>
      <c r="O510" s="154" t="s">
        <v>226</v>
      </c>
      <c r="P510" s="6">
        <v>0.2</v>
      </c>
      <c r="Q510" s="86" t="str">
        <f>IF('INFO BASE'!$C$27="","",'INFO BASE'!$C$27)</f>
        <v>Deslocação</v>
      </c>
      <c r="R510" s="87" t="str">
        <f t="shared" si="286"/>
        <v>HD</v>
      </c>
      <c r="S510" s="88">
        <f t="shared" si="283"/>
        <v>0.60000000000000009</v>
      </c>
      <c r="T510" s="89">
        <f>IF(VLOOKUP(Q510,'INFO BASE'!$B$40:$I$54,IF(R510='INFO BASE'!$B$32,3,IF(R510='INFO BASE'!$B$33,4,IF(R510='INFO BASE'!$B$34,5,IF(R510='INFO BASE'!$B$35,6,IF(R510='INFO BASE'!$B$36,7,IF(R510='INFO BASE'!$B$37,8,2)))))),0)=0,"",VLOOKUP(Q510,'INFO BASE'!$B$40:$I$54,IF(R510='INFO BASE'!$B$32,3,IF(R510='INFO BASE'!$B$33,4,IF(R510='INFO BASE'!$B$34,5,IF(R510='INFO BASE'!$B$35,6,IF(R510='INFO BASE'!$B$36,7,IF(R510='INFO BASE'!$B$37,8,2)))))),0))</f>
        <v>10</v>
      </c>
      <c r="U510" s="89">
        <f t="shared" si="295"/>
        <v>16</v>
      </c>
      <c r="V510" s="89">
        <f>IF(R510="","",COUNTIFS(AI465:AV512,R510)*0.5)</f>
        <v>0</v>
      </c>
      <c r="W510" s="90" t="str">
        <f>IF(AH461="","-",IF(V510=0,U510,IFERROR((U510/V510)-1,"-")))</f>
        <v>-</v>
      </c>
      <c r="X510" s="203">
        <f t="shared" si="284"/>
        <v>0</v>
      </c>
      <c r="Y510" s="271"/>
      <c r="Z510" s="272"/>
      <c r="AA510" s="272"/>
      <c r="AB510" s="272"/>
      <c r="AC510" s="272"/>
      <c r="AD510" s="272"/>
      <c r="AE510" s="272"/>
      <c r="AF510" s="273"/>
      <c r="AH510" s="136">
        <v>0.93750000000002998</v>
      </c>
      <c r="AI510" s="136" t="str">
        <f>IF(AH461="","",IF(B510="","",B510))</f>
        <v/>
      </c>
      <c r="AJ510" s="136" t="str">
        <f>IF(AH461="","",IF(C510="","",C510))</f>
        <v/>
      </c>
      <c r="AK510" s="136" t="str">
        <f>IF(AH461="","",IF(D510="","",D510))</f>
        <v/>
      </c>
      <c r="AL510" s="136" t="str">
        <f>IF(AH461="","",IF(E510="","",E510))</f>
        <v/>
      </c>
      <c r="AM510" s="136" t="str">
        <f>IF(AH461="","",IF(F510="","",F510))</f>
        <v/>
      </c>
      <c r="AN510" s="136" t="str">
        <f>IF(AH461="","",IF(G510="","",G510))</f>
        <v/>
      </c>
      <c r="AO510" s="136" t="str">
        <f>IF(AH461="","",IF(H510="","",H510))</f>
        <v/>
      </c>
      <c r="AP510" s="136" t="str">
        <f>IF(AH461="","",IF(I510="","",I510))</f>
        <v/>
      </c>
      <c r="AQ510" s="136" t="str">
        <f>IF(AH461="","",IF(J510="","",J510))</f>
        <v/>
      </c>
      <c r="AR510" s="136" t="str">
        <f>IF(AH461="","",IF(K510="","",K510))</f>
        <v/>
      </c>
      <c r="AS510" s="136" t="str">
        <f>IF(AH461="","",IF(L510="","",L510))</f>
        <v/>
      </c>
      <c r="AT510" s="136" t="str">
        <f>IF(AH461="","",IF(M510="","",M510))</f>
        <v/>
      </c>
      <c r="AU510" s="136" t="str">
        <f>IF(AH461="","",IF(N510="","",N510))</f>
        <v/>
      </c>
      <c r="AV510" s="136" t="str">
        <f>IF(AH461="","",IF(O510="","",O510))</f>
        <v/>
      </c>
      <c r="AX510" s="136" t="str">
        <f>IF(AI461="","",IF(B510="","",B510))</f>
        <v/>
      </c>
      <c r="AY510" s="136" t="str">
        <f>IF(AI461="","",IF(C510="","",C510))</f>
        <v/>
      </c>
      <c r="AZ510" s="136" t="str">
        <f>IF(AI461="","",IF(D510="","",D510))</f>
        <v/>
      </c>
      <c r="BA510" s="136" t="str">
        <f>IF(AI461="","",IF(E510="","",E510))</f>
        <v/>
      </c>
      <c r="BB510" s="136" t="str">
        <f>IF(AI461="","",IF(F510="","",F510))</f>
        <v/>
      </c>
      <c r="BC510" s="136" t="str">
        <f>IF(AI461="","",IF(G510="","",G510))</f>
        <v/>
      </c>
      <c r="BD510" s="136" t="str">
        <f>IF(AI461="","",IF(H510="","",H510))</f>
        <v/>
      </c>
      <c r="BE510" s="136" t="str">
        <f>IF(AI461="","",IF(I510="","",I510))</f>
        <v/>
      </c>
      <c r="BF510" s="136" t="str">
        <f>IF(AI461="","",IF(J510="","",J510))</f>
        <v/>
      </c>
      <c r="BG510" s="136" t="str">
        <f>IF(AI461="","",IF(K510="","",K510))</f>
        <v/>
      </c>
      <c r="BH510" s="136" t="str">
        <f>IF(AI461="","",IF(L510="","",L510))</f>
        <v/>
      </c>
      <c r="BI510" s="136" t="str">
        <f>IF(AI461="","",IF(M510="","",M510))</f>
        <v/>
      </c>
      <c r="BJ510" s="136" t="str">
        <f>IF(AI461="","",IF(N510="","",N510))</f>
        <v/>
      </c>
      <c r="BK510" s="136" t="str">
        <f>IF(AI461="","",IF(O510="","",O510))</f>
        <v/>
      </c>
      <c r="BP510" s="136" t="str">
        <f>IF(BO510="","",COUNTIFS(AX465:BK512,BO510)*0.5)</f>
        <v/>
      </c>
      <c r="CA510" s="136">
        <f>'INFO BASE'!L587</f>
        <v>0</v>
      </c>
      <c r="CB510" s="136">
        <f>'INFO BASE'!M587</f>
        <v>0</v>
      </c>
      <c r="CR510" s="177" t="str">
        <f t="shared" si="296"/>
        <v>PV</v>
      </c>
      <c r="CS510" s="177">
        <f t="shared" si="270"/>
        <v>0</v>
      </c>
      <c r="CT510" s="177" t="str">
        <f t="shared" si="296"/>
        <v>PV</v>
      </c>
      <c r="CU510" s="177">
        <f t="shared" si="271"/>
        <v>0</v>
      </c>
      <c r="CV510" s="177" t="str">
        <f t="shared" si="296"/>
        <v>PV</v>
      </c>
      <c r="CW510" s="177">
        <f t="shared" si="272"/>
        <v>0</v>
      </c>
      <c r="CX510" s="177" t="str">
        <f t="shared" si="296"/>
        <v>PV</v>
      </c>
      <c r="CY510" s="177">
        <f t="shared" si="273"/>
        <v>0</v>
      </c>
      <c r="CZ510" s="177" t="str">
        <f t="shared" si="296"/>
        <v>EA</v>
      </c>
      <c r="DA510" s="177" t="str">
        <f t="shared" si="274"/>
        <v>EACDI</v>
      </c>
      <c r="DB510" s="177" t="str">
        <f t="shared" si="297"/>
        <v>PV</v>
      </c>
      <c r="DC510" s="177">
        <f t="shared" si="275"/>
        <v>0</v>
      </c>
      <c r="DD510" s="177" t="str">
        <f t="shared" si="276"/>
        <v>EA</v>
      </c>
      <c r="DE510" s="177" t="str">
        <f t="shared" si="277"/>
        <v>EAIEI</v>
      </c>
    </row>
    <row r="511" spans="1:109" ht="18" customHeight="1" x14ac:dyDescent="0.3">
      <c r="A511" s="81">
        <v>0.95833333333336401</v>
      </c>
      <c r="B511" s="166" t="s">
        <v>10</v>
      </c>
      <c r="C511" s="130" t="s">
        <v>120</v>
      </c>
      <c r="D511" s="169" t="s">
        <v>10</v>
      </c>
      <c r="E511" s="130" t="s">
        <v>120</v>
      </c>
      <c r="F511" s="169" t="s">
        <v>10</v>
      </c>
      <c r="G511" s="130" t="s">
        <v>120</v>
      </c>
      <c r="H511" s="169" t="s">
        <v>10</v>
      </c>
      <c r="I511" s="130" t="s">
        <v>120</v>
      </c>
      <c r="J511" s="169" t="s">
        <v>8</v>
      </c>
      <c r="K511" s="130" t="s">
        <v>231</v>
      </c>
      <c r="L511" s="169" t="s">
        <v>116</v>
      </c>
      <c r="M511" s="130" t="s">
        <v>120</v>
      </c>
      <c r="N511" s="169" t="s">
        <v>8</v>
      </c>
      <c r="O511" s="154" t="s">
        <v>226</v>
      </c>
      <c r="P511" s="6">
        <v>0.2</v>
      </c>
      <c r="Q511" s="91" t="str">
        <f>IF('INFO BASE'!$C$28="","",'INFO BASE'!$C$28)</f>
        <v>Refeição</v>
      </c>
      <c r="R511" s="87" t="str">
        <f t="shared" si="286"/>
        <v>HR</v>
      </c>
      <c r="S511" s="88">
        <f t="shared" si="283"/>
        <v>-9.9999999999999978E-2</v>
      </c>
      <c r="T511" s="89">
        <f>IF(VLOOKUP(Q511,'INFO BASE'!$B$40:$I$54,IF(R511='INFO BASE'!$B$32,3,IF(R511='INFO BASE'!$B$33,4,IF(R511='INFO BASE'!$B$34,5,IF(R511='INFO BASE'!$B$35,6,IF(R511='INFO BASE'!$B$36,7,IF(R511='INFO BASE'!$B$37,8,2)))))),0)=0,"",VLOOKUP(Q511,'INFO BASE'!$B$40:$I$54,IF(R511='INFO BASE'!$B$32,3,IF(R511='INFO BASE'!$B$33,4,IF(R511='INFO BASE'!$B$34,5,IF(R511='INFO BASE'!$B$35,6,IF(R511='INFO BASE'!$B$36,7,IF(R511='INFO BASE'!$B$37,8,2)))))),0))</f>
        <v>15</v>
      </c>
      <c r="U511" s="89">
        <f t="shared" si="295"/>
        <v>13.5</v>
      </c>
      <c r="V511" s="89">
        <f>IF(R511="","",COUNTIFS(AI465:AV512,R511)*0.5)</f>
        <v>0</v>
      </c>
      <c r="W511" s="90" t="str">
        <f>IF(AH461="","-",IF(V511=0,U511,IFERROR((U511/V511)-1,"-")))</f>
        <v>-</v>
      </c>
      <c r="X511" s="204">
        <f t="shared" si="284"/>
        <v>0</v>
      </c>
      <c r="Y511" s="271"/>
      <c r="Z511" s="272"/>
      <c r="AA511" s="272"/>
      <c r="AB511" s="272"/>
      <c r="AC511" s="272"/>
      <c r="AD511" s="272"/>
      <c r="AE511" s="272"/>
      <c r="AF511" s="273"/>
      <c r="AH511" s="136">
        <v>0.95833333333336401</v>
      </c>
      <c r="AI511" s="136" t="str">
        <f>IF(AH461="","",IF(B511="","",B511))</f>
        <v/>
      </c>
      <c r="AJ511" s="136" t="str">
        <f>IF(AH461="","",IF(C511="","",C511))</f>
        <v/>
      </c>
      <c r="AK511" s="136" t="str">
        <f>IF(AH461="","",IF(D511="","",D511))</f>
        <v/>
      </c>
      <c r="AL511" s="136" t="str">
        <f>IF(AH461="","",IF(E511="","",E511))</f>
        <v/>
      </c>
      <c r="AM511" s="136" t="str">
        <f>IF(AH461="","",IF(F511="","",F511))</f>
        <v/>
      </c>
      <c r="AN511" s="136" t="str">
        <f>IF(AH461="","",IF(G511="","",G511))</f>
        <v/>
      </c>
      <c r="AO511" s="136" t="str">
        <f>IF(AH461="","",IF(H511="","",H511))</f>
        <v/>
      </c>
      <c r="AP511" s="136" t="str">
        <f>IF(AH461="","",IF(I511="","",I511))</f>
        <v/>
      </c>
      <c r="AQ511" s="136" t="str">
        <f>IF(AH461="","",IF(J511="","",J511))</f>
        <v/>
      </c>
      <c r="AR511" s="136" t="str">
        <f>IF(AH461="","",IF(K511="","",K511))</f>
        <v/>
      </c>
      <c r="AS511" s="136" t="str">
        <f>IF(AH461="","",IF(L511="","",L511))</f>
        <v/>
      </c>
      <c r="AT511" s="136" t="str">
        <f>IF(AH461="","",IF(M511="","",M511))</f>
        <v/>
      </c>
      <c r="AU511" s="136" t="str">
        <f>IF(AH461="","",IF(N511="","",N511))</f>
        <v/>
      </c>
      <c r="AV511" s="136" t="str">
        <f>IF(AH461="","",IF(O511="","",O511))</f>
        <v/>
      </c>
      <c r="AX511" s="136" t="str">
        <f>IF(AI461="","",IF(B511="","",B511))</f>
        <v/>
      </c>
      <c r="AY511" s="136" t="str">
        <f>IF(AI461="","",IF(C511="","",C511))</f>
        <v/>
      </c>
      <c r="AZ511" s="136" t="str">
        <f>IF(AI461="","",IF(D511="","",D511))</f>
        <v/>
      </c>
      <c r="BA511" s="136" t="str">
        <f>IF(AI461="","",IF(E511="","",E511))</f>
        <v/>
      </c>
      <c r="BB511" s="136" t="str">
        <f>IF(AI461="","",IF(F511="","",F511))</f>
        <v/>
      </c>
      <c r="BC511" s="136" t="str">
        <f>IF(AI461="","",IF(G511="","",G511))</f>
        <v/>
      </c>
      <c r="BD511" s="136" t="str">
        <f>IF(AI461="","",IF(H511="","",H511))</f>
        <v/>
      </c>
      <c r="BE511" s="136" t="str">
        <f>IF(AI461="","",IF(I511="","",I511))</f>
        <v/>
      </c>
      <c r="BF511" s="136" t="str">
        <f>IF(AI461="","",IF(J511="","",J511))</f>
        <v/>
      </c>
      <c r="BG511" s="136" t="str">
        <f>IF(AI461="","",IF(K511="","",K511))</f>
        <v/>
      </c>
      <c r="BH511" s="136" t="str">
        <f>IF(AI461="","",IF(L511="","",L511))</f>
        <v/>
      </c>
      <c r="BI511" s="136" t="str">
        <f>IF(AI461="","",IF(M511="","",M511))</f>
        <v/>
      </c>
      <c r="BJ511" s="136" t="str">
        <f>IF(AI461="","",IF(N511="","",N511))</f>
        <v/>
      </c>
      <c r="BK511" s="136" t="str">
        <f>IF(AI461="","",IF(O511="","",O511))</f>
        <v/>
      </c>
      <c r="BP511" s="136" t="str">
        <f>IF(BO511="","",COUNTIFS(AX465:BK512,BO511)*0.5)</f>
        <v/>
      </c>
      <c r="CA511" s="136">
        <f>'INFO BASE'!L588</f>
        <v>0</v>
      </c>
      <c r="CB511" s="136">
        <f>'INFO BASE'!M588</f>
        <v>0</v>
      </c>
      <c r="CR511" s="177" t="str">
        <f t="shared" si="296"/>
        <v>HS</v>
      </c>
      <c r="CS511" s="177" t="str">
        <f t="shared" si="270"/>
        <v>HS-</v>
      </c>
      <c r="CT511" s="177" t="str">
        <f t="shared" si="296"/>
        <v>HS</v>
      </c>
      <c r="CU511" s="177" t="str">
        <f t="shared" si="271"/>
        <v>HS-</v>
      </c>
      <c r="CV511" s="177" t="str">
        <f t="shared" si="296"/>
        <v>HS</v>
      </c>
      <c r="CW511" s="177" t="str">
        <f t="shared" si="272"/>
        <v>HS-</v>
      </c>
      <c r="CX511" s="177" t="str">
        <f t="shared" si="296"/>
        <v>HS</v>
      </c>
      <c r="CY511" s="177" t="str">
        <f t="shared" si="273"/>
        <v>HS-</v>
      </c>
      <c r="CZ511" s="177" t="str">
        <f t="shared" si="296"/>
        <v>EA</v>
      </c>
      <c r="DA511" s="177" t="str">
        <f t="shared" si="274"/>
        <v>EACDI</v>
      </c>
      <c r="DB511" s="177" t="str">
        <f t="shared" si="297"/>
        <v>PV</v>
      </c>
      <c r="DC511" s="177">
        <f t="shared" si="275"/>
        <v>0</v>
      </c>
      <c r="DD511" s="177" t="str">
        <f t="shared" si="276"/>
        <v>EA</v>
      </c>
      <c r="DE511" s="177" t="str">
        <f t="shared" si="277"/>
        <v>EAIEI</v>
      </c>
    </row>
    <row r="512" spans="1:109" ht="18" customHeight="1" thickBot="1" x14ac:dyDescent="0.35">
      <c r="A512" s="180">
        <v>0.97916666666669805</v>
      </c>
      <c r="B512" s="167" t="s">
        <v>10</v>
      </c>
      <c r="C512" s="156" t="s">
        <v>120</v>
      </c>
      <c r="D512" s="170" t="s">
        <v>10</v>
      </c>
      <c r="E512" s="156" t="s">
        <v>120</v>
      </c>
      <c r="F512" s="170" t="s">
        <v>10</v>
      </c>
      <c r="G512" s="156" t="s">
        <v>120</v>
      </c>
      <c r="H512" s="170" t="s">
        <v>10</v>
      </c>
      <c r="I512" s="156" t="s">
        <v>120</v>
      </c>
      <c r="J512" s="170" t="s">
        <v>8</v>
      </c>
      <c r="K512" s="156" t="s">
        <v>231</v>
      </c>
      <c r="L512" s="170" t="s">
        <v>12</v>
      </c>
      <c r="M512" s="156" t="s">
        <v>120</v>
      </c>
      <c r="N512" s="170" t="s">
        <v>8</v>
      </c>
      <c r="O512" s="158" t="s">
        <v>226</v>
      </c>
      <c r="P512" s="6">
        <v>0.2</v>
      </c>
      <c r="Q512" s="92" t="str">
        <f>IF('INFO BASE'!$C$29="","",'INFO BASE'!$C$29)</f>
        <v>Sono</v>
      </c>
      <c r="R512" s="93" t="str">
        <f t="shared" si="286"/>
        <v>HS</v>
      </c>
      <c r="S512" s="94">
        <f t="shared" si="283"/>
        <v>0</v>
      </c>
      <c r="T512" s="95">
        <f>IF(VLOOKUP(Q512,'INFO BASE'!$B$40:$I$54,IF(R512='INFO BASE'!$B$32,3,IF(R512='INFO BASE'!$B$33,4,IF(R512='INFO BASE'!$B$34,5,IF(R512='INFO BASE'!$B$35,6,IF(R512='INFO BASE'!$B$36,7,IF(R512='INFO BASE'!$B$37,8,2)))))),0)=0,"",VLOOKUP(Q512,'INFO BASE'!$B$40:$I$54,IF(R512='INFO BASE'!$B$32,3,IF(R512='INFO BASE'!$B$33,4,IF(R512='INFO BASE'!$B$34,5,IF(R512='INFO BASE'!$B$35,6,IF(R512='INFO BASE'!$B$36,7,IF(R512='INFO BASE'!$B$37,8,2)))))),0))</f>
        <v>49</v>
      </c>
      <c r="U512" s="95">
        <f t="shared" si="295"/>
        <v>49</v>
      </c>
      <c r="V512" s="95">
        <f>IF(R512="","",COUNTIFS(AI465:AV512,R512)*0.5)</f>
        <v>0</v>
      </c>
      <c r="W512" s="96" t="str">
        <f>IF(AH461="","-",IF(V512=0,U512,IFERROR((U512/V512)-1,"-")))</f>
        <v>-</v>
      </c>
      <c r="X512" s="204">
        <f t="shared" si="284"/>
        <v>0</v>
      </c>
      <c r="Y512" s="274"/>
      <c r="Z512" s="275"/>
      <c r="AA512" s="275"/>
      <c r="AB512" s="275"/>
      <c r="AC512" s="275"/>
      <c r="AD512" s="275"/>
      <c r="AE512" s="275"/>
      <c r="AF512" s="276"/>
      <c r="AH512" s="136">
        <v>0.97916666666669805</v>
      </c>
      <c r="AI512" s="136" t="str">
        <f>IF(AH461="","",IF(B512="","",B512))</f>
        <v/>
      </c>
      <c r="AJ512" s="136" t="str">
        <f>IF(AH461="","",IF(C512="","",C512))</f>
        <v/>
      </c>
      <c r="AK512" s="136" t="str">
        <f>IF(AH461="","",IF(D512="","",D512))</f>
        <v/>
      </c>
      <c r="AL512" s="136" t="str">
        <f>IF(AH461="","",IF(E512="","",E512))</f>
        <v/>
      </c>
      <c r="AM512" s="136" t="str">
        <f>IF(AH461="","",IF(F512="","",F512))</f>
        <v/>
      </c>
      <c r="AN512" s="136" t="str">
        <f>IF(AH461="","",IF(G512="","",G512))</f>
        <v/>
      </c>
      <c r="AO512" s="136" t="str">
        <f>IF(AH461="","",IF(H512="","",H512))</f>
        <v/>
      </c>
      <c r="AP512" s="136" t="str">
        <f>IF(AH461="","",IF(I512="","",I512))</f>
        <v/>
      </c>
      <c r="AQ512" s="136" t="str">
        <f>IF(AH461="","",IF(J512="","",J512))</f>
        <v/>
      </c>
      <c r="AR512" s="136" t="str">
        <f>IF(AH461="","",IF(K512="","",K512))</f>
        <v/>
      </c>
      <c r="AS512" s="136" t="str">
        <f>IF(AH461="","",IF(L512="","",L512))</f>
        <v/>
      </c>
      <c r="AT512" s="136" t="str">
        <f>IF(AH461="","",IF(M512="","",M512))</f>
        <v/>
      </c>
      <c r="AU512" s="136" t="str">
        <f>IF(AH461="","",IF(N512="","",N512))</f>
        <v/>
      </c>
      <c r="AV512" s="136" t="str">
        <f>IF(AH461="","",IF(O512="","",O512))</f>
        <v/>
      </c>
      <c r="AX512" s="136" t="str">
        <f>IF(AI461="","",IF(B512="","",B512))</f>
        <v/>
      </c>
      <c r="AY512" s="136" t="str">
        <f>IF(AI461="","",IF(C512="","",C512))</f>
        <v/>
      </c>
      <c r="AZ512" s="136" t="str">
        <f>IF(AI461="","",IF(D512="","",D512))</f>
        <v/>
      </c>
      <c r="BA512" s="136" t="str">
        <f>IF(AI461="","",IF(E512="","",E512))</f>
        <v/>
      </c>
      <c r="BB512" s="136" t="str">
        <f>IF(AI461="","",IF(F512="","",F512))</f>
        <v/>
      </c>
      <c r="BC512" s="136" t="str">
        <f>IF(AI461="","",IF(G512="","",G512))</f>
        <v/>
      </c>
      <c r="BD512" s="136" t="str">
        <f>IF(AI461="","",IF(H512="","",H512))</f>
        <v/>
      </c>
      <c r="BE512" s="136" t="str">
        <f>IF(AI461="","",IF(I512="","",I512))</f>
        <v/>
      </c>
      <c r="BF512" s="136" t="str">
        <f>IF(AI461="","",IF(J512="","",J512))</f>
        <v/>
      </c>
      <c r="BG512" s="136" t="str">
        <f>IF(AI461="","",IF(K512="","",K512))</f>
        <v/>
      </c>
      <c r="BH512" s="136" t="str">
        <f>IF(AI461="","",IF(L512="","",L512))</f>
        <v/>
      </c>
      <c r="BI512" s="136" t="str">
        <f>IF(AI461="","",IF(M512="","",M512))</f>
        <v/>
      </c>
      <c r="BJ512" s="136" t="str">
        <f>IF(AI461="","",IF(N512="","",N512))</f>
        <v/>
      </c>
      <c r="BK512" s="136" t="str">
        <f>IF(AI461="","",IF(O512="","",O512))</f>
        <v/>
      </c>
      <c r="BP512" s="136" t="str">
        <f>IF(BO512="","",COUNTIFS(AX465:BK512,BO512)*0.5)</f>
        <v/>
      </c>
      <c r="CA512" s="136">
        <f>'INFO BASE'!L589</f>
        <v>0</v>
      </c>
      <c r="CB512" s="136">
        <f>'INFO BASE'!M589</f>
        <v>0</v>
      </c>
      <c r="CR512" s="177" t="str">
        <f t="shared" si="296"/>
        <v>HS</v>
      </c>
      <c r="CS512" s="177" t="str">
        <f t="shared" si="270"/>
        <v>HS-</v>
      </c>
      <c r="CT512" s="177" t="str">
        <f t="shared" si="296"/>
        <v>HS</v>
      </c>
      <c r="CU512" s="177" t="str">
        <f t="shared" si="271"/>
        <v>HS-</v>
      </c>
      <c r="CV512" s="177" t="str">
        <f t="shared" si="296"/>
        <v>HS</v>
      </c>
      <c r="CW512" s="177" t="str">
        <f t="shared" si="272"/>
        <v>HS-</v>
      </c>
      <c r="CX512" s="177" t="str">
        <f t="shared" si="296"/>
        <v>HS</v>
      </c>
      <c r="CY512" s="177" t="str">
        <f t="shared" si="273"/>
        <v>HS-</v>
      </c>
      <c r="CZ512" s="177" t="str">
        <f t="shared" si="296"/>
        <v>EA</v>
      </c>
      <c r="DA512" s="177" t="str">
        <f t="shared" si="274"/>
        <v>EACDI</v>
      </c>
      <c r="DB512" s="177" t="str">
        <f t="shared" si="297"/>
        <v>HR</v>
      </c>
      <c r="DC512" s="177" t="str">
        <f t="shared" si="275"/>
        <v>HR-</v>
      </c>
      <c r="DD512" s="177" t="str">
        <f t="shared" si="276"/>
        <v>EA</v>
      </c>
      <c r="DE512" s="177" t="str">
        <f t="shared" si="277"/>
        <v>EAIEI</v>
      </c>
    </row>
    <row r="513" spans="1:120" s="139" customFormat="1" ht="15" thickTop="1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7">
        <v>1</v>
      </c>
      <c r="Y513" s="6">
        <f>COUNTA(Y476:AF512)</f>
        <v>0</v>
      </c>
      <c r="Z513" s="6">
        <f>SUM(X476:X512)</f>
        <v>0</v>
      </c>
      <c r="AA513" s="6">
        <f>IF(Z513&gt;Y513,"ERRO",0)</f>
        <v>0</v>
      </c>
      <c r="AB513" s="6"/>
      <c r="AC513" s="6"/>
      <c r="AD513" s="6"/>
      <c r="AE513" s="6"/>
      <c r="AF513" s="6"/>
      <c r="AG513" s="6"/>
      <c r="BM513" s="136"/>
      <c r="BN513" s="136"/>
      <c r="BO513" s="136"/>
      <c r="BP513" s="136"/>
      <c r="BQ513" s="136"/>
      <c r="BR513" s="136"/>
      <c r="BS513" s="136"/>
      <c r="BT513" s="136"/>
      <c r="BU513" s="136"/>
      <c r="DN513" s="194"/>
      <c r="DO513" s="194"/>
      <c r="DP513" s="194"/>
    </row>
    <row r="514" spans="1:120" s="139" customFormat="1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7">
        <v>1</v>
      </c>
      <c r="Y514" s="6" t="s">
        <v>220</v>
      </c>
      <c r="Z514" s="6" t="s">
        <v>219</v>
      </c>
      <c r="AA514" s="6" t="s">
        <v>221</v>
      </c>
      <c r="AB514" s="6"/>
      <c r="AC514" s="6"/>
      <c r="AD514" s="6"/>
      <c r="AE514" s="6"/>
      <c r="AF514" s="6"/>
      <c r="AG514" s="6"/>
      <c r="BM514" s="136"/>
      <c r="BN514" s="136"/>
      <c r="BO514" s="136"/>
      <c r="BP514" s="136"/>
      <c r="BQ514" s="136"/>
      <c r="BR514" s="136"/>
      <c r="BS514" s="136"/>
      <c r="BT514" s="136"/>
      <c r="BU514" s="136"/>
      <c r="DN514" s="194"/>
      <c r="DO514" s="194"/>
      <c r="DP514" s="194"/>
    </row>
    <row r="515" spans="1:120" x14ac:dyDescent="0.3">
      <c r="X515" s="7">
        <v>1</v>
      </c>
    </row>
    <row r="516" spans="1:120" ht="15" thickBot="1" x14ac:dyDescent="0.35">
      <c r="X516" s="7">
        <v>1</v>
      </c>
    </row>
    <row r="517" spans="1:120" ht="38.25" customHeight="1" thickTop="1" thickBot="1" x14ac:dyDescent="0.35">
      <c r="A517" s="311" t="str">
        <f>IF(LEN(A460)=8,CONCATENATE("SEMANA ",RIGHT(A460,1)+1),CONCATENATE("SEMANA ",RIGHT(A460,2)+1))</f>
        <v>SEMANA 10</v>
      </c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3"/>
      <c r="AG517" s="12"/>
      <c r="CA517" s="136">
        <f>'INFO BASE'!L598</f>
        <v>0</v>
      </c>
      <c r="CB517" s="136">
        <f>'INFO BASE'!M598</f>
        <v>0</v>
      </c>
    </row>
    <row r="518" spans="1:120" ht="9" customHeight="1" thickTop="1" thickBot="1" x14ac:dyDescent="0.35">
      <c r="A518" s="139"/>
      <c r="B518" s="139"/>
      <c r="C518" s="140"/>
      <c r="D518" s="139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41">
        <v>1</v>
      </c>
      <c r="Y518" s="139"/>
      <c r="Z518" s="139"/>
      <c r="AA518" s="139"/>
      <c r="AB518" s="139"/>
      <c r="AC518" s="139"/>
      <c r="AD518" s="139"/>
      <c r="AE518" s="139"/>
      <c r="AF518" s="139"/>
      <c r="AG518" s="139"/>
      <c r="CA518" s="136">
        <f>'INFO BASE'!L599</f>
        <v>0</v>
      </c>
      <c r="CB518" s="136">
        <f>'INFO BASE'!M599</f>
        <v>0</v>
      </c>
    </row>
    <row r="519" spans="1:120" ht="30.75" customHeight="1" x14ac:dyDescent="0.3">
      <c r="A519" s="145"/>
      <c r="B519" s="314">
        <f>1-(CR519/673)</f>
        <v>0</v>
      </c>
      <c r="C519" s="315"/>
      <c r="D519" s="315"/>
      <c r="E519" s="315"/>
      <c r="F519" s="315"/>
      <c r="G519" s="315"/>
      <c r="H519" s="315"/>
      <c r="I519" s="315"/>
      <c r="J519" s="315"/>
      <c r="K519" s="315"/>
      <c r="L519" s="315"/>
      <c r="M519" s="315"/>
      <c r="N519" s="315"/>
      <c r="O519" s="316"/>
      <c r="Q519" s="205">
        <f>IF(OR(Q522="Registe aqui o que considera serem as suas três principais prioridades para a semana
(Dica - para criar paragráfos Alt+Enter)",LEN(Q522)&lt;10),1,0)</f>
        <v>1</v>
      </c>
      <c r="X519" s="7">
        <v>1</v>
      </c>
      <c r="AM519" s="136" t="str">
        <f>CONCATENATE("PLANEAMENTO ",I519)</f>
        <v xml:space="preserve">PLANEAMENTO </v>
      </c>
      <c r="AX519" s="136" t="str">
        <f>IF(AI518="","",IF(B519="","",B519))</f>
        <v/>
      </c>
      <c r="AY519" s="136" t="str">
        <f>IF(AI518="","",IF(C519="","",C519))</f>
        <v/>
      </c>
      <c r="AZ519" s="136" t="str">
        <f>IF(AI518="","",IF(D519="","",D519))</f>
        <v/>
      </c>
      <c r="BA519" s="136" t="str">
        <f>IF(AI518="","",IF(E519="","",E519))</f>
        <v/>
      </c>
      <c r="BB519" s="136" t="str">
        <f>IF(AI518="","",IF(F519="","",F519))</f>
        <v/>
      </c>
      <c r="BC519" s="136" t="str">
        <f>IF(AI518="","",IF(G519="","",G519))</f>
        <v/>
      </c>
      <c r="BD519" s="136" t="str">
        <f>IF(AI518="","",IF(H519="","",H519))</f>
        <v/>
      </c>
      <c r="BE519" s="136" t="str">
        <f>IF(AI518="","",IF(I519="","",I519))</f>
        <v/>
      </c>
      <c r="BF519" s="136" t="str">
        <f>IF(AI518="","",IF(J519="","",J519))</f>
        <v/>
      </c>
      <c r="BG519" s="136" t="str">
        <f>IF(AI518="","",IF(K519="","",K519))</f>
        <v/>
      </c>
      <c r="BH519" s="136" t="str">
        <f>IF(AI518="","",IF(L519="","",L519))</f>
        <v/>
      </c>
      <c r="BI519" s="136" t="str">
        <f>IF(AI518="","",IF(M519="","",M519))</f>
        <v/>
      </c>
      <c r="BJ519" s="136" t="str">
        <f>IF(AI518="","",IF(N519="","",N519))</f>
        <v/>
      </c>
      <c r="BK519" s="136" t="str">
        <f>IF(AI518="","",IF(O519="","",O519))</f>
        <v/>
      </c>
      <c r="CA519" s="136">
        <f>'INFO BASE'!L585</f>
        <v>0</v>
      </c>
      <c r="CB519" s="136">
        <f>'INFO BASE'!M585</f>
        <v>0</v>
      </c>
      <c r="CR519" s="136">
        <f>SUM(CR522:DE569,Q519)</f>
        <v>673</v>
      </c>
    </row>
    <row r="520" spans="1:120" ht="37.5" customHeight="1" thickBot="1" x14ac:dyDescent="0.35">
      <c r="A520" s="146"/>
      <c r="B520" s="330" t="str">
        <f>CONCATENATE("Segunda ",CHAR(10),TEXT(B521,"dd-mm-aaaa"))</f>
        <v>Segunda 
16-11-2015</v>
      </c>
      <c r="C520" s="317"/>
      <c r="D520" s="317" t="str">
        <f>CONCATENATE("Terça ",CHAR(10),TEXT(D521,"dd-mm-aaaa"))</f>
        <v>Terça 
17-11-2015</v>
      </c>
      <c r="E520" s="317"/>
      <c r="F520" s="317" t="str">
        <f>CONCATENATE("Quarta ",CHAR(10),TEXT(F521,"dd-mm-aaaa"))</f>
        <v>Quarta 
18-11-2015</v>
      </c>
      <c r="G520" s="317"/>
      <c r="H520" s="317" t="str">
        <f>CONCATENATE("Quinta ",CHAR(10),TEXT(H521,"dd-mm-aaaa"))</f>
        <v>Quinta 
19-11-2015</v>
      </c>
      <c r="I520" s="317"/>
      <c r="J520" s="317" t="str">
        <f>CONCATENATE("Sexta ",CHAR(10),TEXT(J521,"dd-mm-aaaa"))</f>
        <v>Sexta 
20-11-2015</v>
      </c>
      <c r="K520" s="317"/>
      <c r="L520" s="317" t="str">
        <f>CONCATENATE("Sábado ",CHAR(10),TEXT(L521,"dd-mm-aaaa"))</f>
        <v>Sábado 
21-11-2015</v>
      </c>
      <c r="M520" s="317"/>
      <c r="N520" s="317" t="str">
        <f>CONCATENATE("Domingo ",CHAR(10),TEXT(N521,"dd-mm-aaaa"))</f>
        <v>Domingo 
22-11-2015</v>
      </c>
      <c r="O520" s="329"/>
      <c r="Q520" s="55" t="str">
        <f>'INFO BASE'!$L$3</f>
        <v>PRIORIDADES PARA ESTA SEMANA</v>
      </c>
      <c r="R520" s="132"/>
      <c r="S520" s="132"/>
      <c r="T520" s="132"/>
      <c r="U520" s="132"/>
      <c r="V520" s="132"/>
      <c r="W520" s="195" t="str">
        <f>CONCATENATE("HORÁRIO ",'INFO BASE'!$C$6,"_",'INFO BASE'!$C$5,": ",UPPER(A517))</f>
        <v>HORÁRIO André Fonseca_84698: SEMANA 10</v>
      </c>
      <c r="X520" s="198">
        <v>1</v>
      </c>
      <c r="Y520" s="261" t="str">
        <f>'INFO BASE'!$L$1</f>
        <v>MOMENTOS AVALIATIVOS</v>
      </c>
      <c r="Z520" s="261"/>
      <c r="AA520" s="261"/>
      <c r="AB520" s="261"/>
      <c r="AC520" s="261" t="s">
        <v>215</v>
      </c>
      <c r="AD520" s="261"/>
      <c r="AE520" s="261"/>
      <c r="AF520" s="261"/>
      <c r="AI520" s="136" t="str">
        <f>B520</f>
        <v>Segunda 
16-11-2015</v>
      </c>
      <c r="AK520" s="136" t="str">
        <f>D520</f>
        <v>Terça 
17-11-2015</v>
      </c>
      <c r="AM520" s="136" t="str">
        <f>F520</f>
        <v>Quarta 
18-11-2015</v>
      </c>
      <c r="AO520" s="136" t="str">
        <f>H520</f>
        <v>Quinta 
19-11-2015</v>
      </c>
      <c r="AQ520" s="136" t="str">
        <f>J520</f>
        <v>Sexta 
20-11-2015</v>
      </c>
      <c r="AS520" s="136" t="str">
        <f>L520</f>
        <v>Sábado 
21-11-2015</v>
      </c>
      <c r="AU520" s="136" t="str">
        <f>N520</f>
        <v>Domingo 
22-11-2015</v>
      </c>
      <c r="AX520" s="136" t="str">
        <f>IF(AI518="","",IF(B520="","",B520))</f>
        <v/>
      </c>
      <c r="AY520" s="136" t="str">
        <f>IF(AI518="","",IF(C520="","",C520))</f>
        <v/>
      </c>
      <c r="AZ520" s="136" t="str">
        <f>IF(AI518="","",IF(D520="","",D520))</f>
        <v/>
      </c>
      <c r="BA520" s="136" t="str">
        <f>IF(AI518="","",IF(E520="","",E520))</f>
        <v/>
      </c>
      <c r="BB520" s="136" t="str">
        <f>IF(AI518="","",IF(F520="","",F520))</f>
        <v/>
      </c>
      <c r="BC520" s="136" t="str">
        <f>IF(AI518="","",IF(G520="","",G520))</f>
        <v/>
      </c>
      <c r="BD520" s="136" t="str">
        <f>IF(AI518="","",IF(H520="","",H520))</f>
        <v/>
      </c>
      <c r="BE520" s="136" t="str">
        <f>IF(AI518="","",IF(I520="","",I520))</f>
        <v/>
      </c>
      <c r="BF520" s="136" t="str">
        <f>IF(AI518="","",IF(J520="","",J520))</f>
        <v/>
      </c>
      <c r="BG520" s="136" t="str">
        <f>IF(AI518="","",IF(K520="","",K520))</f>
        <v/>
      </c>
      <c r="BH520" s="136" t="str">
        <f>IF(AI518="","",IF(L520="","",L520))</f>
        <v/>
      </c>
      <c r="BI520" s="136" t="str">
        <f>IF(AI518="","",IF(M520="","",M520))</f>
        <v/>
      </c>
      <c r="BJ520" s="136" t="str">
        <f>IF(AI518="","",IF(N520="","",N520))</f>
        <v/>
      </c>
      <c r="BK520" s="136" t="str">
        <f>IF(AI518="","",IF(O520="","",O520))</f>
        <v/>
      </c>
      <c r="CA520" s="136">
        <f>'INFO BASE'!L579</f>
        <v>0</v>
      </c>
      <c r="CB520" s="136">
        <f>'INFO BASE'!M579</f>
        <v>0</v>
      </c>
    </row>
    <row r="521" spans="1:120" ht="21" hidden="1" customHeight="1" x14ac:dyDescent="0.3">
      <c r="A521" s="142"/>
      <c r="B521" s="333">
        <f>N464+1</f>
        <v>42324</v>
      </c>
      <c r="C521" s="334"/>
      <c r="D521" s="334">
        <f>B521+1</f>
        <v>42325</v>
      </c>
      <c r="E521" s="334"/>
      <c r="F521" s="334">
        <f>D521+1</f>
        <v>42326</v>
      </c>
      <c r="G521" s="334"/>
      <c r="H521" s="334">
        <f>F521+1</f>
        <v>42327</v>
      </c>
      <c r="I521" s="334"/>
      <c r="J521" s="334">
        <f>H521+1</f>
        <v>42328</v>
      </c>
      <c r="K521" s="334"/>
      <c r="L521" s="334">
        <f>J521+1</f>
        <v>42329</v>
      </c>
      <c r="M521" s="334"/>
      <c r="N521" s="334">
        <f>L521+1</f>
        <v>42330</v>
      </c>
      <c r="O521" s="334"/>
      <c r="Q521" s="132"/>
      <c r="R521" s="132"/>
      <c r="S521" s="132"/>
      <c r="T521" s="132"/>
      <c r="U521" s="132"/>
      <c r="V521" s="132"/>
      <c r="W521" s="132"/>
      <c r="X521" s="198">
        <v>1</v>
      </c>
      <c r="Y521" s="132"/>
      <c r="Z521" s="132"/>
      <c r="AA521" s="132"/>
      <c r="AB521" s="131"/>
      <c r="AC521" s="131"/>
      <c r="AD521" s="131"/>
      <c r="AE521" s="131"/>
      <c r="AF521" s="131"/>
      <c r="AI521" s="136">
        <f>B521</f>
        <v>42324</v>
      </c>
      <c r="AK521" s="136">
        <f>D521</f>
        <v>42325</v>
      </c>
      <c r="AM521" s="136">
        <f>F521</f>
        <v>42326</v>
      </c>
      <c r="AO521" s="136">
        <f>H521</f>
        <v>42327</v>
      </c>
      <c r="AQ521" s="136">
        <f>J521</f>
        <v>42328</v>
      </c>
      <c r="AS521" s="136">
        <f>L521</f>
        <v>42329</v>
      </c>
      <c r="AU521" s="136">
        <f>N521</f>
        <v>42330</v>
      </c>
      <c r="AX521" s="136" t="str">
        <f>IF(AI518="","",IF(B521="","",B521))</f>
        <v/>
      </c>
      <c r="AY521" s="136" t="str">
        <f>IF(AI518="","",IF(C521="","",C521))</f>
        <v/>
      </c>
      <c r="AZ521" s="136" t="str">
        <f>IF(AI518="","",IF(D521="","",D521))</f>
        <v/>
      </c>
      <c r="BA521" s="136" t="str">
        <f>IF(AI518="","",IF(E521="","",E521))</f>
        <v/>
      </c>
      <c r="BB521" s="136" t="str">
        <f>IF(AI518="","",IF(F521="","",F521))</f>
        <v/>
      </c>
      <c r="BC521" s="136" t="str">
        <f>IF(AI518="","",IF(G521="","",G521))</f>
        <v/>
      </c>
      <c r="BD521" s="136" t="str">
        <f>IF(AI518="","",IF(H521="","",H521))</f>
        <v/>
      </c>
      <c r="BE521" s="136" t="str">
        <f>IF(AI518="","",IF(I521="","",I521))</f>
        <v/>
      </c>
      <c r="BF521" s="136" t="str">
        <f>IF(AI518="","",IF(J521="","",J521))</f>
        <v/>
      </c>
      <c r="BG521" s="136" t="str">
        <f>IF(AI518="","",IF(K521="","",K521))</f>
        <v/>
      </c>
      <c r="BH521" s="136" t="str">
        <f>IF(AI518="","",IF(L521="","",L521))</f>
        <v/>
      </c>
      <c r="BI521" s="136" t="str">
        <f>IF(AI518="","",IF(M521="","",M521))</f>
        <v/>
      </c>
      <c r="BJ521" s="136" t="str">
        <f>IF(AI518="","",IF(N521="","",N521))</f>
        <v/>
      </c>
      <c r="BK521" s="136" t="str">
        <f>IF(AI518="","",IF(O521="","",O521))</f>
        <v/>
      </c>
      <c r="CA521" s="136">
        <f>'INFO BASE'!L591</f>
        <v>0</v>
      </c>
      <c r="CB521" s="136">
        <f>'INFO BASE'!M591</f>
        <v>0</v>
      </c>
    </row>
    <row r="522" spans="1:120" ht="18" customHeight="1" thickTop="1" x14ac:dyDescent="0.3">
      <c r="A522" s="81">
        <v>0</v>
      </c>
      <c r="B522" s="149"/>
      <c r="C522" s="150"/>
      <c r="D522" s="151"/>
      <c r="E522" s="150"/>
      <c r="F522" s="151"/>
      <c r="G522" s="150"/>
      <c r="H522" s="151"/>
      <c r="I522" s="150"/>
      <c r="J522" s="151"/>
      <c r="K522" s="150"/>
      <c r="L522" s="151"/>
      <c r="M522" s="150"/>
      <c r="N522" s="151"/>
      <c r="O522" s="152"/>
      <c r="Q522" s="281" t="s">
        <v>216</v>
      </c>
      <c r="R522" s="282"/>
      <c r="S522" s="282"/>
      <c r="T522" s="282"/>
      <c r="U522" s="282"/>
      <c r="V522" s="282"/>
      <c r="W522" s="283"/>
      <c r="X522" s="199">
        <v>1</v>
      </c>
      <c r="Y522" s="268" t="str">
        <f t="array" ref="Y522">IF(ISERROR(INDEX($CA$2:$CB$200,SMALL(IF($CA$2:$CA$200=$A$517,ROW($CA$2:$CA$200)),ROW(1:1))-1,2)),"",INDEX($CA$2:$CB$200,SMALL(IF($CA$2:$CA$200=$A$517,ROW($CA$2:$CA$200)),ROW(1:1))-1,2))</f>
        <v/>
      </c>
      <c r="Z522" s="269"/>
      <c r="AA522" s="269"/>
      <c r="AB522" s="269"/>
      <c r="AC522" s="269"/>
      <c r="AD522" s="269"/>
      <c r="AE522" s="269"/>
      <c r="AF522" s="270"/>
      <c r="AH522" s="136">
        <v>0</v>
      </c>
      <c r="AI522" s="136" t="str">
        <f>IF(AH518="","",IF(B522="","",B522))</f>
        <v/>
      </c>
      <c r="AJ522" s="136" t="str">
        <f>IF(AH518="","",IF(C522="","",C522))</f>
        <v/>
      </c>
      <c r="AK522" s="136" t="str">
        <f>IF(AH518="","",IF(D522="","",D522))</f>
        <v/>
      </c>
      <c r="AL522" s="136" t="str">
        <f>IF(AH518="","",IF(E522="","",E522))</f>
        <v/>
      </c>
      <c r="AM522" s="136" t="str">
        <f>IF(AH518="","",IF(F522="","",F522))</f>
        <v/>
      </c>
      <c r="AN522" s="136" t="str">
        <f>IF(AH518="","",IF(G522="","",G522))</f>
        <v/>
      </c>
      <c r="AO522" s="136" t="str">
        <f>IF(AH518="","",IF(H522="","",H522))</f>
        <v/>
      </c>
      <c r="AP522" s="136" t="str">
        <f>IF(AH518="","",IF(I522="","",I522))</f>
        <v/>
      </c>
      <c r="AQ522" s="136" t="str">
        <f>IF(AH518="","",IF(J522="","",J522))</f>
        <v/>
      </c>
      <c r="AR522" s="136" t="str">
        <f>IF(AH518="","",IF(K522="","",K522))</f>
        <v/>
      </c>
      <c r="AS522" s="136" t="str">
        <f>IF(AH518="","",IF(L522="","",L522))</f>
        <v/>
      </c>
      <c r="AT522" s="136" t="str">
        <f>IF(AH518="","",IF(M522="","",M522))</f>
        <v/>
      </c>
      <c r="AU522" s="136" t="str">
        <f>IF(AH518="","",IF(N522="","",N522))</f>
        <v/>
      </c>
      <c r="AV522" s="136" t="str">
        <f>IF(AH518="","",IF(O522="","",O522))</f>
        <v/>
      </c>
      <c r="AX522" s="136" t="str">
        <f>IF(AI518="","",IF(B522="","",B522))</f>
        <v/>
      </c>
      <c r="AY522" s="136" t="str">
        <f>IF(AI518="","",IF(C522="","",C522))</f>
        <v/>
      </c>
      <c r="AZ522" s="136" t="str">
        <f>IF(AI518="","",IF(D522="","",D522))</f>
        <v/>
      </c>
      <c r="BA522" s="136" t="str">
        <f>IF(AI518="","",IF(E522="","",E522))</f>
        <v/>
      </c>
      <c r="BB522" s="136" t="str">
        <f>IF(AI518="","",IF(F522="","",F522))</f>
        <v/>
      </c>
      <c r="BC522" s="136" t="str">
        <f>IF(AI518="","",IF(G522="","",G522))</f>
        <v/>
      </c>
      <c r="BD522" s="136" t="str">
        <f>IF(AI518="","",IF(H522="","",H522))</f>
        <v/>
      </c>
      <c r="BE522" s="136" t="str">
        <f>IF(AI518="","",IF(I522="","",I522))</f>
        <v/>
      </c>
      <c r="BF522" s="136" t="str">
        <f>IF(AI518="","",IF(J522="","",J522))</f>
        <v/>
      </c>
      <c r="BG522" s="136" t="str">
        <f>IF(AI518="","",IF(K522="","",K522))</f>
        <v/>
      </c>
      <c r="BH522" s="136" t="str">
        <f>IF(AI518="","",IF(L522="","",L522))</f>
        <v/>
      </c>
      <c r="BI522" s="136" t="str">
        <f>IF(AI518="","",IF(M522="","",M522))</f>
        <v/>
      </c>
      <c r="BJ522" s="136" t="str">
        <f>IF(AI518="","",IF(N522="","",N522))</f>
        <v/>
      </c>
      <c r="BK522" s="136" t="str">
        <f>IF(AI518="","",IF(O522="","",O522))</f>
        <v/>
      </c>
      <c r="CA522" s="136">
        <f>'INFO BASE'!L592</f>
        <v>0</v>
      </c>
      <c r="CB522" s="136">
        <f>'INFO BASE'!M592</f>
        <v>0</v>
      </c>
      <c r="CD522" s="136">
        <f>COUNTA('INFO BASE'!E546:E551)+6</f>
        <v>6</v>
      </c>
      <c r="CR522" s="177">
        <f>IF(B522="",1,B522)</f>
        <v>1</v>
      </c>
      <c r="CS522" s="177">
        <f>IF(B522="PV",0,IFERROR(VLOOKUP(CONCATENATE(B522,C522),$DK$9:$DK$72,1,0),1))</f>
        <v>1</v>
      </c>
      <c r="CT522" s="177">
        <f>IF(D522="",1,D522)</f>
        <v>1</v>
      </c>
      <c r="CU522" s="177">
        <f>IF(D522="PV",0,IFERROR(VLOOKUP(CONCATENATE(D522,E522),$DK$9:$DK$72,1,0),1))</f>
        <v>1</v>
      </c>
      <c r="CV522" s="177">
        <f>IF(F522="",1,F522)</f>
        <v>1</v>
      </c>
      <c r="CW522" s="177">
        <f>IF(F522="PV",0,IFERROR(VLOOKUP(CONCATENATE(F522,G522),$DK$9:$DK$72,1,0),1))</f>
        <v>1</v>
      </c>
      <c r="CX522" s="177">
        <f>IF(H522="",1,H522)</f>
        <v>1</v>
      </c>
      <c r="CY522" s="177">
        <f>IF(H522="PV",0,IFERROR(VLOOKUP(CONCATENATE(H522,I522),$DK$9:$DK$72,1,0),1))</f>
        <v>1</v>
      </c>
      <c r="CZ522" s="177">
        <f>IF(J522="",1,J522)</f>
        <v>1</v>
      </c>
      <c r="DA522" s="177">
        <f>IF(J522="PV",0,IFERROR(VLOOKUP(CONCATENATE(J522,K522),$DK$9:$DK$72,1,0),1))</f>
        <v>1</v>
      </c>
      <c r="DB522" s="177">
        <f>IF(L522="",1,L522)</f>
        <v>1</v>
      </c>
      <c r="DC522" s="177">
        <f>IF(L522="PV",0,IFERROR(VLOOKUP(CONCATENATE(L522,M522),$DK$9:$DK$72,1,0),1))</f>
        <v>1</v>
      </c>
      <c r="DD522" s="177">
        <f>IF(N522="",1,N522)</f>
        <v>1</v>
      </c>
      <c r="DE522" s="177">
        <f>IF(N522="PV",0,IFERROR(VLOOKUP(CONCATENATE(N522,O522),$DK$9:$DK$72,1,0),1))</f>
        <v>1</v>
      </c>
    </row>
    <row r="523" spans="1:120" ht="18" customHeight="1" x14ac:dyDescent="0.3">
      <c r="A523" s="81">
        <v>2.0833333333333998E-2</v>
      </c>
      <c r="B523" s="153"/>
      <c r="C523" s="130"/>
      <c r="D523" s="135"/>
      <c r="E523" s="130"/>
      <c r="F523" s="135"/>
      <c r="G523" s="130"/>
      <c r="H523" s="135"/>
      <c r="I523" s="130"/>
      <c r="J523" s="135"/>
      <c r="K523" s="130"/>
      <c r="L523" s="135"/>
      <c r="M523" s="130"/>
      <c r="N523" s="135"/>
      <c r="O523" s="154"/>
      <c r="Q523" s="284"/>
      <c r="R523" s="285"/>
      <c r="S523" s="285"/>
      <c r="T523" s="285"/>
      <c r="U523" s="285"/>
      <c r="V523" s="285"/>
      <c r="W523" s="286"/>
      <c r="X523" s="199">
        <v>1</v>
      </c>
      <c r="Y523" s="262" t="str">
        <f t="array" ref="Y523">IF(ISERROR(INDEX($CA$2:$CB$200,SMALL(IF($CA$2:$CA$200=$A$517,ROW($CA$2:$CA$200)),ROW(2:2))-1,2)),"",INDEX($CA$2:$CB$200,SMALL(IF($CA$2:$CA$200=$A$517,ROW($CA$2:$CA$200)),ROW(2:2))-1,2))</f>
        <v/>
      </c>
      <c r="Z523" s="263"/>
      <c r="AA523" s="263"/>
      <c r="AB523" s="263"/>
      <c r="AC523" s="263"/>
      <c r="AD523" s="263"/>
      <c r="AE523" s="263"/>
      <c r="AF523" s="264"/>
      <c r="AH523" s="136">
        <v>2.0833333333333998E-2</v>
      </c>
      <c r="AI523" s="136" t="str">
        <f>IF(AH518="","",IF(B523="","",B523))</f>
        <v/>
      </c>
      <c r="AJ523" s="136" t="str">
        <f>IF(AH518="","",IF(C523="","",C523))</f>
        <v/>
      </c>
      <c r="AK523" s="136" t="str">
        <f>IF(AH518="","",IF(D523="","",D523))</f>
        <v/>
      </c>
      <c r="AL523" s="136" t="str">
        <f>IF(AH518="","",IF(E523="","",E523))</f>
        <v/>
      </c>
      <c r="AM523" s="136" t="str">
        <f>IF(AH518="","",IF(F523="","",F523))</f>
        <v/>
      </c>
      <c r="AN523" s="136" t="str">
        <f>IF(AH518="","",IF(G523="","",G523))</f>
        <v/>
      </c>
      <c r="AO523" s="136" t="str">
        <f>IF(AH518="","",IF(H523="","",H523))</f>
        <v/>
      </c>
      <c r="AP523" s="136" t="str">
        <f>IF(AH518="","",IF(I523="","",I523))</f>
        <v/>
      </c>
      <c r="AQ523" s="136" t="str">
        <f>IF(AH518="","",IF(J523="","",J523))</f>
        <v/>
      </c>
      <c r="AR523" s="136" t="str">
        <f>IF(AH518="","",IF(K523="","",K523))</f>
        <v/>
      </c>
      <c r="AS523" s="136" t="str">
        <f>IF(AH518="","",IF(L523="","",L523))</f>
        <v/>
      </c>
      <c r="AT523" s="136" t="str">
        <f>IF(AH518="","",IF(M523="","",M523))</f>
        <v/>
      </c>
      <c r="AU523" s="136" t="str">
        <f>IF(AH518="","",IF(N523="","",N523))</f>
        <v/>
      </c>
      <c r="AV523" s="136" t="str">
        <f>IF(AH518="","",IF(O523="","",O523))</f>
        <v/>
      </c>
      <c r="AX523" s="136" t="str">
        <f>IF(AI518="","",IF(B523="","",B523))</f>
        <v/>
      </c>
      <c r="AY523" s="136" t="str">
        <f>IF(AI518="","",IF(C523="","",C523))</f>
        <v/>
      </c>
      <c r="AZ523" s="136" t="str">
        <f>IF(AI518="","",IF(D523="","",D523))</f>
        <v/>
      </c>
      <c r="BA523" s="136" t="str">
        <f>IF(AI518="","",IF(E523="","",E523))</f>
        <v/>
      </c>
      <c r="BB523" s="136" t="str">
        <f>IF(AI518="","",IF(F523="","",F523))</f>
        <v/>
      </c>
      <c r="BC523" s="136" t="str">
        <f>IF(AI518="","",IF(G523="","",G523))</f>
        <v/>
      </c>
      <c r="BD523" s="136" t="str">
        <f>IF(AI518="","",IF(H523="","",H523))</f>
        <v/>
      </c>
      <c r="BE523" s="136" t="str">
        <f>IF(AI518="","",IF(I523="","",I523))</f>
        <v/>
      </c>
      <c r="BF523" s="136" t="str">
        <f>IF(AI518="","",IF(J523="","",J523))</f>
        <v/>
      </c>
      <c r="BG523" s="136" t="str">
        <f>IF(AI518="","",IF(K523="","",K523))</f>
        <v/>
      </c>
      <c r="BH523" s="136" t="str">
        <f>IF(AI518="","",IF(L523="","",L523))</f>
        <v/>
      </c>
      <c r="BI523" s="136" t="str">
        <f>IF(AI518="","",IF(M523="","",M523))</f>
        <v/>
      </c>
      <c r="BJ523" s="136" t="str">
        <f>IF(AI518="","",IF(N523="","",N523))</f>
        <v/>
      </c>
      <c r="BK523" s="136" t="str">
        <f>IF(AI518="","",IF(O523="","",O523))</f>
        <v/>
      </c>
      <c r="CA523" s="136">
        <f>'INFO BASE'!L593</f>
        <v>0</v>
      </c>
      <c r="CB523" s="136">
        <f>'INFO BASE'!M593</f>
        <v>0</v>
      </c>
      <c r="CR523" s="177">
        <f t="shared" ref="CR523:DB565" si="298">IF(B523="",1,B523)</f>
        <v>1</v>
      </c>
      <c r="CS523" s="177">
        <f t="shared" ref="CS523:CS569" si="299">IF(B523="PV",0,IFERROR(VLOOKUP(CONCATENATE(B523,C523),$DK$9:$DK$72,1,0),1))</f>
        <v>1</v>
      </c>
      <c r="CT523" s="177">
        <f t="shared" si="298"/>
        <v>1</v>
      </c>
      <c r="CU523" s="177">
        <f t="shared" ref="CU523:CU569" si="300">IF(D523="PV",0,IFERROR(VLOOKUP(CONCATENATE(D523,E523),$DK$9:$DK$72,1,0),1))</f>
        <v>1</v>
      </c>
      <c r="CV523" s="177">
        <f t="shared" si="298"/>
        <v>1</v>
      </c>
      <c r="CW523" s="177">
        <f t="shared" ref="CW523:CW569" si="301">IF(F523="PV",0,IFERROR(VLOOKUP(CONCATENATE(F523,G523),$DK$9:$DK$72,1,0),1))</f>
        <v>1</v>
      </c>
      <c r="CX523" s="177">
        <f t="shared" si="298"/>
        <v>1</v>
      </c>
      <c r="CY523" s="177">
        <f t="shared" ref="CY523:CY569" si="302">IF(H523="PV",0,IFERROR(VLOOKUP(CONCATENATE(H523,I523),$DK$9:$DK$72,1,0),1))</f>
        <v>1</v>
      </c>
      <c r="CZ523" s="177">
        <f t="shared" si="298"/>
        <v>1</v>
      </c>
      <c r="DA523" s="177">
        <f t="shared" ref="DA523:DA569" si="303">IF(J523="PV",0,IFERROR(VLOOKUP(CONCATENATE(J523,K523),$DK$9:$DK$72,1,0),1))</f>
        <v>1</v>
      </c>
      <c r="DB523" s="177">
        <f t="shared" si="298"/>
        <v>1</v>
      </c>
      <c r="DC523" s="177">
        <f t="shared" ref="DC523:DC569" si="304">IF(L523="PV",0,IFERROR(VLOOKUP(CONCATENATE(L523,M523),$DK$9:$DK$72,1,0),1))</f>
        <v>1</v>
      </c>
      <c r="DD523" s="177">
        <f t="shared" ref="DD523:DD569" si="305">IF(N523="",1,N523)</f>
        <v>1</v>
      </c>
      <c r="DE523" s="177">
        <f t="shared" ref="DE523:DE569" si="306">IF(N523="PV",0,IFERROR(VLOOKUP(CONCATENATE(N523,O523),$DK$9:$DK$72,1,0),1))</f>
        <v>1</v>
      </c>
    </row>
    <row r="524" spans="1:120" ht="18" customHeight="1" x14ac:dyDescent="0.3">
      <c r="A524" s="81">
        <v>4.1666666666667997E-2</v>
      </c>
      <c r="B524" s="153"/>
      <c r="C524" s="130"/>
      <c r="D524" s="135"/>
      <c r="E524" s="130"/>
      <c r="F524" s="135"/>
      <c r="G524" s="130"/>
      <c r="H524" s="135"/>
      <c r="I524" s="130"/>
      <c r="J524" s="135"/>
      <c r="K524" s="130"/>
      <c r="L524" s="135"/>
      <c r="M524" s="130"/>
      <c r="N524" s="135"/>
      <c r="O524" s="154"/>
      <c r="Q524" s="284"/>
      <c r="R524" s="285"/>
      <c r="S524" s="285"/>
      <c r="T524" s="285"/>
      <c r="U524" s="285"/>
      <c r="V524" s="285"/>
      <c r="W524" s="286"/>
      <c r="X524" s="199">
        <v>1</v>
      </c>
      <c r="Y524" s="262" t="str">
        <f t="array" ref="Y524">IF(ISERROR(INDEX($CA$2:$CB$200,SMALL(IF($CA$2:$CA$200=$A$517,ROW($CA$2:$CA$200)),ROW(3:3))-1,2)),"",INDEX($CA$2:$CB$200,SMALL(IF($CA$2:$CA$200=$A$517,ROW($CA$2:$CA$200)),ROW(3:3))-1,2))</f>
        <v/>
      </c>
      <c r="Z524" s="263"/>
      <c r="AA524" s="263"/>
      <c r="AB524" s="263"/>
      <c r="AC524" s="263"/>
      <c r="AD524" s="263"/>
      <c r="AE524" s="263"/>
      <c r="AF524" s="264"/>
      <c r="AH524" s="136">
        <v>4.1666666666667997E-2</v>
      </c>
      <c r="AI524" s="136" t="str">
        <f>IF(AH518="","",IF(B524="","",B524))</f>
        <v/>
      </c>
      <c r="AJ524" s="136" t="str">
        <f>IF(AH518="","",IF(C524="","",C524))</f>
        <v/>
      </c>
      <c r="AK524" s="136" t="str">
        <f>IF(AH518="","",IF(D524="","",D524))</f>
        <v/>
      </c>
      <c r="AL524" s="136" t="str">
        <f>IF(AH518="","",IF(E524="","",E524))</f>
        <v/>
      </c>
      <c r="AM524" s="136" t="str">
        <f>IF(AH518="","",IF(F524="","",F524))</f>
        <v/>
      </c>
      <c r="AN524" s="136" t="str">
        <f>IF(AH518="","",IF(G524="","",G524))</f>
        <v/>
      </c>
      <c r="AO524" s="136" t="str">
        <f>IF(AH518="","",IF(H524="","",H524))</f>
        <v/>
      </c>
      <c r="AP524" s="136" t="str">
        <f>IF(AH518="","",IF(I524="","",I524))</f>
        <v/>
      </c>
      <c r="AQ524" s="136" t="str">
        <f>IF(AH518="","",IF(J524="","",J524))</f>
        <v/>
      </c>
      <c r="AR524" s="136" t="str">
        <f>IF(AH518="","",IF(K524="","",K524))</f>
        <v/>
      </c>
      <c r="AS524" s="136" t="str">
        <f>IF(AH518="","",IF(L524="","",L524))</f>
        <v/>
      </c>
      <c r="AT524" s="136" t="str">
        <f>IF(AH518="","",IF(M524="","",M524))</f>
        <v/>
      </c>
      <c r="AU524" s="136" t="str">
        <f>IF(AH518="","",IF(N524="","",N524))</f>
        <v/>
      </c>
      <c r="AV524" s="136" t="str">
        <f>IF(AH518="","",IF(O524="","",O524))</f>
        <v/>
      </c>
      <c r="AX524" s="136" t="str">
        <f>IF(AI518="","",IF(B524="","",B524))</f>
        <v/>
      </c>
      <c r="AY524" s="136" t="str">
        <f>IF(AI518="","",IF(C524="","",C524))</f>
        <v/>
      </c>
      <c r="AZ524" s="136" t="str">
        <f>IF(AI518="","",IF(D524="","",D524))</f>
        <v/>
      </c>
      <c r="BA524" s="136" t="str">
        <f>IF(AI518="","",IF(E524="","",E524))</f>
        <v/>
      </c>
      <c r="BB524" s="136" t="str">
        <f>IF(AI518="","",IF(F524="","",F524))</f>
        <v/>
      </c>
      <c r="BC524" s="136" t="str">
        <f>IF(AI518="","",IF(G524="","",G524))</f>
        <v/>
      </c>
      <c r="BD524" s="136" t="str">
        <f>IF(AI518="","",IF(H524="","",H524))</f>
        <v/>
      </c>
      <c r="BE524" s="136" t="str">
        <f>IF(AI518="","",IF(I524="","",I524))</f>
        <v/>
      </c>
      <c r="BF524" s="136" t="str">
        <f>IF(AI518="","",IF(J524="","",J524))</f>
        <v/>
      </c>
      <c r="BG524" s="136" t="str">
        <f>IF(AI518="","",IF(K524="","",K524))</f>
        <v/>
      </c>
      <c r="BH524" s="136" t="str">
        <f>IF(AI518="","",IF(L524="","",L524))</f>
        <v/>
      </c>
      <c r="BI524" s="136" t="str">
        <f>IF(AI518="","",IF(M524="","",M524))</f>
        <v/>
      </c>
      <c r="BJ524" s="136" t="str">
        <f>IF(AI518="","",IF(N524="","",N524))</f>
        <v/>
      </c>
      <c r="BK524" s="136" t="str">
        <f>IF(AI518="","",IF(O524="","",O524))</f>
        <v/>
      </c>
      <c r="CA524" s="136">
        <f>'INFO BASE'!L594</f>
        <v>0</v>
      </c>
      <c r="CB524" s="136">
        <f>'INFO BASE'!M594</f>
        <v>0</v>
      </c>
      <c r="CR524" s="177">
        <f t="shared" si="298"/>
        <v>1</v>
      </c>
      <c r="CS524" s="177">
        <f t="shared" si="299"/>
        <v>1</v>
      </c>
      <c r="CT524" s="177">
        <f t="shared" si="298"/>
        <v>1</v>
      </c>
      <c r="CU524" s="177">
        <f t="shared" si="300"/>
        <v>1</v>
      </c>
      <c r="CV524" s="177">
        <f t="shared" si="298"/>
        <v>1</v>
      </c>
      <c r="CW524" s="177">
        <f t="shared" si="301"/>
        <v>1</v>
      </c>
      <c r="CX524" s="177">
        <f t="shared" si="298"/>
        <v>1</v>
      </c>
      <c r="CY524" s="177">
        <f t="shared" si="302"/>
        <v>1</v>
      </c>
      <c r="CZ524" s="177">
        <f t="shared" si="298"/>
        <v>1</v>
      </c>
      <c r="DA524" s="177">
        <f t="shared" si="303"/>
        <v>1</v>
      </c>
      <c r="DB524" s="177">
        <f t="shared" si="298"/>
        <v>1</v>
      </c>
      <c r="DC524" s="177">
        <f t="shared" si="304"/>
        <v>1</v>
      </c>
      <c r="DD524" s="177">
        <f t="shared" si="305"/>
        <v>1</v>
      </c>
      <c r="DE524" s="177">
        <f t="shared" si="306"/>
        <v>1</v>
      </c>
    </row>
    <row r="525" spans="1:120" ht="18" customHeight="1" x14ac:dyDescent="0.3">
      <c r="A525" s="81">
        <v>6.2500000000001998E-2</v>
      </c>
      <c r="B525" s="153"/>
      <c r="C525" s="130"/>
      <c r="D525" s="135"/>
      <c r="E525" s="130"/>
      <c r="F525" s="135"/>
      <c r="G525" s="130"/>
      <c r="H525" s="135"/>
      <c r="I525" s="130"/>
      <c r="J525" s="135"/>
      <c r="K525" s="130"/>
      <c r="L525" s="135"/>
      <c r="M525" s="130"/>
      <c r="N525" s="135"/>
      <c r="O525" s="154"/>
      <c r="Q525" s="284"/>
      <c r="R525" s="285"/>
      <c r="S525" s="285"/>
      <c r="T525" s="285"/>
      <c r="U525" s="285"/>
      <c r="V525" s="285"/>
      <c r="W525" s="286"/>
      <c r="X525" s="199">
        <v>1</v>
      </c>
      <c r="Y525" s="262" t="str">
        <f t="array" ref="Y525">IF(ISERROR(INDEX($CA$2:$CB$200,SMALL(IF($CA$2:$CA$200=$A$517,ROW($CA$2:$CA$200)),ROW(4:4))-1,2)),"",INDEX($CA$2:$CB$200,SMALL(IF($CA$2:$CA$200=$A$517,ROW($CA$2:$CA$200)),ROW(4:4))-1,2))</f>
        <v/>
      </c>
      <c r="Z525" s="263"/>
      <c r="AA525" s="263"/>
      <c r="AB525" s="263"/>
      <c r="AC525" s="263"/>
      <c r="AD525" s="263"/>
      <c r="AE525" s="263"/>
      <c r="AF525" s="264"/>
      <c r="AH525" s="136">
        <v>6.2500000000001998E-2</v>
      </c>
      <c r="AI525" s="136" t="str">
        <f>IF(AH518="","",IF(B525="","",B525))</f>
        <v/>
      </c>
      <c r="AJ525" s="136" t="str">
        <f>IF(AH518="","",IF(C525="","",C525))</f>
        <v/>
      </c>
      <c r="AK525" s="136" t="str">
        <f>IF(AH518="","",IF(D525="","",D525))</f>
        <v/>
      </c>
      <c r="AL525" s="136" t="str">
        <f>IF(AH518="","",IF(E525="","",E525))</f>
        <v/>
      </c>
      <c r="AM525" s="136" t="str">
        <f>IF(AH518="","",IF(F525="","",F525))</f>
        <v/>
      </c>
      <c r="AN525" s="136" t="str">
        <f>IF(AH518="","",IF(G525="","",G525))</f>
        <v/>
      </c>
      <c r="AO525" s="136" t="str">
        <f>IF(AH518="","",IF(H525="","",H525))</f>
        <v/>
      </c>
      <c r="AP525" s="136" t="str">
        <f>IF(AH518="","",IF(I525="","",I525))</f>
        <v/>
      </c>
      <c r="AQ525" s="136" t="str">
        <f>IF(AH518="","",IF(J525="","",J525))</f>
        <v/>
      </c>
      <c r="AR525" s="136" t="str">
        <f>IF(AH518="","",IF(K525="","",K525))</f>
        <v/>
      </c>
      <c r="AS525" s="136" t="str">
        <f>IF(AH518="","",IF(L525="","",L525))</f>
        <v/>
      </c>
      <c r="AT525" s="136" t="str">
        <f>IF(AH518="","",IF(M525="","",M525))</f>
        <v/>
      </c>
      <c r="AU525" s="136" t="str">
        <f>IF(AH518="","",IF(N525="","",N525))</f>
        <v/>
      </c>
      <c r="AV525" s="136" t="str">
        <f>IF(AH518="","",IF(O525="","",O525))</f>
        <v/>
      </c>
      <c r="AX525" s="136" t="str">
        <f>IF(AI518="","",IF(B525="","",B525))</f>
        <v/>
      </c>
      <c r="AY525" s="136" t="str">
        <f>IF(AI518="","",IF(C525="","",C525))</f>
        <v/>
      </c>
      <c r="AZ525" s="136" t="str">
        <f>IF(AI518="","",IF(D525="","",D525))</f>
        <v/>
      </c>
      <c r="BA525" s="136" t="str">
        <f>IF(AI518="","",IF(E525="","",E525))</f>
        <v/>
      </c>
      <c r="BB525" s="136" t="str">
        <f>IF(AI518="","",IF(F525="","",F525))</f>
        <v/>
      </c>
      <c r="BC525" s="136" t="str">
        <f>IF(AI518="","",IF(G525="","",G525))</f>
        <v/>
      </c>
      <c r="BD525" s="136" t="str">
        <f>IF(AI518="","",IF(H525="","",H525))</f>
        <v/>
      </c>
      <c r="BE525" s="136" t="str">
        <f>IF(AI518="","",IF(I525="","",I525))</f>
        <v/>
      </c>
      <c r="BF525" s="136" t="str">
        <f>IF(AI518="","",IF(J525="","",J525))</f>
        <v/>
      </c>
      <c r="BG525" s="136" t="str">
        <f>IF(AI518="","",IF(K525="","",K525))</f>
        <v/>
      </c>
      <c r="BH525" s="136" t="str">
        <f>IF(AI518="","",IF(L525="","",L525))</f>
        <v/>
      </c>
      <c r="BI525" s="136" t="str">
        <f>IF(AI518="","",IF(M525="","",M525))</f>
        <v/>
      </c>
      <c r="BJ525" s="136" t="str">
        <f>IF(AI518="","",IF(N525="","",N525))</f>
        <v/>
      </c>
      <c r="BK525" s="136" t="str">
        <f>IF(AI518="","",IF(O525="","",O525))</f>
        <v/>
      </c>
      <c r="CA525" s="136">
        <f>'INFO BASE'!L595</f>
        <v>0</v>
      </c>
      <c r="CB525" s="136">
        <f>'INFO BASE'!M595</f>
        <v>0</v>
      </c>
      <c r="CR525" s="177">
        <f t="shared" si="298"/>
        <v>1</v>
      </c>
      <c r="CS525" s="177">
        <f t="shared" si="299"/>
        <v>1</v>
      </c>
      <c r="CT525" s="177">
        <f t="shared" si="298"/>
        <v>1</v>
      </c>
      <c r="CU525" s="177">
        <f t="shared" si="300"/>
        <v>1</v>
      </c>
      <c r="CV525" s="177">
        <f t="shared" si="298"/>
        <v>1</v>
      </c>
      <c r="CW525" s="177">
        <f t="shared" si="301"/>
        <v>1</v>
      </c>
      <c r="CX525" s="177">
        <f t="shared" si="298"/>
        <v>1</v>
      </c>
      <c r="CY525" s="177">
        <f t="shared" si="302"/>
        <v>1</v>
      </c>
      <c r="CZ525" s="177">
        <f t="shared" si="298"/>
        <v>1</v>
      </c>
      <c r="DA525" s="177">
        <f t="shared" si="303"/>
        <v>1</v>
      </c>
      <c r="DB525" s="177">
        <f t="shared" si="298"/>
        <v>1</v>
      </c>
      <c r="DC525" s="177">
        <f t="shared" si="304"/>
        <v>1</v>
      </c>
      <c r="DD525" s="177">
        <f t="shared" si="305"/>
        <v>1</v>
      </c>
      <c r="DE525" s="177">
        <f t="shared" si="306"/>
        <v>1</v>
      </c>
    </row>
    <row r="526" spans="1:120" ht="18" customHeight="1" x14ac:dyDescent="0.3">
      <c r="A526" s="81">
        <v>8.3333333333335993E-2</v>
      </c>
      <c r="B526" s="153"/>
      <c r="C526" s="130"/>
      <c r="D526" s="135"/>
      <c r="E526" s="130"/>
      <c r="F526" s="135"/>
      <c r="G526" s="130"/>
      <c r="H526" s="135"/>
      <c r="I526" s="130"/>
      <c r="J526" s="135"/>
      <c r="K526" s="130"/>
      <c r="L526" s="135"/>
      <c r="M526" s="130"/>
      <c r="N526" s="135"/>
      <c r="O526" s="154"/>
      <c r="Q526" s="284"/>
      <c r="R526" s="285"/>
      <c r="S526" s="285"/>
      <c r="T526" s="285"/>
      <c r="U526" s="285"/>
      <c r="V526" s="285"/>
      <c r="W526" s="286"/>
      <c r="X526" s="199">
        <v>1</v>
      </c>
      <c r="Y526" s="262" t="str">
        <f t="array" ref="Y526">IF(ISERROR(INDEX($CA$2:$CB$200,SMALL(IF($CA$2:$CA$200=$A$517,ROW($CA$2:$CA$200)),ROW(5:5))-1,2)),"",INDEX($CA$2:$CB$200,SMALL(IF($CA$2:$CA$200=$A$517,ROW($CA$2:$CA$200)),ROW(5:5))-1,2))</f>
        <v/>
      </c>
      <c r="Z526" s="263"/>
      <c r="AA526" s="263"/>
      <c r="AB526" s="263"/>
      <c r="AC526" s="263"/>
      <c r="AD526" s="263"/>
      <c r="AE526" s="263"/>
      <c r="AF526" s="264"/>
      <c r="AH526" s="136">
        <v>8.3333333333335993E-2</v>
      </c>
      <c r="AI526" s="136" t="str">
        <f>IF(AH518="","",IF(B526="","",B526))</f>
        <v/>
      </c>
      <c r="AJ526" s="136" t="str">
        <f>IF(AH518="","",IF(C526="","",C526))</f>
        <v/>
      </c>
      <c r="AK526" s="136" t="str">
        <f>IF(AH518="","",IF(D526="","",D526))</f>
        <v/>
      </c>
      <c r="AL526" s="136" t="str">
        <f>IF(AH518="","",IF(E526="","",E526))</f>
        <v/>
      </c>
      <c r="AM526" s="136" t="str">
        <f>IF(AH518="","",IF(F526="","",F526))</f>
        <v/>
      </c>
      <c r="AN526" s="136" t="str">
        <f>IF(AH518="","",IF(G526="","",G526))</f>
        <v/>
      </c>
      <c r="AO526" s="136" t="str">
        <f>IF(AH518="","",IF(H526="","",H526))</f>
        <v/>
      </c>
      <c r="AP526" s="136" t="str">
        <f>IF(AH518="","",IF(I526="","",I526))</f>
        <v/>
      </c>
      <c r="AQ526" s="136" t="str">
        <f>IF(AH518="","",IF(J526="","",J526))</f>
        <v/>
      </c>
      <c r="AR526" s="136" t="str">
        <f>IF(AH518="","",IF(K526="","",K526))</f>
        <v/>
      </c>
      <c r="AS526" s="136" t="str">
        <f>IF(AH518="","",IF(L526="","",L526))</f>
        <v/>
      </c>
      <c r="AT526" s="136" t="str">
        <f>IF(AH518="","",IF(M526="","",M526))</f>
        <v/>
      </c>
      <c r="AU526" s="136" t="str">
        <f>IF(AH518="","",IF(N526="","",N526))</f>
        <v/>
      </c>
      <c r="AV526" s="136" t="str">
        <f>IF(AH518="","",IF(O526="","",O526))</f>
        <v/>
      </c>
      <c r="AX526" s="136" t="str">
        <f>IF(AI518="","",IF(B526="","",B526))</f>
        <v/>
      </c>
      <c r="AY526" s="136" t="str">
        <f>IF(AI518="","",IF(C526="","",C526))</f>
        <v/>
      </c>
      <c r="AZ526" s="136" t="str">
        <f>IF(AI518="","",IF(D526="","",D526))</f>
        <v/>
      </c>
      <c r="BA526" s="136" t="str">
        <f>IF(AI518="","",IF(E526="","",E526))</f>
        <v/>
      </c>
      <c r="BB526" s="136" t="str">
        <f>IF(AI518="","",IF(F526="","",F526))</f>
        <v/>
      </c>
      <c r="BC526" s="136" t="str">
        <f>IF(AI518="","",IF(G526="","",G526))</f>
        <v/>
      </c>
      <c r="BD526" s="136" t="str">
        <f>IF(AI518="","",IF(H526="","",H526))</f>
        <v/>
      </c>
      <c r="BE526" s="136" t="str">
        <f>IF(AI518="","",IF(I526="","",I526))</f>
        <v/>
      </c>
      <c r="BF526" s="136" t="str">
        <f>IF(AI518="","",IF(J526="","",J526))</f>
        <v/>
      </c>
      <c r="BG526" s="136" t="str">
        <f>IF(AI518="","",IF(K526="","",K526))</f>
        <v/>
      </c>
      <c r="BH526" s="136" t="str">
        <f>IF(AI518="","",IF(L526="","",L526))</f>
        <v/>
      </c>
      <c r="BI526" s="136" t="str">
        <f>IF(AI518="","",IF(M526="","",M526))</f>
        <v/>
      </c>
      <c r="BJ526" s="136" t="str">
        <f>IF(AI518="","",IF(N526="","",N526))</f>
        <v/>
      </c>
      <c r="BK526" s="136" t="str">
        <f>IF(AI518="","",IF(O526="","",O526))</f>
        <v/>
      </c>
      <c r="CA526" s="136">
        <f>'INFO BASE'!L596</f>
        <v>0</v>
      </c>
      <c r="CB526" s="136">
        <f>'INFO BASE'!M596</f>
        <v>0</v>
      </c>
      <c r="CD526" s="136" t="str">
        <f t="shared" ref="CD526:CD531" si="307">R534</f>
        <v>FP</v>
      </c>
      <c r="CR526" s="177">
        <f t="shared" si="298"/>
        <v>1</v>
      </c>
      <c r="CS526" s="177">
        <f t="shared" si="299"/>
        <v>1</v>
      </c>
      <c r="CT526" s="177">
        <f t="shared" si="298"/>
        <v>1</v>
      </c>
      <c r="CU526" s="177">
        <f t="shared" si="300"/>
        <v>1</v>
      </c>
      <c r="CV526" s="177">
        <f t="shared" si="298"/>
        <v>1</v>
      </c>
      <c r="CW526" s="177">
        <f t="shared" si="301"/>
        <v>1</v>
      </c>
      <c r="CX526" s="177">
        <f t="shared" si="298"/>
        <v>1</v>
      </c>
      <c r="CY526" s="177">
        <f t="shared" si="302"/>
        <v>1</v>
      </c>
      <c r="CZ526" s="177">
        <f t="shared" si="298"/>
        <v>1</v>
      </c>
      <c r="DA526" s="177">
        <f t="shared" si="303"/>
        <v>1</v>
      </c>
      <c r="DB526" s="177">
        <f t="shared" si="298"/>
        <v>1</v>
      </c>
      <c r="DC526" s="177">
        <f t="shared" si="304"/>
        <v>1</v>
      </c>
      <c r="DD526" s="177">
        <f t="shared" si="305"/>
        <v>1</v>
      </c>
      <c r="DE526" s="177">
        <f t="shared" si="306"/>
        <v>1</v>
      </c>
    </row>
    <row r="527" spans="1:120" ht="18" customHeight="1" x14ac:dyDescent="0.3">
      <c r="A527" s="81">
        <v>0.10416666666667</v>
      </c>
      <c r="B527" s="153"/>
      <c r="C527" s="130"/>
      <c r="D527" s="135"/>
      <c r="E527" s="130"/>
      <c r="F527" s="135"/>
      <c r="G527" s="130"/>
      <c r="H527" s="135"/>
      <c r="I527" s="130"/>
      <c r="J527" s="135"/>
      <c r="K527" s="130"/>
      <c r="L527" s="135"/>
      <c r="M527" s="130"/>
      <c r="N527" s="135"/>
      <c r="O527" s="154"/>
      <c r="Q527" s="284"/>
      <c r="R527" s="285"/>
      <c r="S527" s="285"/>
      <c r="T527" s="285"/>
      <c r="U527" s="285"/>
      <c r="V527" s="285"/>
      <c r="W527" s="286"/>
      <c r="X527" s="199">
        <v>1</v>
      </c>
      <c r="Y527" s="262" t="str">
        <f t="array" ref="Y527">IF(ISERROR(INDEX($CA$2:$CB$200,SMALL(IF($CA$2:$CA$200=$A$517,ROW($CA$2:$CA$200)),ROW(6:6))-1,2)),"",INDEX($CA$2:$CB$200,SMALL(IF($CA$2:$CA$200=$A$517,ROW($CA$2:$CA$200)),ROW(6:6))-1,2))</f>
        <v/>
      </c>
      <c r="Z527" s="263"/>
      <c r="AA527" s="263"/>
      <c r="AB527" s="263"/>
      <c r="AC527" s="263"/>
      <c r="AD527" s="263"/>
      <c r="AE527" s="263"/>
      <c r="AF527" s="264"/>
      <c r="AH527" s="136">
        <v>0.10416666666667</v>
      </c>
      <c r="AI527" s="136" t="str">
        <f>IF(AH518="","",IF(B527="","",B527))</f>
        <v/>
      </c>
      <c r="AJ527" s="136" t="str">
        <f>IF(AH518="","",IF(C527="","",C527))</f>
        <v/>
      </c>
      <c r="AK527" s="136" t="str">
        <f>IF(AH518="","",IF(D527="","",D527))</f>
        <v/>
      </c>
      <c r="AL527" s="136" t="str">
        <f>IF(AH518="","",IF(E527="","",E527))</f>
        <v/>
      </c>
      <c r="AM527" s="136" t="str">
        <f>IF(AH518="","",IF(F527="","",F527))</f>
        <v/>
      </c>
      <c r="AN527" s="136" t="str">
        <f>IF(AH518="","",IF(G527="","",G527))</f>
        <v/>
      </c>
      <c r="AO527" s="136" t="str">
        <f>IF(AH518="","",IF(H527="","",H527))</f>
        <v/>
      </c>
      <c r="AP527" s="136" t="str">
        <f>IF(AH518="","",IF(I527="","",I527))</f>
        <v/>
      </c>
      <c r="AQ527" s="136" t="str">
        <f>IF(AH518="","",IF(J527="","",J527))</f>
        <v/>
      </c>
      <c r="AR527" s="136" t="str">
        <f>IF(AH518="","",IF(K527="","",K527))</f>
        <v/>
      </c>
      <c r="AS527" s="136" t="str">
        <f>IF(AH518="","",IF(L527="","",L527))</f>
        <v/>
      </c>
      <c r="AT527" s="136" t="str">
        <f>IF(AH518="","",IF(M527="","",M527))</f>
        <v/>
      </c>
      <c r="AU527" s="136" t="str">
        <f>IF(AH518="","",IF(N527="","",N527))</f>
        <v/>
      </c>
      <c r="AV527" s="136" t="str">
        <f>IF(AH518="","",IF(O527="","",O527))</f>
        <v/>
      </c>
      <c r="AX527" s="136" t="str">
        <f>IF(AI518="","",IF(B527="","",B527))</f>
        <v/>
      </c>
      <c r="AY527" s="136" t="str">
        <f>IF(AI518="","",IF(C527="","",C527))</f>
        <v/>
      </c>
      <c r="AZ527" s="136" t="str">
        <f>IF(AI518="","",IF(D527="","",D527))</f>
        <v/>
      </c>
      <c r="BA527" s="136" t="str">
        <f>IF(AI518="","",IF(E527="","",E527))</f>
        <v/>
      </c>
      <c r="BB527" s="136" t="str">
        <f>IF(AI518="","",IF(F527="","",F527))</f>
        <v/>
      </c>
      <c r="BC527" s="136" t="str">
        <f>IF(AI518="","",IF(G527="","",G527))</f>
        <v/>
      </c>
      <c r="BD527" s="136" t="str">
        <f>IF(AI518="","",IF(H527="","",H527))</f>
        <v/>
      </c>
      <c r="BE527" s="136" t="str">
        <f>IF(AI518="","",IF(I527="","",I527))</f>
        <v/>
      </c>
      <c r="BF527" s="136" t="str">
        <f>IF(AI518="","",IF(J527="","",J527))</f>
        <v/>
      </c>
      <c r="BG527" s="136" t="str">
        <f>IF(AI518="","",IF(K527="","",K527))</f>
        <v/>
      </c>
      <c r="BH527" s="136" t="str">
        <f>IF(AI518="","",IF(L527="","",L527))</f>
        <v/>
      </c>
      <c r="BI527" s="136" t="str">
        <f>IF(AI518="","",IF(M527="","",M527))</f>
        <v/>
      </c>
      <c r="BJ527" s="136" t="str">
        <f>IF(AI518="","",IF(N527="","",N527))</f>
        <v/>
      </c>
      <c r="BK527" s="136" t="str">
        <f>IF(AI518="","",IF(O527="","",O527))</f>
        <v/>
      </c>
      <c r="CA527" s="136">
        <f>'INFO BASE'!L607</f>
        <v>0</v>
      </c>
      <c r="CB527" s="136">
        <f>'INFO BASE'!M607</f>
        <v>0</v>
      </c>
      <c r="CD527" s="136" t="str">
        <f t="shared" si="307"/>
        <v>IEI</v>
      </c>
      <c r="CR527" s="177">
        <f t="shared" si="298"/>
        <v>1</v>
      </c>
      <c r="CS527" s="177">
        <f t="shared" si="299"/>
        <v>1</v>
      </c>
      <c r="CT527" s="177">
        <f t="shared" si="298"/>
        <v>1</v>
      </c>
      <c r="CU527" s="177">
        <f t="shared" si="300"/>
        <v>1</v>
      </c>
      <c r="CV527" s="177">
        <f t="shared" si="298"/>
        <v>1</v>
      </c>
      <c r="CW527" s="177">
        <f t="shared" si="301"/>
        <v>1</v>
      </c>
      <c r="CX527" s="177">
        <f t="shared" si="298"/>
        <v>1</v>
      </c>
      <c r="CY527" s="177">
        <f t="shared" si="302"/>
        <v>1</v>
      </c>
      <c r="CZ527" s="177">
        <f t="shared" si="298"/>
        <v>1</v>
      </c>
      <c r="DA527" s="177">
        <f t="shared" si="303"/>
        <v>1</v>
      </c>
      <c r="DB527" s="177">
        <f t="shared" si="298"/>
        <v>1</v>
      </c>
      <c r="DC527" s="177">
        <f t="shared" si="304"/>
        <v>1</v>
      </c>
      <c r="DD527" s="177">
        <f t="shared" si="305"/>
        <v>1</v>
      </c>
      <c r="DE527" s="177">
        <f t="shared" si="306"/>
        <v>1</v>
      </c>
    </row>
    <row r="528" spans="1:120" ht="18" customHeight="1" x14ac:dyDescent="0.3">
      <c r="A528" s="81">
        <v>0.125000000000004</v>
      </c>
      <c r="B528" s="153"/>
      <c r="C528" s="130"/>
      <c r="D528" s="135"/>
      <c r="E528" s="130"/>
      <c r="F528" s="135"/>
      <c r="G528" s="130"/>
      <c r="H528" s="135"/>
      <c r="I528" s="130"/>
      <c r="J528" s="135"/>
      <c r="K528" s="130"/>
      <c r="L528" s="135"/>
      <c r="M528" s="130"/>
      <c r="N528" s="135"/>
      <c r="O528" s="154"/>
      <c r="Q528" s="284"/>
      <c r="R528" s="285"/>
      <c r="S528" s="285"/>
      <c r="T528" s="285"/>
      <c r="U528" s="285"/>
      <c r="V528" s="285"/>
      <c r="W528" s="286"/>
      <c r="X528" s="199">
        <v>1</v>
      </c>
      <c r="Y528" s="262" t="str">
        <f t="array" ref="Y528">IF(ISERROR(INDEX($CA$2:$CB$200,SMALL(IF($CA$2:$CA$200=$A$517,ROW($CA$2:$CA$200)),ROW(7:7))-1,2)),"",INDEX($CA$2:$CB$200,SMALL(IF($CA$2:$CA$200=$A$517,ROW($CA$2:$CA$200)),ROW(7:7))-1,2))</f>
        <v/>
      </c>
      <c r="Z528" s="263"/>
      <c r="AA528" s="263"/>
      <c r="AB528" s="263"/>
      <c r="AC528" s="263"/>
      <c r="AD528" s="263"/>
      <c r="AE528" s="263"/>
      <c r="AF528" s="264"/>
      <c r="AH528" s="136">
        <v>0.125000000000004</v>
      </c>
      <c r="AI528" s="136" t="str">
        <f>IF(AH518="","",IF(B528="","",B528))</f>
        <v/>
      </c>
      <c r="AJ528" s="136" t="str">
        <f>IF(AH518="","",IF(C528="","",C528))</f>
        <v/>
      </c>
      <c r="AK528" s="136" t="str">
        <f>IF(AH518="","",IF(D528="","",D528))</f>
        <v/>
      </c>
      <c r="AL528" s="136" t="str">
        <f>IF(AH518="","",IF(E528="","",E528))</f>
        <v/>
      </c>
      <c r="AM528" s="136" t="str">
        <f>IF(AH518="","",IF(F528="","",F528))</f>
        <v/>
      </c>
      <c r="AN528" s="136" t="str">
        <f>IF(AH518="","",IF(G528="","",G528))</f>
        <v/>
      </c>
      <c r="AO528" s="136" t="str">
        <f>IF(AH518="","",IF(H528="","",H528))</f>
        <v/>
      </c>
      <c r="AP528" s="136" t="str">
        <f>IF(AH518="","",IF(I528="","",I528))</f>
        <v/>
      </c>
      <c r="AQ528" s="136" t="str">
        <f>IF(AH518="","",IF(J528="","",J528))</f>
        <v/>
      </c>
      <c r="AR528" s="136" t="str">
        <f>IF(AH518="","",IF(K528="","",K528))</f>
        <v/>
      </c>
      <c r="AS528" s="136" t="str">
        <f>IF(AH518="","",IF(L528="","",L528))</f>
        <v/>
      </c>
      <c r="AT528" s="136" t="str">
        <f>IF(AH518="","",IF(M528="","",M528))</f>
        <v/>
      </c>
      <c r="AU528" s="136" t="str">
        <f>IF(AH518="","",IF(N528="","",N528))</f>
        <v/>
      </c>
      <c r="AV528" s="136" t="str">
        <f>IF(AH518="","",IF(O528="","",O528))</f>
        <v/>
      </c>
      <c r="AX528" s="136" t="str">
        <f>IF(AI518="","",IF(B528="","",B528))</f>
        <v/>
      </c>
      <c r="AY528" s="136" t="str">
        <f>IF(AI518="","",IF(C528="","",C528))</f>
        <v/>
      </c>
      <c r="AZ528" s="136" t="str">
        <f>IF(AI518="","",IF(D528="","",D528))</f>
        <v/>
      </c>
      <c r="BA528" s="136" t="str">
        <f>IF(AI518="","",IF(E528="","",E528))</f>
        <v/>
      </c>
      <c r="BB528" s="136" t="str">
        <f>IF(AI518="","",IF(F528="","",F528))</f>
        <v/>
      </c>
      <c r="BC528" s="136" t="str">
        <f>IF(AI518="","",IF(G528="","",G528))</f>
        <v/>
      </c>
      <c r="BD528" s="136" t="str">
        <f>IF(AI518="","",IF(H528="","",H528))</f>
        <v/>
      </c>
      <c r="BE528" s="136" t="str">
        <f>IF(AI518="","",IF(I528="","",I528))</f>
        <v/>
      </c>
      <c r="BF528" s="136" t="str">
        <f>IF(AI518="","",IF(J528="","",J528))</f>
        <v/>
      </c>
      <c r="BG528" s="136" t="str">
        <f>IF(AI518="","",IF(K528="","",K528))</f>
        <v/>
      </c>
      <c r="BH528" s="136" t="str">
        <f>IF(AI518="","",IF(L528="","",L528))</f>
        <v/>
      </c>
      <c r="BI528" s="136" t="str">
        <f>IF(AI518="","",IF(M528="","",M528))</f>
        <v/>
      </c>
      <c r="BJ528" s="136" t="str">
        <f>IF(AI518="","",IF(N528="","",N528))</f>
        <v/>
      </c>
      <c r="BK528" s="136" t="str">
        <f>IF(AI518="","",IF(O528="","",O528))</f>
        <v/>
      </c>
      <c r="CA528" s="136">
        <f>'INFO BASE'!L608</f>
        <v>0</v>
      </c>
      <c r="CB528" s="136">
        <f>'INFO BASE'!M608</f>
        <v>0</v>
      </c>
      <c r="CD528" s="136" t="str">
        <f t="shared" si="307"/>
        <v>IAC</v>
      </c>
      <c r="CR528" s="177">
        <f t="shared" si="298"/>
        <v>1</v>
      </c>
      <c r="CS528" s="177">
        <f t="shared" si="299"/>
        <v>1</v>
      </c>
      <c r="CT528" s="177">
        <f t="shared" si="298"/>
        <v>1</v>
      </c>
      <c r="CU528" s="177">
        <f t="shared" si="300"/>
        <v>1</v>
      </c>
      <c r="CV528" s="177">
        <f t="shared" si="298"/>
        <v>1</v>
      </c>
      <c r="CW528" s="177">
        <f t="shared" si="301"/>
        <v>1</v>
      </c>
      <c r="CX528" s="177">
        <f t="shared" si="298"/>
        <v>1</v>
      </c>
      <c r="CY528" s="177">
        <f t="shared" si="302"/>
        <v>1</v>
      </c>
      <c r="CZ528" s="177">
        <f t="shared" si="298"/>
        <v>1</v>
      </c>
      <c r="DA528" s="177">
        <f t="shared" si="303"/>
        <v>1</v>
      </c>
      <c r="DB528" s="177">
        <f t="shared" si="298"/>
        <v>1</v>
      </c>
      <c r="DC528" s="177">
        <f t="shared" si="304"/>
        <v>1</v>
      </c>
      <c r="DD528" s="177">
        <f t="shared" si="305"/>
        <v>1</v>
      </c>
      <c r="DE528" s="177">
        <f t="shared" si="306"/>
        <v>1</v>
      </c>
    </row>
    <row r="529" spans="1:109" ht="18" customHeight="1" thickBot="1" x14ac:dyDescent="0.35">
      <c r="A529" s="81">
        <v>0.14583333333333801</v>
      </c>
      <c r="B529" s="153"/>
      <c r="C529" s="130"/>
      <c r="D529" s="135"/>
      <c r="E529" s="130"/>
      <c r="F529" s="135"/>
      <c r="G529" s="130"/>
      <c r="H529" s="135"/>
      <c r="I529" s="130"/>
      <c r="J529" s="135"/>
      <c r="K529" s="130"/>
      <c r="L529" s="135"/>
      <c r="M529" s="130"/>
      <c r="N529" s="135"/>
      <c r="O529" s="154"/>
      <c r="Q529" s="287"/>
      <c r="R529" s="288"/>
      <c r="S529" s="288"/>
      <c r="T529" s="288"/>
      <c r="U529" s="288"/>
      <c r="V529" s="288"/>
      <c r="W529" s="289"/>
      <c r="X529" s="199">
        <v>1</v>
      </c>
      <c r="Y529" s="265" t="str">
        <f t="array" ref="Y529">IF(ISERROR(INDEX($CA$2:$CB$200,SMALL(IF($CA$2:$CA$200=$A$517,ROW($CA$2:$CA$200)),ROW(8:8))-1,2)),"",INDEX($CA$2:$CB$200,SMALL(IF($CA$2:$CA$200=$A$517,ROW($CA$2:$CA$200)),ROW(8:8))-1,2))</f>
        <v/>
      </c>
      <c r="Z529" s="266"/>
      <c r="AA529" s="266"/>
      <c r="AB529" s="266"/>
      <c r="AC529" s="266"/>
      <c r="AD529" s="266"/>
      <c r="AE529" s="266"/>
      <c r="AF529" s="267"/>
      <c r="AH529" s="136">
        <v>0.14583333333333801</v>
      </c>
      <c r="AI529" s="136" t="str">
        <f>IF(AH518="","",IF(B529="","",B529))</f>
        <v/>
      </c>
      <c r="AJ529" s="136" t="str">
        <f>IF(AH518="","",IF(C529="","",C529))</f>
        <v/>
      </c>
      <c r="AK529" s="136" t="str">
        <f>IF(AH518="","",IF(D529="","",D529))</f>
        <v/>
      </c>
      <c r="AL529" s="136" t="str">
        <f>IF(AH518="","",IF(E529="","",E529))</f>
        <v/>
      </c>
      <c r="AM529" s="136" t="str">
        <f>IF(AH518="","",IF(F529="","",F529))</f>
        <v/>
      </c>
      <c r="AN529" s="136" t="str">
        <f>IF(AH518="","",IF(G529="","",G529))</f>
        <v/>
      </c>
      <c r="AO529" s="136" t="str">
        <f>IF(AH518="","",IF(H529="","",H529))</f>
        <v/>
      </c>
      <c r="AP529" s="136" t="str">
        <f>IF(AH518="","",IF(I529="","",I529))</f>
        <v/>
      </c>
      <c r="AQ529" s="136" t="str">
        <f>IF(AH518="","",IF(J529="","",J529))</f>
        <v/>
      </c>
      <c r="AR529" s="136" t="str">
        <f>IF(AH518="","",IF(K529="","",K529))</f>
        <v/>
      </c>
      <c r="AS529" s="136" t="str">
        <f>IF(AH518="","",IF(L529="","",L529))</f>
        <v/>
      </c>
      <c r="AT529" s="136" t="str">
        <f>IF(AH518="","",IF(M529="","",M529))</f>
        <v/>
      </c>
      <c r="AU529" s="136" t="str">
        <f>IF(AH518="","",IF(N529="","",N529))</f>
        <v/>
      </c>
      <c r="AV529" s="136" t="str">
        <f>IF(AH518="","",IF(O529="","",O529))</f>
        <v/>
      </c>
      <c r="AX529" s="136" t="str">
        <f>IF(AI518="","",IF(B529="","",B529))</f>
        <v/>
      </c>
      <c r="AY529" s="136" t="str">
        <f>IF(AI518="","",IF(C529="","",C529))</f>
        <v/>
      </c>
      <c r="AZ529" s="136" t="str">
        <f>IF(AI518="","",IF(D529="","",D529))</f>
        <v/>
      </c>
      <c r="BA529" s="136" t="str">
        <f>IF(AI518="","",IF(E529="","",E529))</f>
        <v/>
      </c>
      <c r="BB529" s="136" t="str">
        <f>IF(AI518="","",IF(F529="","",F529))</f>
        <v/>
      </c>
      <c r="BC529" s="136" t="str">
        <f>IF(AI518="","",IF(G529="","",G529))</f>
        <v/>
      </c>
      <c r="BD529" s="136" t="str">
        <f>IF(AI518="","",IF(H529="","",H529))</f>
        <v/>
      </c>
      <c r="BE529" s="136" t="str">
        <f>IF(AI518="","",IF(I529="","",I529))</f>
        <v/>
      </c>
      <c r="BF529" s="136" t="str">
        <f>IF(AI518="","",IF(J529="","",J529))</f>
        <v/>
      </c>
      <c r="BG529" s="136" t="str">
        <f>IF(AI518="","",IF(K529="","",K529))</f>
        <v/>
      </c>
      <c r="BH529" s="136" t="str">
        <f>IF(AI518="","",IF(L529="","",L529))</f>
        <v/>
      </c>
      <c r="BI529" s="136" t="str">
        <f>IF(AI518="","",IF(M529="","",M529))</f>
        <v/>
      </c>
      <c r="BJ529" s="136" t="str">
        <f>IF(AI518="","",IF(N529="","",N529))</f>
        <v/>
      </c>
      <c r="BK529" s="136" t="str">
        <f>IF(AI518="","",IF(O529="","",O529))</f>
        <v/>
      </c>
      <c r="CA529" s="136">
        <f>'INFO BASE'!L609</f>
        <v>0</v>
      </c>
      <c r="CB529" s="136">
        <f>'INFO BASE'!M609</f>
        <v>0</v>
      </c>
      <c r="CD529" s="136" t="str">
        <f t="shared" si="307"/>
        <v>AL</v>
      </c>
      <c r="CR529" s="177">
        <f t="shared" si="298"/>
        <v>1</v>
      </c>
      <c r="CS529" s="177">
        <f t="shared" si="299"/>
        <v>1</v>
      </c>
      <c r="CT529" s="177">
        <f t="shared" si="298"/>
        <v>1</v>
      </c>
      <c r="CU529" s="177">
        <f t="shared" si="300"/>
        <v>1</v>
      </c>
      <c r="CV529" s="177">
        <f t="shared" si="298"/>
        <v>1</v>
      </c>
      <c r="CW529" s="177">
        <f t="shared" si="301"/>
        <v>1</v>
      </c>
      <c r="CX529" s="177">
        <f t="shared" si="298"/>
        <v>1</v>
      </c>
      <c r="CY529" s="177">
        <f t="shared" si="302"/>
        <v>1</v>
      </c>
      <c r="CZ529" s="177">
        <f t="shared" si="298"/>
        <v>1</v>
      </c>
      <c r="DA529" s="177">
        <f t="shared" si="303"/>
        <v>1</v>
      </c>
      <c r="DB529" s="177">
        <f t="shared" si="298"/>
        <v>1</v>
      </c>
      <c r="DC529" s="177">
        <f t="shared" si="304"/>
        <v>1</v>
      </c>
      <c r="DD529" s="177">
        <f t="shared" si="305"/>
        <v>1</v>
      </c>
      <c r="DE529" s="177">
        <f t="shared" si="306"/>
        <v>1</v>
      </c>
    </row>
    <row r="530" spans="1:109" ht="18" customHeight="1" thickBot="1" x14ac:dyDescent="0.35">
      <c r="A530" s="81">
        <v>0.16666666666667199</v>
      </c>
      <c r="B530" s="153"/>
      <c r="C530" s="130"/>
      <c r="D530" s="135"/>
      <c r="E530" s="130"/>
      <c r="F530" s="135"/>
      <c r="G530" s="130"/>
      <c r="H530" s="135"/>
      <c r="I530" s="130"/>
      <c r="J530" s="135"/>
      <c r="K530" s="130"/>
      <c r="L530" s="135"/>
      <c r="M530" s="130"/>
      <c r="N530" s="135"/>
      <c r="O530" s="154"/>
      <c r="Q530" s="63"/>
      <c r="R530" s="64"/>
      <c r="S530" s="65"/>
      <c r="T530" s="65"/>
      <c r="U530" s="65"/>
      <c r="V530" s="65"/>
      <c r="W530" s="65"/>
      <c r="X530" s="199">
        <v>1</v>
      </c>
      <c r="Y530" s="59"/>
      <c r="Z530" s="59"/>
      <c r="AA530" s="59"/>
      <c r="AB530" s="59"/>
      <c r="AC530" s="59"/>
      <c r="AD530" s="59"/>
      <c r="AE530" s="59"/>
      <c r="AF530" s="59"/>
      <c r="AH530" s="136">
        <v>0.16666666666667199</v>
      </c>
      <c r="AI530" s="136" t="str">
        <f>IF(AH518="","",IF(B530="","",B530))</f>
        <v/>
      </c>
      <c r="AJ530" s="136" t="str">
        <f>IF(AH518="","",IF(C530="","",C530))</f>
        <v/>
      </c>
      <c r="AK530" s="136" t="str">
        <f>IF(AH518="","",IF(D530="","",D530))</f>
        <v/>
      </c>
      <c r="AL530" s="136" t="str">
        <f>IF(AH518="","",IF(E530="","",E530))</f>
        <v/>
      </c>
      <c r="AM530" s="136" t="str">
        <f>IF(AH518="","",IF(F530="","",F530))</f>
        <v/>
      </c>
      <c r="AN530" s="136" t="str">
        <f>IF(AH518="","",IF(G530="","",G530))</f>
        <v/>
      </c>
      <c r="AO530" s="136" t="str">
        <f>IF(AH518="","",IF(H530="","",H530))</f>
        <v/>
      </c>
      <c r="AP530" s="136" t="str">
        <f>IF(AH518="","",IF(I530="","",I530))</f>
        <v/>
      </c>
      <c r="AQ530" s="136" t="str">
        <f>IF(AH518="","",IF(J530="","",J530))</f>
        <v/>
      </c>
      <c r="AR530" s="136" t="str">
        <f>IF(AH518="","",IF(K530="","",K530))</f>
        <v/>
      </c>
      <c r="AS530" s="136" t="str">
        <f>IF(AH518="","",IF(L530="","",L530))</f>
        <v/>
      </c>
      <c r="AT530" s="136" t="str">
        <f>IF(AH518="","",IF(M530="","",M530))</f>
        <v/>
      </c>
      <c r="AU530" s="136" t="str">
        <f>IF(AH518="","",IF(N530="","",N530))</f>
        <v/>
      </c>
      <c r="AV530" s="136" t="str">
        <f>IF(AH518="","",IF(O530="","",O530))</f>
        <v/>
      </c>
      <c r="AX530" s="136" t="str">
        <f>IF(AI518="","",IF(B530="","",B530))</f>
        <v/>
      </c>
      <c r="AY530" s="136" t="str">
        <f>IF(AI518="","",IF(C530="","",C530))</f>
        <v/>
      </c>
      <c r="AZ530" s="136" t="str">
        <f>IF(AI518="","",IF(D530="","",D530))</f>
        <v/>
      </c>
      <c r="BA530" s="136" t="str">
        <f>IF(AI518="","",IF(E530="","",E530))</f>
        <v/>
      </c>
      <c r="BB530" s="136" t="str">
        <f>IF(AI518="","",IF(F530="","",F530))</f>
        <v/>
      </c>
      <c r="BC530" s="136" t="str">
        <f>IF(AI518="","",IF(G530="","",G530))</f>
        <v/>
      </c>
      <c r="BD530" s="136" t="str">
        <f>IF(AI518="","",IF(H530="","",H530))</f>
        <v/>
      </c>
      <c r="BE530" s="136" t="str">
        <f>IF(AI518="","",IF(I530="","",I530))</f>
        <v/>
      </c>
      <c r="BF530" s="136" t="str">
        <f>IF(AI518="","",IF(J530="","",J530))</f>
        <v/>
      </c>
      <c r="BG530" s="136" t="str">
        <f>IF(AI518="","",IF(K530="","",K530))</f>
        <v/>
      </c>
      <c r="BH530" s="136" t="str">
        <f>IF(AI518="","",IF(L530="","",L530))</f>
        <v/>
      </c>
      <c r="BI530" s="136" t="str">
        <f>IF(AI518="","",IF(M530="","",M530))</f>
        <v/>
      </c>
      <c r="BJ530" s="136" t="str">
        <f>IF(AI518="","",IF(N530="","",N530))</f>
        <v/>
      </c>
      <c r="BK530" s="136" t="str">
        <f>IF(AI518="","",IF(O530="","",O530))</f>
        <v/>
      </c>
      <c r="BM530" s="136" t="str">
        <f>BO530</f>
        <v>EA</v>
      </c>
      <c r="BN530" s="136" t="str">
        <f t="shared" ref="BN530:BO566" si="308">Q533</f>
        <v>Estudo Autónomo</v>
      </c>
      <c r="BO530" s="136" t="str">
        <f t="shared" si="308"/>
        <v>EA</v>
      </c>
      <c r="BP530" s="136">
        <f>COUNTIFS(AX522:BK569,BO530)*0.5</f>
        <v>0</v>
      </c>
      <c r="BQ530" s="136" t="str">
        <f t="shared" ref="BQ530:BR566" si="309">BN530</f>
        <v>Estudo Autónomo</v>
      </c>
      <c r="BR530" s="136" t="str">
        <f t="shared" si="309"/>
        <v>EA</v>
      </c>
      <c r="BS530" s="136" t="str">
        <f>BQ530</f>
        <v>Estudo Autónomo</v>
      </c>
      <c r="BT530" s="136">
        <f>SUMIFS(V:V,Q:Q,BQ530,R:R,BR530)</f>
        <v>86.5</v>
      </c>
      <c r="BU530" s="136">
        <f>SUMIFS(BP:BP,BN:BN,BQ530,BO:BO,BR530)</f>
        <v>95.5</v>
      </c>
      <c r="CA530" s="136">
        <f>'INFO BASE'!L610</f>
        <v>0</v>
      </c>
      <c r="CB530" s="136">
        <f>'INFO BASE'!M610</f>
        <v>0</v>
      </c>
      <c r="CD530" s="136" t="str">
        <f t="shared" si="307"/>
        <v>CDI</v>
      </c>
      <c r="CR530" s="177">
        <f t="shared" si="298"/>
        <v>1</v>
      </c>
      <c r="CS530" s="177">
        <f t="shared" si="299"/>
        <v>1</v>
      </c>
      <c r="CT530" s="177">
        <f t="shared" si="298"/>
        <v>1</v>
      </c>
      <c r="CU530" s="177">
        <f t="shared" si="300"/>
        <v>1</v>
      </c>
      <c r="CV530" s="177">
        <f t="shared" si="298"/>
        <v>1</v>
      </c>
      <c r="CW530" s="177">
        <f t="shared" si="301"/>
        <v>1</v>
      </c>
      <c r="CX530" s="177">
        <f t="shared" si="298"/>
        <v>1</v>
      </c>
      <c r="CY530" s="177">
        <f t="shared" si="302"/>
        <v>1</v>
      </c>
      <c r="CZ530" s="177">
        <f t="shared" si="298"/>
        <v>1</v>
      </c>
      <c r="DA530" s="177">
        <f t="shared" si="303"/>
        <v>1</v>
      </c>
      <c r="DB530" s="177">
        <f t="shared" si="298"/>
        <v>1</v>
      </c>
      <c r="DC530" s="177">
        <f t="shared" si="304"/>
        <v>1</v>
      </c>
      <c r="DD530" s="177">
        <f t="shared" si="305"/>
        <v>1</v>
      </c>
      <c r="DE530" s="177">
        <f t="shared" si="306"/>
        <v>1</v>
      </c>
    </row>
    <row r="531" spans="1:109" ht="18" customHeight="1" x14ac:dyDescent="0.3">
      <c r="A531" s="81">
        <v>0.187500000000006</v>
      </c>
      <c r="B531" s="153"/>
      <c r="C531" s="130"/>
      <c r="D531" s="135"/>
      <c r="E531" s="130"/>
      <c r="F531" s="135"/>
      <c r="G531" s="130"/>
      <c r="H531" s="135"/>
      <c r="I531" s="130"/>
      <c r="J531" s="135"/>
      <c r="K531" s="130"/>
      <c r="L531" s="135"/>
      <c r="M531" s="130"/>
      <c r="N531" s="135"/>
      <c r="O531" s="154"/>
      <c r="Q531" s="294" t="s">
        <v>14</v>
      </c>
      <c r="R531" s="290" t="s">
        <v>88</v>
      </c>
      <c r="S531" s="290" t="s">
        <v>87</v>
      </c>
      <c r="T531" s="290" t="s">
        <v>89</v>
      </c>
      <c r="U531" s="290" t="s">
        <v>41</v>
      </c>
      <c r="V531" s="290" t="s">
        <v>91</v>
      </c>
      <c r="W531" s="292" t="s">
        <v>90</v>
      </c>
      <c r="X531" s="199">
        <v>1</v>
      </c>
      <c r="Y531" s="302" t="s">
        <v>21</v>
      </c>
      <c r="Z531" s="303"/>
      <c r="AA531" s="303"/>
      <c r="AB531" s="303"/>
      <c r="AC531" s="303"/>
      <c r="AD531" s="303"/>
      <c r="AE531" s="303"/>
      <c r="AF531" s="304"/>
      <c r="AH531" s="136">
        <v>0.187500000000006</v>
      </c>
      <c r="AI531" s="136" t="str">
        <f>IF(AH518="","",IF(B531="","",B531))</f>
        <v/>
      </c>
      <c r="AJ531" s="136" t="str">
        <f>IF(AH518="","",IF(C531="","",C531))</f>
        <v/>
      </c>
      <c r="AK531" s="136" t="str">
        <f>IF(AH518="","",IF(D531="","",D531))</f>
        <v/>
      </c>
      <c r="AL531" s="136" t="str">
        <f>IF(AH518="","",IF(E531="","",E531))</f>
        <v/>
      </c>
      <c r="AM531" s="136" t="str">
        <f>IF(AH518="","",IF(F531="","",F531))</f>
        <v/>
      </c>
      <c r="AN531" s="136" t="str">
        <f>IF(AH518="","",IF(G531="","",G531))</f>
        <v/>
      </c>
      <c r="AO531" s="136" t="str">
        <f>IF(AH518="","",IF(H531="","",H531))</f>
        <v/>
      </c>
      <c r="AP531" s="136" t="str">
        <f>IF(AH518="","",IF(I531="","",I531))</f>
        <v/>
      </c>
      <c r="AQ531" s="136" t="str">
        <f>IF(AH518="","",IF(J531="","",J531))</f>
        <v/>
      </c>
      <c r="AR531" s="136" t="str">
        <f>IF(AH518="","",IF(K531="","",K531))</f>
        <v/>
      </c>
      <c r="AS531" s="136" t="str">
        <f>IF(AH518="","",IF(L531="","",L531))</f>
        <v/>
      </c>
      <c r="AT531" s="136" t="str">
        <f>IF(AH518="","",IF(M531="","",M531))</f>
        <v/>
      </c>
      <c r="AU531" s="136" t="str">
        <f>IF(AH518="","",IF(N531="","",N531))</f>
        <v/>
      </c>
      <c r="AV531" s="136" t="str">
        <f>IF(AH518="","",IF(O531="","",O531))</f>
        <v/>
      </c>
      <c r="AX531" s="136" t="str">
        <f>IF(AI518="","",IF(B531="","",B531))</f>
        <v/>
      </c>
      <c r="AY531" s="136" t="str">
        <f>IF(AI518="","",IF(C531="","",C531))</f>
        <v/>
      </c>
      <c r="AZ531" s="136" t="str">
        <f>IF(AI518="","",IF(D531="","",D531))</f>
        <v/>
      </c>
      <c r="BA531" s="136" t="str">
        <f>IF(AI518="","",IF(E531="","",E531))</f>
        <v/>
      </c>
      <c r="BB531" s="136" t="str">
        <f>IF(AI518="","",IF(F531="","",F531))</f>
        <v/>
      </c>
      <c r="BC531" s="136" t="str">
        <f>IF(AI518="","",IF(G531="","",G531))</f>
        <v/>
      </c>
      <c r="BD531" s="136" t="str">
        <f>IF(AI518="","",IF(H531="","",H531))</f>
        <v/>
      </c>
      <c r="BE531" s="136" t="str">
        <f>IF(AI518="","",IF(I531="","",I531))</f>
        <v/>
      </c>
      <c r="BF531" s="136" t="str">
        <f>IF(AI518="","",IF(J531="","",J531))</f>
        <v/>
      </c>
      <c r="BG531" s="136" t="str">
        <f>IF(AI518="","",IF(K531="","",K531))</f>
        <v/>
      </c>
      <c r="BH531" s="136" t="str">
        <f>IF(AI518="","",IF(L531="","",L531))</f>
        <v/>
      </c>
      <c r="BI531" s="136" t="str">
        <f>IF(AI518="","",IF(M531="","",M531))</f>
        <v/>
      </c>
      <c r="BJ531" s="136" t="str">
        <f>IF(AI518="","",IF(N531="","",N531))</f>
        <v/>
      </c>
      <c r="BK531" s="136" t="str">
        <f>IF(AI518="","",IF(O531="","",O531))</f>
        <v/>
      </c>
      <c r="BM531" s="136" t="str">
        <f>BM530</f>
        <v>EA</v>
      </c>
      <c r="BN531" s="136" t="str">
        <f t="shared" si="308"/>
        <v>Estudo Autónomo</v>
      </c>
      <c r="BO531" s="136" t="str">
        <f t="shared" si="308"/>
        <v>FP</v>
      </c>
      <c r="BP531" s="136">
        <f>(COUNTIFS(AX522:AX569,BM531,AY522:AY569,BO531)+COUNTIFS(AZ522:AZ569,BM531,BA522:BA569,BO531)+COUNTIFS(BB522:BB569,BM531,BC522:BC569,BO531)+COUNTIFS(BD522:BD569,BM531,BE522:BE569,BO531)+COUNTIFS(BF522:BF569,BM531,BG522:BG569,BO531)+COUNTIFS(BH522:BH569,BM531,BI522:BI569,BO531)+COUNTIFS(BJ522:BJ569,BM531,BK522:BK569,BO531))*0.5</f>
        <v>0</v>
      </c>
      <c r="BQ531" s="136" t="str">
        <f t="shared" si="309"/>
        <v>Estudo Autónomo</v>
      </c>
      <c r="BR531" s="136" t="str">
        <f>$R$20</f>
        <v>EA</v>
      </c>
      <c r="BS531" s="136" t="str">
        <f t="shared" ref="BS531:BS566" si="310">BQ531</f>
        <v>Estudo Autónomo</v>
      </c>
      <c r="BT531" s="136">
        <f>SUMIFS(V:V,Q:Q,BQ531,R:R,BR531)</f>
        <v>86.5</v>
      </c>
      <c r="BU531" s="136">
        <f>SUMIFS(BP:BP,BN:BN,BQ531,BO:BO,BR531)</f>
        <v>95.5</v>
      </c>
      <c r="CA531" s="136">
        <f>'INFO BASE'!L611</f>
        <v>0</v>
      </c>
      <c r="CB531" s="136">
        <f>'INFO BASE'!M611</f>
        <v>0</v>
      </c>
      <c r="CD531" s="136" t="str">
        <f t="shared" si="307"/>
        <v/>
      </c>
      <c r="CR531" s="177">
        <f t="shared" si="298"/>
        <v>1</v>
      </c>
      <c r="CS531" s="177">
        <f t="shared" si="299"/>
        <v>1</v>
      </c>
      <c r="CT531" s="177">
        <f t="shared" si="298"/>
        <v>1</v>
      </c>
      <c r="CU531" s="177">
        <f t="shared" si="300"/>
        <v>1</v>
      </c>
      <c r="CV531" s="177">
        <f t="shared" si="298"/>
        <v>1</v>
      </c>
      <c r="CW531" s="177">
        <f t="shared" si="301"/>
        <v>1</v>
      </c>
      <c r="CX531" s="177">
        <f t="shared" si="298"/>
        <v>1</v>
      </c>
      <c r="CY531" s="177">
        <f t="shared" si="302"/>
        <v>1</v>
      </c>
      <c r="CZ531" s="177">
        <f t="shared" si="298"/>
        <v>1</v>
      </c>
      <c r="DA531" s="177">
        <f t="shared" si="303"/>
        <v>1</v>
      </c>
      <c r="DB531" s="177">
        <f t="shared" si="298"/>
        <v>1</v>
      </c>
      <c r="DC531" s="177">
        <f t="shared" si="304"/>
        <v>1</v>
      </c>
      <c r="DD531" s="177">
        <f t="shared" si="305"/>
        <v>1</v>
      </c>
      <c r="DE531" s="177">
        <f t="shared" si="306"/>
        <v>1</v>
      </c>
    </row>
    <row r="532" spans="1:109" ht="18" customHeight="1" thickBot="1" x14ac:dyDescent="0.35">
      <c r="A532" s="81">
        <v>0.20833333333334</v>
      </c>
      <c r="B532" s="153"/>
      <c r="C532" s="130"/>
      <c r="D532" s="135"/>
      <c r="E532" s="130"/>
      <c r="F532" s="135"/>
      <c r="G532" s="130"/>
      <c r="H532" s="135"/>
      <c r="I532" s="130"/>
      <c r="J532" s="135"/>
      <c r="K532" s="130"/>
      <c r="L532" s="135"/>
      <c r="M532" s="130"/>
      <c r="N532" s="135"/>
      <c r="O532" s="154"/>
      <c r="Q532" s="295"/>
      <c r="R532" s="291"/>
      <c r="S532" s="291"/>
      <c r="T532" s="291"/>
      <c r="U532" s="291"/>
      <c r="V532" s="291"/>
      <c r="W532" s="293"/>
      <c r="X532" s="199">
        <v>1</v>
      </c>
      <c r="Y532" s="305"/>
      <c r="Z532" s="306"/>
      <c r="AA532" s="306"/>
      <c r="AB532" s="306"/>
      <c r="AC532" s="306"/>
      <c r="AD532" s="306"/>
      <c r="AE532" s="306"/>
      <c r="AF532" s="307"/>
      <c r="AH532" s="136">
        <v>0.20833333333334</v>
      </c>
      <c r="AI532" s="136" t="str">
        <f>IF(AH518="","",IF(B532="","",B532))</f>
        <v/>
      </c>
      <c r="AJ532" s="136" t="str">
        <f>IF(AH518="","",IF(C532="","",C532))</f>
        <v/>
      </c>
      <c r="AK532" s="136" t="str">
        <f>IF(AH518="","",IF(D532="","",D532))</f>
        <v/>
      </c>
      <c r="AL532" s="136" t="str">
        <f>IF(AH518="","",IF(E532="","",E532))</f>
        <v/>
      </c>
      <c r="AM532" s="136" t="str">
        <f>IF(AH518="","",IF(F532="","",F532))</f>
        <v/>
      </c>
      <c r="AN532" s="136" t="str">
        <f>IF(AH518="","",IF(G532="","",G532))</f>
        <v/>
      </c>
      <c r="AO532" s="136" t="str">
        <f>IF(AH518="","",IF(H532="","",H532))</f>
        <v/>
      </c>
      <c r="AP532" s="136" t="str">
        <f>IF(AH518="","",IF(I532="","",I532))</f>
        <v/>
      </c>
      <c r="AQ532" s="136" t="str">
        <f>IF(AH518="","",IF(J532="","",J532))</f>
        <v/>
      </c>
      <c r="AR532" s="136" t="str">
        <f>IF(AH518="","",IF(K532="","",K532))</f>
        <v/>
      </c>
      <c r="AS532" s="136" t="str">
        <f>IF(AH518="","",IF(L532="","",L532))</f>
        <v/>
      </c>
      <c r="AT532" s="136" t="str">
        <f>IF(AH518="","",IF(M532="","",M532))</f>
        <v/>
      </c>
      <c r="AU532" s="136" t="str">
        <f>IF(AH518="","",IF(N532="","",N532))</f>
        <v/>
      </c>
      <c r="AV532" s="136" t="str">
        <f>IF(AH518="","",IF(O532="","",O532))</f>
        <v/>
      </c>
      <c r="AX532" s="136" t="str">
        <f>IF(AI518="","",IF(B532="","",B532))</f>
        <v/>
      </c>
      <c r="AY532" s="136" t="str">
        <f>IF(AI518="","",IF(C532="","",C532))</f>
        <v/>
      </c>
      <c r="AZ532" s="136" t="str">
        <f>IF(AI518="","",IF(D532="","",D532))</f>
        <v/>
      </c>
      <c r="BA532" s="136" t="str">
        <f>IF(AI518="","",IF(E532="","",E532))</f>
        <v/>
      </c>
      <c r="BB532" s="136" t="str">
        <f>IF(AI518="","",IF(F532="","",F532))</f>
        <v/>
      </c>
      <c r="BC532" s="136" t="str">
        <f>IF(AI518="","",IF(G532="","",G532))</f>
        <v/>
      </c>
      <c r="BD532" s="136" t="str">
        <f>IF(AI518="","",IF(H532="","",H532))</f>
        <v/>
      </c>
      <c r="BE532" s="136" t="str">
        <f>IF(AI518="","",IF(I532="","",I532))</f>
        <v/>
      </c>
      <c r="BF532" s="136" t="str">
        <f>IF(AI518="","",IF(J532="","",J532))</f>
        <v/>
      </c>
      <c r="BG532" s="136" t="str">
        <f>IF(AI518="","",IF(K532="","",K532))</f>
        <v/>
      </c>
      <c r="BH532" s="136" t="str">
        <f>IF(AI518="","",IF(L532="","",L532))</f>
        <v/>
      </c>
      <c r="BI532" s="136" t="str">
        <f>IF(AI518="","",IF(M532="","",M532))</f>
        <v/>
      </c>
      <c r="BJ532" s="136" t="str">
        <f>IF(AI518="","",IF(N532="","",N532))</f>
        <v/>
      </c>
      <c r="BK532" s="136" t="str">
        <f>IF(AI518="","",IF(O532="","",O532))</f>
        <v/>
      </c>
      <c r="BM532" s="136" t="str">
        <f t="shared" ref="BM532:BM536" si="311">BM531</f>
        <v>EA</v>
      </c>
      <c r="BN532" s="136" t="str">
        <f t="shared" si="308"/>
        <v>Estudo Autónomo</v>
      </c>
      <c r="BO532" s="136" t="str">
        <f t="shared" si="308"/>
        <v>IEI</v>
      </c>
      <c r="BP532" s="136">
        <f>(COUNTIFS(AX522:AX569,BM532,AY522:AY569,BO532)+COUNTIFS(AZ522:AZ569,BM532,BA522:BA569,BO532)+COUNTIFS(BB522:BB569,BM532,BC522:BC569,BO532)+COUNTIFS(BD522:BD569,BM532,BE522:BE569,BO532)+COUNTIFS(BF522:BF569,BM532,BG522:BG569,BO532)+COUNTIFS(BH522:BH569,BM532,BI522:BI569,BO532)+COUNTIFS(BJ522:BJ569,BM532,BK522:BK569,BO532))*0.5</f>
        <v>0</v>
      </c>
      <c r="BQ532" s="136" t="str">
        <f t="shared" si="309"/>
        <v>Estudo Autónomo</v>
      </c>
      <c r="BR532" s="136" t="str">
        <f t="shared" si="309"/>
        <v>IEI</v>
      </c>
      <c r="BS532" s="136" t="str">
        <f t="shared" si="310"/>
        <v>Estudo Autónomo</v>
      </c>
      <c r="BT532" s="136">
        <f>SUMIFS(V:V,Q:Q,BQ532,R:R,BR532)</f>
        <v>20</v>
      </c>
      <c r="BU532" s="136">
        <f>SUMIFS(BP:BP,BN:BN,BQ532,BO:BO,BR532)</f>
        <v>36.5</v>
      </c>
      <c r="CA532" s="136">
        <f>'INFO BASE'!L612</f>
        <v>0</v>
      </c>
      <c r="CB532" s="136">
        <f>'INFO BASE'!M612</f>
        <v>0</v>
      </c>
      <c r="CD532" s="136" t="str">
        <f>IF('INFO BASE'!E546="","",'INFO BASE'!E546)</f>
        <v/>
      </c>
      <c r="CR532" s="177">
        <f t="shared" si="298"/>
        <v>1</v>
      </c>
      <c r="CS532" s="177">
        <f t="shared" si="299"/>
        <v>1</v>
      </c>
      <c r="CT532" s="177">
        <f t="shared" si="298"/>
        <v>1</v>
      </c>
      <c r="CU532" s="177">
        <f t="shared" si="300"/>
        <v>1</v>
      </c>
      <c r="CV532" s="177">
        <f t="shared" si="298"/>
        <v>1</v>
      </c>
      <c r="CW532" s="177">
        <f t="shared" si="301"/>
        <v>1</v>
      </c>
      <c r="CX532" s="177">
        <f t="shared" si="298"/>
        <v>1</v>
      </c>
      <c r="CY532" s="177">
        <f t="shared" si="302"/>
        <v>1</v>
      </c>
      <c r="CZ532" s="177">
        <f t="shared" si="298"/>
        <v>1</v>
      </c>
      <c r="DA532" s="177">
        <f t="shared" si="303"/>
        <v>1</v>
      </c>
      <c r="DB532" s="177">
        <f t="shared" si="298"/>
        <v>1</v>
      </c>
      <c r="DC532" s="177">
        <f t="shared" si="304"/>
        <v>1</v>
      </c>
      <c r="DD532" s="177">
        <f t="shared" si="305"/>
        <v>1</v>
      </c>
      <c r="DE532" s="177">
        <f t="shared" si="306"/>
        <v>1</v>
      </c>
    </row>
    <row r="533" spans="1:109" ht="18" customHeight="1" x14ac:dyDescent="0.3">
      <c r="A533" s="81">
        <v>0.22916666666667401</v>
      </c>
      <c r="B533" s="153"/>
      <c r="C533" s="130"/>
      <c r="D533" s="135"/>
      <c r="E533" s="130"/>
      <c r="F533" s="135"/>
      <c r="G533" s="130"/>
      <c r="H533" s="135"/>
      <c r="I533" s="130"/>
      <c r="J533" s="135"/>
      <c r="K533" s="130"/>
      <c r="L533" s="135"/>
      <c r="M533" s="130"/>
      <c r="N533" s="135"/>
      <c r="O533" s="154"/>
      <c r="P533" s="6">
        <v>0</v>
      </c>
      <c r="Q533" s="109" t="str">
        <f>IF('INFO BASE'!$C$17="","",'INFO BASE'!$C$17)</f>
        <v>Estudo Autónomo</v>
      </c>
      <c r="R533" s="82" t="str">
        <f>R476</f>
        <v>EA</v>
      </c>
      <c r="S533" s="83">
        <f t="shared" ref="S533:S569" si="312">IFERROR((U533/T533)-1,"-")</f>
        <v>-1</v>
      </c>
      <c r="T533" s="84">
        <f>IF(VLOOKUP(Q533,'INFO BASE'!$B$40:$I$54,IF(R533='INFO BASE'!$B$32,3,IF(R533='INFO BASE'!$B$33,4,IF(R533='INFO BASE'!$B$34,5,IF(R533='INFO BASE'!$B$35,6,IF(R533='INFO BASE'!$B$36,7,IF(R533='INFO BASE'!$B$37,8,2)))))),0)=0,"",VLOOKUP(Q533,'INFO BASE'!$B$40:$I$54,IF(R533='INFO BASE'!$B$32,3,IF(R533='INFO BASE'!$B$33,4,IF(R533='INFO BASE'!$B$34,5,IF(R533='INFO BASE'!$B$35,6,IF(R533='INFO BASE'!$B$36,7,IF(R533='INFO BASE'!$B$37,8,2)))))),0))</f>
        <v>19</v>
      </c>
      <c r="U533" s="84">
        <f>IF(R533="","",COUNTIFS(SEMANA10,R533)*0.5)</f>
        <v>0</v>
      </c>
      <c r="V533" s="84">
        <f>IF(R533="","",COUNTIFS(AI522:AV569,R533)*0.5)</f>
        <v>0</v>
      </c>
      <c r="W533" s="85" t="str">
        <f>IF(AH518="","-",IF(V533=0,U533,IFERROR((U533/V533)-1,"-")))</f>
        <v>-</v>
      </c>
      <c r="X533" s="200">
        <f t="shared" ref="X533:X569" si="313">IFERROR(IF(ABS(W533)&gt;P533,1,0),0)</f>
        <v>0</v>
      </c>
      <c r="Y533" s="296"/>
      <c r="Z533" s="297"/>
      <c r="AA533" s="297"/>
      <c r="AB533" s="297"/>
      <c r="AC533" s="297"/>
      <c r="AD533" s="297"/>
      <c r="AE533" s="297"/>
      <c r="AF533" s="298"/>
      <c r="AH533" s="136">
        <v>0.22916666666667401</v>
      </c>
      <c r="AI533" s="136" t="str">
        <f>IF(AH518="","",IF(B533="","",B533))</f>
        <v/>
      </c>
      <c r="AJ533" s="136" t="str">
        <f>IF(AH518="","",IF(C533="","",C533))</f>
        <v/>
      </c>
      <c r="AK533" s="136" t="str">
        <f>IF(AH518="","",IF(D533="","",D533))</f>
        <v/>
      </c>
      <c r="AL533" s="136" t="str">
        <f>IF(AH518="","",IF(E533="","",E533))</f>
        <v/>
      </c>
      <c r="AM533" s="136" t="str">
        <f>IF(AH518="","",IF(F533="","",F533))</f>
        <v/>
      </c>
      <c r="AN533" s="136" t="str">
        <f>IF(AH518="","",IF(G533="","",G533))</f>
        <v/>
      </c>
      <c r="AO533" s="136" t="str">
        <f>IF(AH518="","",IF(H533="","",H533))</f>
        <v/>
      </c>
      <c r="AP533" s="136" t="str">
        <f>IF(AH518="","",IF(I533="","",I533))</f>
        <v/>
      </c>
      <c r="AQ533" s="136" t="str">
        <f>IF(AH518="","",IF(J533="","",J533))</f>
        <v/>
      </c>
      <c r="AR533" s="136" t="str">
        <f>IF(AH518="","",IF(K533="","",K533))</f>
        <v/>
      </c>
      <c r="AS533" s="136" t="str">
        <f>IF(AH518="","",IF(L533="","",L533))</f>
        <v/>
      </c>
      <c r="AT533" s="136" t="str">
        <f>IF(AH518="","",IF(M533="","",M533))</f>
        <v/>
      </c>
      <c r="AU533" s="136" t="str">
        <f>IF(AH518="","",IF(N533="","",N533))</f>
        <v/>
      </c>
      <c r="AV533" s="136" t="str">
        <f>IF(AH518="","",IF(O533="","",O533))</f>
        <v/>
      </c>
      <c r="AX533" s="136" t="str">
        <f>IF(AI518="","",IF(B533="","",B533))</f>
        <v/>
      </c>
      <c r="AY533" s="136" t="str">
        <f>IF(AI518="","",IF(C533="","",C533))</f>
        <v/>
      </c>
      <c r="AZ533" s="136" t="str">
        <f>IF(AI518="","",IF(D533="","",D533))</f>
        <v/>
      </c>
      <c r="BA533" s="136" t="str">
        <f>IF(AI518="","",IF(E533="","",E533))</f>
        <v/>
      </c>
      <c r="BB533" s="136" t="str">
        <f>IF(AI518="","",IF(F533="","",F533))</f>
        <v/>
      </c>
      <c r="BC533" s="136" t="str">
        <f>IF(AI518="","",IF(G533="","",G533))</f>
        <v/>
      </c>
      <c r="BD533" s="136" t="str">
        <f>IF(AI518="","",IF(H533="","",H533))</f>
        <v/>
      </c>
      <c r="BE533" s="136" t="str">
        <f>IF(AI518="","",IF(I533="","",I533))</f>
        <v/>
      </c>
      <c r="BF533" s="136" t="str">
        <f>IF(AI518="","",IF(J533="","",J533))</f>
        <v/>
      </c>
      <c r="BG533" s="136" t="str">
        <f>IF(AI518="","",IF(K533="","",K533))</f>
        <v/>
      </c>
      <c r="BH533" s="136" t="str">
        <f>IF(AI518="","",IF(L533="","",L533))</f>
        <v/>
      </c>
      <c r="BI533" s="136" t="str">
        <f>IF(AI518="","",IF(M533="","",M533))</f>
        <v/>
      </c>
      <c r="BJ533" s="136" t="str">
        <f>IF(AI518="","",IF(N533="","",N533))</f>
        <v/>
      </c>
      <c r="BK533" s="136" t="str">
        <f>IF(AI518="","",IF(O533="","",O533))</f>
        <v/>
      </c>
      <c r="BM533" s="136" t="str">
        <f t="shared" si="311"/>
        <v>EA</v>
      </c>
      <c r="BN533" s="136" t="str">
        <f t="shared" si="308"/>
        <v>Estudo Autónomo</v>
      </c>
      <c r="BO533" s="136" t="str">
        <f t="shared" si="308"/>
        <v>IAC</v>
      </c>
      <c r="BP533" s="136">
        <f>(COUNTIFS(AX522:AX569,BM533,AY522:AY569,BO533)+COUNTIFS(AZ522:AZ569,BM533,BA522:BA569,BO533)+COUNTIFS(BB522:BB569,BM533,BC522:BC569,BO533)+COUNTIFS(BD522:BD569,BM533,BE522:BE569,BO533)+COUNTIFS(BF522:BF569,BM533,BG522:BG569,BO533)+COUNTIFS(BH522:BH569,BM533,BI522:BI569,BO533)+COUNTIFS(BJ522:BJ569,BM533,BK522:BK569,BO533))*0.5</f>
        <v>0</v>
      </c>
      <c r="BQ533" s="136" t="str">
        <f t="shared" si="309"/>
        <v>Estudo Autónomo</v>
      </c>
      <c r="BR533" s="136" t="str">
        <f t="shared" si="309"/>
        <v>IAC</v>
      </c>
      <c r="BS533" s="136" t="str">
        <f t="shared" si="310"/>
        <v>Estudo Autónomo</v>
      </c>
      <c r="BT533" s="136">
        <f>SUMIFS(V:V,Q:Q,BQ533,R:R,BBO531)</f>
        <v>0</v>
      </c>
      <c r="BU533" s="136">
        <f>SUMIFS(BP:BP,BN:BN,BQ533,BO:BO,BBO531)</f>
        <v>0</v>
      </c>
      <c r="CA533" s="136">
        <f>'INFO BASE'!L613</f>
        <v>0</v>
      </c>
      <c r="CB533" s="136">
        <f>'INFO BASE'!M613</f>
        <v>0</v>
      </c>
      <c r="CD533" s="136" t="str">
        <f>IF('INFO BASE'!E547="","",'INFO BASE'!E547)</f>
        <v/>
      </c>
      <c r="CR533" s="177">
        <f t="shared" si="298"/>
        <v>1</v>
      </c>
      <c r="CS533" s="177">
        <f t="shared" si="299"/>
        <v>1</v>
      </c>
      <c r="CT533" s="177">
        <f t="shared" si="298"/>
        <v>1</v>
      </c>
      <c r="CU533" s="177">
        <f t="shared" si="300"/>
        <v>1</v>
      </c>
      <c r="CV533" s="177">
        <f t="shared" si="298"/>
        <v>1</v>
      </c>
      <c r="CW533" s="177">
        <f t="shared" si="301"/>
        <v>1</v>
      </c>
      <c r="CX533" s="177">
        <f t="shared" si="298"/>
        <v>1</v>
      </c>
      <c r="CY533" s="177">
        <f t="shared" si="302"/>
        <v>1</v>
      </c>
      <c r="CZ533" s="177">
        <f t="shared" si="298"/>
        <v>1</v>
      </c>
      <c r="DA533" s="177">
        <f t="shared" si="303"/>
        <v>1</v>
      </c>
      <c r="DB533" s="177">
        <f t="shared" si="298"/>
        <v>1</v>
      </c>
      <c r="DC533" s="177">
        <f t="shared" si="304"/>
        <v>1</v>
      </c>
      <c r="DD533" s="177">
        <f t="shared" si="305"/>
        <v>1</v>
      </c>
      <c r="DE533" s="177">
        <f t="shared" si="306"/>
        <v>1</v>
      </c>
    </row>
    <row r="534" spans="1:109" ht="18" customHeight="1" x14ac:dyDescent="0.3">
      <c r="A534" s="81">
        <v>0.25000000000000799</v>
      </c>
      <c r="B534" s="153"/>
      <c r="C534" s="130"/>
      <c r="D534" s="135"/>
      <c r="E534" s="130"/>
      <c r="F534" s="135"/>
      <c r="G534" s="130"/>
      <c r="H534" s="135"/>
      <c r="I534" s="130"/>
      <c r="J534" s="135"/>
      <c r="K534" s="130"/>
      <c r="L534" s="135"/>
      <c r="M534" s="130"/>
      <c r="N534" s="135"/>
      <c r="O534" s="154"/>
      <c r="P534" s="6">
        <v>0</v>
      </c>
      <c r="Q534" s="110" t="str">
        <f t="shared" ref="Q534:Q539" si="314">Q533</f>
        <v>Estudo Autónomo</v>
      </c>
      <c r="R534" s="105" t="str">
        <f t="shared" ref="R534:R569" si="315">R477</f>
        <v>FP</v>
      </c>
      <c r="S534" s="88">
        <f t="shared" si="312"/>
        <v>-1</v>
      </c>
      <c r="T534" s="89">
        <f>IF(VLOOKUP(Q534,'INFO BASE'!$B$40:$I$54,IF(R534='INFO BASE'!$B$32,3,IF(R534='INFO BASE'!$B$33,4,IF(R534='INFO BASE'!$B$34,5,IF(R534='INFO BASE'!$B$35,6,IF(R534='INFO BASE'!$B$36,7,IF(R534='INFO BASE'!$B$37,8,2)))))),0)=0,"",VLOOKUP(Q534,'INFO BASE'!$B$40:$I$54,IF(R534='INFO BASE'!$B$32,3,IF(R534='INFO BASE'!$B$33,4,IF(R534='INFO BASE'!$B$34,5,IF(R534='INFO BASE'!$B$35,6,IF(R534='INFO BASE'!$B$36,7,IF(R534='INFO BASE'!$B$37,8,2)))))),0))</f>
        <v>5</v>
      </c>
      <c r="U534" s="89">
        <f>(COUNTIFS(C522:C569,R534,B522:B569,R533)+COUNTIFS(E522:E569,R534,D522:D569,R533)+COUNTIFS(G522:G569,R534,F522:F569,R533)+COUNTIFS(I522:I569,R534,H522:H569,R533)+COUNTIFS(K522:K569,R534,J522:J569,R533)+COUNTIFS(M522:M569,R534,L522:L569,R533)+COUNTIFS(O522:O569,R534,N522:N569,R533))*0.5</f>
        <v>0</v>
      </c>
      <c r="V534" s="89">
        <f>(COUNTIFS(AI522:AI569,R533,AJ522:AJ569,R534)+COUNTIFS(AK522:AK569,R533,AL522:AL569,R534)+COUNTIFS(AM522:AM569,R533,AN522:AN569,R534)+COUNTIFS(AO522:AO569,R533,AP522:AP569,R534)+COUNTIFS(AQ522:AQ569,R533,AR522:AR569,R534)+COUNTIFS(AS522:AS569,R533,AT522:AT569,R534)+COUNTIFS(AU522:AU569,R533,AV522:AV569,R534))*0.5</f>
        <v>0</v>
      </c>
      <c r="W534" s="90" t="str">
        <f>IF(AH518="","-",IF(V534=0,U534,IFERROR((U534/V534)-1,"-")))</f>
        <v>-</v>
      </c>
      <c r="X534" s="200">
        <f t="shared" si="313"/>
        <v>0</v>
      </c>
      <c r="Y534" s="299"/>
      <c r="Z534" s="300"/>
      <c r="AA534" s="300"/>
      <c r="AB534" s="300"/>
      <c r="AC534" s="300"/>
      <c r="AD534" s="300"/>
      <c r="AE534" s="300"/>
      <c r="AF534" s="301"/>
      <c r="AH534" s="136">
        <v>0.25000000000000799</v>
      </c>
      <c r="AI534" s="136" t="str">
        <f>IF(AH518="","",IF(B534="","",B534))</f>
        <v/>
      </c>
      <c r="AJ534" s="136" t="str">
        <f>IF(AH518="","",IF(C534="","",C534))</f>
        <v/>
      </c>
      <c r="AK534" s="136" t="str">
        <f>IF(AH518="","",IF(D534="","",D534))</f>
        <v/>
      </c>
      <c r="AL534" s="136" t="str">
        <f>IF(AH518="","",IF(E534="","",E534))</f>
        <v/>
      </c>
      <c r="AM534" s="136" t="str">
        <f>IF(AH518="","",IF(F534="","",F534))</f>
        <v/>
      </c>
      <c r="AN534" s="136" t="str">
        <f>IF(AH518="","",IF(G534="","",G534))</f>
        <v/>
      </c>
      <c r="AO534" s="136" t="str">
        <f>IF(AH518="","",IF(H534="","",H534))</f>
        <v/>
      </c>
      <c r="AP534" s="136" t="str">
        <f>IF(AH518="","",IF(I534="","",I534))</f>
        <v/>
      </c>
      <c r="AQ534" s="136" t="str">
        <f>IF(AH518="","",IF(J534="","",J534))</f>
        <v/>
      </c>
      <c r="AR534" s="136" t="str">
        <f>IF(AH518="","",IF(K534="","",K534))</f>
        <v/>
      </c>
      <c r="AS534" s="136" t="str">
        <f>IF(AH518="","",IF(L534="","",L534))</f>
        <v/>
      </c>
      <c r="AT534" s="136" t="str">
        <f>IF(AH518="","",IF(M534="","",M534))</f>
        <v/>
      </c>
      <c r="AU534" s="136" t="str">
        <f>IF(AH518="","",IF(N534="","",N534))</f>
        <v/>
      </c>
      <c r="AV534" s="136" t="str">
        <f>IF(AH518="","",IF(O534="","",O534))</f>
        <v/>
      </c>
      <c r="AX534" s="136" t="str">
        <f>IF(AI518="","",IF(B534="","",B534))</f>
        <v/>
      </c>
      <c r="AY534" s="136" t="str">
        <f>IF(AI518="","",IF(C534="","",C534))</f>
        <v/>
      </c>
      <c r="AZ534" s="136" t="str">
        <f>IF(AI518="","",IF(D534="","",D534))</f>
        <v/>
      </c>
      <c r="BA534" s="136" t="str">
        <f>IF(AI518="","",IF(E534="","",E534))</f>
        <v/>
      </c>
      <c r="BB534" s="136" t="str">
        <f>IF(AI518="","",IF(F534="","",F534))</f>
        <v/>
      </c>
      <c r="BC534" s="136" t="str">
        <f>IF(AI518="","",IF(G534="","",G534))</f>
        <v/>
      </c>
      <c r="BD534" s="136" t="str">
        <f>IF(AI518="","",IF(H534="","",H534))</f>
        <v/>
      </c>
      <c r="BE534" s="136" t="str">
        <f>IF(AI518="","",IF(I534="","",I534))</f>
        <v/>
      </c>
      <c r="BF534" s="136" t="str">
        <f>IF(AI518="","",IF(J534="","",J534))</f>
        <v/>
      </c>
      <c r="BG534" s="136" t="str">
        <f>IF(AI518="","",IF(K534="","",K534))</f>
        <v/>
      </c>
      <c r="BH534" s="136" t="str">
        <f>IF(AI518="","",IF(L534="","",L534))</f>
        <v/>
      </c>
      <c r="BI534" s="136" t="str">
        <f>IF(AI518="","",IF(M534="","",M534))</f>
        <v/>
      </c>
      <c r="BJ534" s="136" t="str">
        <f>IF(AI518="","",IF(N534="","",N534))</f>
        <v/>
      </c>
      <c r="BK534" s="136" t="str">
        <f>IF(AI518="","",IF(O534="","",O534))</f>
        <v/>
      </c>
      <c r="BM534" s="136" t="str">
        <f t="shared" si="311"/>
        <v>EA</v>
      </c>
      <c r="BN534" s="136" t="str">
        <f t="shared" si="308"/>
        <v>Estudo Autónomo</v>
      </c>
      <c r="BO534" s="136" t="str">
        <f t="shared" si="308"/>
        <v>AL</v>
      </c>
      <c r="BP534" s="136">
        <f>(COUNTIFS(AX522:AX569,BM534,AY522:AY569,BO534)+COUNTIFS(AZ522:AZ569,BM534,BA522:BA569,BO534)+COUNTIFS(BB522:BB569,BM534,BC522:BC569,BO534)+COUNTIFS(BD522:BD569,BM534,BE522:BE569,BO534)+COUNTIFS(BF522:BF569,BM534,BG522:BG569,BO534)+COUNTIFS(BH522:BH569,BM534,BI522:BI569,BO534)+COUNTIFS(BJ522:BJ569,BM534,BK522:BK569,BO534))*0.5</f>
        <v>0</v>
      </c>
      <c r="BQ534" s="136" t="str">
        <f t="shared" si="309"/>
        <v>Estudo Autónomo</v>
      </c>
      <c r="BR534" s="136" t="str">
        <f t="shared" si="309"/>
        <v>AL</v>
      </c>
      <c r="BS534" s="136" t="str">
        <f t="shared" si="310"/>
        <v>Estudo Autónomo</v>
      </c>
      <c r="BT534" s="136">
        <f t="shared" ref="BT534:BT566" si="316">SUMIFS(V:V,Q:Q,BQ534,R:R,BR534)</f>
        <v>24</v>
      </c>
      <c r="BU534" s="136">
        <f t="shared" ref="BU534:BU566" si="317">SUMIFS(BP:BP,BN:BN,BQ534,BO:BO,BR534)</f>
        <v>25.5</v>
      </c>
      <c r="CA534" s="136">
        <f>'INFO BASE'!L614</f>
        <v>0</v>
      </c>
      <c r="CB534" s="136">
        <f>'INFO BASE'!M614</f>
        <v>0</v>
      </c>
      <c r="CD534" s="136" t="str">
        <f>IF('INFO BASE'!E548="","",'INFO BASE'!E548)</f>
        <v/>
      </c>
      <c r="CR534" s="177">
        <f t="shared" si="298"/>
        <v>1</v>
      </c>
      <c r="CS534" s="177">
        <f t="shared" si="299"/>
        <v>1</v>
      </c>
      <c r="CT534" s="177">
        <f t="shared" si="298"/>
        <v>1</v>
      </c>
      <c r="CU534" s="177">
        <f t="shared" si="300"/>
        <v>1</v>
      </c>
      <c r="CV534" s="177">
        <f t="shared" si="298"/>
        <v>1</v>
      </c>
      <c r="CW534" s="177">
        <f t="shared" si="301"/>
        <v>1</v>
      </c>
      <c r="CX534" s="177">
        <f t="shared" si="298"/>
        <v>1</v>
      </c>
      <c r="CY534" s="177">
        <f t="shared" si="302"/>
        <v>1</v>
      </c>
      <c r="CZ534" s="177">
        <f t="shared" si="298"/>
        <v>1</v>
      </c>
      <c r="DA534" s="177">
        <f t="shared" si="303"/>
        <v>1</v>
      </c>
      <c r="DB534" s="177">
        <f t="shared" si="298"/>
        <v>1</v>
      </c>
      <c r="DC534" s="177">
        <f t="shared" si="304"/>
        <v>1</v>
      </c>
      <c r="DD534" s="177">
        <f t="shared" si="305"/>
        <v>1</v>
      </c>
      <c r="DE534" s="177">
        <f t="shared" si="306"/>
        <v>1</v>
      </c>
    </row>
    <row r="535" spans="1:109" ht="18" customHeight="1" x14ac:dyDescent="0.3">
      <c r="A535" s="81">
        <v>0.27083333333334197</v>
      </c>
      <c r="B535" s="153"/>
      <c r="C535" s="130"/>
      <c r="D535" s="135"/>
      <c r="E535" s="130"/>
      <c r="F535" s="135"/>
      <c r="G535" s="130"/>
      <c r="H535" s="135"/>
      <c r="I535" s="130"/>
      <c r="J535" s="135"/>
      <c r="K535" s="130"/>
      <c r="L535" s="135"/>
      <c r="M535" s="130"/>
      <c r="N535" s="135"/>
      <c r="O535" s="154"/>
      <c r="P535" s="6">
        <v>0</v>
      </c>
      <c r="Q535" s="110" t="str">
        <f t="shared" si="314"/>
        <v>Estudo Autónomo</v>
      </c>
      <c r="R535" s="105" t="str">
        <f t="shared" si="315"/>
        <v>IEI</v>
      </c>
      <c r="S535" s="88">
        <f t="shared" si="312"/>
        <v>-1</v>
      </c>
      <c r="T535" s="89">
        <f>IF(VLOOKUP(Q535,'INFO BASE'!$B$40:$I$54,IF(R535='INFO BASE'!$B$32,3,IF(R535='INFO BASE'!$B$33,4,IF(R535='INFO BASE'!$B$34,5,IF(R535='INFO BASE'!$B$35,6,IF(R535='INFO BASE'!$B$36,7,IF(R535='INFO BASE'!$B$37,8,2)))))),0)=0,"",VLOOKUP(Q535,'INFO BASE'!$B$40:$I$54,IF(R535='INFO BASE'!$B$32,3,IF(R535='INFO BASE'!$B$33,4,IF(R535='INFO BASE'!$B$34,5,IF(R535='INFO BASE'!$B$35,6,IF(R535='INFO BASE'!$B$36,7,IF(R535='INFO BASE'!$B$37,8,2)))))),0))</f>
        <v>2</v>
      </c>
      <c r="U535" s="89">
        <f>(COUNTIFS(C522:C569,R535,B522:B569,R533)+COUNTIFS(E522:E569,R535,D522:D569,R533)+COUNTIFS(G522:G569,R535,F522:F569,R533)+COUNTIFS(I522:I569,R535,H522:H569,R533)+COUNTIFS(K522:K569,R535,J522:J569,R533)+COUNTIFS(M522:M569,R535,L522:L569,R533)+COUNTIFS(O522:O569,R535,N522:N569,R533))*0.5</f>
        <v>0</v>
      </c>
      <c r="V535" s="89">
        <f>(COUNTIFS(AI522:AI569,R533,AJ522:AJ569,R535)+COUNTIFS(AK522:AK569,R533,AL522:AL569,R535)+COUNTIFS(AM522:AM569,R533,AN522:AN569,R535)+COUNTIFS(AO522:AO569,R533,AP522:AP569,R535)+COUNTIFS(AQ522:AQ569,R533,AR522:AR569,R535)+COUNTIFS(AS522:AS569,R533,AT522:AT569,R535)+COUNTIFS(AU522:AU569,R533,AV522:AV569,R535))*0.5</f>
        <v>0</v>
      </c>
      <c r="W535" s="90" t="str">
        <f>IF(AH518="","-",IF(V535=0,U535,IFERROR((U535/V535)-1,"-")))</f>
        <v>-</v>
      </c>
      <c r="X535" s="200">
        <f t="shared" si="313"/>
        <v>0</v>
      </c>
      <c r="Y535" s="299"/>
      <c r="Z535" s="300"/>
      <c r="AA535" s="300"/>
      <c r="AB535" s="300"/>
      <c r="AC535" s="300"/>
      <c r="AD535" s="300"/>
      <c r="AE535" s="300"/>
      <c r="AF535" s="301"/>
      <c r="AH535" s="136">
        <v>0.27083333333334197</v>
      </c>
      <c r="AI535" s="136" t="str">
        <f>IF(AH518="","",IF(B535="","",B535))</f>
        <v/>
      </c>
      <c r="AJ535" s="136" t="str">
        <f>IF(AH518="","",IF(C535="","",C535))</f>
        <v/>
      </c>
      <c r="AK535" s="136" t="str">
        <f>IF(AH518="","",IF(D535="","",D535))</f>
        <v/>
      </c>
      <c r="AL535" s="136" t="str">
        <f>IF(AH518="","",IF(E535="","",E535))</f>
        <v/>
      </c>
      <c r="AM535" s="136" t="str">
        <f>IF(AH518="","",IF(F535="","",F535))</f>
        <v/>
      </c>
      <c r="AN535" s="136" t="str">
        <f>IF(AH518="","",IF(G535="","",G535))</f>
        <v/>
      </c>
      <c r="AO535" s="136" t="str">
        <f>IF(AH518="","",IF(H535="","",H535))</f>
        <v/>
      </c>
      <c r="AP535" s="136" t="str">
        <f>IF(AH518="","",IF(I535="","",I535))</f>
        <v/>
      </c>
      <c r="AQ535" s="136" t="str">
        <f>IF(AH518="","",IF(J535="","",J535))</f>
        <v/>
      </c>
      <c r="AR535" s="136" t="str">
        <f>IF(AH518="","",IF(K535="","",K535))</f>
        <v/>
      </c>
      <c r="AS535" s="136" t="str">
        <f>IF(AH518="","",IF(L535="","",L535))</f>
        <v/>
      </c>
      <c r="AT535" s="136" t="str">
        <f>IF(AH518="","",IF(M535="","",M535))</f>
        <v/>
      </c>
      <c r="AU535" s="136" t="str">
        <f>IF(AH518="","",IF(N535="","",N535))</f>
        <v/>
      </c>
      <c r="AV535" s="136" t="str">
        <f>IF(AH518="","",IF(O535="","",O535))</f>
        <v/>
      </c>
      <c r="AX535" s="136" t="str">
        <f>IF(AI518="","",IF(B535="","",B535))</f>
        <v/>
      </c>
      <c r="AY535" s="136" t="str">
        <f>IF(AI518="","",IF(C535="","",C535))</f>
        <v/>
      </c>
      <c r="AZ535" s="136" t="str">
        <f>IF(AI518="","",IF(D535="","",D535))</f>
        <v/>
      </c>
      <c r="BA535" s="136" t="str">
        <f>IF(AI518="","",IF(E535="","",E535))</f>
        <v/>
      </c>
      <c r="BB535" s="136" t="str">
        <f>IF(AI518="","",IF(F535="","",F535))</f>
        <v/>
      </c>
      <c r="BC535" s="136" t="str">
        <f>IF(AI518="","",IF(G535="","",G535))</f>
        <v/>
      </c>
      <c r="BD535" s="136" t="str">
        <f>IF(AI518="","",IF(H535="","",H535))</f>
        <v/>
      </c>
      <c r="BE535" s="136" t="str">
        <f>IF(AI518="","",IF(I535="","",I535))</f>
        <v/>
      </c>
      <c r="BF535" s="136" t="str">
        <f>IF(AI518="","",IF(J535="","",J535))</f>
        <v/>
      </c>
      <c r="BG535" s="136" t="str">
        <f>IF(AI518="","",IF(K535="","",K535))</f>
        <v/>
      </c>
      <c r="BH535" s="136" t="str">
        <f>IF(AI518="","",IF(L535="","",L535))</f>
        <v/>
      </c>
      <c r="BI535" s="136" t="str">
        <f>IF(AI518="","",IF(M535="","",M535))</f>
        <v/>
      </c>
      <c r="BJ535" s="136" t="str">
        <f>IF(AI518="","",IF(N535="","",N535))</f>
        <v/>
      </c>
      <c r="BK535" s="136" t="str">
        <f>IF(AI518="","",IF(O535="","",O535))</f>
        <v/>
      </c>
      <c r="BM535" s="136" t="str">
        <f t="shared" si="311"/>
        <v>EA</v>
      </c>
      <c r="BN535" s="136" t="str">
        <f t="shared" si="308"/>
        <v>Estudo Autónomo</v>
      </c>
      <c r="BO535" s="136" t="str">
        <f t="shared" si="308"/>
        <v>CDI</v>
      </c>
      <c r="BP535" s="136">
        <f>(COUNTIFS(AX522:AX569,BM535,AY522:AY569,BO535)+COUNTIFS(AZ522:AZ569,BM535,BA522:BA569,BO535)+COUNTIFS(BB522:BB569,BM535,BC522:BC569,BO535)+COUNTIFS(BD522:BD569,BM535,BE522:BE569,BO535)+COUNTIFS(BF522:BF569,BM535,BG522:BG569,BO535)+COUNTIFS(BH522:BH569,BM535,BI522:BI569,BO535)+COUNTIFS(BJ522:BJ569,BM535,BK522:BK569,BO535))*0.5</f>
        <v>0</v>
      </c>
      <c r="BQ535" s="136" t="str">
        <f t="shared" si="309"/>
        <v>Estudo Autónomo</v>
      </c>
      <c r="BR535" s="136" t="str">
        <f t="shared" si="309"/>
        <v>CDI</v>
      </c>
      <c r="BS535" s="136" t="str">
        <f t="shared" si="310"/>
        <v>Estudo Autónomo</v>
      </c>
      <c r="BT535" s="136">
        <f t="shared" si="316"/>
        <v>9.5</v>
      </c>
      <c r="BU535" s="136">
        <f t="shared" si="317"/>
        <v>7.5</v>
      </c>
      <c r="CA535" s="136">
        <f>'INFO BASE'!L615</f>
        <v>0</v>
      </c>
      <c r="CB535" s="136">
        <f>'INFO BASE'!M615</f>
        <v>0</v>
      </c>
      <c r="CD535" s="136" t="str">
        <f>IF('INFO BASE'!E549="","",'INFO BASE'!E549)</f>
        <v/>
      </c>
      <c r="CR535" s="177">
        <f t="shared" si="298"/>
        <v>1</v>
      </c>
      <c r="CS535" s="177">
        <f t="shared" si="299"/>
        <v>1</v>
      </c>
      <c r="CT535" s="177">
        <f t="shared" si="298"/>
        <v>1</v>
      </c>
      <c r="CU535" s="177">
        <f t="shared" si="300"/>
        <v>1</v>
      </c>
      <c r="CV535" s="177">
        <f t="shared" si="298"/>
        <v>1</v>
      </c>
      <c r="CW535" s="177">
        <f t="shared" si="301"/>
        <v>1</v>
      </c>
      <c r="CX535" s="177">
        <f t="shared" si="298"/>
        <v>1</v>
      </c>
      <c r="CY535" s="177">
        <f t="shared" si="302"/>
        <v>1</v>
      </c>
      <c r="CZ535" s="177">
        <f t="shared" si="298"/>
        <v>1</v>
      </c>
      <c r="DA535" s="177">
        <f t="shared" si="303"/>
        <v>1</v>
      </c>
      <c r="DB535" s="177">
        <f t="shared" si="298"/>
        <v>1</v>
      </c>
      <c r="DC535" s="177">
        <f t="shared" si="304"/>
        <v>1</v>
      </c>
      <c r="DD535" s="177">
        <f t="shared" si="305"/>
        <v>1</v>
      </c>
      <c r="DE535" s="177">
        <f t="shared" si="306"/>
        <v>1</v>
      </c>
    </row>
    <row r="536" spans="1:109" ht="18" customHeight="1" x14ac:dyDescent="0.3">
      <c r="A536" s="81">
        <v>0.29166666666667601</v>
      </c>
      <c r="B536" s="153"/>
      <c r="C536" s="130"/>
      <c r="D536" s="135"/>
      <c r="E536" s="130"/>
      <c r="F536" s="135"/>
      <c r="G536" s="130"/>
      <c r="H536" s="135"/>
      <c r="I536" s="130"/>
      <c r="J536" s="135"/>
      <c r="K536" s="130"/>
      <c r="L536" s="135"/>
      <c r="M536" s="130"/>
      <c r="N536" s="135"/>
      <c r="O536" s="154"/>
      <c r="P536" s="6">
        <v>0</v>
      </c>
      <c r="Q536" s="111" t="str">
        <f t="shared" si="314"/>
        <v>Estudo Autónomo</v>
      </c>
      <c r="R536" s="105" t="str">
        <f t="shared" si="315"/>
        <v>IAC</v>
      </c>
      <c r="S536" s="88">
        <f t="shared" si="312"/>
        <v>-1</v>
      </c>
      <c r="T536" s="89">
        <f>IF(VLOOKUP(Q536,'INFO BASE'!$B$40:$I$54,IF(R536='INFO BASE'!$B$32,3,IF(R536='INFO BASE'!$B$33,4,IF(R536='INFO BASE'!$B$34,5,IF(R536='INFO BASE'!$B$35,6,IF(R536='INFO BASE'!$B$36,7,IF(R536='INFO BASE'!$B$37,8,2)))))),0)=0,"",VLOOKUP(Q536,'INFO BASE'!$B$40:$I$54,IF(R536='INFO BASE'!$B$32,3,IF(R536='INFO BASE'!$B$33,4,IF(R536='INFO BASE'!$B$34,5,IF(R536='INFO BASE'!$B$35,6,IF(R536='INFO BASE'!$B$36,7,IF(R536='INFO BASE'!$B$37,8,2)))))),0))</f>
        <v>2</v>
      </c>
      <c r="U536" s="89">
        <f>(COUNTIFS(C522:C569,R536,B522:B569,R533)+COUNTIFS(E522:E569,R536,D522:D569,R533)+COUNTIFS(G522:G569,R536,F522:F569,R533)+COUNTIFS(I522:I569,R536,H522:H569,R533)+COUNTIFS(K522:K569,R536,J522:J569,R533)+COUNTIFS(M522:M569,R536,L522:L569,R533)+COUNTIFS(O522:O569,R536,N522:N569,R533))*0.5</f>
        <v>0</v>
      </c>
      <c r="V536" s="89">
        <f>(COUNTIFS(AI522:AI569,R533,AJ522:AJ569,R536)+COUNTIFS(AK522:AK569,R533,AL522:AL569,R536)+COUNTIFS(AM522:AM569,R533,AN522:AN569,R536)+COUNTIFS(AO522:AO569,R533,AP522:AP569,R536)+COUNTIFS(AQ522:AQ569,R533,AR522:AR569,R536)+COUNTIFS(AS522:AS569,R533,AT522:AT569,R536)+COUNTIFS(AU522:AU569,R533,AV522:AV569,R536))*0.5</f>
        <v>0</v>
      </c>
      <c r="W536" s="90" t="str">
        <f>IF(AH518="","-",IF(V536=0,U536,IFERROR((U536/V536)-1,"-")))</f>
        <v>-</v>
      </c>
      <c r="X536" s="200">
        <f t="shared" si="313"/>
        <v>0</v>
      </c>
      <c r="Y536" s="299"/>
      <c r="Z536" s="300"/>
      <c r="AA536" s="300"/>
      <c r="AB536" s="300"/>
      <c r="AC536" s="300"/>
      <c r="AD536" s="300"/>
      <c r="AE536" s="300"/>
      <c r="AF536" s="301"/>
      <c r="AH536" s="136">
        <v>0.29166666666667601</v>
      </c>
      <c r="AI536" s="136" t="str">
        <f>IF(AH518="","",IF(B536="","",B536))</f>
        <v/>
      </c>
      <c r="AJ536" s="136" t="str">
        <f>IF(AH518="","",IF(C536="","",C536))</f>
        <v/>
      </c>
      <c r="AK536" s="136" t="str">
        <f>IF(AH518="","",IF(D536="","",D536))</f>
        <v/>
      </c>
      <c r="AL536" s="136" t="str">
        <f>IF(AH518="","",IF(E536="","",E536))</f>
        <v/>
      </c>
      <c r="AM536" s="136" t="str">
        <f>IF(AH518="","",IF(F536="","",F536))</f>
        <v/>
      </c>
      <c r="AN536" s="136" t="str">
        <f>IF(AH518="","",IF(G536="","",G536))</f>
        <v/>
      </c>
      <c r="AO536" s="136" t="str">
        <f>IF(AH518="","",IF(H536="","",H536))</f>
        <v/>
      </c>
      <c r="AP536" s="136" t="str">
        <f>IF(AH518="","",IF(I536="","",I536))</f>
        <v/>
      </c>
      <c r="AQ536" s="136" t="str">
        <f>IF(AH518="","",IF(J536="","",J536))</f>
        <v/>
      </c>
      <c r="AR536" s="136" t="str">
        <f>IF(AH518="","",IF(K536="","",K536))</f>
        <v/>
      </c>
      <c r="AS536" s="136" t="str">
        <f>IF(AH518="","",IF(L536="","",L536))</f>
        <v/>
      </c>
      <c r="AT536" s="136" t="str">
        <f>IF(AH518="","",IF(M536="","",M536))</f>
        <v/>
      </c>
      <c r="AU536" s="136" t="str">
        <f>IF(AH518="","",IF(N536="","",N536))</f>
        <v/>
      </c>
      <c r="AV536" s="136" t="str">
        <f>IF(AH518="","",IF(O536="","",O536))</f>
        <v/>
      </c>
      <c r="AX536" s="136" t="str">
        <f>IF(AI518="","",IF(B536="","",B536))</f>
        <v/>
      </c>
      <c r="AY536" s="136" t="str">
        <f>IF(AI518="","",IF(C536="","",C536))</f>
        <v/>
      </c>
      <c r="AZ536" s="136" t="str">
        <f>IF(AI518="","",IF(D536="","",D536))</f>
        <v/>
      </c>
      <c r="BA536" s="136" t="str">
        <f>IF(AI518="","",IF(E536="","",E536))</f>
        <v/>
      </c>
      <c r="BB536" s="136" t="str">
        <f>IF(AI518="","",IF(F536="","",F536))</f>
        <v/>
      </c>
      <c r="BC536" s="136" t="str">
        <f>IF(AI518="","",IF(G536="","",G536))</f>
        <v/>
      </c>
      <c r="BD536" s="136" t="str">
        <f>IF(AI518="","",IF(H536="","",H536))</f>
        <v/>
      </c>
      <c r="BE536" s="136" t="str">
        <f>IF(AI518="","",IF(I536="","",I536))</f>
        <v/>
      </c>
      <c r="BF536" s="136" t="str">
        <f>IF(AI518="","",IF(J536="","",J536))</f>
        <v/>
      </c>
      <c r="BG536" s="136" t="str">
        <f>IF(AI518="","",IF(K536="","",K536))</f>
        <v/>
      </c>
      <c r="BH536" s="136" t="str">
        <f>IF(AI518="","",IF(L536="","",L536))</f>
        <v/>
      </c>
      <c r="BI536" s="136" t="str">
        <f>IF(AI518="","",IF(M536="","",M536))</f>
        <v/>
      </c>
      <c r="BJ536" s="136" t="str">
        <f>IF(AI518="","",IF(N536="","",N536))</f>
        <v/>
      </c>
      <c r="BK536" s="136" t="str">
        <f>IF(AI518="","",IF(O536="","",O536))</f>
        <v/>
      </c>
      <c r="BM536" s="136" t="str">
        <f t="shared" si="311"/>
        <v>EA</v>
      </c>
      <c r="BN536" s="136" t="str">
        <f t="shared" si="308"/>
        <v>Estudo Autónomo</v>
      </c>
      <c r="BO536" s="136" t="str">
        <f t="shared" si="308"/>
        <v/>
      </c>
      <c r="BP536" s="136">
        <f>(COUNTIFS(AX522:AX569,BM536,AY522:AY569,BO536)+COUNTIFS(AZ522:AZ569,BM536,BA522:BA569,BO536)+COUNTIFS(BB522:BB569,BM536,BC522:BC569,BO536)+COUNTIFS(BD522:BD569,BM536,BE522:BE569,BO536)+COUNTIFS(BF522:BF569,BM536,BG522:BG569,BO536)+COUNTIFS(BH522:BH569,BM536,BI522:BI569,BO536)+COUNTIFS(BJ522:BJ569,BM536,BK522:BK569,BO536))*0.5</f>
        <v>0</v>
      </c>
      <c r="BQ536" s="136" t="str">
        <f t="shared" si="309"/>
        <v>Estudo Autónomo</v>
      </c>
      <c r="BR536" s="136" t="str">
        <f t="shared" si="309"/>
        <v/>
      </c>
      <c r="BS536" s="136" t="str">
        <f t="shared" si="310"/>
        <v>Estudo Autónomo</v>
      </c>
      <c r="BT536" s="136">
        <f t="shared" si="316"/>
        <v>0</v>
      </c>
      <c r="BU536" s="136">
        <f t="shared" si="317"/>
        <v>0</v>
      </c>
      <c r="CA536" s="136">
        <f>'INFO BASE'!L616</f>
        <v>0</v>
      </c>
      <c r="CB536" s="136">
        <f>'INFO BASE'!M616</f>
        <v>0</v>
      </c>
      <c r="CD536" s="136" t="str">
        <f>IF('INFO BASE'!E550="","",'INFO BASE'!E550)</f>
        <v/>
      </c>
      <c r="CR536" s="177">
        <f t="shared" si="298"/>
        <v>1</v>
      </c>
      <c r="CS536" s="177">
        <f t="shared" si="299"/>
        <v>1</v>
      </c>
      <c r="CT536" s="177">
        <f t="shared" si="298"/>
        <v>1</v>
      </c>
      <c r="CU536" s="177">
        <f t="shared" si="300"/>
        <v>1</v>
      </c>
      <c r="CV536" s="177">
        <f t="shared" si="298"/>
        <v>1</v>
      </c>
      <c r="CW536" s="177">
        <f t="shared" si="301"/>
        <v>1</v>
      </c>
      <c r="CX536" s="177">
        <f t="shared" si="298"/>
        <v>1</v>
      </c>
      <c r="CY536" s="177">
        <f t="shared" si="302"/>
        <v>1</v>
      </c>
      <c r="CZ536" s="177">
        <f t="shared" si="298"/>
        <v>1</v>
      </c>
      <c r="DA536" s="177">
        <f t="shared" si="303"/>
        <v>1</v>
      </c>
      <c r="DB536" s="177">
        <f t="shared" si="298"/>
        <v>1</v>
      </c>
      <c r="DC536" s="177">
        <f t="shared" si="304"/>
        <v>1</v>
      </c>
      <c r="DD536" s="177">
        <f t="shared" si="305"/>
        <v>1</v>
      </c>
      <c r="DE536" s="177">
        <f t="shared" si="306"/>
        <v>1</v>
      </c>
    </row>
    <row r="537" spans="1:109" ht="18" customHeight="1" x14ac:dyDescent="0.3">
      <c r="A537" s="81">
        <v>0.31250000000000999</v>
      </c>
      <c r="B537" s="153"/>
      <c r="C537" s="130"/>
      <c r="D537" s="135"/>
      <c r="E537" s="130"/>
      <c r="F537" s="135"/>
      <c r="G537" s="130"/>
      <c r="H537" s="135"/>
      <c r="I537" s="130"/>
      <c r="J537" s="135"/>
      <c r="K537" s="130"/>
      <c r="L537" s="135"/>
      <c r="M537" s="130"/>
      <c r="N537" s="135"/>
      <c r="O537" s="154"/>
      <c r="P537" s="6">
        <v>0</v>
      </c>
      <c r="Q537" s="110" t="str">
        <f t="shared" si="314"/>
        <v>Estudo Autónomo</v>
      </c>
      <c r="R537" s="105" t="str">
        <f t="shared" si="315"/>
        <v>AL</v>
      </c>
      <c r="S537" s="88">
        <f t="shared" si="312"/>
        <v>-1</v>
      </c>
      <c r="T537" s="89">
        <f>IF(VLOOKUP(Q537,'INFO BASE'!$B$40:$I$54,IF(R537='INFO BASE'!$B$32,3,IF(R537='INFO BASE'!$B$33,4,IF(R537='INFO BASE'!$B$34,5,IF(R537='INFO BASE'!$B$35,6,IF(R537='INFO BASE'!$B$36,7,IF(R537='INFO BASE'!$B$37,8,2)))))),0)=0,"",VLOOKUP(Q537,'INFO BASE'!$B$40:$I$54,IF(R537='INFO BASE'!$B$32,3,IF(R537='INFO BASE'!$B$33,4,IF(R537='INFO BASE'!$B$34,5,IF(R537='INFO BASE'!$B$35,6,IF(R537='INFO BASE'!$B$36,7,IF(R537='INFO BASE'!$B$37,8,2)))))),0))</f>
        <v>5</v>
      </c>
      <c r="U537" s="89">
        <f>(COUNTIFS(C522:C569,R537,B522:B569,R533)+COUNTIFS(E522:E569,R537,D522:D569,R533)+COUNTIFS(G522:G569,R537,F522:F569,R533)+COUNTIFS(I522:I569,R537,H522:H569,R533)+COUNTIFS(K522:K569,R537,J522:J569,R533)+COUNTIFS(M522:M569,R537,L522:L569,R533)+COUNTIFS(O522:O569,R537,N522:N569,R533))*0.5</f>
        <v>0</v>
      </c>
      <c r="V537" s="89">
        <f>(COUNTIFS(AI522:AI569,R533,AJ522:AJ569,R537)+COUNTIFS(AK522:AK569,R533,AL522:AL569,R537)+COUNTIFS(AM522:AM569,R533,AN522:AN569,R537)+COUNTIFS(AO522:AO569,R533,AP522:AP569,R537)+COUNTIFS(AQ522:AQ569,R533,AR522:AR569,R537)+COUNTIFS(AS522:AS569,R533,AT522:AT569,R537)+COUNTIFS(AU522:AU569,R533,AV522:AV569,R537))*0.5</f>
        <v>0</v>
      </c>
      <c r="W537" s="90" t="str">
        <f>IF(AH518="","-",IF(V537=0,U537,IFERROR((U537/V537)-1,"-")))</f>
        <v>-</v>
      </c>
      <c r="X537" s="200">
        <f t="shared" si="313"/>
        <v>0</v>
      </c>
      <c r="Y537" s="299"/>
      <c r="Z537" s="300"/>
      <c r="AA537" s="300"/>
      <c r="AB537" s="300"/>
      <c r="AC537" s="300"/>
      <c r="AD537" s="300"/>
      <c r="AE537" s="300"/>
      <c r="AF537" s="301"/>
      <c r="AH537" s="136">
        <v>0.31250000000000999</v>
      </c>
      <c r="AI537" s="136" t="str">
        <f>IF(AH518="","",IF(B537="","",B537))</f>
        <v/>
      </c>
      <c r="AJ537" s="136" t="str">
        <f>IF(AH518="","",IF(C537="","",C537))</f>
        <v/>
      </c>
      <c r="AK537" s="136" t="str">
        <f>IF(AH518="","",IF(D537="","",D537))</f>
        <v/>
      </c>
      <c r="AL537" s="136" t="str">
        <f>IF(AH518="","",IF(E537="","",E537))</f>
        <v/>
      </c>
      <c r="AM537" s="136" t="str">
        <f>IF(AH518="","",IF(F537="","",F537))</f>
        <v/>
      </c>
      <c r="AN537" s="136" t="str">
        <f>IF(AH518="","",IF(G537="","",G537))</f>
        <v/>
      </c>
      <c r="AO537" s="136" t="str">
        <f>IF(AH518="","",IF(H537="","",H537))</f>
        <v/>
      </c>
      <c r="AP537" s="136" t="str">
        <f>IF(AH518="","",IF(I537="","",I537))</f>
        <v/>
      </c>
      <c r="AQ537" s="136" t="str">
        <f>IF(AH518="","",IF(J537="","",J537))</f>
        <v/>
      </c>
      <c r="AR537" s="136" t="str">
        <f>IF(AH518="","",IF(K537="","",K537))</f>
        <v/>
      </c>
      <c r="AS537" s="136" t="str">
        <f>IF(AH518="","",IF(L537="","",L537))</f>
        <v/>
      </c>
      <c r="AT537" s="136" t="str">
        <f>IF(AH518="","",IF(M537="","",M537))</f>
        <v/>
      </c>
      <c r="AU537" s="136" t="str">
        <f>IF(AH518="","",IF(N537="","",N537))</f>
        <v/>
      </c>
      <c r="AV537" s="136" t="str">
        <f>IF(AH518="","",IF(O537="","",O537))</f>
        <v/>
      </c>
      <c r="AX537" s="136" t="str">
        <f>IF(AI518="","",IF(B537="","",B537))</f>
        <v/>
      </c>
      <c r="AY537" s="136" t="str">
        <f>IF(AI518="","",IF(C537="","",C537))</f>
        <v/>
      </c>
      <c r="AZ537" s="136" t="str">
        <f>IF(AI518="","",IF(D537="","",D537))</f>
        <v/>
      </c>
      <c r="BA537" s="136" t="str">
        <f>IF(AI518="","",IF(E537="","",E537))</f>
        <v/>
      </c>
      <c r="BB537" s="136" t="str">
        <f>IF(AI518="","",IF(F537="","",F537))</f>
        <v/>
      </c>
      <c r="BC537" s="136" t="str">
        <f>IF(AI518="","",IF(G537="","",G537))</f>
        <v/>
      </c>
      <c r="BD537" s="136" t="str">
        <f>IF(AI518="","",IF(H537="","",H537))</f>
        <v/>
      </c>
      <c r="BE537" s="136" t="str">
        <f>IF(AI518="","",IF(I537="","",I537))</f>
        <v/>
      </c>
      <c r="BF537" s="136" t="str">
        <f>IF(AI518="","",IF(J537="","",J537))</f>
        <v/>
      </c>
      <c r="BG537" s="136" t="str">
        <f>IF(AI518="","",IF(K537="","",K537))</f>
        <v/>
      </c>
      <c r="BH537" s="136" t="str">
        <f>IF(AI518="","",IF(L537="","",L537))</f>
        <v/>
      </c>
      <c r="BI537" s="136" t="str">
        <f>IF(AI518="","",IF(M537="","",M537))</f>
        <v/>
      </c>
      <c r="BJ537" s="136" t="str">
        <f>IF(AI518="","",IF(N537="","",N537))</f>
        <v/>
      </c>
      <c r="BK537" s="136" t="str">
        <f>IF(AI518="","",IF(O537="","",O537))</f>
        <v/>
      </c>
      <c r="BM537" s="136" t="str">
        <f>BO537</f>
        <v>EG</v>
      </c>
      <c r="BN537" s="136" t="str">
        <f t="shared" si="308"/>
        <v>Estudo em Grupo</v>
      </c>
      <c r="BO537" s="136" t="str">
        <f t="shared" si="308"/>
        <v>EG</v>
      </c>
      <c r="BP537" s="136">
        <f>COUNTIFS(AX522:BK569,BO537)*0.5</f>
        <v>0</v>
      </c>
      <c r="BQ537" s="136" t="str">
        <f t="shared" si="309"/>
        <v>Estudo em Grupo</v>
      </c>
      <c r="BR537" s="136" t="str">
        <f t="shared" si="309"/>
        <v>EG</v>
      </c>
      <c r="BS537" s="136" t="str">
        <f t="shared" si="310"/>
        <v>Estudo em Grupo</v>
      </c>
      <c r="BT537" s="136">
        <f t="shared" si="316"/>
        <v>46.5</v>
      </c>
      <c r="BU537" s="136">
        <f t="shared" si="317"/>
        <v>55.5</v>
      </c>
      <c r="CA537" s="136">
        <f>'INFO BASE'!L617</f>
        <v>0</v>
      </c>
      <c r="CB537" s="136">
        <f>'INFO BASE'!M617</f>
        <v>0</v>
      </c>
      <c r="CD537" s="136" t="str">
        <f>IF('INFO BASE'!E551="","",'INFO BASE'!E551)</f>
        <v/>
      </c>
      <c r="CR537" s="177">
        <f t="shared" si="298"/>
        <v>1</v>
      </c>
      <c r="CS537" s="177">
        <f t="shared" si="299"/>
        <v>1</v>
      </c>
      <c r="CT537" s="177">
        <f t="shared" si="298"/>
        <v>1</v>
      </c>
      <c r="CU537" s="177">
        <f t="shared" si="300"/>
        <v>1</v>
      </c>
      <c r="CV537" s="177">
        <f t="shared" si="298"/>
        <v>1</v>
      </c>
      <c r="CW537" s="177">
        <f t="shared" si="301"/>
        <v>1</v>
      </c>
      <c r="CX537" s="177">
        <f t="shared" si="298"/>
        <v>1</v>
      </c>
      <c r="CY537" s="177">
        <f t="shared" si="302"/>
        <v>1</v>
      </c>
      <c r="CZ537" s="177">
        <f t="shared" si="298"/>
        <v>1</v>
      </c>
      <c r="DA537" s="177">
        <f t="shared" si="303"/>
        <v>1</v>
      </c>
      <c r="DB537" s="177">
        <f t="shared" si="298"/>
        <v>1</v>
      </c>
      <c r="DC537" s="177">
        <f t="shared" si="304"/>
        <v>1</v>
      </c>
      <c r="DD537" s="177">
        <f t="shared" si="305"/>
        <v>1</v>
      </c>
      <c r="DE537" s="177">
        <f t="shared" si="306"/>
        <v>1</v>
      </c>
    </row>
    <row r="538" spans="1:109" ht="18" customHeight="1" x14ac:dyDescent="0.3">
      <c r="A538" s="81">
        <v>0.33333333333334397</v>
      </c>
      <c r="B538" s="153"/>
      <c r="C538" s="130"/>
      <c r="D538" s="135"/>
      <c r="E538" s="130"/>
      <c r="F538" s="135"/>
      <c r="G538" s="130"/>
      <c r="H538" s="135"/>
      <c r="I538" s="130"/>
      <c r="J538" s="135"/>
      <c r="K538" s="130"/>
      <c r="L538" s="135"/>
      <c r="M538" s="130"/>
      <c r="N538" s="135"/>
      <c r="O538" s="154"/>
      <c r="P538" s="6">
        <v>0</v>
      </c>
      <c r="Q538" s="110" t="str">
        <f t="shared" si="314"/>
        <v>Estudo Autónomo</v>
      </c>
      <c r="R538" s="105" t="str">
        <f t="shared" si="315"/>
        <v>CDI</v>
      </c>
      <c r="S538" s="88">
        <f t="shared" si="312"/>
        <v>-1</v>
      </c>
      <c r="T538" s="89">
        <f>IF(VLOOKUP(Q538,'INFO BASE'!$B$40:$I$54,IF(R538='INFO BASE'!$B$32,3,IF(R538='INFO BASE'!$B$33,4,IF(R538='INFO BASE'!$B$34,5,IF(R538='INFO BASE'!$B$35,6,IF(R538='INFO BASE'!$B$36,7,IF(R538='INFO BASE'!$B$37,8,2)))))),0)=0,"",VLOOKUP(Q538,'INFO BASE'!$B$40:$I$54,IF(R538='INFO BASE'!$B$32,3,IF(R538='INFO BASE'!$B$33,4,IF(R538='INFO BASE'!$B$34,5,IF(R538='INFO BASE'!$B$35,6,IF(R538='INFO BASE'!$B$36,7,IF(R538='INFO BASE'!$B$37,8,2)))))),0))</f>
        <v>5</v>
      </c>
      <c r="U538" s="89">
        <f>(COUNTIFS(C522:C569,R538,B522:B569,R533)+COUNTIFS(E522:E569,R538,D522:D569,R533)+COUNTIFS(G522:G569,R538,F522:F569,R533)+COUNTIFS(I522:I569,R538,H522:H569,R533)+COUNTIFS(K522:K569,R538,J522:J569,R533)+COUNTIFS(M522:M569,R538,L522:L569,R533)+COUNTIFS(O522:O569,R538,N522:N569,R533))*0.5</f>
        <v>0</v>
      </c>
      <c r="V538" s="89">
        <f>(COUNTIFS(AI522:AI569,R533,AJ522:AJ569,R538)+COUNTIFS(AK522:AK569,R533,AL522:AL569,R538)+COUNTIFS(AM522:AM569,R533,AN522:AN569,R538)+COUNTIFS(AO522:AO569,R533,AP522:AP569,R538)+COUNTIFS(AQ522:AQ569,R533,AR522:AR569,R538)+COUNTIFS(AS522:AS569,R533,AT522:AT569,R538)+COUNTIFS(AU522:AU569,R533,AV522:AV569,R538))*0.5</f>
        <v>0</v>
      </c>
      <c r="W538" s="90" t="str">
        <f>IF(AH518="","-",IF(V538=0,U538,IFERROR((U538/V538)-1,"-")))</f>
        <v>-</v>
      </c>
      <c r="X538" s="200">
        <f t="shared" si="313"/>
        <v>0</v>
      </c>
      <c r="Y538" s="299"/>
      <c r="Z538" s="300"/>
      <c r="AA538" s="300"/>
      <c r="AB538" s="300"/>
      <c r="AC538" s="300"/>
      <c r="AD538" s="300"/>
      <c r="AE538" s="300"/>
      <c r="AF538" s="301"/>
      <c r="AH538" s="136">
        <v>0.33333333333334397</v>
      </c>
      <c r="AI538" s="136" t="str">
        <f>IF(AH518="","",IF(B538="","",B538))</f>
        <v/>
      </c>
      <c r="AJ538" s="136" t="str">
        <f>IF(AH518="","",IF(C538="","",C538))</f>
        <v/>
      </c>
      <c r="AK538" s="136" t="str">
        <f>IF(AH518="","",IF(D538="","",D538))</f>
        <v/>
      </c>
      <c r="AL538" s="136" t="str">
        <f>IF(AH518="","",IF(E538="","",E538))</f>
        <v/>
      </c>
      <c r="AM538" s="136" t="str">
        <f>IF(AH518="","",IF(F538="","",F538))</f>
        <v/>
      </c>
      <c r="AN538" s="136" t="str">
        <f>IF(AH518="","",IF(G538="","",G538))</f>
        <v/>
      </c>
      <c r="AO538" s="136" t="str">
        <f>IF(AH518="","",IF(H538="","",H538))</f>
        <v/>
      </c>
      <c r="AP538" s="136" t="str">
        <f>IF(AH518="","",IF(I538="","",I538))</f>
        <v/>
      </c>
      <c r="AQ538" s="136" t="str">
        <f>IF(AH518="","",IF(J538="","",J538))</f>
        <v/>
      </c>
      <c r="AR538" s="136" t="str">
        <f>IF(AH518="","",IF(K538="","",K538))</f>
        <v/>
      </c>
      <c r="AS538" s="136" t="str">
        <f>IF(AH518="","",IF(L538="","",L538))</f>
        <v/>
      </c>
      <c r="AT538" s="136" t="str">
        <f>IF(AH518="","",IF(M538="","",M538))</f>
        <v/>
      </c>
      <c r="AU538" s="136" t="str">
        <f>IF(AH518="","",IF(N538="","",N538))</f>
        <v/>
      </c>
      <c r="AV538" s="136" t="str">
        <f>IF(AH518="","",IF(O538="","",O538))</f>
        <v/>
      </c>
      <c r="AX538" s="136" t="str">
        <f>IF(AI518="","",IF(B538="","",B538))</f>
        <v/>
      </c>
      <c r="AY538" s="136" t="str">
        <f>IF(AI518="","",IF(C538="","",C538))</f>
        <v/>
      </c>
      <c r="AZ538" s="136" t="str">
        <f>IF(AI518="","",IF(D538="","",D538))</f>
        <v/>
      </c>
      <c r="BA538" s="136" t="str">
        <f>IF(AI518="","",IF(E538="","",E538))</f>
        <v/>
      </c>
      <c r="BB538" s="136" t="str">
        <f>IF(AI518="","",IF(F538="","",F538))</f>
        <v/>
      </c>
      <c r="BC538" s="136" t="str">
        <f>IF(AI518="","",IF(G538="","",G538))</f>
        <v/>
      </c>
      <c r="BD538" s="136" t="str">
        <f>IF(AI518="","",IF(H538="","",H538))</f>
        <v/>
      </c>
      <c r="BE538" s="136" t="str">
        <f>IF(AI518="","",IF(I538="","",I538))</f>
        <v/>
      </c>
      <c r="BF538" s="136" t="str">
        <f>IF(AI518="","",IF(J538="","",J538))</f>
        <v/>
      </c>
      <c r="BG538" s="136" t="str">
        <f>IF(AI518="","",IF(K538="","",K538))</f>
        <v/>
      </c>
      <c r="BH538" s="136" t="str">
        <f>IF(AI518="","",IF(L538="","",L538))</f>
        <v/>
      </c>
      <c r="BI538" s="136" t="str">
        <f>IF(AI518="","",IF(M538="","",M538))</f>
        <v/>
      </c>
      <c r="BJ538" s="136" t="str">
        <f>IF(AI518="","",IF(N538="","",N538))</f>
        <v/>
      </c>
      <c r="BK538" s="136" t="str">
        <f>IF(AI518="","",IF(O538="","",O538))</f>
        <v/>
      </c>
      <c r="BM538" s="136" t="str">
        <f>BM537</f>
        <v>EG</v>
      </c>
      <c r="BN538" s="136" t="str">
        <f t="shared" si="308"/>
        <v>Estudo em Grupo</v>
      </c>
      <c r="BO538" s="136" t="str">
        <f t="shared" si="308"/>
        <v>FP</v>
      </c>
      <c r="BP538" s="136">
        <f>(COUNTIFS(AX522:AX569,BM538,AY522:AY569,BO538)+COUNTIFS(AZ522:AZ569,BM538,BA522:BA569,BO538)+COUNTIFS(BB522:BB569,BM538,BC522:BC569,BO538)+COUNTIFS(BD522:BD569,BM538,BE522:BE569,BO538)+COUNTIFS(BF522:BF569,BM538,BG522:BG569,BO538)+COUNTIFS(BH522:BH569,BM538,BI522:BI569,BO538)+COUNTIFS(BJ522:BJ569,BM538,BK522:BK569,BO538))*0.5</f>
        <v>0</v>
      </c>
      <c r="BQ538" s="136" t="str">
        <f t="shared" si="309"/>
        <v>Estudo em Grupo</v>
      </c>
      <c r="BR538" s="136" t="str">
        <f t="shared" si="309"/>
        <v>FP</v>
      </c>
      <c r="BS538" s="136" t="str">
        <f t="shared" si="310"/>
        <v>Estudo em Grupo</v>
      </c>
      <c r="BT538" s="136">
        <f t="shared" si="316"/>
        <v>11</v>
      </c>
      <c r="BU538" s="136">
        <f t="shared" si="317"/>
        <v>12</v>
      </c>
      <c r="CA538" s="136">
        <f>'INFO BASE'!L618</f>
        <v>0</v>
      </c>
      <c r="CB538" s="136">
        <f>'INFO BASE'!M618</f>
        <v>0</v>
      </c>
      <c r="CD538" s="136" t="str">
        <f>IF('INFO BASE'!F552="","",'INFO BASE'!F552)</f>
        <v/>
      </c>
      <c r="CR538" s="177">
        <f t="shared" si="298"/>
        <v>1</v>
      </c>
      <c r="CS538" s="177">
        <f t="shared" si="299"/>
        <v>1</v>
      </c>
      <c r="CT538" s="177">
        <f t="shared" si="298"/>
        <v>1</v>
      </c>
      <c r="CU538" s="177">
        <f t="shared" si="300"/>
        <v>1</v>
      </c>
      <c r="CV538" s="177">
        <f t="shared" si="298"/>
        <v>1</v>
      </c>
      <c r="CW538" s="177">
        <f t="shared" si="301"/>
        <v>1</v>
      </c>
      <c r="CX538" s="177">
        <f t="shared" si="298"/>
        <v>1</v>
      </c>
      <c r="CY538" s="177">
        <f t="shared" si="302"/>
        <v>1</v>
      </c>
      <c r="CZ538" s="177">
        <f t="shared" si="298"/>
        <v>1</v>
      </c>
      <c r="DA538" s="177">
        <f t="shared" si="303"/>
        <v>1</v>
      </c>
      <c r="DB538" s="177">
        <f t="shared" si="298"/>
        <v>1</v>
      </c>
      <c r="DC538" s="177">
        <f t="shared" si="304"/>
        <v>1</v>
      </c>
      <c r="DD538" s="177">
        <f t="shared" si="305"/>
        <v>1</v>
      </c>
      <c r="DE538" s="177">
        <f t="shared" si="306"/>
        <v>1</v>
      </c>
    </row>
    <row r="539" spans="1:109" ht="18" customHeight="1" thickBot="1" x14ac:dyDescent="0.35">
      <c r="A539" s="81">
        <v>0.35416666666667801</v>
      </c>
      <c r="B539" s="153"/>
      <c r="C539" s="130"/>
      <c r="D539" s="135"/>
      <c r="E539" s="130"/>
      <c r="F539" s="135"/>
      <c r="G539" s="130"/>
      <c r="H539" s="135"/>
      <c r="I539" s="130"/>
      <c r="J539" s="135"/>
      <c r="K539" s="130"/>
      <c r="L539" s="135"/>
      <c r="M539" s="130"/>
      <c r="N539" s="135"/>
      <c r="O539" s="154"/>
      <c r="P539" s="6">
        <v>0</v>
      </c>
      <c r="Q539" s="112" t="str">
        <f t="shared" si="314"/>
        <v>Estudo Autónomo</v>
      </c>
      <c r="R539" s="107" t="str">
        <f t="shared" si="315"/>
        <v/>
      </c>
      <c r="S539" s="94" t="str">
        <f t="shared" si="312"/>
        <v>-</v>
      </c>
      <c r="T539" s="95" t="str">
        <f>IF(VLOOKUP(Q539,'INFO BASE'!$B$40:$I$54,IF(R539='INFO BASE'!$B$32,3,IF(R539='INFO BASE'!$B$33,4,IF(R539='INFO BASE'!$B$34,5,IF(R539='INFO BASE'!$B$35,6,IF(R539='INFO BASE'!$B$36,7,IF(R539='INFO BASE'!$B$37,8,2)))))),0)=0,"",VLOOKUP(Q539,'INFO BASE'!$B$40:$I$54,IF(R539='INFO BASE'!$B$32,3,IF(R539='INFO BASE'!$B$33,4,IF(R539='INFO BASE'!$B$34,5,IF(R539='INFO BASE'!$B$35,6,IF(R539='INFO BASE'!$B$36,7,IF(R539='INFO BASE'!$B$37,8,2)))))),0))</f>
        <v/>
      </c>
      <c r="U539" s="95">
        <f>(COUNTIFS(C522:C569,R539,B522:B569,R533)+COUNTIFS(E522:E569,R539,D522:D569,R533)+COUNTIFS(G522:G569,R539,F522:F569,R533)+COUNTIFS(I522:I569,R539,H522:H569,R533)+COUNTIFS(K522:K569,R539,J522:J569,R533)+COUNTIFS(M522:M569,R539,L522:L569,R533)+COUNTIFS(O522:O569,R539,N522:N569,R533))*0.5</f>
        <v>0</v>
      </c>
      <c r="V539" s="95">
        <f>(COUNTIFS(AI522:AI569,R533,AJ522:AJ569,R539)+COUNTIFS(AK522:AK569,R533,AL522:AL569,R539)+COUNTIFS(AM522:AM569,R533,AN522:AN569,R539)+COUNTIFS(AO522:AO569,R533,AP522:AP569,R539)+COUNTIFS(AQ522:AQ569,R533,AR522:AR569,R539)+COUNTIFS(AS522:AS569,R533,AT522:AT569,R539)+COUNTIFS(AU522:AU569,R533,AV522:AV569,R539))*0.5</f>
        <v>0</v>
      </c>
      <c r="W539" s="96" t="str">
        <f>IF(AH518="","-",IF(V539=0,U539,IFERROR((U539/V539)-1,"-")))</f>
        <v>-</v>
      </c>
      <c r="X539" s="201">
        <f t="shared" si="313"/>
        <v>0</v>
      </c>
      <c r="Y539" s="274"/>
      <c r="Z539" s="275"/>
      <c r="AA539" s="275"/>
      <c r="AB539" s="275"/>
      <c r="AC539" s="275"/>
      <c r="AD539" s="275"/>
      <c r="AE539" s="275"/>
      <c r="AF539" s="276"/>
      <c r="AH539" s="136">
        <v>0.35416666666667801</v>
      </c>
      <c r="AI539" s="136" t="str">
        <f>IF(AH518="","",IF(B539="","",B539))</f>
        <v/>
      </c>
      <c r="AJ539" s="136" t="str">
        <f>IF(AH518="","",IF(C539="","",C539))</f>
        <v/>
      </c>
      <c r="AK539" s="136" t="str">
        <f>IF(AH518="","",IF(D539="","",D539))</f>
        <v/>
      </c>
      <c r="AL539" s="136" t="str">
        <f>IF(AH518="","",IF(E539="","",E539))</f>
        <v/>
      </c>
      <c r="AM539" s="136" t="str">
        <f>IF(AH518="","",IF(F539="","",F539))</f>
        <v/>
      </c>
      <c r="AN539" s="136" t="str">
        <f>IF(AH518="","",IF(G539="","",G539))</f>
        <v/>
      </c>
      <c r="AO539" s="136" t="str">
        <f>IF(AH518="","",IF(H539="","",H539))</f>
        <v/>
      </c>
      <c r="AP539" s="136" t="str">
        <f>IF(AH518="","",IF(I539="","",I539))</f>
        <v/>
      </c>
      <c r="AQ539" s="136" t="str">
        <f>IF(AH518="","",IF(J539="","",J539))</f>
        <v/>
      </c>
      <c r="AR539" s="136" t="str">
        <f>IF(AH518="","",IF(K539="","",K539))</f>
        <v/>
      </c>
      <c r="AS539" s="136" t="str">
        <f>IF(AH518="","",IF(L539="","",L539))</f>
        <v/>
      </c>
      <c r="AT539" s="136" t="str">
        <f>IF(AH518="","",IF(M539="","",M539))</f>
        <v/>
      </c>
      <c r="AU539" s="136" t="str">
        <f>IF(AH518="","",IF(N539="","",N539))</f>
        <v/>
      </c>
      <c r="AV539" s="136" t="str">
        <f>IF(AH518="","",IF(O539="","",O539))</f>
        <v/>
      </c>
      <c r="AX539" s="136" t="str">
        <f>IF(AI518="","",IF(B539="","",B539))</f>
        <v/>
      </c>
      <c r="AY539" s="136" t="str">
        <f>IF(AI518="","",IF(C539="","",C539))</f>
        <v/>
      </c>
      <c r="AZ539" s="136" t="str">
        <f>IF(AI518="","",IF(D539="","",D539))</f>
        <v/>
      </c>
      <c r="BA539" s="136" t="str">
        <f>IF(AI518="","",IF(E539="","",E539))</f>
        <v/>
      </c>
      <c r="BB539" s="136" t="str">
        <f>IF(AI518="","",IF(F539="","",F539))</f>
        <v/>
      </c>
      <c r="BC539" s="136" t="str">
        <f>IF(AI518="","",IF(G539="","",G539))</f>
        <v/>
      </c>
      <c r="BD539" s="136" t="str">
        <f>IF(AI518="","",IF(H539="","",H539))</f>
        <v/>
      </c>
      <c r="BE539" s="136" t="str">
        <f>IF(AI518="","",IF(I539="","",I539))</f>
        <v/>
      </c>
      <c r="BF539" s="136" t="str">
        <f>IF(AI518="","",IF(J539="","",J539))</f>
        <v/>
      </c>
      <c r="BG539" s="136" t="str">
        <f>IF(AI518="","",IF(K539="","",K539))</f>
        <v/>
      </c>
      <c r="BH539" s="136" t="str">
        <f>IF(AI518="","",IF(L539="","",L539))</f>
        <v/>
      </c>
      <c r="BI539" s="136" t="str">
        <f>IF(AI518="","",IF(M539="","",M539))</f>
        <v/>
      </c>
      <c r="BJ539" s="136" t="str">
        <f>IF(AI518="","",IF(N539="","",N539))</f>
        <v/>
      </c>
      <c r="BK539" s="136" t="str">
        <f>IF(AI518="","",IF(O539="","",O539))</f>
        <v/>
      </c>
      <c r="BM539" s="136" t="str">
        <f t="shared" ref="BM539:BM543" si="318">BM538</f>
        <v>EG</v>
      </c>
      <c r="BN539" s="136" t="str">
        <f t="shared" si="308"/>
        <v>Estudo em Grupo</v>
      </c>
      <c r="BO539" s="136" t="str">
        <f t="shared" si="308"/>
        <v>IEI</v>
      </c>
      <c r="BP539" s="136">
        <f>(COUNTIFS(AX522:AX569,BM539,AY522:AY569,BO539)+COUNTIFS(AZ522:AZ569,BM539,BA522:BA569,BO539)+COUNTIFS(BB522:BB569,BM539,BC522:BC569,BO539)+COUNTIFS(BD522:BD569,BM539,BE522:BE569,BO539)+COUNTIFS(BF522:BF569,BM539,BG522:BG569,BO539)+COUNTIFS(BH522:BH569,BM539,BI522:BI569,BO539)+COUNTIFS(BJ522:BJ569,BM539,BK522:BK569,BO539))*0.5</f>
        <v>0</v>
      </c>
      <c r="BQ539" s="136" t="str">
        <f t="shared" si="309"/>
        <v>Estudo em Grupo</v>
      </c>
      <c r="BR539" s="136" t="str">
        <f t="shared" si="309"/>
        <v>IEI</v>
      </c>
      <c r="BS539" s="136" t="str">
        <f t="shared" si="310"/>
        <v>Estudo em Grupo</v>
      </c>
      <c r="BT539" s="136">
        <f t="shared" si="316"/>
        <v>2.5</v>
      </c>
      <c r="BU539" s="136">
        <f t="shared" si="317"/>
        <v>7</v>
      </c>
      <c r="CA539" s="136">
        <f>'INFO BASE'!L619</f>
        <v>0</v>
      </c>
      <c r="CB539" s="136">
        <f>'INFO BASE'!M619</f>
        <v>0</v>
      </c>
      <c r="CR539" s="177">
        <f t="shared" si="298"/>
        <v>1</v>
      </c>
      <c r="CS539" s="177">
        <f t="shared" si="299"/>
        <v>1</v>
      </c>
      <c r="CT539" s="177">
        <f t="shared" si="298"/>
        <v>1</v>
      </c>
      <c r="CU539" s="177">
        <f t="shared" si="300"/>
        <v>1</v>
      </c>
      <c r="CV539" s="177">
        <f t="shared" si="298"/>
        <v>1</v>
      </c>
      <c r="CW539" s="177">
        <f t="shared" si="301"/>
        <v>1</v>
      </c>
      <c r="CX539" s="177">
        <f t="shared" si="298"/>
        <v>1</v>
      </c>
      <c r="CY539" s="177">
        <f t="shared" si="302"/>
        <v>1</v>
      </c>
      <c r="CZ539" s="177">
        <f t="shared" si="298"/>
        <v>1</v>
      </c>
      <c r="DA539" s="177">
        <f t="shared" si="303"/>
        <v>1</v>
      </c>
      <c r="DB539" s="177">
        <f t="shared" si="298"/>
        <v>1</v>
      </c>
      <c r="DC539" s="177">
        <f t="shared" si="304"/>
        <v>1</v>
      </c>
      <c r="DD539" s="177">
        <f t="shared" si="305"/>
        <v>1</v>
      </c>
      <c r="DE539" s="177">
        <f t="shared" si="306"/>
        <v>1</v>
      </c>
    </row>
    <row r="540" spans="1:109" ht="18" customHeight="1" x14ac:dyDescent="0.3">
      <c r="A540" s="81">
        <v>0.37500000000001199</v>
      </c>
      <c r="B540" s="153"/>
      <c r="C540" s="130"/>
      <c r="D540" s="135"/>
      <c r="E540" s="130"/>
      <c r="F540" s="135"/>
      <c r="G540" s="130"/>
      <c r="H540" s="135"/>
      <c r="I540" s="130"/>
      <c r="J540" s="135"/>
      <c r="K540" s="130"/>
      <c r="L540" s="135"/>
      <c r="M540" s="130"/>
      <c r="N540" s="135"/>
      <c r="O540" s="154"/>
      <c r="P540" s="6">
        <v>0</v>
      </c>
      <c r="Q540" s="113" t="str">
        <f>IF('INFO BASE'!$C$18="","",'INFO BASE'!$C$18)</f>
        <v>Estudo em Grupo</v>
      </c>
      <c r="R540" s="82" t="str">
        <f t="shared" si="315"/>
        <v>EG</v>
      </c>
      <c r="S540" s="83">
        <f t="shared" si="312"/>
        <v>-1</v>
      </c>
      <c r="T540" s="84">
        <f>IF(VLOOKUP(Q540,'INFO BASE'!$B$40:$I$54,IF(R540='INFO BASE'!$B$32,3,IF(R540='INFO BASE'!$B$33,4,IF(R540='INFO BASE'!$B$34,5,IF(R540='INFO BASE'!$B$35,6,IF(R540='INFO BASE'!$B$36,7,IF(R540='INFO BASE'!$B$37,8,2)))))),0)=0,"",VLOOKUP(Q540,'INFO BASE'!$B$40:$I$54,IF(R540='INFO BASE'!$B$32,3,IF(R540='INFO BASE'!$B$33,4,IF(R540='INFO BASE'!$B$34,5,IF(R540='INFO BASE'!$B$35,6,IF(R540='INFO BASE'!$B$36,7,IF(R540='INFO BASE'!$B$37,8,2)))))),0))</f>
        <v>8</v>
      </c>
      <c r="U540" s="84">
        <f>IF(R540="","",COUNTIFS(SEMANA10,R540)*0.5)</f>
        <v>0</v>
      </c>
      <c r="V540" s="84">
        <f>IF(R540="","",COUNTIFS(AI522:AV569,R540)*0.5)</f>
        <v>0</v>
      </c>
      <c r="W540" s="85" t="str">
        <f>IF(AH518="","-",IF(V540=0,U540,IFERROR((U540/V540)-1,"-")))</f>
        <v>-</v>
      </c>
      <c r="X540" s="201">
        <f t="shared" si="313"/>
        <v>0</v>
      </c>
      <c r="Y540" s="277"/>
      <c r="Z540" s="278"/>
      <c r="AA540" s="278"/>
      <c r="AB540" s="278"/>
      <c r="AC540" s="278"/>
      <c r="AD540" s="278"/>
      <c r="AE540" s="278"/>
      <c r="AF540" s="279"/>
      <c r="AH540" s="136">
        <v>0.37500000000001199</v>
      </c>
      <c r="AI540" s="136" t="str">
        <f>IF(AH518="","",IF(B540="","",B540))</f>
        <v/>
      </c>
      <c r="AJ540" s="136" t="str">
        <f>IF(AH518="","",IF(C540="","",C540))</f>
        <v/>
      </c>
      <c r="AK540" s="136" t="str">
        <f>IF(AH518="","",IF(D540="","",D540))</f>
        <v/>
      </c>
      <c r="AL540" s="136" t="str">
        <f>IF(AH518="","",IF(E540="","",E540))</f>
        <v/>
      </c>
      <c r="AM540" s="136" t="str">
        <f>IF(AH518="","",IF(F540="","",F540))</f>
        <v/>
      </c>
      <c r="AN540" s="136" t="str">
        <f>IF(AH518="","",IF(G540="","",G540))</f>
        <v/>
      </c>
      <c r="AO540" s="136" t="str">
        <f>IF(AH518="","",IF(H540="","",H540))</f>
        <v/>
      </c>
      <c r="AP540" s="136" t="str">
        <f>IF(AH518="","",IF(I540="","",I540))</f>
        <v/>
      </c>
      <c r="AQ540" s="136" t="str">
        <f>IF(AH518="","",IF(J540="","",J540))</f>
        <v/>
      </c>
      <c r="AR540" s="136" t="str">
        <f>IF(AH518="","",IF(K540="","",K540))</f>
        <v/>
      </c>
      <c r="AS540" s="136" t="str">
        <f>IF(AH518="","",IF(L540="","",L540))</f>
        <v/>
      </c>
      <c r="AT540" s="136" t="str">
        <f>IF(AH518="","",IF(M540="","",M540))</f>
        <v/>
      </c>
      <c r="AU540" s="136" t="str">
        <f>IF(AH518="","",IF(N540="","",N540))</f>
        <v/>
      </c>
      <c r="AV540" s="136" t="str">
        <f>IF(AH518="","",IF(O540="","",O540))</f>
        <v/>
      </c>
      <c r="AX540" s="136" t="str">
        <f>IF(AI518="","",IF(B540="","",B540))</f>
        <v/>
      </c>
      <c r="AY540" s="136" t="str">
        <f>IF(AI518="","",IF(C540="","",C540))</f>
        <v/>
      </c>
      <c r="AZ540" s="136" t="str">
        <f>IF(AI518="","",IF(D540="","",D540))</f>
        <v/>
      </c>
      <c r="BA540" s="136" t="str">
        <f>IF(AI518="","",IF(E540="","",E540))</f>
        <v/>
      </c>
      <c r="BB540" s="136" t="str">
        <f>IF(AI518="","",IF(F540="","",F540))</f>
        <v/>
      </c>
      <c r="BC540" s="136" t="str">
        <f>IF(AI518="","",IF(G540="","",G540))</f>
        <v/>
      </c>
      <c r="BD540" s="136" t="str">
        <f>IF(AI518="","",IF(H540="","",H540))</f>
        <v/>
      </c>
      <c r="BE540" s="136" t="str">
        <f>IF(AI518="","",IF(I540="","",I540))</f>
        <v/>
      </c>
      <c r="BF540" s="136" t="str">
        <f>IF(AI518="","",IF(J540="","",J540))</f>
        <v/>
      </c>
      <c r="BG540" s="136" t="str">
        <f>IF(AI518="","",IF(K540="","",K540))</f>
        <v/>
      </c>
      <c r="BH540" s="136" t="str">
        <f>IF(AI518="","",IF(L540="","",L540))</f>
        <v/>
      </c>
      <c r="BI540" s="136" t="str">
        <f>IF(AI518="","",IF(M540="","",M540))</f>
        <v/>
      </c>
      <c r="BJ540" s="136" t="str">
        <f>IF(AI518="","",IF(N540="","",N540))</f>
        <v/>
      </c>
      <c r="BK540" s="136" t="str">
        <f>IF(AI518="","",IF(O540="","",O540))</f>
        <v/>
      </c>
      <c r="BM540" s="136" t="str">
        <f t="shared" si="318"/>
        <v>EG</v>
      </c>
      <c r="BN540" s="136" t="str">
        <f t="shared" si="308"/>
        <v>Estudo em Grupo</v>
      </c>
      <c r="BO540" s="136" t="str">
        <f t="shared" si="308"/>
        <v>IAC</v>
      </c>
      <c r="BP540" s="136">
        <f>(COUNTIFS(AX522:AX569,BM540,AY522:AY569,BO540)+COUNTIFS(AZ522:AZ569,BM540,BA522:BA569,BO540)+COUNTIFS(BB522:BB569,BM540,BC522:BC569,BO540)+COUNTIFS(BD522:BD569,BM540,BE522:BE569,BO540)+COUNTIFS(BF522:BF569,BM540,BG522:BG569,BO540)+COUNTIFS(BH522:BH569,BM540,BI522:BI569,BO540)+COUNTIFS(BJ522:BJ569,BM540,BK522:BK569,BO540))*0.5</f>
        <v>0</v>
      </c>
      <c r="BQ540" s="136" t="str">
        <f t="shared" si="309"/>
        <v>Estudo em Grupo</v>
      </c>
      <c r="BR540" s="136" t="str">
        <f t="shared" si="309"/>
        <v>IAC</v>
      </c>
      <c r="BS540" s="136" t="str">
        <f t="shared" si="310"/>
        <v>Estudo em Grupo</v>
      </c>
      <c r="BT540" s="136">
        <f t="shared" si="316"/>
        <v>6</v>
      </c>
      <c r="BU540" s="136">
        <f t="shared" si="317"/>
        <v>10.5</v>
      </c>
      <c r="CA540" s="136">
        <f>'INFO BASE'!L620</f>
        <v>0</v>
      </c>
      <c r="CB540" s="136">
        <f>'INFO BASE'!M620</f>
        <v>0</v>
      </c>
      <c r="CR540" s="177">
        <f t="shared" si="298"/>
        <v>1</v>
      </c>
      <c r="CS540" s="177">
        <f t="shared" si="299"/>
        <v>1</v>
      </c>
      <c r="CT540" s="177">
        <f t="shared" si="298"/>
        <v>1</v>
      </c>
      <c r="CU540" s="177">
        <f t="shared" si="300"/>
        <v>1</v>
      </c>
      <c r="CV540" s="177">
        <f t="shared" si="298"/>
        <v>1</v>
      </c>
      <c r="CW540" s="177">
        <f t="shared" si="301"/>
        <v>1</v>
      </c>
      <c r="CX540" s="177">
        <f t="shared" si="298"/>
        <v>1</v>
      </c>
      <c r="CY540" s="177">
        <f t="shared" si="302"/>
        <v>1</v>
      </c>
      <c r="CZ540" s="177">
        <f t="shared" si="298"/>
        <v>1</v>
      </c>
      <c r="DA540" s="177">
        <f t="shared" si="303"/>
        <v>1</v>
      </c>
      <c r="DB540" s="177">
        <f t="shared" si="298"/>
        <v>1</v>
      </c>
      <c r="DC540" s="177">
        <f t="shared" si="304"/>
        <v>1</v>
      </c>
      <c r="DD540" s="177">
        <f t="shared" si="305"/>
        <v>1</v>
      </c>
      <c r="DE540" s="177">
        <f t="shared" si="306"/>
        <v>1</v>
      </c>
    </row>
    <row r="541" spans="1:109" ht="18" customHeight="1" x14ac:dyDescent="0.3">
      <c r="A541" s="81">
        <v>0.39583333333334603</v>
      </c>
      <c r="B541" s="153"/>
      <c r="C541" s="130"/>
      <c r="D541" s="135"/>
      <c r="E541" s="130"/>
      <c r="F541" s="135"/>
      <c r="G541" s="130"/>
      <c r="H541" s="135"/>
      <c r="I541" s="130"/>
      <c r="J541" s="135"/>
      <c r="K541" s="130"/>
      <c r="L541" s="135"/>
      <c r="M541" s="130"/>
      <c r="N541" s="135"/>
      <c r="O541" s="154"/>
      <c r="P541" s="6">
        <v>0</v>
      </c>
      <c r="Q541" s="114" t="str">
        <f t="shared" ref="Q541:Q546" si="319">Q540</f>
        <v>Estudo em Grupo</v>
      </c>
      <c r="R541" s="105" t="str">
        <f t="shared" si="315"/>
        <v>FP</v>
      </c>
      <c r="S541" s="88">
        <f t="shared" si="312"/>
        <v>-1</v>
      </c>
      <c r="T541" s="89">
        <f>IF(VLOOKUP(Q541,'INFO BASE'!$B$40:$I$54,IF(R541='INFO BASE'!$B$32,3,IF(R541='INFO BASE'!$B$33,4,IF(R541='INFO BASE'!$B$34,5,IF(R541='INFO BASE'!$B$35,6,IF(R541='INFO BASE'!$B$36,7,IF(R541='INFO BASE'!$B$37,8,2)))))),0)=0,"",VLOOKUP(Q541,'INFO BASE'!$B$40:$I$54,IF(R541='INFO BASE'!$B$32,3,IF(R541='INFO BASE'!$B$33,4,IF(R541='INFO BASE'!$B$34,5,IF(R541='INFO BASE'!$B$35,6,IF(R541='INFO BASE'!$B$36,7,IF(R541='INFO BASE'!$B$37,8,2)))))),0))</f>
        <v>2</v>
      </c>
      <c r="U541" s="89">
        <f>(COUNTIFS(C522:C569,R541,B522:B569,R540)+COUNTIFS(E522:E569,R541,D522:D569,R540)+COUNTIFS(G522:G569,R541,F522:F569,R540)+COUNTIFS(I522:I569,R541,H522:H569,R540)+COUNTIFS(K522:K569,R541,J522:J569,R540)+COUNTIFS(M522:M569,R541,L522:L569,R540)+COUNTIFS(O522:O569,R541,N522:N569,R540))*0.5</f>
        <v>0</v>
      </c>
      <c r="V541" s="89">
        <f>(COUNTIFS(AI522:AI569,R540,AJ522:AJ569,R534)+COUNTIFS(AK522:AK569,R540,AL522:AL569,R534)+COUNTIFS(AM522:AM569,R540,AN522:AN569,R534)+COUNTIFS(AO522:AO569,R540,AP522:AP569,R534)+COUNTIFS(AQ522:AQ569,R540,AR522:AR569,R534)+COUNTIFS(AS522:AS569,R540,AT522:AT569,R534)+COUNTIFS(AU522:AU569,R540,AV522:AV569,R534))*0.5</f>
        <v>0</v>
      </c>
      <c r="W541" s="90" t="str">
        <f>IF(AH518="","-",IF(V541=0,U541,IFERROR((U541/V541)-1,"-")))</f>
        <v>-</v>
      </c>
      <c r="X541" s="201">
        <f t="shared" si="313"/>
        <v>0</v>
      </c>
      <c r="Y541" s="271"/>
      <c r="Z541" s="272"/>
      <c r="AA541" s="272"/>
      <c r="AB541" s="272"/>
      <c r="AC541" s="272"/>
      <c r="AD541" s="272"/>
      <c r="AE541" s="272"/>
      <c r="AF541" s="273"/>
      <c r="AH541" s="136">
        <v>0.39583333333334603</v>
      </c>
      <c r="AI541" s="136" t="str">
        <f>IF(AH518="","",IF(B541="","",B541))</f>
        <v/>
      </c>
      <c r="AJ541" s="136" t="str">
        <f>IF(AH518="","",IF(C541="","",C541))</f>
        <v/>
      </c>
      <c r="AK541" s="136" t="str">
        <f>IF(AH518="","",IF(D541="","",D541))</f>
        <v/>
      </c>
      <c r="AL541" s="136" t="str">
        <f>IF(AH518="","",IF(E541="","",E541))</f>
        <v/>
      </c>
      <c r="AM541" s="136" t="str">
        <f>IF(AH518="","",IF(F541="","",F541))</f>
        <v/>
      </c>
      <c r="AN541" s="136" t="str">
        <f>IF(AH518="","",IF(G541="","",G541))</f>
        <v/>
      </c>
      <c r="AO541" s="136" t="str">
        <f>IF(AH518="","",IF(H541="","",H541))</f>
        <v/>
      </c>
      <c r="AP541" s="136" t="str">
        <f>IF(AH518="","",IF(I541="","",I541))</f>
        <v/>
      </c>
      <c r="AQ541" s="136" t="str">
        <f>IF(AH518="","",IF(J541="","",J541))</f>
        <v/>
      </c>
      <c r="AR541" s="136" t="str">
        <f>IF(AH518="","",IF(K541="","",K541))</f>
        <v/>
      </c>
      <c r="AS541" s="136" t="str">
        <f>IF(AH518="","",IF(L541="","",L541))</f>
        <v/>
      </c>
      <c r="AT541" s="136" t="str">
        <f>IF(AH518="","",IF(M541="","",M541))</f>
        <v/>
      </c>
      <c r="AU541" s="136" t="str">
        <f>IF(AH518="","",IF(N541="","",N541))</f>
        <v/>
      </c>
      <c r="AV541" s="136" t="str">
        <f>IF(AH518="","",IF(O541="","",O541))</f>
        <v/>
      </c>
      <c r="AX541" s="136" t="str">
        <f>IF(AI518="","",IF(B541="","",B541))</f>
        <v/>
      </c>
      <c r="AY541" s="136" t="str">
        <f>IF(AI518="","",IF(C541="","",C541))</f>
        <v/>
      </c>
      <c r="AZ541" s="136" t="str">
        <f>IF(AI518="","",IF(D541="","",D541))</f>
        <v/>
      </c>
      <c r="BA541" s="136" t="str">
        <f>IF(AI518="","",IF(E541="","",E541))</f>
        <v/>
      </c>
      <c r="BB541" s="136" t="str">
        <f>IF(AI518="","",IF(F541="","",F541))</f>
        <v/>
      </c>
      <c r="BC541" s="136" t="str">
        <f>IF(AI518="","",IF(G541="","",G541))</f>
        <v/>
      </c>
      <c r="BD541" s="136" t="str">
        <f>IF(AI518="","",IF(H541="","",H541))</f>
        <v/>
      </c>
      <c r="BE541" s="136" t="str">
        <f>IF(AI518="","",IF(I541="","",I541))</f>
        <v/>
      </c>
      <c r="BF541" s="136" t="str">
        <f>IF(AI518="","",IF(J541="","",J541))</f>
        <v/>
      </c>
      <c r="BG541" s="136" t="str">
        <f>IF(AI518="","",IF(K541="","",K541))</f>
        <v/>
      </c>
      <c r="BH541" s="136" t="str">
        <f>IF(AI518="","",IF(L541="","",L541))</f>
        <v/>
      </c>
      <c r="BI541" s="136" t="str">
        <f>IF(AI518="","",IF(M541="","",M541))</f>
        <v/>
      </c>
      <c r="BJ541" s="136" t="str">
        <f>IF(AI518="","",IF(N541="","",N541))</f>
        <v/>
      </c>
      <c r="BK541" s="136" t="str">
        <f>IF(AI518="","",IF(O541="","",O541))</f>
        <v/>
      </c>
      <c r="BM541" s="136" t="str">
        <f t="shared" si="318"/>
        <v>EG</v>
      </c>
      <c r="BN541" s="136" t="str">
        <f t="shared" si="308"/>
        <v>Estudo em Grupo</v>
      </c>
      <c r="BO541" s="136" t="str">
        <f t="shared" si="308"/>
        <v>AL</v>
      </c>
      <c r="BP541" s="136">
        <f>(COUNTIFS(AX522:AX569,BM541,AY522:AY569,BO541)+COUNTIFS(AZ522:AZ569,BM541,BA522:BA569,BO541)+COUNTIFS(BB522:BB569,BM541,BC522:BC569,BO541)+COUNTIFS(BD522:BD569,BM541,BE522:BE569,BO541)+COUNTIFS(BF522:BF569,BM541,BG522:BG569,BO541)+COUNTIFS(BH522:BH569,BM541,BI522:BI569,BO541)+COUNTIFS(BJ522:BJ569,BM541,BK522:BK569,BO541))*0.5</f>
        <v>0</v>
      </c>
      <c r="BQ541" s="136" t="str">
        <f t="shared" si="309"/>
        <v>Estudo em Grupo</v>
      </c>
      <c r="BR541" s="136" t="str">
        <f t="shared" si="309"/>
        <v>AL</v>
      </c>
      <c r="BS541" s="136" t="str">
        <f t="shared" si="310"/>
        <v>Estudo em Grupo</v>
      </c>
      <c r="BT541" s="136">
        <f t="shared" si="316"/>
        <v>16.5</v>
      </c>
      <c r="BU541" s="136">
        <f t="shared" si="317"/>
        <v>17.5</v>
      </c>
      <c r="CA541" s="136">
        <f>'INFO BASE'!L621</f>
        <v>0</v>
      </c>
      <c r="CB541" s="136">
        <f>'INFO BASE'!M621</f>
        <v>0</v>
      </c>
      <c r="CR541" s="177">
        <f t="shared" si="298"/>
        <v>1</v>
      </c>
      <c r="CS541" s="177">
        <f t="shared" si="299"/>
        <v>1</v>
      </c>
      <c r="CT541" s="177">
        <f t="shared" si="298"/>
        <v>1</v>
      </c>
      <c r="CU541" s="177">
        <f t="shared" si="300"/>
        <v>1</v>
      </c>
      <c r="CV541" s="177">
        <f t="shared" si="298"/>
        <v>1</v>
      </c>
      <c r="CW541" s="177">
        <f t="shared" si="301"/>
        <v>1</v>
      </c>
      <c r="CX541" s="177">
        <f t="shared" si="298"/>
        <v>1</v>
      </c>
      <c r="CY541" s="177">
        <f t="shared" si="302"/>
        <v>1</v>
      </c>
      <c r="CZ541" s="177">
        <f t="shared" si="298"/>
        <v>1</v>
      </c>
      <c r="DA541" s="177">
        <f t="shared" si="303"/>
        <v>1</v>
      </c>
      <c r="DB541" s="177">
        <f t="shared" si="298"/>
        <v>1</v>
      </c>
      <c r="DC541" s="177">
        <f t="shared" si="304"/>
        <v>1</v>
      </c>
      <c r="DD541" s="177">
        <f t="shared" si="305"/>
        <v>1</v>
      </c>
      <c r="DE541" s="177">
        <f t="shared" si="306"/>
        <v>1</v>
      </c>
    </row>
    <row r="542" spans="1:109" ht="18" customHeight="1" x14ac:dyDescent="0.3">
      <c r="A542" s="81">
        <v>0.41666666666668001</v>
      </c>
      <c r="B542" s="153"/>
      <c r="C542" s="130"/>
      <c r="D542" s="135"/>
      <c r="E542" s="130"/>
      <c r="F542" s="135"/>
      <c r="G542" s="130"/>
      <c r="H542" s="135"/>
      <c r="I542" s="130"/>
      <c r="J542" s="135"/>
      <c r="K542" s="130"/>
      <c r="L542" s="135"/>
      <c r="M542" s="130"/>
      <c r="N542" s="135"/>
      <c r="O542" s="154"/>
      <c r="P542" s="6">
        <v>0</v>
      </c>
      <c r="Q542" s="114" t="str">
        <f t="shared" si="319"/>
        <v>Estudo em Grupo</v>
      </c>
      <c r="R542" s="105" t="str">
        <f t="shared" si="315"/>
        <v>IEI</v>
      </c>
      <c r="S542" s="88" t="str">
        <f t="shared" si="312"/>
        <v>-</v>
      </c>
      <c r="T542" s="89" t="str">
        <f>IF(VLOOKUP(Q542,'INFO BASE'!$B$40:$I$54,IF(R542='INFO BASE'!$B$32,3,IF(R542='INFO BASE'!$B$33,4,IF(R542='INFO BASE'!$B$34,5,IF(R542='INFO BASE'!$B$35,6,IF(R542='INFO BASE'!$B$36,7,IF(R542='INFO BASE'!$B$37,8,2)))))),0)=0,"",VLOOKUP(Q542,'INFO BASE'!$B$40:$I$54,IF(R542='INFO BASE'!$B$32,3,IF(R542='INFO BASE'!$B$33,4,IF(R542='INFO BASE'!$B$34,5,IF(R542='INFO BASE'!$B$35,6,IF(R542='INFO BASE'!$B$36,7,IF(R542='INFO BASE'!$B$37,8,2)))))),0))</f>
        <v/>
      </c>
      <c r="U542" s="89">
        <f>(COUNTIFS(C522:C569,R542,B522:B569,R540)+COUNTIFS(E522:E569,R542,D522:D569,R540)+COUNTIFS(G522:G569,R542,F522:F569,R540)+COUNTIFS(I522:I569,R542,H522:H569,R540)+COUNTIFS(K522:K569,R542,J522:J569,R540)+COUNTIFS(M522:M569,R542,L522:L569,R540)+COUNTIFS(O522:O569,R542,N522:N569,R540))*0.5</f>
        <v>0</v>
      </c>
      <c r="V542" s="89">
        <f>(COUNTIFS(AI522:AI569,R540,AJ522:AJ569,R535)+COUNTIFS(AK522:AK569,R540,AL522:AL569,R535)+COUNTIFS(AM522:AM569,R540,AN522:AN569,R535)+COUNTIFS(AO522:AO569,R540,AP522:AP569,R535)+COUNTIFS(AQ522:AQ569,R540,AR522:AR569,R535)+COUNTIFS(AS522:AS569,R540,AT522:AT569,R535)+COUNTIFS(AU522:AU569,R540,AV522:AV569,R535))*0.5</f>
        <v>0</v>
      </c>
      <c r="W542" s="90" t="str">
        <f>IF(AH518="","-",IF(V542=0,U542,IFERROR((U542/V542)-1,"-")))</f>
        <v>-</v>
      </c>
      <c r="X542" s="201">
        <f t="shared" si="313"/>
        <v>0</v>
      </c>
      <c r="Y542" s="271"/>
      <c r="Z542" s="272"/>
      <c r="AA542" s="272"/>
      <c r="AB542" s="272"/>
      <c r="AC542" s="272"/>
      <c r="AD542" s="272"/>
      <c r="AE542" s="272"/>
      <c r="AF542" s="273"/>
      <c r="AH542" s="136">
        <v>0.41666666666668001</v>
      </c>
      <c r="AI542" s="136" t="str">
        <f>IF(AH518="","",IF(B542="","",B542))</f>
        <v/>
      </c>
      <c r="AJ542" s="136" t="str">
        <f>IF(AH518="","",IF(C542="","",C542))</f>
        <v/>
      </c>
      <c r="AK542" s="136" t="str">
        <f>IF(AH518="","",IF(D542="","",D542))</f>
        <v/>
      </c>
      <c r="AL542" s="136" t="str">
        <f>IF(AH518="","",IF(E542="","",E542))</f>
        <v/>
      </c>
      <c r="AM542" s="136" t="str">
        <f>IF(AH518="","",IF(F542="","",F542))</f>
        <v/>
      </c>
      <c r="AN542" s="136" t="str">
        <f>IF(AH518="","",IF(G542="","",G542))</f>
        <v/>
      </c>
      <c r="AO542" s="136" t="str">
        <f>IF(AH518="","",IF(H542="","",H542))</f>
        <v/>
      </c>
      <c r="AP542" s="136" t="str">
        <f>IF(AH518="","",IF(I542="","",I542))</f>
        <v/>
      </c>
      <c r="AQ542" s="136" t="str">
        <f>IF(AH518="","",IF(J542="","",J542))</f>
        <v/>
      </c>
      <c r="AR542" s="136" t="str">
        <f>IF(AH518="","",IF(K542="","",K542))</f>
        <v/>
      </c>
      <c r="AS542" s="136" t="str">
        <f>IF(AH518="","",IF(L542="","",L542))</f>
        <v/>
      </c>
      <c r="AT542" s="136" t="str">
        <f>IF(AH518="","",IF(M542="","",M542))</f>
        <v/>
      </c>
      <c r="AU542" s="136" t="str">
        <f>IF(AH518="","",IF(N542="","",N542))</f>
        <v/>
      </c>
      <c r="AV542" s="136" t="str">
        <f>IF(AH518="","",IF(O542="","",O542))</f>
        <v/>
      </c>
      <c r="AX542" s="136" t="str">
        <f>IF(AI518="","",IF(B542="","",B542))</f>
        <v/>
      </c>
      <c r="AY542" s="136" t="str">
        <f>IF(AI518="","",IF(C542="","",C542))</f>
        <v/>
      </c>
      <c r="AZ542" s="136" t="str">
        <f>IF(AI518="","",IF(D542="","",D542))</f>
        <v/>
      </c>
      <c r="BA542" s="136" t="str">
        <f>IF(AI518="","",IF(E542="","",E542))</f>
        <v/>
      </c>
      <c r="BB542" s="136" t="str">
        <f>IF(AI518="","",IF(F542="","",F542))</f>
        <v/>
      </c>
      <c r="BC542" s="136" t="str">
        <f>IF(AI518="","",IF(G542="","",G542))</f>
        <v/>
      </c>
      <c r="BD542" s="136" t="str">
        <f>IF(AI518="","",IF(H542="","",H542))</f>
        <v/>
      </c>
      <c r="BE542" s="136" t="str">
        <f>IF(AI518="","",IF(I542="","",I542))</f>
        <v/>
      </c>
      <c r="BF542" s="136" t="str">
        <f>IF(AI518="","",IF(J542="","",J542))</f>
        <v/>
      </c>
      <c r="BG542" s="136" t="str">
        <f>IF(AI518="","",IF(K542="","",K542))</f>
        <v/>
      </c>
      <c r="BH542" s="136" t="str">
        <f>IF(AI518="","",IF(L542="","",L542))</f>
        <v/>
      </c>
      <c r="BI542" s="136" t="str">
        <f>IF(AI518="","",IF(M542="","",M542))</f>
        <v/>
      </c>
      <c r="BJ542" s="136" t="str">
        <f>IF(AI518="","",IF(N542="","",N542))</f>
        <v/>
      </c>
      <c r="BK542" s="136" t="str">
        <f>IF(AI518="","",IF(O542="","",O542))</f>
        <v/>
      </c>
      <c r="BM542" s="136" t="str">
        <f t="shared" si="318"/>
        <v>EG</v>
      </c>
      <c r="BN542" s="136" t="str">
        <f t="shared" si="308"/>
        <v>Estudo em Grupo</v>
      </c>
      <c r="BO542" s="136" t="str">
        <f t="shared" si="308"/>
        <v>CDI</v>
      </c>
      <c r="BP542" s="136">
        <f>(COUNTIFS(AX522:AX569,BM542,AY522:AY569,BO542)+COUNTIFS(AZ522:AZ569,BM542,BA522:BA569,BO542)+COUNTIFS(BB522:BB569,BM542,BC522:BC569,BO542)+COUNTIFS(BD522:BD569,BM542,BE522:BE569,BO542)+COUNTIFS(BF522:BF569,BM542,BG522:BG569,BO542)+COUNTIFS(BH522:BH569,BM542,BI522:BI569,BO542)+COUNTIFS(BJ522:BJ569,BM542,BK522:BK569,BO542))*0.5</f>
        <v>0</v>
      </c>
      <c r="BQ542" s="136" t="str">
        <f t="shared" si="309"/>
        <v>Estudo em Grupo</v>
      </c>
      <c r="BR542" s="136" t="str">
        <f t="shared" si="309"/>
        <v>CDI</v>
      </c>
      <c r="BS542" s="136" t="str">
        <f t="shared" si="310"/>
        <v>Estudo em Grupo</v>
      </c>
      <c r="BT542" s="136">
        <f t="shared" si="316"/>
        <v>10.5</v>
      </c>
      <c r="BU542" s="136">
        <f t="shared" si="317"/>
        <v>8.5</v>
      </c>
      <c r="CA542" s="136">
        <f>'INFO BASE'!L622</f>
        <v>0</v>
      </c>
      <c r="CB542" s="136">
        <f>'INFO BASE'!M622</f>
        <v>0</v>
      </c>
      <c r="CR542" s="177">
        <f t="shared" si="298"/>
        <v>1</v>
      </c>
      <c r="CS542" s="177">
        <f t="shared" si="299"/>
        <v>1</v>
      </c>
      <c r="CT542" s="177">
        <f t="shared" si="298"/>
        <v>1</v>
      </c>
      <c r="CU542" s="177">
        <f t="shared" si="300"/>
        <v>1</v>
      </c>
      <c r="CV542" s="177">
        <f t="shared" si="298"/>
        <v>1</v>
      </c>
      <c r="CW542" s="177">
        <f t="shared" si="301"/>
        <v>1</v>
      </c>
      <c r="CX542" s="177">
        <f t="shared" si="298"/>
        <v>1</v>
      </c>
      <c r="CY542" s="177">
        <f t="shared" si="302"/>
        <v>1</v>
      </c>
      <c r="CZ542" s="177">
        <f t="shared" si="298"/>
        <v>1</v>
      </c>
      <c r="DA542" s="177">
        <f t="shared" si="303"/>
        <v>1</v>
      </c>
      <c r="DB542" s="177">
        <f t="shared" si="298"/>
        <v>1</v>
      </c>
      <c r="DC542" s="177">
        <f t="shared" si="304"/>
        <v>1</v>
      </c>
      <c r="DD542" s="177">
        <f t="shared" si="305"/>
        <v>1</v>
      </c>
      <c r="DE542" s="177">
        <f t="shared" si="306"/>
        <v>1</v>
      </c>
    </row>
    <row r="543" spans="1:109" ht="18" customHeight="1" x14ac:dyDescent="0.3">
      <c r="A543" s="81">
        <v>0.43750000000001399</v>
      </c>
      <c r="B543" s="153"/>
      <c r="C543" s="130"/>
      <c r="D543" s="135"/>
      <c r="E543" s="130"/>
      <c r="F543" s="135"/>
      <c r="G543" s="130"/>
      <c r="H543" s="135"/>
      <c r="I543" s="130"/>
      <c r="J543" s="135"/>
      <c r="K543" s="130"/>
      <c r="L543" s="135"/>
      <c r="M543" s="130"/>
      <c r="N543" s="135"/>
      <c r="O543" s="154"/>
      <c r="P543" s="6">
        <v>0</v>
      </c>
      <c r="Q543" s="115" t="str">
        <f t="shared" si="319"/>
        <v>Estudo em Grupo</v>
      </c>
      <c r="R543" s="105" t="str">
        <f t="shared" si="315"/>
        <v>IAC</v>
      </c>
      <c r="S543" s="88">
        <f t="shared" si="312"/>
        <v>-1</v>
      </c>
      <c r="T543" s="89">
        <f>IF(VLOOKUP(Q543,'INFO BASE'!$B$40:$I$54,IF(R543='INFO BASE'!$B$32,3,IF(R543='INFO BASE'!$B$33,4,IF(R543='INFO BASE'!$B$34,5,IF(R543='INFO BASE'!$B$35,6,IF(R543='INFO BASE'!$B$36,7,IF(R543='INFO BASE'!$B$37,8,2)))))),0)=0,"",VLOOKUP(Q543,'INFO BASE'!$B$40:$I$54,IF(R543='INFO BASE'!$B$32,3,IF(R543='INFO BASE'!$B$33,4,IF(R543='INFO BASE'!$B$34,5,IF(R543='INFO BASE'!$B$35,6,IF(R543='INFO BASE'!$B$36,7,IF(R543='INFO BASE'!$B$37,8,2)))))),0))</f>
        <v>2</v>
      </c>
      <c r="U543" s="89">
        <f>(COUNTIFS(C522:C569,R543,B522:B569,R540)+COUNTIFS(E522:E569,R543,D522:D569,R540)+COUNTIFS(G522:G569,R543,F522:F569,R540)+COUNTIFS(I522:I569,R543,H522:H569,R540)+COUNTIFS(K522:K569,R543,J522:J569,R540)+COUNTIFS(M522:M569,R543,L522:L569,R540)+COUNTIFS(O522:O569,R543,N522:N569,R540))*0.5</f>
        <v>0</v>
      </c>
      <c r="V543" s="89">
        <f>(COUNTIFS(AI522:AI569,R540,AJ522:AJ569,R536)+COUNTIFS(AK522:AK569,R540,AL522:AL569,R536)+COUNTIFS(AM522:AM569,R540,AN522:AN569,R536)+COUNTIFS(AO522:AO569,R540,AP522:AP569,R536)+COUNTIFS(AQ522:AQ569,R540,AR522:AR569,R536)+COUNTIFS(AS522:AS569,R540,AT522:AT569,R536)+COUNTIFS(AU522:AU569,R540,AV522:AV569,R536))*0.5</f>
        <v>0</v>
      </c>
      <c r="W543" s="90" t="str">
        <f>IF(AH518="","-",IF(V543=0,U543,IFERROR((U543/V543)-1,"-")))</f>
        <v>-</v>
      </c>
      <c r="X543" s="201">
        <f t="shared" si="313"/>
        <v>0</v>
      </c>
      <c r="Y543" s="271"/>
      <c r="Z543" s="272"/>
      <c r="AA543" s="272"/>
      <c r="AB543" s="272"/>
      <c r="AC543" s="272"/>
      <c r="AD543" s="272"/>
      <c r="AE543" s="272"/>
      <c r="AF543" s="273"/>
      <c r="AH543" s="136">
        <v>0.43750000000001399</v>
      </c>
      <c r="AI543" s="136" t="str">
        <f>IF(AH518="","",IF(B543="","",B543))</f>
        <v/>
      </c>
      <c r="AJ543" s="136" t="str">
        <f>IF(AH518="","",IF(C543="","",C543))</f>
        <v/>
      </c>
      <c r="AK543" s="136" t="str">
        <f>IF(AH518="","",IF(D543="","",D543))</f>
        <v/>
      </c>
      <c r="AL543" s="136" t="str">
        <f>IF(AH518="","",IF(E543="","",E543))</f>
        <v/>
      </c>
      <c r="AM543" s="136" t="str">
        <f>IF(AH518="","",IF(F543="","",F543))</f>
        <v/>
      </c>
      <c r="AN543" s="136" t="str">
        <f>IF(AH518="","",IF(G543="","",G543))</f>
        <v/>
      </c>
      <c r="AO543" s="136" t="str">
        <f>IF(AH518="","",IF(H543="","",H543))</f>
        <v/>
      </c>
      <c r="AP543" s="136" t="str">
        <f>IF(AH518="","",IF(I543="","",I543))</f>
        <v/>
      </c>
      <c r="AQ543" s="136" t="str">
        <f>IF(AH518="","",IF(J543="","",J543))</f>
        <v/>
      </c>
      <c r="AR543" s="136" t="str">
        <f>IF(AH518="","",IF(K543="","",K543))</f>
        <v/>
      </c>
      <c r="AS543" s="136" t="str">
        <f>IF(AH518="","",IF(L543="","",L543))</f>
        <v/>
      </c>
      <c r="AT543" s="136" t="str">
        <f>IF(AH518="","",IF(M543="","",M543))</f>
        <v/>
      </c>
      <c r="AU543" s="136" t="str">
        <f>IF(AH518="","",IF(N543="","",N543))</f>
        <v/>
      </c>
      <c r="AV543" s="136" t="str">
        <f>IF(AH518="","",IF(O543="","",O543))</f>
        <v/>
      </c>
      <c r="AX543" s="136" t="str">
        <f>IF(AI518="","",IF(B543="","",B543))</f>
        <v/>
      </c>
      <c r="AY543" s="136" t="str">
        <f>IF(AI518="","",IF(C543="","",C543))</f>
        <v/>
      </c>
      <c r="AZ543" s="136" t="str">
        <f>IF(AI518="","",IF(D543="","",D543))</f>
        <v/>
      </c>
      <c r="BA543" s="136" t="str">
        <f>IF(AI518="","",IF(E543="","",E543))</f>
        <v/>
      </c>
      <c r="BB543" s="136" t="str">
        <f>IF(AI518="","",IF(F543="","",F543))</f>
        <v/>
      </c>
      <c r="BC543" s="136" t="str">
        <f>IF(AI518="","",IF(G543="","",G543))</f>
        <v/>
      </c>
      <c r="BD543" s="136" t="str">
        <f>IF(AI518="","",IF(H543="","",H543))</f>
        <v/>
      </c>
      <c r="BE543" s="136" t="str">
        <f>IF(AI518="","",IF(I543="","",I543))</f>
        <v/>
      </c>
      <c r="BF543" s="136" t="str">
        <f>IF(AI518="","",IF(J543="","",J543))</f>
        <v/>
      </c>
      <c r="BG543" s="136" t="str">
        <f>IF(AI518="","",IF(K543="","",K543))</f>
        <v/>
      </c>
      <c r="BH543" s="136" t="str">
        <f>IF(AI518="","",IF(L543="","",L543))</f>
        <v/>
      </c>
      <c r="BI543" s="136" t="str">
        <f>IF(AI518="","",IF(M543="","",M543))</f>
        <v/>
      </c>
      <c r="BJ543" s="136" t="str">
        <f>IF(AI518="","",IF(N543="","",N543))</f>
        <v/>
      </c>
      <c r="BK543" s="136" t="str">
        <f>IF(AI518="","",IF(O543="","",O543))</f>
        <v/>
      </c>
      <c r="BM543" s="136" t="str">
        <f t="shared" si="318"/>
        <v>EG</v>
      </c>
      <c r="BN543" s="136" t="str">
        <f t="shared" si="308"/>
        <v>Estudo em Grupo</v>
      </c>
      <c r="BO543" s="136" t="str">
        <f t="shared" si="308"/>
        <v/>
      </c>
      <c r="BP543" s="136">
        <f>(COUNTIFS(AX522:AX569,BM543,AY522:AY569,BO543)+COUNTIFS(AZ522:AZ569,BM543,BA522:BA569,BO543)+COUNTIFS(BB522:BB569,BM543,BC522:BC569,BO543)+COUNTIFS(BD522:BD569,BM543,BE522:BE569,BO543)+COUNTIFS(BF522:BF569,BM543,BG522:BG569,BO543)+COUNTIFS(BH522:BH569,BM543,BI522:BI569,BO543)+COUNTIFS(BJ522:BJ569,BM543,BK522:BK569,BO543))*0.5</f>
        <v>0</v>
      </c>
      <c r="BQ543" s="136" t="str">
        <f t="shared" si="309"/>
        <v>Estudo em Grupo</v>
      </c>
      <c r="BR543" s="136" t="str">
        <f t="shared" si="309"/>
        <v/>
      </c>
      <c r="BS543" s="136" t="str">
        <f t="shared" si="310"/>
        <v>Estudo em Grupo</v>
      </c>
      <c r="BT543" s="136">
        <f t="shared" si="316"/>
        <v>0</v>
      </c>
      <c r="BU543" s="136">
        <f t="shared" si="317"/>
        <v>0</v>
      </c>
      <c r="CA543" s="136">
        <f>'INFO BASE'!L623</f>
        <v>0</v>
      </c>
      <c r="CB543" s="136">
        <f>'INFO BASE'!M623</f>
        <v>0</v>
      </c>
      <c r="CR543" s="177">
        <f t="shared" si="298"/>
        <v>1</v>
      </c>
      <c r="CS543" s="177">
        <f t="shared" si="299"/>
        <v>1</v>
      </c>
      <c r="CT543" s="177">
        <f t="shared" si="298"/>
        <v>1</v>
      </c>
      <c r="CU543" s="177">
        <f t="shared" si="300"/>
        <v>1</v>
      </c>
      <c r="CV543" s="177">
        <f t="shared" si="298"/>
        <v>1</v>
      </c>
      <c r="CW543" s="177">
        <f t="shared" si="301"/>
        <v>1</v>
      </c>
      <c r="CX543" s="177">
        <f t="shared" si="298"/>
        <v>1</v>
      </c>
      <c r="CY543" s="177">
        <f t="shared" si="302"/>
        <v>1</v>
      </c>
      <c r="CZ543" s="177">
        <f t="shared" si="298"/>
        <v>1</v>
      </c>
      <c r="DA543" s="177">
        <f t="shared" si="303"/>
        <v>1</v>
      </c>
      <c r="DB543" s="177">
        <f t="shared" si="298"/>
        <v>1</v>
      </c>
      <c r="DC543" s="177">
        <f t="shared" si="304"/>
        <v>1</v>
      </c>
      <c r="DD543" s="177">
        <f t="shared" si="305"/>
        <v>1</v>
      </c>
      <c r="DE543" s="177">
        <f t="shared" si="306"/>
        <v>1</v>
      </c>
    </row>
    <row r="544" spans="1:109" ht="18" customHeight="1" x14ac:dyDescent="0.3">
      <c r="A544" s="81">
        <v>0.45833333333334803</v>
      </c>
      <c r="B544" s="153"/>
      <c r="C544" s="130"/>
      <c r="D544" s="135"/>
      <c r="E544" s="130"/>
      <c r="F544" s="135"/>
      <c r="G544" s="130"/>
      <c r="H544" s="135"/>
      <c r="I544" s="130"/>
      <c r="J544" s="135"/>
      <c r="K544" s="130"/>
      <c r="L544" s="135"/>
      <c r="M544" s="130"/>
      <c r="N544" s="135"/>
      <c r="O544" s="154"/>
      <c r="P544" s="6">
        <v>0</v>
      </c>
      <c r="Q544" s="114" t="str">
        <f t="shared" si="319"/>
        <v>Estudo em Grupo</v>
      </c>
      <c r="R544" s="105" t="str">
        <f t="shared" si="315"/>
        <v>AL</v>
      </c>
      <c r="S544" s="88">
        <f t="shared" si="312"/>
        <v>-1</v>
      </c>
      <c r="T544" s="89">
        <f>IF(VLOOKUP(Q544,'INFO BASE'!$B$40:$I$54,IF(R544='INFO BASE'!$B$32,3,IF(R544='INFO BASE'!$B$33,4,IF(R544='INFO BASE'!$B$34,5,IF(R544='INFO BASE'!$B$35,6,IF(R544='INFO BASE'!$B$36,7,IF(R544='INFO BASE'!$B$37,8,2)))))),0)=0,"",VLOOKUP(Q544,'INFO BASE'!$B$40:$I$54,IF(R544='INFO BASE'!$B$32,3,IF(R544='INFO BASE'!$B$33,4,IF(R544='INFO BASE'!$B$34,5,IF(R544='INFO BASE'!$B$35,6,IF(R544='INFO BASE'!$B$36,7,IF(R544='INFO BASE'!$B$37,8,2)))))),0))</f>
        <v>2</v>
      </c>
      <c r="U544" s="89">
        <f>(COUNTIFS(C522:C569,R544,B522:B569,R540)+COUNTIFS(E522:E569,R544,D522:D569,R540)+COUNTIFS(G522:G569,R544,F522:F569,R540)+COUNTIFS(I522:I569,R544,H522:H569,R540)+COUNTIFS(K522:K569,R544,J522:J569,R540)+COUNTIFS(M522:M569,R544,L522:L569,R540)+COUNTIFS(O522:O569,R544,N522:N569,R540))*0.5</f>
        <v>0</v>
      </c>
      <c r="V544" s="89">
        <f>(COUNTIFS(AI522:AI569,R540,AJ522:AJ569,R537)+COUNTIFS(AK522:AK569,R540,AL522:AL569,R537)+COUNTIFS(AM522:AM569,R540,AN522:AN569,R537)+COUNTIFS(AO522:AO569,R540,AP522:AP569,R537)+COUNTIFS(AQ522:AQ569,R540,AR522:AR569,R537)+COUNTIFS(AS522:AS569,R540,AT522:AT569,R537)+COUNTIFS(AU522:AU569,R540,AV522:AV569,R537))*0.5</f>
        <v>0</v>
      </c>
      <c r="W544" s="90" t="str">
        <f>IF(AH518="","-",IF(V544=0,U544,IFERROR((U544/V544)-1,"-")))</f>
        <v>-</v>
      </c>
      <c r="X544" s="201">
        <f t="shared" si="313"/>
        <v>0</v>
      </c>
      <c r="Y544" s="271"/>
      <c r="Z544" s="272"/>
      <c r="AA544" s="272"/>
      <c r="AB544" s="272"/>
      <c r="AC544" s="272"/>
      <c r="AD544" s="272"/>
      <c r="AE544" s="272"/>
      <c r="AF544" s="273"/>
      <c r="AH544" s="136">
        <v>0.45833333333334803</v>
      </c>
      <c r="AI544" s="136" t="str">
        <f>IF(AH518="","",IF(B544="","",B544))</f>
        <v/>
      </c>
      <c r="AJ544" s="136" t="str">
        <f>IF(AH518="","",IF(C544="","",C544))</f>
        <v/>
      </c>
      <c r="AK544" s="136" t="str">
        <f>IF(AH518="","",IF(D544="","",D544))</f>
        <v/>
      </c>
      <c r="AL544" s="136" t="str">
        <f>IF(AH518="","",IF(E544="","",E544))</f>
        <v/>
      </c>
      <c r="AM544" s="136" t="str">
        <f>IF(AH518="","",IF(F544="","",F544))</f>
        <v/>
      </c>
      <c r="AN544" s="136" t="str">
        <f>IF(AH518="","",IF(G544="","",G544))</f>
        <v/>
      </c>
      <c r="AO544" s="136" t="str">
        <f>IF(AH518="","",IF(H544="","",H544))</f>
        <v/>
      </c>
      <c r="AP544" s="136" t="str">
        <f>IF(AH518="","",IF(I544="","",I544))</f>
        <v/>
      </c>
      <c r="AQ544" s="136" t="str">
        <f>IF(AH518="","",IF(J544="","",J544))</f>
        <v/>
      </c>
      <c r="AR544" s="136" t="str">
        <f>IF(AH518="","",IF(K544="","",K544))</f>
        <v/>
      </c>
      <c r="AS544" s="136" t="str">
        <f>IF(AH518="","",IF(L544="","",L544))</f>
        <v/>
      </c>
      <c r="AT544" s="136" t="str">
        <f>IF(AH518="","",IF(M544="","",M544))</f>
        <v/>
      </c>
      <c r="AU544" s="136" t="str">
        <f>IF(AH518="","",IF(N544="","",N544))</f>
        <v/>
      </c>
      <c r="AV544" s="136" t="str">
        <f>IF(AH518="","",IF(O544="","",O544))</f>
        <v/>
      </c>
      <c r="AX544" s="136" t="str">
        <f>IF(AI518="","",IF(B544="","",B544))</f>
        <v/>
      </c>
      <c r="AY544" s="136" t="str">
        <f>IF(AI518="","",IF(C544="","",C544))</f>
        <v/>
      </c>
      <c r="AZ544" s="136" t="str">
        <f>IF(AI518="","",IF(D544="","",D544))</f>
        <v/>
      </c>
      <c r="BA544" s="136" t="str">
        <f>IF(AI518="","",IF(E544="","",E544))</f>
        <v/>
      </c>
      <c r="BB544" s="136" t="str">
        <f>IF(AI518="","",IF(F544="","",F544))</f>
        <v/>
      </c>
      <c r="BC544" s="136" t="str">
        <f>IF(AI518="","",IF(G544="","",G544))</f>
        <v/>
      </c>
      <c r="BD544" s="136" t="str">
        <f>IF(AI518="","",IF(H544="","",H544))</f>
        <v/>
      </c>
      <c r="BE544" s="136" t="str">
        <f>IF(AI518="","",IF(I544="","",I544))</f>
        <v/>
      </c>
      <c r="BF544" s="136" t="str">
        <f>IF(AI518="","",IF(J544="","",J544))</f>
        <v/>
      </c>
      <c r="BG544" s="136" t="str">
        <f>IF(AI518="","",IF(K544="","",K544))</f>
        <v/>
      </c>
      <c r="BH544" s="136" t="str">
        <f>IF(AI518="","",IF(L544="","",L544))</f>
        <v/>
      </c>
      <c r="BI544" s="136" t="str">
        <f>IF(AI518="","",IF(M544="","",M544))</f>
        <v/>
      </c>
      <c r="BJ544" s="136" t="str">
        <f>IF(AI518="","",IF(N544="","",N544))</f>
        <v/>
      </c>
      <c r="BK544" s="136" t="str">
        <f>IF(AI518="","",IF(O544="","",O544))</f>
        <v/>
      </c>
      <c r="BM544" s="136" t="str">
        <f>BO544</f>
        <v>TG</v>
      </c>
      <c r="BN544" s="136" t="str">
        <f t="shared" si="308"/>
        <v>Trabalho de Grupo</v>
      </c>
      <c r="BO544" s="136" t="str">
        <f t="shared" si="308"/>
        <v>TG</v>
      </c>
      <c r="BP544" s="136">
        <f>COUNTIFS(AX522:BK569,BO544)*0.5</f>
        <v>0</v>
      </c>
      <c r="BQ544" s="136" t="str">
        <f t="shared" si="309"/>
        <v>Trabalho de Grupo</v>
      </c>
      <c r="BR544" s="136" t="str">
        <f t="shared" si="309"/>
        <v>TG</v>
      </c>
      <c r="BS544" s="136" t="str">
        <f t="shared" si="310"/>
        <v>Trabalho de Grupo</v>
      </c>
      <c r="BT544" s="136">
        <f t="shared" si="316"/>
        <v>0</v>
      </c>
      <c r="BU544" s="136">
        <f t="shared" si="317"/>
        <v>0</v>
      </c>
      <c r="CA544" s="136">
        <f>'INFO BASE'!L624</f>
        <v>0</v>
      </c>
      <c r="CB544" s="136">
        <f>'INFO BASE'!M624</f>
        <v>0</v>
      </c>
      <c r="CR544" s="177">
        <f t="shared" si="298"/>
        <v>1</v>
      </c>
      <c r="CS544" s="177">
        <f t="shared" si="299"/>
        <v>1</v>
      </c>
      <c r="CT544" s="177">
        <f t="shared" si="298"/>
        <v>1</v>
      </c>
      <c r="CU544" s="177">
        <f t="shared" si="300"/>
        <v>1</v>
      </c>
      <c r="CV544" s="177">
        <f t="shared" si="298"/>
        <v>1</v>
      </c>
      <c r="CW544" s="177">
        <f t="shared" si="301"/>
        <v>1</v>
      </c>
      <c r="CX544" s="177">
        <f t="shared" si="298"/>
        <v>1</v>
      </c>
      <c r="CY544" s="177">
        <f t="shared" si="302"/>
        <v>1</v>
      </c>
      <c r="CZ544" s="177">
        <f t="shared" si="298"/>
        <v>1</v>
      </c>
      <c r="DA544" s="177">
        <f t="shared" si="303"/>
        <v>1</v>
      </c>
      <c r="DB544" s="177">
        <f t="shared" si="298"/>
        <v>1</v>
      </c>
      <c r="DC544" s="177">
        <f t="shared" si="304"/>
        <v>1</v>
      </c>
      <c r="DD544" s="177">
        <f t="shared" si="305"/>
        <v>1</v>
      </c>
      <c r="DE544" s="177">
        <f t="shared" si="306"/>
        <v>1</v>
      </c>
    </row>
    <row r="545" spans="1:109" ht="18" customHeight="1" x14ac:dyDescent="0.3">
      <c r="A545" s="81">
        <v>0.47916666666668201</v>
      </c>
      <c r="B545" s="153"/>
      <c r="C545" s="130"/>
      <c r="D545" s="135"/>
      <c r="E545" s="130"/>
      <c r="F545" s="135"/>
      <c r="G545" s="130"/>
      <c r="H545" s="135"/>
      <c r="I545" s="130"/>
      <c r="J545" s="135"/>
      <c r="K545" s="130"/>
      <c r="L545" s="135"/>
      <c r="M545" s="130"/>
      <c r="N545" s="135"/>
      <c r="O545" s="154"/>
      <c r="P545" s="6">
        <v>0</v>
      </c>
      <c r="Q545" s="114" t="str">
        <f t="shared" si="319"/>
        <v>Estudo em Grupo</v>
      </c>
      <c r="R545" s="105" t="str">
        <f t="shared" si="315"/>
        <v>CDI</v>
      </c>
      <c r="S545" s="88">
        <f t="shared" si="312"/>
        <v>-1</v>
      </c>
      <c r="T545" s="89">
        <f>IF(VLOOKUP(Q545,'INFO BASE'!$B$40:$I$54,IF(R545='INFO BASE'!$B$32,3,IF(R545='INFO BASE'!$B$33,4,IF(R545='INFO BASE'!$B$34,5,IF(R545='INFO BASE'!$B$35,6,IF(R545='INFO BASE'!$B$36,7,IF(R545='INFO BASE'!$B$37,8,2)))))),0)=0,"",VLOOKUP(Q545,'INFO BASE'!$B$40:$I$54,IF(R545='INFO BASE'!$B$32,3,IF(R545='INFO BASE'!$B$33,4,IF(R545='INFO BASE'!$B$34,5,IF(R545='INFO BASE'!$B$35,6,IF(R545='INFO BASE'!$B$36,7,IF(R545='INFO BASE'!$B$37,8,2)))))),0))</f>
        <v>2</v>
      </c>
      <c r="U545" s="89">
        <f>(COUNTIFS(C522:C569,R545,B522:B569,R540)+COUNTIFS(E522:E569,R545,D522:D569,R540)+COUNTIFS(G522:G569,R545,F522:F569,R540)+COUNTIFS(I522:I569,R545,H522:H569,R540)+COUNTIFS(K522:K569,R545,J522:J569,R540)+COUNTIFS(M522:M569,R545,L522:L569,R540)+COUNTIFS(O522:O569,R545,N522:N569,R540))*0.5</f>
        <v>0</v>
      </c>
      <c r="V545" s="89">
        <f>(COUNTIFS(AI522:AI569,R540,AJ522:AJ569,R538)+COUNTIFS(AK522:AK569,R540,AL522:AL569,R538)+COUNTIFS(AM522:AM569,R540,AN522:AN569,R538)+COUNTIFS(AO522:AO569,R540,AP522:AP569,R538)+COUNTIFS(AQ522:AQ569,R540,AR522:AR569,R538)+COUNTIFS(AS522:AS569,R540,AT522:AT569,R538)+COUNTIFS(AU522:AU569,R540,AV522:AV569,R538))*0.5</f>
        <v>0</v>
      </c>
      <c r="W545" s="90" t="str">
        <f>IF(AH518="","-",IF(V545=0,U545,IFERROR((U545/V545)-1,"-")))</f>
        <v>-</v>
      </c>
      <c r="X545" s="201">
        <f t="shared" si="313"/>
        <v>0</v>
      </c>
      <c r="Y545" s="271"/>
      <c r="Z545" s="272"/>
      <c r="AA545" s="272"/>
      <c r="AB545" s="272"/>
      <c r="AC545" s="272"/>
      <c r="AD545" s="272"/>
      <c r="AE545" s="272"/>
      <c r="AF545" s="273"/>
      <c r="AH545" s="136">
        <v>0.47916666666668201</v>
      </c>
      <c r="AI545" s="136" t="str">
        <f>IF(AH518="","",IF(B545="","",B545))</f>
        <v/>
      </c>
      <c r="AJ545" s="136" t="str">
        <f>IF(AH518="","",IF(C545="","",C545))</f>
        <v/>
      </c>
      <c r="AK545" s="136" t="str">
        <f>IF(AH518="","",IF(D545="","",D545))</f>
        <v/>
      </c>
      <c r="AL545" s="136" t="str">
        <f>IF(AH518="","",IF(E545="","",E545))</f>
        <v/>
      </c>
      <c r="AM545" s="136" t="str">
        <f>IF(AH518="","",IF(F545="","",F545))</f>
        <v/>
      </c>
      <c r="AN545" s="136" t="str">
        <f>IF(AH518="","",IF(G545="","",G545))</f>
        <v/>
      </c>
      <c r="AO545" s="136" t="str">
        <f>IF(AH518="","",IF(H545="","",H545))</f>
        <v/>
      </c>
      <c r="AP545" s="136" t="str">
        <f>IF(AH518="","",IF(I545="","",I545))</f>
        <v/>
      </c>
      <c r="AQ545" s="136" t="str">
        <f>IF(AH518="","",IF(J545="","",J545))</f>
        <v/>
      </c>
      <c r="AR545" s="136" t="str">
        <f>IF(AH518="","",IF(K545="","",K545))</f>
        <v/>
      </c>
      <c r="AS545" s="136" t="str">
        <f>IF(AH518="","",IF(L545="","",L545))</f>
        <v/>
      </c>
      <c r="AT545" s="136" t="str">
        <f>IF(AH518="","",IF(M545="","",M545))</f>
        <v/>
      </c>
      <c r="AU545" s="136" t="str">
        <f>IF(AH518="","",IF(N545="","",N545))</f>
        <v/>
      </c>
      <c r="AV545" s="136" t="str">
        <f>IF(AH518="","",IF(O545="","",O545))</f>
        <v/>
      </c>
      <c r="AX545" s="136" t="str">
        <f>IF(AI518="","",IF(B545="","",B545))</f>
        <v/>
      </c>
      <c r="AY545" s="136" t="str">
        <f>IF(AI518="","",IF(C545="","",C545))</f>
        <v/>
      </c>
      <c r="AZ545" s="136" t="str">
        <f>IF(AI518="","",IF(D545="","",D545))</f>
        <v/>
      </c>
      <c r="BA545" s="136" t="str">
        <f>IF(AI518="","",IF(E545="","",E545))</f>
        <v/>
      </c>
      <c r="BB545" s="136" t="str">
        <f>IF(AI518="","",IF(F545="","",F545))</f>
        <v/>
      </c>
      <c r="BC545" s="136" t="str">
        <f>IF(AI518="","",IF(G545="","",G545))</f>
        <v/>
      </c>
      <c r="BD545" s="136" t="str">
        <f>IF(AI518="","",IF(H545="","",H545))</f>
        <v/>
      </c>
      <c r="BE545" s="136" t="str">
        <f>IF(AI518="","",IF(I545="","",I545))</f>
        <v/>
      </c>
      <c r="BF545" s="136" t="str">
        <f>IF(AI518="","",IF(J545="","",J545))</f>
        <v/>
      </c>
      <c r="BG545" s="136" t="str">
        <f>IF(AI518="","",IF(K545="","",K545))</f>
        <v/>
      </c>
      <c r="BH545" s="136" t="str">
        <f>IF(AI518="","",IF(L545="","",L545))</f>
        <v/>
      </c>
      <c r="BI545" s="136" t="str">
        <f>IF(AI518="","",IF(M545="","",M545))</f>
        <v/>
      </c>
      <c r="BJ545" s="136" t="str">
        <f>IF(AI518="","",IF(N545="","",N545))</f>
        <v/>
      </c>
      <c r="BK545" s="136" t="str">
        <f>IF(AI518="","",IF(O545="","",O545))</f>
        <v/>
      </c>
      <c r="BM545" s="136" t="str">
        <f>BM544</f>
        <v>TG</v>
      </c>
      <c r="BN545" s="136" t="str">
        <f t="shared" si="308"/>
        <v>Trabalho de Grupo</v>
      </c>
      <c r="BO545" s="136" t="str">
        <f t="shared" si="308"/>
        <v>FP</v>
      </c>
      <c r="BP545" s="136">
        <f>(COUNTIFS(AX522:AX569,BM545,AY522:AY569,BO545)+COUNTIFS(AZ522:AZ569,BM545,BA522:BA569,BO545)+COUNTIFS(BB522:BB569,BM545,BC522:BC569,BO545)+COUNTIFS(BD522:BD569,BM545,BE522:BE569,BO545)+COUNTIFS(BF522:BF569,BM545,BG522:BG569,BO545)+COUNTIFS(BH522:BH569,BM545,BI522:BI569,BO545)+COUNTIFS(BJ522:BJ569,BM545,BK522:BK569,BO545))*0.5</f>
        <v>0</v>
      </c>
      <c r="BQ545" s="136" t="str">
        <f t="shared" si="309"/>
        <v>Trabalho de Grupo</v>
      </c>
      <c r="BR545" s="136" t="str">
        <f t="shared" si="309"/>
        <v>FP</v>
      </c>
      <c r="BS545" s="136" t="str">
        <f t="shared" si="310"/>
        <v>Trabalho de Grupo</v>
      </c>
      <c r="BT545" s="136">
        <f t="shared" si="316"/>
        <v>0</v>
      </c>
      <c r="BU545" s="136">
        <f t="shared" si="317"/>
        <v>0</v>
      </c>
      <c r="CR545" s="177">
        <f t="shared" si="298"/>
        <v>1</v>
      </c>
      <c r="CS545" s="177">
        <f t="shared" si="299"/>
        <v>1</v>
      </c>
      <c r="CT545" s="177">
        <f t="shared" si="298"/>
        <v>1</v>
      </c>
      <c r="CU545" s="177">
        <f t="shared" si="300"/>
        <v>1</v>
      </c>
      <c r="CV545" s="177">
        <f t="shared" si="298"/>
        <v>1</v>
      </c>
      <c r="CW545" s="177">
        <f t="shared" si="301"/>
        <v>1</v>
      </c>
      <c r="CX545" s="177">
        <f t="shared" si="298"/>
        <v>1</v>
      </c>
      <c r="CY545" s="177">
        <f t="shared" si="302"/>
        <v>1</v>
      </c>
      <c r="CZ545" s="177">
        <f t="shared" si="298"/>
        <v>1</v>
      </c>
      <c r="DA545" s="177">
        <f t="shared" si="303"/>
        <v>1</v>
      </c>
      <c r="DB545" s="177">
        <f t="shared" si="298"/>
        <v>1</v>
      </c>
      <c r="DC545" s="177">
        <f t="shared" si="304"/>
        <v>1</v>
      </c>
      <c r="DD545" s="177">
        <f t="shared" si="305"/>
        <v>1</v>
      </c>
      <c r="DE545" s="177">
        <f t="shared" si="306"/>
        <v>1</v>
      </c>
    </row>
    <row r="546" spans="1:109" ht="18" customHeight="1" thickBot="1" x14ac:dyDescent="0.35">
      <c r="A546" s="81">
        <v>0.50000000000001599</v>
      </c>
      <c r="B546" s="153"/>
      <c r="C546" s="130"/>
      <c r="D546" s="135"/>
      <c r="E546" s="130"/>
      <c r="F546" s="135"/>
      <c r="G546" s="130"/>
      <c r="H546" s="135"/>
      <c r="I546" s="130"/>
      <c r="J546" s="135"/>
      <c r="K546" s="130"/>
      <c r="L546" s="135"/>
      <c r="M546" s="130"/>
      <c r="N546" s="135"/>
      <c r="O546" s="154"/>
      <c r="P546" s="6">
        <v>0</v>
      </c>
      <c r="Q546" s="116" t="str">
        <f t="shared" si="319"/>
        <v>Estudo em Grupo</v>
      </c>
      <c r="R546" s="107" t="str">
        <f t="shared" si="315"/>
        <v/>
      </c>
      <c r="S546" s="94" t="str">
        <f t="shared" si="312"/>
        <v>-</v>
      </c>
      <c r="T546" s="95" t="str">
        <f>IF(VLOOKUP(Q546,'INFO BASE'!$B$40:$I$54,IF(R546='INFO BASE'!$B$32,3,IF(R546='INFO BASE'!$B$33,4,IF(R546='INFO BASE'!$B$34,5,IF(R546='INFO BASE'!$B$35,6,IF(R546='INFO BASE'!$B$36,7,IF(R546='INFO BASE'!$B$37,8,2)))))),0)=0,"",VLOOKUP(Q546,'INFO BASE'!$B$40:$I$54,IF(R546='INFO BASE'!$B$32,3,IF(R546='INFO BASE'!$B$33,4,IF(R546='INFO BASE'!$B$34,5,IF(R546='INFO BASE'!$B$35,6,IF(R546='INFO BASE'!$B$36,7,IF(R546='INFO BASE'!$B$37,8,2)))))),0))</f>
        <v/>
      </c>
      <c r="U546" s="95">
        <f>(COUNTIFS(C522:C569,R546,B522:B569,R540)+COUNTIFS(E522:E569,R546,D522:D569,R540)+COUNTIFS(G522:G569,R546,F522:F569,R540)+COUNTIFS(I522:I569,R546,H522:H569,R540)+COUNTIFS(K522:K569,R546,J522:J569,R540)+COUNTIFS(M522:M569,R546,L522:L569,R540)+COUNTIFS(O522:O569,R546,N522:N569,R540))*0.5</f>
        <v>0</v>
      </c>
      <c r="V546" s="95">
        <f>(COUNTIFS(AI522:AI569,R540,AJ522:AJ569,R539)+COUNTIFS(AK522:AK569,R540,AL522:AL569,R539)+COUNTIFS(AM522:AM569,R540,AN522:AN569,R539)+COUNTIFS(AO522:AO569,R540,AP522:AP569,R539)+COUNTIFS(AQ522:AQ569,R540,AR522:AR569,R539)+COUNTIFS(AS522:AS569,R540,AT522:AT569,R539)+COUNTIFS(AU522:AU569,R540,AV522:AV569,R539))*0.5</f>
        <v>0</v>
      </c>
      <c r="W546" s="96" t="str">
        <f>IF(AH518="","-",IF(V546=0,U546,IFERROR((U546/V546)-1,"-")))</f>
        <v>-</v>
      </c>
      <c r="X546" s="201">
        <f t="shared" si="313"/>
        <v>0</v>
      </c>
      <c r="Y546" s="274"/>
      <c r="Z546" s="275"/>
      <c r="AA546" s="275"/>
      <c r="AB546" s="275"/>
      <c r="AC546" s="275"/>
      <c r="AD546" s="275"/>
      <c r="AE546" s="275"/>
      <c r="AF546" s="276"/>
      <c r="AH546" s="136">
        <v>0.50000000000001599</v>
      </c>
      <c r="AI546" s="136" t="str">
        <f>IF(AH518="","",IF(B546="","",B546))</f>
        <v/>
      </c>
      <c r="AJ546" s="136" t="str">
        <f>IF(AH518="","",IF(C546="","",C546))</f>
        <v/>
      </c>
      <c r="AK546" s="136" t="str">
        <f>IF(AH518="","",IF(D546="","",D546))</f>
        <v/>
      </c>
      <c r="AL546" s="136" t="str">
        <f>IF(AH518="","",IF(E546="","",E546))</f>
        <v/>
      </c>
      <c r="AM546" s="136" t="str">
        <f>IF(AH518="","",IF(F546="","",F546))</f>
        <v/>
      </c>
      <c r="AN546" s="136" t="str">
        <f>IF(AH518="","",IF(G546="","",G546))</f>
        <v/>
      </c>
      <c r="AO546" s="136" t="str">
        <f>IF(AH518="","",IF(H546="","",H546))</f>
        <v/>
      </c>
      <c r="AP546" s="136" t="str">
        <f>IF(AH518="","",IF(I546="","",I546))</f>
        <v/>
      </c>
      <c r="AQ546" s="136" t="str">
        <f>IF(AH518="","",IF(J546="","",J546))</f>
        <v/>
      </c>
      <c r="AR546" s="136" t="str">
        <f>IF(AH518="","",IF(K546="","",K546))</f>
        <v/>
      </c>
      <c r="AS546" s="136" t="str">
        <f>IF(AH518="","",IF(L546="","",L546))</f>
        <v/>
      </c>
      <c r="AT546" s="136" t="str">
        <f>IF(AH518="","",IF(M546="","",M546))</f>
        <v/>
      </c>
      <c r="AU546" s="136" t="str">
        <f>IF(AH518="","",IF(N546="","",N546))</f>
        <v/>
      </c>
      <c r="AV546" s="136" t="str">
        <f>IF(AH518="","",IF(O546="","",O546))</f>
        <v/>
      </c>
      <c r="AX546" s="136" t="str">
        <f>IF(AI518="","",IF(B546="","",B546))</f>
        <v/>
      </c>
      <c r="AY546" s="136" t="str">
        <f>IF(AI518="","",IF(C546="","",C546))</f>
        <v/>
      </c>
      <c r="AZ546" s="136" t="str">
        <f>IF(AI518="","",IF(D546="","",D546))</f>
        <v/>
      </c>
      <c r="BA546" s="136" t="str">
        <f>IF(AI518="","",IF(E546="","",E546))</f>
        <v/>
      </c>
      <c r="BB546" s="136" t="str">
        <f>IF(AI518="","",IF(F546="","",F546))</f>
        <v/>
      </c>
      <c r="BC546" s="136" t="str">
        <f>IF(AI518="","",IF(G546="","",G546))</f>
        <v/>
      </c>
      <c r="BD546" s="136" t="str">
        <f>IF(AI518="","",IF(H546="","",H546))</f>
        <v/>
      </c>
      <c r="BE546" s="136" t="str">
        <f>IF(AI518="","",IF(I546="","",I546))</f>
        <v/>
      </c>
      <c r="BF546" s="136" t="str">
        <f>IF(AI518="","",IF(J546="","",J546))</f>
        <v/>
      </c>
      <c r="BG546" s="136" t="str">
        <f>IF(AI518="","",IF(K546="","",K546))</f>
        <v/>
      </c>
      <c r="BH546" s="136" t="str">
        <f>IF(AI518="","",IF(L546="","",L546))</f>
        <v/>
      </c>
      <c r="BI546" s="136" t="str">
        <f>IF(AI518="","",IF(M546="","",M546))</f>
        <v/>
      </c>
      <c r="BJ546" s="136" t="str">
        <f>IF(AI518="","",IF(N546="","",N546))</f>
        <v/>
      </c>
      <c r="BK546" s="136" t="str">
        <f>IF(AI518="","",IF(O546="","",O546))</f>
        <v/>
      </c>
      <c r="BM546" s="136" t="str">
        <f t="shared" ref="BM546:BM550" si="320">BM545</f>
        <v>TG</v>
      </c>
      <c r="BN546" s="136" t="str">
        <f t="shared" si="308"/>
        <v>Trabalho de Grupo</v>
      </c>
      <c r="BO546" s="136" t="str">
        <f t="shared" si="308"/>
        <v>IEI</v>
      </c>
      <c r="BP546" s="136">
        <f>(COUNTIFS(AX522:AX569,BM546,AY522:AY569,BO546)+COUNTIFS(AZ522:AZ569,BM546,BA522:BA569,BO546)+COUNTIFS(BB522:BB569,BM546,BC522:BC569,BO546)+COUNTIFS(BD522:BD569,BM546,BE522:BE569,BO546)+COUNTIFS(BF522:BF569,BM546,BG522:BG569,BO546)+COUNTIFS(BH522:BH569,BM546,BI522:BI569,BO546)+COUNTIFS(BJ522:BJ569,BM546,BK522:BK569,BO546))*0.5</f>
        <v>0</v>
      </c>
      <c r="BQ546" s="136" t="str">
        <f t="shared" si="309"/>
        <v>Trabalho de Grupo</v>
      </c>
      <c r="BR546" s="136" t="str">
        <f t="shared" si="309"/>
        <v>IEI</v>
      </c>
      <c r="BS546" s="136" t="str">
        <f t="shared" si="310"/>
        <v>Trabalho de Grupo</v>
      </c>
      <c r="BT546" s="136">
        <f t="shared" si="316"/>
        <v>0</v>
      </c>
      <c r="BU546" s="136">
        <f t="shared" si="317"/>
        <v>0</v>
      </c>
      <c r="CA546" s="136">
        <f>'INFO BASE'!L625</f>
        <v>0</v>
      </c>
      <c r="CB546" s="136">
        <f>'INFO BASE'!M625</f>
        <v>0</v>
      </c>
      <c r="CR546" s="177">
        <f t="shared" si="298"/>
        <v>1</v>
      </c>
      <c r="CS546" s="177">
        <f t="shared" si="299"/>
        <v>1</v>
      </c>
      <c r="CT546" s="177">
        <f t="shared" si="298"/>
        <v>1</v>
      </c>
      <c r="CU546" s="177">
        <f t="shared" si="300"/>
        <v>1</v>
      </c>
      <c r="CV546" s="177">
        <f t="shared" si="298"/>
        <v>1</v>
      </c>
      <c r="CW546" s="177">
        <f t="shared" si="301"/>
        <v>1</v>
      </c>
      <c r="CX546" s="177">
        <f t="shared" si="298"/>
        <v>1</v>
      </c>
      <c r="CY546" s="177">
        <f t="shared" si="302"/>
        <v>1</v>
      </c>
      <c r="CZ546" s="177">
        <f t="shared" si="298"/>
        <v>1</v>
      </c>
      <c r="DA546" s="177">
        <f t="shared" si="303"/>
        <v>1</v>
      </c>
      <c r="DB546" s="177">
        <f t="shared" si="298"/>
        <v>1</v>
      </c>
      <c r="DC546" s="177">
        <f t="shared" si="304"/>
        <v>1</v>
      </c>
      <c r="DD546" s="177">
        <f t="shared" si="305"/>
        <v>1</v>
      </c>
      <c r="DE546" s="177">
        <f t="shared" si="306"/>
        <v>1</v>
      </c>
    </row>
    <row r="547" spans="1:109" ht="18" customHeight="1" x14ac:dyDescent="0.3">
      <c r="A547" s="81">
        <v>0.52083333333335002</v>
      </c>
      <c r="B547" s="153"/>
      <c r="C547" s="130"/>
      <c r="D547" s="135"/>
      <c r="E547" s="130"/>
      <c r="F547" s="135"/>
      <c r="G547" s="130"/>
      <c r="H547" s="135"/>
      <c r="I547" s="130"/>
      <c r="J547" s="135"/>
      <c r="K547" s="130"/>
      <c r="L547" s="135"/>
      <c r="M547" s="130"/>
      <c r="N547" s="135"/>
      <c r="O547" s="154"/>
      <c r="P547" s="6">
        <v>0</v>
      </c>
      <c r="Q547" s="117" t="str">
        <f>IF('INFO BASE'!$C$19="","",'INFO BASE'!$C$19)</f>
        <v>Trabalho de Grupo</v>
      </c>
      <c r="R547" s="82" t="str">
        <f t="shared" si="315"/>
        <v>TG</v>
      </c>
      <c r="S547" s="83">
        <f t="shared" si="312"/>
        <v>-1</v>
      </c>
      <c r="T547" s="84">
        <f>IF(VLOOKUP(Q547,'INFO BASE'!$B$40:$I$54,IF(R547='INFO BASE'!$B$32,3,IF(R547='INFO BASE'!$B$33,4,IF(R547='INFO BASE'!$B$34,5,IF(R547='INFO BASE'!$B$35,6,IF(R547='INFO BASE'!$B$36,7,IF(R547='INFO BASE'!$B$37,8,2)))))),0)=0,"",VLOOKUP(Q547,'INFO BASE'!$B$40:$I$54,IF(R547='INFO BASE'!$B$32,3,IF(R547='INFO BASE'!$B$33,4,IF(R547='INFO BASE'!$B$34,5,IF(R547='INFO BASE'!$B$35,6,IF(R547='INFO BASE'!$B$36,7,IF(R547='INFO BASE'!$B$37,8,2)))))),0))</f>
        <v>15</v>
      </c>
      <c r="U547" s="84">
        <f>IF(R547="","",COUNTIFS(SEMANA10,R547)*0.5)</f>
        <v>0</v>
      </c>
      <c r="V547" s="84">
        <f>IF(R547="","",COUNTIFS(AI522:AV569,R547)*0.5)</f>
        <v>0</v>
      </c>
      <c r="W547" s="85" t="str">
        <f>IF(AH518="","-",IF(V547=0,U547,IFERROR((U547/V547)-1,"-")))</f>
        <v>-</v>
      </c>
      <c r="X547" s="201">
        <f t="shared" si="313"/>
        <v>0</v>
      </c>
      <c r="Y547" s="277"/>
      <c r="Z547" s="278"/>
      <c r="AA547" s="278"/>
      <c r="AB547" s="278"/>
      <c r="AC547" s="278"/>
      <c r="AD547" s="278"/>
      <c r="AE547" s="278"/>
      <c r="AF547" s="279"/>
      <c r="AH547" s="136">
        <v>0.52083333333335002</v>
      </c>
      <c r="AI547" s="136" t="str">
        <f>IF(AH518="","",IF(B547="","",B547))</f>
        <v/>
      </c>
      <c r="AJ547" s="136" t="str">
        <f>IF(AH518="","",IF(C547="","",C547))</f>
        <v/>
      </c>
      <c r="AK547" s="136" t="str">
        <f>IF(AH518="","",IF(D547="","",D547))</f>
        <v/>
      </c>
      <c r="AL547" s="136" t="str">
        <f>IF(AH518="","",IF(E547="","",E547))</f>
        <v/>
      </c>
      <c r="AM547" s="136" t="str">
        <f>IF(AH518="","",IF(F547="","",F547))</f>
        <v/>
      </c>
      <c r="AN547" s="136" t="str">
        <f>IF(AH518="","",IF(G547="","",G547))</f>
        <v/>
      </c>
      <c r="AO547" s="136" t="str">
        <f>IF(AH518="","",IF(H547="","",H547))</f>
        <v/>
      </c>
      <c r="AP547" s="136" t="str">
        <f>IF(AH518="","",IF(I547="","",I547))</f>
        <v/>
      </c>
      <c r="AQ547" s="136" t="str">
        <f>IF(AH518="","",IF(J547="","",J547))</f>
        <v/>
      </c>
      <c r="AR547" s="136" t="str">
        <f>IF(AH518="","",IF(K547="","",K547))</f>
        <v/>
      </c>
      <c r="AS547" s="136" t="str">
        <f>IF(AH518="","",IF(L547="","",L547))</f>
        <v/>
      </c>
      <c r="AT547" s="136" t="str">
        <f>IF(AH518="","",IF(M547="","",M547))</f>
        <v/>
      </c>
      <c r="AU547" s="136" t="str">
        <f>IF(AH518="","",IF(N547="","",N547))</f>
        <v/>
      </c>
      <c r="AV547" s="136" t="str">
        <f>IF(AH518="","",IF(O547="","",O547))</f>
        <v/>
      </c>
      <c r="AX547" s="136" t="str">
        <f>IF(AI518="","",IF(B547="","",B547))</f>
        <v/>
      </c>
      <c r="AY547" s="136" t="str">
        <f>IF(AI518="","",IF(C547="","",C547))</f>
        <v/>
      </c>
      <c r="AZ547" s="136" t="str">
        <f>IF(AI518="","",IF(D547="","",D547))</f>
        <v/>
      </c>
      <c r="BA547" s="136" t="str">
        <f>IF(AI518="","",IF(E547="","",E547))</f>
        <v/>
      </c>
      <c r="BB547" s="136" t="str">
        <f>IF(AI518="","",IF(F547="","",F547))</f>
        <v/>
      </c>
      <c r="BC547" s="136" t="str">
        <f>IF(AI518="","",IF(G547="","",G547))</f>
        <v/>
      </c>
      <c r="BD547" s="136" t="str">
        <f>IF(AI518="","",IF(H547="","",H547))</f>
        <v/>
      </c>
      <c r="BE547" s="136" t="str">
        <f>IF(AI518="","",IF(I547="","",I547))</f>
        <v/>
      </c>
      <c r="BF547" s="136" t="str">
        <f>IF(AI518="","",IF(J547="","",J547))</f>
        <v/>
      </c>
      <c r="BG547" s="136" t="str">
        <f>IF(AI518="","",IF(K547="","",K547))</f>
        <v/>
      </c>
      <c r="BH547" s="136" t="str">
        <f>IF(AI518="","",IF(L547="","",L547))</f>
        <v/>
      </c>
      <c r="BI547" s="136" t="str">
        <f>IF(AI518="","",IF(M547="","",M547))</f>
        <v/>
      </c>
      <c r="BJ547" s="136" t="str">
        <f>IF(AI518="","",IF(N547="","",N547))</f>
        <v/>
      </c>
      <c r="BK547" s="136" t="str">
        <f>IF(AI518="","",IF(O547="","",O547))</f>
        <v/>
      </c>
      <c r="BM547" s="136" t="str">
        <f t="shared" si="320"/>
        <v>TG</v>
      </c>
      <c r="BN547" s="136" t="str">
        <f t="shared" si="308"/>
        <v>Trabalho de Grupo</v>
      </c>
      <c r="BO547" s="136" t="str">
        <f t="shared" si="308"/>
        <v>IAC</v>
      </c>
      <c r="BP547" s="136">
        <f>(COUNTIFS(AX522:AX569,BM547,AY522:AY569,BO547)+COUNTIFS(AZ522:AZ569,BM547,BA522:BA569,BO547)+COUNTIFS(BB522:BB569,BM547,BC522:BC569,BO547)+COUNTIFS(BD522:BD569,BM547,BE522:BE569,BO547)+COUNTIFS(BF522:BF569,BM547,BG522:BG569,BO547)+COUNTIFS(BH522:BH569,BM547,BI522:BI569,BO547)+COUNTIFS(BJ522:BJ569,BM547,BK522:BK569,BO547))*0.5</f>
        <v>0</v>
      </c>
      <c r="BQ547" s="136" t="str">
        <f t="shared" si="309"/>
        <v>Trabalho de Grupo</v>
      </c>
      <c r="BR547" s="136" t="str">
        <f t="shared" si="309"/>
        <v>IAC</v>
      </c>
      <c r="BS547" s="136" t="str">
        <f t="shared" si="310"/>
        <v>Trabalho de Grupo</v>
      </c>
      <c r="BT547" s="136">
        <f t="shared" si="316"/>
        <v>0</v>
      </c>
      <c r="BU547" s="136">
        <f t="shared" si="317"/>
        <v>0</v>
      </c>
      <c r="CA547" s="136">
        <f>'INFO BASE'!L626</f>
        <v>0</v>
      </c>
      <c r="CB547" s="136">
        <f>'INFO BASE'!M626</f>
        <v>0</v>
      </c>
      <c r="CR547" s="177">
        <f t="shared" si="298"/>
        <v>1</v>
      </c>
      <c r="CS547" s="177">
        <f t="shared" si="299"/>
        <v>1</v>
      </c>
      <c r="CT547" s="177">
        <f t="shared" si="298"/>
        <v>1</v>
      </c>
      <c r="CU547" s="177">
        <f t="shared" si="300"/>
        <v>1</v>
      </c>
      <c r="CV547" s="177">
        <f t="shared" si="298"/>
        <v>1</v>
      </c>
      <c r="CW547" s="177">
        <f t="shared" si="301"/>
        <v>1</v>
      </c>
      <c r="CX547" s="177">
        <f t="shared" si="298"/>
        <v>1</v>
      </c>
      <c r="CY547" s="177">
        <f t="shared" si="302"/>
        <v>1</v>
      </c>
      <c r="CZ547" s="177">
        <f t="shared" si="298"/>
        <v>1</v>
      </c>
      <c r="DA547" s="177">
        <f t="shared" si="303"/>
        <v>1</v>
      </c>
      <c r="DB547" s="177">
        <f t="shared" si="298"/>
        <v>1</v>
      </c>
      <c r="DC547" s="177">
        <f t="shared" si="304"/>
        <v>1</v>
      </c>
      <c r="DD547" s="177">
        <f t="shared" si="305"/>
        <v>1</v>
      </c>
      <c r="DE547" s="177">
        <f t="shared" si="306"/>
        <v>1</v>
      </c>
    </row>
    <row r="548" spans="1:109" ht="18" customHeight="1" x14ac:dyDescent="0.3">
      <c r="A548" s="81">
        <v>0.54166666666668395</v>
      </c>
      <c r="B548" s="153"/>
      <c r="C548" s="130"/>
      <c r="D548" s="135"/>
      <c r="E548" s="130"/>
      <c r="F548" s="135"/>
      <c r="G548" s="130"/>
      <c r="H548" s="135"/>
      <c r="I548" s="130"/>
      <c r="J548" s="135"/>
      <c r="K548" s="130"/>
      <c r="L548" s="135"/>
      <c r="M548" s="130"/>
      <c r="N548" s="135"/>
      <c r="O548" s="154"/>
      <c r="P548" s="6">
        <v>0</v>
      </c>
      <c r="Q548" s="118" t="str">
        <f t="shared" ref="Q548:Q553" si="321">Q547</f>
        <v>Trabalho de Grupo</v>
      </c>
      <c r="R548" s="105" t="str">
        <f t="shared" si="315"/>
        <v>FP</v>
      </c>
      <c r="S548" s="88">
        <f t="shared" si="312"/>
        <v>-1</v>
      </c>
      <c r="T548" s="89">
        <f>IF(VLOOKUP(Q548,'INFO BASE'!$B$40:$I$54,IF(R548='INFO BASE'!$B$32,3,IF(R548='INFO BASE'!$B$33,4,IF(R548='INFO BASE'!$B$34,5,IF(R548='INFO BASE'!$B$35,6,IF(R548='INFO BASE'!$B$36,7,IF(R548='INFO BASE'!$B$37,8,2)))))),0)=0,"",VLOOKUP(Q548,'INFO BASE'!$B$40:$I$54,IF(R548='INFO BASE'!$B$32,3,IF(R548='INFO BASE'!$B$33,4,IF(R548='INFO BASE'!$B$34,5,IF(R548='INFO BASE'!$B$35,6,IF(R548='INFO BASE'!$B$36,7,IF(R548='INFO BASE'!$B$37,8,2)))))),0))</f>
        <v>3</v>
      </c>
      <c r="U548" s="89">
        <f>(COUNTIFS(C522:C569,R548,B522:B569,R547)+COUNTIFS(E522:E569,R548,D522:D569,R547)+COUNTIFS(G522:G569,R548,F522:F569,R547)+COUNTIFS(I522:I569,R548,H522:H569,R547)+COUNTIFS(K522:K569,R548,J522:J569,R547)+COUNTIFS(M522:M569,R548,L522:L569,R547)+COUNTIFS(O522:O569,R548,N522:N569,R547))*0.5</f>
        <v>0</v>
      </c>
      <c r="V548" s="89">
        <f>(COUNTIFS(AI522:AI569,R547,AJ522:AJ569,R541)+COUNTIFS(AK522:AK569,R547,AL522:AL569,R541)+COUNTIFS(AM522:AM569,R547,AN522:AN569,R541)+COUNTIFS(AO522:AO569,R547,AP522:AP569,R541)+COUNTIFS(AQ522:AQ569,R547,AR522:AR569,R541)+COUNTIFS(AS522:AS569,R547,AT522:AT569,R541)+COUNTIFS(AU522:AU569,R547,AV522:AV569,R541))*0.5</f>
        <v>0</v>
      </c>
      <c r="W548" s="90" t="str">
        <f>IF(AH518="","-",IF(V548=0,U548,IFERROR((U548/V548)-1,"-")))</f>
        <v>-</v>
      </c>
      <c r="X548" s="201">
        <f t="shared" si="313"/>
        <v>0</v>
      </c>
      <c r="Y548" s="271"/>
      <c r="Z548" s="272"/>
      <c r="AA548" s="272"/>
      <c r="AB548" s="272"/>
      <c r="AC548" s="272"/>
      <c r="AD548" s="272"/>
      <c r="AE548" s="272"/>
      <c r="AF548" s="273"/>
      <c r="AH548" s="136">
        <v>0.54166666666668395</v>
      </c>
      <c r="AI548" s="136" t="str">
        <f>IF(AH518="","",IF(B548="","",B548))</f>
        <v/>
      </c>
      <c r="AJ548" s="136" t="str">
        <f>IF(AH518="","",IF(C548="","",C548))</f>
        <v/>
      </c>
      <c r="AK548" s="136" t="str">
        <f>IF(AH518="","",IF(D548="","",D548))</f>
        <v/>
      </c>
      <c r="AL548" s="136" t="str">
        <f>IF(AH518="","",IF(E548="","",E548))</f>
        <v/>
      </c>
      <c r="AM548" s="136" t="str">
        <f>IF(AH518="","",IF(F548="","",F548))</f>
        <v/>
      </c>
      <c r="AN548" s="136" t="str">
        <f>IF(AH518="","",IF(G548="","",G548))</f>
        <v/>
      </c>
      <c r="AO548" s="136" t="str">
        <f>IF(AH518="","",IF(H548="","",H548))</f>
        <v/>
      </c>
      <c r="AP548" s="136" t="str">
        <f>IF(AH518="","",IF(I548="","",I548))</f>
        <v/>
      </c>
      <c r="AQ548" s="136" t="str">
        <f>IF(AH518="","",IF(J548="","",J548))</f>
        <v/>
      </c>
      <c r="AR548" s="136" t="str">
        <f>IF(AH518="","",IF(K548="","",K548))</f>
        <v/>
      </c>
      <c r="AS548" s="136" t="str">
        <f>IF(AH518="","",IF(L548="","",L548))</f>
        <v/>
      </c>
      <c r="AT548" s="136" t="str">
        <f>IF(AH518="","",IF(M548="","",M548))</f>
        <v/>
      </c>
      <c r="AU548" s="136" t="str">
        <f>IF(AH518="","",IF(N548="","",N548))</f>
        <v/>
      </c>
      <c r="AV548" s="136" t="str">
        <f>IF(AH518="","",IF(O548="","",O548))</f>
        <v/>
      </c>
      <c r="AX548" s="136" t="str">
        <f>IF(AI518="","",IF(B548="","",B548))</f>
        <v/>
      </c>
      <c r="AY548" s="136" t="str">
        <f>IF(AI518="","",IF(C548="","",C548))</f>
        <v/>
      </c>
      <c r="AZ548" s="136" t="str">
        <f>IF(AI518="","",IF(D548="","",D548))</f>
        <v/>
      </c>
      <c r="BA548" s="136" t="str">
        <f>IF(AI518="","",IF(E548="","",E548))</f>
        <v/>
      </c>
      <c r="BB548" s="136" t="str">
        <f>IF(AI518="","",IF(F548="","",F548))</f>
        <v/>
      </c>
      <c r="BC548" s="136" t="str">
        <f>IF(AI518="","",IF(G548="","",G548))</f>
        <v/>
      </c>
      <c r="BD548" s="136" t="str">
        <f>IF(AI518="","",IF(H548="","",H548))</f>
        <v/>
      </c>
      <c r="BE548" s="136" t="str">
        <f>IF(AI518="","",IF(I548="","",I548))</f>
        <v/>
      </c>
      <c r="BF548" s="136" t="str">
        <f>IF(AI518="","",IF(J548="","",J548))</f>
        <v/>
      </c>
      <c r="BG548" s="136" t="str">
        <f>IF(AI518="","",IF(K548="","",K548))</f>
        <v/>
      </c>
      <c r="BH548" s="136" t="str">
        <f>IF(AI518="","",IF(L548="","",L548))</f>
        <v/>
      </c>
      <c r="BI548" s="136" t="str">
        <f>IF(AI518="","",IF(M548="","",M548))</f>
        <v/>
      </c>
      <c r="BJ548" s="136" t="str">
        <f>IF(AI518="","",IF(N548="","",N548))</f>
        <v/>
      </c>
      <c r="BK548" s="136" t="str">
        <f>IF(AI518="","",IF(O548="","",O548))</f>
        <v/>
      </c>
      <c r="BM548" s="136" t="str">
        <f t="shared" si="320"/>
        <v>TG</v>
      </c>
      <c r="BN548" s="136" t="str">
        <f t="shared" si="308"/>
        <v>Trabalho de Grupo</v>
      </c>
      <c r="BO548" s="136" t="str">
        <f t="shared" si="308"/>
        <v>AL</v>
      </c>
      <c r="BP548" s="136">
        <f>(COUNTIFS(AX522:AX569,BM548,AY522:AY569,BO548)+COUNTIFS(AZ522:AZ569,BM548,BA522:BA569,BO548)+COUNTIFS(BB522:BB569,BM548,BC522:BC569,BO548)+COUNTIFS(BD522:BD569,BM548,BE522:BE569,BO548)+COUNTIFS(BF522:BF569,BM548,BG522:BG569,BO548)+COUNTIFS(BH522:BH569,BM548,BI522:BI569,BO548)+COUNTIFS(BJ522:BJ569,BM548,BK522:BK569,BO548))*0.5</f>
        <v>0</v>
      </c>
      <c r="BQ548" s="136" t="str">
        <f t="shared" si="309"/>
        <v>Trabalho de Grupo</v>
      </c>
      <c r="BR548" s="136" t="str">
        <f t="shared" si="309"/>
        <v>AL</v>
      </c>
      <c r="BS548" s="136" t="str">
        <f t="shared" si="310"/>
        <v>Trabalho de Grupo</v>
      </c>
      <c r="BT548" s="136">
        <f t="shared" si="316"/>
        <v>0</v>
      </c>
      <c r="BU548" s="136">
        <f t="shared" si="317"/>
        <v>0</v>
      </c>
      <c r="CA548" s="136">
        <f>'INFO BASE'!L627</f>
        <v>0</v>
      </c>
      <c r="CB548" s="136">
        <f>'INFO BASE'!M627</f>
        <v>0</v>
      </c>
      <c r="CR548" s="177">
        <f t="shared" si="298"/>
        <v>1</v>
      </c>
      <c r="CS548" s="177">
        <f t="shared" si="299"/>
        <v>1</v>
      </c>
      <c r="CT548" s="177">
        <f t="shared" si="298"/>
        <v>1</v>
      </c>
      <c r="CU548" s="177">
        <f t="shared" si="300"/>
        <v>1</v>
      </c>
      <c r="CV548" s="177">
        <f t="shared" si="298"/>
        <v>1</v>
      </c>
      <c r="CW548" s="177">
        <f t="shared" si="301"/>
        <v>1</v>
      </c>
      <c r="CX548" s="177">
        <f t="shared" si="298"/>
        <v>1</v>
      </c>
      <c r="CY548" s="177">
        <f t="shared" si="302"/>
        <v>1</v>
      </c>
      <c r="CZ548" s="177">
        <f t="shared" si="298"/>
        <v>1</v>
      </c>
      <c r="DA548" s="177">
        <f t="shared" si="303"/>
        <v>1</v>
      </c>
      <c r="DB548" s="177">
        <f t="shared" si="298"/>
        <v>1</v>
      </c>
      <c r="DC548" s="177">
        <f t="shared" si="304"/>
        <v>1</v>
      </c>
      <c r="DD548" s="177">
        <f t="shared" si="305"/>
        <v>1</v>
      </c>
      <c r="DE548" s="177">
        <f t="shared" si="306"/>
        <v>1</v>
      </c>
    </row>
    <row r="549" spans="1:109" ht="18" customHeight="1" x14ac:dyDescent="0.3">
      <c r="A549" s="81">
        <v>0.56250000000001799</v>
      </c>
      <c r="B549" s="153"/>
      <c r="C549" s="130"/>
      <c r="D549" s="135"/>
      <c r="E549" s="130"/>
      <c r="F549" s="135"/>
      <c r="G549" s="130"/>
      <c r="H549" s="135"/>
      <c r="I549" s="130"/>
      <c r="J549" s="135"/>
      <c r="K549" s="130"/>
      <c r="L549" s="135"/>
      <c r="M549" s="130"/>
      <c r="N549" s="135"/>
      <c r="O549" s="154"/>
      <c r="P549" s="6">
        <v>0</v>
      </c>
      <c r="Q549" s="118" t="str">
        <f t="shared" si="321"/>
        <v>Trabalho de Grupo</v>
      </c>
      <c r="R549" s="105" t="str">
        <f t="shared" si="315"/>
        <v>IEI</v>
      </c>
      <c r="S549" s="88">
        <f t="shared" si="312"/>
        <v>-1</v>
      </c>
      <c r="T549" s="89">
        <f>IF(VLOOKUP(Q549,'INFO BASE'!$B$40:$I$54,IF(R549='INFO BASE'!$B$32,3,IF(R549='INFO BASE'!$B$33,4,IF(R549='INFO BASE'!$B$34,5,IF(R549='INFO BASE'!$B$35,6,IF(R549='INFO BASE'!$B$36,7,IF(R549='INFO BASE'!$B$37,8,2)))))),0)=0,"",VLOOKUP(Q549,'INFO BASE'!$B$40:$I$54,IF(R549='INFO BASE'!$B$32,3,IF(R549='INFO BASE'!$B$33,4,IF(R549='INFO BASE'!$B$34,5,IF(R549='INFO BASE'!$B$35,6,IF(R549='INFO BASE'!$B$36,7,IF(R549='INFO BASE'!$B$37,8,2)))))),0))</f>
        <v>3</v>
      </c>
      <c r="U549" s="89">
        <f>(COUNTIFS(C522:C569,R549,B522:B569,R547)+COUNTIFS(E522:E569,R549,D522:D569,R547)+COUNTIFS(G522:G569,R549,F522:F569,R547)+COUNTIFS(I522:I569,R549,H522:H569,R547)+COUNTIFS(K522:K569,R549,J522:J569,R547)+COUNTIFS(M522:M569,R549,L522:L569,R547)+COUNTIFS(O522:O569,R549,N522:N569,R547))*0.5</f>
        <v>0</v>
      </c>
      <c r="V549" s="89">
        <f>(COUNTIFS(AI522:AI569,R547,AJ522:AJ569,R542)+COUNTIFS(AK522:AK569,R547,AL522:AL569,R542)+COUNTIFS(AM522:AM569,R547,AN522:AN569,R542)+COUNTIFS(AO522:AO569,R547,AP522:AP569,R542)+COUNTIFS(AQ522:AQ569,R547,AR522:AR569,R542)+COUNTIFS(AS522:AS569,R547,AT522:AT569,R542)+COUNTIFS(AU522:AU569,R547,AV522:AV569,R542))*0.5</f>
        <v>0</v>
      </c>
      <c r="W549" s="90" t="str">
        <f>IF(AH518="","-",IF(V549=0,U549,IFERROR((U549/V549)-1,"-")))</f>
        <v>-</v>
      </c>
      <c r="X549" s="201">
        <f t="shared" si="313"/>
        <v>0</v>
      </c>
      <c r="Y549" s="271"/>
      <c r="Z549" s="272"/>
      <c r="AA549" s="272"/>
      <c r="AB549" s="272"/>
      <c r="AC549" s="272"/>
      <c r="AD549" s="272"/>
      <c r="AE549" s="272"/>
      <c r="AF549" s="273"/>
      <c r="AH549" s="136">
        <v>0.56250000000001799</v>
      </c>
      <c r="AI549" s="136" t="str">
        <f>IF(AH518="","",IF(B549="","",B549))</f>
        <v/>
      </c>
      <c r="AJ549" s="136" t="str">
        <f>IF(AH518="","",IF(C549="","",C549))</f>
        <v/>
      </c>
      <c r="AK549" s="136" t="str">
        <f>IF(AH518="","",IF(D549="","",D549))</f>
        <v/>
      </c>
      <c r="AL549" s="136" t="str">
        <f>IF(AH518="","",IF(E549="","",E549))</f>
        <v/>
      </c>
      <c r="AM549" s="136" t="str">
        <f>IF(AH518="","",IF(F549="","",F549))</f>
        <v/>
      </c>
      <c r="AN549" s="136" t="str">
        <f>IF(AH518="","",IF(G549="","",G549))</f>
        <v/>
      </c>
      <c r="AO549" s="136" t="str">
        <f>IF(AH518="","",IF(H549="","",H549))</f>
        <v/>
      </c>
      <c r="AP549" s="136" t="str">
        <f>IF(AH518="","",IF(I549="","",I549))</f>
        <v/>
      </c>
      <c r="AQ549" s="136" t="str">
        <f>IF(AH518="","",IF(J549="","",J549))</f>
        <v/>
      </c>
      <c r="AR549" s="136" t="str">
        <f>IF(AH518="","",IF(K549="","",K549))</f>
        <v/>
      </c>
      <c r="AS549" s="136" t="str">
        <f>IF(AH518="","",IF(L549="","",L549))</f>
        <v/>
      </c>
      <c r="AT549" s="136" t="str">
        <f>IF(AH518="","",IF(M549="","",M549))</f>
        <v/>
      </c>
      <c r="AU549" s="136" t="str">
        <f>IF(AH518="","",IF(N549="","",N549))</f>
        <v/>
      </c>
      <c r="AV549" s="136" t="str">
        <f>IF(AH518="","",IF(O549="","",O549))</f>
        <v/>
      </c>
      <c r="AX549" s="136" t="str">
        <f>IF(AI518="","",IF(B549="","",B549))</f>
        <v/>
      </c>
      <c r="AY549" s="136" t="str">
        <f>IF(AI518="","",IF(C549="","",C549))</f>
        <v/>
      </c>
      <c r="AZ549" s="136" t="str">
        <f>IF(AI518="","",IF(D549="","",D549))</f>
        <v/>
      </c>
      <c r="BA549" s="136" t="str">
        <f>IF(AI518="","",IF(E549="","",E549))</f>
        <v/>
      </c>
      <c r="BB549" s="136" t="str">
        <f>IF(AI518="","",IF(F549="","",F549))</f>
        <v/>
      </c>
      <c r="BC549" s="136" t="str">
        <f>IF(AI518="","",IF(G549="","",G549))</f>
        <v/>
      </c>
      <c r="BD549" s="136" t="str">
        <f>IF(AI518="","",IF(H549="","",H549))</f>
        <v/>
      </c>
      <c r="BE549" s="136" t="str">
        <f>IF(AI518="","",IF(I549="","",I549))</f>
        <v/>
      </c>
      <c r="BF549" s="136" t="str">
        <f>IF(AI518="","",IF(J549="","",J549))</f>
        <v/>
      </c>
      <c r="BG549" s="136" t="str">
        <f>IF(AI518="","",IF(K549="","",K549))</f>
        <v/>
      </c>
      <c r="BH549" s="136" t="str">
        <f>IF(AI518="","",IF(L549="","",L549))</f>
        <v/>
      </c>
      <c r="BI549" s="136" t="str">
        <f>IF(AI518="","",IF(M549="","",M549))</f>
        <v/>
      </c>
      <c r="BJ549" s="136" t="str">
        <f>IF(AI518="","",IF(N549="","",N549))</f>
        <v/>
      </c>
      <c r="BK549" s="136" t="str">
        <f>IF(AI518="","",IF(O549="","",O549))</f>
        <v/>
      </c>
      <c r="BM549" s="136" t="str">
        <f t="shared" si="320"/>
        <v>TG</v>
      </c>
      <c r="BN549" s="136" t="str">
        <f t="shared" si="308"/>
        <v>Trabalho de Grupo</v>
      </c>
      <c r="BO549" s="136" t="str">
        <f t="shared" si="308"/>
        <v>CDI</v>
      </c>
      <c r="BP549" s="136">
        <f>(COUNTIFS(AX522:AX569,BM549,AY522:AY569,BO549)+COUNTIFS(AZ522:AZ569,BM549,BA522:BA569,BO549)+COUNTIFS(BB522:BB569,BM549,BC522:BC569,BO549)+COUNTIFS(BD522:BD569,BM549,BE522:BE569,BO549)+COUNTIFS(BF522:BF569,BM549,BG522:BG569,BO549)+COUNTIFS(BH522:BH569,BM549,BI522:BI569,BO549)+COUNTIFS(BJ522:BJ569,BM549,BK522:BK569,BO549))*0.5</f>
        <v>0</v>
      </c>
      <c r="BQ549" s="136" t="str">
        <f t="shared" si="309"/>
        <v>Trabalho de Grupo</v>
      </c>
      <c r="BR549" s="136" t="str">
        <f t="shared" si="309"/>
        <v>CDI</v>
      </c>
      <c r="BS549" s="136" t="str">
        <f t="shared" si="310"/>
        <v>Trabalho de Grupo</v>
      </c>
      <c r="BT549" s="136">
        <f t="shared" si="316"/>
        <v>0</v>
      </c>
      <c r="BU549" s="136">
        <f t="shared" si="317"/>
        <v>0</v>
      </c>
      <c r="CA549" s="136">
        <f>'INFO BASE'!L628</f>
        <v>0</v>
      </c>
      <c r="CB549" s="136">
        <f>'INFO BASE'!M628</f>
        <v>0</v>
      </c>
      <c r="CR549" s="177">
        <f t="shared" si="298"/>
        <v>1</v>
      </c>
      <c r="CS549" s="177">
        <f t="shared" si="299"/>
        <v>1</v>
      </c>
      <c r="CT549" s="177">
        <f t="shared" si="298"/>
        <v>1</v>
      </c>
      <c r="CU549" s="177">
        <f t="shared" si="300"/>
        <v>1</v>
      </c>
      <c r="CV549" s="177">
        <f t="shared" si="298"/>
        <v>1</v>
      </c>
      <c r="CW549" s="177">
        <f t="shared" si="301"/>
        <v>1</v>
      </c>
      <c r="CX549" s="177">
        <f t="shared" si="298"/>
        <v>1</v>
      </c>
      <c r="CY549" s="177">
        <f t="shared" si="302"/>
        <v>1</v>
      </c>
      <c r="CZ549" s="177">
        <f t="shared" si="298"/>
        <v>1</v>
      </c>
      <c r="DA549" s="177">
        <f t="shared" si="303"/>
        <v>1</v>
      </c>
      <c r="DB549" s="177">
        <f t="shared" si="298"/>
        <v>1</v>
      </c>
      <c r="DC549" s="177">
        <f t="shared" si="304"/>
        <v>1</v>
      </c>
      <c r="DD549" s="177">
        <f t="shared" si="305"/>
        <v>1</v>
      </c>
      <c r="DE549" s="177">
        <f t="shared" si="306"/>
        <v>1</v>
      </c>
    </row>
    <row r="550" spans="1:109" ht="18" customHeight="1" x14ac:dyDescent="0.3">
      <c r="A550" s="81">
        <v>0.58333333333335202</v>
      </c>
      <c r="B550" s="153"/>
      <c r="C550" s="130"/>
      <c r="D550" s="135"/>
      <c r="E550" s="130"/>
      <c r="F550" s="135"/>
      <c r="G550" s="130"/>
      <c r="H550" s="135"/>
      <c r="I550" s="130"/>
      <c r="J550" s="135"/>
      <c r="K550" s="130"/>
      <c r="L550" s="135"/>
      <c r="M550" s="130"/>
      <c r="N550" s="135"/>
      <c r="O550" s="154"/>
      <c r="P550" s="6">
        <v>0</v>
      </c>
      <c r="Q550" s="119" t="str">
        <f t="shared" si="321"/>
        <v>Trabalho de Grupo</v>
      </c>
      <c r="R550" s="105" t="str">
        <f t="shared" si="315"/>
        <v>IAC</v>
      </c>
      <c r="S550" s="88">
        <f t="shared" si="312"/>
        <v>-1</v>
      </c>
      <c r="T550" s="89">
        <f>IF(VLOOKUP(Q550,'INFO BASE'!$B$40:$I$54,IF(R550='INFO BASE'!$B$32,3,IF(R550='INFO BASE'!$B$33,4,IF(R550='INFO BASE'!$B$34,5,IF(R550='INFO BASE'!$B$35,6,IF(R550='INFO BASE'!$B$36,7,IF(R550='INFO BASE'!$B$37,8,2)))))),0)=0,"",VLOOKUP(Q550,'INFO BASE'!$B$40:$I$54,IF(R550='INFO BASE'!$B$32,3,IF(R550='INFO BASE'!$B$33,4,IF(R550='INFO BASE'!$B$34,5,IF(R550='INFO BASE'!$B$35,6,IF(R550='INFO BASE'!$B$36,7,IF(R550='INFO BASE'!$B$37,8,2)))))),0))</f>
        <v>3</v>
      </c>
      <c r="U550" s="89">
        <f>(COUNTIFS(C522:C569,R550,B522:B569,R547)+COUNTIFS(E522:E569,R550,D522:D569,R547)+COUNTIFS(G522:G569,R550,F522:F569,R547)+COUNTIFS(I522:I569,R550,H522:H569,R547)+COUNTIFS(K522:K569,R550,J522:J569,R547)+COUNTIFS(M522:M569,R550,L522:L569,R547)+COUNTIFS(O522:O569,R550,N522:N569,R547))*0.5</f>
        <v>0</v>
      </c>
      <c r="V550" s="89">
        <f>(COUNTIFS(AI522:AI569,R547,AJ522:AJ569,R543)+COUNTIFS(AK522:AK569,R547,AL522:AL569,R543)+COUNTIFS(AM522:AM569,R547,AN522:AN569,R543)+COUNTIFS(AO522:AO569,R547,AP522:AP569,R543)+COUNTIFS(AQ522:AQ569,R547,AR522:AR569,R543)+COUNTIFS(AS522:AS569,R547,AT522:AT569,R543)+COUNTIFS(AU522:AU569,R547,AV522:AV569,R543))*0.5</f>
        <v>0</v>
      </c>
      <c r="W550" s="90" t="str">
        <f>IF(AH518="","-",IF(V550=0,U550,IFERROR((U550/V550)-1,"-")))</f>
        <v>-</v>
      </c>
      <c r="X550" s="201">
        <f t="shared" si="313"/>
        <v>0</v>
      </c>
      <c r="Y550" s="271"/>
      <c r="Z550" s="272"/>
      <c r="AA550" s="272"/>
      <c r="AB550" s="272"/>
      <c r="AC550" s="272"/>
      <c r="AD550" s="272"/>
      <c r="AE550" s="272"/>
      <c r="AF550" s="273"/>
      <c r="AH550" s="136">
        <v>0.58333333333335202</v>
      </c>
      <c r="AI550" s="136" t="str">
        <f>IF(AH518="","",IF(B550="","",B550))</f>
        <v/>
      </c>
      <c r="AJ550" s="136" t="str">
        <f>IF(AH518="","",IF(C550="","",C550))</f>
        <v/>
      </c>
      <c r="AK550" s="136" t="str">
        <f>IF(AH518="","",IF(D550="","",D550))</f>
        <v/>
      </c>
      <c r="AL550" s="136" t="str">
        <f>IF(AH518="","",IF(E550="","",E550))</f>
        <v/>
      </c>
      <c r="AM550" s="136" t="str">
        <f>IF(AH518="","",IF(F550="","",F550))</f>
        <v/>
      </c>
      <c r="AN550" s="136" t="str">
        <f>IF(AH518="","",IF(G550="","",G550))</f>
        <v/>
      </c>
      <c r="AO550" s="136" t="str">
        <f>IF(AH518="","",IF(H550="","",H550))</f>
        <v/>
      </c>
      <c r="AP550" s="136" t="str">
        <f>IF(AH518="","",IF(I550="","",I550))</f>
        <v/>
      </c>
      <c r="AQ550" s="136" t="str">
        <f>IF(AH518="","",IF(J550="","",J550))</f>
        <v/>
      </c>
      <c r="AR550" s="136" t="str">
        <f>IF(AH518="","",IF(K550="","",K550))</f>
        <v/>
      </c>
      <c r="AS550" s="136" t="str">
        <f>IF(AH518="","",IF(L550="","",L550))</f>
        <v/>
      </c>
      <c r="AT550" s="136" t="str">
        <f>IF(AH518="","",IF(M550="","",M550))</f>
        <v/>
      </c>
      <c r="AU550" s="136" t="str">
        <f>IF(AH518="","",IF(N550="","",N550))</f>
        <v/>
      </c>
      <c r="AV550" s="136" t="str">
        <f>IF(AH518="","",IF(O550="","",O550))</f>
        <v/>
      </c>
      <c r="AX550" s="136" t="str">
        <f>IF(AI518="","",IF(B550="","",B550))</f>
        <v/>
      </c>
      <c r="AY550" s="136" t="str">
        <f>IF(AI518="","",IF(C550="","",C550))</f>
        <v/>
      </c>
      <c r="AZ550" s="136" t="str">
        <f>IF(AI518="","",IF(D550="","",D550))</f>
        <v/>
      </c>
      <c r="BA550" s="136" t="str">
        <f>IF(AI518="","",IF(E550="","",E550))</f>
        <v/>
      </c>
      <c r="BB550" s="136" t="str">
        <f>IF(AI518="","",IF(F550="","",F550))</f>
        <v/>
      </c>
      <c r="BC550" s="136" t="str">
        <f>IF(AI518="","",IF(G550="","",G550))</f>
        <v/>
      </c>
      <c r="BD550" s="136" t="str">
        <f>IF(AI518="","",IF(H550="","",H550))</f>
        <v/>
      </c>
      <c r="BE550" s="136" t="str">
        <f>IF(AI518="","",IF(I550="","",I550))</f>
        <v/>
      </c>
      <c r="BF550" s="136" t="str">
        <f>IF(AI518="","",IF(J550="","",J550))</f>
        <v/>
      </c>
      <c r="BG550" s="136" t="str">
        <f>IF(AI518="","",IF(K550="","",K550))</f>
        <v/>
      </c>
      <c r="BH550" s="136" t="str">
        <f>IF(AI518="","",IF(L550="","",L550))</f>
        <v/>
      </c>
      <c r="BI550" s="136" t="str">
        <f>IF(AI518="","",IF(M550="","",M550))</f>
        <v/>
      </c>
      <c r="BJ550" s="136" t="str">
        <f>IF(AI518="","",IF(N550="","",N550))</f>
        <v/>
      </c>
      <c r="BK550" s="136" t="str">
        <f>IF(AI518="","",IF(O550="","",O550))</f>
        <v/>
      </c>
      <c r="BM550" s="136" t="str">
        <f t="shared" si="320"/>
        <v>TG</v>
      </c>
      <c r="BN550" s="136" t="str">
        <f t="shared" si="308"/>
        <v>Trabalho de Grupo</v>
      </c>
      <c r="BO550" s="136" t="str">
        <f t="shared" si="308"/>
        <v/>
      </c>
      <c r="BP550" s="136">
        <f>(COUNTIFS(AX522:AX569,BM550,AY522:AY569,BO550)+COUNTIFS(AZ522:AZ569,BM550,BA522:BA569,BO550)+COUNTIFS(BB522:BB569,BM550,BC522:BC569,BO550)+COUNTIFS(BD522:BD569,BM550,BE522:BE569,BO550)+COUNTIFS(BF522:BF569,BM550,BG522:BG569,BO550)+COUNTIFS(BH522:BH569,BM550,BI522:BI569,BO550)+COUNTIFS(BJ522:BJ569,BM550,BK522:BK569,BO550))*0.5</f>
        <v>0</v>
      </c>
      <c r="BQ550" s="136" t="str">
        <f t="shared" si="309"/>
        <v>Trabalho de Grupo</v>
      </c>
      <c r="BR550" s="136" t="str">
        <f t="shared" si="309"/>
        <v/>
      </c>
      <c r="BS550" s="136" t="str">
        <f t="shared" si="310"/>
        <v>Trabalho de Grupo</v>
      </c>
      <c r="BT550" s="136">
        <f t="shared" si="316"/>
        <v>0</v>
      </c>
      <c r="BU550" s="136">
        <f t="shared" si="317"/>
        <v>0</v>
      </c>
      <c r="CA550" s="136">
        <f>'INFO BASE'!L629</f>
        <v>0</v>
      </c>
      <c r="CB550" s="136">
        <f>'INFO BASE'!M629</f>
        <v>0</v>
      </c>
      <c r="CR550" s="177">
        <f t="shared" si="298"/>
        <v>1</v>
      </c>
      <c r="CS550" s="177">
        <f t="shared" si="299"/>
        <v>1</v>
      </c>
      <c r="CT550" s="177">
        <f t="shared" si="298"/>
        <v>1</v>
      </c>
      <c r="CU550" s="177">
        <f t="shared" si="300"/>
        <v>1</v>
      </c>
      <c r="CV550" s="177">
        <f t="shared" si="298"/>
        <v>1</v>
      </c>
      <c r="CW550" s="177">
        <f t="shared" si="301"/>
        <v>1</v>
      </c>
      <c r="CX550" s="177">
        <f t="shared" si="298"/>
        <v>1</v>
      </c>
      <c r="CY550" s="177">
        <f t="shared" si="302"/>
        <v>1</v>
      </c>
      <c r="CZ550" s="177">
        <f t="shared" si="298"/>
        <v>1</v>
      </c>
      <c r="DA550" s="177">
        <f t="shared" si="303"/>
        <v>1</v>
      </c>
      <c r="DB550" s="177">
        <f t="shared" si="298"/>
        <v>1</v>
      </c>
      <c r="DC550" s="177">
        <f t="shared" si="304"/>
        <v>1</v>
      </c>
      <c r="DD550" s="177">
        <f t="shared" si="305"/>
        <v>1</v>
      </c>
      <c r="DE550" s="177">
        <f t="shared" si="306"/>
        <v>1</v>
      </c>
    </row>
    <row r="551" spans="1:109" ht="18" customHeight="1" x14ac:dyDescent="0.3">
      <c r="A551" s="81">
        <v>0.60416666666668595</v>
      </c>
      <c r="B551" s="153"/>
      <c r="C551" s="130"/>
      <c r="D551" s="135"/>
      <c r="E551" s="130"/>
      <c r="F551" s="135"/>
      <c r="G551" s="130"/>
      <c r="H551" s="135"/>
      <c r="I551" s="130"/>
      <c r="J551" s="135"/>
      <c r="K551" s="130"/>
      <c r="L551" s="135"/>
      <c r="M551" s="130"/>
      <c r="N551" s="135"/>
      <c r="O551" s="154"/>
      <c r="P551" s="6">
        <v>0</v>
      </c>
      <c r="Q551" s="118" t="str">
        <f t="shared" si="321"/>
        <v>Trabalho de Grupo</v>
      </c>
      <c r="R551" s="105" t="str">
        <f t="shared" si="315"/>
        <v>AL</v>
      </c>
      <c r="S551" s="88">
        <f t="shared" si="312"/>
        <v>-1</v>
      </c>
      <c r="T551" s="89">
        <f>IF(VLOOKUP(Q551,'INFO BASE'!$B$40:$I$54,IF(R551='INFO BASE'!$B$32,3,IF(R551='INFO BASE'!$B$33,4,IF(R551='INFO BASE'!$B$34,5,IF(R551='INFO BASE'!$B$35,6,IF(R551='INFO BASE'!$B$36,7,IF(R551='INFO BASE'!$B$37,8,2)))))),0)=0,"",VLOOKUP(Q551,'INFO BASE'!$B$40:$I$54,IF(R551='INFO BASE'!$B$32,3,IF(R551='INFO BASE'!$B$33,4,IF(R551='INFO BASE'!$B$34,5,IF(R551='INFO BASE'!$B$35,6,IF(R551='INFO BASE'!$B$36,7,IF(R551='INFO BASE'!$B$37,8,2)))))),0))</f>
        <v>3</v>
      </c>
      <c r="U551" s="89">
        <f>(COUNTIFS(C522:C569,R551,B522:B569,R547)+COUNTIFS(E522:E569,R551,D522:D569,R547)+COUNTIFS(G522:G569,R551,F522:F569,R547)+COUNTIFS(I522:I569,R551,H522:H569,R547)+COUNTIFS(K522:K569,R551,J522:J569,R547)+COUNTIFS(M522:M569,R551,L522:L569,R547)+COUNTIFS(O522:O569,R551,N522:N569,R547))*0.5</f>
        <v>0</v>
      </c>
      <c r="V551" s="89">
        <f>(COUNTIFS(AI522:AI569,R547,AJ522:AJ569,R544)+COUNTIFS(AK522:AK569,R547,AL522:AL569,R544)+COUNTIFS(AM522:AM569,R547,AN522:AN569,R544)+COUNTIFS(AO522:AO569,R547,AP522:AP569,R544)+COUNTIFS(AQ522:AQ569,R547,AR522:AR569,R544)+COUNTIFS(AS522:AS569,R547,AT522:AT569,R544)+COUNTIFS(AU522:AU569,R547,AV522:AV569,R544))*0.5</f>
        <v>0</v>
      </c>
      <c r="W551" s="90" t="str">
        <f>IF(AH518="","-",IF(V551=0,U551,IFERROR((U551/V551)-1,"-")))</f>
        <v>-</v>
      </c>
      <c r="X551" s="201">
        <f t="shared" si="313"/>
        <v>0</v>
      </c>
      <c r="Y551" s="271"/>
      <c r="Z551" s="272"/>
      <c r="AA551" s="272"/>
      <c r="AB551" s="272"/>
      <c r="AC551" s="272"/>
      <c r="AD551" s="272"/>
      <c r="AE551" s="272"/>
      <c r="AF551" s="273"/>
      <c r="AH551" s="136">
        <v>0.60416666666668595</v>
      </c>
      <c r="AI551" s="136" t="str">
        <f>IF(AH518="","",IF(B551="","",B551))</f>
        <v/>
      </c>
      <c r="AJ551" s="136" t="str">
        <f>IF(AH518="","",IF(C551="","",C551))</f>
        <v/>
      </c>
      <c r="AK551" s="136" t="str">
        <f>IF(AH518="","",IF(D551="","",D551))</f>
        <v/>
      </c>
      <c r="AL551" s="136" t="str">
        <f>IF(AH518="","",IF(E551="","",E551))</f>
        <v/>
      </c>
      <c r="AM551" s="136" t="str">
        <f>IF(AH518="","",IF(F551="","",F551))</f>
        <v/>
      </c>
      <c r="AN551" s="136" t="str">
        <f>IF(AH518="","",IF(G551="","",G551))</f>
        <v/>
      </c>
      <c r="AO551" s="136" t="str">
        <f>IF(AH518="","",IF(H551="","",H551))</f>
        <v/>
      </c>
      <c r="AP551" s="136" t="str">
        <f>IF(AH518="","",IF(I551="","",I551))</f>
        <v/>
      </c>
      <c r="AQ551" s="136" t="str">
        <f>IF(AH518="","",IF(J551="","",J551))</f>
        <v/>
      </c>
      <c r="AR551" s="136" t="str">
        <f>IF(AH518="","",IF(K551="","",K551))</f>
        <v/>
      </c>
      <c r="AS551" s="136" t="str">
        <f>IF(AH518="","",IF(L551="","",L551))</f>
        <v/>
      </c>
      <c r="AT551" s="136" t="str">
        <f>IF(AH518="","",IF(M551="","",M551))</f>
        <v/>
      </c>
      <c r="AU551" s="136" t="str">
        <f>IF(AH518="","",IF(N551="","",N551))</f>
        <v/>
      </c>
      <c r="AV551" s="136" t="str">
        <f>IF(AH518="","",IF(O551="","",O551))</f>
        <v/>
      </c>
      <c r="AX551" s="136" t="str">
        <f>IF(AI518="","",IF(B551="","",B551))</f>
        <v/>
      </c>
      <c r="AY551" s="136" t="str">
        <f>IF(AI518="","",IF(C551="","",C551))</f>
        <v/>
      </c>
      <c r="AZ551" s="136" t="str">
        <f>IF(AI518="","",IF(D551="","",D551))</f>
        <v/>
      </c>
      <c r="BA551" s="136" t="str">
        <f>IF(AI518="","",IF(E551="","",E551))</f>
        <v/>
      </c>
      <c r="BB551" s="136" t="str">
        <f>IF(AI518="","",IF(F551="","",F551))</f>
        <v/>
      </c>
      <c r="BC551" s="136" t="str">
        <f>IF(AI518="","",IF(G551="","",G551))</f>
        <v/>
      </c>
      <c r="BD551" s="136" t="str">
        <f>IF(AI518="","",IF(H551="","",H551))</f>
        <v/>
      </c>
      <c r="BE551" s="136" t="str">
        <f>IF(AI518="","",IF(I551="","",I551))</f>
        <v/>
      </c>
      <c r="BF551" s="136" t="str">
        <f>IF(AI518="","",IF(J551="","",J551))</f>
        <v/>
      </c>
      <c r="BG551" s="136" t="str">
        <f>IF(AI518="","",IF(K551="","",K551))</f>
        <v/>
      </c>
      <c r="BH551" s="136" t="str">
        <f>IF(AI518="","",IF(L551="","",L551))</f>
        <v/>
      </c>
      <c r="BI551" s="136" t="str">
        <f>IF(AI518="","",IF(M551="","",M551))</f>
        <v/>
      </c>
      <c r="BJ551" s="136" t="str">
        <f>IF(AI518="","",IF(N551="","",N551))</f>
        <v/>
      </c>
      <c r="BK551" s="136" t="str">
        <f>IF(AI518="","",IF(O551="","",O551))</f>
        <v/>
      </c>
      <c r="BM551" s="136" t="str">
        <f>BO551</f>
        <v>AT</v>
      </c>
      <c r="BN551" s="136" t="str">
        <f t="shared" si="308"/>
        <v>Aulas Teóricas</v>
      </c>
      <c r="BO551" s="136" t="str">
        <f t="shared" si="308"/>
        <v>AT</v>
      </c>
      <c r="BP551" s="136">
        <f>COUNTIFS(AX522:BK569,BO551)*0.5</f>
        <v>0</v>
      </c>
      <c r="BQ551" s="136" t="str">
        <f t="shared" si="309"/>
        <v>Aulas Teóricas</v>
      </c>
      <c r="BR551" s="136" t="str">
        <f t="shared" si="309"/>
        <v>AT</v>
      </c>
      <c r="BS551" s="136" t="str">
        <f t="shared" si="310"/>
        <v>Aulas Teóricas</v>
      </c>
      <c r="BT551" s="136">
        <f t="shared" si="316"/>
        <v>120</v>
      </c>
      <c r="BU551" s="136">
        <f t="shared" si="317"/>
        <v>120</v>
      </c>
      <c r="CA551" s="136">
        <f>'INFO BASE'!L630</f>
        <v>0</v>
      </c>
      <c r="CB551" s="136">
        <f>'INFO BASE'!M630</f>
        <v>0</v>
      </c>
      <c r="CR551" s="177">
        <f t="shared" si="298"/>
        <v>1</v>
      </c>
      <c r="CS551" s="177">
        <f t="shared" si="299"/>
        <v>1</v>
      </c>
      <c r="CT551" s="177">
        <f t="shared" si="298"/>
        <v>1</v>
      </c>
      <c r="CU551" s="177">
        <f t="shared" si="300"/>
        <v>1</v>
      </c>
      <c r="CV551" s="177">
        <f t="shared" si="298"/>
        <v>1</v>
      </c>
      <c r="CW551" s="177">
        <f t="shared" si="301"/>
        <v>1</v>
      </c>
      <c r="CX551" s="177">
        <f t="shared" si="298"/>
        <v>1</v>
      </c>
      <c r="CY551" s="177">
        <f t="shared" si="302"/>
        <v>1</v>
      </c>
      <c r="CZ551" s="177">
        <f t="shared" si="298"/>
        <v>1</v>
      </c>
      <c r="DA551" s="177">
        <f t="shared" si="303"/>
        <v>1</v>
      </c>
      <c r="DB551" s="177">
        <f t="shared" si="298"/>
        <v>1</v>
      </c>
      <c r="DC551" s="177">
        <f t="shared" si="304"/>
        <v>1</v>
      </c>
      <c r="DD551" s="177">
        <f t="shared" si="305"/>
        <v>1</v>
      </c>
      <c r="DE551" s="177">
        <f t="shared" si="306"/>
        <v>1</v>
      </c>
    </row>
    <row r="552" spans="1:109" ht="18" customHeight="1" x14ac:dyDescent="0.3">
      <c r="A552" s="81">
        <v>0.62500000000001998</v>
      </c>
      <c r="B552" s="153"/>
      <c r="C552" s="130"/>
      <c r="D552" s="135"/>
      <c r="E552" s="130"/>
      <c r="F552" s="135"/>
      <c r="G552" s="130"/>
      <c r="H552" s="135"/>
      <c r="I552" s="130"/>
      <c r="J552" s="135"/>
      <c r="K552" s="130"/>
      <c r="L552" s="135"/>
      <c r="M552" s="130"/>
      <c r="N552" s="135"/>
      <c r="O552" s="154"/>
      <c r="P552" s="6">
        <v>0</v>
      </c>
      <c r="Q552" s="118" t="str">
        <f t="shared" si="321"/>
        <v>Trabalho de Grupo</v>
      </c>
      <c r="R552" s="105" t="str">
        <f t="shared" si="315"/>
        <v>CDI</v>
      </c>
      <c r="S552" s="88">
        <f t="shared" si="312"/>
        <v>-1</v>
      </c>
      <c r="T552" s="89">
        <f>IF(VLOOKUP(Q552,'INFO BASE'!$B$40:$I$54,IF(R552='INFO BASE'!$B$32,3,IF(R552='INFO BASE'!$B$33,4,IF(R552='INFO BASE'!$B$34,5,IF(R552='INFO BASE'!$B$35,6,IF(R552='INFO BASE'!$B$36,7,IF(R552='INFO BASE'!$B$37,8,2)))))),0)=0,"",VLOOKUP(Q552,'INFO BASE'!$B$40:$I$54,IF(R552='INFO BASE'!$B$32,3,IF(R552='INFO BASE'!$B$33,4,IF(R552='INFO BASE'!$B$34,5,IF(R552='INFO BASE'!$B$35,6,IF(R552='INFO BASE'!$B$36,7,IF(R552='INFO BASE'!$B$37,8,2)))))),0))</f>
        <v>3</v>
      </c>
      <c r="U552" s="89">
        <f>(COUNTIFS(C522:C569,R552,B522:B569,R547)+COUNTIFS(E522:E569,R552,D522:D569,R547)+COUNTIFS(G522:G569,R552,F522:F569,R547)+COUNTIFS(I522:I569,R552,H522:H569,R547)+COUNTIFS(K522:K569,R552,J522:J569,R547)+COUNTIFS(M522:M569,R552,L522:L569,R547)+COUNTIFS(O522:O569,R552,N522:N569,R547))*0.5</f>
        <v>0</v>
      </c>
      <c r="V552" s="89">
        <f>(COUNTIFS(AI522:AI569,R547,AJ522:AJ569,R545)+COUNTIFS(AK522:AK569,R547,AL522:AL569,R545)+COUNTIFS(AM522:AM569,R547,AN522:AN569,R545)+COUNTIFS(AO522:AO569,R547,AP522:AP569,R545)+COUNTIFS(AQ522:AQ569,R547,AR522:AR569,R545)+COUNTIFS(AS522:AS569,R547,AT522:AT569,R545)+COUNTIFS(AU522:AU569,R547,AV522:AV569,R545))*0.5</f>
        <v>0</v>
      </c>
      <c r="W552" s="90" t="str">
        <f>IF(AH518="","-",IF(V552=0,U552,IFERROR((U552/V552)-1,"-")))</f>
        <v>-</v>
      </c>
      <c r="X552" s="201">
        <f t="shared" si="313"/>
        <v>0</v>
      </c>
      <c r="Y552" s="271"/>
      <c r="Z552" s="272"/>
      <c r="AA552" s="272"/>
      <c r="AB552" s="272"/>
      <c r="AC552" s="272"/>
      <c r="AD552" s="272"/>
      <c r="AE552" s="272"/>
      <c r="AF552" s="273"/>
      <c r="AH552" s="136">
        <v>0.62500000000001998</v>
      </c>
      <c r="AI552" s="136" t="str">
        <f>IF(AH518="","",IF(B552="","",B552))</f>
        <v/>
      </c>
      <c r="AJ552" s="136" t="str">
        <f>IF(AH518="","",IF(C552="","",C552))</f>
        <v/>
      </c>
      <c r="AK552" s="136" t="str">
        <f>IF(AH518="","",IF(D552="","",D552))</f>
        <v/>
      </c>
      <c r="AL552" s="136" t="str">
        <f>IF(AH518="","",IF(E552="","",E552))</f>
        <v/>
      </c>
      <c r="AM552" s="136" t="str">
        <f>IF(AH518="","",IF(F552="","",F552))</f>
        <v/>
      </c>
      <c r="AN552" s="136" t="str">
        <f>IF(AH518="","",IF(G552="","",G552))</f>
        <v/>
      </c>
      <c r="AO552" s="136" t="str">
        <f>IF(AH518="","",IF(H552="","",H552))</f>
        <v/>
      </c>
      <c r="AP552" s="136" t="str">
        <f>IF(AH518="","",IF(I552="","",I552))</f>
        <v/>
      </c>
      <c r="AQ552" s="136" t="str">
        <f>IF(AH518="","",IF(J552="","",J552))</f>
        <v/>
      </c>
      <c r="AR552" s="136" t="str">
        <f>IF(AH518="","",IF(K552="","",K552))</f>
        <v/>
      </c>
      <c r="AS552" s="136" t="str">
        <f>IF(AH518="","",IF(L552="","",L552))</f>
        <v/>
      </c>
      <c r="AT552" s="136" t="str">
        <f>IF(AH518="","",IF(M552="","",M552))</f>
        <v/>
      </c>
      <c r="AU552" s="136" t="str">
        <f>IF(AH518="","",IF(N552="","",N552))</f>
        <v/>
      </c>
      <c r="AV552" s="136" t="str">
        <f>IF(AH518="","",IF(O552="","",O552))</f>
        <v/>
      </c>
      <c r="AX552" s="136" t="str">
        <f>IF(AI518="","",IF(B552="","",B552))</f>
        <v/>
      </c>
      <c r="AY552" s="136" t="str">
        <f>IF(AI518="","",IF(C552="","",C552))</f>
        <v/>
      </c>
      <c r="AZ552" s="136" t="str">
        <f>IF(AI518="","",IF(D552="","",D552))</f>
        <v/>
      </c>
      <c r="BA552" s="136" t="str">
        <f>IF(AI518="","",IF(E552="","",E552))</f>
        <v/>
      </c>
      <c r="BB552" s="136" t="str">
        <f>IF(AI518="","",IF(F552="","",F552))</f>
        <v/>
      </c>
      <c r="BC552" s="136" t="str">
        <f>IF(AI518="","",IF(G552="","",G552))</f>
        <v/>
      </c>
      <c r="BD552" s="136" t="str">
        <f>IF(AI518="","",IF(H552="","",H552))</f>
        <v/>
      </c>
      <c r="BE552" s="136" t="str">
        <f>IF(AI518="","",IF(I552="","",I552))</f>
        <v/>
      </c>
      <c r="BF552" s="136" t="str">
        <f>IF(AI518="","",IF(J552="","",J552))</f>
        <v/>
      </c>
      <c r="BG552" s="136" t="str">
        <f>IF(AI518="","",IF(K552="","",K552))</f>
        <v/>
      </c>
      <c r="BH552" s="136" t="str">
        <f>IF(AI518="","",IF(L552="","",L552))</f>
        <v/>
      </c>
      <c r="BI552" s="136" t="str">
        <f>IF(AI518="","",IF(M552="","",M552))</f>
        <v/>
      </c>
      <c r="BJ552" s="136" t="str">
        <f>IF(AI518="","",IF(N552="","",N552))</f>
        <v/>
      </c>
      <c r="BK552" s="136" t="str">
        <f>IF(AI518="","",IF(O552="","",O552))</f>
        <v/>
      </c>
      <c r="BM552" s="136" t="str">
        <f>BM551</f>
        <v>AT</v>
      </c>
      <c r="BN552" s="136" t="str">
        <f t="shared" si="308"/>
        <v>Aulas Teóricas</v>
      </c>
      <c r="BO552" s="136" t="str">
        <f t="shared" si="308"/>
        <v>FP</v>
      </c>
      <c r="BP552" s="136">
        <f>(COUNTIFS(AX522:AX569,BM552,AY522:AY569,BO552)+COUNTIFS(AZ522:AZ569,BM552,BA522:BA569,BO552)+COUNTIFS(BB522:BB569,BM552,BC522:BC569,BO552)+COUNTIFS(BD522:BD569,BM552,BE522:BE569,BO552)+COUNTIFS(BF522:BF569,BM552,BG522:BG569,BO552)+COUNTIFS(BH522:BH569,BM552,BI522:BI569,BO552)+COUNTIFS(BJ522:BJ569,BM552,BK522:BK569,BO552))*0.5</f>
        <v>0</v>
      </c>
      <c r="BQ552" s="136" t="str">
        <f t="shared" si="309"/>
        <v>Aulas Teóricas</v>
      </c>
      <c r="BR552" s="136" t="str">
        <f t="shared" si="309"/>
        <v>FP</v>
      </c>
      <c r="BS552" s="136" t="str">
        <f t="shared" si="310"/>
        <v>Aulas Teóricas</v>
      </c>
      <c r="BT552" s="136">
        <f t="shared" si="316"/>
        <v>24</v>
      </c>
      <c r="BU552" s="136">
        <f t="shared" si="317"/>
        <v>24</v>
      </c>
      <c r="CR552" s="177">
        <f t="shared" si="298"/>
        <v>1</v>
      </c>
      <c r="CS552" s="177">
        <f t="shared" si="299"/>
        <v>1</v>
      </c>
      <c r="CT552" s="177">
        <f t="shared" si="298"/>
        <v>1</v>
      </c>
      <c r="CU552" s="177">
        <f t="shared" si="300"/>
        <v>1</v>
      </c>
      <c r="CV552" s="177">
        <f t="shared" si="298"/>
        <v>1</v>
      </c>
      <c r="CW552" s="177">
        <f t="shared" si="301"/>
        <v>1</v>
      </c>
      <c r="CX552" s="177">
        <f t="shared" si="298"/>
        <v>1</v>
      </c>
      <c r="CY552" s="177">
        <f t="shared" si="302"/>
        <v>1</v>
      </c>
      <c r="CZ552" s="177">
        <f t="shared" si="298"/>
        <v>1</v>
      </c>
      <c r="DA552" s="177">
        <f t="shared" si="303"/>
        <v>1</v>
      </c>
      <c r="DB552" s="177">
        <f t="shared" si="298"/>
        <v>1</v>
      </c>
      <c r="DC552" s="177">
        <f t="shared" si="304"/>
        <v>1</v>
      </c>
      <c r="DD552" s="177">
        <f t="shared" si="305"/>
        <v>1</v>
      </c>
      <c r="DE552" s="177">
        <f t="shared" si="306"/>
        <v>1</v>
      </c>
    </row>
    <row r="553" spans="1:109" ht="18" customHeight="1" thickBot="1" x14ac:dyDescent="0.35">
      <c r="A553" s="81">
        <v>0.64583333333335402</v>
      </c>
      <c r="B553" s="153"/>
      <c r="C553" s="130"/>
      <c r="D553" s="135"/>
      <c r="E553" s="130"/>
      <c r="F553" s="135"/>
      <c r="G553" s="130"/>
      <c r="H553" s="135"/>
      <c r="I553" s="130"/>
      <c r="J553" s="135"/>
      <c r="K553" s="130"/>
      <c r="L553" s="135"/>
      <c r="M553" s="130"/>
      <c r="N553" s="135"/>
      <c r="O553" s="154"/>
      <c r="P553" s="6">
        <v>0</v>
      </c>
      <c r="Q553" s="120" t="str">
        <f t="shared" si="321"/>
        <v>Trabalho de Grupo</v>
      </c>
      <c r="R553" s="107" t="str">
        <f t="shared" si="315"/>
        <v/>
      </c>
      <c r="S553" s="94" t="str">
        <f t="shared" si="312"/>
        <v>-</v>
      </c>
      <c r="T553" s="95" t="str">
        <f>IF(VLOOKUP(Q553,'INFO BASE'!$B$40:$I$54,IF(R553='INFO BASE'!$B$32,3,IF(R553='INFO BASE'!$B$33,4,IF(R553='INFO BASE'!$B$34,5,IF(R553='INFO BASE'!$B$35,6,IF(R553='INFO BASE'!$B$36,7,IF(R553='INFO BASE'!$B$37,8,2)))))),0)=0,"",VLOOKUP(Q553,'INFO BASE'!$B$40:$I$54,IF(R553='INFO BASE'!$B$32,3,IF(R553='INFO BASE'!$B$33,4,IF(R553='INFO BASE'!$B$34,5,IF(R553='INFO BASE'!$B$35,6,IF(R553='INFO BASE'!$B$36,7,IF(R553='INFO BASE'!$B$37,8,2)))))),0))</f>
        <v/>
      </c>
      <c r="U553" s="95">
        <f>(COUNTIFS(C522:C569,R553,B522:B569,R547)+COUNTIFS(E522:E569,R553,D522:D569,R547)+COUNTIFS(G522:G569,R553,F522:F569,R547)+COUNTIFS(I522:I569,R553,H522:H569,R547)+COUNTIFS(K522:K569,R553,J522:J569,R547)+COUNTIFS(M522:M569,R553,L522:L569,R547)+COUNTIFS(O522:O569,R553,N522:N569,R547))*0.5</f>
        <v>0</v>
      </c>
      <c r="V553" s="95">
        <f>(COUNTIFS(AI522:AI569,R547,AJ522:AJ569,R546)+COUNTIFS(AK522:AK569,R547,AL522:AL569,R546)+COUNTIFS(AM522:AM569,R547,AN522:AN569,R546)+COUNTIFS(AO522:AO569,R547,AP522:AP569,R546)+COUNTIFS(AQ522:AQ569,R547,AR522:AR569,R546)+COUNTIFS(AS522:AS569,R547,AT522:AT569,R546)+COUNTIFS(AU522:AU569,R547,AV522:AV569,R546))*0.5</f>
        <v>0</v>
      </c>
      <c r="W553" s="96" t="str">
        <f>IF(AH518="","-",IF(V553=0,U553,IFERROR((U553/V553)-1,"-")))</f>
        <v>-</v>
      </c>
      <c r="X553" s="201">
        <f t="shared" si="313"/>
        <v>0</v>
      </c>
      <c r="Y553" s="274"/>
      <c r="Z553" s="275"/>
      <c r="AA553" s="275"/>
      <c r="AB553" s="275"/>
      <c r="AC553" s="275"/>
      <c r="AD553" s="275"/>
      <c r="AE553" s="275"/>
      <c r="AF553" s="276"/>
      <c r="AH553" s="136">
        <v>0.64583333333335402</v>
      </c>
      <c r="AI553" s="136" t="str">
        <f>IF(AH518="","",IF(B553="","",B553))</f>
        <v/>
      </c>
      <c r="AJ553" s="136" t="str">
        <f>IF(AH518="","",IF(C553="","",C553))</f>
        <v/>
      </c>
      <c r="AK553" s="136" t="str">
        <f>IF(AH518="","",IF(D553="","",D553))</f>
        <v/>
      </c>
      <c r="AL553" s="136" t="str">
        <f>IF(AH518="","",IF(E553="","",E553))</f>
        <v/>
      </c>
      <c r="AM553" s="136" t="str">
        <f>IF(AH518="","",IF(F553="","",F553))</f>
        <v/>
      </c>
      <c r="AN553" s="136" t="str">
        <f>IF(AH518="","",IF(G553="","",G553))</f>
        <v/>
      </c>
      <c r="AO553" s="136" t="str">
        <f>IF(AH518="","",IF(H553="","",H553))</f>
        <v/>
      </c>
      <c r="AP553" s="136" t="str">
        <f>IF(AH518="","",IF(I553="","",I553))</f>
        <v/>
      </c>
      <c r="AQ553" s="136" t="str">
        <f>IF(AH518="","",IF(J553="","",J553))</f>
        <v/>
      </c>
      <c r="AR553" s="136" t="str">
        <f>IF(AH518="","",IF(K553="","",K553))</f>
        <v/>
      </c>
      <c r="AS553" s="136" t="str">
        <f>IF(AH518="","",IF(L553="","",L553))</f>
        <v/>
      </c>
      <c r="AT553" s="136" t="str">
        <f>IF(AH518="","",IF(M553="","",M553))</f>
        <v/>
      </c>
      <c r="AU553" s="136" t="str">
        <f>IF(AH518="","",IF(N553="","",N553))</f>
        <v/>
      </c>
      <c r="AV553" s="136" t="str">
        <f>IF(AH518="","",IF(O553="","",O553))</f>
        <v/>
      </c>
      <c r="AX553" s="136" t="str">
        <f>IF(AI518="","",IF(B553="","",B553))</f>
        <v/>
      </c>
      <c r="AY553" s="136" t="str">
        <f>IF(AI518="","",IF(C553="","",C553))</f>
        <v/>
      </c>
      <c r="AZ553" s="136" t="str">
        <f>IF(AI518="","",IF(D553="","",D553))</f>
        <v/>
      </c>
      <c r="BA553" s="136" t="str">
        <f>IF(AI518="","",IF(E553="","",E553))</f>
        <v/>
      </c>
      <c r="BB553" s="136" t="str">
        <f>IF(AI518="","",IF(F553="","",F553))</f>
        <v/>
      </c>
      <c r="BC553" s="136" t="str">
        <f>IF(AI518="","",IF(G553="","",G553))</f>
        <v/>
      </c>
      <c r="BD553" s="136" t="str">
        <f>IF(AI518="","",IF(H553="","",H553))</f>
        <v/>
      </c>
      <c r="BE553" s="136" t="str">
        <f>IF(AI518="","",IF(I553="","",I553))</f>
        <v/>
      </c>
      <c r="BF553" s="136" t="str">
        <f>IF(AI518="","",IF(J553="","",J553))</f>
        <v/>
      </c>
      <c r="BG553" s="136" t="str">
        <f>IF(AI518="","",IF(K553="","",K553))</f>
        <v/>
      </c>
      <c r="BH553" s="136" t="str">
        <f>IF(AI518="","",IF(L553="","",L553))</f>
        <v/>
      </c>
      <c r="BI553" s="136" t="str">
        <f>IF(AI518="","",IF(M553="","",M553))</f>
        <v/>
      </c>
      <c r="BJ553" s="136" t="str">
        <f>IF(AI518="","",IF(N553="","",N553))</f>
        <v/>
      </c>
      <c r="BK553" s="136" t="str">
        <f>IF(AI518="","",IF(O553="","",O553))</f>
        <v/>
      </c>
      <c r="BM553" s="136" t="str">
        <f t="shared" ref="BM553:BM557" si="322">BM552</f>
        <v>AT</v>
      </c>
      <c r="BN553" s="136" t="str">
        <f t="shared" si="308"/>
        <v>Aulas Teóricas</v>
      </c>
      <c r="BO553" s="136" t="str">
        <f t="shared" si="308"/>
        <v>IEI</v>
      </c>
      <c r="BP553" s="136">
        <f>(COUNTIFS(AX522:AX569,BM553,AY522:AY569,BO553)+COUNTIFS(AZ522:AZ569,BM553,BA522:BA569,BO553)+COUNTIFS(BB522:BB569,BM553,BC522:BC569,BO553)+COUNTIFS(BD522:BD569,BM553,BE522:BE569,BO553)+COUNTIFS(BF522:BF569,BM553,BG522:BG569,BO553)+COUNTIFS(BH522:BH569,BM553,BI522:BI569,BO553)+COUNTIFS(BJ522:BJ569,BM553,BK522:BK569,BO553))*0.5</f>
        <v>0</v>
      </c>
      <c r="BQ553" s="136" t="str">
        <f t="shared" si="309"/>
        <v>Aulas Teóricas</v>
      </c>
      <c r="BR553" s="136" t="str">
        <f t="shared" si="309"/>
        <v>IEI</v>
      </c>
      <c r="BS553" s="136" t="str">
        <f t="shared" si="310"/>
        <v>Aulas Teóricas</v>
      </c>
      <c r="BT553" s="136">
        <f t="shared" si="316"/>
        <v>24</v>
      </c>
      <c r="BU553" s="136">
        <f t="shared" si="317"/>
        <v>24</v>
      </c>
      <c r="CA553" s="136">
        <f>'INFO BASE'!L631</f>
        <v>0</v>
      </c>
      <c r="CB553" s="136">
        <f>'INFO BASE'!M631</f>
        <v>0</v>
      </c>
      <c r="CR553" s="177">
        <f t="shared" si="298"/>
        <v>1</v>
      </c>
      <c r="CS553" s="177">
        <f t="shared" si="299"/>
        <v>1</v>
      </c>
      <c r="CT553" s="177">
        <f t="shared" si="298"/>
        <v>1</v>
      </c>
      <c r="CU553" s="177">
        <f t="shared" si="300"/>
        <v>1</v>
      </c>
      <c r="CV553" s="177">
        <f t="shared" si="298"/>
        <v>1</v>
      </c>
      <c r="CW553" s="177">
        <f t="shared" si="301"/>
        <v>1</v>
      </c>
      <c r="CX553" s="177">
        <f t="shared" si="298"/>
        <v>1</v>
      </c>
      <c r="CY553" s="177">
        <f t="shared" si="302"/>
        <v>1</v>
      </c>
      <c r="CZ553" s="177">
        <f t="shared" si="298"/>
        <v>1</v>
      </c>
      <c r="DA553" s="177">
        <f t="shared" si="303"/>
        <v>1</v>
      </c>
      <c r="DB553" s="177">
        <f t="shared" si="298"/>
        <v>1</v>
      </c>
      <c r="DC553" s="177">
        <f t="shared" si="304"/>
        <v>1</v>
      </c>
      <c r="DD553" s="177">
        <f t="shared" si="305"/>
        <v>1</v>
      </c>
      <c r="DE553" s="177">
        <f t="shared" si="306"/>
        <v>1</v>
      </c>
    </row>
    <row r="554" spans="1:109" ht="18" customHeight="1" x14ac:dyDescent="0.3">
      <c r="A554" s="81">
        <v>0.66666666666668795</v>
      </c>
      <c r="B554" s="153"/>
      <c r="C554" s="130"/>
      <c r="D554" s="135"/>
      <c r="E554" s="130"/>
      <c r="F554" s="135"/>
      <c r="G554" s="130"/>
      <c r="H554" s="135"/>
      <c r="I554" s="130"/>
      <c r="J554" s="135"/>
      <c r="K554" s="130"/>
      <c r="L554" s="135"/>
      <c r="M554" s="130"/>
      <c r="N554" s="135"/>
      <c r="O554" s="154"/>
      <c r="P554" s="6">
        <v>0</v>
      </c>
      <c r="Q554" s="121" t="str">
        <f>IF('INFO BASE'!$C$20="","",'INFO BASE'!$C$20)</f>
        <v>Aulas Teóricas</v>
      </c>
      <c r="R554" s="82" t="str">
        <f t="shared" si="315"/>
        <v>AT</v>
      </c>
      <c r="S554" s="83">
        <f t="shared" si="312"/>
        <v>-1</v>
      </c>
      <c r="T554" s="84">
        <f>IF(VLOOKUP(Q554,'INFO BASE'!$B$40:$I$54,IF(R554='INFO BASE'!$B$32,3,IF(R554='INFO BASE'!$B$33,4,IF(R554='INFO BASE'!$B$34,5,IF(R554='INFO BASE'!$B$35,6,IF(R554='INFO BASE'!$B$36,7,IF(R554='INFO BASE'!$B$37,8,2)))))),0)=0,"",VLOOKUP(Q554,'INFO BASE'!$B$40:$I$54,IF(R554='INFO BASE'!$B$32,3,IF(R554='INFO BASE'!$B$33,4,IF(R554='INFO BASE'!$B$34,5,IF(R554='INFO BASE'!$B$35,6,IF(R554='INFO BASE'!$B$36,7,IF(R554='INFO BASE'!$B$37,8,2)))))),0))</f>
        <v>15</v>
      </c>
      <c r="U554" s="84">
        <f>IF(R554="","",COUNTIFS(SEMANA10,R554)*0.5)</f>
        <v>0</v>
      </c>
      <c r="V554" s="84">
        <f>IF(R554="","",COUNTIFS(AI522:AV569,R554)*0.5)</f>
        <v>0</v>
      </c>
      <c r="W554" s="85" t="str">
        <f>IF(AH518="","-",IF(V554=0,U554,IFERROR((U554/V554)-1,"-")))</f>
        <v>-</v>
      </c>
      <c r="X554" s="201">
        <f t="shared" si="313"/>
        <v>0</v>
      </c>
      <c r="Y554" s="277"/>
      <c r="Z554" s="278"/>
      <c r="AA554" s="278"/>
      <c r="AB554" s="278"/>
      <c r="AC554" s="278"/>
      <c r="AD554" s="278"/>
      <c r="AE554" s="278"/>
      <c r="AF554" s="279"/>
      <c r="AH554" s="136">
        <v>0.66666666666668795</v>
      </c>
      <c r="AI554" s="136" t="str">
        <f>IF(AH518="","",IF(B554="","",B554))</f>
        <v/>
      </c>
      <c r="AJ554" s="136" t="str">
        <f>IF(AH518="","",IF(C554="","",C554))</f>
        <v/>
      </c>
      <c r="AK554" s="136" t="str">
        <f>IF(AH518="","",IF(D554="","",D554))</f>
        <v/>
      </c>
      <c r="AL554" s="136" t="str">
        <f>IF(AH518="","",IF(E554="","",E554))</f>
        <v/>
      </c>
      <c r="AM554" s="136" t="str">
        <f>IF(AH518="","",IF(F554="","",F554))</f>
        <v/>
      </c>
      <c r="AN554" s="136" t="str">
        <f>IF(AH518="","",IF(G554="","",G554))</f>
        <v/>
      </c>
      <c r="AO554" s="136" t="str">
        <f>IF(AH518="","",IF(H554="","",H554))</f>
        <v/>
      </c>
      <c r="AP554" s="136" t="str">
        <f>IF(AH518="","",IF(I554="","",I554))</f>
        <v/>
      </c>
      <c r="AQ554" s="136" t="str">
        <f>IF(AH518="","",IF(J554="","",J554))</f>
        <v/>
      </c>
      <c r="AR554" s="136" t="str">
        <f>IF(AH518="","",IF(K554="","",K554))</f>
        <v/>
      </c>
      <c r="AS554" s="136" t="str">
        <f>IF(AH518="","",IF(L554="","",L554))</f>
        <v/>
      </c>
      <c r="AT554" s="136" t="str">
        <f>IF(AH518="","",IF(M554="","",M554))</f>
        <v/>
      </c>
      <c r="AU554" s="136" t="str">
        <f>IF(AH518="","",IF(N554="","",N554))</f>
        <v/>
      </c>
      <c r="AV554" s="136" t="str">
        <f>IF(AH518="","",IF(O554="","",O554))</f>
        <v/>
      </c>
      <c r="AX554" s="136" t="str">
        <f>IF(AI518="","",IF(B554="","",B554))</f>
        <v/>
      </c>
      <c r="AY554" s="136" t="str">
        <f>IF(AI518="","",IF(C554="","",C554))</f>
        <v/>
      </c>
      <c r="AZ554" s="136" t="str">
        <f>IF(AI518="","",IF(D554="","",D554))</f>
        <v/>
      </c>
      <c r="BA554" s="136" t="str">
        <f>IF(AI518="","",IF(E554="","",E554))</f>
        <v/>
      </c>
      <c r="BB554" s="136" t="str">
        <f>IF(AI518="","",IF(F554="","",F554))</f>
        <v/>
      </c>
      <c r="BC554" s="136" t="str">
        <f>IF(AI518="","",IF(G554="","",G554))</f>
        <v/>
      </c>
      <c r="BD554" s="136" t="str">
        <f>IF(AI518="","",IF(H554="","",H554))</f>
        <v/>
      </c>
      <c r="BE554" s="136" t="str">
        <f>IF(AI518="","",IF(I554="","",I554))</f>
        <v/>
      </c>
      <c r="BF554" s="136" t="str">
        <f>IF(AI518="","",IF(J554="","",J554))</f>
        <v/>
      </c>
      <c r="BG554" s="136" t="str">
        <f>IF(AI518="","",IF(K554="","",K554))</f>
        <v/>
      </c>
      <c r="BH554" s="136" t="str">
        <f>IF(AI518="","",IF(L554="","",L554))</f>
        <v/>
      </c>
      <c r="BI554" s="136" t="str">
        <f>IF(AI518="","",IF(M554="","",M554))</f>
        <v/>
      </c>
      <c r="BJ554" s="136" t="str">
        <f>IF(AI518="","",IF(N554="","",N554))</f>
        <v/>
      </c>
      <c r="BK554" s="136" t="str">
        <f>IF(AI518="","",IF(O554="","",O554))</f>
        <v/>
      </c>
      <c r="BM554" s="136" t="str">
        <f t="shared" si="322"/>
        <v>AT</v>
      </c>
      <c r="BN554" s="136" t="str">
        <f t="shared" si="308"/>
        <v>Aulas Teóricas</v>
      </c>
      <c r="BO554" s="136" t="str">
        <f t="shared" si="308"/>
        <v>IAC</v>
      </c>
      <c r="BP554" s="136">
        <f>(COUNTIFS(AX522:AX569,BM554,AY522:AY569,BO554)+COUNTIFS(AZ522:AZ569,BM554,BA522:BA569,BO554)+COUNTIFS(BB522:BB569,BM554,BC522:BC569,BO554)+COUNTIFS(BD522:BD569,BM554,BE522:BE569,BO554)+COUNTIFS(BF522:BF569,BM554,BG522:BG569,BO554)+COUNTIFS(BH522:BH569,BM554,BI522:BI569,BO554)+COUNTIFS(BJ522:BJ569,BM554,BK522:BK569,BO554))*0.5</f>
        <v>0</v>
      </c>
      <c r="BQ554" s="136" t="str">
        <f t="shared" si="309"/>
        <v>Aulas Teóricas</v>
      </c>
      <c r="BR554" s="136" t="str">
        <f t="shared" si="309"/>
        <v>IAC</v>
      </c>
      <c r="BS554" s="136" t="str">
        <f t="shared" si="310"/>
        <v>Aulas Teóricas</v>
      </c>
      <c r="BT554" s="136">
        <f t="shared" si="316"/>
        <v>24</v>
      </c>
      <c r="BU554" s="136">
        <f t="shared" si="317"/>
        <v>24</v>
      </c>
      <c r="CA554" s="136">
        <f>'INFO BASE'!L632</f>
        <v>0</v>
      </c>
      <c r="CB554" s="136">
        <f>'INFO BASE'!M632</f>
        <v>0</v>
      </c>
      <c r="CR554" s="177">
        <f t="shared" si="298"/>
        <v>1</v>
      </c>
      <c r="CS554" s="177">
        <f t="shared" si="299"/>
        <v>1</v>
      </c>
      <c r="CT554" s="177">
        <f t="shared" si="298"/>
        <v>1</v>
      </c>
      <c r="CU554" s="177">
        <f t="shared" si="300"/>
        <v>1</v>
      </c>
      <c r="CV554" s="177">
        <f t="shared" si="298"/>
        <v>1</v>
      </c>
      <c r="CW554" s="177">
        <f t="shared" si="301"/>
        <v>1</v>
      </c>
      <c r="CX554" s="177">
        <f t="shared" si="298"/>
        <v>1</v>
      </c>
      <c r="CY554" s="177">
        <f t="shared" si="302"/>
        <v>1</v>
      </c>
      <c r="CZ554" s="177">
        <f t="shared" si="298"/>
        <v>1</v>
      </c>
      <c r="DA554" s="177">
        <f t="shared" si="303"/>
        <v>1</v>
      </c>
      <c r="DB554" s="177">
        <f t="shared" si="298"/>
        <v>1</v>
      </c>
      <c r="DC554" s="177">
        <f t="shared" si="304"/>
        <v>1</v>
      </c>
      <c r="DD554" s="177">
        <f t="shared" si="305"/>
        <v>1</v>
      </c>
      <c r="DE554" s="177">
        <f t="shared" si="306"/>
        <v>1</v>
      </c>
    </row>
    <row r="555" spans="1:109" ht="18" customHeight="1" x14ac:dyDescent="0.3">
      <c r="A555" s="81">
        <v>0.68750000000002198</v>
      </c>
      <c r="B555" s="153"/>
      <c r="C555" s="130"/>
      <c r="D555" s="135"/>
      <c r="E555" s="130"/>
      <c r="F555" s="135"/>
      <c r="G555" s="130"/>
      <c r="H555" s="135"/>
      <c r="I555" s="130"/>
      <c r="J555" s="135"/>
      <c r="K555" s="130"/>
      <c r="L555" s="135"/>
      <c r="M555" s="130"/>
      <c r="N555" s="135"/>
      <c r="O555" s="154"/>
      <c r="P555" s="6">
        <v>0</v>
      </c>
      <c r="Q555" s="122" t="str">
        <f t="shared" ref="Q555:Q560" si="323">Q554</f>
        <v>Aulas Teóricas</v>
      </c>
      <c r="R555" s="105" t="str">
        <f t="shared" si="315"/>
        <v>FP</v>
      </c>
      <c r="S555" s="88">
        <f t="shared" si="312"/>
        <v>-1</v>
      </c>
      <c r="T555" s="89">
        <f>IF(VLOOKUP(Q555,'INFO BASE'!$B$40:$I$54,IF(R555='INFO BASE'!$B$32,3,IF(R555='INFO BASE'!$B$33,4,IF(R555='INFO BASE'!$B$34,5,IF(R555='INFO BASE'!$B$35,6,IF(R555='INFO BASE'!$B$36,7,IF(R555='INFO BASE'!$B$37,8,2)))))),0)=0,"",VLOOKUP(Q555,'INFO BASE'!$B$40:$I$54,IF(R555='INFO BASE'!$B$32,3,IF(R555='INFO BASE'!$B$33,4,IF(R555='INFO BASE'!$B$34,5,IF(R555='INFO BASE'!$B$35,6,IF(R555='INFO BASE'!$B$36,7,IF(R555='INFO BASE'!$B$37,8,2)))))),0))</f>
        <v>3</v>
      </c>
      <c r="U555" s="89">
        <f>(COUNTIFS(C522:C569,R555,B522:B569,R554)+COUNTIFS(E522:E569,R555,D522:D569,R554)+COUNTIFS(G522:G569,R555,F522:F569,R554)+COUNTIFS(I522:I569,R555,H522:H569,R554)+COUNTIFS(K522:K569,R555,J522:J569,R554)+COUNTIFS(M522:M569,R555,L522:L569,R554)+COUNTIFS(O522:O569,R555,N522:N569,R554))*0.5</f>
        <v>0</v>
      </c>
      <c r="V555" s="89">
        <f>(COUNTIFS(AI522:AI569,R554,AJ522:AJ569,R548)+COUNTIFS(AK522:AK569,R554,AL522:AL569,R548)+COUNTIFS(AM522:AM569,R554,AN522:AN569,R548)+COUNTIFS(AO522:AO569,R554,AP522:AP569,R548)+COUNTIFS(AQ522:AQ569,R554,AR522:AR569,R548)+COUNTIFS(AS522:AS569,R554,AT522:AT569,R548)+COUNTIFS(AU522:AU569,R554,AV522:AV569,R548))*0.5</f>
        <v>0</v>
      </c>
      <c r="W555" s="90" t="str">
        <f>IF(AH518="","-",IF(V555=0,U555,IFERROR((U555/V555)-1,"-")))</f>
        <v>-</v>
      </c>
      <c r="X555" s="201">
        <f t="shared" si="313"/>
        <v>0</v>
      </c>
      <c r="Y555" s="271"/>
      <c r="Z555" s="272"/>
      <c r="AA555" s="272"/>
      <c r="AB555" s="272"/>
      <c r="AC555" s="272"/>
      <c r="AD555" s="272"/>
      <c r="AE555" s="272"/>
      <c r="AF555" s="273"/>
      <c r="AH555" s="136">
        <v>0.68750000000002198</v>
      </c>
      <c r="AI555" s="136" t="str">
        <f>IF(AH518="","",IF(B555="","",B555))</f>
        <v/>
      </c>
      <c r="AJ555" s="136" t="str">
        <f>IF(AH518="","",IF(C555="","",C555))</f>
        <v/>
      </c>
      <c r="AK555" s="136" t="str">
        <f>IF(AH518="","",IF(D555="","",D555))</f>
        <v/>
      </c>
      <c r="AL555" s="136" t="str">
        <f>IF(AH518="","",IF(E555="","",E555))</f>
        <v/>
      </c>
      <c r="AM555" s="136" t="str">
        <f>IF(AH518="","",IF(F555="","",F555))</f>
        <v/>
      </c>
      <c r="AN555" s="136" t="str">
        <f>IF(AH518="","",IF(G555="","",G555))</f>
        <v/>
      </c>
      <c r="AO555" s="136" t="str">
        <f>IF(AH518="","",IF(H555="","",H555))</f>
        <v/>
      </c>
      <c r="AP555" s="136" t="str">
        <f>IF(AH518="","",IF(I555="","",I555))</f>
        <v/>
      </c>
      <c r="AQ555" s="136" t="str">
        <f>IF(AH518="","",IF(J555="","",J555))</f>
        <v/>
      </c>
      <c r="AR555" s="136" t="str">
        <f>IF(AH518="","",IF(K555="","",K555))</f>
        <v/>
      </c>
      <c r="AS555" s="136" t="str">
        <f>IF(AH518="","",IF(L555="","",L555))</f>
        <v/>
      </c>
      <c r="AT555" s="136" t="str">
        <f>IF(AH518="","",IF(M555="","",M555))</f>
        <v/>
      </c>
      <c r="AU555" s="136" t="str">
        <f>IF(AH518="","",IF(N555="","",N555))</f>
        <v/>
      </c>
      <c r="AV555" s="136" t="str">
        <f>IF(AH518="","",IF(O555="","",O555))</f>
        <v/>
      </c>
      <c r="AX555" s="136" t="str">
        <f>IF(AI518="","",IF(B555="","",B555))</f>
        <v/>
      </c>
      <c r="AY555" s="136" t="str">
        <f>IF(AI518="","",IF(C555="","",C555))</f>
        <v/>
      </c>
      <c r="AZ555" s="136" t="str">
        <f>IF(AI518="","",IF(D555="","",D555))</f>
        <v/>
      </c>
      <c r="BA555" s="136" t="str">
        <f>IF(AI518="","",IF(E555="","",E555))</f>
        <v/>
      </c>
      <c r="BB555" s="136" t="str">
        <f>IF(AI518="","",IF(F555="","",F555))</f>
        <v/>
      </c>
      <c r="BC555" s="136" t="str">
        <f>IF(AI518="","",IF(G555="","",G555))</f>
        <v/>
      </c>
      <c r="BD555" s="136" t="str">
        <f>IF(AI518="","",IF(H555="","",H555))</f>
        <v/>
      </c>
      <c r="BE555" s="136" t="str">
        <f>IF(AI518="","",IF(I555="","",I555))</f>
        <v/>
      </c>
      <c r="BF555" s="136" t="str">
        <f>IF(AI518="","",IF(J555="","",J555))</f>
        <v/>
      </c>
      <c r="BG555" s="136" t="str">
        <f>IF(AI518="","",IF(K555="","",K555))</f>
        <v/>
      </c>
      <c r="BH555" s="136" t="str">
        <f>IF(AI518="","",IF(L555="","",L555))</f>
        <v/>
      </c>
      <c r="BI555" s="136" t="str">
        <f>IF(AI518="","",IF(M555="","",M555))</f>
        <v/>
      </c>
      <c r="BJ555" s="136" t="str">
        <f>IF(AI518="","",IF(N555="","",N555))</f>
        <v/>
      </c>
      <c r="BK555" s="136" t="str">
        <f>IF(AI518="","",IF(O555="","",O555))</f>
        <v/>
      </c>
      <c r="BM555" s="136" t="str">
        <f t="shared" si="322"/>
        <v>AT</v>
      </c>
      <c r="BN555" s="136" t="str">
        <f t="shared" si="308"/>
        <v>Aulas Teóricas</v>
      </c>
      <c r="BO555" s="136" t="str">
        <f t="shared" si="308"/>
        <v>AL</v>
      </c>
      <c r="BP555" s="136">
        <f>(COUNTIFS(AX522:AX569,BM555,AY522:AY569,BO555)+COUNTIFS(AZ522:AZ569,BM555,BA522:BA569,BO555)+COUNTIFS(BB522:BB569,BM555,BC522:BC569,BO555)+COUNTIFS(BD522:BD569,BM555,BE522:BE569,BO555)+COUNTIFS(BF522:BF569,BM555,BG522:BG569,BO555)+COUNTIFS(BH522:BH569,BM555,BI522:BI569,BO555)+COUNTIFS(BJ522:BJ569,BM555,BK522:BK569,BO555))*0.5</f>
        <v>0</v>
      </c>
      <c r="BQ555" s="136" t="str">
        <f t="shared" si="309"/>
        <v>Aulas Teóricas</v>
      </c>
      <c r="BR555" s="136" t="str">
        <f t="shared" si="309"/>
        <v>AL</v>
      </c>
      <c r="BS555" s="136" t="str">
        <f t="shared" si="310"/>
        <v>Aulas Teóricas</v>
      </c>
      <c r="BT555" s="136">
        <f t="shared" si="316"/>
        <v>24</v>
      </c>
      <c r="BU555" s="136">
        <f t="shared" si="317"/>
        <v>24</v>
      </c>
      <c r="CA555" s="136">
        <f>'INFO BASE'!L633</f>
        <v>0</v>
      </c>
      <c r="CB555" s="136">
        <f>'INFO BASE'!M633</f>
        <v>0</v>
      </c>
      <c r="CR555" s="177">
        <f t="shared" si="298"/>
        <v>1</v>
      </c>
      <c r="CS555" s="177">
        <f t="shared" si="299"/>
        <v>1</v>
      </c>
      <c r="CT555" s="177">
        <f t="shared" si="298"/>
        <v>1</v>
      </c>
      <c r="CU555" s="177">
        <f t="shared" si="300"/>
        <v>1</v>
      </c>
      <c r="CV555" s="177">
        <f t="shared" si="298"/>
        <v>1</v>
      </c>
      <c r="CW555" s="177">
        <f t="shared" si="301"/>
        <v>1</v>
      </c>
      <c r="CX555" s="177">
        <f t="shared" si="298"/>
        <v>1</v>
      </c>
      <c r="CY555" s="177">
        <f t="shared" si="302"/>
        <v>1</v>
      </c>
      <c r="CZ555" s="177">
        <f t="shared" si="298"/>
        <v>1</v>
      </c>
      <c r="DA555" s="177">
        <f t="shared" si="303"/>
        <v>1</v>
      </c>
      <c r="DB555" s="177">
        <f t="shared" si="298"/>
        <v>1</v>
      </c>
      <c r="DC555" s="177">
        <f t="shared" si="304"/>
        <v>1</v>
      </c>
      <c r="DD555" s="177">
        <f t="shared" si="305"/>
        <v>1</v>
      </c>
      <c r="DE555" s="177">
        <f t="shared" si="306"/>
        <v>1</v>
      </c>
    </row>
    <row r="556" spans="1:109" ht="18" customHeight="1" x14ac:dyDescent="0.3">
      <c r="A556" s="81">
        <v>0.70833333333335602</v>
      </c>
      <c r="B556" s="153"/>
      <c r="C556" s="130"/>
      <c r="D556" s="135"/>
      <c r="E556" s="130"/>
      <c r="F556" s="135"/>
      <c r="G556" s="130"/>
      <c r="H556" s="135"/>
      <c r="I556" s="130"/>
      <c r="J556" s="135"/>
      <c r="K556" s="130"/>
      <c r="L556" s="135"/>
      <c r="M556" s="130"/>
      <c r="N556" s="135"/>
      <c r="O556" s="154"/>
      <c r="P556" s="6">
        <v>0</v>
      </c>
      <c r="Q556" s="122" t="str">
        <f t="shared" si="323"/>
        <v>Aulas Teóricas</v>
      </c>
      <c r="R556" s="105" t="str">
        <f t="shared" si="315"/>
        <v>IEI</v>
      </c>
      <c r="S556" s="88">
        <f t="shared" si="312"/>
        <v>-1</v>
      </c>
      <c r="T556" s="106">
        <f>IF(VLOOKUP(Q556,'INFO BASE'!$B$40:$I$54,IF(R556='INFO BASE'!$B$32,3,IF(R556='INFO BASE'!$B$33,4,IF(R556='INFO BASE'!$B$34,5,IF(R556='INFO BASE'!$B$35,6,IF(R556='INFO BASE'!$B$36,7,IF(R556='INFO BASE'!$B$37,8,2)))))),0)=0,"",VLOOKUP(Q556,'INFO BASE'!$B$40:$I$54,IF(R556='INFO BASE'!$B$32,3,IF(R556='INFO BASE'!$B$33,4,IF(R556='INFO BASE'!$B$34,5,IF(R556='INFO BASE'!$B$35,6,IF(R556='INFO BASE'!$B$36,7,IF(R556='INFO BASE'!$B$37,8,2)))))),0))</f>
        <v>3</v>
      </c>
      <c r="U556" s="106">
        <f>(COUNTIFS(C522:C569,R556,B522:B569,R554)+COUNTIFS(E522:E569,R556,D522:D569,R554)+COUNTIFS(G522:G569,R556,F522:F569,R554)+COUNTIFS(I522:I569,R556,H522:H569,R554)+COUNTIFS(K522:K569,R556,J522:J569,R554)+COUNTIFS(M522:M569,R556,L522:L569,R554)+COUNTIFS(O522:O569,R556,N522:N569,R554))*0.5</f>
        <v>0</v>
      </c>
      <c r="V556" s="89">
        <f>(COUNTIFS(AI522:AI569,R554,AJ522:AJ569,R549)+COUNTIFS(AK522:AK569,R554,AL522:AL569,R549)+COUNTIFS(AM522:AM569,R554,AN522:AN569,R549)+COUNTIFS(AO522:AO569,R554,AP522:AP569,R549)+COUNTIFS(AQ522:AQ569,R554,AR522:AR569,R549)+COUNTIFS(AS522:AS569,R554,AT522:AT569,R549)+COUNTIFS(AU522:AU569,R554,AV522:AV569,R549))*0.5</f>
        <v>0</v>
      </c>
      <c r="W556" s="90" t="str">
        <f>IF(AH518="","-",IF(V556=0,U556,IFERROR((U556/V556)-1,"-")))</f>
        <v>-</v>
      </c>
      <c r="X556" s="201">
        <f t="shared" si="313"/>
        <v>0</v>
      </c>
      <c r="Y556" s="271"/>
      <c r="Z556" s="272"/>
      <c r="AA556" s="272"/>
      <c r="AB556" s="272"/>
      <c r="AC556" s="272"/>
      <c r="AD556" s="272"/>
      <c r="AE556" s="272"/>
      <c r="AF556" s="273"/>
      <c r="AH556" s="136">
        <v>0.70833333333335602</v>
      </c>
      <c r="AI556" s="136" t="str">
        <f>IF(AH518="","",IF(B556="","",B556))</f>
        <v/>
      </c>
      <c r="AJ556" s="136" t="str">
        <f>IF(AH518="","",IF(C556="","",C556))</f>
        <v/>
      </c>
      <c r="AK556" s="136" t="str">
        <f>IF(AH518="","",IF(D556="","",D556))</f>
        <v/>
      </c>
      <c r="AL556" s="136" t="str">
        <f>IF(AH518="","",IF(E556="","",E556))</f>
        <v/>
      </c>
      <c r="AM556" s="136" t="str">
        <f>IF(AH518="","",IF(F556="","",F556))</f>
        <v/>
      </c>
      <c r="AN556" s="136" t="str">
        <f>IF(AH518="","",IF(G556="","",G556))</f>
        <v/>
      </c>
      <c r="AO556" s="136" t="str">
        <f>IF(AH518="","",IF(H556="","",H556))</f>
        <v/>
      </c>
      <c r="AP556" s="136" t="str">
        <f>IF(AH518="","",IF(I556="","",I556))</f>
        <v/>
      </c>
      <c r="AQ556" s="136" t="str">
        <f>IF(AH518="","",IF(J556="","",J556))</f>
        <v/>
      </c>
      <c r="AR556" s="136" t="str">
        <f>IF(AH518="","",IF(K556="","",K556))</f>
        <v/>
      </c>
      <c r="AS556" s="136" t="str">
        <f>IF(AH518="","",IF(L556="","",L556))</f>
        <v/>
      </c>
      <c r="AT556" s="136" t="str">
        <f>IF(AH518="","",IF(M556="","",M556))</f>
        <v/>
      </c>
      <c r="AU556" s="136" t="str">
        <f>IF(AH518="","",IF(N556="","",N556))</f>
        <v/>
      </c>
      <c r="AV556" s="136" t="str">
        <f>IF(AH518="","",IF(O556="","",O556))</f>
        <v/>
      </c>
      <c r="AX556" s="136" t="str">
        <f>IF(AI518="","",IF(B556="","",B556))</f>
        <v/>
      </c>
      <c r="AY556" s="136" t="str">
        <f>IF(AI518="","",IF(C556="","",C556))</f>
        <v/>
      </c>
      <c r="AZ556" s="136" t="str">
        <f>IF(AI518="","",IF(D556="","",D556))</f>
        <v/>
      </c>
      <c r="BA556" s="136" t="str">
        <f>IF(AI518="","",IF(E556="","",E556))</f>
        <v/>
      </c>
      <c r="BB556" s="136" t="str">
        <f>IF(AI518="","",IF(F556="","",F556))</f>
        <v/>
      </c>
      <c r="BC556" s="136" t="str">
        <f>IF(AI518="","",IF(G556="","",G556))</f>
        <v/>
      </c>
      <c r="BD556" s="136" t="str">
        <f>IF(AI518="","",IF(H556="","",H556))</f>
        <v/>
      </c>
      <c r="BE556" s="136" t="str">
        <f>IF(AI518="","",IF(I556="","",I556))</f>
        <v/>
      </c>
      <c r="BF556" s="136" t="str">
        <f>IF(AI518="","",IF(J556="","",J556))</f>
        <v/>
      </c>
      <c r="BG556" s="136" t="str">
        <f>IF(AI518="","",IF(K556="","",K556))</f>
        <v/>
      </c>
      <c r="BH556" s="136" t="str">
        <f>IF(AI518="","",IF(L556="","",L556))</f>
        <v/>
      </c>
      <c r="BI556" s="136" t="str">
        <f>IF(AI518="","",IF(M556="","",M556))</f>
        <v/>
      </c>
      <c r="BJ556" s="136" t="str">
        <f>IF(AI518="","",IF(N556="","",N556))</f>
        <v/>
      </c>
      <c r="BK556" s="136" t="str">
        <f>IF(AI518="","",IF(O556="","",O556))</f>
        <v/>
      </c>
      <c r="BM556" s="136" t="str">
        <f t="shared" si="322"/>
        <v>AT</v>
      </c>
      <c r="BN556" s="136" t="str">
        <f t="shared" si="308"/>
        <v>Aulas Teóricas</v>
      </c>
      <c r="BO556" s="136" t="str">
        <f t="shared" si="308"/>
        <v>CDI</v>
      </c>
      <c r="BP556" s="136">
        <f>(COUNTIFS(AX522:AX569,BM556,AY522:AY569,BO556)+COUNTIFS(AZ522:AZ569,BM556,BA522:BA569,BO556)+COUNTIFS(BB522:BB569,BM556,BC522:BC569,BO556)+COUNTIFS(BD522:BD569,BM556,BE522:BE569,BO556)+COUNTIFS(BF522:BF569,BM556,BG522:BG569,BO556)+COUNTIFS(BH522:BH569,BM556,BI522:BI569,BO556)+COUNTIFS(BJ522:BJ569,BM556,BK522:BK569,BO556))*0.5</f>
        <v>0</v>
      </c>
      <c r="BQ556" s="136" t="str">
        <f t="shared" si="309"/>
        <v>Aulas Teóricas</v>
      </c>
      <c r="BR556" s="136" t="str">
        <f t="shared" si="309"/>
        <v>CDI</v>
      </c>
      <c r="BS556" s="136" t="str">
        <f t="shared" si="310"/>
        <v>Aulas Teóricas</v>
      </c>
      <c r="BT556" s="136">
        <f t="shared" si="316"/>
        <v>24</v>
      </c>
      <c r="BU556" s="136">
        <f t="shared" si="317"/>
        <v>24</v>
      </c>
      <c r="CA556" s="136">
        <f>'INFO BASE'!L634</f>
        <v>0</v>
      </c>
      <c r="CB556" s="136">
        <f>'INFO BASE'!M634</f>
        <v>0</v>
      </c>
      <c r="CR556" s="177">
        <f t="shared" si="298"/>
        <v>1</v>
      </c>
      <c r="CS556" s="177">
        <f t="shared" si="299"/>
        <v>1</v>
      </c>
      <c r="CT556" s="177">
        <f t="shared" si="298"/>
        <v>1</v>
      </c>
      <c r="CU556" s="177">
        <f t="shared" si="300"/>
        <v>1</v>
      </c>
      <c r="CV556" s="177">
        <f t="shared" si="298"/>
        <v>1</v>
      </c>
      <c r="CW556" s="177">
        <f t="shared" si="301"/>
        <v>1</v>
      </c>
      <c r="CX556" s="177">
        <f t="shared" si="298"/>
        <v>1</v>
      </c>
      <c r="CY556" s="177">
        <f t="shared" si="302"/>
        <v>1</v>
      </c>
      <c r="CZ556" s="177">
        <f t="shared" si="298"/>
        <v>1</v>
      </c>
      <c r="DA556" s="177">
        <f t="shared" si="303"/>
        <v>1</v>
      </c>
      <c r="DB556" s="177">
        <f t="shared" si="298"/>
        <v>1</v>
      </c>
      <c r="DC556" s="177">
        <f t="shared" si="304"/>
        <v>1</v>
      </c>
      <c r="DD556" s="177">
        <f t="shared" si="305"/>
        <v>1</v>
      </c>
      <c r="DE556" s="177">
        <f t="shared" si="306"/>
        <v>1</v>
      </c>
    </row>
    <row r="557" spans="1:109" ht="18" customHeight="1" x14ac:dyDescent="0.3">
      <c r="A557" s="81">
        <v>0.72916666666669006</v>
      </c>
      <c r="B557" s="153"/>
      <c r="C557" s="130"/>
      <c r="D557" s="135"/>
      <c r="E557" s="130"/>
      <c r="F557" s="135"/>
      <c r="G557" s="130"/>
      <c r="H557" s="135"/>
      <c r="I557" s="130"/>
      <c r="J557" s="135"/>
      <c r="K557" s="130"/>
      <c r="L557" s="135"/>
      <c r="M557" s="130"/>
      <c r="N557" s="135"/>
      <c r="O557" s="154"/>
      <c r="P557" s="6">
        <v>0</v>
      </c>
      <c r="Q557" s="123" t="str">
        <f t="shared" si="323"/>
        <v>Aulas Teóricas</v>
      </c>
      <c r="R557" s="105" t="str">
        <f t="shared" si="315"/>
        <v>IAC</v>
      </c>
      <c r="S557" s="88">
        <f t="shared" si="312"/>
        <v>-1</v>
      </c>
      <c r="T557" s="106">
        <f>IF(VLOOKUP(Q557,'INFO BASE'!$B$40:$I$54,IF(R557='INFO BASE'!$B$32,3,IF(R557='INFO BASE'!$B$33,4,IF(R557='INFO BASE'!$B$34,5,IF(R557='INFO BASE'!$B$35,6,IF(R557='INFO BASE'!$B$36,7,IF(R557='INFO BASE'!$B$37,8,2)))))),0)=0,"",VLOOKUP(Q557,'INFO BASE'!$B$40:$I$54,IF(R557='INFO BASE'!$B$32,3,IF(R557='INFO BASE'!$B$33,4,IF(R557='INFO BASE'!$B$34,5,IF(R557='INFO BASE'!$B$35,6,IF(R557='INFO BASE'!$B$36,7,IF(R557='INFO BASE'!$B$37,8,2)))))),0))</f>
        <v>3</v>
      </c>
      <c r="U557" s="106">
        <f>(COUNTIFS(C522:C569,R557,B522:B569,R554)+COUNTIFS(E522:E569,R557,D522:D569,R554)+COUNTIFS(G522:G569,R557,F522:F569,R554)+COUNTIFS(I522:I569,R557,H522:H569,R554)+COUNTIFS(K522:K569,R557,J522:J569,R554)+COUNTIFS(M522:M569,R557,L522:L569,R554)+COUNTIFS(O522:O569,R557,N522:N569,R554))*0.5</f>
        <v>0</v>
      </c>
      <c r="V557" s="89">
        <f>(COUNTIFS(AI522:AI569,R554,AJ522:AJ569,R550)+COUNTIFS(AK522:AK569,R554,AL522:AL569,R550)+COUNTIFS(AM522:AM569,R554,AN522:AN569,R550)+COUNTIFS(AO522:AO569,R554,AP522:AP569,R550)+COUNTIFS(AQ522:AQ569,R554,AR522:AR569,R550)+COUNTIFS(AS522:AS569,R554,AT522:AT569,R550)+COUNTIFS(AU522:AU569,R554,AV522:AV569,R550))*0.5</f>
        <v>0</v>
      </c>
      <c r="W557" s="90" t="str">
        <f>IF(AH518="","-",IF(V557=0,U557,IFERROR((U557/V557)-1,"-")))</f>
        <v>-</v>
      </c>
      <c r="X557" s="201">
        <f t="shared" si="313"/>
        <v>0</v>
      </c>
      <c r="Y557" s="271"/>
      <c r="Z557" s="272"/>
      <c r="AA557" s="272"/>
      <c r="AB557" s="272"/>
      <c r="AC557" s="272"/>
      <c r="AD557" s="272"/>
      <c r="AE557" s="272"/>
      <c r="AF557" s="273"/>
      <c r="AH557" s="136">
        <v>0.72916666666669006</v>
      </c>
      <c r="AI557" s="136" t="str">
        <f>IF(AH518="","",IF(B557="","",B557))</f>
        <v/>
      </c>
      <c r="AJ557" s="136" t="str">
        <f>IF(AH518="","",IF(C557="","",C557))</f>
        <v/>
      </c>
      <c r="AK557" s="136" t="str">
        <f>IF(AH518="","",IF(D557="","",D557))</f>
        <v/>
      </c>
      <c r="AL557" s="136" t="str">
        <f>IF(AH518="","",IF(E557="","",E557))</f>
        <v/>
      </c>
      <c r="AM557" s="136" t="str">
        <f>IF(AH518="","",IF(F557="","",F557))</f>
        <v/>
      </c>
      <c r="AN557" s="136" t="str">
        <f>IF(AH518="","",IF(G557="","",G557))</f>
        <v/>
      </c>
      <c r="AO557" s="136" t="str">
        <f>IF(AH518="","",IF(H557="","",H557))</f>
        <v/>
      </c>
      <c r="AP557" s="136" t="str">
        <f>IF(AH518="","",IF(I557="","",I557))</f>
        <v/>
      </c>
      <c r="AQ557" s="136" t="str">
        <f>IF(AH518="","",IF(J557="","",J557))</f>
        <v/>
      </c>
      <c r="AR557" s="136" t="str">
        <f>IF(AH518="","",IF(K557="","",K557))</f>
        <v/>
      </c>
      <c r="AS557" s="136" t="str">
        <f>IF(AH518="","",IF(L557="","",L557))</f>
        <v/>
      </c>
      <c r="AT557" s="136" t="str">
        <f>IF(AH518="","",IF(M557="","",M557))</f>
        <v/>
      </c>
      <c r="AU557" s="136" t="str">
        <f>IF(AH518="","",IF(N557="","",N557))</f>
        <v/>
      </c>
      <c r="AV557" s="136" t="str">
        <f>IF(AH518="","",IF(O557="","",O557))</f>
        <v/>
      </c>
      <c r="AX557" s="136" t="str">
        <f>IF(AI518="","",IF(B557="","",B557))</f>
        <v/>
      </c>
      <c r="AY557" s="136" t="str">
        <f>IF(AI518="","",IF(C557="","",C557))</f>
        <v/>
      </c>
      <c r="AZ557" s="136" t="str">
        <f>IF(AI518="","",IF(D557="","",D557))</f>
        <v/>
      </c>
      <c r="BA557" s="136" t="str">
        <f>IF(AI518="","",IF(E557="","",E557))</f>
        <v/>
      </c>
      <c r="BB557" s="136" t="str">
        <f>IF(AI518="","",IF(F557="","",F557))</f>
        <v/>
      </c>
      <c r="BC557" s="136" t="str">
        <f>IF(AI518="","",IF(G557="","",G557))</f>
        <v/>
      </c>
      <c r="BD557" s="136" t="str">
        <f>IF(AI518="","",IF(H557="","",H557))</f>
        <v/>
      </c>
      <c r="BE557" s="136" t="str">
        <f>IF(AI518="","",IF(I557="","",I557))</f>
        <v/>
      </c>
      <c r="BF557" s="136" t="str">
        <f>IF(AI518="","",IF(J557="","",J557))</f>
        <v/>
      </c>
      <c r="BG557" s="136" t="str">
        <f>IF(AI518="","",IF(K557="","",K557))</f>
        <v/>
      </c>
      <c r="BH557" s="136" t="str">
        <f>IF(AI518="","",IF(L557="","",L557))</f>
        <v/>
      </c>
      <c r="BI557" s="136" t="str">
        <f>IF(AI518="","",IF(M557="","",M557))</f>
        <v/>
      </c>
      <c r="BJ557" s="136" t="str">
        <f>IF(AI518="","",IF(N557="","",N557))</f>
        <v/>
      </c>
      <c r="BK557" s="136" t="str">
        <f>IF(AI518="","",IF(O557="","",O557))</f>
        <v/>
      </c>
      <c r="BM557" s="136" t="str">
        <f t="shared" si="322"/>
        <v>AT</v>
      </c>
      <c r="BN557" s="136" t="str">
        <f t="shared" si="308"/>
        <v>Aulas Teóricas</v>
      </c>
      <c r="BO557" s="136" t="str">
        <f t="shared" si="308"/>
        <v/>
      </c>
      <c r="BP557" s="136">
        <f>(COUNTIFS(AX522:AX569,BM557,AY522:AY569,BO557)+COUNTIFS(AZ522:AZ569,BM557,BA522:BA569,BO557)+COUNTIFS(BB522:BB569,BM557,BC522:BC569,BO557)+COUNTIFS(BD522:BD569,BM557,BE522:BE569,BO557)+COUNTIFS(BF522:BF569,BM557,BG522:BG569,BO557)+COUNTIFS(BH522:BH569,BM557,BI522:BI569,BO557)+COUNTIFS(BJ522:BJ569,BM557,BK522:BK569,BO557))*0.5</f>
        <v>0</v>
      </c>
      <c r="BQ557" s="136" t="str">
        <f t="shared" si="309"/>
        <v>Aulas Teóricas</v>
      </c>
      <c r="BR557" s="136" t="str">
        <f t="shared" si="309"/>
        <v/>
      </c>
      <c r="BS557" s="136" t="str">
        <f t="shared" si="310"/>
        <v>Aulas Teóricas</v>
      </c>
      <c r="BT557" s="136">
        <f t="shared" si="316"/>
        <v>0</v>
      </c>
      <c r="BU557" s="136">
        <f t="shared" si="317"/>
        <v>0</v>
      </c>
      <c r="CA557" s="136">
        <f>'INFO BASE'!L635</f>
        <v>0</v>
      </c>
      <c r="CB557" s="136">
        <f>'INFO BASE'!M635</f>
        <v>0</v>
      </c>
      <c r="CR557" s="177">
        <f t="shared" si="298"/>
        <v>1</v>
      </c>
      <c r="CS557" s="177">
        <f t="shared" si="299"/>
        <v>1</v>
      </c>
      <c r="CT557" s="177">
        <f t="shared" si="298"/>
        <v>1</v>
      </c>
      <c r="CU557" s="177">
        <f t="shared" si="300"/>
        <v>1</v>
      </c>
      <c r="CV557" s="177">
        <f t="shared" si="298"/>
        <v>1</v>
      </c>
      <c r="CW557" s="177">
        <f t="shared" si="301"/>
        <v>1</v>
      </c>
      <c r="CX557" s="177">
        <f t="shared" si="298"/>
        <v>1</v>
      </c>
      <c r="CY557" s="177">
        <f t="shared" si="302"/>
        <v>1</v>
      </c>
      <c r="CZ557" s="177">
        <f t="shared" si="298"/>
        <v>1</v>
      </c>
      <c r="DA557" s="177">
        <f t="shared" si="303"/>
        <v>1</v>
      </c>
      <c r="DB557" s="177">
        <f t="shared" si="298"/>
        <v>1</v>
      </c>
      <c r="DC557" s="177">
        <f t="shared" si="304"/>
        <v>1</v>
      </c>
      <c r="DD557" s="177">
        <f t="shared" si="305"/>
        <v>1</v>
      </c>
      <c r="DE557" s="177">
        <f t="shared" si="306"/>
        <v>1</v>
      </c>
    </row>
    <row r="558" spans="1:109" ht="18" customHeight="1" x14ac:dyDescent="0.3">
      <c r="A558" s="81">
        <v>0.75000000000002398</v>
      </c>
      <c r="B558" s="153"/>
      <c r="C558" s="130"/>
      <c r="D558" s="135"/>
      <c r="E558" s="130"/>
      <c r="F558" s="135"/>
      <c r="G558" s="130"/>
      <c r="H558" s="135"/>
      <c r="I558" s="130"/>
      <c r="J558" s="135"/>
      <c r="K558" s="130"/>
      <c r="L558" s="135"/>
      <c r="M558" s="130"/>
      <c r="N558" s="135"/>
      <c r="O558" s="154"/>
      <c r="P558" s="6">
        <v>0</v>
      </c>
      <c r="Q558" s="122" t="str">
        <f t="shared" si="323"/>
        <v>Aulas Teóricas</v>
      </c>
      <c r="R558" s="105" t="str">
        <f t="shared" si="315"/>
        <v>AL</v>
      </c>
      <c r="S558" s="88">
        <f t="shared" si="312"/>
        <v>-1</v>
      </c>
      <c r="T558" s="106">
        <f>IF(VLOOKUP(Q558,'INFO BASE'!$B$40:$I$54,IF(R558='INFO BASE'!$B$32,3,IF(R558='INFO BASE'!$B$33,4,IF(R558='INFO BASE'!$B$34,5,IF(R558='INFO BASE'!$B$35,6,IF(R558='INFO BASE'!$B$36,7,IF(R558='INFO BASE'!$B$37,8,2)))))),0)=0,"",VLOOKUP(Q558,'INFO BASE'!$B$40:$I$54,IF(R558='INFO BASE'!$B$32,3,IF(R558='INFO BASE'!$B$33,4,IF(R558='INFO BASE'!$B$34,5,IF(R558='INFO BASE'!$B$35,6,IF(R558='INFO BASE'!$B$36,7,IF(R558='INFO BASE'!$B$37,8,2)))))),0))</f>
        <v>3</v>
      </c>
      <c r="U558" s="106">
        <f>(COUNTIFS(C522:C569,R558,B522:B569,R554)+COUNTIFS(E522:E569,R558,D522:D569,R554)+COUNTIFS(G522:G569,R558,F522:F569,R554)+COUNTIFS(I522:I569,R558,H522:H569,R554)+COUNTIFS(K522:K569,R558,J522:J569,R554)+COUNTIFS(M522:M569,R558,L522:L569,R554)+COUNTIFS(O522:O569,R558,N522:N569,R554))*0.5</f>
        <v>0</v>
      </c>
      <c r="V558" s="89">
        <f>(COUNTIFS(AI522:AI569,R554,AJ522:AJ569,R551)+COUNTIFS(AK522:AK569,R554,AL522:AL569,R551)+COUNTIFS(AM522:AM569,R554,AN522:AN569,R551)+COUNTIFS(AO522:AO569,R554,AP522:AP569,R551)+COUNTIFS(AQ522:AQ569,R554,AR522:AR569,R551)+COUNTIFS(AS522:AS569,R554,AT522:AT569,R551)+COUNTIFS(AU522:AU569,R554,AV522:AV569,R551))*0.5</f>
        <v>0</v>
      </c>
      <c r="W558" s="90" t="str">
        <f>IF(AH518="","-",IF(V558=0,U558,IFERROR((U558/V558)-1,"-")))</f>
        <v>-</v>
      </c>
      <c r="X558" s="201">
        <f t="shared" si="313"/>
        <v>0</v>
      </c>
      <c r="Y558" s="271"/>
      <c r="Z558" s="272"/>
      <c r="AA558" s="272"/>
      <c r="AB558" s="272"/>
      <c r="AC558" s="272"/>
      <c r="AD558" s="272"/>
      <c r="AE558" s="272"/>
      <c r="AF558" s="273"/>
      <c r="AH558" s="136">
        <v>0.75000000000002398</v>
      </c>
      <c r="AI558" s="136" t="str">
        <f>IF(AH518="","",IF(B558="","",B558))</f>
        <v/>
      </c>
      <c r="AJ558" s="136" t="str">
        <f>IF(AH518="","",IF(C558="","",C558))</f>
        <v/>
      </c>
      <c r="AK558" s="136" t="str">
        <f>IF(AH518="","",IF(D558="","",D558))</f>
        <v/>
      </c>
      <c r="AL558" s="136" t="str">
        <f>IF(AH518="","",IF(E558="","",E558))</f>
        <v/>
      </c>
      <c r="AM558" s="136" t="str">
        <f>IF(AH518="","",IF(F558="","",F558))</f>
        <v/>
      </c>
      <c r="AN558" s="136" t="str">
        <f>IF(AH518="","",IF(G558="","",G558))</f>
        <v/>
      </c>
      <c r="AO558" s="136" t="str">
        <f>IF(AH518="","",IF(H558="","",H558))</f>
        <v/>
      </c>
      <c r="AP558" s="136" t="str">
        <f>IF(AH518="","",IF(I558="","",I558))</f>
        <v/>
      </c>
      <c r="AQ558" s="136" t="str">
        <f>IF(AH518="","",IF(J558="","",J558))</f>
        <v/>
      </c>
      <c r="AR558" s="136" t="str">
        <f>IF(AH518="","",IF(K558="","",K558))</f>
        <v/>
      </c>
      <c r="AS558" s="136" t="str">
        <f>IF(AH518="","",IF(L558="","",L558))</f>
        <v/>
      </c>
      <c r="AT558" s="136" t="str">
        <f>IF(AH518="","",IF(M558="","",M558))</f>
        <v/>
      </c>
      <c r="AU558" s="136" t="str">
        <f>IF(AH518="","",IF(N558="","",N558))</f>
        <v/>
      </c>
      <c r="AV558" s="136" t="str">
        <f>IF(AH518="","",IF(O558="","",O558))</f>
        <v/>
      </c>
      <c r="AX558" s="136" t="str">
        <f>IF(AI518="","",IF(B558="","",B558))</f>
        <v/>
      </c>
      <c r="AY558" s="136" t="str">
        <f>IF(AI518="","",IF(C558="","",C558))</f>
        <v/>
      </c>
      <c r="AZ558" s="136" t="str">
        <f>IF(AI518="","",IF(D558="","",D558))</f>
        <v/>
      </c>
      <c r="BA558" s="136" t="str">
        <f>IF(AI518="","",IF(E558="","",E558))</f>
        <v/>
      </c>
      <c r="BB558" s="136" t="str">
        <f>IF(AI518="","",IF(F558="","",F558))</f>
        <v/>
      </c>
      <c r="BC558" s="136" t="str">
        <f>IF(AI518="","",IF(G558="","",G558))</f>
        <v/>
      </c>
      <c r="BD558" s="136" t="str">
        <f>IF(AI518="","",IF(H558="","",H558))</f>
        <v/>
      </c>
      <c r="BE558" s="136" t="str">
        <f>IF(AI518="","",IF(I558="","",I558))</f>
        <v/>
      </c>
      <c r="BF558" s="136" t="str">
        <f>IF(AI518="","",IF(J558="","",J558))</f>
        <v/>
      </c>
      <c r="BG558" s="136" t="str">
        <f>IF(AI518="","",IF(K558="","",K558))</f>
        <v/>
      </c>
      <c r="BH558" s="136" t="str">
        <f>IF(AI518="","",IF(L558="","",L558))</f>
        <v/>
      </c>
      <c r="BI558" s="136" t="str">
        <f>IF(AI518="","",IF(M558="","",M558))</f>
        <v/>
      </c>
      <c r="BJ558" s="136" t="str">
        <f>IF(AI518="","",IF(N558="","",N558))</f>
        <v/>
      </c>
      <c r="BK558" s="136" t="str">
        <f>IF(AI518="","",IF(O558="","",O558))</f>
        <v/>
      </c>
      <c r="BN558" s="136" t="str">
        <f t="shared" si="308"/>
        <v>Aulas Práticas</v>
      </c>
      <c r="BO558" s="136" t="str">
        <f t="shared" si="308"/>
        <v>APA</v>
      </c>
      <c r="BP558" s="136">
        <f>IF(BO558="","",COUNTIFS(AX522:BK569,BO558)*0.5)</f>
        <v>0</v>
      </c>
      <c r="BQ558" s="136" t="str">
        <f t="shared" si="309"/>
        <v>Aulas Práticas</v>
      </c>
      <c r="BR558" s="136" t="str">
        <f t="shared" si="309"/>
        <v>APA</v>
      </c>
      <c r="BS558" s="136" t="str">
        <f t="shared" si="310"/>
        <v>Aulas Práticas</v>
      </c>
      <c r="BT558" s="136">
        <f t="shared" si="316"/>
        <v>0</v>
      </c>
      <c r="BU558" s="136">
        <f t="shared" si="317"/>
        <v>0</v>
      </c>
      <c r="CA558" s="136">
        <f>'INFO BASE'!L636</f>
        <v>0</v>
      </c>
      <c r="CB558" s="136">
        <f>'INFO BASE'!M636</f>
        <v>0</v>
      </c>
      <c r="CR558" s="177">
        <f t="shared" si="298"/>
        <v>1</v>
      </c>
      <c r="CS558" s="177">
        <f t="shared" si="299"/>
        <v>1</v>
      </c>
      <c r="CT558" s="177">
        <f t="shared" si="298"/>
        <v>1</v>
      </c>
      <c r="CU558" s="177">
        <f t="shared" si="300"/>
        <v>1</v>
      </c>
      <c r="CV558" s="177">
        <f t="shared" si="298"/>
        <v>1</v>
      </c>
      <c r="CW558" s="177">
        <f t="shared" si="301"/>
        <v>1</v>
      </c>
      <c r="CX558" s="177">
        <f t="shared" si="298"/>
        <v>1</v>
      </c>
      <c r="CY558" s="177">
        <f t="shared" si="302"/>
        <v>1</v>
      </c>
      <c r="CZ558" s="177">
        <f t="shared" si="298"/>
        <v>1</v>
      </c>
      <c r="DA558" s="177">
        <f t="shared" si="303"/>
        <v>1</v>
      </c>
      <c r="DB558" s="177">
        <f t="shared" si="298"/>
        <v>1</v>
      </c>
      <c r="DC558" s="177">
        <f t="shared" si="304"/>
        <v>1</v>
      </c>
      <c r="DD558" s="177">
        <f t="shared" si="305"/>
        <v>1</v>
      </c>
      <c r="DE558" s="177">
        <f t="shared" si="306"/>
        <v>1</v>
      </c>
    </row>
    <row r="559" spans="1:109" ht="18" customHeight="1" x14ac:dyDescent="0.3">
      <c r="A559" s="81">
        <v>0.77083333333335802</v>
      </c>
      <c r="B559" s="153"/>
      <c r="C559" s="130"/>
      <c r="D559" s="135"/>
      <c r="E559" s="130"/>
      <c r="F559" s="135"/>
      <c r="G559" s="130"/>
      <c r="H559" s="135"/>
      <c r="I559" s="130"/>
      <c r="J559" s="135"/>
      <c r="K559" s="130"/>
      <c r="L559" s="135"/>
      <c r="M559" s="130"/>
      <c r="N559" s="135"/>
      <c r="O559" s="154"/>
      <c r="P559" s="6">
        <v>0</v>
      </c>
      <c r="Q559" s="122" t="str">
        <f t="shared" si="323"/>
        <v>Aulas Teóricas</v>
      </c>
      <c r="R559" s="105" t="str">
        <f t="shared" si="315"/>
        <v>CDI</v>
      </c>
      <c r="S559" s="88">
        <f t="shared" si="312"/>
        <v>-1</v>
      </c>
      <c r="T559" s="106">
        <f>IF(VLOOKUP(Q559,'INFO BASE'!$B$40:$I$54,IF(R559='INFO BASE'!$B$32,3,IF(R559='INFO BASE'!$B$33,4,IF(R559='INFO BASE'!$B$34,5,IF(R559='INFO BASE'!$B$35,6,IF(R559='INFO BASE'!$B$36,7,IF(R559='INFO BASE'!$B$37,8,2)))))),0)=0,"",VLOOKUP(Q559,'INFO BASE'!$B$40:$I$54,IF(R559='INFO BASE'!$B$32,3,IF(R559='INFO BASE'!$B$33,4,IF(R559='INFO BASE'!$B$34,5,IF(R559='INFO BASE'!$B$35,6,IF(R559='INFO BASE'!$B$36,7,IF(R559='INFO BASE'!$B$37,8,2)))))),0))</f>
        <v>3</v>
      </c>
      <c r="U559" s="106">
        <f>(COUNTIFS(C522:C569,R559,B522:B569,R554)+COUNTIFS(E522:E569,R559,D522:D569,R554)+COUNTIFS(G522:G569,R559,F522:F569,R554)+COUNTIFS(I522:I569,R559,H522:H569,R554)+COUNTIFS(K522:K569,R559,J522:J569,R554)+COUNTIFS(M522:M569,R559,L522:L569,R554)+COUNTIFS(O522:O569,R559,N522:N569,R554))*0.5</f>
        <v>0</v>
      </c>
      <c r="V559" s="89">
        <f>(COUNTIFS(AI522:AI569,R554,AJ522:AJ569,R552)+COUNTIFS(AK522:AK569,R554,AL522:AL569,R552)+COUNTIFS(AM522:AM569,R554,AN522:AN569,R552)+COUNTIFS(AO522:AO569,R554,AP522:AP569,R552)+COUNTIFS(AQ522:AQ569,R554,AR522:AR569,R552)+COUNTIFS(AS522:AS569,R554,AT522:AT569,R552)+COUNTIFS(AU522:AU569,R554,AV522:AV569,R552))*0.5</f>
        <v>0</v>
      </c>
      <c r="W559" s="90" t="str">
        <f>IF(AH518="","-",IF(V559=0,U559,IFERROR((U559/V559)-1,"-")))</f>
        <v>-</v>
      </c>
      <c r="X559" s="201">
        <f t="shared" si="313"/>
        <v>0</v>
      </c>
      <c r="Y559" s="271"/>
      <c r="Z559" s="272"/>
      <c r="AA559" s="272"/>
      <c r="AB559" s="272"/>
      <c r="AC559" s="272"/>
      <c r="AD559" s="272"/>
      <c r="AE559" s="272"/>
      <c r="AF559" s="273"/>
      <c r="AH559" s="136">
        <v>0.77083333333335802</v>
      </c>
      <c r="AI559" s="136" t="str">
        <f>IF(AH518="","",IF(B559="","",B559))</f>
        <v/>
      </c>
      <c r="AJ559" s="136" t="str">
        <f>IF(AH518="","",IF(C559="","",C559))</f>
        <v/>
      </c>
      <c r="AK559" s="136" t="str">
        <f>IF(AH518="","",IF(D559="","",D559))</f>
        <v/>
      </c>
      <c r="AL559" s="136" t="str">
        <f>IF(AH518="","",IF(E559="","",E559))</f>
        <v/>
      </c>
      <c r="AM559" s="136" t="str">
        <f>IF(AH518="","",IF(F559="","",F559))</f>
        <v/>
      </c>
      <c r="AN559" s="136" t="str">
        <f>IF(AH518="","",IF(G559="","",G559))</f>
        <v/>
      </c>
      <c r="AO559" s="136" t="str">
        <f>IF(AH518="","",IF(H559="","",H559))</f>
        <v/>
      </c>
      <c r="AP559" s="136" t="str">
        <f>IF(AH518="","",IF(I559="","",I559))</f>
        <v/>
      </c>
      <c r="AQ559" s="136" t="str">
        <f>IF(AH518="","",IF(J559="","",J559))</f>
        <v/>
      </c>
      <c r="AR559" s="136" t="str">
        <f>IF(AH518="","",IF(K559="","",K559))</f>
        <v/>
      </c>
      <c r="AS559" s="136" t="str">
        <f>IF(AH518="","",IF(L559="","",L559))</f>
        <v/>
      </c>
      <c r="AT559" s="136" t="str">
        <f>IF(AH518="","",IF(M559="","",M559))</f>
        <v/>
      </c>
      <c r="AU559" s="136" t="str">
        <f>IF(AH518="","",IF(N559="","",N559))</f>
        <v/>
      </c>
      <c r="AV559" s="136" t="str">
        <f>IF(AH518="","",IF(O559="","",O559))</f>
        <v/>
      </c>
      <c r="AX559" s="136" t="str">
        <f>IF(AI518="","",IF(B559="","",B559))</f>
        <v/>
      </c>
      <c r="AY559" s="136" t="str">
        <f>IF(AI518="","",IF(C559="","",C559))</f>
        <v/>
      </c>
      <c r="AZ559" s="136" t="str">
        <f>IF(AI518="","",IF(D559="","",D559))</f>
        <v/>
      </c>
      <c r="BA559" s="136" t="str">
        <f>IF(AI518="","",IF(E559="","",E559))</f>
        <v/>
      </c>
      <c r="BB559" s="136" t="str">
        <f>IF(AI518="","",IF(F559="","",F559))</f>
        <v/>
      </c>
      <c r="BC559" s="136" t="str">
        <f>IF(AI518="","",IF(G559="","",G559))</f>
        <v/>
      </c>
      <c r="BD559" s="136" t="str">
        <f>IF(AI518="","",IF(H559="","",H559))</f>
        <v/>
      </c>
      <c r="BE559" s="136" t="str">
        <f>IF(AI518="","",IF(I559="","",I559))</f>
        <v/>
      </c>
      <c r="BF559" s="136" t="str">
        <f>IF(AI518="","",IF(J559="","",J559))</f>
        <v/>
      </c>
      <c r="BG559" s="136" t="str">
        <f>IF(AI518="","",IF(K559="","",K559))</f>
        <v/>
      </c>
      <c r="BH559" s="136" t="str">
        <f>IF(AI518="","",IF(L559="","",L559))</f>
        <v/>
      </c>
      <c r="BI559" s="136" t="str">
        <f>IF(AI518="","",IF(M559="","",M559))</f>
        <v/>
      </c>
      <c r="BJ559" s="136" t="str">
        <f>IF(AI518="","",IF(N559="","",N559))</f>
        <v/>
      </c>
      <c r="BK559" s="136" t="str">
        <f>IF(AI518="","",IF(O559="","",O559))</f>
        <v/>
      </c>
      <c r="BN559" s="136" t="str">
        <f t="shared" si="308"/>
        <v>Aulas Problemas</v>
      </c>
      <c r="BO559" s="136" t="str">
        <f t="shared" si="308"/>
        <v>APB</v>
      </c>
      <c r="BP559" s="136">
        <f>IF(BO559="","",COUNTIFS(AX522:BK569,BO559)*0.5)</f>
        <v>0</v>
      </c>
      <c r="BQ559" s="136" t="str">
        <f t="shared" si="309"/>
        <v>Aulas Problemas</v>
      </c>
      <c r="BR559" s="136" t="str">
        <f t="shared" si="309"/>
        <v>APB</v>
      </c>
      <c r="BS559" s="136" t="str">
        <f t="shared" si="310"/>
        <v>Aulas Problemas</v>
      </c>
      <c r="BT559" s="136">
        <f t="shared" si="316"/>
        <v>36</v>
      </c>
      <c r="BU559" s="136">
        <f t="shared" si="317"/>
        <v>36</v>
      </c>
      <c r="CR559" s="177">
        <f t="shared" si="298"/>
        <v>1</v>
      </c>
      <c r="CS559" s="177">
        <f t="shared" si="299"/>
        <v>1</v>
      </c>
      <c r="CT559" s="177">
        <f t="shared" si="298"/>
        <v>1</v>
      </c>
      <c r="CU559" s="177">
        <f t="shared" si="300"/>
        <v>1</v>
      </c>
      <c r="CV559" s="177">
        <f t="shared" si="298"/>
        <v>1</v>
      </c>
      <c r="CW559" s="177">
        <f t="shared" si="301"/>
        <v>1</v>
      </c>
      <c r="CX559" s="177">
        <f t="shared" si="298"/>
        <v>1</v>
      </c>
      <c r="CY559" s="177">
        <f t="shared" si="302"/>
        <v>1</v>
      </c>
      <c r="CZ559" s="177">
        <f t="shared" si="298"/>
        <v>1</v>
      </c>
      <c r="DA559" s="177">
        <f t="shared" si="303"/>
        <v>1</v>
      </c>
      <c r="DB559" s="177">
        <f t="shared" si="298"/>
        <v>1</v>
      </c>
      <c r="DC559" s="177">
        <f t="shared" si="304"/>
        <v>1</v>
      </c>
      <c r="DD559" s="177">
        <f t="shared" si="305"/>
        <v>1</v>
      </c>
      <c r="DE559" s="177">
        <f t="shared" si="306"/>
        <v>1</v>
      </c>
    </row>
    <row r="560" spans="1:109" ht="18" customHeight="1" thickBot="1" x14ac:dyDescent="0.35">
      <c r="A560" s="81">
        <v>0.79166666666669205</v>
      </c>
      <c r="B560" s="153"/>
      <c r="C560" s="130"/>
      <c r="D560" s="135"/>
      <c r="E560" s="130"/>
      <c r="F560" s="135"/>
      <c r="G560" s="130"/>
      <c r="H560" s="135"/>
      <c r="I560" s="130"/>
      <c r="J560" s="135"/>
      <c r="K560" s="130"/>
      <c r="L560" s="135"/>
      <c r="M560" s="130"/>
      <c r="N560" s="135"/>
      <c r="O560" s="154"/>
      <c r="P560" s="6">
        <v>0</v>
      </c>
      <c r="Q560" s="124" t="str">
        <f t="shared" si="323"/>
        <v>Aulas Teóricas</v>
      </c>
      <c r="R560" s="107" t="str">
        <f t="shared" si="315"/>
        <v/>
      </c>
      <c r="S560" s="94" t="str">
        <f t="shared" si="312"/>
        <v>-</v>
      </c>
      <c r="T560" s="108" t="str">
        <f>IF(VLOOKUP(Q560,'INFO BASE'!$B$40:$I$54,IF(R560='INFO BASE'!$B$32,3,IF(R560='INFO BASE'!$B$33,4,IF(R560='INFO BASE'!$B$34,5,IF(R560='INFO BASE'!$B$35,6,IF(R560='INFO BASE'!$B$36,7,IF(R560='INFO BASE'!$B$37,8,2)))))),0)=0,"",VLOOKUP(Q560,'INFO BASE'!$B$40:$I$54,IF(R560='INFO BASE'!$B$32,3,IF(R560='INFO BASE'!$B$33,4,IF(R560='INFO BASE'!$B$34,5,IF(R560='INFO BASE'!$B$35,6,IF(R560='INFO BASE'!$B$36,7,IF(R560='INFO BASE'!$B$37,8,2)))))),0))</f>
        <v/>
      </c>
      <c r="U560" s="108">
        <f>(COUNTIFS(C522:C569,R560,B522:B569,R554)+COUNTIFS(E522:E569,R560,D522:D569,R554)+COUNTIFS(G522:G569,R560,F522:F569,R554)+COUNTIFS(I522:I569,R560,H522:H569,R554)+COUNTIFS(K522:K569,R560,J522:J569,R554)+COUNTIFS(M522:M569,R560,L522:L569,R554)+COUNTIFS(O522:O569,R560,N522:N569,R554))*0.5</f>
        <v>0</v>
      </c>
      <c r="V560" s="95">
        <f>(COUNTIFS(AI522:AI569,R554,AJ522:AJ569,R553)+COUNTIFS(AK522:AK569,R554,AL522:AL569,R553)+COUNTIFS(AM522:AM569,R554,AN522:AN569,R553)+COUNTIFS(AO522:AO569,R554,AP522:AP569,R553)+COUNTIFS(AQ522:AQ569,R554,AR522:AR569,R553)+COUNTIFS(AS522:AS569,R554,AT522:AT569,R553)+COUNTIFS(AU522:AU569,R554,AV522:AV569,R553))*0.5</f>
        <v>0</v>
      </c>
      <c r="W560" s="96" t="str">
        <f>IF(AH518="","-",IF(V560=0,U560,IFERROR((U560/V560)-1,"-")))</f>
        <v>-</v>
      </c>
      <c r="X560" s="201">
        <f t="shared" si="313"/>
        <v>0</v>
      </c>
      <c r="Y560" s="274"/>
      <c r="Z560" s="275"/>
      <c r="AA560" s="275"/>
      <c r="AB560" s="275"/>
      <c r="AC560" s="275"/>
      <c r="AD560" s="275"/>
      <c r="AE560" s="275"/>
      <c r="AF560" s="276"/>
      <c r="AH560" s="136">
        <v>0.79166666666669205</v>
      </c>
      <c r="AI560" s="136" t="str">
        <f>IF(AH518="","",IF(B560="","",B560))</f>
        <v/>
      </c>
      <c r="AJ560" s="136" t="str">
        <f>IF(AH518="","",IF(C560="","",C560))</f>
        <v/>
      </c>
      <c r="AK560" s="136" t="str">
        <f>IF(AH518="","",IF(D560="","",D560))</f>
        <v/>
      </c>
      <c r="AL560" s="136" t="str">
        <f>IF(AH518="","",IF(E560="","",E560))</f>
        <v/>
      </c>
      <c r="AM560" s="136" t="str">
        <f>IF(AH518="","",IF(F560="","",F560))</f>
        <v/>
      </c>
      <c r="AN560" s="136" t="str">
        <f>IF(AH518="","",IF(G560="","",G560))</f>
        <v/>
      </c>
      <c r="AO560" s="136" t="str">
        <f>IF(AH518="","",IF(H560="","",H560))</f>
        <v/>
      </c>
      <c r="AP560" s="136" t="str">
        <f>IF(AH518="","",IF(I560="","",I560))</f>
        <v/>
      </c>
      <c r="AQ560" s="136" t="str">
        <f>IF(AH518="","",IF(J560="","",J560))</f>
        <v/>
      </c>
      <c r="AR560" s="136" t="str">
        <f>IF(AH518="","",IF(K560="","",K560))</f>
        <v/>
      </c>
      <c r="AS560" s="136" t="str">
        <f>IF(AH518="","",IF(L560="","",L560))</f>
        <v/>
      </c>
      <c r="AT560" s="136" t="str">
        <f>IF(AH518="","",IF(M560="","",M560))</f>
        <v/>
      </c>
      <c r="AU560" s="136" t="str">
        <f>IF(AH518="","",IF(N560="","",N560))</f>
        <v/>
      </c>
      <c r="AV560" s="136" t="str">
        <f>IF(AH518="","",IF(O560="","",O560))</f>
        <v/>
      </c>
      <c r="AX560" s="136" t="str">
        <f>IF(AI518="","",IF(B560="","",B560))</f>
        <v/>
      </c>
      <c r="AY560" s="136" t="str">
        <f>IF(AI518="","",IF(C560="","",C560))</f>
        <v/>
      </c>
      <c r="AZ560" s="136" t="str">
        <f>IF(AI518="","",IF(D560="","",D560))</f>
        <v/>
      </c>
      <c r="BA560" s="136" t="str">
        <f>IF(AI518="","",IF(E560="","",E560))</f>
        <v/>
      </c>
      <c r="BB560" s="136" t="str">
        <f>IF(AI518="","",IF(F560="","",F560))</f>
        <v/>
      </c>
      <c r="BC560" s="136" t="str">
        <f>IF(AI518="","",IF(G560="","",G560))</f>
        <v/>
      </c>
      <c r="BD560" s="136" t="str">
        <f>IF(AI518="","",IF(H560="","",H560))</f>
        <v/>
      </c>
      <c r="BE560" s="136" t="str">
        <f>IF(AI518="","",IF(I560="","",I560))</f>
        <v/>
      </c>
      <c r="BF560" s="136" t="str">
        <f>IF(AI518="","",IF(J560="","",J560))</f>
        <v/>
      </c>
      <c r="BG560" s="136" t="str">
        <f>IF(AI518="","",IF(K560="","",K560))</f>
        <v/>
      </c>
      <c r="BH560" s="136" t="str">
        <f>IF(AI518="","",IF(L560="","",L560))</f>
        <v/>
      </c>
      <c r="BI560" s="136" t="str">
        <f>IF(AI518="","",IF(M560="","",M560))</f>
        <v/>
      </c>
      <c r="BJ560" s="136" t="str">
        <f>IF(AI518="","",IF(N560="","",N560))</f>
        <v/>
      </c>
      <c r="BK560" s="136" t="str">
        <f>IF(AI518="","",IF(O560="","",O560))</f>
        <v/>
      </c>
      <c r="BN560" s="136" t="str">
        <f t="shared" si="308"/>
        <v>Laboratórios</v>
      </c>
      <c r="BO560" s="136" t="str">
        <f t="shared" si="308"/>
        <v>LAB</v>
      </c>
      <c r="BP560" s="136">
        <f>IF(BO560="","",COUNTIFS(AX522:BK569,BO560)*0.5)</f>
        <v>0</v>
      </c>
      <c r="BQ560" s="136" t="str">
        <f t="shared" si="309"/>
        <v>Laboratórios</v>
      </c>
      <c r="BR560" s="136" t="str">
        <f t="shared" si="309"/>
        <v>LAB</v>
      </c>
      <c r="BS560" s="136" t="str">
        <f t="shared" si="310"/>
        <v>Laboratórios</v>
      </c>
      <c r="BT560" s="136">
        <f t="shared" si="316"/>
        <v>10.5</v>
      </c>
      <c r="BU560" s="136">
        <f t="shared" si="317"/>
        <v>10.5</v>
      </c>
      <c r="CA560" s="136">
        <f>'INFO BASE'!L637</f>
        <v>0</v>
      </c>
      <c r="CB560" s="136">
        <f>'INFO BASE'!M637</f>
        <v>0</v>
      </c>
      <c r="CR560" s="177">
        <f t="shared" si="298"/>
        <v>1</v>
      </c>
      <c r="CS560" s="177">
        <f t="shared" si="299"/>
        <v>1</v>
      </c>
      <c r="CT560" s="177">
        <f t="shared" si="298"/>
        <v>1</v>
      </c>
      <c r="CU560" s="177">
        <f t="shared" si="300"/>
        <v>1</v>
      </c>
      <c r="CV560" s="177">
        <f t="shared" si="298"/>
        <v>1</v>
      </c>
      <c r="CW560" s="177">
        <f t="shared" si="301"/>
        <v>1</v>
      </c>
      <c r="CX560" s="177">
        <f t="shared" si="298"/>
        <v>1</v>
      </c>
      <c r="CY560" s="177">
        <f t="shared" si="302"/>
        <v>1</v>
      </c>
      <c r="CZ560" s="177">
        <f t="shared" si="298"/>
        <v>1</v>
      </c>
      <c r="DA560" s="177">
        <f t="shared" si="303"/>
        <v>1</v>
      </c>
      <c r="DB560" s="177">
        <f t="shared" si="298"/>
        <v>1</v>
      </c>
      <c r="DC560" s="177">
        <f t="shared" si="304"/>
        <v>1</v>
      </c>
      <c r="DD560" s="177">
        <f t="shared" si="305"/>
        <v>1</v>
      </c>
      <c r="DE560" s="177">
        <f t="shared" si="306"/>
        <v>1</v>
      </c>
    </row>
    <row r="561" spans="1:120" ht="18" customHeight="1" x14ac:dyDescent="0.3">
      <c r="A561" s="81">
        <v>0.81250000000002598</v>
      </c>
      <c r="B561" s="153"/>
      <c r="C561" s="130"/>
      <c r="D561" s="135"/>
      <c r="E561" s="130"/>
      <c r="F561" s="135"/>
      <c r="G561" s="130"/>
      <c r="H561" s="135"/>
      <c r="I561" s="130"/>
      <c r="J561" s="135"/>
      <c r="K561" s="130"/>
      <c r="L561" s="135"/>
      <c r="M561" s="130"/>
      <c r="N561" s="135"/>
      <c r="O561" s="154"/>
      <c r="P561" s="6">
        <v>0</v>
      </c>
      <c r="Q561" s="97" t="str">
        <f>IF('INFO BASE'!$C$21="","",'INFO BASE'!$C$21)</f>
        <v>Aulas Práticas</v>
      </c>
      <c r="R561" s="82" t="str">
        <f t="shared" si="315"/>
        <v>APA</v>
      </c>
      <c r="S561" s="83" t="str">
        <f t="shared" si="312"/>
        <v>-</v>
      </c>
      <c r="T561" s="98" t="str">
        <f>IF(VLOOKUP(Q561,'INFO BASE'!$B$40:$I$54,IF(R561='INFO BASE'!$B$32,3,IF(R561='INFO BASE'!$B$33,4,IF(R561='INFO BASE'!$B$34,5,IF(R561='INFO BASE'!$B$35,6,IF(R561='INFO BASE'!$B$36,7,IF(R561='INFO BASE'!$B$37,8,2)))))),0)=0,"",VLOOKUP(Q561,'INFO BASE'!$B$40:$I$54,IF(R561='INFO BASE'!$B$32,3,IF(R561='INFO BASE'!$B$33,4,IF(R561='INFO BASE'!$B$34,5,IF(R561='INFO BASE'!$B$35,6,IF(R561='INFO BASE'!$B$36,7,IF(R561='INFO BASE'!$B$37,8,2)))))),0))</f>
        <v/>
      </c>
      <c r="U561" s="84">
        <f t="shared" ref="U561:U569" si="324">IF(R561="","",COUNTIFS(SEMANA10,R561)*0.5)</f>
        <v>0</v>
      </c>
      <c r="V561" s="84">
        <f>IF(R561="","",COUNTIFS(AI522:AV569,R561)*0.5)</f>
        <v>0</v>
      </c>
      <c r="W561" s="85" t="str">
        <f>IF(AH518="","-",IF(V561=0,U561,IFERROR((U561/V561)-1,"-")))</f>
        <v>-</v>
      </c>
      <c r="X561" s="201">
        <f t="shared" si="313"/>
        <v>0</v>
      </c>
      <c r="Y561" s="277"/>
      <c r="Z561" s="278"/>
      <c r="AA561" s="278"/>
      <c r="AB561" s="278"/>
      <c r="AC561" s="278"/>
      <c r="AD561" s="278"/>
      <c r="AE561" s="278"/>
      <c r="AF561" s="279"/>
      <c r="AH561" s="136">
        <v>0.81250000000002598</v>
      </c>
      <c r="AI561" s="136" t="str">
        <f>IF(AH518="","",IF(B561="","",B561))</f>
        <v/>
      </c>
      <c r="AJ561" s="136" t="str">
        <f>IF(AH518="","",IF(C561="","",C561))</f>
        <v/>
      </c>
      <c r="AK561" s="136" t="str">
        <f>IF(AH518="","",IF(D561="","",D561))</f>
        <v/>
      </c>
      <c r="AL561" s="136" t="str">
        <f>IF(AH518="","",IF(E561="","",E561))</f>
        <v/>
      </c>
      <c r="AM561" s="136" t="str">
        <f>IF(AH518="","",IF(F561="","",F561))</f>
        <v/>
      </c>
      <c r="AN561" s="136" t="str">
        <f>IF(AH518="","",IF(G561="","",G561))</f>
        <v/>
      </c>
      <c r="AO561" s="136" t="str">
        <f>IF(AH518="","",IF(H561="","",H561))</f>
        <v/>
      </c>
      <c r="AP561" s="136" t="str">
        <f>IF(AH518="","",IF(I561="","",I561))</f>
        <v/>
      </c>
      <c r="AQ561" s="136" t="str">
        <f>IF(AH518="","",IF(J561="","",J561))</f>
        <v/>
      </c>
      <c r="AR561" s="136" t="str">
        <f>IF(AH518="","",IF(K561="","",K561))</f>
        <v/>
      </c>
      <c r="AS561" s="136" t="str">
        <f>IF(AH518="","",IF(L561="","",L561))</f>
        <v/>
      </c>
      <c r="AT561" s="136" t="str">
        <f>IF(AH518="","",IF(M561="","",M561))</f>
        <v/>
      </c>
      <c r="AU561" s="136" t="str">
        <f>IF(AH518="","",IF(N561="","",N561))</f>
        <v/>
      </c>
      <c r="AV561" s="136" t="str">
        <f>IF(AH518="","",IF(O561="","",O561))</f>
        <v/>
      </c>
      <c r="AX561" s="136" t="str">
        <f>IF(AI518="","",IF(B561="","",B561))</f>
        <v/>
      </c>
      <c r="AY561" s="136" t="str">
        <f>IF(AI518="","",IF(C561="","",C561))</f>
        <v/>
      </c>
      <c r="AZ561" s="136" t="str">
        <f>IF(AI518="","",IF(D561="","",D561))</f>
        <v/>
      </c>
      <c r="BA561" s="136" t="str">
        <f>IF(AI518="","",IF(E561="","",E561))</f>
        <v/>
      </c>
      <c r="BB561" s="136" t="str">
        <f>IF(AI518="","",IF(F561="","",F561))</f>
        <v/>
      </c>
      <c r="BC561" s="136" t="str">
        <f>IF(AI518="","",IF(G561="","",G561))</f>
        <v/>
      </c>
      <c r="BD561" s="136" t="str">
        <f>IF(AI518="","",IF(H561="","",H561))</f>
        <v/>
      </c>
      <c r="BE561" s="136" t="str">
        <f>IF(AI518="","",IF(I561="","",I561))</f>
        <v/>
      </c>
      <c r="BF561" s="136" t="str">
        <f>IF(AI518="","",IF(J561="","",J561))</f>
        <v/>
      </c>
      <c r="BG561" s="136" t="str">
        <f>IF(AI518="","",IF(K561="","",K561))</f>
        <v/>
      </c>
      <c r="BH561" s="136" t="str">
        <f>IF(AI518="","",IF(L561="","",L561))</f>
        <v/>
      </c>
      <c r="BI561" s="136" t="str">
        <f>IF(AI518="","",IF(M561="","",M561))</f>
        <v/>
      </c>
      <c r="BJ561" s="136" t="str">
        <f>IF(AI518="","",IF(N561="","",N561))</f>
        <v/>
      </c>
      <c r="BK561" s="136" t="str">
        <f>IF(AI518="","",IF(O561="","",O561))</f>
        <v/>
      </c>
      <c r="BN561" s="136" t="str">
        <f t="shared" si="308"/>
        <v>Momento Avaliativo</v>
      </c>
      <c r="BO561" s="136" t="str">
        <f t="shared" si="308"/>
        <v>MA</v>
      </c>
      <c r="BP561" s="136">
        <f>IF(BO561="","",COUNTIFS(AX522:BK569,BO561)*0.5)</f>
        <v>0</v>
      </c>
      <c r="BQ561" s="136" t="str">
        <f t="shared" si="309"/>
        <v>Momento Avaliativo</v>
      </c>
      <c r="BR561" s="136" t="str">
        <f t="shared" si="309"/>
        <v>MA</v>
      </c>
      <c r="BS561" s="136" t="str">
        <f t="shared" si="310"/>
        <v>Momento Avaliativo</v>
      </c>
      <c r="BT561" s="136">
        <f t="shared" si="316"/>
        <v>1.5</v>
      </c>
      <c r="BU561" s="136">
        <f t="shared" si="317"/>
        <v>1.5</v>
      </c>
      <c r="CA561" s="136">
        <f>'INFO BASE'!L638</f>
        <v>0</v>
      </c>
      <c r="CB561" s="136">
        <f>'INFO BASE'!M638</f>
        <v>0</v>
      </c>
      <c r="CR561" s="177">
        <f t="shared" si="298"/>
        <v>1</v>
      </c>
      <c r="CS561" s="177">
        <f t="shared" si="299"/>
        <v>1</v>
      </c>
      <c r="CT561" s="177">
        <f t="shared" si="298"/>
        <v>1</v>
      </c>
      <c r="CU561" s="177">
        <f t="shared" si="300"/>
        <v>1</v>
      </c>
      <c r="CV561" s="177">
        <f t="shared" si="298"/>
        <v>1</v>
      </c>
      <c r="CW561" s="177">
        <f t="shared" si="301"/>
        <v>1</v>
      </c>
      <c r="CX561" s="177">
        <f t="shared" si="298"/>
        <v>1</v>
      </c>
      <c r="CY561" s="177">
        <f t="shared" si="302"/>
        <v>1</v>
      </c>
      <c r="CZ561" s="177">
        <f t="shared" si="298"/>
        <v>1</v>
      </c>
      <c r="DA561" s="177">
        <f t="shared" si="303"/>
        <v>1</v>
      </c>
      <c r="DB561" s="177">
        <f t="shared" si="298"/>
        <v>1</v>
      </c>
      <c r="DC561" s="177">
        <f t="shared" si="304"/>
        <v>1</v>
      </c>
      <c r="DD561" s="177">
        <f t="shared" si="305"/>
        <v>1</v>
      </c>
      <c r="DE561" s="177">
        <f t="shared" si="306"/>
        <v>1</v>
      </c>
    </row>
    <row r="562" spans="1:120" ht="18" customHeight="1" x14ac:dyDescent="0.3">
      <c r="A562" s="81">
        <v>0.83333333333336002</v>
      </c>
      <c r="B562" s="153"/>
      <c r="C562" s="130"/>
      <c r="D562" s="135"/>
      <c r="E562" s="130"/>
      <c r="F562" s="135"/>
      <c r="G562" s="130"/>
      <c r="H562" s="135"/>
      <c r="I562" s="130"/>
      <c r="J562" s="135"/>
      <c r="K562" s="130"/>
      <c r="L562" s="135"/>
      <c r="M562" s="130"/>
      <c r="N562" s="135"/>
      <c r="O562" s="154"/>
      <c r="P562" s="6">
        <v>0</v>
      </c>
      <c r="Q562" s="99" t="str">
        <f>IF('INFO BASE'!$C$22="","",'INFO BASE'!$C$22)</f>
        <v>Aulas Problemas</v>
      </c>
      <c r="R562" s="87" t="str">
        <f t="shared" si="315"/>
        <v>APB</v>
      </c>
      <c r="S562" s="88">
        <f t="shared" si="312"/>
        <v>-1</v>
      </c>
      <c r="T562" s="100">
        <f>IF(VLOOKUP(Q562,'INFO BASE'!$B$40:$I$54,IF(R562='INFO BASE'!$B$32,3,IF(R562='INFO BASE'!$B$33,4,IF(R562='INFO BASE'!$B$34,5,IF(R562='INFO BASE'!$B$35,6,IF(R562='INFO BASE'!$B$36,7,IF(R562='INFO BASE'!$B$37,8,2)))))),0)=0,"",VLOOKUP(Q562,'INFO BASE'!$B$40:$I$54,IF(R562='INFO BASE'!$B$32,3,IF(R562='INFO BASE'!$B$33,4,IF(R562='INFO BASE'!$B$34,5,IF(R562='INFO BASE'!$B$35,6,IF(R562='INFO BASE'!$B$36,7,IF(R562='INFO BASE'!$B$37,8,2)))))),0))</f>
        <v>6</v>
      </c>
      <c r="U562" s="89">
        <f t="shared" si="324"/>
        <v>0</v>
      </c>
      <c r="V562" s="100">
        <f>IF(R562="","",COUNTIFS(AI522:AV569,R562)*0.5)</f>
        <v>0</v>
      </c>
      <c r="W562" s="90" t="str">
        <f>IF(AH518="","-",IF(V562=0,U562,IFERROR((U562/V562)-1,"-")))</f>
        <v>-</v>
      </c>
      <c r="X562" s="201">
        <f t="shared" si="313"/>
        <v>0</v>
      </c>
      <c r="Y562" s="271"/>
      <c r="Z562" s="272"/>
      <c r="AA562" s="272"/>
      <c r="AB562" s="272"/>
      <c r="AC562" s="272"/>
      <c r="AD562" s="272"/>
      <c r="AE562" s="272"/>
      <c r="AF562" s="273"/>
      <c r="AH562" s="136">
        <v>0.83333333333336002</v>
      </c>
      <c r="AI562" s="136" t="str">
        <f>IF(AH518="","",IF(B562="","",B562))</f>
        <v/>
      </c>
      <c r="AJ562" s="136" t="str">
        <f>IF(AH518="","",IF(C562="","",C562))</f>
        <v/>
      </c>
      <c r="AK562" s="136" t="str">
        <f>IF(AH518="","",IF(D562="","",D562))</f>
        <v/>
      </c>
      <c r="AL562" s="136" t="str">
        <f>IF(AH518="","",IF(E562="","",E562))</f>
        <v/>
      </c>
      <c r="AM562" s="136" t="str">
        <f>IF(AH518="","",IF(F562="","",F562))</f>
        <v/>
      </c>
      <c r="AN562" s="136" t="str">
        <f>IF(AH518="","",IF(G562="","",G562))</f>
        <v/>
      </c>
      <c r="AO562" s="136" t="str">
        <f>IF(AH518="","",IF(H562="","",H562))</f>
        <v/>
      </c>
      <c r="AP562" s="136" t="str">
        <f>IF(AH518="","",IF(I562="","",I562))</f>
        <v/>
      </c>
      <c r="AQ562" s="136" t="str">
        <f>IF(AH518="","",IF(J562="","",J562))</f>
        <v/>
      </c>
      <c r="AR562" s="136" t="str">
        <f>IF(AH518="","",IF(K562="","",K562))</f>
        <v/>
      </c>
      <c r="AS562" s="136" t="str">
        <f>IF(AH518="","",IF(L562="","",L562))</f>
        <v/>
      </c>
      <c r="AT562" s="136" t="str">
        <f>IF(AH518="","",IF(M562="","",M562))</f>
        <v/>
      </c>
      <c r="AU562" s="136" t="str">
        <f>IF(AH518="","",IF(N562="","",N562))</f>
        <v/>
      </c>
      <c r="AV562" s="136" t="str">
        <f>IF(AH518="","",IF(O562="","",O562))</f>
        <v/>
      </c>
      <c r="AX562" s="136" t="str">
        <f>IF(AI518="","",IF(B562="","",B562))</f>
        <v/>
      </c>
      <c r="AY562" s="136" t="str">
        <f>IF(AI518="","",IF(C562="","",C562))</f>
        <v/>
      </c>
      <c r="AZ562" s="136" t="str">
        <f>IF(AI518="","",IF(D562="","",D562))</f>
        <v/>
      </c>
      <c r="BA562" s="136" t="str">
        <f>IF(AI518="","",IF(E562="","",E562))</f>
        <v/>
      </c>
      <c r="BB562" s="136" t="str">
        <f>IF(AI518="","",IF(F562="","",F562))</f>
        <v/>
      </c>
      <c r="BC562" s="136" t="str">
        <f>IF(AI518="","",IF(G562="","",G562))</f>
        <v/>
      </c>
      <c r="BD562" s="136" t="str">
        <f>IF(AI518="","",IF(H562="","",H562))</f>
        <v/>
      </c>
      <c r="BE562" s="136" t="str">
        <f>IF(AI518="","",IF(I562="","",I562))</f>
        <v/>
      </c>
      <c r="BF562" s="136" t="str">
        <f>IF(AI518="","",IF(J562="","",J562))</f>
        <v/>
      </c>
      <c r="BG562" s="136" t="str">
        <f>IF(AI518="","",IF(K562="","",K562))</f>
        <v/>
      </c>
      <c r="BH562" s="136" t="str">
        <f>IF(AI518="","",IF(L562="","",L562))</f>
        <v/>
      </c>
      <c r="BI562" s="136" t="str">
        <f>IF(AI518="","",IF(M562="","",M562))</f>
        <v/>
      </c>
      <c r="BJ562" s="136" t="str">
        <f>IF(AI518="","",IF(N562="","",N562))</f>
        <v/>
      </c>
      <c r="BK562" s="136" t="str">
        <f>IF(AI518="","",IF(O562="","",O562))</f>
        <v/>
      </c>
      <c r="BN562" s="136" t="str">
        <f t="shared" si="308"/>
        <v>Horário de Dúvidas</v>
      </c>
      <c r="BO562" s="136" t="str">
        <f t="shared" si="308"/>
        <v>HDV</v>
      </c>
      <c r="BP562" s="136">
        <f>IF(BO562="","",COUNTIFS(AX522:BK569,BO562)*0.5)</f>
        <v>0</v>
      </c>
      <c r="BQ562" s="136" t="str">
        <f t="shared" si="309"/>
        <v>Horário de Dúvidas</v>
      </c>
      <c r="BR562" s="136" t="str">
        <f t="shared" si="309"/>
        <v>HDV</v>
      </c>
      <c r="BS562" s="136" t="str">
        <f t="shared" si="310"/>
        <v>Horário de Dúvidas</v>
      </c>
      <c r="BT562" s="136">
        <f t="shared" si="316"/>
        <v>0</v>
      </c>
      <c r="BU562" s="136">
        <f t="shared" si="317"/>
        <v>0</v>
      </c>
      <c r="CA562" s="136">
        <f>'INFO BASE'!L639</f>
        <v>0</v>
      </c>
      <c r="CB562" s="136">
        <f>'INFO BASE'!M639</f>
        <v>0</v>
      </c>
      <c r="CR562" s="177">
        <f t="shared" si="298"/>
        <v>1</v>
      </c>
      <c r="CS562" s="177">
        <f t="shared" si="299"/>
        <v>1</v>
      </c>
      <c r="CT562" s="177">
        <f t="shared" si="298"/>
        <v>1</v>
      </c>
      <c r="CU562" s="177">
        <f t="shared" si="300"/>
        <v>1</v>
      </c>
      <c r="CV562" s="177">
        <f t="shared" si="298"/>
        <v>1</v>
      </c>
      <c r="CW562" s="177">
        <f t="shared" si="301"/>
        <v>1</v>
      </c>
      <c r="CX562" s="177">
        <f t="shared" si="298"/>
        <v>1</v>
      </c>
      <c r="CY562" s="177">
        <f t="shared" si="302"/>
        <v>1</v>
      </c>
      <c r="CZ562" s="177">
        <f t="shared" si="298"/>
        <v>1</v>
      </c>
      <c r="DA562" s="177">
        <f t="shared" si="303"/>
        <v>1</v>
      </c>
      <c r="DB562" s="177">
        <f t="shared" si="298"/>
        <v>1</v>
      </c>
      <c r="DC562" s="177">
        <f t="shared" si="304"/>
        <v>1</v>
      </c>
      <c r="DD562" s="177">
        <f t="shared" si="305"/>
        <v>1</v>
      </c>
      <c r="DE562" s="177">
        <f t="shared" si="306"/>
        <v>1</v>
      </c>
    </row>
    <row r="563" spans="1:120" ht="18" customHeight="1" thickBot="1" x14ac:dyDescent="0.35">
      <c r="A563" s="81">
        <v>0.85416666666669405</v>
      </c>
      <c r="B563" s="153"/>
      <c r="C563" s="130"/>
      <c r="D563" s="135"/>
      <c r="E563" s="130"/>
      <c r="F563" s="135"/>
      <c r="G563" s="130"/>
      <c r="H563" s="135"/>
      <c r="I563" s="130"/>
      <c r="J563" s="135"/>
      <c r="K563" s="130"/>
      <c r="L563" s="135"/>
      <c r="M563" s="130"/>
      <c r="N563" s="135"/>
      <c r="O563" s="154"/>
      <c r="P563" s="6">
        <v>0</v>
      </c>
      <c r="Q563" s="101" t="str">
        <f>IF('INFO BASE'!$C$23="","",'INFO BASE'!$C$23)</f>
        <v>Laboratórios</v>
      </c>
      <c r="R563" s="93" t="str">
        <f t="shared" si="315"/>
        <v>LAB</v>
      </c>
      <c r="S563" s="94">
        <f t="shared" si="312"/>
        <v>-1</v>
      </c>
      <c r="T563" s="95">
        <f>IF(VLOOKUP(Q563,'INFO BASE'!$B$40:$I$54,IF(R563='INFO BASE'!$B$32,3,IF(R563='INFO BASE'!$B$33,4,IF(R563='INFO BASE'!$B$34,5,IF(R563='INFO BASE'!$B$35,6,IF(R563='INFO BASE'!$B$36,7,IF(R563='INFO BASE'!$B$37,8,2)))))),0)=0,"",VLOOKUP(Q563,'INFO BASE'!$B$40:$I$54,IF(R563='INFO BASE'!$B$32,3,IF(R563='INFO BASE'!$B$33,4,IF(R563='INFO BASE'!$B$34,5,IF(R563='INFO BASE'!$B$35,6,IF(R563='INFO BASE'!$B$36,7,IF(R563='INFO BASE'!$B$37,8,2)))))),0))</f>
        <v>1.5</v>
      </c>
      <c r="U563" s="95">
        <f t="shared" si="324"/>
        <v>0</v>
      </c>
      <c r="V563" s="95">
        <f>IF(R563="","",COUNTIFS(AI522:AV569,R563)*0.5)</f>
        <v>0</v>
      </c>
      <c r="W563" s="96" t="str">
        <f>IF(AH518="","-",IF(V563=0,U563,IFERROR((U563/V563)-1,"-")))</f>
        <v>-</v>
      </c>
      <c r="X563" s="201">
        <f t="shared" si="313"/>
        <v>0</v>
      </c>
      <c r="Y563" s="271"/>
      <c r="Z563" s="272"/>
      <c r="AA563" s="272"/>
      <c r="AB563" s="272"/>
      <c r="AC563" s="272"/>
      <c r="AD563" s="272"/>
      <c r="AE563" s="272"/>
      <c r="AF563" s="273"/>
      <c r="AH563" s="136">
        <v>0.85416666666669405</v>
      </c>
      <c r="AI563" s="136" t="str">
        <f>IF(AH518="","",IF(B563="","",B563))</f>
        <v/>
      </c>
      <c r="AJ563" s="136" t="str">
        <f>IF(AH518="","",IF(C563="","",C563))</f>
        <v/>
      </c>
      <c r="AK563" s="136" t="str">
        <f>IF(AH518="","",IF(D563="","",D563))</f>
        <v/>
      </c>
      <c r="AL563" s="136" t="str">
        <f>IF(AH518="","",IF(E563="","",E563))</f>
        <v/>
      </c>
      <c r="AM563" s="136" t="str">
        <f>IF(AH518="","",IF(F563="","",F563))</f>
        <v/>
      </c>
      <c r="AN563" s="136" t="str">
        <f>IF(AH518="","",IF(G563="","",G563))</f>
        <v/>
      </c>
      <c r="AO563" s="136" t="str">
        <f>IF(AH518="","",IF(H563="","",H563))</f>
        <v/>
      </c>
      <c r="AP563" s="136" t="str">
        <f>IF(AH518="","",IF(I563="","",I563))</f>
        <v/>
      </c>
      <c r="AQ563" s="136" t="str">
        <f>IF(AH518="","",IF(J563="","",J563))</f>
        <v/>
      </c>
      <c r="AR563" s="136" t="str">
        <f>IF(AH518="","",IF(K563="","",K563))</f>
        <v/>
      </c>
      <c r="AS563" s="136" t="str">
        <f>IF(AH518="","",IF(L563="","",L563))</f>
        <v/>
      </c>
      <c r="AT563" s="136" t="str">
        <f>IF(AH518="","",IF(M563="","",M563))</f>
        <v/>
      </c>
      <c r="AU563" s="136" t="str">
        <f>IF(AH518="","",IF(N563="","",N563))</f>
        <v/>
      </c>
      <c r="AV563" s="136" t="str">
        <f>IF(AH518="","",IF(O563="","",O563))</f>
        <v/>
      </c>
      <c r="AX563" s="136" t="str">
        <f>IF(AI518="","",IF(B563="","",B563))</f>
        <v/>
      </c>
      <c r="AY563" s="136" t="str">
        <f>IF(AI518="","",IF(C563="","",C563))</f>
        <v/>
      </c>
      <c r="AZ563" s="136" t="str">
        <f>IF(AI518="","",IF(D563="","",D563))</f>
        <v/>
      </c>
      <c r="BA563" s="136" t="str">
        <f>IF(AI518="","",IF(E563="","",E563))</f>
        <v/>
      </c>
      <c r="BB563" s="136" t="str">
        <f>IF(AI518="","",IF(F563="","",F563))</f>
        <v/>
      </c>
      <c r="BC563" s="136" t="str">
        <f>IF(AI518="","",IF(G563="","",G563))</f>
        <v/>
      </c>
      <c r="BD563" s="136" t="str">
        <f>IF(AI518="","",IF(H563="","",H563))</f>
        <v/>
      </c>
      <c r="BE563" s="136" t="str">
        <f>IF(AI518="","",IF(I563="","",I563))</f>
        <v/>
      </c>
      <c r="BF563" s="136" t="str">
        <f>IF(AI518="","",IF(J563="","",J563))</f>
        <v/>
      </c>
      <c r="BG563" s="136" t="str">
        <f>IF(AI518="","",IF(K563="","",K563))</f>
        <v/>
      </c>
      <c r="BH563" s="136" t="str">
        <f>IF(AI518="","",IF(L563="","",L563))</f>
        <v/>
      </c>
      <c r="BI563" s="136" t="str">
        <f>IF(AI518="","",IF(M563="","",M563))</f>
        <v/>
      </c>
      <c r="BJ563" s="136" t="str">
        <f>IF(AI518="","",IF(N563="","",N563))</f>
        <v/>
      </c>
      <c r="BK563" s="136" t="str">
        <f>IF(AI518="","",IF(O563="","",O563))</f>
        <v/>
      </c>
      <c r="BN563" s="136" t="str">
        <f t="shared" si="308"/>
        <v>Privado</v>
      </c>
      <c r="BO563" s="136" t="str">
        <f t="shared" si="308"/>
        <v>PV</v>
      </c>
      <c r="BP563" s="136">
        <f>IF(BO563="","",COUNTIFS(AX522:BK569,BO563)*0.5)</f>
        <v>0</v>
      </c>
      <c r="BQ563" s="136" t="str">
        <f t="shared" si="309"/>
        <v>Privado</v>
      </c>
      <c r="BR563" s="136" t="str">
        <f t="shared" si="309"/>
        <v>PV</v>
      </c>
      <c r="BS563" s="136" t="str">
        <f t="shared" si="310"/>
        <v>Privado</v>
      </c>
      <c r="BT563" s="136">
        <f t="shared" si="316"/>
        <v>384</v>
      </c>
      <c r="BU563" s="136">
        <f t="shared" si="317"/>
        <v>369</v>
      </c>
      <c r="CA563" s="136">
        <f>'INFO BASE'!L640</f>
        <v>0</v>
      </c>
      <c r="CB563" s="136">
        <f>'INFO BASE'!M640</f>
        <v>0</v>
      </c>
      <c r="CR563" s="177">
        <f t="shared" si="298"/>
        <v>1</v>
      </c>
      <c r="CS563" s="177">
        <f t="shared" si="299"/>
        <v>1</v>
      </c>
      <c r="CT563" s="177">
        <f t="shared" si="298"/>
        <v>1</v>
      </c>
      <c r="CU563" s="177">
        <f t="shared" si="300"/>
        <v>1</v>
      </c>
      <c r="CV563" s="177">
        <f t="shared" si="298"/>
        <v>1</v>
      </c>
      <c r="CW563" s="177">
        <f t="shared" si="301"/>
        <v>1</v>
      </c>
      <c r="CX563" s="177">
        <f t="shared" si="298"/>
        <v>1</v>
      </c>
      <c r="CY563" s="177">
        <f t="shared" si="302"/>
        <v>1</v>
      </c>
      <c r="CZ563" s="177">
        <f t="shared" si="298"/>
        <v>1</v>
      </c>
      <c r="DA563" s="177">
        <f t="shared" si="303"/>
        <v>1</v>
      </c>
      <c r="DB563" s="177">
        <f t="shared" si="298"/>
        <v>1</v>
      </c>
      <c r="DC563" s="177">
        <f t="shared" si="304"/>
        <v>1</v>
      </c>
      <c r="DD563" s="177">
        <f t="shared" si="305"/>
        <v>1</v>
      </c>
      <c r="DE563" s="177">
        <f t="shared" si="306"/>
        <v>1</v>
      </c>
    </row>
    <row r="564" spans="1:120" ht="18" customHeight="1" x14ac:dyDescent="0.3">
      <c r="A564" s="81">
        <v>0.87500000000002798</v>
      </c>
      <c r="B564" s="153"/>
      <c r="C564" s="130"/>
      <c r="D564" s="135"/>
      <c r="E564" s="130"/>
      <c r="F564" s="135"/>
      <c r="G564" s="130"/>
      <c r="H564" s="135"/>
      <c r="I564" s="130"/>
      <c r="J564" s="135"/>
      <c r="K564" s="130"/>
      <c r="L564" s="135"/>
      <c r="M564" s="130"/>
      <c r="N564" s="135"/>
      <c r="O564" s="154"/>
      <c r="P564" s="6">
        <v>0</v>
      </c>
      <c r="Q564" s="102" t="str">
        <f>IF('INFO BASE'!$C$24="","",'INFO BASE'!$C$24)</f>
        <v>Momento Avaliativo</v>
      </c>
      <c r="R564" s="82" t="str">
        <f t="shared" si="315"/>
        <v>MA</v>
      </c>
      <c r="S564" s="83" t="str">
        <f t="shared" si="312"/>
        <v>-</v>
      </c>
      <c r="T564" s="84" t="str">
        <f>IF(VLOOKUP(Q564,'INFO BASE'!$B$40:$I$54,IF(R564='INFO BASE'!$B$32,3,IF(R564='INFO BASE'!$B$33,4,IF(R564='INFO BASE'!$B$34,5,IF(R564='INFO BASE'!$B$35,6,IF(R564='INFO BASE'!$B$36,7,IF(R564='INFO BASE'!$B$37,8,2)))))),0)=0,"",VLOOKUP(Q564,'INFO BASE'!$B$40:$I$54,IF(R564='INFO BASE'!$B$32,3,IF(R564='INFO BASE'!$B$33,4,IF(R564='INFO BASE'!$B$34,5,IF(R564='INFO BASE'!$B$35,6,IF(R564='INFO BASE'!$B$36,7,IF(R564='INFO BASE'!$B$37,8,2)))))),0))</f>
        <v/>
      </c>
      <c r="U564" s="84">
        <f t="shared" si="324"/>
        <v>0</v>
      </c>
      <c r="V564" s="84">
        <f>IF(R564="","",COUNTIFS(AI522:AV569,R564)*0.5)</f>
        <v>0</v>
      </c>
      <c r="W564" s="85" t="str">
        <f>IF(AH518="","-",IF(V564=0,U564,IFERROR((U564/V564)-1,"-")))</f>
        <v>-</v>
      </c>
      <c r="X564" s="201">
        <f t="shared" si="313"/>
        <v>0</v>
      </c>
      <c r="Y564" s="277"/>
      <c r="Z564" s="278"/>
      <c r="AA564" s="278"/>
      <c r="AB564" s="278"/>
      <c r="AC564" s="278"/>
      <c r="AD564" s="278"/>
      <c r="AE564" s="278"/>
      <c r="AF564" s="279"/>
      <c r="AH564" s="136">
        <v>0.87500000000002798</v>
      </c>
      <c r="AI564" s="136" t="str">
        <f>IF(AH518="","",IF(B564="","",B564))</f>
        <v/>
      </c>
      <c r="AJ564" s="136" t="str">
        <f>IF(AH518="","",IF(C564="","",C564))</f>
        <v/>
      </c>
      <c r="AK564" s="136" t="str">
        <f>IF(AH518="","",IF(D564="","",D564))</f>
        <v/>
      </c>
      <c r="AL564" s="136" t="str">
        <f>IF(AH518="","",IF(E564="","",E564))</f>
        <v/>
      </c>
      <c r="AM564" s="136" t="str">
        <f>IF(AH518="","",IF(F564="","",F564))</f>
        <v/>
      </c>
      <c r="AN564" s="136" t="str">
        <f>IF(AH518="","",IF(G564="","",G564))</f>
        <v/>
      </c>
      <c r="AO564" s="136" t="str">
        <f>IF(AH518="","",IF(H564="","",H564))</f>
        <v/>
      </c>
      <c r="AP564" s="136" t="str">
        <f>IF(AH518="","",IF(I564="","",I564))</f>
        <v/>
      </c>
      <c r="AQ564" s="136" t="str">
        <f>IF(AH518="","",IF(J564="","",J564))</f>
        <v/>
      </c>
      <c r="AR564" s="136" t="str">
        <f>IF(AH518="","",IF(K564="","",K564))</f>
        <v/>
      </c>
      <c r="AS564" s="136" t="str">
        <f>IF(AH518="","",IF(L564="","",L564))</f>
        <v/>
      </c>
      <c r="AT564" s="136" t="str">
        <f>IF(AH518="","",IF(M564="","",M564))</f>
        <v/>
      </c>
      <c r="AU564" s="136" t="str">
        <f>IF(AH518="","",IF(N564="","",N564))</f>
        <v/>
      </c>
      <c r="AV564" s="136" t="str">
        <f>IF(AH518="","",IF(O564="","",O564))</f>
        <v/>
      </c>
      <c r="AX564" s="136" t="str">
        <f>IF(AI518="","",IF(B564="","",B564))</f>
        <v/>
      </c>
      <c r="AY564" s="136" t="str">
        <f>IF(AI518="","",IF(C564="","",C564))</f>
        <v/>
      </c>
      <c r="AZ564" s="136" t="str">
        <f>IF(AI518="","",IF(D564="","",D564))</f>
        <v/>
      </c>
      <c r="BA564" s="136" t="str">
        <f>IF(AI518="","",IF(E564="","",E564))</f>
        <v/>
      </c>
      <c r="BB564" s="136" t="str">
        <f>IF(AI518="","",IF(F564="","",F564))</f>
        <v/>
      </c>
      <c r="BC564" s="136" t="str">
        <f>IF(AI518="","",IF(G564="","",G564))</f>
        <v/>
      </c>
      <c r="BD564" s="136" t="str">
        <f>IF(AI518="","",IF(H564="","",H564))</f>
        <v/>
      </c>
      <c r="BE564" s="136" t="str">
        <f>IF(AI518="","",IF(I564="","",I564))</f>
        <v/>
      </c>
      <c r="BF564" s="136" t="str">
        <f>IF(AI518="","",IF(J564="","",J564))</f>
        <v/>
      </c>
      <c r="BG564" s="136" t="str">
        <f>IF(AI518="","",IF(K564="","",K564))</f>
        <v/>
      </c>
      <c r="BH564" s="136" t="str">
        <f>IF(AI518="","",IF(L564="","",L564))</f>
        <v/>
      </c>
      <c r="BI564" s="136" t="str">
        <f>IF(AI518="","",IF(M564="","",M564))</f>
        <v/>
      </c>
      <c r="BJ564" s="136" t="str">
        <f>IF(AI518="","",IF(N564="","",N564))</f>
        <v/>
      </c>
      <c r="BK564" s="136" t="str">
        <f>IF(AI518="","",IF(O564="","",O564))</f>
        <v/>
      </c>
      <c r="BN564" s="136" t="str">
        <f t="shared" si="308"/>
        <v>Deslocação</v>
      </c>
      <c r="BO564" s="136" t="str">
        <f t="shared" si="308"/>
        <v>HD</v>
      </c>
      <c r="BP564" s="136">
        <f>IF(BO564="","",COUNTIFS(AX522:BK569,BO564)*0.5)</f>
        <v>0</v>
      </c>
      <c r="BQ564" s="136" t="str">
        <f t="shared" si="309"/>
        <v>Deslocação</v>
      </c>
      <c r="BR564" s="136" t="str">
        <f t="shared" si="309"/>
        <v>HD</v>
      </c>
      <c r="BS564" s="136" t="str">
        <f t="shared" si="310"/>
        <v>Deslocação</v>
      </c>
      <c r="BT564" s="136">
        <f t="shared" si="316"/>
        <v>116.5</v>
      </c>
      <c r="BU564" s="136">
        <f t="shared" si="317"/>
        <v>115</v>
      </c>
      <c r="CA564" s="136">
        <f>'INFO BASE'!L641</f>
        <v>0</v>
      </c>
      <c r="CB564" s="136">
        <f>'INFO BASE'!M641</f>
        <v>0</v>
      </c>
      <c r="CR564" s="177">
        <f t="shared" si="298"/>
        <v>1</v>
      </c>
      <c r="CS564" s="177">
        <f t="shared" si="299"/>
        <v>1</v>
      </c>
      <c r="CT564" s="177">
        <f t="shared" si="298"/>
        <v>1</v>
      </c>
      <c r="CU564" s="177">
        <f t="shared" si="300"/>
        <v>1</v>
      </c>
      <c r="CV564" s="177">
        <f t="shared" si="298"/>
        <v>1</v>
      </c>
      <c r="CW564" s="177">
        <f t="shared" si="301"/>
        <v>1</v>
      </c>
      <c r="CX564" s="177">
        <f t="shared" si="298"/>
        <v>1</v>
      </c>
      <c r="CY564" s="177">
        <f t="shared" si="302"/>
        <v>1</v>
      </c>
      <c r="CZ564" s="177">
        <f t="shared" si="298"/>
        <v>1</v>
      </c>
      <c r="DA564" s="177">
        <f t="shared" si="303"/>
        <v>1</v>
      </c>
      <c r="DB564" s="177">
        <f t="shared" si="298"/>
        <v>1</v>
      </c>
      <c r="DC564" s="177">
        <f t="shared" si="304"/>
        <v>1</v>
      </c>
      <c r="DD564" s="177">
        <f t="shared" si="305"/>
        <v>1</v>
      </c>
      <c r="DE564" s="177">
        <f t="shared" si="306"/>
        <v>1</v>
      </c>
    </row>
    <row r="565" spans="1:120" ht="18" customHeight="1" x14ac:dyDescent="0.3">
      <c r="A565" s="81">
        <v>0.89583333333336201</v>
      </c>
      <c r="B565" s="153"/>
      <c r="C565" s="130"/>
      <c r="D565" s="135"/>
      <c r="E565" s="130"/>
      <c r="F565" s="135"/>
      <c r="G565" s="130"/>
      <c r="H565" s="135"/>
      <c r="I565" s="130"/>
      <c r="J565" s="135"/>
      <c r="K565" s="130"/>
      <c r="L565" s="135"/>
      <c r="M565" s="130"/>
      <c r="N565" s="135"/>
      <c r="O565" s="154"/>
      <c r="P565" s="6">
        <v>0</v>
      </c>
      <c r="Q565" s="103" t="str">
        <f>IF('INFO BASE'!$C$25="","",'INFO BASE'!$C$25)</f>
        <v>Horário de Dúvidas</v>
      </c>
      <c r="R565" s="87" t="str">
        <f t="shared" si="315"/>
        <v>HDV</v>
      </c>
      <c r="S565" s="88">
        <f t="shared" si="312"/>
        <v>-1</v>
      </c>
      <c r="T565" s="89">
        <f>IF(VLOOKUP(Q565,'INFO BASE'!$B$40:$I$54,IF(R565='INFO BASE'!$B$32,3,IF(R565='INFO BASE'!$B$33,4,IF(R565='INFO BASE'!$B$34,5,IF(R565='INFO BASE'!$B$35,6,IF(R565='INFO BASE'!$B$36,7,IF(R565='INFO BASE'!$B$37,8,2)))))),0)=0,"",VLOOKUP(Q565,'INFO BASE'!$B$40:$I$54,IF(R565='INFO BASE'!$B$32,3,IF(R565='INFO BASE'!$B$33,4,IF(R565='INFO BASE'!$B$34,5,IF(R565='INFO BASE'!$B$35,6,IF(R565='INFO BASE'!$B$36,7,IF(R565='INFO BASE'!$B$37,8,2)))))),0))</f>
        <v>3</v>
      </c>
      <c r="U565" s="89">
        <f t="shared" si="324"/>
        <v>0</v>
      </c>
      <c r="V565" s="89">
        <f>IF(R565="","",COUNTIFS(AI522:AV569,R565)*0.5)</f>
        <v>0</v>
      </c>
      <c r="W565" s="90" t="str">
        <f>IF(AH518="","-",IF(V565=0,U565,IFERROR((U565/V565)-1,"-")))</f>
        <v>-</v>
      </c>
      <c r="X565" s="201">
        <f t="shared" si="313"/>
        <v>0</v>
      </c>
      <c r="Y565" s="271"/>
      <c r="Z565" s="272"/>
      <c r="AA565" s="272"/>
      <c r="AB565" s="272"/>
      <c r="AC565" s="272"/>
      <c r="AD565" s="272"/>
      <c r="AE565" s="272"/>
      <c r="AF565" s="273"/>
      <c r="AH565" s="136">
        <v>0.89583333333336201</v>
      </c>
      <c r="AI565" s="136" t="str">
        <f>IF(AH518="","",IF(B565="","",B565))</f>
        <v/>
      </c>
      <c r="AJ565" s="136" t="str">
        <f>IF(AH518="","",IF(C565="","",C565))</f>
        <v/>
      </c>
      <c r="AK565" s="136" t="str">
        <f>IF(AH518="","",IF(D565="","",D565))</f>
        <v/>
      </c>
      <c r="AL565" s="136" t="str">
        <f>IF(AH518="","",IF(E565="","",E565))</f>
        <v/>
      </c>
      <c r="AM565" s="136" t="str">
        <f>IF(AH518="","",IF(F565="","",F565))</f>
        <v/>
      </c>
      <c r="AN565" s="136" t="str">
        <f>IF(AH518="","",IF(G565="","",G565))</f>
        <v/>
      </c>
      <c r="AO565" s="136" t="str">
        <f>IF(AH518="","",IF(H565="","",H565))</f>
        <v/>
      </c>
      <c r="AP565" s="136" t="str">
        <f>IF(AH518="","",IF(I565="","",I565))</f>
        <v/>
      </c>
      <c r="AQ565" s="136" t="str">
        <f>IF(AH518="","",IF(J565="","",J565))</f>
        <v/>
      </c>
      <c r="AR565" s="136" t="str">
        <f>IF(AH518="","",IF(K565="","",K565))</f>
        <v/>
      </c>
      <c r="AS565" s="136" t="str">
        <f>IF(AH518="","",IF(L565="","",L565))</f>
        <v/>
      </c>
      <c r="AT565" s="136" t="str">
        <f>IF(AH518="","",IF(M565="","",M565))</f>
        <v/>
      </c>
      <c r="AU565" s="136" t="str">
        <f>IF(AH518="","",IF(N565="","",N565))</f>
        <v/>
      </c>
      <c r="AV565" s="136" t="str">
        <f>IF(AH518="","",IF(O565="","",O565))</f>
        <v/>
      </c>
      <c r="AX565" s="136" t="str">
        <f>IF(AI518="","",IF(B565="","",B565))</f>
        <v/>
      </c>
      <c r="AY565" s="136" t="str">
        <f>IF(AI518="","",IF(C565="","",C565))</f>
        <v/>
      </c>
      <c r="AZ565" s="136" t="str">
        <f>IF(AI518="","",IF(D565="","",D565))</f>
        <v/>
      </c>
      <c r="BA565" s="136" t="str">
        <f>IF(AI518="","",IF(E565="","",E565))</f>
        <v/>
      </c>
      <c r="BB565" s="136" t="str">
        <f>IF(AI518="","",IF(F565="","",F565))</f>
        <v/>
      </c>
      <c r="BC565" s="136" t="str">
        <f>IF(AI518="","",IF(G565="","",G565))</f>
        <v/>
      </c>
      <c r="BD565" s="136" t="str">
        <f>IF(AI518="","",IF(H565="","",H565))</f>
        <v/>
      </c>
      <c r="BE565" s="136" t="str">
        <f>IF(AI518="","",IF(I565="","",I565))</f>
        <v/>
      </c>
      <c r="BF565" s="136" t="str">
        <f>IF(AI518="","",IF(J565="","",J565))</f>
        <v/>
      </c>
      <c r="BG565" s="136" t="str">
        <f>IF(AI518="","",IF(K565="","",K565))</f>
        <v/>
      </c>
      <c r="BH565" s="136" t="str">
        <f>IF(AI518="","",IF(L565="","",L565))</f>
        <v/>
      </c>
      <c r="BI565" s="136" t="str">
        <f>IF(AI518="","",IF(M565="","",M565))</f>
        <v/>
      </c>
      <c r="BJ565" s="136" t="str">
        <f>IF(AI518="","",IF(N565="","",N565))</f>
        <v/>
      </c>
      <c r="BK565" s="136" t="str">
        <f>IF(AI518="","",IF(O565="","",O565))</f>
        <v/>
      </c>
      <c r="BN565" s="136" t="str">
        <f t="shared" si="308"/>
        <v>Refeição</v>
      </c>
      <c r="BO565" s="136" t="str">
        <f t="shared" si="308"/>
        <v>HR</v>
      </c>
      <c r="BP565" s="136">
        <f>IF(BO565="","",COUNTIFS(AX522:BK569,BO565)*0.5)</f>
        <v>0</v>
      </c>
      <c r="BQ565" s="136" t="str">
        <f t="shared" si="309"/>
        <v>Refeição</v>
      </c>
      <c r="BR565" s="136" t="str">
        <f t="shared" si="309"/>
        <v>HR</v>
      </c>
      <c r="BS565" s="136" t="str">
        <f t="shared" si="310"/>
        <v>Refeição</v>
      </c>
      <c r="BT565" s="136">
        <f t="shared" si="316"/>
        <v>126</v>
      </c>
      <c r="BU565" s="136">
        <f t="shared" si="317"/>
        <v>124</v>
      </c>
      <c r="CA565" s="136">
        <f>'INFO BASE'!L642</f>
        <v>0</v>
      </c>
      <c r="CB565" s="136">
        <f>'INFO BASE'!M642</f>
        <v>0</v>
      </c>
      <c r="CR565" s="177">
        <f t="shared" si="298"/>
        <v>1</v>
      </c>
      <c r="CS565" s="177">
        <f t="shared" si="299"/>
        <v>1</v>
      </c>
      <c r="CT565" s="177">
        <f t="shared" si="298"/>
        <v>1</v>
      </c>
      <c r="CU565" s="177">
        <f t="shared" si="300"/>
        <v>1</v>
      </c>
      <c r="CV565" s="177">
        <f t="shared" si="298"/>
        <v>1</v>
      </c>
      <c r="CW565" s="177">
        <f t="shared" si="301"/>
        <v>1</v>
      </c>
      <c r="CX565" s="177">
        <f t="shared" ref="CX565:CX569" si="325">IF(H565="",1,H565)</f>
        <v>1</v>
      </c>
      <c r="CY565" s="177">
        <f t="shared" si="302"/>
        <v>1</v>
      </c>
      <c r="CZ565" s="177">
        <f t="shared" ref="CZ565:CZ569" si="326">IF(J565="",1,J565)</f>
        <v>1</v>
      </c>
      <c r="DA565" s="177">
        <f t="shared" si="303"/>
        <v>1</v>
      </c>
      <c r="DB565" s="177">
        <f t="shared" ref="DB565:DB569" si="327">IF(L565="",1,L565)</f>
        <v>1</v>
      </c>
      <c r="DC565" s="177">
        <f t="shared" si="304"/>
        <v>1</v>
      </c>
      <c r="DD565" s="177">
        <f t="shared" si="305"/>
        <v>1</v>
      </c>
      <c r="DE565" s="177">
        <f t="shared" si="306"/>
        <v>1</v>
      </c>
    </row>
    <row r="566" spans="1:120" ht="18" customHeight="1" x14ac:dyDescent="0.3">
      <c r="A566" s="81">
        <v>0.91666666666669605</v>
      </c>
      <c r="B566" s="153"/>
      <c r="C566" s="130"/>
      <c r="D566" s="135"/>
      <c r="E566" s="130"/>
      <c r="F566" s="135"/>
      <c r="G566" s="130"/>
      <c r="H566" s="135"/>
      <c r="I566" s="130"/>
      <c r="J566" s="135"/>
      <c r="K566" s="130"/>
      <c r="L566" s="135"/>
      <c r="M566" s="130"/>
      <c r="N566" s="135"/>
      <c r="O566" s="154"/>
      <c r="P566" s="6">
        <v>0.2</v>
      </c>
      <c r="Q566" s="104" t="str">
        <f>IF('INFO BASE'!$C$26="","",'INFO BASE'!$C$26)</f>
        <v>Privado</v>
      </c>
      <c r="R566" s="87" t="str">
        <f t="shared" si="315"/>
        <v>PV</v>
      </c>
      <c r="S566" s="88">
        <f t="shared" si="312"/>
        <v>-1</v>
      </c>
      <c r="T566" s="89">
        <f>IF(VLOOKUP(Q566,'INFO BASE'!$B$40:$I$54,IF(R566='INFO BASE'!$B$32,3,IF(R566='INFO BASE'!$B$33,4,IF(R566='INFO BASE'!$B$34,5,IF(R566='INFO BASE'!$B$35,6,IF(R566='INFO BASE'!$B$36,7,IF(R566='INFO BASE'!$B$37,8,2)))))),0)=0,"",VLOOKUP(Q566,'INFO BASE'!$B$40:$I$54,IF(R566='INFO BASE'!$B$32,3,IF(R566='INFO BASE'!$B$33,4,IF(R566='INFO BASE'!$B$34,5,IF(R566='INFO BASE'!$B$35,6,IF(R566='INFO BASE'!$B$36,7,IF(R566='INFO BASE'!$B$37,8,2)))))),0))</f>
        <v>26.5</v>
      </c>
      <c r="U566" s="89">
        <f t="shared" si="324"/>
        <v>0</v>
      </c>
      <c r="V566" s="89">
        <f>IF(R566="","",COUNTIFS(AI522:AV569,R566)*0.5)</f>
        <v>0</v>
      </c>
      <c r="W566" s="90" t="str">
        <f>IF(AH518="","-",IF(V566=0,U566,IFERROR((U566/V566)-1,"-")))</f>
        <v>-</v>
      </c>
      <c r="X566" s="202">
        <f t="shared" si="313"/>
        <v>0</v>
      </c>
      <c r="Y566" s="271"/>
      <c r="Z566" s="272"/>
      <c r="AA566" s="272"/>
      <c r="AB566" s="272"/>
      <c r="AC566" s="272"/>
      <c r="AD566" s="272"/>
      <c r="AE566" s="272"/>
      <c r="AF566" s="273"/>
      <c r="AH566" s="136">
        <v>0.91666666666669605</v>
      </c>
      <c r="AI566" s="136" t="str">
        <f>IF(AH518="","",IF(B566="","",B566))</f>
        <v/>
      </c>
      <c r="AJ566" s="136" t="str">
        <f>IF(AH518="","",IF(C566="","",C566))</f>
        <v/>
      </c>
      <c r="AK566" s="136" t="str">
        <f>IF(AH518="","",IF(D566="","",D566))</f>
        <v/>
      </c>
      <c r="AL566" s="136" t="str">
        <f>IF(AH518="","",IF(E566="","",E566))</f>
        <v/>
      </c>
      <c r="AM566" s="136" t="str">
        <f>IF(AH518="","",IF(F566="","",F566))</f>
        <v/>
      </c>
      <c r="AN566" s="136" t="str">
        <f>IF(AH518="","",IF(G566="","",G566))</f>
        <v/>
      </c>
      <c r="AO566" s="136" t="str">
        <f>IF(AH518="","",IF(H566="","",H566))</f>
        <v/>
      </c>
      <c r="AP566" s="136" t="str">
        <f>IF(AH518="","",IF(I566="","",I566))</f>
        <v/>
      </c>
      <c r="AQ566" s="136" t="str">
        <f>IF(AH518="","",IF(J566="","",J566))</f>
        <v/>
      </c>
      <c r="AR566" s="136" t="str">
        <f>IF(AH518="","",IF(K566="","",K566))</f>
        <v/>
      </c>
      <c r="AS566" s="136" t="str">
        <f>IF(AH518="","",IF(L566="","",L566))</f>
        <v/>
      </c>
      <c r="AT566" s="136" t="str">
        <f>IF(AH518="","",IF(M566="","",M566))</f>
        <v/>
      </c>
      <c r="AU566" s="136" t="str">
        <f>IF(AH518="","",IF(N566="","",N566))</f>
        <v/>
      </c>
      <c r="AV566" s="136" t="str">
        <f>IF(AH518="","",IF(O566="","",O566))</f>
        <v/>
      </c>
      <c r="AX566" s="136" t="str">
        <f>IF(AI518="","",IF(B566="","",B566))</f>
        <v/>
      </c>
      <c r="AY566" s="136" t="str">
        <f>IF(AI518="","",IF(C566="","",C566))</f>
        <v/>
      </c>
      <c r="AZ566" s="136" t="str">
        <f>IF(AI518="","",IF(D566="","",D566))</f>
        <v/>
      </c>
      <c r="BA566" s="136" t="str">
        <f>IF(AI518="","",IF(E566="","",E566))</f>
        <v/>
      </c>
      <c r="BB566" s="136" t="str">
        <f>IF(AI518="","",IF(F566="","",F566))</f>
        <v/>
      </c>
      <c r="BC566" s="136" t="str">
        <f>IF(AI518="","",IF(G566="","",G566))</f>
        <v/>
      </c>
      <c r="BD566" s="136" t="str">
        <f>IF(AI518="","",IF(H566="","",H566))</f>
        <v/>
      </c>
      <c r="BE566" s="136" t="str">
        <f>IF(AI518="","",IF(I566="","",I566))</f>
        <v/>
      </c>
      <c r="BF566" s="136" t="str">
        <f>IF(AI518="","",IF(J566="","",J566))</f>
        <v/>
      </c>
      <c r="BG566" s="136" t="str">
        <f>IF(AI518="","",IF(K566="","",K566))</f>
        <v/>
      </c>
      <c r="BH566" s="136" t="str">
        <f>IF(AI518="","",IF(L566="","",L566))</f>
        <v/>
      </c>
      <c r="BI566" s="136" t="str">
        <f>IF(AI518="","",IF(M566="","",M566))</f>
        <v/>
      </c>
      <c r="BJ566" s="136" t="str">
        <f>IF(AI518="","",IF(N566="","",N566))</f>
        <v/>
      </c>
      <c r="BK566" s="136" t="str">
        <f>IF(AI518="","",IF(O566="","",O566))</f>
        <v/>
      </c>
      <c r="BN566" s="136" t="str">
        <f t="shared" si="308"/>
        <v>Sono</v>
      </c>
      <c r="BO566" s="136" t="str">
        <f t="shared" si="308"/>
        <v>HS</v>
      </c>
      <c r="BP566" s="136">
        <f>IF(BO566="","",COUNTIFS(AX522:BK569,BO566)*0.5)</f>
        <v>0</v>
      </c>
      <c r="BQ566" s="136" t="str">
        <f t="shared" si="309"/>
        <v>Sono</v>
      </c>
      <c r="BR566" s="136" t="str">
        <f t="shared" si="309"/>
        <v>HS</v>
      </c>
      <c r="BS566" s="136" t="str">
        <f t="shared" si="310"/>
        <v>Sono</v>
      </c>
      <c r="BT566" s="136">
        <f t="shared" si="316"/>
        <v>417</v>
      </c>
      <c r="BU566" s="136">
        <f t="shared" si="317"/>
        <v>417.5</v>
      </c>
      <c r="CA566" s="136">
        <f>'INFO BASE'!L643</f>
        <v>0</v>
      </c>
      <c r="CB566" s="136">
        <f>'INFO BASE'!M643</f>
        <v>0</v>
      </c>
      <c r="CR566" s="177">
        <f t="shared" ref="CR566:CR569" si="328">IF(B566="",1,B566)</f>
        <v>1</v>
      </c>
      <c r="CS566" s="177">
        <f t="shared" si="299"/>
        <v>1</v>
      </c>
      <c r="CT566" s="177">
        <f t="shared" ref="CT566:CT569" si="329">IF(D566="",1,D566)</f>
        <v>1</v>
      </c>
      <c r="CU566" s="177">
        <f t="shared" si="300"/>
        <v>1</v>
      </c>
      <c r="CV566" s="177">
        <f t="shared" ref="CV566:CV569" si="330">IF(F566="",1,F566)</f>
        <v>1</v>
      </c>
      <c r="CW566" s="177">
        <f t="shared" si="301"/>
        <v>1</v>
      </c>
      <c r="CX566" s="177">
        <f t="shared" si="325"/>
        <v>1</v>
      </c>
      <c r="CY566" s="177">
        <f t="shared" si="302"/>
        <v>1</v>
      </c>
      <c r="CZ566" s="177">
        <f t="shared" si="326"/>
        <v>1</v>
      </c>
      <c r="DA566" s="177">
        <f t="shared" si="303"/>
        <v>1</v>
      </c>
      <c r="DB566" s="177">
        <f t="shared" si="327"/>
        <v>1</v>
      </c>
      <c r="DC566" s="177">
        <f t="shared" si="304"/>
        <v>1</v>
      </c>
      <c r="DD566" s="177">
        <f t="shared" si="305"/>
        <v>1</v>
      </c>
      <c r="DE566" s="177">
        <f t="shared" si="306"/>
        <v>1</v>
      </c>
    </row>
    <row r="567" spans="1:120" ht="18" customHeight="1" x14ac:dyDescent="0.3">
      <c r="A567" s="81">
        <v>0.93750000000002998</v>
      </c>
      <c r="B567" s="153"/>
      <c r="C567" s="130"/>
      <c r="D567" s="135"/>
      <c r="E567" s="130"/>
      <c r="F567" s="135"/>
      <c r="G567" s="130"/>
      <c r="H567" s="135"/>
      <c r="I567" s="130"/>
      <c r="J567" s="135"/>
      <c r="K567" s="130"/>
      <c r="L567" s="135"/>
      <c r="M567" s="130"/>
      <c r="N567" s="135"/>
      <c r="O567" s="154"/>
      <c r="P567" s="6">
        <v>0.2</v>
      </c>
      <c r="Q567" s="86" t="str">
        <f>IF('INFO BASE'!$C$27="","",'INFO BASE'!$C$27)</f>
        <v>Deslocação</v>
      </c>
      <c r="R567" s="87" t="str">
        <f t="shared" si="315"/>
        <v>HD</v>
      </c>
      <c r="S567" s="88">
        <f t="shared" si="312"/>
        <v>-1</v>
      </c>
      <c r="T567" s="89">
        <f>IF(VLOOKUP(Q567,'INFO BASE'!$B$40:$I$54,IF(R567='INFO BASE'!$B$32,3,IF(R567='INFO BASE'!$B$33,4,IF(R567='INFO BASE'!$B$34,5,IF(R567='INFO BASE'!$B$35,6,IF(R567='INFO BASE'!$B$36,7,IF(R567='INFO BASE'!$B$37,8,2)))))),0)=0,"",VLOOKUP(Q567,'INFO BASE'!$B$40:$I$54,IF(R567='INFO BASE'!$B$32,3,IF(R567='INFO BASE'!$B$33,4,IF(R567='INFO BASE'!$B$34,5,IF(R567='INFO BASE'!$B$35,6,IF(R567='INFO BASE'!$B$36,7,IF(R567='INFO BASE'!$B$37,8,2)))))),0))</f>
        <v>10</v>
      </c>
      <c r="U567" s="89">
        <f t="shared" si="324"/>
        <v>0</v>
      </c>
      <c r="V567" s="89">
        <f>IF(R567="","",COUNTIFS(AI522:AV569,R567)*0.5)</f>
        <v>0</v>
      </c>
      <c r="W567" s="90" t="str">
        <f>IF(AH518="","-",IF(V567=0,U567,IFERROR((U567/V567)-1,"-")))</f>
        <v>-</v>
      </c>
      <c r="X567" s="203">
        <f t="shared" si="313"/>
        <v>0</v>
      </c>
      <c r="Y567" s="271"/>
      <c r="Z567" s="272"/>
      <c r="AA567" s="272"/>
      <c r="AB567" s="272"/>
      <c r="AC567" s="272"/>
      <c r="AD567" s="272"/>
      <c r="AE567" s="272"/>
      <c r="AF567" s="273"/>
      <c r="AH567" s="136">
        <v>0.93750000000002998</v>
      </c>
      <c r="AI567" s="136" t="str">
        <f>IF(AH518="","",IF(B567="","",B567))</f>
        <v/>
      </c>
      <c r="AJ567" s="136" t="str">
        <f>IF(AH518="","",IF(C567="","",C567))</f>
        <v/>
      </c>
      <c r="AK567" s="136" t="str">
        <f>IF(AH518="","",IF(D567="","",D567))</f>
        <v/>
      </c>
      <c r="AL567" s="136" t="str">
        <f>IF(AH518="","",IF(E567="","",E567))</f>
        <v/>
      </c>
      <c r="AM567" s="136" t="str">
        <f>IF(AH518="","",IF(F567="","",F567))</f>
        <v/>
      </c>
      <c r="AN567" s="136" t="str">
        <f>IF(AH518="","",IF(G567="","",G567))</f>
        <v/>
      </c>
      <c r="AO567" s="136" t="str">
        <f>IF(AH518="","",IF(H567="","",H567))</f>
        <v/>
      </c>
      <c r="AP567" s="136" t="str">
        <f>IF(AH518="","",IF(I567="","",I567))</f>
        <v/>
      </c>
      <c r="AQ567" s="136" t="str">
        <f>IF(AH518="","",IF(J567="","",J567))</f>
        <v/>
      </c>
      <c r="AR567" s="136" t="str">
        <f>IF(AH518="","",IF(K567="","",K567))</f>
        <v/>
      </c>
      <c r="AS567" s="136" t="str">
        <f>IF(AH518="","",IF(L567="","",L567))</f>
        <v/>
      </c>
      <c r="AT567" s="136" t="str">
        <f>IF(AH518="","",IF(M567="","",M567))</f>
        <v/>
      </c>
      <c r="AU567" s="136" t="str">
        <f>IF(AH518="","",IF(N567="","",N567))</f>
        <v/>
      </c>
      <c r="AV567" s="136" t="str">
        <f>IF(AH518="","",IF(O567="","",O567))</f>
        <v/>
      </c>
      <c r="AX567" s="136" t="str">
        <f>IF(AI518="","",IF(B567="","",B567))</f>
        <v/>
      </c>
      <c r="AY567" s="136" t="str">
        <f>IF(AI518="","",IF(C567="","",C567))</f>
        <v/>
      </c>
      <c r="AZ567" s="136" t="str">
        <f>IF(AI518="","",IF(D567="","",D567))</f>
        <v/>
      </c>
      <c r="BA567" s="136" t="str">
        <f>IF(AI518="","",IF(E567="","",E567))</f>
        <v/>
      </c>
      <c r="BB567" s="136" t="str">
        <f>IF(AI518="","",IF(F567="","",F567))</f>
        <v/>
      </c>
      <c r="BC567" s="136" t="str">
        <f>IF(AI518="","",IF(G567="","",G567))</f>
        <v/>
      </c>
      <c r="BD567" s="136" t="str">
        <f>IF(AI518="","",IF(H567="","",H567))</f>
        <v/>
      </c>
      <c r="BE567" s="136" t="str">
        <f>IF(AI518="","",IF(I567="","",I567))</f>
        <v/>
      </c>
      <c r="BF567" s="136" t="str">
        <f>IF(AI518="","",IF(J567="","",J567))</f>
        <v/>
      </c>
      <c r="BG567" s="136" t="str">
        <f>IF(AI518="","",IF(K567="","",K567))</f>
        <v/>
      </c>
      <c r="BH567" s="136" t="str">
        <f>IF(AI518="","",IF(L567="","",L567))</f>
        <v/>
      </c>
      <c r="BI567" s="136" t="str">
        <f>IF(AI518="","",IF(M567="","",M567))</f>
        <v/>
      </c>
      <c r="BJ567" s="136" t="str">
        <f>IF(AI518="","",IF(N567="","",N567))</f>
        <v/>
      </c>
      <c r="BK567" s="136" t="str">
        <f>IF(AI518="","",IF(O567="","",O567))</f>
        <v/>
      </c>
      <c r="BP567" s="136" t="str">
        <f>IF(BO567="","",COUNTIFS(AX522:BK569,BO567)*0.5)</f>
        <v/>
      </c>
      <c r="CA567" s="136">
        <f>'INFO BASE'!L644</f>
        <v>0</v>
      </c>
      <c r="CB567" s="136">
        <f>'INFO BASE'!M644</f>
        <v>0</v>
      </c>
      <c r="CR567" s="177">
        <f t="shared" si="328"/>
        <v>1</v>
      </c>
      <c r="CS567" s="177">
        <f t="shared" si="299"/>
        <v>1</v>
      </c>
      <c r="CT567" s="177">
        <f t="shared" si="329"/>
        <v>1</v>
      </c>
      <c r="CU567" s="177">
        <f t="shared" si="300"/>
        <v>1</v>
      </c>
      <c r="CV567" s="177">
        <f t="shared" si="330"/>
        <v>1</v>
      </c>
      <c r="CW567" s="177">
        <f t="shared" si="301"/>
        <v>1</v>
      </c>
      <c r="CX567" s="177">
        <f t="shared" si="325"/>
        <v>1</v>
      </c>
      <c r="CY567" s="177">
        <f t="shared" si="302"/>
        <v>1</v>
      </c>
      <c r="CZ567" s="177">
        <f t="shared" si="326"/>
        <v>1</v>
      </c>
      <c r="DA567" s="177">
        <f t="shared" si="303"/>
        <v>1</v>
      </c>
      <c r="DB567" s="177">
        <f t="shared" si="327"/>
        <v>1</v>
      </c>
      <c r="DC567" s="177">
        <f t="shared" si="304"/>
        <v>1</v>
      </c>
      <c r="DD567" s="177">
        <f t="shared" si="305"/>
        <v>1</v>
      </c>
      <c r="DE567" s="177">
        <f t="shared" si="306"/>
        <v>1</v>
      </c>
    </row>
    <row r="568" spans="1:120" ht="18" customHeight="1" x14ac:dyDescent="0.3">
      <c r="A568" s="81">
        <v>0.95833333333336401</v>
      </c>
      <c r="B568" s="153"/>
      <c r="C568" s="130"/>
      <c r="D568" s="135"/>
      <c r="E568" s="130"/>
      <c r="F568" s="135"/>
      <c r="G568" s="130"/>
      <c r="H568" s="135"/>
      <c r="I568" s="130"/>
      <c r="J568" s="135"/>
      <c r="K568" s="130"/>
      <c r="L568" s="135"/>
      <c r="M568" s="130"/>
      <c r="N568" s="135"/>
      <c r="O568" s="154"/>
      <c r="P568" s="6">
        <v>0.2</v>
      </c>
      <c r="Q568" s="91" t="str">
        <f>IF('INFO BASE'!$C$28="","",'INFO BASE'!$C$28)</f>
        <v>Refeição</v>
      </c>
      <c r="R568" s="87" t="str">
        <f t="shared" si="315"/>
        <v>HR</v>
      </c>
      <c r="S568" s="88">
        <f t="shared" si="312"/>
        <v>-1</v>
      </c>
      <c r="T568" s="89">
        <f>IF(VLOOKUP(Q568,'INFO BASE'!$B$40:$I$54,IF(R568='INFO BASE'!$B$32,3,IF(R568='INFO BASE'!$B$33,4,IF(R568='INFO BASE'!$B$34,5,IF(R568='INFO BASE'!$B$35,6,IF(R568='INFO BASE'!$B$36,7,IF(R568='INFO BASE'!$B$37,8,2)))))),0)=0,"",VLOOKUP(Q568,'INFO BASE'!$B$40:$I$54,IF(R568='INFO BASE'!$B$32,3,IF(R568='INFO BASE'!$B$33,4,IF(R568='INFO BASE'!$B$34,5,IF(R568='INFO BASE'!$B$35,6,IF(R568='INFO BASE'!$B$36,7,IF(R568='INFO BASE'!$B$37,8,2)))))),0))</f>
        <v>15</v>
      </c>
      <c r="U568" s="89">
        <f t="shared" si="324"/>
        <v>0</v>
      </c>
      <c r="V568" s="89">
        <f>IF(R568="","",COUNTIFS(AI522:AV569,R568)*0.5)</f>
        <v>0</v>
      </c>
      <c r="W568" s="90" t="str">
        <f>IF(AH518="","-",IF(V568=0,U568,IFERROR((U568/V568)-1,"-")))</f>
        <v>-</v>
      </c>
      <c r="X568" s="204">
        <f t="shared" si="313"/>
        <v>0</v>
      </c>
      <c r="Y568" s="271"/>
      <c r="Z568" s="272"/>
      <c r="AA568" s="272"/>
      <c r="AB568" s="272"/>
      <c r="AC568" s="272"/>
      <c r="AD568" s="272"/>
      <c r="AE568" s="272"/>
      <c r="AF568" s="273"/>
      <c r="AH568" s="136">
        <v>0.95833333333336401</v>
      </c>
      <c r="AI568" s="136" t="str">
        <f>IF(AH518="","",IF(B568="","",B568))</f>
        <v/>
      </c>
      <c r="AJ568" s="136" t="str">
        <f>IF(AH518="","",IF(C568="","",C568))</f>
        <v/>
      </c>
      <c r="AK568" s="136" t="str">
        <f>IF(AH518="","",IF(D568="","",D568))</f>
        <v/>
      </c>
      <c r="AL568" s="136" t="str">
        <f>IF(AH518="","",IF(E568="","",E568))</f>
        <v/>
      </c>
      <c r="AM568" s="136" t="str">
        <f>IF(AH518="","",IF(F568="","",F568))</f>
        <v/>
      </c>
      <c r="AN568" s="136" t="str">
        <f>IF(AH518="","",IF(G568="","",G568))</f>
        <v/>
      </c>
      <c r="AO568" s="136" t="str">
        <f>IF(AH518="","",IF(H568="","",H568))</f>
        <v/>
      </c>
      <c r="AP568" s="136" t="str">
        <f>IF(AH518="","",IF(I568="","",I568))</f>
        <v/>
      </c>
      <c r="AQ568" s="136" t="str">
        <f>IF(AH518="","",IF(J568="","",J568))</f>
        <v/>
      </c>
      <c r="AR568" s="136" t="str">
        <f>IF(AH518="","",IF(K568="","",K568))</f>
        <v/>
      </c>
      <c r="AS568" s="136" t="str">
        <f>IF(AH518="","",IF(L568="","",L568))</f>
        <v/>
      </c>
      <c r="AT568" s="136" t="str">
        <f>IF(AH518="","",IF(M568="","",M568))</f>
        <v/>
      </c>
      <c r="AU568" s="136" t="str">
        <f>IF(AH518="","",IF(N568="","",N568))</f>
        <v/>
      </c>
      <c r="AV568" s="136" t="str">
        <f>IF(AH518="","",IF(O568="","",O568))</f>
        <v/>
      </c>
      <c r="AX568" s="136" t="str">
        <f>IF(AI518="","",IF(B568="","",B568))</f>
        <v/>
      </c>
      <c r="AY568" s="136" t="str">
        <f>IF(AI518="","",IF(C568="","",C568))</f>
        <v/>
      </c>
      <c r="AZ568" s="136" t="str">
        <f>IF(AI518="","",IF(D568="","",D568))</f>
        <v/>
      </c>
      <c r="BA568" s="136" t="str">
        <f>IF(AI518="","",IF(E568="","",E568))</f>
        <v/>
      </c>
      <c r="BB568" s="136" t="str">
        <f>IF(AI518="","",IF(F568="","",F568))</f>
        <v/>
      </c>
      <c r="BC568" s="136" t="str">
        <f>IF(AI518="","",IF(G568="","",G568))</f>
        <v/>
      </c>
      <c r="BD568" s="136" t="str">
        <f>IF(AI518="","",IF(H568="","",H568))</f>
        <v/>
      </c>
      <c r="BE568" s="136" t="str">
        <f>IF(AI518="","",IF(I568="","",I568))</f>
        <v/>
      </c>
      <c r="BF568" s="136" t="str">
        <f>IF(AI518="","",IF(J568="","",J568))</f>
        <v/>
      </c>
      <c r="BG568" s="136" t="str">
        <f>IF(AI518="","",IF(K568="","",K568))</f>
        <v/>
      </c>
      <c r="BH568" s="136" t="str">
        <f>IF(AI518="","",IF(L568="","",L568))</f>
        <v/>
      </c>
      <c r="BI568" s="136" t="str">
        <f>IF(AI518="","",IF(M568="","",M568))</f>
        <v/>
      </c>
      <c r="BJ568" s="136" t="str">
        <f>IF(AI518="","",IF(N568="","",N568))</f>
        <v/>
      </c>
      <c r="BK568" s="136" t="str">
        <f>IF(AI518="","",IF(O568="","",O568))</f>
        <v/>
      </c>
      <c r="BP568" s="136" t="str">
        <f>IF(BO568="","",COUNTIFS(AX522:BK569,BO568)*0.5)</f>
        <v/>
      </c>
      <c r="CA568" s="136">
        <f>'INFO BASE'!L645</f>
        <v>0</v>
      </c>
      <c r="CB568" s="136">
        <f>'INFO BASE'!M645</f>
        <v>0</v>
      </c>
      <c r="CR568" s="177">
        <f t="shared" si="328"/>
        <v>1</v>
      </c>
      <c r="CS568" s="177">
        <f t="shared" si="299"/>
        <v>1</v>
      </c>
      <c r="CT568" s="177">
        <f t="shared" si="329"/>
        <v>1</v>
      </c>
      <c r="CU568" s="177">
        <f t="shared" si="300"/>
        <v>1</v>
      </c>
      <c r="CV568" s="177">
        <f t="shared" si="330"/>
        <v>1</v>
      </c>
      <c r="CW568" s="177">
        <f t="shared" si="301"/>
        <v>1</v>
      </c>
      <c r="CX568" s="177">
        <f t="shared" si="325"/>
        <v>1</v>
      </c>
      <c r="CY568" s="177">
        <f t="shared" si="302"/>
        <v>1</v>
      </c>
      <c r="CZ568" s="177">
        <f t="shared" si="326"/>
        <v>1</v>
      </c>
      <c r="DA568" s="177">
        <f t="shared" si="303"/>
        <v>1</v>
      </c>
      <c r="DB568" s="177">
        <f t="shared" si="327"/>
        <v>1</v>
      </c>
      <c r="DC568" s="177">
        <f t="shared" si="304"/>
        <v>1</v>
      </c>
      <c r="DD568" s="177">
        <f t="shared" si="305"/>
        <v>1</v>
      </c>
      <c r="DE568" s="177">
        <f t="shared" si="306"/>
        <v>1</v>
      </c>
    </row>
    <row r="569" spans="1:120" ht="18" customHeight="1" thickBot="1" x14ac:dyDescent="0.35">
      <c r="A569" s="180">
        <v>0.97916666666669805</v>
      </c>
      <c r="B569" s="155"/>
      <c r="C569" s="156"/>
      <c r="D569" s="157"/>
      <c r="E569" s="156"/>
      <c r="F569" s="157"/>
      <c r="G569" s="156"/>
      <c r="H569" s="157"/>
      <c r="I569" s="156"/>
      <c r="J569" s="157"/>
      <c r="K569" s="156"/>
      <c r="L569" s="157"/>
      <c r="M569" s="156"/>
      <c r="N569" s="157"/>
      <c r="O569" s="158"/>
      <c r="P569" s="6">
        <v>0.2</v>
      </c>
      <c r="Q569" s="92" t="str">
        <f>IF('INFO BASE'!$C$29="","",'INFO BASE'!$C$29)</f>
        <v>Sono</v>
      </c>
      <c r="R569" s="93" t="str">
        <f t="shared" si="315"/>
        <v>HS</v>
      </c>
      <c r="S569" s="94">
        <f t="shared" si="312"/>
        <v>-1</v>
      </c>
      <c r="T569" s="95">
        <f>IF(VLOOKUP(Q569,'INFO BASE'!$B$40:$I$54,IF(R569='INFO BASE'!$B$32,3,IF(R569='INFO BASE'!$B$33,4,IF(R569='INFO BASE'!$B$34,5,IF(R569='INFO BASE'!$B$35,6,IF(R569='INFO BASE'!$B$36,7,IF(R569='INFO BASE'!$B$37,8,2)))))),0)=0,"",VLOOKUP(Q569,'INFO BASE'!$B$40:$I$54,IF(R569='INFO BASE'!$B$32,3,IF(R569='INFO BASE'!$B$33,4,IF(R569='INFO BASE'!$B$34,5,IF(R569='INFO BASE'!$B$35,6,IF(R569='INFO BASE'!$B$36,7,IF(R569='INFO BASE'!$B$37,8,2)))))),0))</f>
        <v>49</v>
      </c>
      <c r="U569" s="95">
        <f t="shared" si="324"/>
        <v>0</v>
      </c>
      <c r="V569" s="95">
        <f>IF(R569="","",COUNTIFS(AI522:AV569,R569)*0.5)</f>
        <v>0</v>
      </c>
      <c r="W569" s="96" t="str">
        <f>IF(AH518="","-",IF(V569=0,U569,IFERROR((U569/V569)-1,"-")))</f>
        <v>-</v>
      </c>
      <c r="X569" s="204">
        <f t="shared" si="313"/>
        <v>0</v>
      </c>
      <c r="Y569" s="274"/>
      <c r="Z569" s="275"/>
      <c r="AA569" s="275"/>
      <c r="AB569" s="275"/>
      <c r="AC569" s="275"/>
      <c r="AD569" s="275"/>
      <c r="AE569" s="275"/>
      <c r="AF569" s="276"/>
      <c r="AH569" s="136">
        <v>0.97916666666669805</v>
      </c>
      <c r="AI569" s="136" t="str">
        <f>IF(AH518="","",IF(B569="","",B569))</f>
        <v/>
      </c>
      <c r="AJ569" s="136" t="str">
        <f>IF(AH518="","",IF(C569="","",C569))</f>
        <v/>
      </c>
      <c r="AK569" s="136" t="str">
        <f>IF(AH518="","",IF(D569="","",D569))</f>
        <v/>
      </c>
      <c r="AL569" s="136" t="str">
        <f>IF(AH518="","",IF(E569="","",E569))</f>
        <v/>
      </c>
      <c r="AM569" s="136" t="str">
        <f>IF(AH518="","",IF(F569="","",F569))</f>
        <v/>
      </c>
      <c r="AN569" s="136" t="str">
        <f>IF(AH518="","",IF(G569="","",G569))</f>
        <v/>
      </c>
      <c r="AO569" s="136" t="str">
        <f>IF(AH518="","",IF(H569="","",H569))</f>
        <v/>
      </c>
      <c r="AP569" s="136" t="str">
        <f>IF(AH518="","",IF(I569="","",I569))</f>
        <v/>
      </c>
      <c r="AQ569" s="136" t="str">
        <f>IF(AH518="","",IF(J569="","",J569))</f>
        <v/>
      </c>
      <c r="AR569" s="136" t="str">
        <f>IF(AH518="","",IF(K569="","",K569))</f>
        <v/>
      </c>
      <c r="AS569" s="136" t="str">
        <f>IF(AH518="","",IF(L569="","",L569))</f>
        <v/>
      </c>
      <c r="AT569" s="136" t="str">
        <f>IF(AH518="","",IF(M569="","",M569))</f>
        <v/>
      </c>
      <c r="AU569" s="136" t="str">
        <f>IF(AH518="","",IF(N569="","",N569))</f>
        <v/>
      </c>
      <c r="AV569" s="136" t="str">
        <f>IF(AH518="","",IF(O569="","",O569))</f>
        <v/>
      </c>
      <c r="AX569" s="136" t="str">
        <f>IF(AI518="","",IF(B569="","",B569))</f>
        <v/>
      </c>
      <c r="AY569" s="136" t="str">
        <f>IF(AI518="","",IF(C569="","",C569))</f>
        <v/>
      </c>
      <c r="AZ569" s="136" t="str">
        <f>IF(AI518="","",IF(D569="","",D569))</f>
        <v/>
      </c>
      <c r="BA569" s="136" t="str">
        <f>IF(AI518="","",IF(E569="","",E569))</f>
        <v/>
      </c>
      <c r="BB569" s="136" t="str">
        <f>IF(AI518="","",IF(F569="","",F569))</f>
        <v/>
      </c>
      <c r="BC569" s="136" t="str">
        <f>IF(AI518="","",IF(G569="","",G569))</f>
        <v/>
      </c>
      <c r="BD569" s="136" t="str">
        <f>IF(AI518="","",IF(H569="","",H569))</f>
        <v/>
      </c>
      <c r="BE569" s="136" t="str">
        <f>IF(AI518="","",IF(I569="","",I569))</f>
        <v/>
      </c>
      <c r="BF569" s="136" t="str">
        <f>IF(AI518="","",IF(J569="","",J569))</f>
        <v/>
      </c>
      <c r="BG569" s="136" t="str">
        <f>IF(AI518="","",IF(K569="","",K569))</f>
        <v/>
      </c>
      <c r="BH569" s="136" t="str">
        <f>IF(AI518="","",IF(L569="","",L569))</f>
        <v/>
      </c>
      <c r="BI569" s="136" t="str">
        <f>IF(AI518="","",IF(M569="","",M569))</f>
        <v/>
      </c>
      <c r="BJ569" s="136" t="str">
        <f>IF(AI518="","",IF(N569="","",N569))</f>
        <v/>
      </c>
      <c r="BK569" s="136" t="str">
        <f>IF(AI518="","",IF(O569="","",O569))</f>
        <v/>
      </c>
      <c r="BP569" s="136" t="str">
        <f>IF(BO569="","",COUNTIFS(AX522:BK569,BO569)*0.5)</f>
        <v/>
      </c>
      <c r="CA569" s="136">
        <f>'INFO BASE'!L646</f>
        <v>0</v>
      </c>
      <c r="CB569" s="136">
        <f>'INFO BASE'!M646</f>
        <v>0</v>
      </c>
      <c r="CR569" s="177">
        <f t="shared" si="328"/>
        <v>1</v>
      </c>
      <c r="CS569" s="177">
        <f t="shared" si="299"/>
        <v>1</v>
      </c>
      <c r="CT569" s="177">
        <f t="shared" si="329"/>
        <v>1</v>
      </c>
      <c r="CU569" s="177">
        <f t="shared" si="300"/>
        <v>1</v>
      </c>
      <c r="CV569" s="177">
        <f t="shared" si="330"/>
        <v>1</v>
      </c>
      <c r="CW569" s="177">
        <f t="shared" si="301"/>
        <v>1</v>
      </c>
      <c r="CX569" s="177">
        <f t="shared" si="325"/>
        <v>1</v>
      </c>
      <c r="CY569" s="177">
        <f t="shared" si="302"/>
        <v>1</v>
      </c>
      <c r="CZ569" s="177">
        <f t="shared" si="326"/>
        <v>1</v>
      </c>
      <c r="DA569" s="177">
        <f t="shared" si="303"/>
        <v>1</v>
      </c>
      <c r="DB569" s="177">
        <f t="shared" si="327"/>
        <v>1</v>
      </c>
      <c r="DC569" s="177">
        <f t="shared" si="304"/>
        <v>1</v>
      </c>
      <c r="DD569" s="177">
        <f t="shared" si="305"/>
        <v>1</v>
      </c>
      <c r="DE569" s="177">
        <f t="shared" si="306"/>
        <v>1</v>
      </c>
    </row>
    <row r="570" spans="1:120" s="139" customFormat="1" ht="15" thickTop="1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7">
        <v>1</v>
      </c>
      <c r="Y570" s="6">
        <f>COUNTA(Y533:AF569)</f>
        <v>0</v>
      </c>
      <c r="Z570" s="6">
        <f>SUM(X533:X569)</f>
        <v>0</v>
      </c>
      <c r="AA570" s="6">
        <f>IF(Z570&gt;Y570,"ERRO",0)</f>
        <v>0</v>
      </c>
      <c r="AB570" s="6"/>
      <c r="AC570" s="6"/>
      <c r="AD570" s="6"/>
      <c r="AE570" s="6"/>
      <c r="AF570" s="6"/>
      <c r="AG570" s="6"/>
      <c r="BM570" s="136"/>
      <c r="BN570" s="136"/>
      <c r="BO570" s="136"/>
      <c r="BP570" s="136"/>
      <c r="BQ570" s="136"/>
      <c r="BR570" s="136"/>
      <c r="BS570" s="136"/>
      <c r="BT570" s="136"/>
      <c r="BU570" s="136"/>
      <c r="DN570" s="194"/>
      <c r="DO570" s="194"/>
      <c r="DP570" s="194"/>
    </row>
    <row r="571" spans="1:120" s="139" customFormat="1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7">
        <v>1</v>
      </c>
      <c r="Y571" s="6" t="s">
        <v>220</v>
      </c>
      <c r="Z571" s="6" t="s">
        <v>219</v>
      </c>
      <c r="AA571" s="6" t="s">
        <v>221</v>
      </c>
      <c r="AB571" s="6"/>
      <c r="AC571" s="6"/>
      <c r="AD571" s="6"/>
      <c r="AE571" s="6"/>
      <c r="AF571" s="6"/>
      <c r="AG571" s="6"/>
      <c r="BM571" s="136"/>
      <c r="BN571" s="136"/>
      <c r="BO571" s="136"/>
      <c r="BP571" s="136"/>
      <c r="BQ571" s="136"/>
      <c r="BR571" s="136"/>
      <c r="BS571" s="136"/>
      <c r="BT571" s="136"/>
      <c r="BU571" s="136"/>
      <c r="DN571" s="194"/>
      <c r="DO571" s="194"/>
      <c r="DP571" s="194"/>
    </row>
    <row r="572" spans="1:120" x14ac:dyDescent="0.3">
      <c r="X572" s="7">
        <v>1</v>
      </c>
    </row>
    <row r="573" spans="1:120" ht="15" thickBot="1" x14ac:dyDescent="0.35">
      <c r="X573" s="7">
        <v>1</v>
      </c>
    </row>
    <row r="574" spans="1:120" ht="38.25" customHeight="1" thickTop="1" thickBot="1" x14ac:dyDescent="0.35">
      <c r="A574" s="311" t="str">
        <f>IF(LEN(A517)=8,CONCATENATE("SEMANA ",RIGHT(A517,1)+1),CONCATENATE("SEMANA ",RIGHT(A517,2)+1))</f>
        <v>SEMANA 11</v>
      </c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3"/>
      <c r="AG574" s="12"/>
      <c r="CA574" s="136">
        <f>'INFO BASE'!L655</f>
        <v>0</v>
      </c>
      <c r="CB574" s="136">
        <f>'INFO BASE'!M655</f>
        <v>0</v>
      </c>
    </row>
    <row r="575" spans="1:120" ht="9" customHeight="1" thickTop="1" thickBot="1" x14ac:dyDescent="0.35">
      <c r="A575" s="139"/>
      <c r="B575" s="139"/>
      <c r="C575" s="140"/>
      <c r="D575" s="139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41">
        <v>1</v>
      </c>
      <c r="Y575" s="139"/>
      <c r="Z575" s="139"/>
      <c r="AA575" s="139"/>
      <c r="AB575" s="139"/>
      <c r="AC575" s="139"/>
      <c r="AD575" s="139"/>
      <c r="AE575" s="139"/>
      <c r="AF575" s="139"/>
      <c r="AG575" s="139"/>
      <c r="CA575" s="136">
        <f>'INFO BASE'!L656</f>
        <v>0</v>
      </c>
      <c r="CB575" s="136">
        <f>'INFO BASE'!M656</f>
        <v>0</v>
      </c>
    </row>
    <row r="576" spans="1:120" ht="30.75" customHeight="1" x14ac:dyDescent="0.3">
      <c r="A576" s="145"/>
      <c r="B576" s="314">
        <f>1-(CR576/673)</f>
        <v>0</v>
      </c>
      <c r="C576" s="315"/>
      <c r="D576" s="315"/>
      <c r="E576" s="315"/>
      <c r="F576" s="315"/>
      <c r="G576" s="315"/>
      <c r="H576" s="315"/>
      <c r="I576" s="315"/>
      <c r="J576" s="315"/>
      <c r="K576" s="315"/>
      <c r="L576" s="315"/>
      <c r="M576" s="315"/>
      <c r="N576" s="315"/>
      <c r="O576" s="316"/>
      <c r="Q576" s="205">
        <f>IF(OR(Q579="Registe aqui o que considera serem as suas três principais prioridades para a semana
(Dica - para criar paragráfos Alt+Enter)",LEN(Q579)&lt;10),1,0)</f>
        <v>1</v>
      </c>
      <c r="X576" s="7">
        <v>1</v>
      </c>
      <c r="AM576" s="136" t="str">
        <f>CONCATENATE("PLANEAMENTO ",I576)</f>
        <v xml:space="preserve">PLANEAMENTO </v>
      </c>
      <c r="AX576" s="136" t="str">
        <f>IF(AI575="","",IF(B576="","",B576))</f>
        <v/>
      </c>
      <c r="AY576" s="136" t="str">
        <f>IF(AI575="","",IF(C576="","",C576))</f>
        <v/>
      </c>
      <c r="AZ576" s="136" t="str">
        <f>IF(AI575="","",IF(D576="","",D576))</f>
        <v/>
      </c>
      <c r="BA576" s="136" t="str">
        <f>IF(AI575="","",IF(E576="","",E576))</f>
        <v/>
      </c>
      <c r="BB576" s="136" t="str">
        <f>IF(AI575="","",IF(F576="","",F576))</f>
        <v/>
      </c>
      <c r="BC576" s="136" t="str">
        <f>IF(AI575="","",IF(G576="","",G576))</f>
        <v/>
      </c>
      <c r="BD576" s="136" t="str">
        <f>IF(AI575="","",IF(H576="","",H576))</f>
        <v/>
      </c>
      <c r="BE576" s="136" t="str">
        <f>IF(AI575="","",IF(I576="","",I576))</f>
        <v/>
      </c>
      <c r="BF576" s="136" t="str">
        <f>IF(AI575="","",IF(J576="","",J576))</f>
        <v/>
      </c>
      <c r="BG576" s="136" t="str">
        <f>IF(AI575="","",IF(K576="","",K576))</f>
        <v/>
      </c>
      <c r="BH576" s="136" t="str">
        <f>IF(AI575="","",IF(L576="","",L576))</f>
        <v/>
      </c>
      <c r="BI576" s="136" t="str">
        <f>IF(AI575="","",IF(M576="","",M576))</f>
        <v/>
      </c>
      <c r="BJ576" s="136" t="str">
        <f>IF(AI575="","",IF(N576="","",N576))</f>
        <v/>
      </c>
      <c r="BK576" s="136" t="str">
        <f>IF(AI575="","",IF(O576="","",O576))</f>
        <v/>
      </c>
      <c r="CA576" s="136">
        <f>'INFO BASE'!L642</f>
        <v>0</v>
      </c>
      <c r="CB576" s="136">
        <f>'INFO BASE'!M642</f>
        <v>0</v>
      </c>
      <c r="CR576" s="136">
        <f>SUM(CR579:DE626,Q576)</f>
        <v>673</v>
      </c>
    </row>
    <row r="577" spans="1:109" ht="37.5" customHeight="1" thickBot="1" x14ac:dyDescent="0.35">
      <c r="A577" s="146"/>
      <c r="B577" s="330" t="str">
        <f>CONCATENATE("Segunda ",CHAR(10),TEXT(B578,"dd-mm-aaaa"))</f>
        <v>Segunda 
23-11-2015</v>
      </c>
      <c r="C577" s="317"/>
      <c r="D577" s="317" t="str">
        <f>CONCATENATE("Terça ",CHAR(10),TEXT(D578,"dd-mm-aaaa"))</f>
        <v>Terça 
24-11-2015</v>
      </c>
      <c r="E577" s="317"/>
      <c r="F577" s="317" t="str">
        <f>CONCATENATE("Quarta ",CHAR(10),TEXT(F578,"dd-mm-aaaa"))</f>
        <v>Quarta 
25-11-2015</v>
      </c>
      <c r="G577" s="317"/>
      <c r="H577" s="317" t="str">
        <f>CONCATENATE("Quinta ",CHAR(10),TEXT(H578,"dd-mm-aaaa"))</f>
        <v>Quinta 
26-11-2015</v>
      </c>
      <c r="I577" s="317"/>
      <c r="J577" s="317" t="str">
        <f>CONCATENATE("Sexta ",CHAR(10),TEXT(J578,"dd-mm-aaaa"))</f>
        <v>Sexta 
27-11-2015</v>
      </c>
      <c r="K577" s="317"/>
      <c r="L577" s="317" t="str">
        <f>CONCATENATE("Sábado ",CHAR(10),TEXT(L578,"dd-mm-aaaa"))</f>
        <v>Sábado 
28-11-2015</v>
      </c>
      <c r="M577" s="317"/>
      <c r="N577" s="317" t="str">
        <f>CONCATENATE("Domingo ",CHAR(10),TEXT(N578,"dd-mm-aaaa"))</f>
        <v>Domingo 
29-11-2015</v>
      </c>
      <c r="O577" s="329"/>
      <c r="Q577" s="55" t="str">
        <f>'INFO BASE'!$L$3</f>
        <v>PRIORIDADES PARA ESTA SEMANA</v>
      </c>
      <c r="R577" s="132"/>
      <c r="S577" s="132"/>
      <c r="T577" s="132"/>
      <c r="U577" s="132"/>
      <c r="V577" s="132"/>
      <c r="W577" s="195" t="str">
        <f>CONCATENATE("HORÁRIO ",'INFO BASE'!$C$6,"_",'INFO BASE'!$C$5,": ",UPPER(A574))</f>
        <v>HORÁRIO André Fonseca_84698: SEMANA 11</v>
      </c>
      <c r="X577" s="198">
        <v>1</v>
      </c>
      <c r="Y577" s="261" t="str">
        <f>'INFO BASE'!$L$1</f>
        <v>MOMENTOS AVALIATIVOS</v>
      </c>
      <c r="Z577" s="261"/>
      <c r="AA577" s="261"/>
      <c r="AB577" s="261"/>
      <c r="AC577" s="261" t="s">
        <v>215</v>
      </c>
      <c r="AD577" s="261"/>
      <c r="AE577" s="261"/>
      <c r="AF577" s="261"/>
      <c r="AI577" s="136" t="str">
        <f>B577</f>
        <v>Segunda 
23-11-2015</v>
      </c>
      <c r="AK577" s="136" t="str">
        <f>D577</f>
        <v>Terça 
24-11-2015</v>
      </c>
      <c r="AM577" s="136" t="str">
        <f>F577</f>
        <v>Quarta 
25-11-2015</v>
      </c>
      <c r="AO577" s="136" t="str">
        <f>H577</f>
        <v>Quinta 
26-11-2015</v>
      </c>
      <c r="AQ577" s="136" t="str">
        <f>J577</f>
        <v>Sexta 
27-11-2015</v>
      </c>
      <c r="AS577" s="136" t="str">
        <f>L577</f>
        <v>Sábado 
28-11-2015</v>
      </c>
      <c r="AU577" s="136" t="str">
        <f>N577</f>
        <v>Domingo 
29-11-2015</v>
      </c>
      <c r="AX577" s="136" t="str">
        <f>IF(AI575="","",IF(B577="","",B577))</f>
        <v/>
      </c>
      <c r="AY577" s="136" t="str">
        <f>IF(AI575="","",IF(C577="","",C577))</f>
        <v/>
      </c>
      <c r="AZ577" s="136" t="str">
        <f>IF(AI575="","",IF(D577="","",D577))</f>
        <v/>
      </c>
      <c r="BA577" s="136" t="str">
        <f>IF(AI575="","",IF(E577="","",E577))</f>
        <v/>
      </c>
      <c r="BB577" s="136" t="str">
        <f>IF(AI575="","",IF(F577="","",F577))</f>
        <v/>
      </c>
      <c r="BC577" s="136" t="str">
        <f>IF(AI575="","",IF(G577="","",G577))</f>
        <v/>
      </c>
      <c r="BD577" s="136" t="str">
        <f>IF(AI575="","",IF(H577="","",H577))</f>
        <v/>
      </c>
      <c r="BE577" s="136" t="str">
        <f>IF(AI575="","",IF(I577="","",I577))</f>
        <v/>
      </c>
      <c r="BF577" s="136" t="str">
        <f>IF(AI575="","",IF(J577="","",J577))</f>
        <v/>
      </c>
      <c r="BG577" s="136" t="str">
        <f>IF(AI575="","",IF(K577="","",K577))</f>
        <v/>
      </c>
      <c r="BH577" s="136" t="str">
        <f>IF(AI575="","",IF(L577="","",L577))</f>
        <v/>
      </c>
      <c r="BI577" s="136" t="str">
        <f>IF(AI575="","",IF(M577="","",M577))</f>
        <v/>
      </c>
      <c r="BJ577" s="136" t="str">
        <f>IF(AI575="","",IF(N577="","",N577))</f>
        <v/>
      </c>
      <c r="BK577" s="136" t="str">
        <f>IF(AI575="","",IF(O577="","",O577))</f>
        <v/>
      </c>
      <c r="CA577" s="136">
        <f>'INFO BASE'!L636</f>
        <v>0</v>
      </c>
      <c r="CB577" s="136">
        <f>'INFO BASE'!M636</f>
        <v>0</v>
      </c>
    </row>
    <row r="578" spans="1:109" ht="21" hidden="1" customHeight="1" x14ac:dyDescent="0.3">
      <c r="A578" s="142"/>
      <c r="B578" s="333">
        <f>N521+1</f>
        <v>42331</v>
      </c>
      <c r="C578" s="334"/>
      <c r="D578" s="334">
        <f>B578+1</f>
        <v>42332</v>
      </c>
      <c r="E578" s="334"/>
      <c r="F578" s="334">
        <f>D578+1</f>
        <v>42333</v>
      </c>
      <c r="G578" s="334"/>
      <c r="H578" s="334">
        <f>F578+1</f>
        <v>42334</v>
      </c>
      <c r="I578" s="334"/>
      <c r="J578" s="334">
        <f>H578+1</f>
        <v>42335</v>
      </c>
      <c r="K578" s="334"/>
      <c r="L578" s="334">
        <f>J578+1</f>
        <v>42336</v>
      </c>
      <c r="M578" s="334"/>
      <c r="N578" s="334">
        <f>L578+1</f>
        <v>42337</v>
      </c>
      <c r="O578" s="334"/>
      <c r="Q578" s="132"/>
      <c r="R578" s="132"/>
      <c r="S578" s="132"/>
      <c r="T578" s="132"/>
      <c r="U578" s="132"/>
      <c r="V578" s="132"/>
      <c r="W578" s="132"/>
      <c r="X578" s="198">
        <v>1</v>
      </c>
      <c r="Y578" s="132"/>
      <c r="Z578" s="132"/>
      <c r="AA578" s="132"/>
      <c r="AB578" s="131"/>
      <c r="AC578" s="131"/>
      <c r="AD578" s="131"/>
      <c r="AE578" s="131"/>
      <c r="AF578" s="131"/>
      <c r="AI578" s="136">
        <f>B578</f>
        <v>42331</v>
      </c>
      <c r="AK578" s="136">
        <f>D578</f>
        <v>42332</v>
      </c>
      <c r="AM578" s="136">
        <f>F578</f>
        <v>42333</v>
      </c>
      <c r="AO578" s="136">
        <f>H578</f>
        <v>42334</v>
      </c>
      <c r="AQ578" s="136">
        <f>J578</f>
        <v>42335</v>
      </c>
      <c r="AS578" s="136">
        <f>L578</f>
        <v>42336</v>
      </c>
      <c r="AU578" s="136">
        <f>N578</f>
        <v>42337</v>
      </c>
      <c r="AX578" s="136" t="str">
        <f>IF(AI575="","",IF(B578="","",B578))</f>
        <v/>
      </c>
      <c r="AY578" s="136" t="str">
        <f>IF(AI575="","",IF(C578="","",C578))</f>
        <v/>
      </c>
      <c r="AZ578" s="136" t="str">
        <f>IF(AI575="","",IF(D578="","",D578))</f>
        <v/>
      </c>
      <c r="BA578" s="136" t="str">
        <f>IF(AI575="","",IF(E578="","",E578))</f>
        <v/>
      </c>
      <c r="BB578" s="136" t="str">
        <f>IF(AI575="","",IF(F578="","",F578))</f>
        <v/>
      </c>
      <c r="BC578" s="136" t="str">
        <f>IF(AI575="","",IF(G578="","",G578))</f>
        <v/>
      </c>
      <c r="BD578" s="136" t="str">
        <f>IF(AI575="","",IF(H578="","",H578))</f>
        <v/>
      </c>
      <c r="BE578" s="136" t="str">
        <f>IF(AI575="","",IF(I578="","",I578))</f>
        <v/>
      </c>
      <c r="BF578" s="136" t="str">
        <f>IF(AI575="","",IF(J578="","",J578))</f>
        <v/>
      </c>
      <c r="BG578" s="136" t="str">
        <f>IF(AI575="","",IF(K578="","",K578))</f>
        <v/>
      </c>
      <c r="BH578" s="136" t="str">
        <f>IF(AI575="","",IF(L578="","",L578))</f>
        <v/>
      </c>
      <c r="BI578" s="136" t="str">
        <f>IF(AI575="","",IF(M578="","",M578))</f>
        <v/>
      </c>
      <c r="BJ578" s="136" t="str">
        <f>IF(AI575="","",IF(N578="","",N578))</f>
        <v/>
      </c>
      <c r="BK578" s="136" t="str">
        <f>IF(AI575="","",IF(O578="","",O578))</f>
        <v/>
      </c>
      <c r="CA578" s="136">
        <f>'INFO BASE'!L648</f>
        <v>0</v>
      </c>
      <c r="CB578" s="136">
        <f>'INFO BASE'!M648</f>
        <v>0</v>
      </c>
    </row>
    <row r="579" spans="1:109" ht="18" customHeight="1" thickTop="1" x14ac:dyDescent="0.3">
      <c r="A579" s="81">
        <v>0</v>
      </c>
      <c r="B579" s="149"/>
      <c r="C579" s="150"/>
      <c r="D579" s="151"/>
      <c r="E579" s="150"/>
      <c r="F579" s="151"/>
      <c r="G579" s="150"/>
      <c r="H579" s="151"/>
      <c r="I579" s="150"/>
      <c r="J579" s="151"/>
      <c r="K579" s="150"/>
      <c r="L579" s="151"/>
      <c r="M579" s="150"/>
      <c r="N579" s="151"/>
      <c r="O579" s="152"/>
      <c r="Q579" s="281" t="s">
        <v>216</v>
      </c>
      <c r="R579" s="282"/>
      <c r="S579" s="282"/>
      <c r="T579" s="282"/>
      <c r="U579" s="282"/>
      <c r="V579" s="282"/>
      <c r="W579" s="283"/>
      <c r="X579" s="199">
        <v>1</v>
      </c>
      <c r="Y579" s="268" t="str">
        <f t="array" ref="Y579">IF(ISERROR(INDEX($CA$2:$CB$200,SMALL(IF($CA$2:$CA$200=$A$574,ROW($CA$2:$CA$200)),ROW(1:1))-1,2)),"",INDEX($CA$2:$CB$200,SMALL(IF($CA$2:$CA$200=$A$574,ROW($CA$2:$CA$200)),ROW(1:1))-1,2))</f>
        <v/>
      </c>
      <c r="Z579" s="269"/>
      <c r="AA579" s="269"/>
      <c r="AB579" s="269"/>
      <c r="AC579" s="269"/>
      <c r="AD579" s="269"/>
      <c r="AE579" s="269"/>
      <c r="AF579" s="270"/>
      <c r="AH579" s="136">
        <v>0</v>
      </c>
      <c r="AI579" s="136" t="str">
        <f>IF(AH575="","",IF(B579="","",B579))</f>
        <v/>
      </c>
      <c r="AJ579" s="136" t="str">
        <f>IF(AH575="","",IF(C579="","",C579))</f>
        <v/>
      </c>
      <c r="AK579" s="136" t="str">
        <f>IF(AH575="","",IF(D579="","",D579))</f>
        <v/>
      </c>
      <c r="AL579" s="136" t="str">
        <f>IF(AH575="","",IF(E579="","",E579))</f>
        <v/>
      </c>
      <c r="AM579" s="136" t="str">
        <f>IF(AH575="","",IF(F579="","",F579))</f>
        <v/>
      </c>
      <c r="AN579" s="136" t="str">
        <f>IF(AH575="","",IF(G579="","",G579))</f>
        <v/>
      </c>
      <c r="AO579" s="136" t="str">
        <f>IF(AH575="","",IF(H579="","",H579))</f>
        <v/>
      </c>
      <c r="AP579" s="136" t="str">
        <f>IF(AH575="","",IF(I579="","",I579))</f>
        <v/>
      </c>
      <c r="AQ579" s="136" t="str">
        <f>IF(AH575="","",IF(J579="","",J579))</f>
        <v/>
      </c>
      <c r="AR579" s="136" t="str">
        <f>IF(AH575="","",IF(K579="","",K579))</f>
        <v/>
      </c>
      <c r="AS579" s="136" t="str">
        <f>IF(AH575="","",IF(L579="","",L579))</f>
        <v/>
      </c>
      <c r="AT579" s="136" t="str">
        <f>IF(AH575="","",IF(M579="","",M579))</f>
        <v/>
      </c>
      <c r="AU579" s="136" t="str">
        <f>IF(AH575="","",IF(N579="","",N579))</f>
        <v/>
      </c>
      <c r="AV579" s="136" t="str">
        <f>IF(AH575="","",IF(O579="","",O579))</f>
        <v/>
      </c>
      <c r="AX579" s="136" t="str">
        <f>IF(AI575="","",IF(B579="","",B579))</f>
        <v/>
      </c>
      <c r="AY579" s="136" t="str">
        <f>IF(AI575="","",IF(C579="","",C579))</f>
        <v/>
      </c>
      <c r="AZ579" s="136" t="str">
        <f>IF(AI575="","",IF(D579="","",D579))</f>
        <v/>
      </c>
      <c r="BA579" s="136" t="str">
        <f>IF(AI575="","",IF(E579="","",E579))</f>
        <v/>
      </c>
      <c r="BB579" s="136" t="str">
        <f>IF(AI575="","",IF(F579="","",F579))</f>
        <v/>
      </c>
      <c r="BC579" s="136" t="str">
        <f>IF(AI575="","",IF(G579="","",G579))</f>
        <v/>
      </c>
      <c r="BD579" s="136" t="str">
        <f>IF(AI575="","",IF(H579="","",H579))</f>
        <v/>
      </c>
      <c r="BE579" s="136" t="str">
        <f>IF(AI575="","",IF(I579="","",I579))</f>
        <v/>
      </c>
      <c r="BF579" s="136" t="str">
        <f>IF(AI575="","",IF(J579="","",J579))</f>
        <v/>
      </c>
      <c r="BG579" s="136" t="str">
        <f>IF(AI575="","",IF(K579="","",K579))</f>
        <v/>
      </c>
      <c r="BH579" s="136" t="str">
        <f>IF(AI575="","",IF(L579="","",L579))</f>
        <v/>
      </c>
      <c r="BI579" s="136" t="str">
        <f>IF(AI575="","",IF(M579="","",M579))</f>
        <v/>
      </c>
      <c r="BJ579" s="136" t="str">
        <f>IF(AI575="","",IF(N579="","",N579))</f>
        <v/>
      </c>
      <c r="BK579" s="136" t="str">
        <f>IF(AI575="","",IF(O579="","",O579))</f>
        <v/>
      </c>
      <c r="CA579" s="136">
        <f>'INFO BASE'!L649</f>
        <v>0</v>
      </c>
      <c r="CB579" s="136">
        <f>'INFO BASE'!M649</f>
        <v>0</v>
      </c>
      <c r="CD579" s="136">
        <f>COUNTA('INFO BASE'!E603:E608)+6</f>
        <v>6</v>
      </c>
      <c r="CR579" s="177">
        <f>IF(B579="",1,B579)</f>
        <v>1</v>
      </c>
      <c r="CS579" s="177">
        <f>IF(B579="PV",0,IFERROR(VLOOKUP(CONCATENATE(B579,C579),$DK$9:$DK$72,1,0),1))</f>
        <v>1</v>
      </c>
      <c r="CT579" s="177">
        <f>IF(D579="",1,D579)</f>
        <v>1</v>
      </c>
      <c r="CU579" s="177">
        <f>IF(D579="PV",0,IFERROR(VLOOKUP(CONCATENATE(D579,E579),$DK$9:$DK$72,1,0),1))</f>
        <v>1</v>
      </c>
      <c r="CV579" s="177">
        <f>IF(F579="",1,F579)</f>
        <v>1</v>
      </c>
      <c r="CW579" s="177">
        <f>IF(F579="PV",0,IFERROR(VLOOKUP(CONCATENATE(F579,G579),$DK$9:$DK$72,1,0),1))</f>
        <v>1</v>
      </c>
      <c r="CX579" s="177">
        <f>IF(H579="",1,H579)</f>
        <v>1</v>
      </c>
      <c r="CY579" s="177">
        <f>IF(H579="PV",0,IFERROR(VLOOKUP(CONCATENATE(H579,I579),$DK$9:$DK$72,1,0),1))</f>
        <v>1</v>
      </c>
      <c r="CZ579" s="177">
        <f>IF(J579="",1,J579)</f>
        <v>1</v>
      </c>
      <c r="DA579" s="177">
        <f>IF(J579="PV",0,IFERROR(VLOOKUP(CONCATENATE(J579,K579),$DK$9:$DK$72,1,0),1))</f>
        <v>1</v>
      </c>
      <c r="DB579" s="177">
        <f>IF(L579="",1,L579)</f>
        <v>1</v>
      </c>
      <c r="DC579" s="177">
        <f>IF(L579="PV",0,IFERROR(VLOOKUP(CONCATENATE(L579,M579),$DK$9:$DK$72,1,0),1))</f>
        <v>1</v>
      </c>
      <c r="DD579" s="177">
        <f>IF(N579="",1,N579)</f>
        <v>1</v>
      </c>
      <c r="DE579" s="177">
        <f>IF(N579="PV",0,IFERROR(VLOOKUP(CONCATENATE(N579,O579),$DK$9:$DK$72,1,0),1))</f>
        <v>1</v>
      </c>
    </row>
    <row r="580" spans="1:109" ht="18" customHeight="1" x14ac:dyDescent="0.3">
      <c r="A580" s="81">
        <v>2.0833333333333998E-2</v>
      </c>
      <c r="B580" s="153"/>
      <c r="C580" s="130"/>
      <c r="D580" s="135"/>
      <c r="E580" s="130"/>
      <c r="F580" s="135"/>
      <c r="G580" s="130"/>
      <c r="H580" s="135"/>
      <c r="I580" s="130"/>
      <c r="J580" s="135"/>
      <c r="K580" s="130"/>
      <c r="L580" s="135"/>
      <c r="M580" s="130"/>
      <c r="N580" s="135"/>
      <c r="O580" s="154"/>
      <c r="Q580" s="284"/>
      <c r="R580" s="285"/>
      <c r="S580" s="285"/>
      <c r="T580" s="285"/>
      <c r="U580" s="285"/>
      <c r="V580" s="285"/>
      <c r="W580" s="286"/>
      <c r="X580" s="199">
        <v>1</v>
      </c>
      <c r="Y580" s="262" t="str">
        <f t="array" ref="Y580">IF(ISERROR(INDEX($CA$2:$CB$200,SMALL(IF($CA$2:$CA$200=$A$574,ROW($CA$2:$CA$200)),ROW(2:2))-1,2)),"",INDEX($CA$2:$CB$200,SMALL(IF($CA$2:$CA$200=$A$574,ROW($CA$2:$CA$200)),ROW(2:2))-1,2))</f>
        <v/>
      </c>
      <c r="Z580" s="263"/>
      <c r="AA580" s="263"/>
      <c r="AB580" s="263"/>
      <c r="AC580" s="263"/>
      <c r="AD580" s="263"/>
      <c r="AE580" s="263"/>
      <c r="AF580" s="264"/>
      <c r="AH580" s="136">
        <v>2.0833333333333998E-2</v>
      </c>
      <c r="AI580" s="136" t="str">
        <f>IF(AH575="","",IF(B580="","",B580))</f>
        <v/>
      </c>
      <c r="AJ580" s="136" t="str">
        <f>IF(AH575="","",IF(C580="","",C580))</f>
        <v/>
      </c>
      <c r="AK580" s="136" t="str">
        <f>IF(AH575="","",IF(D580="","",D580))</f>
        <v/>
      </c>
      <c r="AL580" s="136" t="str">
        <f>IF(AH575="","",IF(E580="","",E580))</f>
        <v/>
      </c>
      <c r="AM580" s="136" t="str">
        <f>IF(AH575="","",IF(F580="","",F580))</f>
        <v/>
      </c>
      <c r="AN580" s="136" t="str">
        <f>IF(AH575="","",IF(G580="","",G580))</f>
        <v/>
      </c>
      <c r="AO580" s="136" t="str">
        <f>IF(AH575="","",IF(H580="","",H580))</f>
        <v/>
      </c>
      <c r="AP580" s="136" t="str">
        <f>IF(AH575="","",IF(I580="","",I580))</f>
        <v/>
      </c>
      <c r="AQ580" s="136" t="str">
        <f>IF(AH575="","",IF(J580="","",J580))</f>
        <v/>
      </c>
      <c r="AR580" s="136" t="str">
        <f>IF(AH575="","",IF(K580="","",K580))</f>
        <v/>
      </c>
      <c r="AS580" s="136" t="str">
        <f>IF(AH575="","",IF(L580="","",L580))</f>
        <v/>
      </c>
      <c r="AT580" s="136" t="str">
        <f>IF(AH575="","",IF(M580="","",M580))</f>
        <v/>
      </c>
      <c r="AU580" s="136" t="str">
        <f>IF(AH575="","",IF(N580="","",N580))</f>
        <v/>
      </c>
      <c r="AV580" s="136" t="str">
        <f>IF(AH575="","",IF(O580="","",O580))</f>
        <v/>
      </c>
      <c r="AX580" s="136" t="str">
        <f>IF(AI575="","",IF(B580="","",B580))</f>
        <v/>
      </c>
      <c r="AY580" s="136" t="str">
        <f>IF(AI575="","",IF(C580="","",C580))</f>
        <v/>
      </c>
      <c r="AZ580" s="136" t="str">
        <f>IF(AI575="","",IF(D580="","",D580))</f>
        <v/>
      </c>
      <c r="BA580" s="136" t="str">
        <f>IF(AI575="","",IF(E580="","",E580))</f>
        <v/>
      </c>
      <c r="BB580" s="136" t="str">
        <f>IF(AI575="","",IF(F580="","",F580))</f>
        <v/>
      </c>
      <c r="BC580" s="136" t="str">
        <f>IF(AI575="","",IF(G580="","",G580))</f>
        <v/>
      </c>
      <c r="BD580" s="136" t="str">
        <f>IF(AI575="","",IF(H580="","",H580))</f>
        <v/>
      </c>
      <c r="BE580" s="136" t="str">
        <f>IF(AI575="","",IF(I580="","",I580))</f>
        <v/>
      </c>
      <c r="BF580" s="136" t="str">
        <f>IF(AI575="","",IF(J580="","",J580))</f>
        <v/>
      </c>
      <c r="BG580" s="136" t="str">
        <f>IF(AI575="","",IF(K580="","",K580))</f>
        <v/>
      </c>
      <c r="BH580" s="136" t="str">
        <f>IF(AI575="","",IF(L580="","",L580))</f>
        <v/>
      </c>
      <c r="BI580" s="136" t="str">
        <f>IF(AI575="","",IF(M580="","",M580))</f>
        <v/>
      </c>
      <c r="BJ580" s="136" t="str">
        <f>IF(AI575="","",IF(N580="","",N580))</f>
        <v/>
      </c>
      <c r="BK580" s="136" t="str">
        <f>IF(AI575="","",IF(O580="","",O580))</f>
        <v/>
      </c>
      <c r="CA580" s="136">
        <f>'INFO BASE'!L650</f>
        <v>0</v>
      </c>
      <c r="CB580" s="136">
        <f>'INFO BASE'!M650</f>
        <v>0</v>
      </c>
      <c r="CR580" s="177">
        <f t="shared" ref="CR580:DB622" si="331">IF(B580="",1,B580)</f>
        <v>1</v>
      </c>
      <c r="CS580" s="177">
        <f t="shared" ref="CS580:CS626" si="332">IF(B580="PV",0,IFERROR(VLOOKUP(CONCATENATE(B580,C580),$DK$9:$DK$72,1,0),1))</f>
        <v>1</v>
      </c>
      <c r="CT580" s="177">
        <f t="shared" si="331"/>
        <v>1</v>
      </c>
      <c r="CU580" s="177">
        <f t="shared" ref="CU580:CU626" si="333">IF(D580="PV",0,IFERROR(VLOOKUP(CONCATENATE(D580,E580),$DK$9:$DK$72,1,0),1))</f>
        <v>1</v>
      </c>
      <c r="CV580" s="177">
        <f t="shared" si="331"/>
        <v>1</v>
      </c>
      <c r="CW580" s="177">
        <f t="shared" ref="CW580:CW626" si="334">IF(F580="PV",0,IFERROR(VLOOKUP(CONCATENATE(F580,G580),$DK$9:$DK$72,1,0),1))</f>
        <v>1</v>
      </c>
      <c r="CX580" s="177">
        <f t="shared" si="331"/>
        <v>1</v>
      </c>
      <c r="CY580" s="177">
        <f t="shared" ref="CY580:CY626" si="335">IF(H580="PV",0,IFERROR(VLOOKUP(CONCATENATE(H580,I580),$DK$9:$DK$72,1,0),1))</f>
        <v>1</v>
      </c>
      <c r="CZ580" s="177">
        <f t="shared" si="331"/>
        <v>1</v>
      </c>
      <c r="DA580" s="177">
        <f t="shared" ref="DA580:DA626" si="336">IF(J580="PV",0,IFERROR(VLOOKUP(CONCATENATE(J580,K580),$DK$9:$DK$72,1,0),1))</f>
        <v>1</v>
      </c>
      <c r="DB580" s="177">
        <f t="shared" si="331"/>
        <v>1</v>
      </c>
      <c r="DC580" s="177">
        <f t="shared" ref="DC580:DC626" si="337">IF(L580="PV",0,IFERROR(VLOOKUP(CONCATENATE(L580,M580),$DK$9:$DK$72,1,0),1))</f>
        <v>1</v>
      </c>
      <c r="DD580" s="177">
        <f t="shared" ref="DD580:DD626" si="338">IF(N580="",1,N580)</f>
        <v>1</v>
      </c>
      <c r="DE580" s="177">
        <f t="shared" ref="DE580:DE626" si="339">IF(N580="PV",0,IFERROR(VLOOKUP(CONCATENATE(N580,O580),$DK$9:$DK$72,1,0),1))</f>
        <v>1</v>
      </c>
    </row>
    <row r="581" spans="1:109" ht="18" customHeight="1" x14ac:dyDescent="0.3">
      <c r="A581" s="81">
        <v>4.1666666666667997E-2</v>
      </c>
      <c r="B581" s="153"/>
      <c r="C581" s="130"/>
      <c r="D581" s="135"/>
      <c r="E581" s="130"/>
      <c r="F581" s="135"/>
      <c r="G581" s="130"/>
      <c r="H581" s="135"/>
      <c r="I581" s="130"/>
      <c r="J581" s="135"/>
      <c r="K581" s="130"/>
      <c r="L581" s="135"/>
      <c r="M581" s="130"/>
      <c r="N581" s="135"/>
      <c r="O581" s="154"/>
      <c r="Q581" s="284"/>
      <c r="R581" s="285"/>
      <c r="S581" s="285"/>
      <c r="T581" s="285"/>
      <c r="U581" s="285"/>
      <c r="V581" s="285"/>
      <c r="W581" s="286"/>
      <c r="X581" s="199">
        <v>1</v>
      </c>
      <c r="Y581" s="262" t="str">
        <f t="array" ref="Y581">IF(ISERROR(INDEX($CA$2:$CB$200,SMALL(IF($CA$2:$CA$200=$A$574,ROW($CA$2:$CA$200)),ROW(3:3))-1,2)),"",INDEX($CA$2:$CB$200,SMALL(IF($CA$2:$CA$200=$A$574,ROW($CA$2:$CA$200)),ROW(3:3))-1,2))</f>
        <v/>
      </c>
      <c r="Z581" s="263"/>
      <c r="AA581" s="263"/>
      <c r="AB581" s="263"/>
      <c r="AC581" s="263"/>
      <c r="AD581" s="263"/>
      <c r="AE581" s="263"/>
      <c r="AF581" s="264"/>
      <c r="AH581" s="136">
        <v>4.1666666666667997E-2</v>
      </c>
      <c r="AI581" s="136" t="str">
        <f>IF(AH575="","",IF(B581="","",B581))</f>
        <v/>
      </c>
      <c r="AJ581" s="136" t="str">
        <f>IF(AH575="","",IF(C581="","",C581))</f>
        <v/>
      </c>
      <c r="AK581" s="136" t="str">
        <f>IF(AH575="","",IF(D581="","",D581))</f>
        <v/>
      </c>
      <c r="AL581" s="136" t="str">
        <f>IF(AH575="","",IF(E581="","",E581))</f>
        <v/>
      </c>
      <c r="AM581" s="136" t="str">
        <f>IF(AH575="","",IF(F581="","",F581))</f>
        <v/>
      </c>
      <c r="AN581" s="136" t="str">
        <f>IF(AH575="","",IF(G581="","",G581))</f>
        <v/>
      </c>
      <c r="AO581" s="136" t="str">
        <f>IF(AH575="","",IF(H581="","",H581))</f>
        <v/>
      </c>
      <c r="AP581" s="136" t="str">
        <f>IF(AH575="","",IF(I581="","",I581))</f>
        <v/>
      </c>
      <c r="AQ581" s="136" t="str">
        <f>IF(AH575="","",IF(J581="","",J581))</f>
        <v/>
      </c>
      <c r="AR581" s="136" t="str">
        <f>IF(AH575="","",IF(K581="","",K581))</f>
        <v/>
      </c>
      <c r="AS581" s="136" t="str">
        <f>IF(AH575="","",IF(L581="","",L581))</f>
        <v/>
      </c>
      <c r="AT581" s="136" t="str">
        <f>IF(AH575="","",IF(M581="","",M581))</f>
        <v/>
      </c>
      <c r="AU581" s="136" t="str">
        <f>IF(AH575="","",IF(N581="","",N581))</f>
        <v/>
      </c>
      <c r="AV581" s="136" t="str">
        <f>IF(AH575="","",IF(O581="","",O581))</f>
        <v/>
      </c>
      <c r="AX581" s="136" t="str">
        <f>IF(AI575="","",IF(B581="","",B581))</f>
        <v/>
      </c>
      <c r="AY581" s="136" t="str">
        <f>IF(AI575="","",IF(C581="","",C581))</f>
        <v/>
      </c>
      <c r="AZ581" s="136" t="str">
        <f>IF(AI575="","",IF(D581="","",D581))</f>
        <v/>
      </c>
      <c r="BA581" s="136" t="str">
        <f>IF(AI575="","",IF(E581="","",E581))</f>
        <v/>
      </c>
      <c r="BB581" s="136" t="str">
        <f>IF(AI575="","",IF(F581="","",F581))</f>
        <v/>
      </c>
      <c r="BC581" s="136" t="str">
        <f>IF(AI575="","",IF(G581="","",G581))</f>
        <v/>
      </c>
      <c r="BD581" s="136" t="str">
        <f>IF(AI575="","",IF(H581="","",H581))</f>
        <v/>
      </c>
      <c r="BE581" s="136" t="str">
        <f>IF(AI575="","",IF(I581="","",I581))</f>
        <v/>
      </c>
      <c r="BF581" s="136" t="str">
        <f>IF(AI575="","",IF(J581="","",J581))</f>
        <v/>
      </c>
      <c r="BG581" s="136" t="str">
        <f>IF(AI575="","",IF(K581="","",K581))</f>
        <v/>
      </c>
      <c r="BH581" s="136" t="str">
        <f>IF(AI575="","",IF(L581="","",L581))</f>
        <v/>
      </c>
      <c r="BI581" s="136" t="str">
        <f>IF(AI575="","",IF(M581="","",M581))</f>
        <v/>
      </c>
      <c r="BJ581" s="136" t="str">
        <f>IF(AI575="","",IF(N581="","",N581))</f>
        <v/>
      </c>
      <c r="BK581" s="136" t="str">
        <f>IF(AI575="","",IF(O581="","",O581))</f>
        <v/>
      </c>
      <c r="CA581" s="136">
        <f>'INFO BASE'!L651</f>
        <v>0</v>
      </c>
      <c r="CB581" s="136">
        <f>'INFO BASE'!M651</f>
        <v>0</v>
      </c>
      <c r="CR581" s="177">
        <f t="shared" si="331"/>
        <v>1</v>
      </c>
      <c r="CS581" s="177">
        <f t="shared" si="332"/>
        <v>1</v>
      </c>
      <c r="CT581" s="177">
        <f t="shared" si="331"/>
        <v>1</v>
      </c>
      <c r="CU581" s="177">
        <f t="shared" si="333"/>
        <v>1</v>
      </c>
      <c r="CV581" s="177">
        <f t="shared" si="331"/>
        <v>1</v>
      </c>
      <c r="CW581" s="177">
        <f t="shared" si="334"/>
        <v>1</v>
      </c>
      <c r="CX581" s="177">
        <f t="shared" si="331"/>
        <v>1</v>
      </c>
      <c r="CY581" s="177">
        <f t="shared" si="335"/>
        <v>1</v>
      </c>
      <c r="CZ581" s="177">
        <f t="shared" si="331"/>
        <v>1</v>
      </c>
      <c r="DA581" s="177">
        <f t="shared" si="336"/>
        <v>1</v>
      </c>
      <c r="DB581" s="177">
        <f t="shared" si="331"/>
        <v>1</v>
      </c>
      <c r="DC581" s="177">
        <f t="shared" si="337"/>
        <v>1</v>
      </c>
      <c r="DD581" s="177">
        <f t="shared" si="338"/>
        <v>1</v>
      </c>
      <c r="DE581" s="177">
        <f t="shared" si="339"/>
        <v>1</v>
      </c>
    </row>
    <row r="582" spans="1:109" ht="18" customHeight="1" x14ac:dyDescent="0.3">
      <c r="A582" s="81">
        <v>6.2500000000001998E-2</v>
      </c>
      <c r="B582" s="153"/>
      <c r="C582" s="130"/>
      <c r="D582" s="135"/>
      <c r="E582" s="130"/>
      <c r="F582" s="135"/>
      <c r="G582" s="130"/>
      <c r="H582" s="135"/>
      <c r="I582" s="130"/>
      <c r="J582" s="135"/>
      <c r="K582" s="130"/>
      <c r="L582" s="135"/>
      <c r="M582" s="130"/>
      <c r="N582" s="135"/>
      <c r="O582" s="154"/>
      <c r="Q582" s="284"/>
      <c r="R582" s="285"/>
      <c r="S582" s="285"/>
      <c r="T582" s="285"/>
      <c r="U582" s="285"/>
      <c r="V582" s="285"/>
      <c r="W582" s="286"/>
      <c r="X582" s="199">
        <v>1</v>
      </c>
      <c r="Y582" s="262" t="str">
        <f t="array" ref="Y582">IF(ISERROR(INDEX($CA$2:$CB$200,SMALL(IF($CA$2:$CA$200=$A$574,ROW($CA$2:$CA$200)),ROW(4:4))-1,2)),"",INDEX($CA$2:$CB$200,SMALL(IF($CA$2:$CA$200=$A$574,ROW($CA$2:$CA$200)),ROW(4:4))-1,2))</f>
        <v/>
      </c>
      <c r="Z582" s="263"/>
      <c r="AA582" s="263"/>
      <c r="AB582" s="263"/>
      <c r="AC582" s="263"/>
      <c r="AD582" s="263"/>
      <c r="AE582" s="263"/>
      <c r="AF582" s="264"/>
      <c r="AH582" s="136">
        <v>6.2500000000001998E-2</v>
      </c>
      <c r="AI582" s="136" t="str">
        <f>IF(AH575="","",IF(B582="","",B582))</f>
        <v/>
      </c>
      <c r="AJ582" s="136" t="str">
        <f>IF(AH575="","",IF(C582="","",C582))</f>
        <v/>
      </c>
      <c r="AK582" s="136" t="str">
        <f>IF(AH575="","",IF(D582="","",D582))</f>
        <v/>
      </c>
      <c r="AL582" s="136" t="str">
        <f>IF(AH575="","",IF(E582="","",E582))</f>
        <v/>
      </c>
      <c r="AM582" s="136" t="str">
        <f>IF(AH575="","",IF(F582="","",F582))</f>
        <v/>
      </c>
      <c r="AN582" s="136" t="str">
        <f>IF(AH575="","",IF(G582="","",G582))</f>
        <v/>
      </c>
      <c r="AO582" s="136" t="str">
        <f>IF(AH575="","",IF(H582="","",H582))</f>
        <v/>
      </c>
      <c r="AP582" s="136" t="str">
        <f>IF(AH575="","",IF(I582="","",I582))</f>
        <v/>
      </c>
      <c r="AQ582" s="136" t="str">
        <f>IF(AH575="","",IF(J582="","",J582))</f>
        <v/>
      </c>
      <c r="AR582" s="136" t="str">
        <f>IF(AH575="","",IF(K582="","",K582))</f>
        <v/>
      </c>
      <c r="AS582" s="136" t="str">
        <f>IF(AH575="","",IF(L582="","",L582))</f>
        <v/>
      </c>
      <c r="AT582" s="136" t="str">
        <f>IF(AH575="","",IF(M582="","",M582))</f>
        <v/>
      </c>
      <c r="AU582" s="136" t="str">
        <f>IF(AH575="","",IF(N582="","",N582))</f>
        <v/>
      </c>
      <c r="AV582" s="136" t="str">
        <f>IF(AH575="","",IF(O582="","",O582))</f>
        <v/>
      </c>
      <c r="AX582" s="136" t="str">
        <f>IF(AI575="","",IF(B582="","",B582))</f>
        <v/>
      </c>
      <c r="AY582" s="136" t="str">
        <f>IF(AI575="","",IF(C582="","",C582))</f>
        <v/>
      </c>
      <c r="AZ582" s="136" t="str">
        <f>IF(AI575="","",IF(D582="","",D582))</f>
        <v/>
      </c>
      <c r="BA582" s="136" t="str">
        <f>IF(AI575="","",IF(E582="","",E582))</f>
        <v/>
      </c>
      <c r="BB582" s="136" t="str">
        <f>IF(AI575="","",IF(F582="","",F582))</f>
        <v/>
      </c>
      <c r="BC582" s="136" t="str">
        <f>IF(AI575="","",IF(G582="","",G582))</f>
        <v/>
      </c>
      <c r="BD582" s="136" t="str">
        <f>IF(AI575="","",IF(H582="","",H582))</f>
        <v/>
      </c>
      <c r="BE582" s="136" t="str">
        <f>IF(AI575="","",IF(I582="","",I582))</f>
        <v/>
      </c>
      <c r="BF582" s="136" t="str">
        <f>IF(AI575="","",IF(J582="","",J582))</f>
        <v/>
      </c>
      <c r="BG582" s="136" t="str">
        <f>IF(AI575="","",IF(K582="","",K582))</f>
        <v/>
      </c>
      <c r="BH582" s="136" t="str">
        <f>IF(AI575="","",IF(L582="","",L582))</f>
        <v/>
      </c>
      <c r="BI582" s="136" t="str">
        <f>IF(AI575="","",IF(M582="","",M582))</f>
        <v/>
      </c>
      <c r="BJ582" s="136" t="str">
        <f>IF(AI575="","",IF(N582="","",N582))</f>
        <v/>
      </c>
      <c r="BK582" s="136" t="str">
        <f>IF(AI575="","",IF(O582="","",O582))</f>
        <v/>
      </c>
      <c r="CA582" s="136">
        <f>'INFO BASE'!L652</f>
        <v>0</v>
      </c>
      <c r="CB582" s="136">
        <f>'INFO BASE'!M652</f>
        <v>0</v>
      </c>
      <c r="CR582" s="177">
        <f t="shared" si="331"/>
        <v>1</v>
      </c>
      <c r="CS582" s="177">
        <f t="shared" si="332"/>
        <v>1</v>
      </c>
      <c r="CT582" s="177">
        <f t="shared" si="331"/>
        <v>1</v>
      </c>
      <c r="CU582" s="177">
        <f t="shared" si="333"/>
        <v>1</v>
      </c>
      <c r="CV582" s="177">
        <f t="shared" si="331"/>
        <v>1</v>
      </c>
      <c r="CW582" s="177">
        <f t="shared" si="334"/>
        <v>1</v>
      </c>
      <c r="CX582" s="177">
        <f t="shared" si="331"/>
        <v>1</v>
      </c>
      <c r="CY582" s="177">
        <f t="shared" si="335"/>
        <v>1</v>
      </c>
      <c r="CZ582" s="177">
        <f t="shared" si="331"/>
        <v>1</v>
      </c>
      <c r="DA582" s="177">
        <f t="shared" si="336"/>
        <v>1</v>
      </c>
      <c r="DB582" s="177">
        <f t="shared" si="331"/>
        <v>1</v>
      </c>
      <c r="DC582" s="177">
        <f t="shared" si="337"/>
        <v>1</v>
      </c>
      <c r="DD582" s="177">
        <f t="shared" si="338"/>
        <v>1</v>
      </c>
      <c r="DE582" s="177">
        <f t="shared" si="339"/>
        <v>1</v>
      </c>
    </row>
    <row r="583" spans="1:109" ht="18" customHeight="1" x14ac:dyDescent="0.3">
      <c r="A583" s="81">
        <v>8.3333333333335993E-2</v>
      </c>
      <c r="B583" s="153"/>
      <c r="C583" s="130"/>
      <c r="D583" s="135"/>
      <c r="E583" s="130"/>
      <c r="F583" s="135"/>
      <c r="G583" s="130"/>
      <c r="H583" s="135"/>
      <c r="I583" s="130"/>
      <c r="J583" s="135"/>
      <c r="K583" s="130"/>
      <c r="L583" s="135"/>
      <c r="M583" s="130"/>
      <c r="N583" s="135"/>
      <c r="O583" s="154"/>
      <c r="Q583" s="284"/>
      <c r="R583" s="285"/>
      <c r="S583" s="285"/>
      <c r="T583" s="285"/>
      <c r="U583" s="285"/>
      <c r="V583" s="285"/>
      <c r="W583" s="286"/>
      <c r="X583" s="199">
        <v>1</v>
      </c>
      <c r="Y583" s="262" t="str">
        <f t="array" ref="Y583">IF(ISERROR(INDEX($CA$2:$CB$200,SMALL(IF($CA$2:$CA$200=$A$574,ROW($CA$2:$CA$200)),ROW(5:5))-1,2)),"",INDEX($CA$2:$CB$200,SMALL(IF($CA$2:$CA$200=$A$574,ROW($CA$2:$CA$200)),ROW(5:5))-1,2))</f>
        <v/>
      </c>
      <c r="Z583" s="263"/>
      <c r="AA583" s="263"/>
      <c r="AB583" s="263"/>
      <c r="AC583" s="263"/>
      <c r="AD583" s="263"/>
      <c r="AE583" s="263"/>
      <c r="AF583" s="264"/>
      <c r="AH583" s="136">
        <v>8.3333333333335993E-2</v>
      </c>
      <c r="AI583" s="136" t="str">
        <f>IF(AH575="","",IF(B583="","",B583))</f>
        <v/>
      </c>
      <c r="AJ583" s="136" t="str">
        <f>IF(AH575="","",IF(C583="","",C583))</f>
        <v/>
      </c>
      <c r="AK583" s="136" t="str">
        <f>IF(AH575="","",IF(D583="","",D583))</f>
        <v/>
      </c>
      <c r="AL583" s="136" t="str">
        <f>IF(AH575="","",IF(E583="","",E583))</f>
        <v/>
      </c>
      <c r="AM583" s="136" t="str">
        <f>IF(AH575="","",IF(F583="","",F583))</f>
        <v/>
      </c>
      <c r="AN583" s="136" t="str">
        <f>IF(AH575="","",IF(G583="","",G583))</f>
        <v/>
      </c>
      <c r="AO583" s="136" t="str">
        <f>IF(AH575="","",IF(H583="","",H583))</f>
        <v/>
      </c>
      <c r="AP583" s="136" t="str">
        <f>IF(AH575="","",IF(I583="","",I583))</f>
        <v/>
      </c>
      <c r="AQ583" s="136" t="str">
        <f>IF(AH575="","",IF(J583="","",J583))</f>
        <v/>
      </c>
      <c r="AR583" s="136" t="str">
        <f>IF(AH575="","",IF(K583="","",K583))</f>
        <v/>
      </c>
      <c r="AS583" s="136" t="str">
        <f>IF(AH575="","",IF(L583="","",L583))</f>
        <v/>
      </c>
      <c r="AT583" s="136" t="str">
        <f>IF(AH575="","",IF(M583="","",M583))</f>
        <v/>
      </c>
      <c r="AU583" s="136" t="str">
        <f>IF(AH575="","",IF(N583="","",N583))</f>
        <v/>
      </c>
      <c r="AV583" s="136" t="str">
        <f>IF(AH575="","",IF(O583="","",O583))</f>
        <v/>
      </c>
      <c r="AX583" s="136" t="str">
        <f>IF(AI575="","",IF(B583="","",B583))</f>
        <v/>
      </c>
      <c r="AY583" s="136" t="str">
        <f>IF(AI575="","",IF(C583="","",C583))</f>
        <v/>
      </c>
      <c r="AZ583" s="136" t="str">
        <f>IF(AI575="","",IF(D583="","",D583))</f>
        <v/>
      </c>
      <c r="BA583" s="136" t="str">
        <f>IF(AI575="","",IF(E583="","",E583))</f>
        <v/>
      </c>
      <c r="BB583" s="136" t="str">
        <f>IF(AI575="","",IF(F583="","",F583))</f>
        <v/>
      </c>
      <c r="BC583" s="136" t="str">
        <f>IF(AI575="","",IF(G583="","",G583))</f>
        <v/>
      </c>
      <c r="BD583" s="136" t="str">
        <f>IF(AI575="","",IF(H583="","",H583))</f>
        <v/>
      </c>
      <c r="BE583" s="136" t="str">
        <f>IF(AI575="","",IF(I583="","",I583))</f>
        <v/>
      </c>
      <c r="BF583" s="136" t="str">
        <f>IF(AI575="","",IF(J583="","",J583))</f>
        <v/>
      </c>
      <c r="BG583" s="136" t="str">
        <f>IF(AI575="","",IF(K583="","",K583))</f>
        <v/>
      </c>
      <c r="BH583" s="136" t="str">
        <f>IF(AI575="","",IF(L583="","",L583))</f>
        <v/>
      </c>
      <c r="BI583" s="136" t="str">
        <f>IF(AI575="","",IF(M583="","",M583))</f>
        <v/>
      </c>
      <c r="BJ583" s="136" t="str">
        <f>IF(AI575="","",IF(N583="","",N583))</f>
        <v/>
      </c>
      <c r="BK583" s="136" t="str">
        <f>IF(AI575="","",IF(O583="","",O583))</f>
        <v/>
      </c>
      <c r="CA583" s="136">
        <f>'INFO BASE'!L653</f>
        <v>0</v>
      </c>
      <c r="CB583" s="136">
        <f>'INFO BASE'!M653</f>
        <v>0</v>
      </c>
      <c r="CD583" s="136" t="str">
        <f t="shared" ref="CD583:CD588" si="340">R591</f>
        <v>FP</v>
      </c>
      <c r="CR583" s="177">
        <f t="shared" si="331"/>
        <v>1</v>
      </c>
      <c r="CS583" s="177">
        <f t="shared" si="332"/>
        <v>1</v>
      </c>
      <c r="CT583" s="177">
        <f t="shared" si="331"/>
        <v>1</v>
      </c>
      <c r="CU583" s="177">
        <f t="shared" si="333"/>
        <v>1</v>
      </c>
      <c r="CV583" s="177">
        <f t="shared" si="331"/>
        <v>1</v>
      </c>
      <c r="CW583" s="177">
        <f t="shared" si="334"/>
        <v>1</v>
      </c>
      <c r="CX583" s="177">
        <f t="shared" si="331"/>
        <v>1</v>
      </c>
      <c r="CY583" s="177">
        <f t="shared" si="335"/>
        <v>1</v>
      </c>
      <c r="CZ583" s="177">
        <f t="shared" si="331"/>
        <v>1</v>
      </c>
      <c r="DA583" s="177">
        <f t="shared" si="336"/>
        <v>1</v>
      </c>
      <c r="DB583" s="177">
        <f t="shared" si="331"/>
        <v>1</v>
      </c>
      <c r="DC583" s="177">
        <f t="shared" si="337"/>
        <v>1</v>
      </c>
      <c r="DD583" s="177">
        <f t="shared" si="338"/>
        <v>1</v>
      </c>
      <c r="DE583" s="177">
        <f t="shared" si="339"/>
        <v>1</v>
      </c>
    </row>
    <row r="584" spans="1:109" ht="18" customHeight="1" x14ac:dyDescent="0.3">
      <c r="A584" s="81">
        <v>0.10416666666667</v>
      </c>
      <c r="B584" s="153"/>
      <c r="C584" s="130"/>
      <c r="D584" s="135"/>
      <c r="E584" s="130"/>
      <c r="F584" s="135"/>
      <c r="G584" s="130"/>
      <c r="H584" s="135"/>
      <c r="I584" s="130"/>
      <c r="J584" s="135"/>
      <c r="K584" s="130"/>
      <c r="L584" s="135"/>
      <c r="M584" s="130"/>
      <c r="N584" s="135"/>
      <c r="O584" s="154"/>
      <c r="Q584" s="284"/>
      <c r="R584" s="285"/>
      <c r="S584" s="285"/>
      <c r="T584" s="285"/>
      <c r="U584" s="285"/>
      <c r="V584" s="285"/>
      <c r="W584" s="286"/>
      <c r="X584" s="199">
        <v>1</v>
      </c>
      <c r="Y584" s="262" t="str">
        <f t="array" ref="Y584">IF(ISERROR(INDEX($CA$2:$CB$200,SMALL(IF($CA$2:$CA$200=$A$574,ROW($CA$2:$CA$200)),ROW(6:6))-1,2)),"",INDEX($CA$2:$CB$200,SMALL(IF($CA$2:$CA$200=$A$574,ROW($CA$2:$CA$200)),ROW(6:6))-1,2))</f>
        <v/>
      </c>
      <c r="Z584" s="263"/>
      <c r="AA584" s="263"/>
      <c r="AB584" s="263"/>
      <c r="AC584" s="263"/>
      <c r="AD584" s="263"/>
      <c r="AE584" s="263"/>
      <c r="AF584" s="264"/>
      <c r="AH584" s="136">
        <v>0.10416666666667</v>
      </c>
      <c r="AI584" s="136" t="str">
        <f>IF(AH575="","",IF(B584="","",B584))</f>
        <v/>
      </c>
      <c r="AJ584" s="136" t="str">
        <f>IF(AH575="","",IF(C584="","",C584))</f>
        <v/>
      </c>
      <c r="AK584" s="136" t="str">
        <f>IF(AH575="","",IF(D584="","",D584))</f>
        <v/>
      </c>
      <c r="AL584" s="136" t="str">
        <f>IF(AH575="","",IF(E584="","",E584))</f>
        <v/>
      </c>
      <c r="AM584" s="136" t="str">
        <f>IF(AH575="","",IF(F584="","",F584))</f>
        <v/>
      </c>
      <c r="AN584" s="136" t="str">
        <f>IF(AH575="","",IF(G584="","",G584))</f>
        <v/>
      </c>
      <c r="AO584" s="136" t="str">
        <f>IF(AH575="","",IF(H584="","",H584))</f>
        <v/>
      </c>
      <c r="AP584" s="136" t="str">
        <f>IF(AH575="","",IF(I584="","",I584))</f>
        <v/>
      </c>
      <c r="AQ584" s="136" t="str">
        <f>IF(AH575="","",IF(J584="","",J584))</f>
        <v/>
      </c>
      <c r="AR584" s="136" t="str">
        <f>IF(AH575="","",IF(K584="","",K584))</f>
        <v/>
      </c>
      <c r="AS584" s="136" t="str">
        <f>IF(AH575="","",IF(L584="","",L584))</f>
        <v/>
      </c>
      <c r="AT584" s="136" t="str">
        <f>IF(AH575="","",IF(M584="","",M584))</f>
        <v/>
      </c>
      <c r="AU584" s="136" t="str">
        <f>IF(AH575="","",IF(N584="","",N584))</f>
        <v/>
      </c>
      <c r="AV584" s="136" t="str">
        <f>IF(AH575="","",IF(O584="","",O584))</f>
        <v/>
      </c>
      <c r="AX584" s="136" t="str">
        <f>IF(AI575="","",IF(B584="","",B584))</f>
        <v/>
      </c>
      <c r="AY584" s="136" t="str">
        <f>IF(AI575="","",IF(C584="","",C584))</f>
        <v/>
      </c>
      <c r="AZ584" s="136" t="str">
        <f>IF(AI575="","",IF(D584="","",D584))</f>
        <v/>
      </c>
      <c r="BA584" s="136" t="str">
        <f>IF(AI575="","",IF(E584="","",E584))</f>
        <v/>
      </c>
      <c r="BB584" s="136" t="str">
        <f>IF(AI575="","",IF(F584="","",F584))</f>
        <v/>
      </c>
      <c r="BC584" s="136" t="str">
        <f>IF(AI575="","",IF(G584="","",G584))</f>
        <v/>
      </c>
      <c r="BD584" s="136" t="str">
        <f>IF(AI575="","",IF(H584="","",H584))</f>
        <v/>
      </c>
      <c r="BE584" s="136" t="str">
        <f>IF(AI575="","",IF(I584="","",I584))</f>
        <v/>
      </c>
      <c r="BF584" s="136" t="str">
        <f>IF(AI575="","",IF(J584="","",J584))</f>
        <v/>
      </c>
      <c r="BG584" s="136" t="str">
        <f>IF(AI575="","",IF(K584="","",K584))</f>
        <v/>
      </c>
      <c r="BH584" s="136" t="str">
        <f>IF(AI575="","",IF(L584="","",L584))</f>
        <v/>
      </c>
      <c r="BI584" s="136" t="str">
        <f>IF(AI575="","",IF(M584="","",M584))</f>
        <v/>
      </c>
      <c r="BJ584" s="136" t="str">
        <f>IF(AI575="","",IF(N584="","",N584))</f>
        <v/>
      </c>
      <c r="BK584" s="136" t="str">
        <f>IF(AI575="","",IF(O584="","",O584))</f>
        <v/>
      </c>
      <c r="CA584" s="136">
        <f>'INFO BASE'!L664</f>
        <v>0</v>
      </c>
      <c r="CB584" s="136">
        <f>'INFO BASE'!M664</f>
        <v>0</v>
      </c>
      <c r="CD584" s="136" t="str">
        <f t="shared" si="340"/>
        <v>IEI</v>
      </c>
      <c r="CR584" s="177">
        <f t="shared" si="331"/>
        <v>1</v>
      </c>
      <c r="CS584" s="177">
        <f t="shared" si="332"/>
        <v>1</v>
      </c>
      <c r="CT584" s="177">
        <f t="shared" si="331"/>
        <v>1</v>
      </c>
      <c r="CU584" s="177">
        <f t="shared" si="333"/>
        <v>1</v>
      </c>
      <c r="CV584" s="177">
        <f t="shared" si="331"/>
        <v>1</v>
      </c>
      <c r="CW584" s="177">
        <f t="shared" si="334"/>
        <v>1</v>
      </c>
      <c r="CX584" s="177">
        <f t="shared" si="331"/>
        <v>1</v>
      </c>
      <c r="CY584" s="177">
        <f t="shared" si="335"/>
        <v>1</v>
      </c>
      <c r="CZ584" s="177">
        <f t="shared" si="331"/>
        <v>1</v>
      </c>
      <c r="DA584" s="177">
        <f t="shared" si="336"/>
        <v>1</v>
      </c>
      <c r="DB584" s="177">
        <f t="shared" si="331"/>
        <v>1</v>
      </c>
      <c r="DC584" s="177">
        <f t="shared" si="337"/>
        <v>1</v>
      </c>
      <c r="DD584" s="177">
        <f t="shared" si="338"/>
        <v>1</v>
      </c>
      <c r="DE584" s="177">
        <f t="shared" si="339"/>
        <v>1</v>
      </c>
    </row>
    <row r="585" spans="1:109" ht="18" customHeight="1" x14ac:dyDescent="0.3">
      <c r="A585" s="81">
        <v>0.125000000000004</v>
      </c>
      <c r="B585" s="153"/>
      <c r="C585" s="130"/>
      <c r="D585" s="135"/>
      <c r="E585" s="130"/>
      <c r="F585" s="135"/>
      <c r="G585" s="130"/>
      <c r="H585" s="135"/>
      <c r="I585" s="130"/>
      <c r="J585" s="135"/>
      <c r="K585" s="130"/>
      <c r="L585" s="135"/>
      <c r="M585" s="130"/>
      <c r="N585" s="135"/>
      <c r="O585" s="154"/>
      <c r="Q585" s="284"/>
      <c r="R585" s="285"/>
      <c r="S585" s="285"/>
      <c r="T585" s="285"/>
      <c r="U585" s="285"/>
      <c r="V585" s="285"/>
      <c r="W585" s="286"/>
      <c r="X585" s="199">
        <v>1</v>
      </c>
      <c r="Y585" s="262" t="str">
        <f t="array" ref="Y585">IF(ISERROR(INDEX($CA$2:$CB$200,SMALL(IF($CA$2:$CA$200=$A$574,ROW($CA$2:$CA$200)),ROW(7:7))-1,2)),"",INDEX($CA$2:$CB$200,SMALL(IF($CA$2:$CA$200=$A$574,ROW($CA$2:$CA$200)),ROW(7:7))-1,2))</f>
        <v/>
      </c>
      <c r="Z585" s="263"/>
      <c r="AA585" s="263"/>
      <c r="AB585" s="263"/>
      <c r="AC585" s="263"/>
      <c r="AD585" s="263"/>
      <c r="AE585" s="263"/>
      <c r="AF585" s="264"/>
      <c r="AH585" s="136">
        <v>0.125000000000004</v>
      </c>
      <c r="AI585" s="136" t="str">
        <f>IF(AH575="","",IF(B585="","",B585))</f>
        <v/>
      </c>
      <c r="AJ585" s="136" t="str">
        <f>IF(AH575="","",IF(C585="","",C585))</f>
        <v/>
      </c>
      <c r="AK585" s="136" t="str">
        <f>IF(AH575="","",IF(D585="","",D585))</f>
        <v/>
      </c>
      <c r="AL585" s="136" t="str">
        <f>IF(AH575="","",IF(E585="","",E585))</f>
        <v/>
      </c>
      <c r="AM585" s="136" t="str">
        <f>IF(AH575="","",IF(F585="","",F585))</f>
        <v/>
      </c>
      <c r="AN585" s="136" t="str">
        <f>IF(AH575="","",IF(G585="","",G585))</f>
        <v/>
      </c>
      <c r="AO585" s="136" t="str">
        <f>IF(AH575="","",IF(H585="","",H585))</f>
        <v/>
      </c>
      <c r="AP585" s="136" t="str">
        <f>IF(AH575="","",IF(I585="","",I585))</f>
        <v/>
      </c>
      <c r="AQ585" s="136" t="str">
        <f>IF(AH575="","",IF(J585="","",J585))</f>
        <v/>
      </c>
      <c r="AR585" s="136" t="str">
        <f>IF(AH575="","",IF(K585="","",K585))</f>
        <v/>
      </c>
      <c r="AS585" s="136" t="str">
        <f>IF(AH575="","",IF(L585="","",L585))</f>
        <v/>
      </c>
      <c r="AT585" s="136" t="str">
        <f>IF(AH575="","",IF(M585="","",M585))</f>
        <v/>
      </c>
      <c r="AU585" s="136" t="str">
        <f>IF(AH575="","",IF(N585="","",N585))</f>
        <v/>
      </c>
      <c r="AV585" s="136" t="str">
        <f>IF(AH575="","",IF(O585="","",O585))</f>
        <v/>
      </c>
      <c r="AX585" s="136" t="str">
        <f>IF(AI575="","",IF(B585="","",B585))</f>
        <v/>
      </c>
      <c r="AY585" s="136" t="str">
        <f>IF(AI575="","",IF(C585="","",C585))</f>
        <v/>
      </c>
      <c r="AZ585" s="136" t="str">
        <f>IF(AI575="","",IF(D585="","",D585))</f>
        <v/>
      </c>
      <c r="BA585" s="136" t="str">
        <f>IF(AI575="","",IF(E585="","",E585))</f>
        <v/>
      </c>
      <c r="BB585" s="136" t="str">
        <f>IF(AI575="","",IF(F585="","",F585))</f>
        <v/>
      </c>
      <c r="BC585" s="136" t="str">
        <f>IF(AI575="","",IF(G585="","",G585))</f>
        <v/>
      </c>
      <c r="BD585" s="136" t="str">
        <f>IF(AI575="","",IF(H585="","",H585))</f>
        <v/>
      </c>
      <c r="BE585" s="136" t="str">
        <f>IF(AI575="","",IF(I585="","",I585))</f>
        <v/>
      </c>
      <c r="BF585" s="136" t="str">
        <f>IF(AI575="","",IF(J585="","",J585))</f>
        <v/>
      </c>
      <c r="BG585" s="136" t="str">
        <f>IF(AI575="","",IF(K585="","",K585))</f>
        <v/>
      </c>
      <c r="BH585" s="136" t="str">
        <f>IF(AI575="","",IF(L585="","",L585))</f>
        <v/>
      </c>
      <c r="BI585" s="136" t="str">
        <f>IF(AI575="","",IF(M585="","",M585))</f>
        <v/>
      </c>
      <c r="BJ585" s="136" t="str">
        <f>IF(AI575="","",IF(N585="","",N585))</f>
        <v/>
      </c>
      <c r="BK585" s="136" t="str">
        <f>IF(AI575="","",IF(O585="","",O585))</f>
        <v/>
      </c>
      <c r="CA585" s="136">
        <f>'INFO BASE'!L665</f>
        <v>0</v>
      </c>
      <c r="CB585" s="136">
        <f>'INFO BASE'!M665</f>
        <v>0</v>
      </c>
      <c r="CD585" s="136" t="str">
        <f t="shared" si="340"/>
        <v>IAC</v>
      </c>
      <c r="CR585" s="177">
        <f t="shared" si="331"/>
        <v>1</v>
      </c>
      <c r="CS585" s="177">
        <f t="shared" si="332"/>
        <v>1</v>
      </c>
      <c r="CT585" s="177">
        <f t="shared" si="331"/>
        <v>1</v>
      </c>
      <c r="CU585" s="177">
        <f t="shared" si="333"/>
        <v>1</v>
      </c>
      <c r="CV585" s="177">
        <f t="shared" si="331"/>
        <v>1</v>
      </c>
      <c r="CW585" s="177">
        <f t="shared" si="334"/>
        <v>1</v>
      </c>
      <c r="CX585" s="177">
        <f t="shared" si="331"/>
        <v>1</v>
      </c>
      <c r="CY585" s="177">
        <f t="shared" si="335"/>
        <v>1</v>
      </c>
      <c r="CZ585" s="177">
        <f t="shared" si="331"/>
        <v>1</v>
      </c>
      <c r="DA585" s="177">
        <f t="shared" si="336"/>
        <v>1</v>
      </c>
      <c r="DB585" s="177">
        <f t="shared" si="331"/>
        <v>1</v>
      </c>
      <c r="DC585" s="177">
        <f t="shared" si="337"/>
        <v>1</v>
      </c>
      <c r="DD585" s="177">
        <f t="shared" si="338"/>
        <v>1</v>
      </c>
      <c r="DE585" s="177">
        <f t="shared" si="339"/>
        <v>1</v>
      </c>
    </row>
    <row r="586" spans="1:109" ht="18" customHeight="1" thickBot="1" x14ac:dyDescent="0.35">
      <c r="A586" s="81">
        <v>0.14583333333333801</v>
      </c>
      <c r="B586" s="153"/>
      <c r="C586" s="130"/>
      <c r="D586" s="135"/>
      <c r="E586" s="130"/>
      <c r="F586" s="135"/>
      <c r="G586" s="130"/>
      <c r="H586" s="135"/>
      <c r="I586" s="130"/>
      <c r="J586" s="135"/>
      <c r="K586" s="130"/>
      <c r="L586" s="135"/>
      <c r="M586" s="130"/>
      <c r="N586" s="135"/>
      <c r="O586" s="154"/>
      <c r="Q586" s="287"/>
      <c r="R586" s="288"/>
      <c r="S586" s="288"/>
      <c r="T586" s="288"/>
      <c r="U586" s="288"/>
      <c r="V586" s="288"/>
      <c r="W586" s="289"/>
      <c r="X586" s="199">
        <v>1</v>
      </c>
      <c r="Y586" s="265" t="str">
        <f t="array" ref="Y586">IF(ISERROR(INDEX($CA$2:$CB$200,SMALL(IF($CA$2:$CA$200=$A$574,ROW($CA$2:$CA$200)),ROW(8:8))-1,2)),"",INDEX($CA$2:$CB$200,SMALL(IF($CA$2:$CA$200=$A$574,ROW($CA$2:$CA$200)),ROW(8:8))-1,2))</f>
        <v/>
      </c>
      <c r="Z586" s="266"/>
      <c r="AA586" s="266"/>
      <c r="AB586" s="266"/>
      <c r="AC586" s="266"/>
      <c r="AD586" s="266"/>
      <c r="AE586" s="266"/>
      <c r="AF586" s="267"/>
      <c r="AH586" s="136">
        <v>0.14583333333333801</v>
      </c>
      <c r="AI586" s="136" t="str">
        <f>IF(AH575="","",IF(B586="","",B586))</f>
        <v/>
      </c>
      <c r="AJ586" s="136" t="str">
        <f>IF(AH575="","",IF(C586="","",C586))</f>
        <v/>
      </c>
      <c r="AK586" s="136" t="str">
        <f>IF(AH575="","",IF(D586="","",D586))</f>
        <v/>
      </c>
      <c r="AL586" s="136" t="str">
        <f>IF(AH575="","",IF(E586="","",E586))</f>
        <v/>
      </c>
      <c r="AM586" s="136" t="str">
        <f>IF(AH575="","",IF(F586="","",F586))</f>
        <v/>
      </c>
      <c r="AN586" s="136" t="str">
        <f>IF(AH575="","",IF(G586="","",G586))</f>
        <v/>
      </c>
      <c r="AO586" s="136" t="str">
        <f>IF(AH575="","",IF(H586="","",H586))</f>
        <v/>
      </c>
      <c r="AP586" s="136" t="str">
        <f>IF(AH575="","",IF(I586="","",I586))</f>
        <v/>
      </c>
      <c r="AQ586" s="136" t="str">
        <f>IF(AH575="","",IF(J586="","",J586))</f>
        <v/>
      </c>
      <c r="AR586" s="136" t="str">
        <f>IF(AH575="","",IF(K586="","",K586))</f>
        <v/>
      </c>
      <c r="AS586" s="136" t="str">
        <f>IF(AH575="","",IF(L586="","",L586))</f>
        <v/>
      </c>
      <c r="AT586" s="136" t="str">
        <f>IF(AH575="","",IF(M586="","",M586))</f>
        <v/>
      </c>
      <c r="AU586" s="136" t="str">
        <f>IF(AH575="","",IF(N586="","",N586))</f>
        <v/>
      </c>
      <c r="AV586" s="136" t="str">
        <f>IF(AH575="","",IF(O586="","",O586))</f>
        <v/>
      </c>
      <c r="AX586" s="136" t="str">
        <f>IF(AI575="","",IF(B586="","",B586))</f>
        <v/>
      </c>
      <c r="AY586" s="136" t="str">
        <f>IF(AI575="","",IF(C586="","",C586))</f>
        <v/>
      </c>
      <c r="AZ586" s="136" t="str">
        <f>IF(AI575="","",IF(D586="","",D586))</f>
        <v/>
      </c>
      <c r="BA586" s="136" t="str">
        <f>IF(AI575="","",IF(E586="","",E586))</f>
        <v/>
      </c>
      <c r="BB586" s="136" t="str">
        <f>IF(AI575="","",IF(F586="","",F586))</f>
        <v/>
      </c>
      <c r="BC586" s="136" t="str">
        <f>IF(AI575="","",IF(G586="","",G586))</f>
        <v/>
      </c>
      <c r="BD586" s="136" t="str">
        <f>IF(AI575="","",IF(H586="","",H586))</f>
        <v/>
      </c>
      <c r="BE586" s="136" t="str">
        <f>IF(AI575="","",IF(I586="","",I586))</f>
        <v/>
      </c>
      <c r="BF586" s="136" t="str">
        <f>IF(AI575="","",IF(J586="","",J586))</f>
        <v/>
      </c>
      <c r="BG586" s="136" t="str">
        <f>IF(AI575="","",IF(K586="","",K586))</f>
        <v/>
      </c>
      <c r="BH586" s="136" t="str">
        <f>IF(AI575="","",IF(L586="","",L586))</f>
        <v/>
      </c>
      <c r="BI586" s="136" t="str">
        <f>IF(AI575="","",IF(M586="","",M586))</f>
        <v/>
      </c>
      <c r="BJ586" s="136" t="str">
        <f>IF(AI575="","",IF(N586="","",N586))</f>
        <v/>
      </c>
      <c r="BK586" s="136" t="str">
        <f>IF(AI575="","",IF(O586="","",O586))</f>
        <v/>
      </c>
      <c r="CA586" s="136">
        <f>'INFO BASE'!L666</f>
        <v>0</v>
      </c>
      <c r="CB586" s="136">
        <f>'INFO BASE'!M666</f>
        <v>0</v>
      </c>
      <c r="CD586" s="136" t="str">
        <f t="shared" si="340"/>
        <v>AL</v>
      </c>
      <c r="CR586" s="177">
        <f t="shared" si="331"/>
        <v>1</v>
      </c>
      <c r="CS586" s="177">
        <f t="shared" si="332"/>
        <v>1</v>
      </c>
      <c r="CT586" s="177">
        <f t="shared" si="331"/>
        <v>1</v>
      </c>
      <c r="CU586" s="177">
        <f t="shared" si="333"/>
        <v>1</v>
      </c>
      <c r="CV586" s="177">
        <f t="shared" si="331"/>
        <v>1</v>
      </c>
      <c r="CW586" s="177">
        <f t="shared" si="334"/>
        <v>1</v>
      </c>
      <c r="CX586" s="177">
        <f t="shared" si="331"/>
        <v>1</v>
      </c>
      <c r="CY586" s="177">
        <f t="shared" si="335"/>
        <v>1</v>
      </c>
      <c r="CZ586" s="177">
        <f t="shared" si="331"/>
        <v>1</v>
      </c>
      <c r="DA586" s="177">
        <f t="shared" si="336"/>
        <v>1</v>
      </c>
      <c r="DB586" s="177">
        <f t="shared" si="331"/>
        <v>1</v>
      </c>
      <c r="DC586" s="177">
        <f t="shared" si="337"/>
        <v>1</v>
      </c>
      <c r="DD586" s="177">
        <f t="shared" si="338"/>
        <v>1</v>
      </c>
      <c r="DE586" s="177">
        <f t="shared" si="339"/>
        <v>1</v>
      </c>
    </row>
    <row r="587" spans="1:109" ht="18" customHeight="1" thickBot="1" x14ac:dyDescent="0.35">
      <c r="A587" s="81">
        <v>0.16666666666667199</v>
      </c>
      <c r="B587" s="153"/>
      <c r="C587" s="130"/>
      <c r="D587" s="135"/>
      <c r="E587" s="130"/>
      <c r="F587" s="135"/>
      <c r="G587" s="130"/>
      <c r="H587" s="135"/>
      <c r="I587" s="130"/>
      <c r="J587" s="135"/>
      <c r="K587" s="130"/>
      <c r="L587" s="135"/>
      <c r="M587" s="130"/>
      <c r="N587" s="135"/>
      <c r="O587" s="154"/>
      <c r="Q587" s="63"/>
      <c r="R587" s="64"/>
      <c r="S587" s="65"/>
      <c r="T587" s="65"/>
      <c r="U587" s="65"/>
      <c r="V587" s="65"/>
      <c r="W587" s="65"/>
      <c r="X587" s="199">
        <v>1</v>
      </c>
      <c r="Y587" s="59"/>
      <c r="Z587" s="59"/>
      <c r="AA587" s="59"/>
      <c r="AB587" s="59"/>
      <c r="AC587" s="59"/>
      <c r="AD587" s="59"/>
      <c r="AE587" s="59"/>
      <c r="AF587" s="59"/>
      <c r="AH587" s="136">
        <v>0.16666666666667199</v>
      </c>
      <c r="AI587" s="136" t="str">
        <f>IF(AH575="","",IF(B587="","",B587))</f>
        <v/>
      </c>
      <c r="AJ587" s="136" t="str">
        <f>IF(AH575="","",IF(C587="","",C587))</f>
        <v/>
      </c>
      <c r="AK587" s="136" t="str">
        <f>IF(AH575="","",IF(D587="","",D587))</f>
        <v/>
      </c>
      <c r="AL587" s="136" t="str">
        <f>IF(AH575="","",IF(E587="","",E587))</f>
        <v/>
      </c>
      <c r="AM587" s="136" t="str">
        <f>IF(AH575="","",IF(F587="","",F587))</f>
        <v/>
      </c>
      <c r="AN587" s="136" t="str">
        <f>IF(AH575="","",IF(G587="","",G587))</f>
        <v/>
      </c>
      <c r="AO587" s="136" t="str">
        <f>IF(AH575="","",IF(H587="","",H587))</f>
        <v/>
      </c>
      <c r="AP587" s="136" t="str">
        <f>IF(AH575="","",IF(I587="","",I587))</f>
        <v/>
      </c>
      <c r="AQ587" s="136" t="str">
        <f>IF(AH575="","",IF(J587="","",J587))</f>
        <v/>
      </c>
      <c r="AR587" s="136" t="str">
        <f>IF(AH575="","",IF(K587="","",K587))</f>
        <v/>
      </c>
      <c r="AS587" s="136" t="str">
        <f>IF(AH575="","",IF(L587="","",L587))</f>
        <v/>
      </c>
      <c r="AT587" s="136" t="str">
        <f>IF(AH575="","",IF(M587="","",M587))</f>
        <v/>
      </c>
      <c r="AU587" s="136" t="str">
        <f>IF(AH575="","",IF(N587="","",N587))</f>
        <v/>
      </c>
      <c r="AV587" s="136" t="str">
        <f>IF(AH575="","",IF(O587="","",O587))</f>
        <v/>
      </c>
      <c r="AX587" s="136" t="str">
        <f>IF(AI575="","",IF(B587="","",B587))</f>
        <v/>
      </c>
      <c r="AY587" s="136" t="str">
        <f>IF(AI575="","",IF(C587="","",C587))</f>
        <v/>
      </c>
      <c r="AZ587" s="136" t="str">
        <f>IF(AI575="","",IF(D587="","",D587))</f>
        <v/>
      </c>
      <c r="BA587" s="136" t="str">
        <f>IF(AI575="","",IF(E587="","",E587))</f>
        <v/>
      </c>
      <c r="BB587" s="136" t="str">
        <f>IF(AI575="","",IF(F587="","",F587))</f>
        <v/>
      </c>
      <c r="BC587" s="136" t="str">
        <f>IF(AI575="","",IF(G587="","",G587))</f>
        <v/>
      </c>
      <c r="BD587" s="136" t="str">
        <f>IF(AI575="","",IF(H587="","",H587))</f>
        <v/>
      </c>
      <c r="BE587" s="136" t="str">
        <f>IF(AI575="","",IF(I587="","",I587))</f>
        <v/>
      </c>
      <c r="BF587" s="136" t="str">
        <f>IF(AI575="","",IF(J587="","",J587))</f>
        <v/>
      </c>
      <c r="BG587" s="136" t="str">
        <f>IF(AI575="","",IF(K587="","",K587))</f>
        <v/>
      </c>
      <c r="BH587" s="136" t="str">
        <f>IF(AI575="","",IF(L587="","",L587))</f>
        <v/>
      </c>
      <c r="BI587" s="136" t="str">
        <f>IF(AI575="","",IF(M587="","",M587))</f>
        <v/>
      </c>
      <c r="BJ587" s="136" t="str">
        <f>IF(AI575="","",IF(N587="","",N587))</f>
        <v/>
      </c>
      <c r="BK587" s="136" t="str">
        <f>IF(AI575="","",IF(O587="","",O587))</f>
        <v/>
      </c>
      <c r="BM587" s="136" t="str">
        <f>BO587</f>
        <v>EA</v>
      </c>
      <c r="BN587" s="136" t="str">
        <f t="shared" ref="BN587:BO623" si="341">Q590</f>
        <v>Estudo Autónomo</v>
      </c>
      <c r="BO587" s="136" t="str">
        <f t="shared" si="341"/>
        <v>EA</v>
      </c>
      <c r="BP587" s="136">
        <f>COUNTIFS(AX579:BK626,BO587)*0.5</f>
        <v>0</v>
      </c>
      <c r="BQ587" s="136" t="str">
        <f t="shared" ref="BQ587:BR623" si="342">BN587</f>
        <v>Estudo Autónomo</v>
      </c>
      <c r="BR587" s="136" t="str">
        <f t="shared" si="342"/>
        <v>EA</v>
      </c>
      <c r="BS587" s="136" t="str">
        <f>BQ587</f>
        <v>Estudo Autónomo</v>
      </c>
      <c r="BT587" s="136">
        <f>SUMIFS(V:V,Q:Q,BQ587,R:R,BR587)</f>
        <v>86.5</v>
      </c>
      <c r="BU587" s="136">
        <f>SUMIFS(BP:BP,BN:BN,BQ587,BO:BO,BR587)</f>
        <v>95.5</v>
      </c>
      <c r="CA587" s="136">
        <f>'INFO BASE'!L667</f>
        <v>0</v>
      </c>
      <c r="CB587" s="136">
        <f>'INFO BASE'!M667</f>
        <v>0</v>
      </c>
      <c r="CD587" s="136" t="str">
        <f t="shared" si="340"/>
        <v>CDI</v>
      </c>
      <c r="CR587" s="177">
        <f t="shared" si="331"/>
        <v>1</v>
      </c>
      <c r="CS587" s="177">
        <f t="shared" si="332"/>
        <v>1</v>
      </c>
      <c r="CT587" s="177">
        <f t="shared" si="331"/>
        <v>1</v>
      </c>
      <c r="CU587" s="177">
        <f t="shared" si="333"/>
        <v>1</v>
      </c>
      <c r="CV587" s="177">
        <f t="shared" si="331"/>
        <v>1</v>
      </c>
      <c r="CW587" s="177">
        <f t="shared" si="334"/>
        <v>1</v>
      </c>
      <c r="CX587" s="177">
        <f t="shared" si="331"/>
        <v>1</v>
      </c>
      <c r="CY587" s="177">
        <f t="shared" si="335"/>
        <v>1</v>
      </c>
      <c r="CZ587" s="177">
        <f t="shared" si="331"/>
        <v>1</v>
      </c>
      <c r="DA587" s="177">
        <f t="shared" si="336"/>
        <v>1</v>
      </c>
      <c r="DB587" s="177">
        <f t="shared" si="331"/>
        <v>1</v>
      </c>
      <c r="DC587" s="177">
        <f t="shared" si="337"/>
        <v>1</v>
      </c>
      <c r="DD587" s="177">
        <f t="shared" si="338"/>
        <v>1</v>
      </c>
      <c r="DE587" s="177">
        <f t="shared" si="339"/>
        <v>1</v>
      </c>
    </row>
    <row r="588" spans="1:109" ht="18" customHeight="1" x14ac:dyDescent="0.3">
      <c r="A588" s="81">
        <v>0.187500000000006</v>
      </c>
      <c r="B588" s="153"/>
      <c r="C588" s="130"/>
      <c r="D588" s="135"/>
      <c r="E588" s="130"/>
      <c r="F588" s="135"/>
      <c r="G588" s="130"/>
      <c r="H588" s="135"/>
      <c r="I588" s="130"/>
      <c r="J588" s="135"/>
      <c r="K588" s="130"/>
      <c r="L588" s="135"/>
      <c r="M588" s="130"/>
      <c r="N588" s="135"/>
      <c r="O588" s="154"/>
      <c r="Q588" s="294" t="s">
        <v>14</v>
      </c>
      <c r="R588" s="290" t="s">
        <v>88</v>
      </c>
      <c r="S588" s="290" t="s">
        <v>87</v>
      </c>
      <c r="T588" s="290" t="s">
        <v>89</v>
      </c>
      <c r="U588" s="290" t="s">
        <v>41</v>
      </c>
      <c r="V588" s="290" t="s">
        <v>91</v>
      </c>
      <c r="W588" s="292" t="s">
        <v>90</v>
      </c>
      <c r="X588" s="199">
        <v>1</v>
      </c>
      <c r="Y588" s="302" t="s">
        <v>21</v>
      </c>
      <c r="Z588" s="303"/>
      <c r="AA588" s="303"/>
      <c r="AB588" s="303"/>
      <c r="AC588" s="303"/>
      <c r="AD588" s="303"/>
      <c r="AE588" s="303"/>
      <c r="AF588" s="304"/>
      <c r="AH588" s="136">
        <v>0.187500000000006</v>
      </c>
      <c r="AI588" s="136" t="str">
        <f>IF(AH575="","",IF(B588="","",B588))</f>
        <v/>
      </c>
      <c r="AJ588" s="136" t="str">
        <f>IF(AH575="","",IF(C588="","",C588))</f>
        <v/>
      </c>
      <c r="AK588" s="136" t="str">
        <f>IF(AH575="","",IF(D588="","",D588))</f>
        <v/>
      </c>
      <c r="AL588" s="136" t="str">
        <f>IF(AH575="","",IF(E588="","",E588))</f>
        <v/>
      </c>
      <c r="AM588" s="136" t="str">
        <f>IF(AH575="","",IF(F588="","",F588))</f>
        <v/>
      </c>
      <c r="AN588" s="136" t="str">
        <f>IF(AH575="","",IF(G588="","",G588))</f>
        <v/>
      </c>
      <c r="AO588" s="136" t="str">
        <f>IF(AH575="","",IF(H588="","",H588))</f>
        <v/>
      </c>
      <c r="AP588" s="136" t="str">
        <f>IF(AH575="","",IF(I588="","",I588))</f>
        <v/>
      </c>
      <c r="AQ588" s="136" t="str">
        <f>IF(AH575="","",IF(J588="","",J588))</f>
        <v/>
      </c>
      <c r="AR588" s="136" t="str">
        <f>IF(AH575="","",IF(K588="","",K588))</f>
        <v/>
      </c>
      <c r="AS588" s="136" t="str">
        <f>IF(AH575="","",IF(L588="","",L588))</f>
        <v/>
      </c>
      <c r="AT588" s="136" t="str">
        <f>IF(AH575="","",IF(M588="","",M588))</f>
        <v/>
      </c>
      <c r="AU588" s="136" t="str">
        <f>IF(AH575="","",IF(N588="","",N588))</f>
        <v/>
      </c>
      <c r="AV588" s="136" t="str">
        <f>IF(AH575="","",IF(O588="","",O588))</f>
        <v/>
      </c>
      <c r="AX588" s="136" t="str">
        <f>IF(AI575="","",IF(B588="","",B588))</f>
        <v/>
      </c>
      <c r="AY588" s="136" t="str">
        <f>IF(AI575="","",IF(C588="","",C588))</f>
        <v/>
      </c>
      <c r="AZ588" s="136" t="str">
        <f>IF(AI575="","",IF(D588="","",D588))</f>
        <v/>
      </c>
      <c r="BA588" s="136" t="str">
        <f>IF(AI575="","",IF(E588="","",E588))</f>
        <v/>
      </c>
      <c r="BB588" s="136" t="str">
        <f>IF(AI575="","",IF(F588="","",F588))</f>
        <v/>
      </c>
      <c r="BC588" s="136" t="str">
        <f>IF(AI575="","",IF(G588="","",G588))</f>
        <v/>
      </c>
      <c r="BD588" s="136" t="str">
        <f>IF(AI575="","",IF(H588="","",H588))</f>
        <v/>
      </c>
      <c r="BE588" s="136" t="str">
        <f>IF(AI575="","",IF(I588="","",I588))</f>
        <v/>
      </c>
      <c r="BF588" s="136" t="str">
        <f>IF(AI575="","",IF(J588="","",J588))</f>
        <v/>
      </c>
      <c r="BG588" s="136" t="str">
        <f>IF(AI575="","",IF(K588="","",K588))</f>
        <v/>
      </c>
      <c r="BH588" s="136" t="str">
        <f>IF(AI575="","",IF(L588="","",L588))</f>
        <v/>
      </c>
      <c r="BI588" s="136" t="str">
        <f>IF(AI575="","",IF(M588="","",M588))</f>
        <v/>
      </c>
      <c r="BJ588" s="136" t="str">
        <f>IF(AI575="","",IF(N588="","",N588))</f>
        <v/>
      </c>
      <c r="BK588" s="136" t="str">
        <f>IF(AI575="","",IF(O588="","",O588))</f>
        <v/>
      </c>
      <c r="BM588" s="136" t="str">
        <f>BM587</f>
        <v>EA</v>
      </c>
      <c r="BN588" s="136" t="str">
        <f t="shared" si="341"/>
        <v>Estudo Autónomo</v>
      </c>
      <c r="BO588" s="136" t="str">
        <f t="shared" si="341"/>
        <v>FP</v>
      </c>
      <c r="BP588" s="136">
        <f>(COUNTIFS(AX579:AX626,BM588,AY579:AY626,BO588)+COUNTIFS(AZ579:AZ626,BM588,BA579:BA626,BO588)+COUNTIFS(BB579:BB626,BM588,BC579:BC626,BO588)+COUNTIFS(BD579:BD626,BM588,BE579:BE626,BO588)+COUNTIFS(BF579:BF626,BM588,BG579:BG626,BO588)+COUNTIFS(BH579:BH626,BM588,BI579:BI626,BO588)+COUNTIFS(BJ579:BJ626,BM588,BK579:BK626,BO588))*0.5</f>
        <v>0</v>
      </c>
      <c r="BQ588" s="136" t="str">
        <f t="shared" si="342"/>
        <v>Estudo Autónomo</v>
      </c>
      <c r="BR588" s="136" t="str">
        <f>$R$20</f>
        <v>EA</v>
      </c>
      <c r="BS588" s="136" t="str">
        <f t="shared" ref="BS588:BS623" si="343">BQ588</f>
        <v>Estudo Autónomo</v>
      </c>
      <c r="BT588" s="136">
        <f>SUMIFS(V:V,Q:Q,BQ588,R:R,BR588)</f>
        <v>86.5</v>
      </c>
      <c r="BU588" s="136">
        <f>SUMIFS(BP:BP,BN:BN,BQ588,BO:BO,BR588)</f>
        <v>95.5</v>
      </c>
      <c r="CA588" s="136">
        <f>'INFO BASE'!L668</f>
        <v>0</v>
      </c>
      <c r="CB588" s="136">
        <f>'INFO BASE'!M668</f>
        <v>0</v>
      </c>
      <c r="CD588" s="136" t="str">
        <f t="shared" si="340"/>
        <v/>
      </c>
      <c r="CR588" s="177">
        <f t="shared" si="331"/>
        <v>1</v>
      </c>
      <c r="CS588" s="177">
        <f t="shared" si="332"/>
        <v>1</v>
      </c>
      <c r="CT588" s="177">
        <f t="shared" si="331"/>
        <v>1</v>
      </c>
      <c r="CU588" s="177">
        <f t="shared" si="333"/>
        <v>1</v>
      </c>
      <c r="CV588" s="177">
        <f t="shared" si="331"/>
        <v>1</v>
      </c>
      <c r="CW588" s="177">
        <f t="shared" si="334"/>
        <v>1</v>
      </c>
      <c r="CX588" s="177">
        <f t="shared" si="331"/>
        <v>1</v>
      </c>
      <c r="CY588" s="177">
        <f t="shared" si="335"/>
        <v>1</v>
      </c>
      <c r="CZ588" s="177">
        <f t="shared" si="331"/>
        <v>1</v>
      </c>
      <c r="DA588" s="177">
        <f t="shared" si="336"/>
        <v>1</v>
      </c>
      <c r="DB588" s="177">
        <f t="shared" si="331"/>
        <v>1</v>
      </c>
      <c r="DC588" s="177">
        <f t="shared" si="337"/>
        <v>1</v>
      </c>
      <c r="DD588" s="177">
        <f t="shared" si="338"/>
        <v>1</v>
      </c>
      <c r="DE588" s="177">
        <f t="shared" si="339"/>
        <v>1</v>
      </c>
    </row>
    <row r="589" spans="1:109" ht="18" customHeight="1" thickBot="1" x14ac:dyDescent="0.35">
      <c r="A589" s="81">
        <v>0.20833333333334</v>
      </c>
      <c r="B589" s="153"/>
      <c r="C589" s="130"/>
      <c r="D589" s="135"/>
      <c r="E589" s="130"/>
      <c r="F589" s="135"/>
      <c r="G589" s="130"/>
      <c r="H589" s="135"/>
      <c r="I589" s="130"/>
      <c r="J589" s="135"/>
      <c r="K589" s="130"/>
      <c r="L589" s="135"/>
      <c r="M589" s="130"/>
      <c r="N589" s="135"/>
      <c r="O589" s="154"/>
      <c r="Q589" s="295"/>
      <c r="R589" s="291"/>
      <c r="S589" s="291"/>
      <c r="T589" s="291"/>
      <c r="U589" s="291"/>
      <c r="V589" s="291"/>
      <c r="W589" s="293"/>
      <c r="X589" s="199">
        <v>1</v>
      </c>
      <c r="Y589" s="305"/>
      <c r="Z589" s="306"/>
      <c r="AA589" s="306"/>
      <c r="AB589" s="306"/>
      <c r="AC589" s="306"/>
      <c r="AD589" s="306"/>
      <c r="AE589" s="306"/>
      <c r="AF589" s="307"/>
      <c r="AH589" s="136">
        <v>0.20833333333334</v>
      </c>
      <c r="AI589" s="136" t="str">
        <f>IF(AH575="","",IF(B589="","",B589))</f>
        <v/>
      </c>
      <c r="AJ589" s="136" t="str">
        <f>IF(AH575="","",IF(C589="","",C589))</f>
        <v/>
      </c>
      <c r="AK589" s="136" t="str">
        <f>IF(AH575="","",IF(D589="","",D589))</f>
        <v/>
      </c>
      <c r="AL589" s="136" t="str">
        <f>IF(AH575="","",IF(E589="","",E589))</f>
        <v/>
      </c>
      <c r="AM589" s="136" t="str">
        <f>IF(AH575="","",IF(F589="","",F589))</f>
        <v/>
      </c>
      <c r="AN589" s="136" t="str">
        <f>IF(AH575="","",IF(G589="","",G589))</f>
        <v/>
      </c>
      <c r="AO589" s="136" t="str">
        <f>IF(AH575="","",IF(H589="","",H589))</f>
        <v/>
      </c>
      <c r="AP589" s="136" t="str">
        <f>IF(AH575="","",IF(I589="","",I589))</f>
        <v/>
      </c>
      <c r="AQ589" s="136" t="str">
        <f>IF(AH575="","",IF(J589="","",J589))</f>
        <v/>
      </c>
      <c r="AR589" s="136" t="str">
        <f>IF(AH575="","",IF(K589="","",K589))</f>
        <v/>
      </c>
      <c r="AS589" s="136" t="str">
        <f>IF(AH575="","",IF(L589="","",L589))</f>
        <v/>
      </c>
      <c r="AT589" s="136" t="str">
        <f>IF(AH575="","",IF(M589="","",M589))</f>
        <v/>
      </c>
      <c r="AU589" s="136" t="str">
        <f>IF(AH575="","",IF(N589="","",N589))</f>
        <v/>
      </c>
      <c r="AV589" s="136" t="str">
        <f>IF(AH575="","",IF(O589="","",O589))</f>
        <v/>
      </c>
      <c r="AX589" s="136" t="str">
        <f>IF(AI575="","",IF(B589="","",B589))</f>
        <v/>
      </c>
      <c r="AY589" s="136" t="str">
        <f>IF(AI575="","",IF(C589="","",C589))</f>
        <v/>
      </c>
      <c r="AZ589" s="136" t="str">
        <f>IF(AI575="","",IF(D589="","",D589))</f>
        <v/>
      </c>
      <c r="BA589" s="136" t="str">
        <f>IF(AI575="","",IF(E589="","",E589))</f>
        <v/>
      </c>
      <c r="BB589" s="136" t="str">
        <f>IF(AI575="","",IF(F589="","",F589))</f>
        <v/>
      </c>
      <c r="BC589" s="136" t="str">
        <f>IF(AI575="","",IF(G589="","",G589))</f>
        <v/>
      </c>
      <c r="BD589" s="136" t="str">
        <f>IF(AI575="","",IF(H589="","",H589))</f>
        <v/>
      </c>
      <c r="BE589" s="136" t="str">
        <f>IF(AI575="","",IF(I589="","",I589))</f>
        <v/>
      </c>
      <c r="BF589" s="136" t="str">
        <f>IF(AI575="","",IF(J589="","",J589))</f>
        <v/>
      </c>
      <c r="BG589" s="136" t="str">
        <f>IF(AI575="","",IF(K589="","",K589))</f>
        <v/>
      </c>
      <c r="BH589" s="136" t="str">
        <f>IF(AI575="","",IF(L589="","",L589))</f>
        <v/>
      </c>
      <c r="BI589" s="136" t="str">
        <f>IF(AI575="","",IF(M589="","",M589))</f>
        <v/>
      </c>
      <c r="BJ589" s="136" t="str">
        <f>IF(AI575="","",IF(N589="","",N589))</f>
        <v/>
      </c>
      <c r="BK589" s="136" t="str">
        <f>IF(AI575="","",IF(O589="","",O589))</f>
        <v/>
      </c>
      <c r="BM589" s="136" t="str">
        <f t="shared" ref="BM589:BM593" si="344">BM588</f>
        <v>EA</v>
      </c>
      <c r="BN589" s="136" t="str">
        <f t="shared" si="341"/>
        <v>Estudo Autónomo</v>
      </c>
      <c r="BO589" s="136" t="str">
        <f t="shared" si="341"/>
        <v>IEI</v>
      </c>
      <c r="BP589" s="136">
        <f>(COUNTIFS(AX579:AX626,BM589,AY579:AY626,BO589)+COUNTIFS(AZ579:AZ626,BM589,BA579:BA626,BO589)+COUNTIFS(BB579:BB626,BM589,BC579:BC626,BO589)+COUNTIFS(BD579:BD626,BM589,BE579:BE626,BO589)+COUNTIFS(BF579:BF626,BM589,BG579:BG626,BO589)+COUNTIFS(BH579:BH626,BM589,BI579:BI626,BO589)+COUNTIFS(BJ579:BJ626,BM589,BK579:BK626,BO589))*0.5</f>
        <v>0</v>
      </c>
      <c r="BQ589" s="136" t="str">
        <f t="shared" si="342"/>
        <v>Estudo Autónomo</v>
      </c>
      <c r="BR589" s="136" t="str">
        <f t="shared" si="342"/>
        <v>IEI</v>
      </c>
      <c r="BS589" s="136" t="str">
        <f t="shared" si="343"/>
        <v>Estudo Autónomo</v>
      </c>
      <c r="BT589" s="136">
        <f>SUMIFS(V:V,Q:Q,BQ589,R:R,BR589)</f>
        <v>20</v>
      </c>
      <c r="BU589" s="136">
        <f>SUMIFS(BP:BP,BN:BN,BQ589,BO:BO,BR589)</f>
        <v>36.5</v>
      </c>
      <c r="CA589" s="136">
        <f>'INFO BASE'!L669</f>
        <v>0</v>
      </c>
      <c r="CB589" s="136">
        <f>'INFO BASE'!M669</f>
        <v>0</v>
      </c>
      <c r="CD589" s="136" t="str">
        <f>IF('INFO BASE'!E603="","",'INFO BASE'!E603)</f>
        <v/>
      </c>
      <c r="CR589" s="177">
        <f t="shared" si="331"/>
        <v>1</v>
      </c>
      <c r="CS589" s="177">
        <f t="shared" si="332"/>
        <v>1</v>
      </c>
      <c r="CT589" s="177">
        <f t="shared" si="331"/>
        <v>1</v>
      </c>
      <c r="CU589" s="177">
        <f t="shared" si="333"/>
        <v>1</v>
      </c>
      <c r="CV589" s="177">
        <f t="shared" si="331"/>
        <v>1</v>
      </c>
      <c r="CW589" s="177">
        <f t="shared" si="334"/>
        <v>1</v>
      </c>
      <c r="CX589" s="177">
        <f t="shared" si="331"/>
        <v>1</v>
      </c>
      <c r="CY589" s="177">
        <f t="shared" si="335"/>
        <v>1</v>
      </c>
      <c r="CZ589" s="177">
        <f t="shared" si="331"/>
        <v>1</v>
      </c>
      <c r="DA589" s="177">
        <f t="shared" si="336"/>
        <v>1</v>
      </c>
      <c r="DB589" s="177">
        <f t="shared" si="331"/>
        <v>1</v>
      </c>
      <c r="DC589" s="177">
        <f t="shared" si="337"/>
        <v>1</v>
      </c>
      <c r="DD589" s="177">
        <f t="shared" si="338"/>
        <v>1</v>
      </c>
      <c r="DE589" s="177">
        <f t="shared" si="339"/>
        <v>1</v>
      </c>
    </row>
    <row r="590" spans="1:109" ht="18" customHeight="1" x14ac:dyDescent="0.3">
      <c r="A590" s="81">
        <v>0.22916666666667401</v>
      </c>
      <c r="B590" s="153"/>
      <c r="C590" s="130"/>
      <c r="D590" s="135"/>
      <c r="E590" s="130"/>
      <c r="F590" s="135"/>
      <c r="G590" s="130"/>
      <c r="H590" s="135"/>
      <c r="I590" s="130"/>
      <c r="J590" s="135"/>
      <c r="K590" s="130"/>
      <c r="L590" s="135"/>
      <c r="M590" s="130"/>
      <c r="N590" s="135"/>
      <c r="O590" s="154"/>
      <c r="P590" s="6">
        <v>0</v>
      </c>
      <c r="Q590" s="109" t="str">
        <f>IF('INFO BASE'!$C$17="","",'INFO BASE'!$C$17)</f>
        <v>Estudo Autónomo</v>
      </c>
      <c r="R590" s="82" t="str">
        <f>R533</f>
        <v>EA</v>
      </c>
      <c r="S590" s="83">
        <f t="shared" ref="S590:S626" si="345">IFERROR((U590/T590)-1,"-")</f>
        <v>-1</v>
      </c>
      <c r="T590" s="84">
        <f>IF(VLOOKUP(Q590,'INFO BASE'!$B$40:$I$54,IF(R590='INFO BASE'!$B$32,3,IF(R590='INFO BASE'!$B$33,4,IF(R590='INFO BASE'!$B$34,5,IF(R590='INFO BASE'!$B$35,6,IF(R590='INFO BASE'!$B$36,7,IF(R590='INFO BASE'!$B$37,8,2)))))),0)=0,"",VLOOKUP(Q590,'INFO BASE'!$B$40:$I$54,IF(R590='INFO BASE'!$B$32,3,IF(R590='INFO BASE'!$B$33,4,IF(R590='INFO BASE'!$B$34,5,IF(R590='INFO BASE'!$B$35,6,IF(R590='INFO BASE'!$B$36,7,IF(R590='INFO BASE'!$B$37,8,2)))))),0))</f>
        <v>19</v>
      </c>
      <c r="U590" s="84">
        <f>IF(R590="","",COUNTIFS(SEMANA11,R590)*0.5)</f>
        <v>0</v>
      </c>
      <c r="V590" s="84">
        <f>IF(R590="","",COUNTIFS(AI579:AV626,R590)*0.5)</f>
        <v>0</v>
      </c>
      <c r="W590" s="85" t="str">
        <f>IF(AH575="","-",IF(V590=0,U590,IFERROR((U590/V590)-1,"-")))</f>
        <v>-</v>
      </c>
      <c r="X590" s="200">
        <f t="shared" ref="X590:X626" si="346">IFERROR(IF(ABS(W590)&gt;P590,1,0),0)</f>
        <v>0</v>
      </c>
      <c r="Y590" s="296"/>
      <c r="Z590" s="297"/>
      <c r="AA590" s="297"/>
      <c r="AB590" s="297"/>
      <c r="AC590" s="297"/>
      <c r="AD590" s="297"/>
      <c r="AE590" s="297"/>
      <c r="AF590" s="298"/>
      <c r="AH590" s="136">
        <v>0.22916666666667401</v>
      </c>
      <c r="AI590" s="136" t="str">
        <f>IF(AH575="","",IF(B590="","",B590))</f>
        <v/>
      </c>
      <c r="AJ590" s="136" t="str">
        <f>IF(AH575="","",IF(C590="","",C590))</f>
        <v/>
      </c>
      <c r="AK590" s="136" t="str">
        <f>IF(AH575="","",IF(D590="","",D590))</f>
        <v/>
      </c>
      <c r="AL590" s="136" t="str">
        <f>IF(AH575="","",IF(E590="","",E590))</f>
        <v/>
      </c>
      <c r="AM590" s="136" t="str">
        <f>IF(AH575="","",IF(F590="","",F590))</f>
        <v/>
      </c>
      <c r="AN590" s="136" t="str">
        <f>IF(AH575="","",IF(G590="","",G590))</f>
        <v/>
      </c>
      <c r="AO590" s="136" t="str">
        <f>IF(AH575="","",IF(H590="","",H590))</f>
        <v/>
      </c>
      <c r="AP590" s="136" t="str">
        <f>IF(AH575="","",IF(I590="","",I590))</f>
        <v/>
      </c>
      <c r="AQ590" s="136" t="str">
        <f>IF(AH575="","",IF(J590="","",J590))</f>
        <v/>
      </c>
      <c r="AR590" s="136" t="str">
        <f>IF(AH575="","",IF(K590="","",K590))</f>
        <v/>
      </c>
      <c r="AS590" s="136" t="str">
        <f>IF(AH575="","",IF(L590="","",L590))</f>
        <v/>
      </c>
      <c r="AT590" s="136" t="str">
        <f>IF(AH575="","",IF(M590="","",M590))</f>
        <v/>
      </c>
      <c r="AU590" s="136" t="str">
        <f>IF(AH575="","",IF(N590="","",N590))</f>
        <v/>
      </c>
      <c r="AV590" s="136" t="str">
        <f>IF(AH575="","",IF(O590="","",O590))</f>
        <v/>
      </c>
      <c r="AX590" s="136" t="str">
        <f>IF(AI575="","",IF(B590="","",B590))</f>
        <v/>
      </c>
      <c r="AY590" s="136" t="str">
        <f>IF(AI575="","",IF(C590="","",C590))</f>
        <v/>
      </c>
      <c r="AZ590" s="136" t="str">
        <f>IF(AI575="","",IF(D590="","",D590))</f>
        <v/>
      </c>
      <c r="BA590" s="136" t="str">
        <f>IF(AI575="","",IF(E590="","",E590))</f>
        <v/>
      </c>
      <c r="BB590" s="136" t="str">
        <f>IF(AI575="","",IF(F590="","",F590))</f>
        <v/>
      </c>
      <c r="BC590" s="136" t="str">
        <f>IF(AI575="","",IF(G590="","",G590))</f>
        <v/>
      </c>
      <c r="BD590" s="136" t="str">
        <f>IF(AI575="","",IF(H590="","",H590))</f>
        <v/>
      </c>
      <c r="BE590" s="136" t="str">
        <f>IF(AI575="","",IF(I590="","",I590))</f>
        <v/>
      </c>
      <c r="BF590" s="136" t="str">
        <f>IF(AI575="","",IF(J590="","",J590))</f>
        <v/>
      </c>
      <c r="BG590" s="136" t="str">
        <f>IF(AI575="","",IF(K590="","",K590))</f>
        <v/>
      </c>
      <c r="BH590" s="136" t="str">
        <f>IF(AI575="","",IF(L590="","",L590))</f>
        <v/>
      </c>
      <c r="BI590" s="136" t="str">
        <f>IF(AI575="","",IF(M590="","",M590))</f>
        <v/>
      </c>
      <c r="BJ590" s="136" t="str">
        <f>IF(AI575="","",IF(N590="","",N590))</f>
        <v/>
      </c>
      <c r="BK590" s="136" t="str">
        <f>IF(AI575="","",IF(O590="","",O590))</f>
        <v/>
      </c>
      <c r="BM590" s="136" t="str">
        <f t="shared" si="344"/>
        <v>EA</v>
      </c>
      <c r="BN590" s="136" t="str">
        <f t="shared" si="341"/>
        <v>Estudo Autónomo</v>
      </c>
      <c r="BO590" s="136" t="str">
        <f t="shared" si="341"/>
        <v>IAC</v>
      </c>
      <c r="BP590" s="136">
        <f>(COUNTIFS(AX579:AX626,BM590,AY579:AY626,BO590)+COUNTIFS(AZ579:AZ626,BM590,BA579:BA626,BO590)+COUNTIFS(BB579:BB626,BM590,BC579:BC626,BO590)+COUNTIFS(BD579:BD626,BM590,BE579:BE626,BO590)+COUNTIFS(BF579:BF626,BM590,BG579:BG626,BO590)+COUNTIFS(BH579:BH626,BM590,BI579:BI626,BO590)+COUNTIFS(BJ579:BJ626,BM590,BK579:BK626,BO590))*0.5</f>
        <v>0</v>
      </c>
      <c r="BQ590" s="136" t="str">
        <f t="shared" si="342"/>
        <v>Estudo Autónomo</v>
      </c>
      <c r="BR590" s="136" t="str">
        <f t="shared" si="342"/>
        <v>IAC</v>
      </c>
      <c r="BS590" s="136" t="str">
        <f t="shared" si="343"/>
        <v>Estudo Autónomo</v>
      </c>
      <c r="BT590" s="136">
        <f>SUMIFS(V:V,Q:Q,BQ590,R:R,BBO588)</f>
        <v>0</v>
      </c>
      <c r="BU590" s="136">
        <f>SUMIFS(BP:BP,BN:BN,BQ590,BO:BO,BBO588)</f>
        <v>0</v>
      </c>
      <c r="CA590" s="136">
        <f>'INFO BASE'!L670</f>
        <v>0</v>
      </c>
      <c r="CB590" s="136">
        <f>'INFO BASE'!M670</f>
        <v>0</v>
      </c>
      <c r="CD590" s="136" t="str">
        <f>IF('INFO BASE'!E604="","",'INFO BASE'!E604)</f>
        <v/>
      </c>
      <c r="CR590" s="177">
        <f t="shared" si="331"/>
        <v>1</v>
      </c>
      <c r="CS590" s="177">
        <f t="shared" si="332"/>
        <v>1</v>
      </c>
      <c r="CT590" s="177">
        <f t="shared" si="331"/>
        <v>1</v>
      </c>
      <c r="CU590" s="177">
        <f t="shared" si="333"/>
        <v>1</v>
      </c>
      <c r="CV590" s="177">
        <f t="shared" si="331"/>
        <v>1</v>
      </c>
      <c r="CW590" s="177">
        <f t="shared" si="334"/>
        <v>1</v>
      </c>
      <c r="CX590" s="177">
        <f t="shared" si="331"/>
        <v>1</v>
      </c>
      <c r="CY590" s="177">
        <f t="shared" si="335"/>
        <v>1</v>
      </c>
      <c r="CZ590" s="177">
        <f t="shared" si="331"/>
        <v>1</v>
      </c>
      <c r="DA590" s="177">
        <f t="shared" si="336"/>
        <v>1</v>
      </c>
      <c r="DB590" s="177">
        <f t="shared" si="331"/>
        <v>1</v>
      </c>
      <c r="DC590" s="177">
        <f t="shared" si="337"/>
        <v>1</v>
      </c>
      <c r="DD590" s="177">
        <f t="shared" si="338"/>
        <v>1</v>
      </c>
      <c r="DE590" s="177">
        <f t="shared" si="339"/>
        <v>1</v>
      </c>
    </row>
    <row r="591" spans="1:109" ht="18" customHeight="1" x14ac:dyDescent="0.3">
      <c r="A591" s="81">
        <v>0.25000000000000799</v>
      </c>
      <c r="B591" s="153"/>
      <c r="C591" s="130"/>
      <c r="D591" s="135"/>
      <c r="E591" s="130"/>
      <c r="F591" s="135"/>
      <c r="G591" s="130"/>
      <c r="H591" s="135"/>
      <c r="I591" s="130"/>
      <c r="J591" s="135"/>
      <c r="K591" s="130"/>
      <c r="L591" s="135"/>
      <c r="M591" s="130"/>
      <c r="N591" s="135"/>
      <c r="O591" s="154"/>
      <c r="P591" s="6">
        <v>0</v>
      </c>
      <c r="Q591" s="110" t="str">
        <f t="shared" ref="Q591:Q596" si="347">Q590</f>
        <v>Estudo Autónomo</v>
      </c>
      <c r="R591" s="105" t="str">
        <f t="shared" ref="R591:R626" si="348">R534</f>
        <v>FP</v>
      </c>
      <c r="S591" s="88">
        <f t="shared" si="345"/>
        <v>-1</v>
      </c>
      <c r="T591" s="89">
        <f>IF(VLOOKUP(Q591,'INFO BASE'!$B$40:$I$54,IF(R591='INFO BASE'!$B$32,3,IF(R591='INFO BASE'!$B$33,4,IF(R591='INFO BASE'!$B$34,5,IF(R591='INFO BASE'!$B$35,6,IF(R591='INFO BASE'!$B$36,7,IF(R591='INFO BASE'!$B$37,8,2)))))),0)=0,"",VLOOKUP(Q591,'INFO BASE'!$B$40:$I$54,IF(R591='INFO BASE'!$B$32,3,IF(R591='INFO BASE'!$B$33,4,IF(R591='INFO BASE'!$B$34,5,IF(R591='INFO BASE'!$B$35,6,IF(R591='INFO BASE'!$B$36,7,IF(R591='INFO BASE'!$B$37,8,2)))))),0))</f>
        <v>5</v>
      </c>
      <c r="U591" s="89">
        <f>(COUNTIFS(C579:C626,R591,B579:B626,R590)+COUNTIFS(E579:E626,R591,D579:D626,R590)+COUNTIFS(G579:G626,R591,F579:F626,R590)+COUNTIFS(I579:I626,R591,H579:H626,R590)+COUNTIFS(K579:K626,R591,J579:J626,R590)+COUNTIFS(M579:M626,R591,L579:L626,R590)+COUNTIFS(O579:O626,R591,N579:N626,R590))*0.5</f>
        <v>0</v>
      </c>
      <c r="V591" s="89">
        <f>(COUNTIFS(AI579:AI626,R590,AJ579:AJ626,R591)+COUNTIFS(AK579:AK626,R590,AL579:AL626,R591)+COUNTIFS(AM579:AM626,R590,AN579:AN626,R591)+COUNTIFS(AO579:AO626,R590,AP579:AP626,R591)+COUNTIFS(AQ579:AQ626,R590,AR579:AR626,R591)+COUNTIFS(AS579:AS626,R590,AT579:AT626,R591)+COUNTIFS(AU579:AU626,R590,AV579:AV626,R591))*0.5</f>
        <v>0</v>
      </c>
      <c r="W591" s="90" t="str">
        <f>IF(AH575="","-",IF(V591=0,U591,IFERROR((U591/V591)-1,"-")))</f>
        <v>-</v>
      </c>
      <c r="X591" s="200">
        <f t="shared" si="346"/>
        <v>0</v>
      </c>
      <c r="Y591" s="299"/>
      <c r="Z591" s="300"/>
      <c r="AA591" s="300"/>
      <c r="AB591" s="300"/>
      <c r="AC591" s="300"/>
      <c r="AD591" s="300"/>
      <c r="AE591" s="300"/>
      <c r="AF591" s="301"/>
      <c r="AH591" s="136">
        <v>0.25000000000000799</v>
      </c>
      <c r="AI591" s="136" t="str">
        <f>IF(AH575="","",IF(B591="","",B591))</f>
        <v/>
      </c>
      <c r="AJ591" s="136" t="str">
        <f>IF(AH575="","",IF(C591="","",C591))</f>
        <v/>
      </c>
      <c r="AK591" s="136" t="str">
        <f>IF(AH575="","",IF(D591="","",D591))</f>
        <v/>
      </c>
      <c r="AL591" s="136" t="str">
        <f>IF(AH575="","",IF(E591="","",E591))</f>
        <v/>
      </c>
      <c r="AM591" s="136" t="str">
        <f>IF(AH575="","",IF(F591="","",F591))</f>
        <v/>
      </c>
      <c r="AN591" s="136" t="str">
        <f>IF(AH575="","",IF(G591="","",G591))</f>
        <v/>
      </c>
      <c r="AO591" s="136" t="str">
        <f>IF(AH575="","",IF(H591="","",H591))</f>
        <v/>
      </c>
      <c r="AP591" s="136" t="str">
        <f>IF(AH575="","",IF(I591="","",I591))</f>
        <v/>
      </c>
      <c r="AQ591" s="136" t="str">
        <f>IF(AH575="","",IF(J591="","",J591))</f>
        <v/>
      </c>
      <c r="AR591" s="136" t="str">
        <f>IF(AH575="","",IF(K591="","",K591))</f>
        <v/>
      </c>
      <c r="AS591" s="136" t="str">
        <f>IF(AH575="","",IF(L591="","",L591))</f>
        <v/>
      </c>
      <c r="AT591" s="136" t="str">
        <f>IF(AH575="","",IF(M591="","",M591))</f>
        <v/>
      </c>
      <c r="AU591" s="136" t="str">
        <f>IF(AH575="","",IF(N591="","",N591))</f>
        <v/>
      </c>
      <c r="AV591" s="136" t="str">
        <f>IF(AH575="","",IF(O591="","",O591))</f>
        <v/>
      </c>
      <c r="AX591" s="136" t="str">
        <f>IF(AI575="","",IF(B591="","",B591))</f>
        <v/>
      </c>
      <c r="AY591" s="136" t="str">
        <f>IF(AI575="","",IF(C591="","",C591))</f>
        <v/>
      </c>
      <c r="AZ591" s="136" t="str">
        <f>IF(AI575="","",IF(D591="","",D591))</f>
        <v/>
      </c>
      <c r="BA591" s="136" t="str">
        <f>IF(AI575="","",IF(E591="","",E591))</f>
        <v/>
      </c>
      <c r="BB591" s="136" t="str">
        <f>IF(AI575="","",IF(F591="","",F591))</f>
        <v/>
      </c>
      <c r="BC591" s="136" t="str">
        <f>IF(AI575="","",IF(G591="","",G591))</f>
        <v/>
      </c>
      <c r="BD591" s="136" t="str">
        <f>IF(AI575="","",IF(H591="","",H591))</f>
        <v/>
      </c>
      <c r="BE591" s="136" t="str">
        <f>IF(AI575="","",IF(I591="","",I591))</f>
        <v/>
      </c>
      <c r="BF591" s="136" t="str">
        <f>IF(AI575="","",IF(J591="","",J591))</f>
        <v/>
      </c>
      <c r="BG591" s="136" t="str">
        <f>IF(AI575="","",IF(K591="","",K591))</f>
        <v/>
      </c>
      <c r="BH591" s="136" t="str">
        <f>IF(AI575="","",IF(L591="","",L591))</f>
        <v/>
      </c>
      <c r="BI591" s="136" t="str">
        <f>IF(AI575="","",IF(M591="","",M591))</f>
        <v/>
      </c>
      <c r="BJ591" s="136" t="str">
        <f>IF(AI575="","",IF(N591="","",N591))</f>
        <v/>
      </c>
      <c r="BK591" s="136" t="str">
        <f>IF(AI575="","",IF(O591="","",O591))</f>
        <v/>
      </c>
      <c r="BM591" s="136" t="str">
        <f t="shared" si="344"/>
        <v>EA</v>
      </c>
      <c r="BN591" s="136" t="str">
        <f t="shared" si="341"/>
        <v>Estudo Autónomo</v>
      </c>
      <c r="BO591" s="136" t="str">
        <f t="shared" si="341"/>
        <v>AL</v>
      </c>
      <c r="BP591" s="136">
        <f>(COUNTIFS(AX579:AX626,BM591,AY579:AY626,BO591)+COUNTIFS(AZ579:AZ626,BM591,BA579:BA626,BO591)+COUNTIFS(BB579:BB626,BM591,BC579:BC626,BO591)+COUNTIFS(BD579:BD626,BM591,BE579:BE626,BO591)+COUNTIFS(BF579:BF626,BM591,BG579:BG626,BO591)+COUNTIFS(BH579:BH626,BM591,BI579:BI626,BO591)+COUNTIFS(BJ579:BJ626,BM591,BK579:BK626,BO591))*0.5</f>
        <v>0</v>
      </c>
      <c r="BQ591" s="136" t="str">
        <f t="shared" si="342"/>
        <v>Estudo Autónomo</v>
      </c>
      <c r="BR591" s="136" t="str">
        <f t="shared" si="342"/>
        <v>AL</v>
      </c>
      <c r="BS591" s="136" t="str">
        <f t="shared" si="343"/>
        <v>Estudo Autónomo</v>
      </c>
      <c r="BT591" s="136">
        <f t="shared" ref="BT591:BT623" si="349">SUMIFS(V:V,Q:Q,BQ591,R:R,BR591)</f>
        <v>24</v>
      </c>
      <c r="BU591" s="136">
        <f t="shared" ref="BU591:BU623" si="350">SUMIFS(BP:BP,BN:BN,BQ591,BO:BO,BR591)</f>
        <v>25.5</v>
      </c>
      <c r="CA591" s="136">
        <f>'INFO BASE'!L671</f>
        <v>0</v>
      </c>
      <c r="CB591" s="136">
        <f>'INFO BASE'!M671</f>
        <v>0</v>
      </c>
      <c r="CD591" s="136" t="str">
        <f>IF('INFO BASE'!E605="","",'INFO BASE'!E605)</f>
        <v/>
      </c>
      <c r="CR591" s="177">
        <f t="shared" si="331"/>
        <v>1</v>
      </c>
      <c r="CS591" s="177">
        <f t="shared" si="332"/>
        <v>1</v>
      </c>
      <c r="CT591" s="177">
        <f t="shared" si="331"/>
        <v>1</v>
      </c>
      <c r="CU591" s="177">
        <f t="shared" si="333"/>
        <v>1</v>
      </c>
      <c r="CV591" s="177">
        <f t="shared" si="331"/>
        <v>1</v>
      </c>
      <c r="CW591" s="177">
        <f t="shared" si="334"/>
        <v>1</v>
      </c>
      <c r="CX591" s="177">
        <f t="shared" si="331"/>
        <v>1</v>
      </c>
      <c r="CY591" s="177">
        <f t="shared" si="335"/>
        <v>1</v>
      </c>
      <c r="CZ591" s="177">
        <f t="shared" si="331"/>
        <v>1</v>
      </c>
      <c r="DA591" s="177">
        <f t="shared" si="336"/>
        <v>1</v>
      </c>
      <c r="DB591" s="177">
        <f t="shared" si="331"/>
        <v>1</v>
      </c>
      <c r="DC591" s="177">
        <f t="shared" si="337"/>
        <v>1</v>
      </c>
      <c r="DD591" s="177">
        <f t="shared" si="338"/>
        <v>1</v>
      </c>
      <c r="DE591" s="177">
        <f t="shared" si="339"/>
        <v>1</v>
      </c>
    </row>
    <row r="592" spans="1:109" ht="18" customHeight="1" x14ac:dyDescent="0.3">
      <c r="A592" s="81">
        <v>0.27083333333334197</v>
      </c>
      <c r="B592" s="153"/>
      <c r="C592" s="130"/>
      <c r="D592" s="135"/>
      <c r="E592" s="130"/>
      <c r="F592" s="135"/>
      <c r="G592" s="130"/>
      <c r="H592" s="135"/>
      <c r="I592" s="130"/>
      <c r="J592" s="135"/>
      <c r="K592" s="130"/>
      <c r="L592" s="135"/>
      <c r="M592" s="130"/>
      <c r="N592" s="135"/>
      <c r="O592" s="154"/>
      <c r="P592" s="6">
        <v>0</v>
      </c>
      <c r="Q592" s="110" t="str">
        <f t="shared" si="347"/>
        <v>Estudo Autónomo</v>
      </c>
      <c r="R592" s="105" t="str">
        <f t="shared" si="348"/>
        <v>IEI</v>
      </c>
      <c r="S592" s="88">
        <f t="shared" si="345"/>
        <v>-1</v>
      </c>
      <c r="T592" s="89">
        <f>IF(VLOOKUP(Q592,'INFO BASE'!$B$40:$I$54,IF(R592='INFO BASE'!$B$32,3,IF(R592='INFO BASE'!$B$33,4,IF(R592='INFO BASE'!$B$34,5,IF(R592='INFO BASE'!$B$35,6,IF(R592='INFO BASE'!$B$36,7,IF(R592='INFO BASE'!$B$37,8,2)))))),0)=0,"",VLOOKUP(Q592,'INFO BASE'!$B$40:$I$54,IF(R592='INFO BASE'!$B$32,3,IF(R592='INFO BASE'!$B$33,4,IF(R592='INFO BASE'!$B$34,5,IF(R592='INFO BASE'!$B$35,6,IF(R592='INFO BASE'!$B$36,7,IF(R592='INFO BASE'!$B$37,8,2)))))),0))</f>
        <v>2</v>
      </c>
      <c r="U592" s="89">
        <f>(COUNTIFS(C579:C626,R592,B579:B626,R590)+COUNTIFS(E579:E626,R592,D579:D626,R590)+COUNTIFS(G579:G626,R592,F579:F626,R590)+COUNTIFS(I579:I626,R592,H579:H626,R590)+COUNTIFS(K579:K626,R592,J579:J626,R590)+COUNTIFS(M579:M626,R592,L579:L626,R590)+COUNTIFS(O579:O626,R592,N579:N626,R590))*0.5</f>
        <v>0</v>
      </c>
      <c r="V592" s="89">
        <f>(COUNTIFS(AI579:AI626,R590,AJ579:AJ626,R592)+COUNTIFS(AK579:AK626,R590,AL579:AL626,R592)+COUNTIFS(AM579:AM626,R590,AN579:AN626,R592)+COUNTIFS(AO579:AO626,R590,AP579:AP626,R592)+COUNTIFS(AQ579:AQ626,R590,AR579:AR626,R592)+COUNTIFS(AS579:AS626,R590,AT579:AT626,R592)+COUNTIFS(AU579:AU626,R590,AV579:AV626,R592))*0.5</f>
        <v>0</v>
      </c>
      <c r="W592" s="90" t="str">
        <f>IF(AH575="","-",IF(V592=0,U592,IFERROR((U592/V592)-1,"-")))</f>
        <v>-</v>
      </c>
      <c r="X592" s="200">
        <f t="shared" si="346"/>
        <v>0</v>
      </c>
      <c r="Y592" s="299"/>
      <c r="Z592" s="300"/>
      <c r="AA592" s="300"/>
      <c r="AB592" s="300"/>
      <c r="AC592" s="300"/>
      <c r="AD592" s="300"/>
      <c r="AE592" s="300"/>
      <c r="AF592" s="301"/>
      <c r="AH592" s="136">
        <v>0.27083333333334197</v>
      </c>
      <c r="AI592" s="136" t="str">
        <f>IF(AH575="","",IF(B592="","",B592))</f>
        <v/>
      </c>
      <c r="AJ592" s="136" t="str">
        <f>IF(AH575="","",IF(C592="","",C592))</f>
        <v/>
      </c>
      <c r="AK592" s="136" t="str">
        <f>IF(AH575="","",IF(D592="","",D592))</f>
        <v/>
      </c>
      <c r="AL592" s="136" t="str">
        <f>IF(AH575="","",IF(E592="","",E592))</f>
        <v/>
      </c>
      <c r="AM592" s="136" t="str">
        <f>IF(AH575="","",IF(F592="","",F592))</f>
        <v/>
      </c>
      <c r="AN592" s="136" t="str">
        <f>IF(AH575="","",IF(G592="","",G592))</f>
        <v/>
      </c>
      <c r="AO592" s="136" t="str">
        <f>IF(AH575="","",IF(H592="","",H592))</f>
        <v/>
      </c>
      <c r="AP592" s="136" t="str">
        <f>IF(AH575="","",IF(I592="","",I592))</f>
        <v/>
      </c>
      <c r="AQ592" s="136" t="str">
        <f>IF(AH575="","",IF(J592="","",J592))</f>
        <v/>
      </c>
      <c r="AR592" s="136" t="str">
        <f>IF(AH575="","",IF(K592="","",K592))</f>
        <v/>
      </c>
      <c r="AS592" s="136" t="str">
        <f>IF(AH575="","",IF(L592="","",L592))</f>
        <v/>
      </c>
      <c r="AT592" s="136" t="str">
        <f>IF(AH575="","",IF(M592="","",M592))</f>
        <v/>
      </c>
      <c r="AU592" s="136" t="str">
        <f>IF(AH575="","",IF(N592="","",N592))</f>
        <v/>
      </c>
      <c r="AV592" s="136" t="str">
        <f>IF(AH575="","",IF(O592="","",O592))</f>
        <v/>
      </c>
      <c r="AX592" s="136" t="str">
        <f>IF(AI575="","",IF(B592="","",B592))</f>
        <v/>
      </c>
      <c r="AY592" s="136" t="str">
        <f>IF(AI575="","",IF(C592="","",C592))</f>
        <v/>
      </c>
      <c r="AZ592" s="136" t="str">
        <f>IF(AI575="","",IF(D592="","",D592))</f>
        <v/>
      </c>
      <c r="BA592" s="136" t="str">
        <f>IF(AI575="","",IF(E592="","",E592))</f>
        <v/>
      </c>
      <c r="BB592" s="136" t="str">
        <f>IF(AI575="","",IF(F592="","",F592))</f>
        <v/>
      </c>
      <c r="BC592" s="136" t="str">
        <f>IF(AI575="","",IF(G592="","",G592))</f>
        <v/>
      </c>
      <c r="BD592" s="136" t="str">
        <f>IF(AI575="","",IF(H592="","",H592))</f>
        <v/>
      </c>
      <c r="BE592" s="136" t="str">
        <f>IF(AI575="","",IF(I592="","",I592))</f>
        <v/>
      </c>
      <c r="BF592" s="136" t="str">
        <f>IF(AI575="","",IF(J592="","",J592))</f>
        <v/>
      </c>
      <c r="BG592" s="136" t="str">
        <f>IF(AI575="","",IF(K592="","",K592))</f>
        <v/>
      </c>
      <c r="BH592" s="136" t="str">
        <f>IF(AI575="","",IF(L592="","",L592))</f>
        <v/>
      </c>
      <c r="BI592" s="136" t="str">
        <f>IF(AI575="","",IF(M592="","",M592))</f>
        <v/>
      </c>
      <c r="BJ592" s="136" t="str">
        <f>IF(AI575="","",IF(N592="","",N592))</f>
        <v/>
      </c>
      <c r="BK592" s="136" t="str">
        <f>IF(AI575="","",IF(O592="","",O592))</f>
        <v/>
      </c>
      <c r="BM592" s="136" t="str">
        <f t="shared" si="344"/>
        <v>EA</v>
      </c>
      <c r="BN592" s="136" t="str">
        <f t="shared" si="341"/>
        <v>Estudo Autónomo</v>
      </c>
      <c r="BO592" s="136" t="str">
        <f t="shared" si="341"/>
        <v>CDI</v>
      </c>
      <c r="BP592" s="136">
        <f>(COUNTIFS(AX579:AX626,BM592,AY579:AY626,BO592)+COUNTIFS(AZ579:AZ626,BM592,BA579:BA626,BO592)+COUNTIFS(BB579:BB626,BM592,BC579:BC626,BO592)+COUNTIFS(BD579:BD626,BM592,BE579:BE626,BO592)+COUNTIFS(BF579:BF626,BM592,BG579:BG626,BO592)+COUNTIFS(BH579:BH626,BM592,BI579:BI626,BO592)+COUNTIFS(BJ579:BJ626,BM592,BK579:BK626,BO592))*0.5</f>
        <v>0</v>
      </c>
      <c r="BQ592" s="136" t="str">
        <f t="shared" si="342"/>
        <v>Estudo Autónomo</v>
      </c>
      <c r="BR592" s="136" t="str">
        <f t="shared" si="342"/>
        <v>CDI</v>
      </c>
      <c r="BS592" s="136" t="str">
        <f t="shared" si="343"/>
        <v>Estudo Autónomo</v>
      </c>
      <c r="BT592" s="136">
        <f t="shared" si="349"/>
        <v>9.5</v>
      </c>
      <c r="BU592" s="136">
        <f t="shared" si="350"/>
        <v>7.5</v>
      </c>
      <c r="CA592" s="136">
        <f>'INFO BASE'!L672</f>
        <v>0</v>
      </c>
      <c r="CB592" s="136">
        <f>'INFO BASE'!M672</f>
        <v>0</v>
      </c>
      <c r="CD592" s="136" t="str">
        <f>IF('INFO BASE'!E606="","",'INFO BASE'!E606)</f>
        <v/>
      </c>
      <c r="CR592" s="177">
        <f t="shared" si="331"/>
        <v>1</v>
      </c>
      <c r="CS592" s="177">
        <f t="shared" si="332"/>
        <v>1</v>
      </c>
      <c r="CT592" s="177">
        <f t="shared" si="331"/>
        <v>1</v>
      </c>
      <c r="CU592" s="177">
        <f t="shared" si="333"/>
        <v>1</v>
      </c>
      <c r="CV592" s="177">
        <f t="shared" si="331"/>
        <v>1</v>
      </c>
      <c r="CW592" s="177">
        <f t="shared" si="334"/>
        <v>1</v>
      </c>
      <c r="CX592" s="177">
        <f t="shared" si="331"/>
        <v>1</v>
      </c>
      <c r="CY592" s="177">
        <f t="shared" si="335"/>
        <v>1</v>
      </c>
      <c r="CZ592" s="177">
        <f t="shared" si="331"/>
        <v>1</v>
      </c>
      <c r="DA592" s="177">
        <f t="shared" si="336"/>
        <v>1</v>
      </c>
      <c r="DB592" s="177">
        <f t="shared" si="331"/>
        <v>1</v>
      </c>
      <c r="DC592" s="177">
        <f t="shared" si="337"/>
        <v>1</v>
      </c>
      <c r="DD592" s="177">
        <f t="shared" si="338"/>
        <v>1</v>
      </c>
      <c r="DE592" s="177">
        <f t="shared" si="339"/>
        <v>1</v>
      </c>
    </row>
    <row r="593" spans="1:109" ht="18" customHeight="1" x14ac:dyDescent="0.3">
      <c r="A593" s="81">
        <v>0.29166666666667601</v>
      </c>
      <c r="B593" s="153"/>
      <c r="C593" s="130"/>
      <c r="D593" s="135"/>
      <c r="E593" s="130"/>
      <c r="F593" s="135"/>
      <c r="G593" s="130"/>
      <c r="H593" s="135"/>
      <c r="I593" s="130"/>
      <c r="J593" s="135"/>
      <c r="K593" s="130"/>
      <c r="L593" s="135"/>
      <c r="M593" s="130"/>
      <c r="N593" s="135"/>
      <c r="O593" s="154"/>
      <c r="P593" s="6">
        <v>0</v>
      </c>
      <c r="Q593" s="111" t="str">
        <f t="shared" si="347"/>
        <v>Estudo Autónomo</v>
      </c>
      <c r="R593" s="105" t="str">
        <f t="shared" si="348"/>
        <v>IAC</v>
      </c>
      <c r="S593" s="88">
        <f t="shared" si="345"/>
        <v>-1</v>
      </c>
      <c r="T593" s="89">
        <f>IF(VLOOKUP(Q593,'INFO BASE'!$B$40:$I$54,IF(R593='INFO BASE'!$B$32,3,IF(R593='INFO BASE'!$B$33,4,IF(R593='INFO BASE'!$B$34,5,IF(R593='INFO BASE'!$B$35,6,IF(R593='INFO BASE'!$B$36,7,IF(R593='INFO BASE'!$B$37,8,2)))))),0)=0,"",VLOOKUP(Q593,'INFO BASE'!$B$40:$I$54,IF(R593='INFO BASE'!$B$32,3,IF(R593='INFO BASE'!$B$33,4,IF(R593='INFO BASE'!$B$34,5,IF(R593='INFO BASE'!$B$35,6,IF(R593='INFO BASE'!$B$36,7,IF(R593='INFO BASE'!$B$37,8,2)))))),0))</f>
        <v>2</v>
      </c>
      <c r="U593" s="89">
        <f>(COUNTIFS(C579:C626,R593,B579:B626,R590)+COUNTIFS(E579:E626,R593,D579:D626,R590)+COUNTIFS(G579:G626,R593,F579:F626,R590)+COUNTIFS(I579:I626,R593,H579:H626,R590)+COUNTIFS(K579:K626,R593,J579:J626,R590)+COUNTIFS(M579:M626,R593,L579:L626,R590)+COUNTIFS(O579:O626,R593,N579:N626,R590))*0.5</f>
        <v>0</v>
      </c>
      <c r="V593" s="89">
        <f>(COUNTIFS(AI579:AI626,R590,AJ579:AJ626,R593)+COUNTIFS(AK579:AK626,R590,AL579:AL626,R593)+COUNTIFS(AM579:AM626,R590,AN579:AN626,R593)+COUNTIFS(AO579:AO626,R590,AP579:AP626,R593)+COUNTIFS(AQ579:AQ626,R590,AR579:AR626,R593)+COUNTIFS(AS579:AS626,R590,AT579:AT626,R593)+COUNTIFS(AU579:AU626,R590,AV579:AV626,R593))*0.5</f>
        <v>0</v>
      </c>
      <c r="W593" s="90" t="str">
        <f>IF(AH575="","-",IF(V593=0,U593,IFERROR((U593/V593)-1,"-")))</f>
        <v>-</v>
      </c>
      <c r="X593" s="200">
        <f t="shared" si="346"/>
        <v>0</v>
      </c>
      <c r="Y593" s="299"/>
      <c r="Z593" s="300"/>
      <c r="AA593" s="300"/>
      <c r="AB593" s="300"/>
      <c r="AC593" s="300"/>
      <c r="AD593" s="300"/>
      <c r="AE593" s="300"/>
      <c r="AF593" s="301"/>
      <c r="AH593" s="136">
        <v>0.29166666666667601</v>
      </c>
      <c r="AI593" s="136" t="str">
        <f>IF(AH575="","",IF(B593="","",B593))</f>
        <v/>
      </c>
      <c r="AJ593" s="136" t="str">
        <f>IF(AH575="","",IF(C593="","",C593))</f>
        <v/>
      </c>
      <c r="AK593" s="136" t="str">
        <f>IF(AH575="","",IF(D593="","",D593))</f>
        <v/>
      </c>
      <c r="AL593" s="136" t="str">
        <f>IF(AH575="","",IF(E593="","",E593))</f>
        <v/>
      </c>
      <c r="AM593" s="136" t="str">
        <f>IF(AH575="","",IF(F593="","",F593))</f>
        <v/>
      </c>
      <c r="AN593" s="136" t="str">
        <f>IF(AH575="","",IF(G593="","",G593))</f>
        <v/>
      </c>
      <c r="AO593" s="136" t="str">
        <f>IF(AH575="","",IF(H593="","",H593))</f>
        <v/>
      </c>
      <c r="AP593" s="136" t="str">
        <f>IF(AH575="","",IF(I593="","",I593))</f>
        <v/>
      </c>
      <c r="AQ593" s="136" t="str">
        <f>IF(AH575="","",IF(J593="","",J593))</f>
        <v/>
      </c>
      <c r="AR593" s="136" t="str">
        <f>IF(AH575="","",IF(K593="","",K593))</f>
        <v/>
      </c>
      <c r="AS593" s="136" t="str">
        <f>IF(AH575="","",IF(L593="","",L593))</f>
        <v/>
      </c>
      <c r="AT593" s="136" t="str">
        <f>IF(AH575="","",IF(M593="","",M593))</f>
        <v/>
      </c>
      <c r="AU593" s="136" t="str">
        <f>IF(AH575="","",IF(N593="","",N593))</f>
        <v/>
      </c>
      <c r="AV593" s="136" t="str">
        <f>IF(AH575="","",IF(O593="","",O593))</f>
        <v/>
      </c>
      <c r="AX593" s="136" t="str">
        <f>IF(AI575="","",IF(B593="","",B593))</f>
        <v/>
      </c>
      <c r="AY593" s="136" t="str">
        <f>IF(AI575="","",IF(C593="","",C593))</f>
        <v/>
      </c>
      <c r="AZ593" s="136" t="str">
        <f>IF(AI575="","",IF(D593="","",D593))</f>
        <v/>
      </c>
      <c r="BA593" s="136" t="str">
        <f>IF(AI575="","",IF(E593="","",E593))</f>
        <v/>
      </c>
      <c r="BB593" s="136" t="str">
        <f>IF(AI575="","",IF(F593="","",F593))</f>
        <v/>
      </c>
      <c r="BC593" s="136" t="str">
        <f>IF(AI575="","",IF(G593="","",G593))</f>
        <v/>
      </c>
      <c r="BD593" s="136" t="str">
        <f>IF(AI575="","",IF(H593="","",H593))</f>
        <v/>
      </c>
      <c r="BE593" s="136" t="str">
        <f>IF(AI575="","",IF(I593="","",I593))</f>
        <v/>
      </c>
      <c r="BF593" s="136" t="str">
        <f>IF(AI575="","",IF(J593="","",J593))</f>
        <v/>
      </c>
      <c r="BG593" s="136" t="str">
        <f>IF(AI575="","",IF(K593="","",K593))</f>
        <v/>
      </c>
      <c r="BH593" s="136" t="str">
        <f>IF(AI575="","",IF(L593="","",L593))</f>
        <v/>
      </c>
      <c r="BI593" s="136" t="str">
        <f>IF(AI575="","",IF(M593="","",M593))</f>
        <v/>
      </c>
      <c r="BJ593" s="136" t="str">
        <f>IF(AI575="","",IF(N593="","",N593))</f>
        <v/>
      </c>
      <c r="BK593" s="136" t="str">
        <f>IF(AI575="","",IF(O593="","",O593))</f>
        <v/>
      </c>
      <c r="BM593" s="136" t="str">
        <f t="shared" si="344"/>
        <v>EA</v>
      </c>
      <c r="BN593" s="136" t="str">
        <f t="shared" si="341"/>
        <v>Estudo Autónomo</v>
      </c>
      <c r="BO593" s="136" t="str">
        <f t="shared" si="341"/>
        <v/>
      </c>
      <c r="BP593" s="136">
        <f>(COUNTIFS(AX579:AX626,BM593,AY579:AY626,BO593)+COUNTIFS(AZ579:AZ626,BM593,BA579:BA626,BO593)+COUNTIFS(BB579:BB626,BM593,BC579:BC626,BO593)+COUNTIFS(BD579:BD626,BM593,BE579:BE626,BO593)+COUNTIFS(BF579:BF626,BM593,BG579:BG626,BO593)+COUNTIFS(BH579:BH626,BM593,BI579:BI626,BO593)+COUNTIFS(BJ579:BJ626,BM593,BK579:BK626,BO593))*0.5</f>
        <v>0</v>
      </c>
      <c r="BQ593" s="136" t="str">
        <f t="shared" si="342"/>
        <v>Estudo Autónomo</v>
      </c>
      <c r="BR593" s="136" t="str">
        <f t="shared" si="342"/>
        <v/>
      </c>
      <c r="BS593" s="136" t="str">
        <f t="shared" si="343"/>
        <v>Estudo Autónomo</v>
      </c>
      <c r="BT593" s="136">
        <f t="shared" si="349"/>
        <v>0</v>
      </c>
      <c r="BU593" s="136">
        <f t="shared" si="350"/>
        <v>0</v>
      </c>
      <c r="CA593" s="136">
        <f>'INFO BASE'!L673</f>
        <v>0</v>
      </c>
      <c r="CB593" s="136">
        <f>'INFO BASE'!M673</f>
        <v>0</v>
      </c>
      <c r="CD593" s="136" t="str">
        <f>IF('INFO BASE'!E607="","",'INFO BASE'!E607)</f>
        <v/>
      </c>
      <c r="CR593" s="177">
        <f t="shared" si="331"/>
        <v>1</v>
      </c>
      <c r="CS593" s="177">
        <f t="shared" si="332"/>
        <v>1</v>
      </c>
      <c r="CT593" s="177">
        <f t="shared" si="331"/>
        <v>1</v>
      </c>
      <c r="CU593" s="177">
        <f t="shared" si="333"/>
        <v>1</v>
      </c>
      <c r="CV593" s="177">
        <f t="shared" si="331"/>
        <v>1</v>
      </c>
      <c r="CW593" s="177">
        <f t="shared" si="334"/>
        <v>1</v>
      </c>
      <c r="CX593" s="177">
        <f t="shared" si="331"/>
        <v>1</v>
      </c>
      <c r="CY593" s="177">
        <f t="shared" si="335"/>
        <v>1</v>
      </c>
      <c r="CZ593" s="177">
        <f t="shared" si="331"/>
        <v>1</v>
      </c>
      <c r="DA593" s="177">
        <f t="shared" si="336"/>
        <v>1</v>
      </c>
      <c r="DB593" s="177">
        <f t="shared" si="331"/>
        <v>1</v>
      </c>
      <c r="DC593" s="177">
        <f t="shared" si="337"/>
        <v>1</v>
      </c>
      <c r="DD593" s="177">
        <f t="shared" si="338"/>
        <v>1</v>
      </c>
      <c r="DE593" s="177">
        <f t="shared" si="339"/>
        <v>1</v>
      </c>
    </row>
    <row r="594" spans="1:109" ht="18" customHeight="1" x14ac:dyDescent="0.3">
      <c r="A594" s="81">
        <v>0.31250000000000999</v>
      </c>
      <c r="B594" s="153"/>
      <c r="C594" s="130"/>
      <c r="D594" s="135"/>
      <c r="E594" s="130"/>
      <c r="F594" s="135"/>
      <c r="G594" s="130"/>
      <c r="H594" s="135"/>
      <c r="I594" s="130"/>
      <c r="J594" s="135"/>
      <c r="K594" s="130"/>
      <c r="L594" s="135"/>
      <c r="M594" s="130"/>
      <c r="N594" s="135"/>
      <c r="O594" s="154"/>
      <c r="P594" s="6">
        <v>0</v>
      </c>
      <c r="Q594" s="110" t="str">
        <f t="shared" si="347"/>
        <v>Estudo Autónomo</v>
      </c>
      <c r="R594" s="105" t="str">
        <f t="shared" si="348"/>
        <v>AL</v>
      </c>
      <c r="S594" s="88">
        <f t="shared" si="345"/>
        <v>-1</v>
      </c>
      <c r="T594" s="89">
        <f>IF(VLOOKUP(Q594,'INFO BASE'!$B$40:$I$54,IF(R594='INFO BASE'!$B$32,3,IF(R594='INFO BASE'!$B$33,4,IF(R594='INFO BASE'!$B$34,5,IF(R594='INFO BASE'!$B$35,6,IF(R594='INFO BASE'!$B$36,7,IF(R594='INFO BASE'!$B$37,8,2)))))),0)=0,"",VLOOKUP(Q594,'INFO BASE'!$B$40:$I$54,IF(R594='INFO BASE'!$B$32,3,IF(R594='INFO BASE'!$B$33,4,IF(R594='INFO BASE'!$B$34,5,IF(R594='INFO BASE'!$B$35,6,IF(R594='INFO BASE'!$B$36,7,IF(R594='INFO BASE'!$B$37,8,2)))))),0))</f>
        <v>5</v>
      </c>
      <c r="U594" s="89">
        <f>(COUNTIFS(C579:C626,R594,B579:B626,R590)+COUNTIFS(E579:E626,R594,D579:D626,R590)+COUNTIFS(G579:G626,R594,F579:F626,R590)+COUNTIFS(I579:I626,R594,H579:H626,R590)+COUNTIFS(K579:K626,R594,J579:J626,R590)+COUNTIFS(M579:M626,R594,L579:L626,R590)+COUNTIFS(O579:O626,R594,N579:N626,R590))*0.5</f>
        <v>0</v>
      </c>
      <c r="V594" s="89">
        <f>(COUNTIFS(AI579:AI626,R590,AJ579:AJ626,R594)+COUNTIFS(AK579:AK626,R590,AL579:AL626,R594)+COUNTIFS(AM579:AM626,R590,AN579:AN626,R594)+COUNTIFS(AO579:AO626,R590,AP579:AP626,R594)+COUNTIFS(AQ579:AQ626,R590,AR579:AR626,R594)+COUNTIFS(AS579:AS626,R590,AT579:AT626,R594)+COUNTIFS(AU579:AU626,R590,AV579:AV626,R594))*0.5</f>
        <v>0</v>
      </c>
      <c r="W594" s="90" t="str">
        <f>IF(AH575="","-",IF(V594=0,U594,IFERROR((U594/V594)-1,"-")))</f>
        <v>-</v>
      </c>
      <c r="X594" s="200">
        <f t="shared" si="346"/>
        <v>0</v>
      </c>
      <c r="Y594" s="299"/>
      <c r="Z594" s="300"/>
      <c r="AA594" s="300"/>
      <c r="AB594" s="300"/>
      <c r="AC594" s="300"/>
      <c r="AD594" s="300"/>
      <c r="AE594" s="300"/>
      <c r="AF594" s="301"/>
      <c r="AH594" s="136">
        <v>0.31250000000000999</v>
      </c>
      <c r="AI594" s="136" t="str">
        <f>IF(AH575="","",IF(B594="","",B594))</f>
        <v/>
      </c>
      <c r="AJ594" s="136" t="str">
        <f>IF(AH575="","",IF(C594="","",C594))</f>
        <v/>
      </c>
      <c r="AK594" s="136" t="str">
        <f>IF(AH575="","",IF(D594="","",D594))</f>
        <v/>
      </c>
      <c r="AL594" s="136" t="str">
        <f>IF(AH575="","",IF(E594="","",E594))</f>
        <v/>
      </c>
      <c r="AM594" s="136" t="str">
        <f>IF(AH575="","",IF(F594="","",F594))</f>
        <v/>
      </c>
      <c r="AN594" s="136" t="str">
        <f>IF(AH575="","",IF(G594="","",G594))</f>
        <v/>
      </c>
      <c r="AO594" s="136" t="str">
        <f>IF(AH575="","",IF(H594="","",H594))</f>
        <v/>
      </c>
      <c r="AP594" s="136" t="str">
        <f>IF(AH575="","",IF(I594="","",I594))</f>
        <v/>
      </c>
      <c r="AQ594" s="136" t="str">
        <f>IF(AH575="","",IF(J594="","",J594))</f>
        <v/>
      </c>
      <c r="AR594" s="136" t="str">
        <f>IF(AH575="","",IF(K594="","",K594))</f>
        <v/>
      </c>
      <c r="AS594" s="136" t="str">
        <f>IF(AH575="","",IF(L594="","",L594))</f>
        <v/>
      </c>
      <c r="AT594" s="136" t="str">
        <f>IF(AH575="","",IF(M594="","",M594))</f>
        <v/>
      </c>
      <c r="AU594" s="136" t="str">
        <f>IF(AH575="","",IF(N594="","",N594))</f>
        <v/>
      </c>
      <c r="AV594" s="136" t="str">
        <f>IF(AH575="","",IF(O594="","",O594))</f>
        <v/>
      </c>
      <c r="AX594" s="136" t="str">
        <f>IF(AI575="","",IF(B594="","",B594))</f>
        <v/>
      </c>
      <c r="AY594" s="136" t="str">
        <f>IF(AI575="","",IF(C594="","",C594))</f>
        <v/>
      </c>
      <c r="AZ594" s="136" t="str">
        <f>IF(AI575="","",IF(D594="","",D594))</f>
        <v/>
      </c>
      <c r="BA594" s="136" t="str">
        <f>IF(AI575="","",IF(E594="","",E594))</f>
        <v/>
      </c>
      <c r="BB594" s="136" t="str">
        <f>IF(AI575="","",IF(F594="","",F594))</f>
        <v/>
      </c>
      <c r="BC594" s="136" t="str">
        <f>IF(AI575="","",IF(G594="","",G594))</f>
        <v/>
      </c>
      <c r="BD594" s="136" t="str">
        <f>IF(AI575="","",IF(H594="","",H594))</f>
        <v/>
      </c>
      <c r="BE594" s="136" t="str">
        <f>IF(AI575="","",IF(I594="","",I594))</f>
        <v/>
      </c>
      <c r="BF594" s="136" t="str">
        <f>IF(AI575="","",IF(J594="","",J594))</f>
        <v/>
      </c>
      <c r="BG594" s="136" t="str">
        <f>IF(AI575="","",IF(K594="","",K594))</f>
        <v/>
      </c>
      <c r="BH594" s="136" t="str">
        <f>IF(AI575="","",IF(L594="","",L594))</f>
        <v/>
      </c>
      <c r="BI594" s="136" t="str">
        <f>IF(AI575="","",IF(M594="","",M594))</f>
        <v/>
      </c>
      <c r="BJ594" s="136" t="str">
        <f>IF(AI575="","",IF(N594="","",N594))</f>
        <v/>
      </c>
      <c r="BK594" s="136" t="str">
        <f>IF(AI575="","",IF(O594="","",O594))</f>
        <v/>
      </c>
      <c r="BM594" s="136" t="str">
        <f>BO594</f>
        <v>EG</v>
      </c>
      <c r="BN594" s="136" t="str">
        <f t="shared" si="341"/>
        <v>Estudo em Grupo</v>
      </c>
      <c r="BO594" s="136" t="str">
        <f t="shared" si="341"/>
        <v>EG</v>
      </c>
      <c r="BP594" s="136">
        <f>COUNTIFS(AX579:BK626,BO594)*0.5</f>
        <v>0</v>
      </c>
      <c r="BQ594" s="136" t="str">
        <f t="shared" si="342"/>
        <v>Estudo em Grupo</v>
      </c>
      <c r="BR594" s="136" t="str">
        <f t="shared" si="342"/>
        <v>EG</v>
      </c>
      <c r="BS594" s="136" t="str">
        <f t="shared" si="343"/>
        <v>Estudo em Grupo</v>
      </c>
      <c r="BT594" s="136">
        <f t="shared" si="349"/>
        <v>46.5</v>
      </c>
      <c r="BU594" s="136">
        <f t="shared" si="350"/>
        <v>55.5</v>
      </c>
      <c r="CA594" s="136">
        <f>'INFO BASE'!L674</f>
        <v>0</v>
      </c>
      <c r="CB594" s="136">
        <f>'INFO BASE'!M674</f>
        <v>0</v>
      </c>
      <c r="CD594" s="136" t="str">
        <f>IF('INFO BASE'!E608="","",'INFO BASE'!E608)</f>
        <v/>
      </c>
      <c r="CR594" s="177">
        <f t="shared" si="331"/>
        <v>1</v>
      </c>
      <c r="CS594" s="177">
        <f t="shared" si="332"/>
        <v>1</v>
      </c>
      <c r="CT594" s="177">
        <f t="shared" si="331"/>
        <v>1</v>
      </c>
      <c r="CU594" s="177">
        <f t="shared" si="333"/>
        <v>1</v>
      </c>
      <c r="CV594" s="177">
        <f t="shared" si="331"/>
        <v>1</v>
      </c>
      <c r="CW594" s="177">
        <f t="shared" si="334"/>
        <v>1</v>
      </c>
      <c r="CX594" s="177">
        <f t="shared" si="331"/>
        <v>1</v>
      </c>
      <c r="CY594" s="177">
        <f t="shared" si="335"/>
        <v>1</v>
      </c>
      <c r="CZ594" s="177">
        <f t="shared" si="331"/>
        <v>1</v>
      </c>
      <c r="DA594" s="177">
        <f t="shared" si="336"/>
        <v>1</v>
      </c>
      <c r="DB594" s="177">
        <f t="shared" si="331"/>
        <v>1</v>
      </c>
      <c r="DC594" s="177">
        <f t="shared" si="337"/>
        <v>1</v>
      </c>
      <c r="DD594" s="177">
        <f t="shared" si="338"/>
        <v>1</v>
      </c>
      <c r="DE594" s="177">
        <f t="shared" si="339"/>
        <v>1</v>
      </c>
    </row>
    <row r="595" spans="1:109" ht="18" customHeight="1" x14ac:dyDescent="0.3">
      <c r="A595" s="81">
        <v>0.33333333333334397</v>
      </c>
      <c r="B595" s="153"/>
      <c r="C595" s="130"/>
      <c r="D595" s="135"/>
      <c r="E595" s="130"/>
      <c r="F595" s="135"/>
      <c r="G595" s="130"/>
      <c r="H595" s="135"/>
      <c r="I595" s="130"/>
      <c r="J595" s="135"/>
      <c r="K595" s="130"/>
      <c r="L595" s="135"/>
      <c r="M595" s="130"/>
      <c r="N595" s="135"/>
      <c r="O595" s="154"/>
      <c r="P595" s="6">
        <v>0</v>
      </c>
      <c r="Q595" s="110" t="str">
        <f t="shared" si="347"/>
        <v>Estudo Autónomo</v>
      </c>
      <c r="R595" s="105" t="str">
        <f t="shared" si="348"/>
        <v>CDI</v>
      </c>
      <c r="S595" s="88">
        <f t="shared" si="345"/>
        <v>-1</v>
      </c>
      <c r="T595" s="89">
        <f>IF(VLOOKUP(Q595,'INFO BASE'!$B$40:$I$54,IF(R595='INFO BASE'!$B$32,3,IF(R595='INFO BASE'!$B$33,4,IF(R595='INFO BASE'!$B$34,5,IF(R595='INFO BASE'!$B$35,6,IF(R595='INFO BASE'!$B$36,7,IF(R595='INFO BASE'!$B$37,8,2)))))),0)=0,"",VLOOKUP(Q595,'INFO BASE'!$B$40:$I$54,IF(R595='INFO BASE'!$B$32,3,IF(R595='INFO BASE'!$B$33,4,IF(R595='INFO BASE'!$B$34,5,IF(R595='INFO BASE'!$B$35,6,IF(R595='INFO BASE'!$B$36,7,IF(R595='INFO BASE'!$B$37,8,2)))))),0))</f>
        <v>5</v>
      </c>
      <c r="U595" s="89">
        <f>(COUNTIFS(C579:C626,R595,B579:B626,R590)+COUNTIFS(E579:E626,R595,D579:D626,R590)+COUNTIFS(G579:G626,R595,F579:F626,R590)+COUNTIFS(I579:I626,R595,H579:H626,R590)+COUNTIFS(K579:K626,R595,J579:J626,R590)+COUNTIFS(M579:M626,R595,L579:L626,R590)+COUNTIFS(O579:O626,R595,N579:N626,R590))*0.5</f>
        <v>0</v>
      </c>
      <c r="V595" s="89">
        <f>(COUNTIFS(AI579:AI626,R590,AJ579:AJ626,R595)+COUNTIFS(AK579:AK626,R590,AL579:AL626,R595)+COUNTIFS(AM579:AM626,R590,AN579:AN626,R595)+COUNTIFS(AO579:AO626,R590,AP579:AP626,R595)+COUNTIFS(AQ579:AQ626,R590,AR579:AR626,R595)+COUNTIFS(AS579:AS626,R590,AT579:AT626,R595)+COUNTIFS(AU579:AU626,R590,AV579:AV626,R595))*0.5</f>
        <v>0</v>
      </c>
      <c r="W595" s="90" t="str">
        <f>IF(AH575="","-",IF(V595=0,U595,IFERROR((U595/V595)-1,"-")))</f>
        <v>-</v>
      </c>
      <c r="X595" s="200">
        <f t="shared" si="346"/>
        <v>0</v>
      </c>
      <c r="Y595" s="299"/>
      <c r="Z595" s="300"/>
      <c r="AA595" s="300"/>
      <c r="AB595" s="300"/>
      <c r="AC595" s="300"/>
      <c r="AD595" s="300"/>
      <c r="AE595" s="300"/>
      <c r="AF595" s="301"/>
      <c r="AH595" s="136">
        <v>0.33333333333334397</v>
      </c>
      <c r="AI595" s="136" t="str">
        <f>IF(AH575="","",IF(B595="","",B595))</f>
        <v/>
      </c>
      <c r="AJ595" s="136" t="str">
        <f>IF(AH575="","",IF(C595="","",C595))</f>
        <v/>
      </c>
      <c r="AK595" s="136" t="str">
        <f>IF(AH575="","",IF(D595="","",D595))</f>
        <v/>
      </c>
      <c r="AL595" s="136" t="str">
        <f>IF(AH575="","",IF(E595="","",E595))</f>
        <v/>
      </c>
      <c r="AM595" s="136" t="str">
        <f>IF(AH575="","",IF(F595="","",F595))</f>
        <v/>
      </c>
      <c r="AN595" s="136" t="str">
        <f>IF(AH575="","",IF(G595="","",G595))</f>
        <v/>
      </c>
      <c r="AO595" s="136" t="str">
        <f>IF(AH575="","",IF(H595="","",H595))</f>
        <v/>
      </c>
      <c r="AP595" s="136" t="str">
        <f>IF(AH575="","",IF(I595="","",I595))</f>
        <v/>
      </c>
      <c r="AQ595" s="136" t="str">
        <f>IF(AH575="","",IF(J595="","",J595))</f>
        <v/>
      </c>
      <c r="AR595" s="136" t="str">
        <f>IF(AH575="","",IF(K595="","",K595))</f>
        <v/>
      </c>
      <c r="AS595" s="136" t="str">
        <f>IF(AH575="","",IF(L595="","",L595))</f>
        <v/>
      </c>
      <c r="AT595" s="136" t="str">
        <f>IF(AH575="","",IF(M595="","",M595))</f>
        <v/>
      </c>
      <c r="AU595" s="136" t="str">
        <f>IF(AH575="","",IF(N595="","",N595))</f>
        <v/>
      </c>
      <c r="AV595" s="136" t="str">
        <f>IF(AH575="","",IF(O595="","",O595))</f>
        <v/>
      </c>
      <c r="AX595" s="136" t="str">
        <f>IF(AI575="","",IF(B595="","",B595))</f>
        <v/>
      </c>
      <c r="AY595" s="136" t="str">
        <f>IF(AI575="","",IF(C595="","",C595))</f>
        <v/>
      </c>
      <c r="AZ595" s="136" t="str">
        <f>IF(AI575="","",IF(D595="","",D595))</f>
        <v/>
      </c>
      <c r="BA595" s="136" t="str">
        <f>IF(AI575="","",IF(E595="","",E595))</f>
        <v/>
      </c>
      <c r="BB595" s="136" t="str">
        <f>IF(AI575="","",IF(F595="","",F595))</f>
        <v/>
      </c>
      <c r="BC595" s="136" t="str">
        <f>IF(AI575="","",IF(G595="","",G595))</f>
        <v/>
      </c>
      <c r="BD595" s="136" t="str">
        <f>IF(AI575="","",IF(H595="","",H595))</f>
        <v/>
      </c>
      <c r="BE595" s="136" t="str">
        <f>IF(AI575="","",IF(I595="","",I595))</f>
        <v/>
      </c>
      <c r="BF595" s="136" t="str">
        <f>IF(AI575="","",IF(J595="","",J595))</f>
        <v/>
      </c>
      <c r="BG595" s="136" t="str">
        <f>IF(AI575="","",IF(K595="","",K595))</f>
        <v/>
      </c>
      <c r="BH595" s="136" t="str">
        <f>IF(AI575="","",IF(L595="","",L595))</f>
        <v/>
      </c>
      <c r="BI595" s="136" t="str">
        <f>IF(AI575="","",IF(M595="","",M595))</f>
        <v/>
      </c>
      <c r="BJ595" s="136" t="str">
        <f>IF(AI575="","",IF(N595="","",N595))</f>
        <v/>
      </c>
      <c r="BK595" s="136" t="str">
        <f>IF(AI575="","",IF(O595="","",O595))</f>
        <v/>
      </c>
      <c r="BM595" s="136" t="str">
        <f>BM594</f>
        <v>EG</v>
      </c>
      <c r="BN595" s="136" t="str">
        <f t="shared" si="341"/>
        <v>Estudo em Grupo</v>
      </c>
      <c r="BO595" s="136" t="str">
        <f t="shared" si="341"/>
        <v>FP</v>
      </c>
      <c r="BP595" s="136">
        <f>(COUNTIFS(AX579:AX626,BM595,AY579:AY626,BO595)+COUNTIFS(AZ579:AZ626,BM595,BA579:BA626,BO595)+COUNTIFS(BB579:BB626,BM595,BC579:BC626,BO595)+COUNTIFS(BD579:BD626,BM595,BE579:BE626,BO595)+COUNTIFS(BF579:BF626,BM595,BG579:BG626,BO595)+COUNTIFS(BH579:BH626,BM595,BI579:BI626,BO595)+COUNTIFS(BJ579:BJ626,BM595,BK579:BK626,BO595))*0.5</f>
        <v>0</v>
      </c>
      <c r="BQ595" s="136" t="str">
        <f t="shared" si="342"/>
        <v>Estudo em Grupo</v>
      </c>
      <c r="BR595" s="136" t="str">
        <f t="shared" si="342"/>
        <v>FP</v>
      </c>
      <c r="BS595" s="136" t="str">
        <f t="shared" si="343"/>
        <v>Estudo em Grupo</v>
      </c>
      <c r="BT595" s="136">
        <f t="shared" si="349"/>
        <v>11</v>
      </c>
      <c r="BU595" s="136">
        <f t="shared" si="350"/>
        <v>12</v>
      </c>
      <c r="CA595" s="136">
        <f>'INFO BASE'!L675</f>
        <v>0</v>
      </c>
      <c r="CB595" s="136">
        <f>'INFO BASE'!M675</f>
        <v>0</v>
      </c>
      <c r="CD595" s="136" t="str">
        <f>IF('INFO BASE'!F609="","",'INFO BASE'!F609)</f>
        <v/>
      </c>
      <c r="CR595" s="177">
        <f t="shared" si="331"/>
        <v>1</v>
      </c>
      <c r="CS595" s="177">
        <f t="shared" si="332"/>
        <v>1</v>
      </c>
      <c r="CT595" s="177">
        <f t="shared" si="331"/>
        <v>1</v>
      </c>
      <c r="CU595" s="177">
        <f t="shared" si="333"/>
        <v>1</v>
      </c>
      <c r="CV595" s="177">
        <f t="shared" si="331"/>
        <v>1</v>
      </c>
      <c r="CW595" s="177">
        <f t="shared" si="334"/>
        <v>1</v>
      </c>
      <c r="CX595" s="177">
        <f t="shared" si="331"/>
        <v>1</v>
      </c>
      <c r="CY595" s="177">
        <f t="shared" si="335"/>
        <v>1</v>
      </c>
      <c r="CZ595" s="177">
        <f t="shared" si="331"/>
        <v>1</v>
      </c>
      <c r="DA595" s="177">
        <f t="shared" si="336"/>
        <v>1</v>
      </c>
      <c r="DB595" s="177">
        <f t="shared" si="331"/>
        <v>1</v>
      </c>
      <c r="DC595" s="177">
        <f t="shared" si="337"/>
        <v>1</v>
      </c>
      <c r="DD595" s="177">
        <f t="shared" si="338"/>
        <v>1</v>
      </c>
      <c r="DE595" s="177">
        <f t="shared" si="339"/>
        <v>1</v>
      </c>
    </row>
    <row r="596" spans="1:109" ht="18" customHeight="1" thickBot="1" x14ac:dyDescent="0.35">
      <c r="A596" s="81">
        <v>0.35416666666667801</v>
      </c>
      <c r="B596" s="153"/>
      <c r="C596" s="130"/>
      <c r="D596" s="135"/>
      <c r="E596" s="130"/>
      <c r="F596" s="135"/>
      <c r="G596" s="130"/>
      <c r="H596" s="135"/>
      <c r="I596" s="130"/>
      <c r="J596" s="135"/>
      <c r="K596" s="130"/>
      <c r="L596" s="135"/>
      <c r="M596" s="130"/>
      <c r="N596" s="135"/>
      <c r="O596" s="154"/>
      <c r="P596" s="6">
        <v>0</v>
      </c>
      <c r="Q596" s="112" t="str">
        <f t="shared" si="347"/>
        <v>Estudo Autónomo</v>
      </c>
      <c r="R596" s="107" t="str">
        <f t="shared" si="348"/>
        <v/>
      </c>
      <c r="S596" s="94" t="str">
        <f t="shared" si="345"/>
        <v>-</v>
      </c>
      <c r="T596" s="95" t="str">
        <f>IF(VLOOKUP(Q596,'INFO BASE'!$B$40:$I$54,IF(R596='INFO BASE'!$B$32,3,IF(R596='INFO BASE'!$B$33,4,IF(R596='INFO BASE'!$B$34,5,IF(R596='INFO BASE'!$B$35,6,IF(R596='INFO BASE'!$B$36,7,IF(R596='INFO BASE'!$B$37,8,2)))))),0)=0,"",VLOOKUP(Q596,'INFO BASE'!$B$40:$I$54,IF(R596='INFO BASE'!$B$32,3,IF(R596='INFO BASE'!$B$33,4,IF(R596='INFO BASE'!$B$34,5,IF(R596='INFO BASE'!$B$35,6,IF(R596='INFO BASE'!$B$36,7,IF(R596='INFO BASE'!$B$37,8,2)))))),0))</f>
        <v/>
      </c>
      <c r="U596" s="95">
        <f>(COUNTIFS(C579:C626,R596,B579:B626,R590)+COUNTIFS(E579:E626,R596,D579:D626,R590)+COUNTIFS(G579:G626,R596,F579:F626,R590)+COUNTIFS(I579:I626,R596,H579:H626,R590)+COUNTIFS(K579:K626,R596,J579:J626,R590)+COUNTIFS(M579:M626,R596,L579:L626,R590)+COUNTIFS(O579:O626,R596,N579:N626,R590))*0.5</f>
        <v>0</v>
      </c>
      <c r="V596" s="95">
        <f>(COUNTIFS(AI579:AI626,R590,AJ579:AJ626,R596)+COUNTIFS(AK579:AK626,R590,AL579:AL626,R596)+COUNTIFS(AM579:AM626,R590,AN579:AN626,R596)+COUNTIFS(AO579:AO626,R590,AP579:AP626,R596)+COUNTIFS(AQ579:AQ626,R590,AR579:AR626,R596)+COUNTIFS(AS579:AS626,R590,AT579:AT626,R596)+COUNTIFS(AU579:AU626,R590,AV579:AV626,R596))*0.5</f>
        <v>0</v>
      </c>
      <c r="W596" s="96" t="str">
        <f>IF(AH575="","-",IF(V596=0,U596,IFERROR((U596/V596)-1,"-")))</f>
        <v>-</v>
      </c>
      <c r="X596" s="201">
        <f t="shared" si="346"/>
        <v>0</v>
      </c>
      <c r="Y596" s="274"/>
      <c r="Z596" s="275"/>
      <c r="AA596" s="275"/>
      <c r="AB596" s="275"/>
      <c r="AC596" s="275"/>
      <c r="AD596" s="275"/>
      <c r="AE596" s="275"/>
      <c r="AF596" s="276"/>
      <c r="AH596" s="136">
        <v>0.35416666666667801</v>
      </c>
      <c r="AI596" s="136" t="str">
        <f>IF(AH575="","",IF(B596="","",B596))</f>
        <v/>
      </c>
      <c r="AJ596" s="136" t="str">
        <f>IF(AH575="","",IF(C596="","",C596))</f>
        <v/>
      </c>
      <c r="AK596" s="136" t="str">
        <f>IF(AH575="","",IF(D596="","",D596))</f>
        <v/>
      </c>
      <c r="AL596" s="136" t="str">
        <f>IF(AH575="","",IF(E596="","",E596))</f>
        <v/>
      </c>
      <c r="AM596" s="136" t="str">
        <f>IF(AH575="","",IF(F596="","",F596))</f>
        <v/>
      </c>
      <c r="AN596" s="136" t="str">
        <f>IF(AH575="","",IF(G596="","",G596))</f>
        <v/>
      </c>
      <c r="AO596" s="136" t="str">
        <f>IF(AH575="","",IF(H596="","",H596))</f>
        <v/>
      </c>
      <c r="AP596" s="136" t="str">
        <f>IF(AH575="","",IF(I596="","",I596))</f>
        <v/>
      </c>
      <c r="AQ596" s="136" t="str">
        <f>IF(AH575="","",IF(J596="","",J596))</f>
        <v/>
      </c>
      <c r="AR596" s="136" t="str">
        <f>IF(AH575="","",IF(K596="","",K596))</f>
        <v/>
      </c>
      <c r="AS596" s="136" t="str">
        <f>IF(AH575="","",IF(L596="","",L596))</f>
        <v/>
      </c>
      <c r="AT596" s="136" t="str">
        <f>IF(AH575="","",IF(M596="","",M596))</f>
        <v/>
      </c>
      <c r="AU596" s="136" t="str">
        <f>IF(AH575="","",IF(N596="","",N596))</f>
        <v/>
      </c>
      <c r="AV596" s="136" t="str">
        <f>IF(AH575="","",IF(O596="","",O596))</f>
        <v/>
      </c>
      <c r="AX596" s="136" t="str">
        <f>IF(AI575="","",IF(B596="","",B596))</f>
        <v/>
      </c>
      <c r="AY596" s="136" t="str">
        <f>IF(AI575="","",IF(C596="","",C596))</f>
        <v/>
      </c>
      <c r="AZ596" s="136" t="str">
        <f>IF(AI575="","",IF(D596="","",D596))</f>
        <v/>
      </c>
      <c r="BA596" s="136" t="str">
        <f>IF(AI575="","",IF(E596="","",E596))</f>
        <v/>
      </c>
      <c r="BB596" s="136" t="str">
        <f>IF(AI575="","",IF(F596="","",F596))</f>
        <v/>
      </c>
      <c r="BC596" s="136" t="str">
        <f>IF(AI575="","",IF(G596="","",G596))</f>
        <v/>
      </c>
      <c r="BD596" s="136" t="str">
        <f>IF(AI575="","",IF(H596="","",H596))</f>
        <v/>
      </c>
      <c r="BE596" s="136" t="str">
        <f>IF(AI575="","",IF(I596="","",I596))</f>
        <v/>
      </c>
      <c r="BF596" s="136" t="str">
        <f>IF(AI575="","",IF(J596="","",J596))</f>
        <v/>
      </c>
      <c r="BG596" s="136" t="str">
        <f>IF(AI575="","",IF(K596="","",K596))</f>
        <v/>
      </c>
      <c r="BH596" s="136" t="str">
        <f>IF(AI575="","",IF(L596="","",L596))</f>
        <v/>
      </c>
      <c r="BI596" s="136" t="str">
        <f>IF(AI575="","",IF(M596="","",M596))</f>
        <v/>
      </c>
      <c r="BJ596" s="136" t="str">
        <f>IF(AI575="","",IF(N596="","",N596))</f>
        <v/>
      </c>
      <c r="BK596" s="136" t="str">
        <f>IF(AI575="","",IF(O596="","",O596))</f>
        <v/>
      </c>
      <c r="BM596" s="136" t="str">
        <f t="shared" ref="BM596:BM600" si="351">BM595</f>
        <v>EG</v>
      </c>
      <c r="BN596" s="136" t="str">
        <f t="shared" si="341"/>
        <v>Estudo em Grupo</v>
      </c>
      <c r="BO596" s="136" t="str">
        <f t="shared" si="341"/>
        <v>IEI</v>
      </c>
      <c r="BP596" s="136">
        <f>(COUNTIFS(AX579:AX626,BM596,AY579:AY626,BO596)+COUNTIFS(AZ579:AZ626,BM596,BA579:BA626,BO596)+COUNTIFS(BB579:BB626,BM596,BC579:BC626,BO596)+COUNTIFS(BD579:BD626,BM596,BE579:BE626,BO596)+COUNTIFS(BF579:BF626,BM596,BG579:BG626,BO596)+COUNTIFS(BH579:BH626,BM596,BI579:BI626,BO596)+COUNTIFS(BJ579:BJ626,BM596,BK579:BK626,BO596))*0.5</f>
        <v>0</v>
      </c>
      <c r="BQ596" s="136" t="str">
        <f t="shared" si="342"/>
        <v>Estudo em Grupo</v>
      </c>
      <c r="BR596" s="136" t="str">
        <f t="shared" si="342"/>
        <v>IEI</v>
      </c>
      <c r="BS596" s="136" t="str">
        <f t="shared" si="343"/>
        <v>Estudo em Grupo</v>
      </c>
      <c r="BT596" s="136">
        <f t="shared" si="349"/>
        <v>2.5</v>
      </c>
      <c r="BU596" s="136">
        <f t="shared" si="350"/>
        <v>7</v>
      </c>
      <c r="CA596" s="136">
        <f>'INFO BASE'!L676</f>
        <v>0</v>
      </c>
      <c r="CB596" s="136">
        <f>'INFO BASE'!M676</f>
        <v>0</v>
      </c>
      <c r="CR596" s="177">
        <f t="shared" si="331"/>
        <v>1</v>
      </c>
      <c r="CS596" s="177">
        <f t="shared" si="332"/>
        <v>1</v>
      </c>
      <c r="CT596" s="177">
        <f t="shared" si="331"/>
        <v>1</v>
      </c>
      <c r="CU596" s="177">
        <f t="shared" si="333"/>
        <v>1</v>
      </c>
      <c r="CV596" s="177">
        <f t="shared" si="331"/>
        <v>1</v>
      </c>
      <c r="CW596" s="177">
        <f t="shared" si="334"/>
        <v>1</v>
      </c>
      <c r="CX596" s="177">
        <f t="shared" si="331"/>
        <v>1</v>
      </c>
      <c r="CY596" s="177">
        <f t="shared" si="335"/>
        <v>1</v>
      </c>
      <c r="CZ596" s="177">
        <f t="shared" si="331"/>
        <v>1</v>
      </c>
      <c r="DA596" s="177">
        <f t="shared" si="336"/>
        <v>1</v>
      </c>
      <c r="DB596" s="177">
        <f t="shared" si="331"/>
        <v>1</v>
      </c>
      <c r="DC596" s="177">
        <f t="shared" si="337"/>
        <v>1</v>
      </c>
      <c r="DD596" s="177">
        <f t="shared" si="338"/>
        <v>1</v>
      </c>
      <c r="DE596" s="177">
        <f t="shared" si="339"/>
        <v>1</v>
      </c>
    </row>
    <row r="597" spans="1:109" ht="18" customHeight="1" x14ac:dyDescent="0.3">
      <c r="A597" s="81">
        <v>0.37500000000001199</v>
      </c>
      <c r="B597" s="153"/>
      <c r="C597" s="130"/>
      <c r="D597" s="135"/>
      <c r="E597" s="130"/>
      <c r="F597" s="135"/>
      <c r="G597" s="130"/>
      <c r="H597" s="135"/>
      <c r="I597" s="130"/>
      <c r="J597" s="135"/>
      <c r="K597" s="130"/>
      <c r="L597" s="135"/>
      <c r="M597" s="130"/>
      <c r="N597" s="135"/>
      <c r="O597" s="154"/>
      <c r="P597" s="6">
        <v>0</v>
      </c>
      <c r="Q597" s="113" t="str">
        <f>IF('INFO BASE'!$C$18="","",'INFO BASE'!$C$18)</f>
        <v>Estudo em Grupo</v>
      </c>
      <c r="R597" s="82" t="str">
        <f t="shared" si="348"/>
        <v>EG</v>
      </c>
      <c r="S597" s="83">
        <f t="shared" si="345"/>
        <v>-1</v>
      </c>
      <c r="T597" s="84">
        <f>IF(VLOOKUP(Q597,'INFO BASE'!$B$40:$I$54,IF(R597='INFO BASE'!$B$32,3,IF(R597='INFO BASE'!$B$33,4,IF(R597='INFO BASE'!$B$34,5,IF(R597='INFO BASE'!$B$35,6,IF(R597='INFO BASE'!$B$36,7,IF(R597='INFO BASE'!$B$37,8,2)))))),0)=0,"",VLOOKUP(Q597,'INFO BASE'!$B$40:$I$54,IF(R597='INFO BASE'!$B$32,3,IF(R597='INFO BASE'!$B$33,4,IF(R597='INFO BASE'!$B$34,5,IF(R597='INFO BASE'!$B$35,6,IF(R597='INFO BASE'!$B$36,7,IF(R597='INFO BASE'!$B$37,8,2)))))),0))</f>
        <v>8</v>
      </c>
      <c r="U597" s="84">
        <f>IF(R597="","",COUNTIFS(SEMANA11,R597)*0.5)</f>
        <v>0</v>
      </c>
      <c r="V597" s="84">
        <f>IF(R597="","",COUNTIFS(AI579:AV626,R597)*0.5)</f>
        <v>0</v>
      </c>
      <c r="W597" s="85" t="str">
        <f>IF(AH575="","-",IF(V597=0,U597,IFERROR((U597/V597)-1,"-")))</f>
        <v>-</v>
      </c>
      <c r="X597" s="201">
        <f t="shared" si="346"/>
        <v>0</v>
      </c>
      <c r="Y597" s="277"/>
      <c r="Z597" s="278"/>
      <c r="AA597" s="278"/>
      <c r="AB597" s="278"/>
      <c r="AC597" s="278"/>
      <c r="AD597" s="278"/>
      <c r="AE597" s="278"/>
      <c r="AF597" s="279"/>
      <c r="AH597" s="136">
        <v>0.37500000000001199</v>
      </c>
      <c r="AI597" s="136" t="str">
        <f>IF(AH575="","",IF(B597="","",B597))</f>
        <v/>
      </c>
      <c r="AJ597" s="136" t="str">
        <f>IF(AH575="","",IF(C597="","",C597))</f>
        <v/>
      </c>
      <c r="AK597" s="136" t="str">
        <f>IF(AH575="","",IF(D597="","",D597))</f>
        <v/>
      </c>
      <c r="AL597" s="136" t="str">
        <f>IF(AH575="","",IF(E597="","",E597))</f>
        <v/>
      </c>
      <c r="AM597" s="136" t="str">
        <f>IF(AH575="","",IF(F597="","",F597))</f>
        <v/>
      </c>
      <c r="AN597" s="136" t="str">
        <f>IF(AH575="","",IF(G597="","",G597))</f>
        <v/>
      </c>
      <c r="AO597" s="136" t="str">
        <f>IF(AH575="","",IF(H597="","",H597))</f>
        <v/>
      </c>
      <c r="AP597" s="136" t="str">
        <f>IF(AH575="","",IF(I597="","",I597))</f>
        <v/>
      </c>
      <c r="AQ597" s="136" t="str">
        <f>IF(AH575="","",IF(J597="","",J597))</f>
        <v/>
      </c>
      <c r="AR597" s="136" t="str">
        <f>IF(AH575="","",IF(K597="","",K597))</f>
        <v/>
      </c>
      <c r="AS597" s="136" t="str">
        <f>IF(AH575="","",IF(L597="","",L597))</f>
        <v/>
      </c>
      <c r="AT597" s="136" t="str">
        <f>IF(AH575="","",IF(M597="","",M597))</f>
        <v/>
      </c>
      <c r="AU597" s="136" t="str">
        <f>IF(AH575="","",IF(N597="","",N597))</f>
        <v/>
      </c>
      <c r="AV597" s="136" t="str">
        <f>IF(AH575="","",IF(O597="","",O597))</f>
        <v/>
      </c>
      <c r="AX597" s="136" t="str">
        <f>IF(AI575="","",IF(B597="","",B597))</f>
        <v/>
      </c>
      <c r="AY597" s="136" t="str">
        <f>IF(AI575="","",IF(C597="","",C597))</f>
        <v/>
      </c>
      <c r="AZ597" s="136" t="str">
        <f>IF(AI575="","",IF(D597="","",D597))</f>
        <v/>
      </c>
      <c r="BA597" s="136" t="str">
        <f>IF(AI575="","",IF(E597="","",E597))</f>
        <v/>
      </c>
      <c r="BB597" s="136" t="str">
        <f>IF(AI575="","",IF(F597="","",F597))</f>
        <v/>
      </c>
      <c r="BC597" s="136" t="str">
        <f>IF(AI575="","",IF(G597="","",G597))</f>
        <v/>
      </c>
      <c r="BD597" s="136" t="str">
        <f>IF(AI575="","",IF(H597="","",H597))</f>
        <v/>
      </c>
      <c r="BE597" s="136" t="str">
        <f>IF(AI575="","",IF(I597="","",I597))</f>
        <v/>
      </c>
      <c r="BF597" s="136" t="str">
        <f>IF(AI575="","",IF(J597="","",J597))</f>
        <v/>
      </c>
      <c r="BG597" s="136" t="str">
        <f>IF(AI575="","",IF(K597="","",K597))</f>
        <v/>
      </c>
      <c r="BH597" s="136" t="str">
        <f>IF(AI575="","",IF(L597="","",L597))</f>
        <v/>
      </c>
      <c r="BI597" s="136" t="str">
        <f>IF(AI575="","",IF(M597="","",M597))</f>
        <v/>
      </c>
      <c r="BJ597" s="136" t="str">
        <f>IF(AI575="","",IF(N597="","",N597))</f>
        <v/>
      </c>
      <c r="BK597" s="136" t="str">
        <f>IF(AI575="","",IF(O597="","",O597))</f>
        <v/>
      </c>
      <c r="BM597" s="136" t="str">
        <f t="shared" si="351"/>
        <v>EG</v>
      </c>
      <c r="BN597" s="136" t="str">
        <f t="shared" si="341"/>
        <v>Estudo em Grupo</v>
      </c>
      <c r="BO597" s="136" t="str">
        <f t="shared" si="341"/>
        <v>IAC</v>
      </c>
      <c r="BP597" s="136">
        <f>(COUNTIFS(AX579:AX626,BM597,AY579:AY626,BO597)+COUNTIFS(AZ579:AZ626,BM597,BA579:BA626,BO597)+COUNTIFS(BB579:BB626,BM597,BC579:BC626,BO597)+COUNTIFS(BD579:BD626,BM597,BE579:BE626,BO597)+COUNTIFS(BF579:BF626,BM597,BG579:BG626,BO597)+COUNTIFS(BH579:BH626,BM597,BI579:BI626,BO597)+COUNTIFS(BJ579:BJ626,BM597,BK579:BK626,BO597))*0.5</f>
        <v>0</v>
      </c>
      <c r="BQ597" s="136" t="str">
        <f t="shared" si="342"/>
        <v>Estudo em Grupo</v>
      </c>
      <c r="BR597" s="136" t="str">
        <f t="shared" si="342"/>
        <v>IAC</v>
      </c>
      <c r="BS597" s="136" t="str">
        <f t="shared" si="343"/>
        <v>Estudo em Grupo</v>
      </c>
      <c r="BT597" s="136">
        <f t="shared" si="349"/>
        <v>6</v>
      </c>
      <c r="BU597" s="136">
        <f t="shared" si="350"/>
        <v>10.5</v>
      </c>
      <c r="CA597" s="136">
        <f>'INFO BASE'!L677</f>
        <v>0</v>
      </c>
      <c r="CB597" s="136">
        <f>'INFO BASE'!M677</f>
        <v>0</v>
      </c>
      <c r="CR597" s="177">
        <f t="shared" si="331"/>
        <v>1</v>
      </c>
      <c r="CS597" s="177">
        <f t="shared" si="332"/>
        <v>1</v>
      </c>
      <c r="CT597" s="177">
        <f t="shared" si="331"/>
        <v>1</v>
      </c>
      <c r="CU597" s="177">
        <f t="shared" si="333"/>
        <v>1</v>
      </c>
      <c r="CV597" s="177">
        <f t="shared" si="331"/>
        <v>1</v>
      </c>
      <c r="CW597" s="177">
        <f t="shared" si="334"/>
        <v>1</v>
      </c>
      <c r="CX597" s="177">
        <f t="shared" si="331"/>
        <v>1</v>
      </c>
      <c r="CY597" s="177">
        <f t="shared" si="335"/>
        <v>1</v>
      </c>
      <c r="CZ597" s="177">
        <f t="shared" si="331"/>
        <v>1</v>
      </c>
      <c r="DA597" s="177">
        <f t="shared" si="336"/>
        <v>1</v>
      </c>
      <c r="DB597" s="177">
        <f t="shared" si="331"/>
        <v>1</v>
      </c>
      <c r="DC597" s="177">
        <f t="shared" si="337"/>
        <v>1</v>
      </c>
      <c r="DD597" s="177">
        <f t="shared" si="338"/>
        <v>1</v>
      </c>
      <c r="DE597" s="177">
        <f t="shared" si="339"/>
        <v>1</v>
      </c>
    </row>
    <row r="598" spans="1:109" ht="18" customHeight="1" x14ac:dyDescent="0.3">
      <c r="A598" s="81">
        <v>0.39583333333334603</v>
      </c>
      <c r="B598" s="153"/>
      <c r="C598" s="130"/>
      <c r="D598" s="135"/>
      <c r="E598" s="130"/>
      <c r="F598" s="135"/>
      <c r="G598" s="130"/>
      <c r="H598" s="135"/>
      <c r="I598" s="130"/>
      <c r="J598" s="135"/>
      <c r="K598" s="130"/>
      <c r="L598" s="135"/>
      <c r="M598" s="130"/>
      <c r="N598" s="135"/>
      <c r="O598" s="154"/>
      <c r="P598" s="6">
        <v>0</v>
      </c>
      <c r="Q598" s="114" t="str">
        <f t="shared" ref="Q598:Q603" si="352">Q597</f>
        <v>Estudo em Grupo</v>
      </c>
      <c r="R598" s="105" t="str">
        <f t="shared" si="348"/>
        <v>FP</v>
      </c>
      <c r="S598" s="88">
        <f t="shared" si="345"/>
        <v>-1</v>
      </c>
      <c r="T598" s="89">
        <f>IF(VLOOKUP(Q598,'INFO BASE'!$B$40:$I$54,IF(R598='INFO BASE'!$B$32,3,IF(R598='INFO BASE'!$B$33,4,IF(R598='INFO BASE'!$B$34,5,IF(R598='INFO BASE'!$B$35,6,IF(R598='INFO BASE'!$B$36,7,IF(R598='INFO BASE'!$B$37,8,2)))))),0)=0,"",VLOOKUP(Q598,'INFO BASE'!$B$40:$I$54,IF(R598='INFO BASE'!$B$32,3,IF(R598='INFO BASE'!$B$33,4,IF(R598='INFO BASE'!$B$34,5,IF(R598='INFO BASE'!$B$35,6,IF(R598='INFO BASE'!$B$36,7,IF(R598='INFO BASE'!$B$37,8,2)))))),0))</f>
        <v>2</v>
      </c>
      <c r="U598" s="89">
        <f>(COUNTIFS(C579:C626,R598,B579:B626,R597)+COUNTIFS(E579:E626,R598,D579:D626,R597)+COUNTIFS(G579:G626,R598,F579:F626,R597)+COUNTIFS(I579:I626,R598,H579:H626,R597)+COUNTIFS(K579:K626,R598,J579:J626,R597)+COUNTIFS(M579:M626,R598,L579:L626,R597)+COUNTIFS(O579:O626,R598,N579:N626,R597))*0.5</f>
        <v>0</v>
      </c>
      <c r="V598" s="89">
        <f>(COUNTIFS(AI579:AI626,R597,AJ579:AJ626,R591)+COUNTIFS(AK579:AK626,R597,AL579:AL626,R591)+COUNTIFS(AM579:AM626,R597,AN579:AN626,R591)+COUNTIFS(AO579:AO626,R597,AP579:AP626,R591)+COUNTIFS(AQ579:AQ626,R597,AR579:AR626,R591)+COUNTIFS(AS579:AS626,R597,AT579:AT626,R591)+COUNTIFS(AU579:AU626,R597,AV579:AV626,R591))*0.5</f>
        <v>0</v>
      </c>
      <c r="W598" s="90" t="str">
        <f>IF(AH575="","-",IF(V598=0,U598,IFERROR((U598/V598)-1,"-")))</f>
        <v>-</v>
      </c>
      <c r="X598" s="201">
        <f t="shared" si="346"/>
        <v>0</v>
      </c>
      <c r="Y598" s="271"/>
      <c r="Z598" s="272"/>
      <c r="AA598" s="272"/>
      <c r="AB598" s="272"/>
      <c r="AC598" s="272"/>
      <c r="AD598" s="272"/>
      <c r="AE598" s="272"/>
      <c r="AF598" s="273"/>
      <c r="AH598" s="136">
        <v>0.39583333333334603</v>
      </c>
      <c r="AI598" s="136" t="str">
        <f>IF(AH575="","",IF(B598="","",B598))</f>
        <v/>
      </c>
      <c r="AJ598" s="136" t="str">
        <f>IF(AH575="","",IF(C598="","",C598))</f>
        <v/>
      </c>
      <c r="AK598" s="136" t="str">
        <f>IF(AH575="","",IF(D598="","",D598))</f>
        <v/>
      </c>
      <c r="AL598" s="136" t="str">
        <f>IF(AH575="","",IF(E598="","",E598))</f>
        <v/>
      </c>
      <c r="AM598" s="136" t="str">
        <f>IF(AH575="","",IF(F598="","",F598))</f>
        <v/>
      </c>
      <c r="AN598" s="136" t="str">
        <f>IF(AH575="","",IF(G598="","",G598))</f>
        <v/>
      </c>
      <c r="AO598" s="136" t="str">
        <f>IF(AH575="","",IF(H598="","",H598))</f>
        <v/>
      </c>
      <c r="AP598" s="136" t="str">
        <f>IF(AH575="","",IF(I598="","",I598))</f>
        <v/>
      </c>
      <c r="AQ598" s="136" t="str">
        <f>IF(AH575="","",IF(J598="","",J598))</f>
        <v/>
      </c>
      <c r="AR598" s="136" t="str">
        <f>IF(AH575="","",IF(K598="","",K598))</f>
        <v/>
      </c>
      <c r="AS598" s="136" t="str">
        <f>IF(AH575="","",IF(L598="","",L598))</f>
        <v/>
      </c>
      <c r="AT598" s="136" t="str">
        <f>IF(AH575="","",IF(M598="","",M598))</f>
        <v/>
      </c>
      <c r="AU598" s="136" t="str">
        <f>IF(AH575="","",IF(N598="","",N598))</f>
        <v/>
      </c>
      <c r="AV598" s="136" t="str">
        <f>IF(AH575="","",IF(O598="","",O598))</f>
        <v/>
      </c>
      <c r="AX598" s="136" t="str">
        <f>IF(AI575="","",IF(B598="","",B598))</f>
        <v/>
      </c>
      <c r="AY598" s="136" t="str">
        <f>IF(AI575="","",IF(C598="","",C598))</f>
        <v/>
      </c>
      <c r="AZ598" s="136" t="str">
        <f>IF(AI575="","",IF(D598="","",D598))</f>
        <v/>
      </c>
      <c r="BA598" s="136" t="str">
        <f>IF(AI575="","",IF(E598="","",E598))</f>
        <v/>
      </c>
      <c r="BB598" s="136" t="str">
        <f>IF(AI575="","",IF(F598="","",F598))</f>
        <v/>
      </c>
      <c r="BC598" s="136" t="str">
        <f>IF(AI575="","",IF(G598="","",G598))</f>
        <v/>
      </c>
      <c r="BD598" s="136" t="str">
        <f>IF(AI575="","",IF(H598="","",H598))</f>
        <v/>
      </c>
      <c r="BE598" s="136" t="str">
        <f>IF(AI575="","",IF(I598="","",I598))</f>
        <v/>
      </c>
      <c r="BF598" s="136" t="str">
        <f>IF(AI575="","",IF(J598="","",J598))</f>
        <v/>
      </c>
      <c r="BG598" s="136" t="str">
        <f>IF(AI575="","",IF(K598="","",K598))</f>
        <v/>
      </c>
      <c r="BH598" s="136" t="str">
        <f>IF(AI575="","",IF(L598="","",L598))</f>
        <v/>
      </c>
      <c r="BI598" s="136" t="str">
        <f>IF(AI575="","",IF(M598="","",M598))</f>
        <v/>
      </c>
      <c r="BJ598" s="136" t="str">
        <f>IF(AI575="","",IF(N598="","",N598))</f>
        <v/>
      </c>
      <c r="BK598" s="136" t="str">
        <f>IF(AI575="","",IF(O598="","",O598))</f>
        <v/>
      </c>
      <c r="BM598" s="136" t="str">
        <f t="shared" si="351"/>
        <v>EG</v>
      </c>
      <c r="BN598" s="136" t="str">
        <f t="shared" si="341"/>
        <v>Estudo em Grupo</v>
      </c>
      <c r="BO598" s="136" t="str">
        <f t="shared" si="341"/>
        <v>AL</v>
      </c>
      <c r="BP598" s="136">
        <f>(COUNTIFS(AX579:AX626,BM598,AY579:AY626,BO598)+COUNTIFS(AZ579:AZ626,BM598,BA579:BA626,BO598)+COUNTIFS(BB579:BB626,BM598,BC579:BC626,BO598)+COUNTIFS(BD579:BD626,BM598,BE579:BE626,BO598)+COUNTIFS(BF579:BF626,BM598,BG579:BG626,BO598)+COUNTIFS(BH579:BH626,BM598,BI579:BI626,BO598)+COUNTIFS(BJ579:BJ626,BM598,BK579:BK626,BO598))*0.5</f>
        <v>0</v>
      </c>
      <c r="BQ598" s="136" t="str">
        <f t="shared" si="342"/>
        <v>Estudo em Grupo</v>
      </c>
      <c r="BR598" s="136" t="str">
        <f t="shared" si="342"/>
        <v>AL</v>
      </c>
      <c r="BS598" s="136" t="str">
        <f t="shared" si="343"/>
        <v>Estudo em Grupo</v>
      </c>
      <c r="BT598" s="136">
        <f t="shared" si="349"/>
        <v>16.5</v>
      </c>
      <c r="BU598" s="136">
        <f t="shared" si="350"/>
        <v>17.5</v>
      </c>
      <c r="CA598" s="136">
        <f>'INFO BASE'!L678</f>
        <v>0</v>
      </c>
      <c r="CB598" s="136">
        <f>'INFO BASE'!M678</f>
        <v>0</v>
      </c>
      <c r="CR598" s="177">
        <f t="shared" si="331"/>
        <v>1</v>
      </c>
      <c r="CS598" s="177">
        <f t="shared" si="332"/>
        <v>1</v>
      </c>
      <c r="CT598" s="177">
        <f t="shared" si="331"/>
        <v>1</v>
      </c>
      <c r="CU598" s="177">
        <f t="shared" si="333"/>
        <v>1</v>
      </c>
      <c r="CV598" s="177">
        <f t="shared" si="331"/>
        <v>1</v>
      </c>
      <c r="CW598" s="177">
        <f t="shared" si="334"/>
        <v>1</v>
      </c>
      <c r="CX598" s="177">
        <f t="shared" si="331"/>
        <v>1</v>
      </c>
      <c r="CY598" s="177">
        <f t="shared" si="335"/>
        <v>1</v>
      </c>
      <c r="CZ598" s="177">
        <f t="shared" si="331"/>
        <v>1</v>
      </c>
      <c r="DA598" s="177">
        <f t="shared" si="336"/>
        <v>1</v>
      </c>
      <c r="DB598" s="177">
        <f t="shared" si="331"/>
        <v>1</v>
      </c>
      <c r="DC598" s="177">
        <f t="shared" si="337"/>
        <v>1</v>
      </c>
      <c r="DD598" s="177">
        <f t="shared" si="338"/>
        <v>1</v>
      </c>
      <c r="DE598" s="177">
        <f t="shared" si="339"/>
        <v>1</v>
      </c>
    </row>
    <row r="599" spans="1:109" ht="18" customHeight="1" x14ac:dyDescent="0.3">
      <c r="A599" s="81">
        <v>0.41666666666668001</v>
      </c>
      <c r="B599" s="153"/>
      <c r="C599" s="130"/>
      <c r="D599" s="135"/>
      <c r="E599" s="130"/>
      <c r="F599" s="135"/>
      <c r="G599" s="130"/>
      <c r="H599" s="135"/>
      <c r="I599" s="130"/>
      <c r="J599" s="135"/>
      <c r="K599" s="130"/>
      <c r="L599" s="135"/>
      <c r="M599" s="130"/>
      <c r="N599" s="135"/>
      <c r="O599" s="154"/>
      <c r="P599" s="6">
        <v>0</v>
      </c>
      <c r="Q599" s="114" t="str">
        <f t="shared" si="352"/>
        <v>Estudo em Grupo</v>
      </c>
      <c r="R599" s="105" t="str">
        <f t="shared" si="348"/>
        <v>IEI</v>
      </c>
      <c r="S599" s="88" t="str">
        <f t="shared" si="345"/>
        <v>-</v>
      </c>
      <c r="T599" s="89" t="str">
        <f>IF(VLOOKUP(Q599,'INFO BASE'!$B$40:$I$54,IF(R599='INFO BASE'!$B$32,3,IF(R599='INFO BASE'!$B$33,4,IF(R599='INFO BASE'!$B$34,5,IF(R599='INFO BASE'!$B$35,6,IF(R599='INFO BASE'!$B$36,7,IF(R599='INFO BASE'!$B$37,8,2)))))),0)=0,"",VLOOKUP(Q599,'INFO BASE'!$B$40:$I$54,IF(R599='INFO BASE'!$B$32,3,IF(R599='INFO BASE'!$B$33,4,IF(R599='INFO BASE'!$B$34,5,IF(R599='INFO BASE'!$B$35,6,IF(R599='INFO BASE'!$B$36,7,IF(R599='INFO BASE'!$B$37,8,2)))))),0))</f>
        <v/>
      </c>
      <c r="U599" s="89">
        <f>(COUNTIFS(C579:C626,R599,B579:B626,R597)+COUNTIFS(E579:E626,R599,D579:D626,R597)+COUNTIFS(G579:G626,R599,F579:F626,R597)+COUNTIFS(I579:I626,R599,H579:H626,R597)+COUNTIFS(K579:K626,R599,J579:J626,R597)+COUNTIFS(M579:M626,R599,L579:L626,R597)+COUNTIFS(O579:O626,R599,N579:N626,R597))*0.5</f>
        <v>0</v>
      </c>
      <c r="V599" s="89">
        <f>(COUNTIFS(AI579:AI626,R597,AJ579:AJ626,R592)+COUNTIFS(AK579:AK626,R597,AL579:AL626,R592)+COUNTIFS(AM579:AM626,R597,AN579:AN626,R592)+COUNTIFS(AO579:AO626,R597,AP579:AP626,R592)+COUNTIFS(AQ579:AQ626,R597,AR579:AR626,R592)+COUNTIFS(AS579:AS626,R597,AT579:AT626,R592)+COUNTIFS(AU579:AU626,R597,AV579:AV626,R592))*0.5</f>
        <v>0</v>
      </c>
      <c r="W599" s="90" t="str">
        <f>IF(AH575="","-",IF(V599=0,U599,IFERROR((U599/V599)-1,"-")))</f>
        <v>-</v>
      </c>
      <c r="X599" s="201">
        <f t="shared" si="346"/>
        <v>0</v>
      </c>
      <c r="Y599" s="271"/>
      <c r="Z599" s="272"/>
      <c r="AA599" s="272"/>
      <c r="AB599" s="272"/>
      <c r="AC599" s="272"/>
      <c r="AD599" s="272"/>
      <c r="AE599" s="272"/>
      <c r="AF599" s="273"/>
      <c r="AH599" s="136">
        <v>0.41666666666668001</v>
      </c>
      <c r="AI599" s="136" t="str">
        <f>IF(AH575="","",IF(B599="","",B599))</f>
        <v/>
      </c>
      <c r="AJ599" s="136" t="str">
        <f>IF(AH575="","",IF(C599="","",C599))</f>
        <v/>
      </c>
      <c r="AK599" s="136" t="str">
        <f>IF(AH575="","",IF(D599="","",D599))</f>
        <v/>
      </c>
      <c r="AL599" s="136" t="str">
        <f>IF(AH575="","",IF(E599="","",E599))</f>
        <v/>
      </c>
      <c r="AM599" s="136" t="str">
        <f>IF(AH575="","",IF(F599="","",F599))</f>
        <v/>
      </c>
      <c r="AN599" s="136" t="str">
        <f>IF(AH575="","",IF(G599="","",G599))</f>
        <v/>
      </c>
      <c r="AO599" s="136" t="str">
        <f>IF(AH575="","",IF(H599="","",H599))</f>
        <v/>
      </c>
      <c r="AP599" s="136" t="str">
        <f>IF(AH575="","",IF(I599="","",I599))</f>
        <v/>
      </c>
      <c r="AQ599" s="136" t="str">
        <f>IF(AH575="","",IF(J599="","",J599))</f>
        <v/>
      </c>
      <c r="AR599" s="136" t="str">
        <f>IF(AH575="","",IF(K599="","",K599))</f>
        <v/>
      </c>
      <c r="AS599" s="136" t="str">
        <f>IF(AH575="","",IF(L599="","",L599))</f>
        <v/>
      </c>
      <c r="AT599" s="136" t="str">
        <f>IF(AH575="","",IF(M599="","",M599))</f>
        <v/>
      </c>
      <c r="AU599" s="136" t="str">
        <f>IF(AH575="","",IF(N599="","",N599))</f>
        <v/>
      </c>
      <c r="AV599" s="136" t="str">
        <f>IF(AH575="","",IF(O599="","",O599))</f>
        <v/>
      </c>
      <c r="AX599" s="136" t="str">
        <f>IF(AI575="","",IF(B599="","",B599))</f>
        <v/>
      </c>
      <c r="AY599" s="136" t="str">
        <f>IF(AI575="","",IF(C599="","",C599))</f>
        <v/>
      </c>
      <c r="AZ599" s="136" t="str">
        <f>IF(AI575="","",IF(D599="","",D599))</f>
        <v/>
      </c>
      <c r="BA599" s="136" t="str">
        <f>IF(AI575="","",IF(E599="","",E599))</f>
        <v/>
      </c>
      <c r="BB599" s="136" t="str">
        <f>IF(AI575="","",IF(F599="","",F599))</f>
        <v/>
      </c>
      <c r="BC599" s="136" t="str">
        <f>IF(AI575="","",IF(G599="","",G599))</f>
        <v/>
      </c>
      <c r="BD599" s="136" t="str">
        <f>IF(AI575="","",IF(H599="","",H599))</f>
        <v/>
      </c>
      <c r="BE599" s="136" t="str">
        <f>IF(AI575="","",IF(I599="","",I599))</f>
        <v/>
      </c>
      <c r="BF599" s="136" t="str">
        <f>IF(AI575="","",IF(J599="","",J599))</f>
        <v/>
      </c>
      <c r="BG599" s="136" t="str">
        <f>IF(AI575="","",IF(K599="","",K599))</f>
        <v/>
      </c>
      <c r="BH599" s="136" t="str">
        <f>IF(AI575="","",IF(L599="","",L599))</f>
        <v/>
      </c>
      <c r="BI599" s="136" t="str">
        <f>IF(AI575="","",IF(M599="","",M599))</f>
        <v/>
      </c>
      <c r="BJ599" s="136" t="str">
        <f>IF(AI575="","",IF(N599="","",N599))</f>
        <v/>
      </c>
      <c r="BK599" s="136" t="str">
        <f>IF(AI575="","",IF(O599="","",O599))</f>
        <v/>
      </c>
      <c r="BM599" s="136" t="str">
        <f t="shared" si="351"/>
        <v>EG</v>
      </c>
      <c r="BN599" s="136" t="str">
        <f t="shared" si="341"/>
        <v>Estudo em Grupo</v>
      </c>
      <c r="BO599" s="136" t="str">
        <f t="shared" si="341"/>
        <v>CDI</v>
      </c>
      <c r="BP599" s="136">
        <f>(COUNTIFS(AX579:AX626,BM599,AY579:AY626,BO599)+COUNTIFS(AZ579:AZ626,BM599,BA579:BA626,BO599)+COUNTIFS(BB579:BB626,BM599,BC579:BC626,BO599)+COUNTIFS(BD579:BD626,BM599,BE579:BE626,BO599)+COUNTIFS(BF579:BF626,BM599,BG579:BG626,BO599)+COUNTIFS(BH579:BH626,BM599,BI579:BI626,BO599)+COUNTIFS(BJ579:BJ626,BM599,BK579:BK626,BO599))*0.5</f>
        <v>0</v>
      </c>
      <c r="BQ599" s="136" t="str">
        <f t="shared" si="342"/>
        <v>Estudo em Grupo</v>
      </c>
      <c r="BR599" s="136" t="str">
        <f t="shared" si="342"/>
        <v>CDI</v>
      </c>
      <c r="BS599" s="136" t="str">
        <f t="shared" si="343"/>
        <v>Estudo em Grupo</v>
      </c>
      <c r="BT599" s="136">
        <f t="shared" si="349"/>
        <v>10.5</v>
      </c>
      <c r="BU599" s="136">
        <f t="shared" si="350"/>
        <v>8.5</v>
      </c>
      <c r="CA599" s="136">
        <f>'INFO BASE'!L679</f>
        <v>0</v>
      </c>
      <c r="CB599" s="136">
        <f>'INFO BASE'!M679</f>
        <v>0</v>
      </c>
      <c r="CR599" s="177">
        <f t="shared" si="331"/>
        <v>1</v>
      </c>
      <c r="CS599" s="177">
        <f t="shared" si="332"/>
        <v>1</v>
      </c>
      <c r="CT599" s="177">
        <f t="shared" si="331"/>
        <v>1</v>
      </c>
      <c r="CU599" s="177">
        <f t="shared" si="333"/>
        <v>1</v>
      </c>
      <c r="CV599" s="177">
        <f t="shared" si="331"/>
        <v>1</v>
      </c>
      <c r="CW599" s="177">
        <f t="shared" si="334"/>
        <v>1</v>
      </c>
      <c r="CX599" s="177">
        <f t="shared" si="331"/>
        <v>1</v>
      </c>
      <c r="CY599" s="177">
        <f t="shared" si="335"/>
        <v>1</v>
      </c>
      <c r="CZ599" s="177">
        <f t="shared" si="331"/>
        <v>1</v>
      </c>
      <c r="DA599" s="177">
        <f t="shared" si="336"/>
        <v>1</v>
      </c>
      <c r="DB599" s="177">
        <f t="shared" si="331"/>
        <v>1</v>
      </c>
      <c r="DC599" s="177">
        <f t="shared" si="337"/>
        <v>1</v>
      </c>
      <c r="DD599" s="177">
        <f t="shared" si="338"/>
        <v>1</v>
      </c>
      <c r="DE599" s="177">
        <f t="shared" si="339"/>
        <v>1</v>
      </c>
    </row>
    <row r="600" spans="1:109" ht="18" customHeight="1" x14ac:dyDescent="0.3">
      <c r="A600" s="81">
        <v>0.43750000000001399</v>
      </c>
      <c r="B600" s="153"/>
      <c r="C600" s="130"/>
      <c r="D600" s="135"/>
      <c r="E600" s="130"/>
      <c r="F600" s="135"/>
      <c r="G600" s="130"/>
      <c r="H600" s="135"/>
      <c r="I600" s="130"/>
      <c r="J600" s="135"/>
      <c r="K600" s="130"/>
      <c r="L600" s="135"/>
      <c r="M600" s="130"/>
      <c r="N600" s="135"/>
      <c r="O600" s="154"/>
      <c r="P600" s="6">
        <v>0</v>
      </c>
      <c r="Q600" s="115" t="str">
        <f t="shared" si="352"/>
        <v>Estudo em Grupo</v>
      </c>
      <c r="R600" s="105" t="str">
        <f t="shared" si="348"/>
        <v>IAC</v>
      </c>
      <c r="S600" s="88">
        <f t="shared" si="345"/>
        <v>-1</v>
      </c>
      <c r="T600" s="89">
        <f>IF(VLOOKUP(Q600,'INFO BASE'!$B$40:$I$54,IF(R600='INFO BASE'!$B$32,3,IF(R600='INFO BASE'!$B$33,4,IF(R600='INFO BASE'!$B$34,5,IF(R600='INFO BASE'!$B$35,6,IF(R600='INFO BASE'!$B$36,7,IF(R600='INFO BASE'!$B$37,8,2)))))),0)=0,"",VLOOKUP(Q600,'INFO BASE'!$B$40:$I$54,IF(R600='INFO BASE'!$B$32,3,IF(R600='INFO BASE'!$B$33,4,IF(R600='INFO BASE'!$B$34,5,IF(R600='INFO BASE'!$B$35,6,IF(R600='INFO BASE'!$B$36,7,IF(R600='INFO BASE'!$B$37,8,2)))))),0))</f>
        <v>2</v>
      </c>
      <c r="U600" s="89">
        <f>(COUNTIFS(C579:C626,R600,B579:B626,R597)+COUNTIFS(E579:E626,R600,D579:D626,R597)+COUNTIFS(G579:G626,R600,F579:F626,R597)+COUNTIFS(I579:I626,R600,H579:H626,R597)+COUNTIFS(K579:K626,R600,J579:J626,R597)+COUNTIFS(M579:M626,R600,L579:L626,R597)+COUNTIFS(O579:O626,R600,N579:N626,R597))*0.5</f>
        <v>0</v>
      </c>
      <c r="V600" s="89">
        <f>(COUNTIFS(AI579:AI626,R597,AJ579:AJ626,R593)+COUNTIFS(AK579:AK626,R597,AL579:AL626,R593)+COUNTIFS(AM579:AM626,R597,AN579:AN626,R593)+COUNTIFS(AO579:AO626,R597,AP579:AP626,R593)+COUNTIFS(AQ579:AQ626,R597,AR579:AR626,R593)+COUNTIFS(AS579:AS626,R597,AT579:AT626,R593)+COUNTIFS(AU579:AU626,R597,AV579:AV626,R593))*0.5</f>
        <v>0</v>
      </c>
      <c r="W600" s="90" t="str">
        <f>IF(AH575="","-",IF(V600=0,U600,IFERROR((U600/V600)-1,"-")))</f>
        <v>-</v>
      </c>
      <c r="X600" s="201">
        <f t="shared" si="346"/>
        <v>0</v>
      </c>
      <c r="Y600" s="271"/>
      <c r="Z600" s="272"/>
      <c r="AA600" s="272"/>
      <c r="AB600" s="272"/>
      <c r="AC600" s="272"/>
      <c r="AD600" s="272"/>
      <c r="AE600" s="272"/>
      <c r="AF600" s="273"/>
      <c r="AH600" s="136">
        <v>0.43750000000001399</v>
      </c>
      <c r="AI600" s="136" t="str">
        <f>IF(AH575="","",IF(B600="","",B600))</f>
        <v/>
      </c>
      <c r="AJ600" s="136" t="str">
        <f>IF(AH575="","",IF(C600="","",C600))</f>
        <v/>
      </c>
      <c r="AK600" s="136" t="str">
        <f>IF(AH575="","",IF(D600="","",D600))</f>
        <v/>
      </c>
      <c r="AL600" s="136" t="str">
        <f>IF(AH575="","",IF(E600="","",E600))</f>
        <v/>
      </c>
      <c r="AM600" s="136" t="str">
        <f>IF(AH575="","",IF(F600="","",F600))</f>
        <v/>
      </c>
      <c r="AN600" s="136" t="str">
        <f>IF(AH575="","",IF(G600="","",G600))</f>
        <v/>
      </c>
      <c r="AO600" s="136" t="str">
        <f>IF(AH575="","",IF(H600="","",H600))</f>
        <v/>
      </c>
      <c r="AP600" s="136" t="str">
        <f>IF(AH575="","",IF(I600="","",I600))</f>
        <v/>
      </c>
      <c r="AQ600" s="136" t="str">
        <f>IF(AH575="","",IF(J600="","",J600))</f>
        <v/>
      </c>
      <c r="AR600" s="136" t="str">
        <f>IF(AH575="","",IF(K600="","",K600))</f>
        <v/>
      </c>
      <c r="AS600" s="136" t="str">
        <f>IF(AH575="","",IF(L600="","",L600))</f>
        <v/>
      </c>
      <c r="AT600" s="136" t="str">
        <f>IF(AH575="","",IF(M600="","",M600))</f>
        <v/>
      </c>
      <c r="AU600" s="136" t="str">
        <f>IF(AH575="","",IF(N600="","",N600))</f>
        <v/>
      </c>
      <c r="AV600" s="136" t="str">
        <f>IF(AH575="","",IF(O600="","",O600))</f>
        <v/>
      </c>
      <c r="AX600" s="136" t="str">
        <f>IF(AI575="","",IF(B600="","",B600))</f>
        <v/>
      </c>
      <c r="AY600" s="136" t="str">
        <f>IF(AI575="","",IF(C600="","",C600))</f>
        <v/>
      </c>
      <c r="AZ600" s="136" t="str">
        <f>IF(AI575="","",IF(D600="","",D600))</f>
        <v/>
      </c>
      <c r="BA600" s="136" t="str">
        <f>IF(AI575="","",IF(E600="","",E600))</f>
        <v/>
      </c>
      <c r="BB600" s="136" t="str">
        <f>IF(AI575="","",IF(F600="","",F600))</f>
        <v/>
      </c>
      <c r="BC600" s="136" t="str">
        <f>IF(AI575="","",IF(G600="","",G600))</f>
        <v/>
      </c>
      <c r="BD600" s="136" t="str">
        <f>IF(AI575="","",IF(H600="","",H600))</f>
        <v/>
      </c>
      <c r="BE600" s="136" t="str">
        <f>IF(AI575="","",IF(I600="","",I600))</f>
        <v/>
      </c>
      <c r="BF600" s="136" t="str">
        <f>IF(AI575="","",IF(J600="","",J600))</f>
        <v/>
      </c>
      <c r="BG600" s="136" t="str">
        <f>IF(AI575="","",IF(K600="","",K600))</f>
        <v/>
      </c>
      <c r="BH600" s="136" t="str">
        <f>IF(AI575="","",IF(L600="","",L600))</f>
        <v/>
      </c>
      <c r="BI600" s="136" t="str">
        <f>IF(AI575="","",IF(M600="","",M600))</f>
        <v/>
      </c>
      <c r="BJ600" s="136" t="str">
        <f>IF(AI575="","",IF(N600="","",N600))</f>
        <v/>
      </c>
      <c r="BK600" s="136" t="str">
        <f>IF(AI575="","",IF(O600="","",O600))</f>
        <v/>
      </c>
      <c r="BM600" s="136" t="str">
        <f t="shared" si="351"/>
        <v>EG</v>
      </c>
      <c r="BN600" s="136" t="str">
        <f t="shared" si="341"/>
        <v>Estudo em Grupo</v>
      </c>
      <c r="BO600" s="136" t="str">
        <f t="shared" si="341"/>
        <v/>
      </c>
      <c r="BP600" s="136">
        <f>(COUNTIFS(AX579:AX626,BM600,AY579:AY626,BO600)+COUNTIFS(AZ579:AZ626,BM600,BA579:BA626,BO600)+COUNTIFS(BB579:BB626,BM600,BC579:BC626,BO600)+COUNTIFS(BD579:BD626,BM600,BE579:BE626,BO600)+COUNTIFS(BF579:BF626,BM600,BG579:BG626,BO600)+COUNTIFS(BH579:BH626,BM600,BI579:BI626,BO600)+COUNTIFS(BJ579:BJ626,BM600,BK579:BK626,BO600))*0.5</f>
        <v>0</v>
      </c>
      <c r="BQ600" s="136" t="str">
        <f t="shared" si="342"/>
        <v>Estudo em Grupo</v>
      </c>
      <c r="BR600" s="136" t="str">
        <f t="shared" si="342"/>
        <v/>
      </c>
      <c r="BS600" s="136" t="str">
        <f t="shared" si="343"/>
        <v>Estudo em Grupo</v>
      </c>
      <c r="BT600" s="136">
        <f t="shared" si="349"/>
        <v>0</v>
      </c>
      <c r="BU600" s="136">
        <f t="shared" si="350"/>
        <v>0</v>
      </c>
      <c r="CA600" s="136">
        <f>'INFO BASE'!L680</f>
        <v>0</v>
      </c>
      <c r="CB600" s="136">
        <f>'INFO BASE'!M680</f>
        <v>0</v>
      </c>
      <c r="CR600" s="177">
        <f t="shared" si="331"/>
        <v>1</v>
      </c>
      <c r="CS600" s="177">
        <f t="shared" si="332"/>
        <v>1</v>
      </c>
      <c r="CT600" s="177">
        <f t="shared" si="331"/>
        <v>1</v>
      </c>
      <c r="CU600" s="177">
        <f t="shared" si="333"/>
        <v>1</v>
      </c>
      <c r="CV600" s="177">
        <f t="shared" si="331"/>
        <v>1</v>
      </c>
      <c r="CW600" s="177">
        <f t="shared" si="334"/>
        <v>1</v>
      </c>
      <c r="CX600" s="177">
        <f t="shared" si="331"/>
        <v>1</v>
      </c>
      <c r="CY600" s="177">
        <f t="shared" si="335"/>
        <v>1</v>
      </c>
      <c r="CZ600" s="177">
        <f t="shared" si="331"/>
        <v>1</v>
      </c>
      <c r="DA600" s="177">
        <f t="shared" si="336"/>
        <v>1</v>
      </c>
      <c r="DB600" s="177">
        <f t="shared" si="331"/>
        <v>1</v>
      </c>
      <c r="DC600" s="177">
        <f t="shared" si="337"/>
        <v>1</v>
      </c>
      <c r="DD600" s="177">
        <f t="shared" si="338"/>
        <v>1</v>
      </c>
      <c r="DE600" s="177">
        <f t="shared" si="339"/>
        <v>1</v>
      </c>
    </row>
    <row r="601" spans="1:109" ht="18" customHeight="1" x14ac:dyDescent="0.3">
      <c r="A601" s="81">
        <v>0.45833333333334803</v>
      </c>
      <c r="B601" s="153"/>
      <c r="C601" s="130"/>
      <c r="D601" s="135"/>
      <c r="E601" s="130"/>
      <c r="F601" s="135"/>
      <c r="G601" s="130"/>
      <c r="H601" s="135"/>
      <c r="I601" s="130"/>
      <c r="J601" s="135"/>
      <c r="K601" s="130"/>
      <c r="L601" s="135"/>
      <c r="M601" s="130"/>
      <c r="N601" s="135"/>
      <c r="O601" s="154"/>
      <c r="P601" s="6">
        <v>0</v>
      </c>
      <c r="Q601" s="114" t="str">
        <f t="shared" si="352"/>
        <v>Estudo em Grupo</v>
      </c>
      <c r="R601" s="105" t="str">
        <f t="shared" si="348"/>
        <v>AL</v>
      </c>
      <c r="S601" s="88">
        <f t="shared" si="345"/>
        <v>-1</v>
      </c>
      <c r="T601" s="89">
        <f>IF(VLOOKUP(Q601,'INFO BASE'!$B$40:$I$54,IF(R601='INFO BASE'!$B$32,3,IF(R601='INFO BASE'!$B$33,4,IF(R601='INFO BASE'!$B$34,5,IF(R601='INFO BASE'!$B$35,6,IF(R601='INFO BASE'!$B$36,7,IF(R601='INFO BASE'!$B$37,8,2)))))),0)=0,"",VLOOKUP(Q601,'INFO BASE'!$B$40:$I$54,IF(R601='INFO BASE'!$B$32,3,IF(R601='INFO BASE'!$B$33,4,IF(R601='INFO BASE'!$B$34,5,IF(R601='INFO BASE'!$B$35,6,IF(R601='INFO BASE'!$B$36,7,IF(R601='INFO BASE'!$B$37,8,2)))))),0))</f>
        <v>2</v>
      </c>
      <c r="U601" s="89">
        <f>(COUNTIFS(C579:C626,R601,B579:B626,R597)+COUNTIFS(E579:E626,R601,D579:D626,R597)+COUNTIFS(G579:G626,R601,F579:F626,R597)+COUNTIFS(I579:I626,R601,H579:H626,R597)+COUNTIFS(K579:K626,R601,J579:J626,R597)+COUNTIFS(M579:M626,R601,L579:L626,R597)+COUNTIFS(O579:O626,R601,N579:N626,R597))*0.5</f>
        <v>0</v>
      </c>
      <c r="V601" s="89">
        <f>(COUNTIFS(AI579:AI626,R597,AJ579:AJ626,R594)+COUNTIFS(AK579:AK626,R597,AL579:AL626,R594)+COUNTIFS(AM579:AM626,R597,AN579:AN626,R594)+COUNTIFS(AO579:AO626,R597,AP579:AP626,R594)+COUNTIFS(AQ579:AQ626,R597,AR579:AR626,R594)+COUNTIFS(AS579:AS626,R597,AT579:AT626,R594)+COUNTIFS(AU579:AU626,R597,AV579:AV626,R594))*0.5</f>
        <v>0</v>
      </c>
      <c r="W601" s="90" t="str">
        <f>IF(AH575="","-",IF(V601=0,U601,IFERROR((U601/V601)-1,"-")))</f>
        <v>-</v>
      </c>
      <c r="X601" s="201">
        <f t="shared" si="346"/>
        <v>0</v>
      </c>
      <c r="Y601" s="271"/>
      <c r="Z601" s="272"/>
      <c r="AA601" s="272"/>
      <c r="AB601" s="272"/>
      <c r="AC601" s="272"/>
      <c r="AD601" s="272"/>
      <c r="AE601" s="272"/>
      <c r="AF601" s="273"/>
      <c r="AH601" s="136">
        <v>0.45833333333334803</v>
      </c>
      <c r="AI601" s="136" t="str">
        <f>IF(AH575="","",IF(B601="","",B601))</f>
        <v/>
      </c>
      <c r="AJ601" s="136" t="str">
        <f>IF(AH575="","",IF(C601="","",C601))</f>
        <v/>
      </c>
      <c r="AK601" s="136" t="str">
        <f>IF(AH575="","",IF(D601="","",D601))</f>
        <v/>
      </c>
      <c r="AL601" s="136" t="str">
        <f>IF(AH575="","",IF(E601="","",E601))</f>
        <v/>
      </c>
      <c r="AM601" s="136" t="str">
        <f>IF(AH575="","",IF(F601="","",F601))</f>
        <v/>
      </c>
      <c r="AN601" s="136" t="str">
        <f>IF(AH575="","",IF(G601="","",G601))</f>
        <v/>
      </c>
      <c r="AO601" s="136" t="str">
        <f>IF(AH575="","",IF(H601="","",H601))</f>
        <v/>
      </c>
      <c r="AP601" s="136" t="str">
        <f>IF(AH575="","",IF(I601="","",I601))</f>
        <v/>
      </c>
      <c r="AQ601" s="136" t="str">
        <f>IF(AH575="","",IF(J601="","",J601))</f>
        <v/>
      </c>
      <c r="AR601" s="136" t="str">
        <f>IF(AH575="","",IF(K601="","",K601))</f>
        <v/>
      </c>
      <c r="AS601" s="136" t="str">
        <f>IF(AH575="","",IF(L601="","",L601))</f>
        <v/>
      </c>
      <c r="AT601" s="136" t="str">
        <f>IF(AH575="","",IF(M601="","",M601))</f>
        <v/>
      </c>
      <c r="AU601" s="136" t="str">
        <f>IF(AH575="","",IF(N601="","",N601))</f>
        <v/>
      </c>
      <c r="AV601" s="136" t="str">
        <f>IF(AH575="","",IF(O601="","",O601))</f>
        <v/>
      </c>
      <c r="AX601" s="136" t="str">
        <f>IF(AI575="","",IF(B601="","",B601))</f>
        <v/>
      </c>
      <c r="AY601" s="136" t="str">
        <f>IF(AI575="","",IF(C601="","",C601))</f>
        <v/>
      </c>
      <c r="AZ601" s="136" t="str">
        <f>IF(AI575="","",IF(D601="","",D601))</f>
        <v/>
      </c>
      <c r="BA601" s="136" t="str">
        <f>IF(AI575="","",IF(E601="","",E601))</f>
        <v/>
      </c>
      <c r="BB601" s="136" t="str">
        <f>IF(AI575="","",IF(F601="","",F601))</f>
        <v/>
      </c>
      <c r="BC601" s="136" t="str">
        <f>IF(AI575="","",IF(G601="","",G601))</f>
        <v/>
      </c>
      <c r="BD601" s="136" t="str">
        <f>IF(AI575="","",IF(H601="","",H601))</f>
        <v/>
      </c>
      <c r="BE601" s="136" t="str">
        <f>IF(AI575="","",IF(I601="","",I601))</f>
        <v/>
      </c>
      <c r="BF601" s="136" t="str">
        <f>IF(AI575="","",IF(J601="","",J601))</f>
        <v/>
      </c>
      <c r="BG601" s="136" t="str">
        <f>IF(AI575="","",IF(K601="","",K601))</f>
        <v/>
      </c>
      <c r="BH601" s="136" t="str">
        <f>IF(AI575="","",IF(L601="","",L601))</f>
        <v/>
      </c>
      <c r="BI601" s="136" t="str">
        <f>IF(AI575="","",IF(M601="","",M601))</f>
        <v/>
      </c>
      <c r="BJ601" s="136" t="str">
        <f>IF(AI575="","",IF(N601="","",N601))</f>
        <v/>
      </c>
      <c r="BK601" s="136" t="str">
        <f>IF(AI575="","",IF(O601="","",O601))</f>
        <v/>
      </c>
      <c r="BM601" s="136" t="str">
        <f>BO601</f>
        <v>TG</v>
      </c>
      <c r="BN601" s="136" t="str">
        <f t="shared" si="341"/>
        <v>Trabalho de Grupo</v>
      </c>
      <c r="BO601" s="136" t="str">
        <f t="shared" si="341"/>
        <v>TG</v>
      </c>
      <c r="BP601" s="136">
        <f>COUNTIFS(AX579:BK626,BO601)*0.5</f>
        <v>0</v>
      </c>
      <c r="BQ601" s="136" t="str">
        <f t="shared" si="342"/>
        <v>Trabalho de Grupo</v>
      </c>
      <c r="BR601" s="136" t="str">
        <f t="shared" si="342"/>
        <v>TG</v>
      </c>
      <c r="BS601" s="136" t="str">
        <f t="shared" si="343"/>
        <v>Trabalho de Grupo</v>
      </c>
      <c r="BT601" s="136">
        <f t="shared" si="349"/>
        <v>0</v>
      </c>
      <c r="BU601" s="136">
        <f t="shared" si="350"/>
        <v>0</v>
      </c>
      <c r="CA601" s="136">
        <f>'INFO BASE'!L681</f>
        <v>0</v>
      </c>
      <c r="CB601" s="136">
        <f>'INFO BASE'!M681</f>
        <v>0</v>
      </c>
      <c r="CR601" s="177">
        <f t="shared" si="331"/>
        <v>1</v>
      </c>
      <c r="CS601" s="177">
        <f t="shared" si="332"/>
        <v>1</v>
      </c>
      <c r="CT601" s="177">
        <f t="shared" si="331"/>
        <v>1</v>
      </c>
      <c r="CU601" s="177">
        <f t="shared" si="333"/>
        <v>1</v>
      </c>
      <c r="CV601" s="177">
        <f t="shared" si="331"/>
        <v>1</v>
      </c>
      <c r="CW601" s="177">
        <f t="shared" si="334"/>
        <v>1</v>
      </c>
      <c r="CX601" s="177">
        <f t="shared" si="331"/>
        <v>1</v>
      </c>
      <c r="CY601" s="177">
        <f t="shared" si="335"/>
        <v>1</v>
      </c>
      <c r="CZ601" s="177">
        <f t="shared" si="331"/>
        <v>1</v>
      </c>
      <c r="DA601" s="177">
        <f t="shared" si="336"/>
        <v>1</v>
      </c>
      <c r="DB601" s="177">
        <f t="shared" si="331"/>
        <v>1</v>
      </c>
      <c r="DC601" s="177">
        <f t="shared" si="337"/>
        <v>1</v>
      </c>
      <c r="DD601" s="177">
        <f t="shared" si="338"/>
        <v>1</v>
      </c>
      <c r="DE601" s="177">
        <f t="shared" si="339"/>
        <v>1</v>
      </c>
    </row>
    <row r="602" spans="1:109" ht="18" customHeight="1" x14ac:dyDescent="0.3">
      <c r="A602" s="81">
        <v>0.47916666666668201</v>
      </c>
      <c r="B602" s="153"/>
      <c r="C602" s="130"/>
      <c r="D602" s="135"/>
      <c r="E602" s="130"/>
      <c r="F602" s="135"/>
      <c r="G602" s="130"/>
      <c r="H602" s="135"/>
      <c r="I602" s="130"/>
      <c r="J602" s="135"/>
      <c r="K602" s="130"/>
      <c r="L602" s="135"/>
      <c r="M602" s="130"/>
      <c r="N602" s="135"/>
      <c r="O602" s="154"/>
      <c r="P602" s="6">
        <v>0</v>
      </c>
      <c r="Q602" s="114" t="str">
        <f t="shared" si="352"/>
        <v>Estudo em Grupo</v>
      </c>
      <c r="R602" s="105" t="str">
        <f t="shared" si="348"/>
        <v>CDI</v>
      </c>
      <c r="S602" s="88">
        <f t="shared" si="345"/>
        <v>-1</v>
      </c>
      <c r="T602" s="89">
        <f>IF(VLOOKUP(Q602,'INFO BASE'!$B$40:$I$54,IF(R602='INFO BASE'!$B$32,3,IF(R602='INFO BASE'!$B$33,4,IF(R602='INFO BASE'!$B$34,5,IF(R602='INFO BASE'!$B$35,6,IF(R602='INFO BASE'!$B$36,7,IF(R602='INFO BASE'!$B$37,8,2)))))),0)=0,"",VLOOKUP(Q602,'INFO BASE'!$B$40:$I$54,IF(R602='INFO BASE'!$B$32,3,IF(R602='INFO BASE'!$B$33,4,IF(R602='INFO BASE'!$B$34,5,IF(R602='INFO BASE'!$B$35,6,IF(R602='INFO BASE'!$B$36,7,IF(R602='INFO BASE'!$B$37,8,2)))))),0))</f>
        <v>2</v>
      </c>
      <c r="U602" s="89">
        <f>(COUNTIFS(C579:C626,R602,B579:B626,R597)+COUNTIFS(E579:E626,R602,D579:D626,R597)+COUNTIFS(G579:G626,R602,F579:F626,R597)+COUNTIFS(I579:I626,R602,H579:H626,R597)+COUNTIFS(K579:K626,R602,J579:J626,R597)+COUNTIFS(M579:M626,R602,L579:L626,R597)+COUNTIFS(O579:O626,R602,N579:N626,R597))*0.5</f>
        <v>0</v>
      </c>
      <c r="V602" s="89">
        <f>(COUNTIFS(AI579:AI626,R597,AJ579:AJ626,R595)+COUNTIFS(AK579:AK626,R597,AL579:AL626,R595)+COUNTIFS(AM579:AM626,R597,AN579:AN626,R595)+COUNTIFS(AO579:AO626,R597,AP579:AP626,R595)+COUNTIFS(AQ579:AQ626,R597,AR579:AR626,R595)+COUNTIFS(AS579:AS626,R597,AT579:AT626,R595)+COUNTIFS(AU579:AU626,R597,AV579:AV626,R595))*0.5</f>
        <v>0</v>
      </c>
      <c r="W602" s="90" t="str">
        <f>IF(AH575="","-",IF(V602=0,U602,IFERROR((U602/V602)-1,"-")))</f>
        <v>-</v>
      </c>
      <c r="X602" s="201">
        <f t="shared" si="346"/>
        <v>0</v>
      </c>
      <c r="Y602" s="271"/>
      <c r="Z602" s="272"/>
      <c r="AA602" s="272"/>
      <c r="AB602" s="272"/>
      <c r="AC602" s="272"/>
      <c r="AD602" s="272"/>
      <c r="AE602" s="272"/>
      <c r="AF602" s="273"/>
      <c r="AH602" s="136">
        <v>0.47916666666668201</v>
      </c>
      <c r="AI602" s="136" t="str">
        <f>IF(AH575="","",IF(B602="","",B602))</f>
        <v/>
      </c>
      <c r="AJ602" s="136" t="str">
        <f>IF(AH575="","",IF(C602="","",C602))</f>
        <v/>
      </c>
      <c r="AK602" s="136" t="str">
        <f>IF(AH575="","",IF(D602="","",D602))</f>
        <v/>
      </c>
      <c r="AL602" s="136" t="str">
        <f>IF(AH575="","",IF(E602="","",E602))</f>
        <v/>
      </c>
      <c r="AM602" s="136" t="str">
        <f>IF(AH575="","",IF(F602="","",F602))</f>
        <v/>
      </c>
      <c r="AN602" s="136" t="str">
        <f>IF(AH575="","",IF(G602="","",G602))</f>
        <v/>
      </c>
      <c r="AO602" s="136" t="str">
        <f>IF(AH575="","",IF(H602="","",H602))</f>
        <v/>
      </c>
      <c r="AP602" s="136" t="str">
        <f>IF(AH575="","",IF(I602="","",I602))</f>
        <v/>
      </c>
      <c r="AQ602" s="136" t="str">
        <f>IF(AH575="","",IF(J602="","",J602))</f>
        <v/>
      </c>
      <c r="AR602" s="136" t="str">
        <f>IF(AH575="","",IF(K602="","",K602))</f>
        <v/>
      </c>
      <c r="AS602" s="136" t="str">
        <f>IF(AH575="","",IF(L602="","",L602))</f>
        <v/>
      </c>
      <c r="AT602" s="136" t="str">
        <f>IF(AH575="","",IF(M602="","",M602))</f>
        <v/>
      </c>
      <c r="AU602" s="136" t="str">
        <f>IF(AH575="","",IF(N602="","",N602))</f>
        <v/>
      </c>
      <c r="AV602" s="136" t="str">
        <f>IF(AH575="","",IF(O602="","",O602))</f>
        <v/>
      </c>
      <c r="AX602" s="136" t="str">
        <f>IF(AI575="","",IF(B602="","",B602))</f>
        <v/>
      </c>
      <c r="AY602" s="136" t="str">
        <f>IF(AI575="","",IF(C602="","",C602))</f>
        <v/>
      </c>
      <c r="AZ602" s="136" t="str">
        <f>IF(AI575="","",IF(D602="","",D602))</f>
        <v/>
      </c>
      <c r="BA602" s="136" t="str">
        <f>IF(AI575="","",IF(E602="","",E602))</f>
        <v/>
      </c>
      <c r="BB602" s="136" t="str">
        <f>IF(AI575="","",IF(F602="","",F602))</f>
        <v/>
      </c>
      <c r="BC602" s="136" t="str">
        <f>IF(AI575="","",IF(G602="","",G602))</f>
        <v/>
      </c>
      <c r="BD602" s="136" t="str">
        <f>IF(AI575="","",IF(H602="","",H602))</f>
        <v/>
      </c>
      <c r="BE602" s="136" t="str">
        <f>IF(AI575="","",IF(I602="","",I602))</f>
        <v/>
      </c>
      <c r="BF602" s="136" t="str">
        <f>IF(AI575="","",IF(J602="","",J602))</f>
        <v/>
      </c>
      <c r="BG602" s="136" t="str">
        <f>IF(AI575="","",IF(K602="","",K602))</f>
        <v/>
      </c>
      <c r="BH602" s="136" t="str">
        <f>IF(AI575="","",IF(L602="","",L602))</f>
        <v/>
      </c>
      <c r="BI602" s="136" t="str">
        <f>IF(AI575="","",IF(M602="","",M602))</f>
        <v/>
      </c>
      <c r="BJ602" s="136" t="str">
        <f>IF(AI575="","",IF(N602="","",N602))</f>
        <v/>
      </c>
      <c r="BK602" s="136" t="str">
        <f>IF(AI575="","",IF(O602="","",O602))</f>
        <v/>
      </c>
      <c r="BM602" s="136" t="str">
        <f>BM601</f>
        <v>TG</v>
      </c>
      <c r="BN602" s="136" t="str">
        <f t="shared" si="341"/>
        <v>Trabalho de Grupo</v>
      </c>
      <c r="BO602" s="136" t="str">
        <f t="shared" si="341"/>
        <v>FP</v>
      </c>
      <c r="BP602" s="136">
        <f>(COUNTIFS(AX579:AX626,BM602,AY579:AY626,BO602)+COUNTIFS(AZ579:AZ626,BM602,BA579:BA626,BO602)+COUNTIFS(BB579:BB626,BM602,BC579:BC626,BO602)+COUNTIFS(BD579:BD626,BM602,BE579:BE626,BO602)+COUNTIFS(BF579:BF626,BM602,BG579:BG626,BO602)+COUNTIFS(BH579:BH626,BM602,BI579:BI626,BO602)+COUNTIFS(BJ579:BJ626,BM602,BK579:BK626,BO602))*0.5</f>
        <v>0</v>
      </c>
      <c r="BQ602" s="136" t="str">
        <f t="shared" si="342"/>
        <v>Trabalho de Grupo</v>
      </c>
      <c r="BR602" s="136" t="str">
        <f t="shared" si="342"/>
        <v>FP</v>
      </c>
      <c r="BS602" s="136" t="str">
        <f t="shared" si="343"/>
        <v>Trabalho de Grupo</v>
      </c>
      <c r="BT602" s="136">
        <f t="shared" si="349"/>
        <v>0</v>
      </c>
      <c r="BU602" s="136">
        <f t="shared" si="350"/>
        <v>0</v>
      </c>
      <c r="CR602" s="177">
        <f t="shared" si="331"/>
        <v>1</v>
      </c>
      <c r="CS602" s="177">
        <f t="shared" si="332"/>
        <v>1</v>
      </c>
      <c r="CT602" s="177">
        <f t="shared" si="331"/>
        <v>1</v>
      </c>
      <c r="CU602" s="177">
        <f t="shared" si="333"/>
        <v>1</v>
      </c>
      <c r="CV602" s="177">
        <f t="shared" si="331"/>
        <v>1</v>
      </c>
      <c r="CW602" s="177">
        <f t="shared" si="334"/>
        <v>1</v>
      </c>
      <c r="CX602" s="177">
        <f t="shared" si="331"/>
        <v>1</v>
      </c>
      <c r="CY602" s="177">
        <f t="shared" si="335"/>
        <v>1</v>
      </c>
      <c r="CZ602" s="177">
        <f t="shared" si="331"/>
        <v>1</v>
      </c>
      <c r="DA602" s="177">
        <f t="shared" si="336"/>
        <v>1</v>
      </c>
      <c r="DB602" s="177">
        <f t="shared" si="331"/>
        <v>1</v>
      </c>
      <c r="DC602" s="177">
        <f t="shared" si="337"/>
        <v>1</v>
      </c>
      <c r="DD602" s="177">
        <f t="shared" si="338"/>
        <v>1</v>
      </c>
      <c r="DE602" s="177">
        <f t="shared" si="339"/>
        <v>1</v>
      </c>
    </row>
    <row r="603" spans="1:109" ht="18" customHeight="1" thickBot="1" x14ac:dyDescent="0.35">
      <c r="A603" s="81">
        <v>0.50000000000001599</v>
      </c>
      <c r="B603" s="153"/>
      <c r="C603" s="130"/>
      <c r="D603" s="135"/>
      <c r="E603" s="130"/>
      <c r="F603" s="135"/>
      <c r="G603" s="130"/>
      <c r="H603" s="135"/>
      <c r="I603" s="130"/>
      <c r="J603" s="135"/>
      <c r="K603" s="130"/>
      <c r="L603" s="135"/>
      <c r="M603" s="130"/>
      <c r="N603" s="135"/>
      <c r="O603" s="154"/>
      <c r="P603" s="6">
        <v>0</v>
      </c>
      <c r="Q603" s="116" t="str">
        <f t="shared" si="352"/>
        <v>Estudo em Grupo</v>
      </c>
      <c r="R603" s="107" t="str">
        <f t="shared" si="348"/>
        <v/>
      </c>
      <c r="S603" s="94" t="str">
        <f t="shared" si="345"/>
        <v>-</v>
      </c>
      <c r="T603" s="95" t="str">
        <f>IF(VLOOKUP(Q603,'INFO BASE'!$B$40:$I$54,IF(R603='INFO BASE'!$B$32,3,IF(R603='INFO BASE'!$B$33,4,IF(R603='INFO BASE'!$B$34,5,IF(R603='INFO BASE'!$B$35,6,IF(R603='INFO BASE'!$B$36,7,IF(R603='INFO BASE'!$B$37,8,2)))))),0)=0,"",VLOOKUP(Q603,'INFO BASE'!$B$40:$I$54,IF(R603='INFO BASE'!$B$32,3,IF(R603='INFO BASE'!$B$33,4,IF(R603='INFO BASE'!$B$34,5,IF(R603='INFO BASE'!$B$35,6,IF(R603='INFO BASE'!$B$36,7,IF(R603='INFO BASE'!$B$37,8,2)))))),0))</f>
        <v/>
      </c>
      <c r="U603" s="95">
        <f>(COUNTIFS(C579:C626,R603,B579:B626,R597)+COUNTIFS(E579:E626,R603,D579:D626,R597)+COUNTIFS(G579:G626,R603,F579:F626,R597)+COUNTIFS(I579:I626,R603,H579:H626,R597)+COUNTIFS(K579:K626,R603,J579:J626,R597)+COUNTIFS(M579:M626,R603,L579:L626,R597)+COUNTIFS(O579:O626,R603,N579:N626,R597))*0.5</f>
        <v>0</v>
      </c>
      <c r="V603" s="95">
        <f>(COUNTIFS(AI579:AI626,R597,AJ579:AJ626,R596)+COUNTIFS(AK579:AK626,R597,AL579:AL626,R596)+COUNTIFS(AM579:AM626,R597,AN579:AN626,R596)+COUNTIFS(AO579:AO626,R597,AP579:AP626,R596)+COUNTIFS(AQ579:AQ626,R597,AR579:AR626,R596)+COUNTIFS(AS579:AS626,R597,AT579:AT626,R596)+COUNTIFS(AU579:AU626,R597,AV579:AV626,R596))*0.5</f>
        <v>0</v>
      </c>
      <c r="W603" s="96" t="str">
        <f>IF(AH575="","-",IF(V603=0,U603,IFERROR((U603/V603)-1,"-")))</f>
        <v>-</v>
      </c>
      <c r="X603" s="201">
        <f t="shared" si="346"/>
        <v>0</v>
      </c>
      <c r="Y603" s="274"/>
      <c r="Z603" s="275"/>
      <c r="AA603" s="275"/>
      <c r="AB603" s="275"/>
      <c r="AC603" s="275"/>
      <c r="AD603" s="275"/>
      <c r="AE603" s="275"/>
      <c r="AF603" s="276"/>
      <c r="AH603" s="136">
        <v>0.50000000000001599</v>
      </c>
      <c r="AI603" s="136" t="str">
        <f>IF(AH575="","",IF(B603="","",B603))</f>
        <v/>
      </c>
      <c r="AJ603" s="136" t="str">
        <f>IF(AH575="","",IF(C603="","",C603))</f>
        <v/>
      </c>
      <c r="AK603" s="136" t="str">
        <f>IF(AH575="","",IF(D603="","",D603))</f>
        <v/>
      </c>
      <c r="AL603" s="136" t="str">
        <f>IF(AH575="","",IF(E603="","",E603))</f>
        <v/>
      </c>
      <c r="AM603" s="136" t="str">
        <f>IF(AH575="","",IF(F603="","",F603))</f>
        <v/>
      </c>
      <c r="AN603" s="136" t="str">
        <f>IF(AH575="","",IF(G603="","",G603))</f>
        <v/>
      </c>
      <c r="AO603" s="136" t="str">
        <f>IF(AH575="","",IF(H603="","",H603))</f>
        <v/>
      </c>
      <c r="AP603" s="136" t="str">
        <f>IF(AH575="","",IF(I603="","",I603))</f>
        <v/>
      </c>
      <c r="AQ603" s="136" t="str">
        <f>IF(AH575="","",IF(J603="","",J603))</f>
        <v/>
      </c>
      <c r="AR603" s="136" t="str">
        <f>IF(AH575="","",IF(K603="","",K603))</f>
        <v/>
      </c>
      <c r="AS603" s="136" t="str">
        <f>IF(AH575="","",IF(L603="","",L603))</f>
        <v/>
      </c>
      <c r="AT603" s="136" t="str">
        <f>IF(AH575="","",IF(M603="","",M603))</f>
        <v/>
      </c>
      <c r="AU603" s="136" t="str">
        <f>IF(AH575="","",IF(N603="","",N603))</f>
        <v/>
      </c>
      <c r="AV603" s="136" t="str">
        <f>IF(AH575="","",IF(O603="","",O603))</f>
        <v/>
      </c>
      <c r="AX603" s="136" t="str">
        <f>IF(AI575="","",IF(B603="","",B603))</f>
        <v/>
      </c>
      <c r="AY603" s="136" t="str">
        <f>IF(AI575="","",IF(C603="","",C603))</f>
        <v/>
      </c>
      <c r="AZ603" s="136" t="str">
        <f>IF(AI575="","",IF(D603="","",D603))</f>
        <v/>
      </c>
      <c r="BA603" s="136" t="str">
        <f>IF(AI575="","",IF(E603="","",E603))</f>
        <v/>
      </c>
      <c r="BB603" s="136" t="str">
        <f>IF(AI575="","",IF(F603="","",F603))</f>
        <v/>
      </c>
      <c r="BC603" s="136" t="str">
        <f>IF(AI575="","",IF(G603="","",G603))</f>
        <v/>
      </c>
      <c r="BD603" s="136" t="str">
        <f>IF(AI575="","",IF(H603="","",H603))</f>
        <v/>
      </c>
      <c r="BE603" s="136" t="str">
        <f>IF(AI575="","",IF(I603="","",I603))</f>
        <v/>
      </c>
      <c r="BF603" s="136" t="str">
        <f>IF(AI575="","",IF(J603="","",J603))</f>
        <v/>
      </c>
      <c r="BG603" s="136" t="str">
        <f>IF(AI575="","",IF(K603="","",K603))</f>
        <v/>
      </c>
      <c r="BH603" s="136" t="str">
        <f>IF(AI575="","",IF(L603="","",L603))</f>
        <v/>
      </c>
      <c r="BI603" s="136" t="str">
        <f>IF(AI575="","",IF(M603="","",M603))</f>
        <v/>
      </c>
      <c r="BJ603" s="136" t="str">
        <f>IF(AI575="","",IF(N603="","",N603))</f>
        <v/>
      </c>
      <c r="BK603" s="136" t="str">
        <f>IF(AI575="","",IF(O603="","",O603))</f>
        <v/>
      </c>
      <c r="BM603" s="136" t="str">
        <f t="shared" ref="BM603:BM607" si="353">BM602</f>
        <v>TG</v>
      </c>
      <c r="BN603" s="136" t="str">
        <f t="shared" si="341"/>
        <v>Trabalho de Grupo</v>
      </c>
      <c r="BO603" s="136" t="str">
        <f t="shared" si="341"/>
        <v>IEI</v>
      </c>
      <c r="BP603" s="136">
        <f>(COUNTIFS(AX579:AX626,BM603,AY579:AY626,BO603)+COUNTIFS(AZ579:AZ626,BM603,BA579:BA626,BO603)+COUNTIFS(BB579:BB626,BM603,BC579:BC626,BO603)+COUNTIFS(BD579:BD626,BM603,BE579:BE626,BO603)+COUNTIFS(BF579:BF626,BM603,BG579:BG626,BO603)+COUNTIFS(BH579:BH626,BM603,BI579:BI626,BO603)+COUNTIFS(BJ579:BJ626,BM603,BK579:BK626,BO603))*0.5</f>
        <v>0</v>
      </c>
      <c r="BQ603" s="136" t="str">
        <f t="shared" si="342"/>
        <v>Trabalho de Grupo</v>
      </c>
      <c r="BR603" s="136" t="str">
        <f t="shared" si="342"/>
        <v>IEI</v>
      </c>
      <c r="BS603" s="136" t="str">
        <f t="shared" si="343"/>
        <v>Trabalho de Grupo</v>
      </c>
      <c r="BT603" s="136">
        <f t="shared" si="349"/>
        <v>0</v>
      </c>
      <c r="BU603" s="136">
        <f t="shared" si="350"/>
        <v>0</v>
      </c>
      <c r="CA603" s="136">
        <f>'INFO BASE'!L682</f>
        <v>0</v>
      </c>
      <c r="CB603" s="136">
        <f>'INFO BASE'!M682</f>
        <v>0</v>
      </c>
      <c r="CR603" s="177">
        <f t="shared" si="331"/>
        <v>1</v>
      </c>
      <c r="CS603" s="177">
        <f t="shared" si="332"/>
        <v>1</v>
      </c>
      <c r="CT603" s="177">
        <f t="shared" si="331"/>
        <v>1</v>
      </c>
      <c r="CU603" s="177">
        <f t="shared" si="333"/>
        <v>1</v>
      </c>
      <c r="CV603" s="177">
        <f t="shared" si="331"/>
        <v>1</v>
      </c>
      <c r="CW603" s="177">
        <f t="shared" si="334"/>
        <v>1</v>
      </c>
      <c r="CX603" s="177">
        <f t="shared" si="331"/>
        <v>1</v>
      </c>
      <c r="CY603" s="177">
        <f t="shared" si="335"/>
        <v>1</v>
      </c>
      <c r="CZ603" s="177">
        <f t="shared" si="331"/>
        <v>1</v>
      </c>
      <c r="DA603" s="177">
        <f t="shared" si="336"/>
        <v>1</v>
      </c>
      <c r="DB603" s="177">
        <f t="shared" si="331"/>
        <v>1</v>
      </c>
      <c r="DC603" s="177">
        <f t="shared" si="337"/>
        <v>1</v>
      </c>
      <c r="DD603" s="177">
        <f t="shared" si="338"/>
        <v>1</v>
      </c>
      <c r="DE603" s="177">
        <f t="shared" si="339"/>
        <v>1</v>
      </c>
    </row>
    <row r="604" spans="1:109" ht="18" customHeight="1" x14ac:dyDescent="0.3">
      <c r="A604" s="81">
        <v>0.52083333333335002</v>
      </c>
      <c r="B604" s="153"/>
      <c r="C604" s="130"/>
      <c r="D604" s="135"/>
      <c r="E604" s="130"/>
      <c r="F604" s="135"/>
      <c r="G604" s="130"/>
      <c r="H604" s="135"/>
      <c r="I604" s="130"/>
      <c r="J604" s="135"/>
      <c r="K604" s="130"/>
      <c r="L604" s="135"/>
      <c r="M604" s="130"/>
      <c r="N604" s="135"/>
      <c r="O604" s="154"/>
      <c r="P604" s="6">
        <v>0</v>
      </c>
      <c r="Q604" s="117" t="str">
        <f>IF('INFO BASE'!$C$19="","",'INFO BASE'!$C$19)</f>
        <v>Trabalho de Grupo</v>
      </c>
      <c r="R604" s="82" t="str">
        <f t="shared" si="348"/>
        <v>TG</v>
      </c>
      <c r="S604" s="83">
        <f t="shared" si="345"/>
        <v>-1</v>
      </c>
      <c r="T604" s="84">
        <f>IF(VLOOKUP(Q604,'INFO BASE'!$B$40:$I$54,IF(R604='INFO BASE'!$B$32,3,IF(R604='INFO BASE'!$B$33,4,IF(R604='INFO BASE'!$B$34,5,IF(R604='INFO BASE'!$B$35,6,IF(R604='INFO BASE'!$B$36,7,IF(R604='INFO BASE'!$B$37,8,2)))))),0)=0,"",VLOOKUP(Q604,'INFO BASE'!$B$40:$I$54,IF(R604='INFO BASE'!$B$32,3,IF(R604='INFO BASE'!$B$33,4,IF(R604='INFO BASE'!$B$34,5,IF(R604='INFO BASE'!$B$35,6,IF(R604='INFO BASE'!$B$36,7,IF(R604='INFO BASE'!$B$37,8,2)))))),0))</f>
        <v>15</v>
      </c>
      <c r="U604" s="84">
        <f>IF(R604="","",COUNTIFS(SEMANA11,R604)*0.5)</f>
        <v>0</v>
      </c>
      <c r="V604" s="84">
        <f>IF(R604="","",COUNTIFS(AI579:AV626,R604)*0.5)</f>
        <v>0</v>
      </c>
      <c r="W604" s="85" t="str">
        <f>IF(AH575="","-",IF(V604=0,U604,IFERROR((U604/V604)-1,"-")))</f>
        <v>-</v>
      </c>
      <c r="X604" s="201">
        <f t="shared" si="346"/>
        <v>0</v>
      </c>
      <c r="Y604" s="277"/>
      <c r="Z604" s="278"/>
      <c r="AA604" s="278"/>
      <c r="AB604" s="278"/>
      <c r="AC604" s="278"/>
      <c r="AD604" s="278"/>
      <c r="AE604" s="278"/>
      <c r="AF604" s="279"/>
      <c r="AH604" s="136">
        <v>0.52083333333335002</v>
      </c>
      <c r="AI604" s="136" t="str">
        <f>IF(AH575="","",IF(B604="","",B604))</f>
        <v/>
      </c>
      <c r="AJ604" s="136" t="str">
        <f>IF(AH575="","",IF(C604="","",C604))</f>
        <v/>
      </c>
      <c r="AK604" s="136" t="str">
        <f>IF(AH575="","",IF(D604="","",D604))</f>
        <v/>
      </c>
      <c r="AL604" s="136" t="str">
        <f>IF(AH575="","",IF(E604="","",E604))</f>
        <v/>
      </c>
      <c r="AM604" s="136" t="str">
        <f>IF(AH575="","",IF(F604="","",F604))</f>
        <v/>
      </c>
      <c r="AN604" s="136" t="str">
        <f>IF(AH575="","",IF(G604="","",G604))</f>
        <v/>
      </c>
      <c r="AO604" s="136" t="str">
        <f>IF(AH575="","",IF(H604="","",H604))</f>
        <v/>
      </c>
      <c r="AP604" s="136" t="str">
        <f>IF(AH575="","",IF(I604="","",I604))</f>
        <v/>
      </c>
      <c r="AQ604" s="136" t="str">
        <f>IF(AH575="","",IF(J604="","",J604))</f>
        <v/>
      </c>
      <c r="AR604" s="136" t="str">
        <f>IF(AH575="","",IF(K604="","",K604))</f>
        <v/>
      </c>
      <c r="AS604" s="136" t="str">
        <f>IF(AH575="","",IF(L604="","",L604))</f>
        <v/>
      </c>
      <c r="AT604" s="136" t="str">
        <f>IF(AH575="","",IF(M604="","",M604))</f>
        <v/>
      </c>
      <c r="AU604" s="136" t="str">
        <f>IF(AH575="","",IF(N604="","",N604))</f>
        <v/>
      </c>
      <c r="AV604" s="136" t="str">
        <f>IF(AH575="","",IF(O604="","",O604))</f>
        <v/>
      </c>
      <c r="AX604" s="136" t="str">
        <f>IF(AI575="","",IF(B604="","",B604))</f>
        <v/>
      </c>
      <c r="AY604" s="136" t="str">
        <f>IF(AI575="","",IF(C604="","",C604))</f>
        <v/>
      </c>
      <c r="AZ604" s="136" t="str">
        <f>IF(AI575="","",IF(D604="","",D604))</f>
        <v/>
      </c>
      <c r="BA604" s="136" t="str">
        <f>IF(AI575="","",IF(E604="","",E604))</f>
        <v/>
      </c>
      <c r="BB604" s="136" t="str">
        <f>IF(AI575="","",IF(F604="","",F604))</f>
        <v/>
      </c>
      <c r="BC604" s="136" t="str">
        <f>IF(AI575="","",IF(G604="","",G604))</f>
        <v/>
      </c>
      <c r="BD604" s="136" t="str">
        <f>IF(AI575="","",IF(H604="","",H604))</f>
        <v/>
      </c>
      <c r="BE604" s="136" t="str">
        <f>IF(AI575="","",IF(I604="","",I604))</f>
        <v/>
      </c>
      <c r="BF604" s="136" t="str">
        <f>IF(AI575="","",IF(J604="","",J604))</f>
        <v/>
      </c>
      <c r="BG604" s="136" t="str">
        <f>IF(AI575="","",IF(K604="","",K604))</f>
        <v/>
      </c>
      <c r="BH604" s="136" t="str">
        <f>IF(AI575="","",IF(L604="","",L604))</f>
        <v/>
      </c>
      <c r="BI604" s="136" t="str">
        <f>IF(AI575="","",IF(M604="","",M604))</f>
        <v/>
      </c>
      <c r="BJ604" s="136" t="str">
        <f>IF(AI575="","",IF(N604="","",N604))</f>
        <v/>
      </c>
      <c r="BK604" s="136" t="str">
        <f>IF(AI575="","",IF(O604="","",O604))</f>
        <v/>
      </c>
      <c r="BM604" s="136" t="str">
        <f t="shared" si="353"/>
        <v>TG</v>
      </c>
      <c r="BN604" s="136" t="str">
        <f t="shared" si="341"/>
        <v>Trabalho de Grupo</v>
      </c>
      <c r="BO604" s="136" t="str">
        <f t="shared" si="341"/>
        <v>IAC</v>
      </c>
      <c r="BP604" s="136">
        <f>(COUNTIFS(AX579:AX626,BM604,AY579:AY626,BO604)+COUNTIFS(AZ579:AZ626,BM604,BA579:BA626,BO604)+COUNTIFS(BB579:BB626,BM604,BC579:BC626,BO604)+COUNTIFS(BD579:BD626,BM604,BE579:BE626,BO604)+COUNTIFS(BF579:BF626,BM604,BG579:BG626,BO604)+COUNTIFS(BH579:BH626,BM604,BI579:BI626,BO604)+COUNTIFS(BJ579:BJ626,BM604,BK579:BK626,BO604))*0.5</f>
        <v>0</v>
      </c>
      <c r="BQ604" s="136" t="str">
        <f t="shared" si="342"/>
        <v>Trabalho de Grupo</v>
      </c>
      <c r="BR604" s="136" t="str">
        <f t="shared" si="342"/>
        <v>IAC</v>
      </c>
      <c r="BS604" s="136" t="str">
        <f t="shared" si="343"/>
        <v>Trabalho de Grupo</v>
      </c>
      <c r="BT604" s="136">
        <f t="shared" si="349"/>
        <v>0</v>
      </c>
      <c r="BU604" s="136">
        <f t="shared" si="350"/>
        <v>0</v>
      </c>
      <c r="CA604" s="136">
        <f>'INFO BASE'!L683</f>
        <v>0</v>
      </c>
      <c r="CB604" s="136">
        <f>'INFO BASE'!M683</f>
        <v>0</v>
      </c>
      <c r="CR604" s="177">
        <f t="shared" si="331"/>
        <v>1</v>
      </c>
      <c r="CS604" s="177">
        <f t="shared" si="332"/>
        <v>1</v>
      </c>
      <c r="CT604" s="177">
        <f t="shared" si="331"/>
        <v>1</v>
      </c>
      <c r="CU604" s="177">
        <f t="shared" si="333"/>
        <v>1</v>
      </c>
      <c r="CV604" s="177">
        <f t="shared" si="331"/>
        <v>1</v>
      </c>
      <c r="CW604" s="177">
        <f t="shared" si="334"/>
        <v>1</v>
      </c>
      <c r="CX604" s="177">
        <f t="shared" si="331"/>
        <v>1</v>
      </c>
      <c r="CY604" s="177">
        <f t="shared" si="335"/>
        <v>1</v>
      </c>
      <c r="CZ604" s="177">
        <f t="shared" si="331"/>
        <v>1</v>
      </c>
      <c r="DA604" s="177">
        <f t="shared" si="336"/>
        <v>1</v>
      </c>
      <c r="DB604" s="177">
        <f t="shared" si="331"/>
        <v>1</v>
      </c>
      <c r="DC604" s="177">
        <f t="shared" si="337"/>
        <v>1</v>
      </c>
      <c r="DD604" s="177">
        <f t="shared" si="338"/>
        <v>1</v>
      </c>
      <c r="DE604" s="177">
        <f t="shared" si="339"/>
        <v>1</v>
      </c>
    </row>
    <row r="605" spans="1:109" ht="18" customHeight="1" x14ac:dyDescent="0.3">
      <c r="A605" s="81">
        <v>0.54166666666668395</v>
      </c>
      <c r="B605" s="153"/>
      <c r="C605" s="130"/>
      <c r="D605" s="135"/>
      <c r="E605" s="130"/>
      <c r="F605" s="135"/>
      <c r="G605" s="130"/>
      <c r="H605" s="135"/>
      <c r="I605" s="130"/>
      <c r="J605" s="135"/>
      <c r="K605" s="130"/>
      <c r="L605" s="135"/>
      <c r="M605" s="130"/>
      <c r="N605" s="135"/>
      <c r="O605" s="154"/>
      <c r="P605" s="6">
        <v>0</v>
      </c>
      <c r="Q605" s="118" t="str">
        <f t="shared" ref="Q605:Q610" si="354">Q604</f>
        <v>Trabalho de Grupo</v>
      </c>
      <c r="R605" s="105" t="str">
        <f t="shared" si="348"/>
        <v>FP</v>
      </c>
      <c r="S605" s="88">
        <f t="shared" si="345"/>
        <v>-1</v>
      </c>
      <c r="T605" s="89">
        <f>IF(VLOOKUP(Q605,'INFO BASE'!$B$40:$I$54,IF(R605='INFO BASE'!$B$32,3,IF(R605='INFO BASE'!$B$33,4,IF(R605='INFO BASE'!$B$34,5,IF(R605='INFO BASE'!$B$35,6,IF(R605='INFO BASE'!$B$36,7,IF(R605='INFO BASE'!$B$37,8,2)))))),0)=0,"",VLOOKUP(Q605,'INFO BASE'!$B$40:$I$54,IF(R605='INFO BASE'!$B$32,3,IF(R605='INFO BASE'!$B$33,4,IF(R605='INFO BASE'!$B$34,5,IF(R605='INFO BASE'!$B$35,6,IF(R605='INFO BASE'!$B$36,7,IF(R605='INFO BASE'!$B$37,8,2)))))),0))</f>
        <v>3</v>
      </c>
      <c r="U605" s="89">
        <f>(COUNTIFS(C579:C626,R605,B579:B626,R604)+COUNTIFS(E579:E626,R605,D579:D626,R604)+COUNTIFS(G579:G626,R605,F579:F626,R604)+COUNTIFS(I579:I626,R605,H579:H626,R604)+COUNTIFS(K579:K626,R605,J579:J626,R604)+COUNTIFS(M579:M626,R605,L579:L626,R604)+COUNTIFS(O579:O626,R605,N579:N626,R604))*0.5</f>
        <v>0</v>
      </c>
      <c r="V605" s="89">
        <f>(COUNTIFS(AI579:AI626,R604,AJ579:AJ626,R598)+COUNTIFS(AK579:AK626,R604,AL579:AL626,R598)+COUNTIFS(AM579:AM626,R604,AN579:AN626,R598)+COUNTIFS(AO579:AO626,R604,AP579:AP626,R598)+COUNTIFS(AQ579:AQ626,R604,AR579:AR626,R598)+COUNTIFS(AS579:AS626,R604,AT579:AT626,R598)+COUNTIFS(AU579:AU626,R604,AV579:AV626,R598))*0.5</f>
        <v>0</v>
      </c>
      <c r="W605" s="90" t="str">
        <f>IF(AH575="","-",IF(V605=0,U605,IFERROR((U605/V605)-1,"-")))</f>
        <v>-</v>
      </c>
      <c r="X605" s="201">
        <f t="shared" si="346"/>
        <v>0</v>
      </c>
      <c r="Y605" s="271"/>
      <c r="Z605" s="272"/>
      <c r="AA605" s="272"/>
      <c r="AB605" s="272"/>
      <c r="AC605" s="272"/>
      <c r="AD605" s="272"/>
      <c r="AE605" s="272"/>
      <c r="AF605" s="273"/>
      <c r="AH605" s="136">
        <v>0.54166666666668395</v>
      </c>
      <c r="AI605" s="136" t="str">
        <f>IF(AH575="","",IF(B605="","",B605))</f>
        <v/>
      </c>
      <c r="AJ605" s="136" t="str">
        <f>IF(AH575="","",IF(C605="","",C605))</f>
        <v/>
      </c>
      <c r="AK605" s="136" t="str">
        <f>IF(AH575="","",IF(D605="","",D605))</f>
        <v/>
      </c>
      <c r="AL605" s="136" t="str">
        <f>IF(AH575="","",IF(E605="","",E605))</f>
        <v/>
      </c>
      <c r="AM605" s="136" t="str">
        <f>IF(AH575="","",IF(F605="","",F605))</f>
        <v/>
      </c>
      <c r="AN605" s="136" t="str">
        <f>IF(AH575="","",IF(G605="","",G605))</f>
        <v/>
      </c>
      <c r="AO605" s="136" t="str">
        <f>IF(AH575="","",IF(H605="","",H605))</f>
        <v/>
      </c>
      <c r="AP605" s="136" t="str">
        <f>IF(AH575="","",IF(I605="","",I605))</f>
        <v/>
      </c>
      <c r="AQ605" s="136" t="str">
        <f>IF(AH575="","",IF(J605="","",J605))</f>
        <v/>
      </c>
      <c r="AR605" s="136" t="str">
        <f>IF(AH575="","",IF(K605="","",K605))</f>
        <v/>
      </c>
      <c r="AS605" s="136" t="str">
        <f>IF(AH575="","",IF(L605="","",L605))</f>
        <v/>
      </c>
      <c r="AT605" s="136" t="str">
        <f>IF(AH575="","",IF(M605="","",M605))</f>
        <v/>
      </c>
      <c r="AU605" s="136" t="str">
        <f>IF(AH575="","",IF(N605="","",N605))</f>
        <v/>
      </c>
      <c r="AV605" s="136" t="str">
        <f>IF(AH575="","",IF(O605="","",O605))</f>
        <v/>
      </c>
      <c r="AX605" s="136" t="str">
        <f>IF(AI575="","",IF(B605="","",B605))</f>
        <v/>
      </c>
      <c r="AY605" s="136" t="str">
        <f>IF(AI575="","",IF(C605="","",C605))</f>
        <v/>
      </c>
      <c r="AZ605" s="136" t="str">
        <f>IF(AI575="","",IF(D605="","",D605))</f>
        <v/>
      </c>
      <c r="BA605" s="136" t="str">
        <f>IF(AI575="","",IF(E605="","",E605))</f>
        <v/>
      </c>
      <c r="BB605" s="136" t="str">
        <f>IF(AI575="","",IF(F605="","",F605))</f>
        <v/>
      </c>
      <c r="BC605" s="136" t="str">
        <f>IF(AI575="","",IF(G605="","",G605))</f>
        <v/>
      </c>
      <c r="BD605" s="136" t="str">
        <f>IF(AI575="","",IF(H605="","",H605))</f>
        <v/>
      </c>
      <c r="BE605" s="136" t="str">
        <f>IF(AI575="","",IF(I605="","",I605))</f>
        <v/>
      </c>
      <c r="BF605" s="136" t="str">
        <f>IF(AI575="","",IF(J605="","",J605))</f>
        <v/>
      </c>
      <c r="BG605" s="136" t="str">
        <f>IF(AI575="","",IF(K605="","",K605))</f>
        <v/>
      </c>
      <c r="BH605" s="136" t="str">
        <f>IF(AI575="","",IF(L605="","",L605))</f>
        <v/>
      </c>
      <c r="BI605" s="136" t="str">
        <f>IF(AI575="","",IF(M605="","",M605))</f>
        <v/>
      </c>
      <c r="BJ605" s="136" t="str">
        <f>IF(AI575="","",IF(N605="","",N605))</f>
        <v/>
      </c>
      <c r="BK605" s="136" t="str">
        <f>IF(AI575="","",IF(O605="","",O605))</f>
        <v/>
      </c>
      <c r="BM605" s="136" t="str">
        <f t="shared" si="353"/>
        <v>TG</v>
      </c>
      <c r="BN605" s="136" t="str">
        <f t="shared" si="341"/>
        <v>Trabalho de Grupo</v>
      </c>
      <c r="BO605" s="136" t="str">
        <f t="shared" si="341"/>
        <v>AL</v>
      </c>
      <c r="BP605" s="136">
        <f>(COUNTIFS(AX579:AX626,BM605,AY579:AY626,BO605)+COUNTIFS(AZ579:AZ626,BM605,BA579:BA626,BO605)+COUNTIFS(BB579:BB626,BM605,BC579:BC626,BO605)+COUNTIFS(BD579:BD626,BM605,BE579:BE626,BO605)+COUNTIFS(BF579:BF626,BM605,BG579:BG626,BO605)+COUNTIFS(BH579:BH626,BM605,BI579:BI626,BO605)+COUNTIFS(BJ579:BJ626,BM605,BK579:BK626,BO605))*0.5</f>
        <v>0</v>
      </c>
      <c r="BQ605" s="136" t="str">
        <f t="shared" si="342"/>
        <v>Trabalho de Grupo</v>
      </c>
      <c r="BR605" s="136" t="str">
        <f t="shared" si="342"/>
        <v>AL</v>
      </c>
      <c r="BS605" s="136" t="str">
        <f t="shared" si="343"/>
        <v>Trabalho de Grupo</v>
      </c>
      <c r="BT605" s="136">
        <f t="shared" si="349"/>
        <v>0</v>
      </c>
      <c r="BU605" s="136">
        <f t="shared" si="350"/>
        <v>0</v>
      </c>
      <c r="CA605" s="136">
        <f>'INFO BASE'!L684</f>
        <v>0</v>
      </c>
      <c r="CB605" s="136">
        <f>'INFO BASE'!M684</f>
        <v>0</v>
      </c>
      <c r="CR605" s="177">
        <f t="shared" si="331"/>
        <v>1</v>
      </c>
      <c r="CS605" s="177">
        <f t="shared" si="332"/>
        <v>1</v>
      </c>
      <c r="CT605" s="177">
        <f t="shared" si="331"/>
        <v>1</v>
      </c>
      <c r="CU605" s="177">
        <f t="shared" si="333"/>
        <v>1</v>
      </c>
      <c r="CV605" s="177">
        <f t="shared" si="331"/>
        <v>1</v>
      </c>
      <c r="CW605" s="177">
        <f t="shared" si="334"/>
        <v>1</v>
      </c>
      <c r="CX605" s="177">
        <f t="shared" si="331"/>
        <v>1</v>
      </c>
      <c r="CY605" s="177">
        <f t="shared" si="335"/>
        <v>1</v>
      </c>
      <c r="CZ605" s="177">
        <f t="shared" si="331"/>
        <v>1</v>
      </c>
      <c r="DA605" s="177">
        <f t="shared" si="336"/>
        <v>1</v>
      </c>
      <c r="DB605" s="177">
        <f t="shared" si="331"/>
        <v>1</v>
      </c>
      <c r="DC605" s="177">
        <f t="shared" si="337"/>
        <v>1</v>
      </c>
      <c r="DD605" s="177">
        <f t="shared" si="338"/>
        <v>1</v>
      </c>
      <c r="DE605" s="177">
        <f t="shared" si="339"/>
        <v>1</v>
      </c>
    </row>
    <row r="606" spans="1:109" ht="18" customHeight="1" x14ac:dyDescent="0.3">
      <c r="A606" s="81">
        <v>0.56250000000001799</v>
      </c>
      <c r="B606" s="153"/>
      <c r="C606" s="130"/>
      <c r="D606" s="135"/>
      <c r="E606" s="130"/>
      <c r="F606" s="135"/>
      <c r="G606" s="130"/>
      <c r="H606" s="135"/>
      <c r="I606" s="130"/>
      <c r="J606" s="135"/>
      <c r="K606" s="130"/>
      <c r="L606" s="135"/>
      <c r="M606" s="130"/>
      <c r="N606" s="135"/>
      <c r="O606" s="154"/>
      <c r="P606" s="6">
        <v>0</v>
      </c>
      <c r="Q606" s="118" t="str">
        <f t="shared" si="354"/>
        <v>Trabalho de Grupo</v>
      </c>
      <c r="R606" s="105" t="str">
        <f t="shared" si="348"/>
        <v>IEI</v>
      </c>
      <c r="S606" s="88">
        <f t="shared" si="345"/>
        <v>-1</v>
      </c>
      <c r="T606" s="89">
        <f>IF(VLOOKUP(Q606,'INFO BASE'!$B$40:$I$54,IF(R606='INFO BASE'!$B$32,3,IF(R606='INFO BASE'!$B$33,4,IF(R606='INFO BASE'!$B$34,5,IF(R606='INFO BASE'!$B$35,6,IF(R606='INFO BASE'!$B$36,7,IF(R606='INFO BASE'!$B$37,8,2)))))),0)=0,"",VLOOKUP(Q606,'INFO BASE'!$B$40:$I$54,IF(R606='INFO BASE'!$B$32,3,IF(R606='INFO BASE'!$B$33,4,IF(R606='INFO BASE'!$B$34,5,IF(R606='INFO BASE'!$B$35,6,IF(R606='INFO BASE'!$B$36,7,IF(R606='INFO BASE'!$B$37,8,2)))))),0))</f>
        <v>3</v>
      </c>
      <c r="U606" s="89">
        <f>(COUNTIFS(C579:C626,R606,B579:B626,R604)+COUNTIFS(E579:E626,R606,D579:D626,R604)+COUNTIFS(G579:G626,R606,F579:F626,R604)+COUNTIFS(I579:I626,R606,H579:H626,R604)+COUNTIFS(K579:K626,R606,J579:J626,R604)+COUNTIFS(M579:M626,R606,L579:L626,R604)+COUNTIFS(O579:O626,R606,N579:N626,R604))*0.5</f>
        <v>0</v>
      </c>
      <c r="V606" s="89">
        <f>(COUNTIFS(AI579:AI626,R604,AJ579:AJ626,R599)+COUNTIFS(AK579:AK626,R604,AL579:AL626,R599)+COUNTIFS(AM579:AM626,R604,AN579:AN626,R599)+COUNTIFS(AO579:AO626,R604,AP579:AP626,R599)+COUNTIFS(AQ579:AQ626,R604,AR579:AR626,R599)+COUNTIFS(AS579:AS626,R604,AT579:AT626,R599)+COUNTIFS(AU579:AU626,R604,AV579:AV626,R599))*0.5</f>
        <v>0</v>
      </c>
      <c r="W606" s="90" t="str">
        <f>IF(AH575="","-",IF(V606=0,U606,IFERROR((U606/V606)-1,"-")))</f>
        <v>-</v>
      </c>
      <c r="X606" s="201">
        <f t="shared" si="346"/>
        <v>0</v>
      </c>
      <c r="Y606" s="271"/>
      <c r="Z606" s="272"/>
      <c r="AA606" s="272"/>
      <c r="AB606" s="272"/>
      <c r="AC606" s="272"/>
      <c r="AD606" s="272"/>
      <c r="AE606" s="272"/>
      <c r="AF606" s="273"/>
      <c r="AH606" s="136">
        <v>0.56250000000001799</v>
      </c>
      <c r="AI606" s="136" t="str">
        <f>IF(AH575="","",IF(B606="","",B606))</f>
        <v/>
      </c>
      <c r="AJ606" s="136" t="str">
        <f>IF(AH575="","",IF(C606="","",C606))</f>
        <v/>
      </c>
      <c r="AK606" s="136" t="str">
        <f>IF(AH575="","",IF(D606="","",D606))</f>
        <v/>
      </c>
      <c r="AL606" s="136" t="str">
        <f>IF(AH575="","",IF(E606="","",E606))</f>
        <v/>
      </c>
      <c r="AM606" s="136" t="str">
        <f>IF(AH575="","",IF(F606="","",F606))</f>
        <v/>
      </c>
      <c r="AN606" s="136" t="str">
        <f>IF(AH575="","",IF(G606="","",G606))</f>
        <v/>
      </c>
      <c r="AO606" s="136" t="str">
        <f>IF(AH575="","",IF(H606="","",H606))</f>
        <v/>
      </c>
      <c r="AP606" s="136" t="str">
        <f>IF(AH575="","",IF(I606="","",I606))</f>
        <v/>
      </c>
      <c r="AQ606" s="136" t="str">
        <f>IF(AH575="","",IF(J606="","",J606))</f>
        <v/>
      </c>
      <c r="AR606" s="136" t="str">
        <f>IF(AH575="","",IF(K606="","",K606))</f>
        <v/>
      </c>
      <c r="AS606" s="136" t="str">
        <f>IF(AH575="","",IF(L606="","",L606))</f>
        <v/>
      </c>
      <c r="AT606" s="136" t="str">
        <f>IF(AH575="","",IF(M606="","",M606))</f>
        <v/>
      </c>
      <c r="AU606" s="136" t="str">
        <f>IF(AH575="","",IF(N606="","",N606))</f>
        <v/>
      </c>
      <c r="AV606" s="136" t="str">
        <f>IF(AH575="","",IF(O606="","",O606))</f>
        <v/>
      </c>
      <c r="AX606" s="136" t="str">
        <f>IF(AI575="","",IF(B606="","",B606))</f>
        <v/>
      </c>
      <c r="AY606" s="136" t="str">
        <f>IF(AI575="","",IF(C606="","",C606))</f>
        <v/>
      </c>
      <c r="AZ606" s="136" t="str">
        <f>IF(AI575="","",IF(D606="","",D606))</f>
        <v/>
      </c>
      <c r="BA606" s="136" t="str">
        <f>IF(AI575="","",IF(E606="","",E606))</f>
        <v/>
      </c>
      <c r="BB606" s="136" t="str">
        <f>IF(AI575="","",IF(F606="","",F606))</f>
        <v/>
      </c>
      <c r="BC606" s="136" t="str">
        <f>IF(AI575="","",IF(G606="","",G606))</f>
        <v/>
      </c>
      <c r="BD606" s="136" t="str">
        <f>IF(AI575="","",IF(H606="","",H606))</f>
        <v/>
      </c>
      <c r="BE606" s="136" t="str">
        <f>IF(AI575="","",IF(I606="","",I606))</f>
        <v/>
      </c>
      <c r="BF606" s="136" t="str">
        <f>IF(AI575="","",IF(J606="","",J606))</f>
        <v/>
      </c>
      <c r="BG606" s="136" t="str">
        <f>IF(AI575="","",IF(K606="","",K606))</f>
        <v/>
      </c>
      <c r="BH606" s="136" t="str">
        <f>IF(AI575="","",IF(L606="","",L606))</f>
        <v/>
      </c>
      <c r="BI606" s="136" t="str">
        <f>IF(AI575="","",IF(M606="","",M606))</f>
        <v/>
      </c>
      <c r="BJ606" s="136" t="str">
        <f>IF(AI575="","",IF(N606="","",N606))</f>
        <v/>
      </c>
      <c r="BK606" s="136" t="str">
        <f>IF(AI575="","",IF(O606="","",O606))</f>
        <v/>
      </c>
      <c r="BM606" s="136" t="str">
        <f t="shared" si="353"/>
        <v>TG</v>
      </c>
      <c r="BN606" s="136" t="str">
        <f t="shared" si="341"/>
        <v>Trabalho de Grupo</v>
      </c>
      <c r="BO606" s="136" t="str">
        <f t="shared" si="341"/>
        <v>CDI</v>
      </c>
      <c r="BP606" s="136">
        <f>(COUNTIFS(AX579:AX626,BM606,AY579:AY626,BO606)+COUNTIFS(AZ579:AZ626,BM606,BA579:BA626,BO606)+COUNTIFS(BB579:BB626,BM606,BC579:BC626,BO606)+COUNTIFS(BD579:BD626,BM606,BE579:BE626,BO606)+COUNTIFS(BF579:BF626,BM606,BG579:BG626,BO606)+COUNTIFS(BH579:BH626,BM606,BI579:BI626,BO606)+COUNTIFS(BJ579:BJ626,BM606,BK579:BK626,BO606))*0.5</f>
        <v>0</v>
      </c>
      <c r="BQ606" s="136" t="str">
        <f t="shared" si="342"/>
        <v>Trabalho de Grupo</v>
      </c>
      <c r="BR606" s="136" t="str">
        <f t="shared" si="342"/>
        <v>CDI</v>
      </c>
      <c r="BS606" s="136" t="str">
        <f t="shared" si="343"/>
        <v>Trabalho de Grupo</v>
      </c>
      <c r="BT606" s="136">
        <f t="shared" si="349"/>
        <v>0</v>
      </c>
      <c r="BU606" s="136">
        <f t="shared" si="350"/>
        <v>0</v>
      </c>
      <c r="CA606" s="136">
        <f>'INFO BASE'!L685</f>
        <v>0</v>
      </c>
      <c r="CB606" s="136">
        <f>'INFO BASE'!M685</f>
        <v>0</v>
      </c>
      <c r="CR606" s="177">
        <f t="shared" si="331"/>
        <v>1</v>
      </c>
      <c r="CS606" s="177">
        <f t="shared" si="332"/>
        <v>1</v>
      </c>
      <c r="CT606" s="177">
        <f t="shared" si="331"/>
        <v>1</v>
      </c>
      <c r="CU606" s="177">
        <f t="shared" si="333"/>
        <v>1</v>
      </c>
      <c r="CV606" s="177">
        <f t="shared" si="331"/>
        <v>1</v>
      </c>
      <c r="CW606" s="177">
        <f t="shared" si="334"/>
        <v>1</v>
      </c>
      <c r="CX606" s="177">
        <f t="shared" si="331"/>
        <v>1</v>
      </c>
      <c r="CY606" s="177">
        <f t="shared" si="335"/>
        <v>1</v>
      </c>
      <c r="CZ606" s="177">
        <f t="shared" si="331"/>
        <v>1</v>
      </c>
      <c r="DA606" s="177">
        <f t="shared" si="336"/>
        <v>1</v>
      </c>
      <c r="DB606" s="177">
        <f t="shared" si="331"/>
        <v>1</v>
      </c>
      <c r="DC606" s="177">
        <f t="shared" si="337"/>
        <v>1</v>
      </c>
      <c r="DD606" s="177">
        <f t="shared" si="338"/>
        <v>1</v>
      </c>
      <c r="DE606" s="177">
        <f t="shared" si="339"/>
        <v>1</v>
      </c>
    </row>
    <row r="607" spans="1:109" ht="18" customHeight="1" x14ac:dyDescent="0.3">
      <c r="A607" s="81">
        <v>0.58333333333335202</v>
      </c>
      <c r="B607" s="153"/>
      <c r="C607" s="130"/>
      <c r="D607" s="135"/>
      <c r="E607" s="130"/>
      <c r="F607" s="135"/>
      <c r="G607" s="130"/>
      <c r="H607" s="135"/>
      <c r="I607" s="130"/>
      <c r="J607" s="135"/>
      <c r="K607" s="130"/>
      <c r="L607" s="135"/>
      <c r="M607" s="130"/>
      <c r="N607" s="135"/>
      <c r="O607" s="154"/>
      <c r="P607" s="6">
        <v>0</v>
      </c>
      <c r="Q607" s="119" t="str">
        <f t="shared" si="354"/>
        <v>Trabalho de Grupo</v>
      </c>
      <c r="R607" s="105" t="str">
        <f t="shared" si="348"/>
        <v>IAC</v>
      </c>
      <c r="S607" s="88">
        <f t="shared" si="345"/>
        <v>-1</v>
      </c>
      <c r="T607" s="89">
        <f>IF(VLOOKUP(Q607,'INFO BASE'!$B$40:$I$54,IF(R607='INFO BASE'!$B$32,3,IF(R607='INFO BASE'!$B$33,4,IF(R607='INFO BASE'!$B$34,5,IF(R607='INFO BASE'!$B$35,6,IF(R607='INFO BASE'!$B$36,7,IF(R607='INFO BASE'!$B$37,8,2)))))),0)=0,"",VLOOKUP(Q607,'INFO BASE'!$B$40:$I$54,IF(R607='INFO BASE'!$B$32,3,IF(R607='INFO BASE'!$B$33,4,IF(R607='INFO BASE'!$B$34,5,IF(R607='INFO BASE'!$B$35,6,IF(R607='INFO BASE'!$B$36,7,IF(R607='INFO BASE'!$B$37,8,2)))))),0))</f>
        <v>3</v>
      </c>
      <c r="U607" s="89">
        <f>(COUNTIFS(C579:C626,R607,B579:B626,R604)+COUNTIFS(E579:E626,R607,D579:D626,R604)+COUNTIFS(G579:G626,R607,F579:F626,R604)+COUNTIFS(I579:I626,R607,H579:H626,R604)+COUNTIFS(K579:K626,R607,J579:J626,R604)+COUNTIFS(M579:M626,R607,L579:L626,R604)+COUNTIFS(O579:O626,R607,N579:N626,R604))*0.5</f>
        <v>0</v>
      </c>
      <c r="V607" s="89">
        <f>(COUNTIFS(AI579:AI626,R604,AJ579:AJ626,R600)+COUNTIFS(AK579:AK626,R604,AL579:AL626,R600)+COUNTIFS(AM579:AM626,R604,AN579:AN626,R600)+COUNTIFS(AO579:AO626,R604,AP579:AP626,R600)+COUNTIFS(AQ579:AQ626,R604,AR579:AR626,R600)+COUNTIFS(AS579:AS626,R604,AT579:AT626,R600)+COUNTIFS(AU579:AU626,R604,AV579:AV626,R600))*0.5</f>
        <v>0</v>
      </c>
      <c r="W607" s="90" t="str">
        <f>IF(AH575="","-",IF(V607=0,U607,IFERROR((U607/V607)-1,"-")))</f>
        <v>-</v>
      </c>
      <c r="X607" s="201">
        <f t="shared" si="346"/>
        <v>0</v>
      </c>
      <c r="Y607" s="271"/>
      <c r="Z607" s="272"/>
      <c r="AA607" s="272"/>
      <c r="AB607" s="272"/>
      <c r="AC607" s="272"/>
      <c r="AD607" s="272"/>
      <c r="AE607" s="272"/>
      <c r="AF607" s="273"/>
      <c r="AH607" s="136">
        <v>0.58333333333335202</v>
      </c>
      <c r="AI607" s="136" t="str">
        <f>IF(AH575="","",IF(B607="","",B607))</f>
        <v/>
      </c>
      <c r="AJ607" s="136" t="str">
        <f>IF(AH575="","",IF(C607="","",C607))</f>
        <v/>
      </c>
      <c r="AK607" s="136" t="str">
        <f>IF(AH575="","",IF(D607="","",D607))</f>
        <v/>
      </c>
      <c r="AL607" s="136" t="str">
        <f>IF(AH575="","",IF(E607="","",E607))</f>
        <v/>
      </c>
      <c r="AM607" s="136" t="str">
        <f>IF(AH575="","",IF(F607="","",F607))</f>
        <v/>
      </c>
      <c r="AN607" s="136" t="str">
        <f>IF(AH575="","",IF(G607="","",G607))</f>
        <v/>
      </c>
      <c r="AO607" s="136" t="str">
        <f>IF(AH575="","",IF(H607="","",H607))</f>
        <v/>
      </c>
      <c r="AP607" s="136" t="str">
        <f>IF(AH575="","",IF(I607="","",I607))</f>
        <v/>
      </c>
      <c r="AQ607" s="136" t="str">
        <f>IF(AH575="","",IF(J607="","",J607))</f>
        <v/>
      </c>
      <c r="AR607" s="136" t="str">
        <f>IF(AH575="","",IF(K607="","",K607))</f>
        <v/>
      </c>
      <c r="AS607" s="136" t="str">
        <f>IF(AH575="","",IF(L607="","",L607))</f>
        <v/>
      </c>
      <c r="AT607" s="136" t="str">
        <f>IF(AH575="","",IF(M607="","",M607))</f>
        <v/>
      </c>
      <c r="AU607" s="136" t="str">
        <f>IF(AH575="","",IF(N607="","",N607))</f>
        <v/>
      </c>
      <c r="AV607" s="136" t="str">
        <f>IF(AH575="","",IF(O607="","",O607))</f>
        <v/>
      </c>
      <c r="AX607" s="136" t="str">
        <f>IF(AI575="","",IF(B607="","",B607))</f>
        <v/>
      </c>
      <c r="AY607" s="136" t="str">
        <f>IF(AI575="","",IF(C607="","",C607))</f>
        <v/>
      </c>
      <c r="AZ607" s="136" t="str">
        <f>IF(AI575="","",IF(D607="","",D607))</f>
        <v/>
      </c>
      <c r="BA607" s="136" t="str">
        <f>IF(AI575="","",IF(E607="","",E607))</f>
        <v/>
      </c>
      <c r="BB607" s="136" t="str">
        <f>IF(AI575="","",IF(F607="","",F607))</f>
        <v/>
      </c>
      <c r="BC607" s="136" t="str">
        <f>IF(AI575="","",IF(G607="","",G607))</f>
        <v/>
      </c>
      <c r="BD607" s="136" t="str">
        <f>IF(AI575="","",IF(H607="","",H607))</f>
        <v/>
      </c>
      <c r="BE607" s="136" t="str">
        <f>IF(AI575="","",IF(I607="","",I607))</f>
        <v/>
      </c>
      <c r="BF607" s="136" t="str">
        <f>IF(AI575="","",IF(J607="","",J607))</f>
        <v/>
      </c>
      <c r="BG607" s="136" t="str">
        <f>IF(AI575="","",IF(K607="","",K607))</f>
        <v/>
      </c>
      <c r="BH607" s="136" t="str">
        <f>IF(AI575="","",IF(L607="","",L607))</f>
        <v/>
      </c>
      <c r="BI607" s="136" t="str">
        <f>IF(AI575="","",IF(M607="","",M607))</f>
        <v/>
      </c>
      <c r="BJ607" s="136" t="str">
        <f>IF(AI575="","",IF(N607="","",N607))</f>
        <v/>
      </c>
      <c r="BK607" s="136" t="str">
        <f>IF(AI575="","",IF(O607="","",O607))</f>
        <v/>
      </c>
      <c r="BM607" s="136" t="str">
        <f t="shared" si="353"/>
        <v>TG</v>
      </c>
      <c r="BN607" s="136" t="str">
        <f t="shared" si="341"/>
        <v>Trabalho de Grupo</v>
      </c>
      <c r="BO607" s="136" t="str">
        <f t="shared" si="341"/>
        <v/>
      </c>
      <c r="BP607" s="136">
        <f>(COUNTIFS(AX579:AX626,BM607,AY579:AY626,BO607)+COUNTIFS(AZ579:AZ626,BM607,BA579:BA626,BO607)+COUNTIFS(BB579:BB626,BM607,BC579:BC626,BO607)+COUNTIFS(BD579:BD626,BM607,BE579:BE626,BO607)+COUNTIFS(BF579:BF626,BM607,BG579:BG626,BO607)+COUNTIFS(BH579:BH626,BM607,BI579:BI626,BO607)+COUNTIFS(BJ579:BJ626,BM607,BK579:BK626,BO607))*0.5</f>
        <v>0</v>
      </c>
      <c r="BQ607" s="136" t="str">
        <f t="shared" si="342"/>
        <v>Trabalho de Grupo</v>
      </c>
      <c r="BR607" s="136" t="str">
        <f t="shared" si="342"/>
        <v/>
      </c>
      <c r="BS607" s="136" t="str">
        <f t="shared" si="343"/>
        <v>Trabalho de Grupo</v>
      </c>
      <c r="BT607" s="136">
        <f t="shared" si="349"/>
        <v>0</v>
      </c>
      <c r="BU607" s="136">
        <f t="shared" si="350"/>
        <v>0</v>
      </c>
      <c r="CA607" s="136">
        <f>'INFO BASE'!L686</f>
        <v>0</v>
      </c>
      <c r="CB607" s="136">
        <f>'INFO BASE'!M686</f>
        <v>0</v>
      </c>
      <c r="CR607" s="177">
        <f t="shared" si="331"/>
        <v>1</v>
      </c>
      <c r="CS607" s="177">
        <f t="shared" si="332"/>
        <v>1</v>
      </c>
      <c r="CT607" s="177">
        <f t="shared" si="331"/>
        <v>1</v>
      </c>
      <c r="CU607" s="177">
        <f t="shared" si="333"/>
        <v>1</v>
      </c>
      <c r="CV607" s="177">
        <f t="shared" si="331"/>
        <v>1</v>
      </c>
      <c r="CW607" s="177">
        <f t="shared" si="334"/>
        <v>1</v>
      </c>
      <c r="CX607" s="177">
        <f t="shared" si="331"/>
        <v>1</v>
      </c>
      <c r="CY607" s="177">
        <f t="shared" si="335"/>
        <v>1</v>
      </c>
      <c r="CZ607" s="177">
        <f t="shared" si="331"/>
        <v>1</v>
      </c>
      <c r="DA607" s="177">
        <f t="shared" si="336"/>
        <v>1</v>
      </c>
      <c r="DB607" s="177">
        <f t="shared" si="331"/>
        <v>1</v>
      </c>
      <c r="DC607" s="177">
        <f t="shared" si="337"/>
        <v>1</v>
      </c>
      <c r="DD607" s="177">
        <f t="shared" si="338"/>
        <v>1</v>
      </c>
      <c r="DE607" s="177">
        <f t="shared" si="339"/>
        <v>1</v>
      </c>
    </row>
    <row r="608" spans="1:109" ht="18" customHeight="1" x14ac:dyDescent="0.3">
      <c r="A608" s="81">
        <v>0.60416666666668595</v>
      </c>
      <c r="B608" s="153"/>
      <c r="C608" s="130"/>
      <c r="D608" s="135"/>
      <c r="E608" s="130"/>
      <c r="F608" s="135"/>
      <c r="G608" s="130"/>
      <c r="H608" s="135"/>
      <c r="I608" s="130"/>
      <c r="J608" s="135"/>
      <c r="K608" s="130"/>
      <c r="L608" s="135"/>
      <c r="M608" s="130"/>
      <c r="N608" s="135"/>
      <c r="O608" s="154"/>
      <c r="P608" s="6">
        <v>0</v>
      </c>
      <c r="Q608" s="118" t="str">
        <f t="shared" si="354"/>
        <v>Trabalho de Grupo</v>
      </c>
      <c r="R608" s="105" t="str">
        <f t="shared" si="348"/>
        <v>AL</v>
      </c>
      <c r="S608" s="88">
        <f t="shared" si="345"/>
        <v>-1</v>
      </c>
      <c r="T608" s="89">
        <f>IF(VLOOKUP(Q608,'INFO BASE'!$B$40:$I$54,IF(R608='INFO BASE'!$B$32,3,IF(R608='INFO BASE'!$B$33,4,IF(R608='INFO BASE'!$B$34,5,IF(R608='INFO BASE'!$B$35,6,IF(R608='INFO BASE'!$B$36,7,IF(R608='INFO BASE'!$B$37,8,2)))))),0)=0,"",VLOOKUP(Q608,'INFO BASE'!$B$40:$I$54,IF(R608='INFO BASE'!$B$32,3,IF(R608='INFO BASE'!$B$33,4,IF(R608='INFO BASE'!$B$34,5,IF(R608='INFO BASE'!$B$35,6,IF(R608='INFO BASE'!$B$36,7,IF(R608='INFO BASE'!$B$37,8,2)))))),0))</f>
        <v>3</v>
      </c>
      <c r="U608" s="89">
        <f>(COUNTIFS(C579:C626,R608,B579:B626,R604)+COUNTIFS(E579:E626,R608,D579:D626,R604)+COUNTIFS(G579:G626,R608,F579:F626,R604)+COUNTIFS(I579:I626,R608,H579:H626,R604)+COUNTIFS(K579:K626,R608,J579:J626,R604)+COUNTIFS(M579:M626,R608,L579:L626,R604)+COUNTIFS(O579:O626,R608,N579:N626,R604))*0.5</f>
        <v>0</v>
      </c>
      <c r="V608" s="89">
        <f>(COUNTIFS(AI579:AI626,R604,AJ579:AJ626,R601)+COUNTIFS(AK579:AK626,R604,AL579:AL626,R601)+COUNTIFS(AM579:AM626,R604,AN579:AN626,R601)+COUNTIFS(AO579:AO626,R604,AP579:AP626,R601)+COUNTIFS(AQ579:AQ626,R604,AR579:AR626,R601)+COUNTIFS(AS579:AS626,R604,AT579:AT626,R601)+COUNTIFS(AU579:AU626,R604,AV579:AV626,R601))*0.5</f>
        <v>0</v>
      </c>
      <c r="W608" s="90" t="str">
        <f>IF(AH575="","-",IF(V608=0,U608,IFERROR((U608/V608)-1,"-")))</f>
        <v>-</v>
      </c>
      <c r="X608" s="201">
        <f t="shared" si="346"/>
        <v>0</v>
      </c>
      <c r="Y608" s="271"/>
      <c r="Z608" s="272"/>
      <c r="AA608" s="272"/>
      <c r="AB608" s="272"/>
      <c r="AC608" s="272"/>
      <c r="AD608" s="272"/>
      <c r="AE608" s="272"/>
      <c r="AF608" s="273"/>
      <c r="AH608" s="136">
        <v>0.60416666666668595</v>
      </c>
      <c r="AI608" s="136" t="str">
        <f>IF(AH575="","",IF(B608="","",B608))</f>
        <v/>
      </c>
      <c r="AJ608" s="136" t="str">
        <f>IF(AH575="","",IF(C608="","",C608))</f>
        <v/>
      </c>
      <c r="AK608" s="136" t="str">
        <f>IF(AH575="","",IF(D608="","",D608))</f>
        <v/>
      </c>
      <c r="AL608" s="136" t="str">
        <f>IF(AH575="","",IF(E608="","",E608))</f>
        <v/>
      </c>
      <c r="AM608" s="136" t="str">
        <f>IF(AH575="","",IF(F608="","",F608))</f>
        <v/>
      </c>
      <c r="AN608" s="136" t="str">
        <f>IF(AH575="","",IF(G608="","",G608))</f>
        <v/>
      </c>
      <c r="AO608" s="136" t="str">
        <f>IF(AH575="","",IF(H608="","",H608))</f>
        <v/>
      </c>
      <c r="AP608" s="136" t="str">
        <f>IF(AH575="","",IF(I608="","",I608))</f>
        <v/>
      </c>
      <c r="AQ608" s="136" t="str">
        <f>IF(AH575="","",IF(J608="","",J608))</f>
        <v/>
      </c>
      <c r="AR608" s="136" t="str">
        <f>IF(AH575="","",IF(K608="","",K608))</f>
        <v/>
      </c>
      <c r="AS608" s="136" t="str">
        <f>IF(AH575="","",IF(L608="","",L608))</f>
        <v/>
      </c>
      <c r="AT608" s="136" t="str">
        <f>IF(AH575="","",IF(M608="","",M608))</f>
        <v/>
      </c>
      <c r="AU608" s="136" t="str">
        <f>IF(AH575="","",IF(N608="","",N608))</f>
        <v/>
      </c>
      <c r="AV608" s="136" t="str">
        <f>IF(AH575="","",IF(O608="","",O608))</f>
        <v/>
      </c>
      <c r="AX608" s="136" t="str">
        <f>IF(AI575="","",IF(B608="","",B608))</f>
        <v/>
      </c>
      <c r="AY608" s="136" t="str">
        <f>IF(AI575="","",IF(C608="","",C608))</f>
        <v/>
      </c>
      <c r="AZ608" s="136" t="str">
        <f>IF(AI575="","",IF(D608="","",D608))</f>
        <v/>
      </c>
      <c r="BA608" s="136" t="str">
        <f>IF(AI575="","",IF(E608="","",E608))</f>
        <v/>
      </c>
      <c r="BB608" s="136" t="str">
        <f>IF(AI575="","",IF(F608="","",F608))</f>
        <v/>
      </c>
      <c r="BC608" s="136" t="str">
        <f>IF(AI575="","",IF(G608="","",G608))</f>
        <v/>
      </c>
      <c r="BD608" s="136" t="str">
        <f>IF(AI575="","",IF(H608="","",H608))</f>
        <v/>
      </c>
      <c r="BE608" s="136" t="str">
        <f>IF(AI575="","",IF(I608="","",I608))</f>
        <v/>
      </c>
      <c r="BF608" s="136" t="str">
        <f>IF(AI575="","",IF(J608="","",J608))</f>
        <v/>
      </c>
      <c r="BG608" s="136" t="str">
        <f>IF(AI575="","",IF(K608="","",K608))</f>
        <v/>
      </c>
      <c r="BH608" s="136" t="str">
        <f>IF(AI575="","",IF(L608="","",L608))</f>
        <v/>
      </c>
      <c r="BI608" s="136" t="str">
        <f>IF(AI575="","",IF(M608="","",M608))</f>
        <v/>
      </c>
      <c r="BJ608" s="136" t="str">
        <f>IF(AI575="","",IF(N608="","",N608))</f>
        <v/>
      </c>
      <c r="BK608" s="136" t="str">
        <f>IF(AI575="","",IF(O608="","",O608))</f>
        <v/>
      </c>
      <c r="BM608" s="136" t="str">
        <f>BO608</f>
        <v>AT</v>
      </c>
      <c r="BN608" s="136" t="str">
        <f t="shared" si="341"/>
        <v>Aulas Teóricas</v>
      </c>
      <c r="BO608" s="136" t="str">
        <f t="shared" si="341"/>
        <v>AT</v>
      </c>
      <c r="BP608" s="136">
        <f>COUNTIFS(AX579:BK626,BO608)*0.5</f>
        <v>0</v>
      </c>
      <c r="BQ608" s="136" t="str">
        <f t="shared" si="342"/>
        <v>Aulas Teóricas</v>
      </c>
      <c r="BR608" s="136" t="str">
        <f t="shared" si="342"/>
        <v>AT</v>
      </c>
      <c r="BS608" s="136" t="str">
        <f t="shared" si="343"/>
        <v>Aulas Teóricas</v>
      </c>
      <c r="BT608" s="136">
        <f t="shared" si="349"/>
        <v>120</v>
      </c>
      <c r="BU608" s="136">
        <f t="shared" si="350"/>
        <v>120</v>
      </c>
      <c r="CA608" s="136">
        <f>'INFO BASE'!L687</f>
        <v>0</v>
      </c>
      <c r="CB608" s="136">
        <f>'INFO BASE'!M687</f>
        <v>0</v>
      </c>
      <c r="CR608" s="177">
        <f t="shared" si="331"/>
        <v>1</v>
      </c>
      <c r="CS608" s="177">
        <f t="shared" si="332"/>
        <v>1</v>
      </c>
      <c r="CT608" s="177">
        <f t="shared" si="331"/>
        <v>1</v>
      </c>
      <c r="CU608" s="177">
        <f t="shared" si="333"/>
        <v>1</v>
      </c>
      <c r="CV608" s="177">
        <f t="shared" si="331"/>
        <v>1</v>
      </c>
      <c r="CW608" s="177">
        <f t="shared" si="334"/>
        <v>1</v>
      </c>
      <c r="CX608" s="177">
        <f t="shared" si="331"/>
        <v>1</v>
      </c>
      <c r="CY608" s="177">
        <f t="shared" si="335"/>
        <v>1</v>
      </c>
      <c r="CZ608" s="177">
        <f t="shared" si="331"/>
        <v>1</v>
      </c>
      <c r="DA608" s="177">
        <f t="shared" si="336"/>
        <v>1</v>
      </c>
      <c r="DB608" s="177">
        <f t="shared" si="331"/>
        <v>1</v>
      </c>
      <c r="DC608" s="177">
        <f t="shared" si="337"/>
        <v>1</v>
      </c>
      <c r="DD608" s="177">
        <f t="shared" si="338"/>
        <v>1</v>
      </c>
      <c r="DE608" s="177">
        <f t="shared" si="339"/>
        <v>1</v>
      </c>
    </row>
    <row r="609" spans="1:109" ht="18" customHeight="1" x14ac:dyDescent="0.3">
      <c r="A609" s="81">
        <v>0.62500000000001998</v>
      </c>
      <c r="B609" s="153"/>
      <c r="C609" s="130"/>
      <c r="D609" s="135"/>
      <c r="E609" s="130"/>
      <c r="F609" s="135"/>
      <c r="G609" s="130"/>
      <c r="H609" s="135"/>
      <c r="I609" s="130"/>
      <c r="J609" s="135"/>
      <c r="K609" s="130"/>
      <c r="L609" s="135"/>
      <c r="M609" s="130"/>
      <c r="N609" s="135"/>
      <c r="O609" s="154"/>
      <c r="P609" s="6">
        <v>0</v>
      </c>
      <c r="Q609" s="118" t="str">
        <f t="shared" si="354"/>
        <v>Trabalho de Grupo</v>
      </c>
      <c r="R609" s="105" t="str">
        <f t="shared" si="348"/>
        <v>CDI</v>
      </c>
      <c r="S609" s="88">
        <f t="shared" si="345"/>
        <v>-1</v>
      </c>
      <c r="T609" s="89">
        <f>IF(VLOOKUP(Q609,'INFO BASE'!$B$40:$I$54,IF(R609='INFO BASE'!$B$32,3,IF(R609='INFO BASE'!$B$33,4,IF(R609='INFO BASE'!$B$34,5,IF(R609='INFO BASE'!$B$35,6,IF(R609='INFO BASE'!$B$36,7,IF(R609='INFO BASE'!$B$37,8,2)))))),0)=0,"",VLOOKUP(Q609,'INFO BASE'!$B$40:$I$54,IF(R609='INFO BASE'!$B$32,3,IF(R609='INFO BASE'!$B$33,4,IF(R609='INFO BASE'!$B$34,5,IF(R609='INFO BASE'!$B$35,6,IF(R609='INFO BASE'!$B$36,7,IF(R609='INFO BASE'!$B$37,8,2)))))),0))</f>
        <v>3</v>
      </c>
      <c r="U609" s="89">
        <f>(COUNTIFS(C579:C626,R609,B579:B626,R604)+COUNTIFS(E579:E626,R609,D579:D626,R604)+COUNTIFS(G579:G626,R609,F579:F626,R604)+COUNTIFS(I579:I626,R609,H579:H626,R604)+COUNTIFS(K579:K626,R609,J579:J626,R604)+COUNTIFS(M579:M626,R609,L579:L626,R604)+COUNTIFS(O579:O626,R609,N579:N626,R604))*0.5</f>
        <v>0</v>
      </c>
      <c r="V609" s="89">
        <f>(COUNTIFS(AI579:AI626,R604,AJ579:AJ626,R602)+COUNTIFS(AK579:AK626,R604,AL579:AL626,R602)+COUNTIFS(AM579:AM626,R604,AN579:AN626,R602)+COUNTIFS(AO579:AO626,R604,AP579:AP626,R602)+COUNTIFS(AQ579:AQ626,R604,AR579:AR626,R602)+COUNTIFS(AS579:AS626,R604,AT579:AT626,R602)+COUNTIFS(AU579:AU626,R604,AV579:AV626,R602))*0.5</f>
        <v>0</v>
      </c>
      <c r="W609" s="90" t="str">
        <f>IF(AH575="","-",IF(V609=0,U609,IFERROR((U609/V609)-1,"-")))</f>
        <v>-</v>
      </c>
      <c r="X609" s="201">
        <f t="shared" si="346"/>
        <v>0</v>
      </c>
      <c r="Y609" s="271"/>
      <c r="Z609" s="272"/>
      <c r="AA609" s="272"/>
      <c r="AB609" s="272"/>
      <c r="AC609" s="272"/>
      <c r="AD609" s="272"/>
      <c r="AE609" s="272"/>
      <c r="AF609" s="273"/>
      <c r="AH609" s="136">
        <v>0.62500000000001998</v>
      </c>
      <c r="AI609" s="136" t="str">
        <f>IF(AH575="","",IF(B609="","",B609))</f>
        <v/>
      </c>
      <c r="AJ609" s="136" t="str">
        <f>IF(AH575="","",IF(C609="","",C609))</f>
        <v/>
      </c>
      <c r="AK609" s="136" t="str">
        <f>IF(AH575="","",IF(D609="","",D609))</f>
        <v/>
      </c>
      <c r="AL609" s="136" t="str">
        <f>IF(AH575="","",IF(E609="","",E609))</f>
        <v/>
      </c>
      <c r="AM609" s="136" t="str">
        <f>IF(AH575="","",IF(F609="","",F609))</f>
        <v/>
      </c>
      <c r="AN609" s="136" t="str">
        <f>IF(AH575="","",IF(G609="","",G609))</f>
        <v/>
      </c>
      <c r="AO609" s="136" t="str">
        <f>IF(AH575="","",IF(H609="","",H609))</f>
        <v/>
      </c>
      <c r="AP609" s="136" t="str">
        <f>IF(AH575="","",IF(I609="","",I609))</f>
        <v/>
      </c>
      <c r="AQ609" s="136" t="str">
        <f>IF(AH575="","",IF(J609="","",J609))</f>
        <v/>
      </c>
      <c r="AR609" s="136" t="str">
        <f>IF(AH575="","",IF(K609="","",K609))</f>
        <v/>
      </c>
      <c r="AS609" s="136" t="str">
        <f>IF(AH575="","",IF(L609="","",L609))</f>
        <v/>
      </c>
      <c r="AT609" s="136" t="str">
        <f>IF(AH575="","",IF(M609="","",M609))</f>
        <v/>
      </c>
      <c r="AU609" s="136" t="str">
        <f>IF(AH575="","",IF(N609="","",N609))</f>
        <v/>
      </c>
      <c r="AV609" s="136" t="str">
        <f>IF(AH575="","",IF(O609="","",O609))</f>
        <v/>
      </c>
      <c r="AX609" s="136" t="str">
        <f>IF(AI575="","",IF(B609="","",B609))</f>
        <v/>
      </c>
      <c r="AY609" s="136" t="str">
        <f>IF(AI575="","",IF(C609="","",C609))</f>
        <v/>
      </c>
      <c r="AZ609" s="136" t="str">
        <f>IF(AI575="","",IF(D609="","",D609))</f>
        <v/>
      </c>
      <c r="BA609" s="136" t="str">
        <f>IF(AI575="","",IF(E609="","",E609))</f>
        <v/>
      </c>
      <c r="BB609" s="136" t="str">
        <f>IF(AI575="","",IF(F609="","",F609))</f>
        <v/>
      </c>
      <c r="BC609" s="136" t="str">
        <f>IF(AI575="","",IF(G609="","",G609))</f>
        <v/>
      </c>
      <c r="BD609" s="136" t="str">
        <f>IF(AI575="","",IF(H609="","",H609))</f>
        <v/>
      </c>
      <c r="BE609" s="136" t="str">
        <f>IF(AI575="","",IF(I609="","",I609))</f>
        <v/>
      </c>
      <c r="BF609" s="136" t="str">
        <f>IF(AI575="","",IF(J609="","",J609))</f>
        <v/>
      </c>
      <c r="BG609" s="136" t="str">
        <f>IF(AI575="","",IF(K609="","",K609))</f>
        <v/>
      </c>
      <c r="BH609" s="136" t="str">
        <f>IF(AI575="","",IF(L609="","",L609))</f>
        <v/>
      </c>
      <c r="BI609" s="136" t="str">
        <f>IF(AI575="","",IF(M609="","",M609))</f>
        <v/>
      </c>
      <c r="BJ609" s="136" t="str">
        <f>IF(AI575="","",IF(N609="","",N609))</f>
        <v/>
      </c>
      <c r="BK609" s="136" t="str">
        <f>IF(AI575="","",IF(O609="","",O609))</f>
        <v/>
      </c>
      <c r="BM609" s="136" t="str">
        <f>BM608</f>
        <v>AT</v>
      </c>
      <c r="BN609" s="136" t="str">
        <f t="shared" si="341"/>
        <v>Aulas Teóricas</v>
      </c>
      <c r="BO609" s="136" t="str">
        <f t="shared" si="341"/>
        <v>FP</v>
      </c>
      <c r="BP609" s="136">
        <f>(COUNTIFS(AX579:AX626,BM609,AY579:AY626,BO609)+COUNTIFS(AZ579:AZ626,BM609,BA579:BA626,BO609)+COUNTIFS(BB579:BB626,BM609,BC579:BC626,BO609)+COUNTIFS(BD579:BD626,BM609,BE579:BE626,BO609)+COUNTIFS(BF579:BF626,BM609,BG579:BG626,BO609)+COUNTIFS(BH579:BH626,BM609,BI579:BI626,BO609)+COUNTIFS(BJ579:BJ626,BM609,BK579:BK626,BO609))*0.5</f>
        <v>0</v>
      </c>
      <c r="BQ609" s="136" t="str">
        <f t="shared" si="342"/>
        <v>Aulas Teóricas</v>
      </c>
      <c r="BR609" s="136" t="str">
        <f t="shared" si="342"/>
        <v>FP</v>
      </c>
      <c r="BS609" s="136" t="str">
        <f t="shared" si="343"/>
        <v>Aulas Teóricas</v>
      </c>
      <c r="BT609" s="136">
        <f t="shared" si="349"/>
        <v>24</v>
      </c>
      <c r="BU609" s="136">
        <f t="shared" si="350"/>
        <v>24</v>
      </c>
      <c r="CR609" s="177">
        <f t="shared" si="331"/>
        <v>1</v>
      </c>
      <c r="CS609" s="177">
        <f t="shared" si="332"/>
        <v>1</v>
      </c>
      <c r="CT609" s="177">
        <f t="shared" si="331"/>
        <v>1</v>
      </c>
      <c r="CU609" s="177">
        <f t="shared" si="333"/>
        <v>1</v>
      </c>
      <c r="CV609" s="177">
        <f t="shared" si="331"/>
        <v>1</v>
      </c>
      <c r="CW609" s="177">
        <f t="shared" si="334"/>
        <v>1</v>
      </c>
      <c r="CX609" s="177">
        <f t="shared" si="331"/>
        <v>1</v>
      </c>
      <c r="CY609" s="177">
        <f t="shared" si="335"/>
        <v>1</v>
      </c>
      <c r="CZ609" s="177">
        <f t="shared" si="331"/>
        <v>1</v>
      </c>
      <c r="DA609" s="177">
        <f t="shared" si="336"/>
        <v>1</v>
      </c>
      <c r="DB609" s="177">
        <f t="shared" si="331"/>
        <v>1</v>
      </c>
      <c r="DC609" s="177">
        <f t="shared" si="337"/>
        <v>1</v>
      </c>
      <c r="DD609" s="177">
        <f t="shared" si="338"/>
        <v>1</v>
      </c>
      <c r="DE609" s="177">
        <f t="shared" si="339"/>
        <v>1</v>
      </c>
    </row>
    <row r="610" spans="1:109" ht="18" customHeight="1" thickBot="1" x14ac:dyDescent="0.35">
      <c r="A610" s="81">
        <v>0.64583333333335402</v>
      </c>
      <c r="B610" s="153"/>
      <c r="C610" s="130"/>
      <c r="D610" s="135"/>
      <c r="E610" s="130"/>
      <c r="F610" s="135"/>
      <c r="G610" s="130"/>
      <c r="H610" s="135"/>
      <c r="I610" s="130"/>
      <c r="J610" s="135"/>
      <c r="K610" s="130"/>
      <c r="L610" s="135"/>
      <c r="M610" s="130"/>
      <c r="N610" s="135"/>
      <c r="O610" s="154"/>
      <c r="P610" s="6">
        <v>0</v>
      </c>
      <c r="Q610" s="120" t="str">
        <f t="shared" si="354"/>
        <v>Trabalho de Grupo</v>
      </c>
      <c r="R610" s="107" t="str">
        <f t="shared" si="348"/>
        <v/>
      </c>
      <c r="S610" s="94" t="str">
        <f t="shared" si="345"/>
        <v>-</v>
      </c>
      <c r="T610" s="95" t="str">
        <f>IF(VLOOKUP(Q610,'INFO BASE'!$B$40:$I$54,IF(R610='INFO BASE'!$B$32,3,IF(R610='INFO BASE'!$B$33,4,IF(R610='INFO BASE'!$B$34,5,IF(R610='INFO BASE'!$B$35,6,IF(R610='INFO BASE'!$B$36,7,IF(R610='INFO BASE'!$B$37,8,2)))))),0)=0,"",VLOOKUP(Q610,'INFO BASE'!$B$40:$I$54,IF(R610='INFO BASE'!$B$32,3,IF(R610='INFO BASE'!$B$33,4,IF(R610='INFO BASE'!$B$34,5,IF(R610='INFO BASE'!$B$35,6,IF(R610='INFO BASE'!$B$36,7,IF(R610='INFO BASE'!$B$37,8,2)))))),0))</f>
        <v/>
      </c>
      <c r="U610" s="95">
        <f>(COUNTIFS(C579:C626,R610,B579:B626,R604)+COUNTIFS(E579:E626,R610,D579:D626,R604)+COUNTIFS(G579:G626,R610,F579:F626,R604)+COUNTIFS(I579:I626,R610,H579:H626,R604)+COUNTIFS(K579:K626,R610,J579:J626,R604)+COUNTIFS(M579:M626,R610,L579:L626,R604)+COUNTIFS(O579:O626,R610,N579:N626,R604))*0.5</f>
        <v>0</v>
      </c>
      <c r="V610" s="95">
        <f>(COUNTIFS(AI579:AI626,R604,AJ579:AJ626,R603)+COUNTIFS(AK579:AK626,R604,AL579:AL626,R603)+COUNTIFS(AM579:AM626,R604,AN579:AN626,R603)+COUNTIFS(AO579:AO626,R604,AP579:AP626,R603)+COUNTIFS(AQ579:AQ626,R604,AR579:AR626,R603)+COUNTIFS(AS579:AS626,R604,AT579:AT626,R603)+COUNTIFS(AU579:AU626,R604,AV579:AV626,R603))*0.5</f>
        <v>0</v>
      </c>
      <c r="W610" s="96" t="str">
        <f>IF(AH575="","-",IF(V610=0,U610,IFERROR((U610/V610)-1,"-")))</f>
        <v>-</v>
      </c>
      <c r="X610" s="201">
        <f t="shared" si="346"/>
        <v>0</v>
      </c>
      <c r="Y610" s="274"/>
      <c r="Z610" s="275"/>
      <c r="AA610" s="275"/>
      <c r="AB610" s="275"/>
      <c r="AC610" s="275"/>
      <c r="AD610" s="275"/>
      <c r="AE610" s="275"/>
      <c r="AF610" s="276"/>
      <c r="AH610" s="136">
        <v>0.64583333333335402</v>
      </c>
      <c r="AI610" s="136" t="str">
        <f>IF(AH575="","",IF(B610="","",B610))</f>
        <v/>
      </c>
      <c r="AJ610" s="136" t="str">
        <f>IF(AH575="","",IF(C610="","",C610))</f>
        <v/>
      </c>
      <c r="AK610" s="136" t="str">
        <f>IF(AH575="","",IF(D610="","",D610))</f>
        <v/>
      </c>
      <c r="AL610" s="136" t="str">
        <f>IF(AH575="","",IF(E610="","",E610))</f>
        <v/>
      </c>
      <c r="AM610" s="136" t="str">
        <f>IF(AH575="","",IF(F610="","",F610))</f>
        <v/>
      </c>
      <c r="AN610" s="136" t="str">
        <f>IF(AH575="","",IF(G610="","",G610))</f>
        <v/>
      </c>
      <c r="AO610" s="136" t="str">
        <f>IF(AH575="","",IF(H610="","",H610))</f>
        <v/>
      </c>
      <c r="AP610" s="136" t="str">
        <f>IF(AH575="","",IF(I610="","",I610))</f>
        <v/>
      </c>
      <c r="AQ610" s="136" t="str">
        <f>IF(AH575="","",IF(J610="","",J610))</f>
        <v/>
      </c>
      <c r="AR610" s="136" t="str">
        <f>IF(AH575="","",IF(K610="","",K610))</f>
        <v/>
      </c>
      <c r="AS610" s="136" t="str">
        <f>IF(AH575="","",IF(L610="","",L610))</f>
        <v/>
      </c>
      <c r="AT610" s="136" t="str">
        <f>IF(AH575="","",IF(M610="","",M610))</f>
        <v/>
      </c>
      <c r="AU610" s="136" t="str">
        <f>IF(AH575="","",IF(N610="","",N610))</f>
        <v/>
      </c>
      <c r="AV610" s="136" t="str">
        <f>IF(AH575="","",IF(O610="","",O610))</f>
        <v/>
      </c>
      <c r="AX610" s="136" t="str">
        <f>IF(AI575="","",IF(B610="","",B610))</f>
        <v/>
      </c>
      <c r="AY610" s="136" t="str">
        <f>IF(AI575="","",IF(C610="","",C610))</f>
        <v/>
      </c>
      <c r="AZ610" s="136" t="str">
        <f>IF(AI575="","",IF(D610="","",D610))</f>
        <v/>
      </c>
      <c r="BA610" s="136" t="str">
        <f>IF(AI575="","",IF(E610="","",E610))</f>
        <v/>
      </c>
      <c r="BB610" s="136" t="str">
        <f>IF(AI575="","",IF(F610="","",F610))</f>
        <v/>
      </c>
      <c r="BC610" s="136" t="str">
        <f>IF(AI575="","",IF(G610="","",G610))</f>
        <v/>
      </c>
      <c r="BD610" s="136" t="str">
        <f>IF(AI575="","",IF(H610="","",H610))</f>
        <v/>
      </c>
      <c r="BE610" s="136" t="str">
        <f>IF(AI575="","",IF(I610="","",I610))</f>
        <v/>
      </c>
      <c r="BF610" s="136" t="str">
        <f>IF(AI575="","",IF(J610="","",J610))</f>
        <v/>
      </c>
      <c r="BG610" s="136" t="str">
        <f>IF(AI575="","",IF(K610="","",K610))</f>
        <v/>
      </c>
      <c r="BH610" s="136" t="str">
        <f>IF(AI575="","",IF(L610="","",L610))</f>
        <v/>
      </c>
      <c r="BI610" s="136" t="str">
        <f>IF(AI575="","",IF(M610="","",M610))</f>
        <v/>
      </c>
      <c r="BJ610" s="136" t="str">
        <f>IF(AI575="","",IF(N610="","",N610))</f>
        <v/>
      </c>
      <c r="BK610" s="136" t="str">
        <f>IF(AI575="","",IF(O610="","",O610))</f>
        <v/>
      </c>
      <c r="BM610" s="136" t="str">
        <f t="shared" ref="BM610:BM614" si="355">BM609</f>
        <v>AT</v>
      </c>
      <c r="BN610" s="136" t="str">
        <f t="shared" si="341"/>
        <v>Aulas Teóricas</v>
      </c>
      <c r="BO610" s="136" t="str">
        <f t="shared" si="341"/>
        <v>IEI</v>
      </c>
      <c r="BP610" s="136">
        <f>(COUNTIFS(AX579:AX626,BM610,AY579:AY626,BO610)+COUNTIFS(AZ579:AZ626,BM610,BA579:BA626,BO610)+COUNTIFS(BB579:BB626,BM610,BC579:BC626,BO610)+COUNTIFS(BD579:BD626,BM610,BE579:BE626,BO610)+COUNTIFS(BF579:BF626,BM610,BG579:BG626,BO610)+COUNTIFS(BH579:BH626,BM610,BI579:BI626,BO610)+COUNTIFS(BJ579:BJ626,BM610,BK579:BK626,BO610))*0.5</f>
        <v>0</v>
      </c>
      <c r="BQ610" s="136" t="str">
        <f t="shared" si="342"/>
        <v>Aulas Teóricas</v>
      </c>
      <c r="BR610" s="136" t="str">
        <f t="shared" si="342"/>
        <v>IEI</v>
      </c>
      <c r="BS610" s="136" t="str">
        <f t="shared" si="343"/>
        <v>Aulas Teóricas</v>
      </c>
      <c r="BT610" s="136">
        <f t="shared" si="349"/>
        <v>24</v>
      </c>
      <c r="BU610" s="136">
        <f t="shared" si="350"/>
        <v>24</v>
      </c>
      <c r="CA610" s="136">
        <f>'INFO BASE'!L688</f>
        <v>0</v>
      </c>
      <c r="CB610" s="136">
        <f>'INFO BASE'!M688</f>
        <v>0</v>
      </c>
      <c r="CR610" s="177">
        <f t="shared" si="331"/>
        <v>1</v>
      </c>
      <c r="CS610" s="177">
        <f t="shared" si="332"/>
        <v>1</v>
      </c>
      <c r="CT610" s="177">
        <f t="shared" si="331"/>
        <v>1</v>
      </c>
      <c r="CU610" s="177">
        <f t="shared" si="333"/>
        <v>1</v>
      </c>
      <c r="CV610" s="177">
        <f t="shared" si="331"/>
        <v>1</v>
      </c>
      <c r="CW610" s="177">
        <f t="shared" si="334"/>
        <v>1</v>
      </c>
      <c r="CX610" s="177">
        <f t="shared" si="331"/>
        <v>1</v>
      </c>
      <c r="CY610" s="177">
        <f t="shared" si="335"/>
        <v>1</v>
      </c>
      <c r="CZ610" s="177">
        <f t="shared" si="331"/>
        <v>1</v>
      </c>
      <c r="DA610" s="177">
        <f t="shared" si="336"/>
        <v>1</v>
      </c>
      <c r="DB610" s="177">
        <f t="shared" si="331"/>
        <v>1</v>
      </c>
      <c r="DC610" s="177">
        <f t="shared" si="337"/>
        <v>1</v>
      </c>
      <c r="DD610" s="177">
        <f t="shared" si="338"/>
        <v>1</v>
      </c>
      <c r="DE610" s="177">
        <f t="shared" si="339"/>
        <v>1</v>
      </c>
    </row>
    <row r="611" spans="1:109" ht="18" customHeight="1" x14ac:dyDescent="0.3">
      <c r="A611" s="81">
        <v>0.66666666666668795</v>
      </c>
      <c r="B611" s="153"/>
      <c r="C611" s="130"/>
      <c r="D611" s="135"/>
      <c r="E611" s="130"/>
      <c r="F611" s="135"/>
      <c r="G611" s="130"/>
      <c r="H611" s="135"/>
      <c r="I611" s="130"/>
      <c r="J611" s="135"/>
      <c r="K611" s="130"/>
      <c r="L611" s="135"/>
      <c r="M611" s="130"/>
      <c r="N611" s="135"/>
      <c r="O611" s="154"/>
      <c r="P611" s="6">
        <v>0</v>
      </c>
      <c r="Q611" s="121" t="str">
        <f>IF('INFO BASE'!$C$20="","",'INFO BASE'!$C$20)</f>
        <v>Aulas Teóricas</v>
      </c>
      <c r="R611" s="82" t="str">
        <f t="shared" si="348"/>
        <v>AT</v>
      </c>
      <c r="S611" s="83">
        <f t="shared" si="345"/>
        <v>-1</v>
      </c>
      <c r="T611" s="84">
        <f>IF(VLOOKUP(Q611,'INFO BASE'!$B$40:$I$54,IF(R611='INFO BASE'!$B$32,3,IF(R611='INFO BASE'!$B$33,4,IF(R611='INFO BASE'!$B$34,5,IF(R611='INFO BASE'!$B$35,6,IF(R611='INFO BASE'!$B$36,7,IF(R611='INFO BASE'!$B$37,8,2)))))),0)=0,"",VLOOKUP(Q611,'INFO BASE'!$B$40:$I$54,IF(R611='INFO BASE'!$B$32,3,IF(R611='INFO BASE'!$B$33,4,IF(R611='INFO BASE'!$B$34,5,IF(R611='INFO BASE'!$B$35,6,IF(R611='INFO BASE'!$B$36,7,IF(R611='INFO BASE'!$B$37,8,2)))))),0))</f>
        <v>15</v>
      </c>
      <c r="U611" s="84">
        <f>IF(R611="","",COUNTIFS(SEMANA11,R611)*0.5)</f>
        <v>0</v>
      </c>
      <c r="V611" s="84">
        <f>IF(R611="","",COUNTIFS(AI579:AV626,R611)*0.5)</f>
        <v>0</v>
      </c>
      <c r="W611" s="85" t="str">
        <f>IF(AH575="","-",IF(V611=0,U611,IFERROR((U611/V611)-1,"-")))</f>
        <v>-</v>
      </c>
      <c r="X611" s="201">
        <f t="shared" si="346"/>
        <v>0</v>
      </c>
      <c r="Y611" s="277"/>
      <c r="Z611" s="278"/>
      <c r="AA611" s="278"/>
      <c r="AB611" s="278"/>
      <c r="AC611" s="278"/>
      <c r="AD611" s="278"/>
      <c r="AE611" s="278"/>
      <c r="AF611" s="279"/>
      <c r="AH611" s="136">
        <v>0.66666666666668795</v>
      </c>
      <c r="AI611" s="136" t="str">
        <f>IF(AH575="","",IF(B611="","",B611))</f>
        <v/>
      </c>
      <c r="AJ611" s="136" t="str">
        <f>IF(AH575="","",IF(C611="","",C611))</f>
        <v/>
      </c>
      <c r="AK611" s="136" t="str">
        <f>IF(AH575="","",IF(D611="","",D611))</f>
        <v/>
      </c>
      <c r="AL611" s="136" t="str">
        <f>IF(AH575="","",IF(E611="","",E611))</f>
        <v/>
      </c>
      <c r="AM611" s="136" t="str">
        <f>IF(AH575="","",IF(F611="","",F611))</f>
        <v/>
      </c>
      <c r="AN611" s="136" t="str">
        <f>IF(AH575="","",IF(G611="","",G611))</f>
        <v/>
      </c>
      <c r="AO611" s="136" t="str">
        <f>IF(AH575="","",IF(H611="","",H611))</f>
        <v/>
      </c>
      <c r="AP611" s="136" t="str">
        <f>IF(AH575="","",IF(I611="","",I611))</f>
        <v/>
      </c>
      <c r="AQ611" s="136" t="str">
        <f>IF(AH575="","",IF(J611="","",J611))</f>
        <v/>
      </c>
      <c r="AR611" s="136" t="str">
        <f>IF(AH575="","",IF(K611="","",K611))</f>
        <v/>
      </c>
      <c r="AS611" s="136" t="str">
        <f>IF(AH575="","",IF(L611="","",L611))</f>
        <v/>
      </c>
      <c r="AT611" s="136" t="str">
        <f>IF(AH575="","",IF(M611="","",M611))</f>
        <v/>
      </c>
      <c r="AU611" s="136" t="str">
        <f>IF(AH575="","",IF(N611="","",N611))</f>
        <v/>
      </c>
      <c r="AV611" s="136" t="str">
        <f>IF(AH575="","",IF(O611="","",O611))</f>
        <v/>
      </c>
      <c r="AX611" s="136" t="str">
        <f>IF(AI575="","",IF(B611="","",B611))</f>
        <v/>
      </c>
      <c r="AY611" s="136" t="str">
        <f>IF(AI575="","",IF(C611="","",C611))</f>
        <v/>
      </c>
      <c r="AZ611" s="136" t="str">
        <f>IF(AI575="","",IF(D611="","",D611))</f>
        <v/>
      </c>
      <c r="BA611" s="136" t="str">
        <f>IF(AI575="","",IF(E611="","",E611))</f>
        <v/>
      </c>
      <c r="BB611" s="136" t="str">
        <f>IF(AI575="","",IF(F611="","",F611))</f>
        <v/>
      </c>
      <c r="BC611" s="136" t="str">
        <f>IF(AI575="","",IF(G611="","",G611))</f>
        <v/>
      </c>
      <c r="BD611" s="136" t="str">
        <f>IF(AI575="","",IF(H611="","",H611))</f>
        <v/>
      </c>
      <c r="BE611" s="136" t="str">
        <f>IF(AI575="","",IF(I611="","",I611))</f>
        <v/>
      </c>
      <c r="BF611" s="136" t="str">
        <f>IF(AI575="","",IF(J611="","",J611))</f>
        <v/>
      </c>
      <c r="BG611" s="136" t="str">
        <f>IF(AI575="","",IF(K611="","",K611))</f>
        <v/>
      </c>
      <c r="BH611" s="136" t="str">
        <f>IF(AI575="","",IF(L611="","",L611))</f>
        <v/>
      </c>
      <c r="BI611" s="136" t="str">
        <f>IF(AI575="","",IF(M611="","",M611))</f>
        <v/>
      </c>
      <c r="BJ611" s="136" t="str">
        <f>IF(AI575="","",IF(N611="","",N611))</f>
        <v/>
      </c>
      <c r="BK611" s="136" t="str">
        <f>IF(AI575="","",IF(O611="","",O611))</f>
        <v/>
      </c>
      <c r="BM611" s="136" t="str">
        <f t="shared" si="355"/>
        <v>AT</v>
      </c>
      <c r="BN611" s="136" t="str">
        <f t="shared" si="341"/>
        <v>Aulas Teóricas</v>
      </c>
      <c r="BO611" s="136" t="str">
        <f t="shared" si="341"/>
        <v>IAC</v>
      </c>
      <c r="BP611" s="136">
        <f>(COUNTIFS(AX579:AX626,BM611,AY579:AY626,BO611)+COUNTIFS(AZ579:AZ626,BM611,BA579:BA626,BO611)+COUNTIFS(BB579:BB626,BM611,BC579:BC626,BO611)+COUNTIFS(BD579:BD626,BM611,BE579:BE626,BO611)+COUNTIFS(BF579:BF626,BM611,BG579:BG626,BO611)+COUNTIFS(BH579:BH626,BM611,BI579:BI626,BO611)+COUNTIFS(BJ579:BJ626,BM611,BK579:BK626,BO611))*0.5</f>
        <v>0</v>
      </c>
      <c r="BQ611" s="136" t="str">
        <f t="shared" si="342"/>
        <v>Aulas Teóricas</v>
      </c>
      <c r="BR611" s="136" t="str">
        <f t="shared" si="342"/>
        <v>IAC</v>
      </c>
      <c r="BS611" s="136" t="str">
        <f t="shared" si="343"/>
        <v>Aulas Teóricas</v>
      </c>
      <c r="BT611" s="136">
        <f t="shared" si="349"/>
        <v>24</v>
      </c>
      <c r="BU611" s="136">
        <f t="shared" si="350"/>
        <v>24</v>
      </c>
      <c r="CA611" s="136">
        <f>'INFO BASE'!L689</f>
        <v>0</v>
      </c>
      <c r="CB611" s="136">
        <f>'INFO BASE'!M689</f>
        <v>0</v>
      </c>
      <c r="CR611" s="177">
        <f t="shared" si="331"/>
        <v>1</v>
      </c>
      <c r="CS611" s="177">
        <f t="shared" si="332"/>
        <v>1</v>
      </c>
      <c r="CT611" s="177">
        <f t="shared" si="331"/>
        <v>1</v>
      </c>
      <c r="CU611" s="177">
        <f t="shared" si="333"/>
        <v>1</v>
      </c>
      <c r="CV611" s="177">
        <f t="shared" si="331"/>
        <v>1</v>
      </c>
      <c r="CW611" s="177">
        <f t="shared" si="334"/>
        <v>1</v>
      </c>
      <c r="CX611" s="177">
        <f t="shared" si="331"/>
        <v>1</v>
      </c>
      <c r="CY611" s="177">
        <f t="shared" si="335"/>
        <v>1</v>
      </c>
      <c r="CZ611" s="177">
        <f t="shared" si="331"/>
        <v>1</v>
      </c>
      <c r="DA611" s="177">
        <f t="shared" si="336"/>
        <v>1</v>
      </c>
      <c r="DB611" s="177">
        <f t="shared" si="331"/>
        <v>1</v>
      </c>
      <c r="DC611" s="177">
        <f t="shared" si="337"/>
        <v>1</v>
      </c>
      <c r="DD611" s="177">
        <f t="shared" si="338"/>
        <v>1</v>
      </c>
      <c r="DE611" s="177">
        <f t="shared" si="339"/>
        <v>1</v>
      </c>
    </row>
    <row r="612" spans="1:109" ht="18" customHeight="1" x14ac:dyDescent="0.3">
      <c r="A612" s="81">
        <v>0.68750000000002198</v>
      </c>
      <c r="B612" s="153"/>
      <c r="C612" s="130"/>
      <c r="D612" s="135"/>
      <c r="E612" s="130"/>
      <c r="F612" s="135"/>
      <c r="G612" s="130"/>
      <c r="H612" s="135"/>
      <c r="I612" s="130"/>
      <c r="J612" s="135"/>
      <c r="K612" s="130"/>
      <c r="L612" s="135"/>
      <c r="M612" s="130"/>
      <c r="N612" s="135"/>
      <c r="O612" s="154"/>
      <c r="P612" s="6">
        <v>0</v>
      </c>
      <c r="Q612" s="122" t="str">
        <f t="shared" ref="Q612:Q617" si="356">Q611</f>
        <v>Aulas Teóricas</v>
      </c>
      <c r="R612" s="105" t="str">
        <f t="shared" si="348"/>
        <v>FP</v>
      </c>
      <c r="S612" s="88">
        <f t="shared" si="345"/>
        <v>-1</v>
      </c>
      <c r="T612" s="89">
        <f>IF(VLOOKUP(Q612,'INFO BASE'!$B$40:$I$54,IF(R612='INFO BASE'!$B$32,3,IF(R612='INFO BASE'!$B$33,4,IF(R612='INFO BASE'!$B$34,5,IF(R612='INFO BASE'!$B$35,6,IF(R612='INFO BASE'!$B$36,7,IF(R612='INFO BASE'!$B$37,8,2)))))),0)=0,"",VLOOKUP(Q612,'INFO BASE'!$B$40:$I$54,IF(R612='INFO BASE'!$B$32,3,IF(R612='INFO BASE'!$B$33,4,IF(R612='INFO BASE'!$B$34,5,IF(R612='INFO BASE'!$B$35,6,IF(R612='INFO BASE'!$B$36,7,IF(R612='INFO BASE'!$B$37,8,2)))))),0))</f>
        <v>3</v>
      </c>
      <c r="U612" s="89">
        <f>(COUNTIFS(C579:C626,R612,B579:B626,R611)+COUNTIFS(E579:E626,R612,D579:D626,R611)+COUNTIFS(G579:G626,R612,F579:F626,R611)+COUNTIFS(I579:I626,R612,H579:H626,R611)+COUNTIFS(K579:K626,R612,J579:J626,R611)+COUNTIFS(M579:M626,R612,L579:L626,R611)+COUNTIFS(O579:O626,R612,N579:N626,R611))*0.5</f>
        <v>0</v>
      </c>
      <c r="V612" s="89">
        <f>(COUNTIFS(AI579:AI626,R611,AJ579:AJ626,R605)+COUNTIFS(AK579:AK626,R611,AL579:AL626,R605)+COUNTIFS(AM579:AM626,R611,AN579:AN626,R605)+COUNTIFS(AO579:AO626,R611,AP579:AP626,R605)+COUNTIFS(AQ579:AQ626,R611,AR579:AR626,R605)+COUNTIFS(AS579:AS626,R611,AT579:AT626,R605)+COUNTIFS(AU579:AU626,R611,AV579:AV626,R605))*0.5</f>
        <v>0</v>
      </c>
      <c r="W612" s="90" t="str">
        <f>IF(AH575="","-",IF(V612=0,U612,IFERROR((U612/V612)-1,"-")))</f>
        <v>-</v>
      </c>
      <c r="X612" s="201">
        <f t="shared" si="346"/>
        <v>0</v>
      </c>
      <c r="Y612" s="271"/>
      <c r="Z612" s="272"/>
      <c r="AA612" s="272"/>
      <c r="AB612" s="272"/>
      <c r="AC612" s="272"/>
      <c r="AD612" s="272"/>
      <c r="AE612" s="272"/>
      <c r="AF612" s="273"/>
      <c r="AH612" s="136">
        <v>0.68750000000002198</v>
      </c>
      <c r="AI612" s="136" t="str">
        <f>IF(AH575="","",IF(B612="","",B612))</f>
        <v/>
      </c>
      <c r="AJ612" s="136" t="str">
        <f>IF(AH575="","",IF(C612="","",C612))</f>
        <v/>
      </c>
      <c r="AK612" s="136" t="str">
        <f>IF(AH575="","",IF(D612="","",D612))</f>
        <v/>
      </c>
      <c r="AL612" s="136" t="str">
        <f>IF(AH575="","",IF(E612="","",E612))</f>
        <v/>
      </c>
      <c r="AM612" s="136" t="str">
        <f>IF(AH575="","",IF(F612="","",F612))</f>
        <v/>
      </c>
      <c r="AN612" s="136" t="str">
        <f>IF(AH575="","",IF(G612="","",G612))</f>
        <v/>
      </c>
      <c r="AO612" s="136" t="str">
        <f>IF(AH575="","",IF(H612="","",H612))</f>
        <v/>
      </c>
      <c r="AP612" s="136" t="str">
        <f>IF(AH575="","",IF(I612="","",I612))</f>
        <v/>
      </c>
      <c r="AQ612" s="136" t="str">
        <f>IF(AH575="","",IF(J612="","",J612))</f>
        <v/>
      </c>
      <c r="AR612" s="136" t="str">
        <f>IF(AH575="","",IF(K612="","",K612))</f>
        <v/>
      </c>
      <c r="AS612" s="136" t="str">
        <f>IF(AH575="","",IF(L612="","",L612))</f>
        <v/>
      </c>
      <c r="AT612" s="136" t="str">
        <f>IF(AH575="","",IF(M612="","",M612))</f>
        <v/>
      </c>
      <c r="AU612" s="136" t="str">
        <f>IF(AH575="","",IF(N612="","",N612))</f>
        <v/>
      </c>
      <c r="AV612" s="136" t="str">
        <f>IF(AH575="","",IF(O612="","",O612))</f>
        <v/>
      </c>
      <c r="AX612" s="136" t="str">
        <f>IF(AI575="","",IF(B612="","",B612))</f>
        <v/>
      </c>
      <c r="AY612" s="136" t="str">
        <f>IF(AI575="","",IF(C612="","",C612))</f>
        <v/>
      </c>
      <c r="AZ612" s="136" t="str">
        <f>IF(AI575="","",IF(D612="","",D612))</f>
        <v/>
      </c>
      <c r="BA612" s="136" t="str">
        <f>IF(AI575="","",IF(E612="","",E612))</f>
        <v/>
      </c>
      <c r="BB612" s="136" t="str">
        <f>IF(AI575="","",IF(F612="","",F612))</f>
        <v/>
      </c>
      <c r="BC612" s="136" t="str">
        <f>IF(AI575="","",IF(G612="","",G612))</f>
        <v/>
      </c>
      <c r="BD612" s="136" t="str">
        <f>IF(AI575="","",IF(H612="","",H612))</f>
        <v/>
      </c>
      <c r="BE612" s="136" t="str">
        <f>IF(AI575="","",IF(I612="","",I612))</f>
        <v/>
      </c>
      <c r="BF612" s="136" t="str">
        <f>IF(AI575="","",IF(J612="","",J612))</f>
        <v/>
      </c>
      <c r="BG612" s="136" t="str">
        <f>IF(AI575="","",IF(K612="","",K612))</f>
        <v/>
      </c>
      <c r="BH612" s="136" t="str">
        <f>IF(AI575="","",IF(L612="","",L612))</f>
        <v/>
      </c>
      <c r="BI612" s="136" t="str">
        <f>IF(AI575="","",IF(M612="","",M612))</f>
        <v/>
      </c>
      <c r="BJ612" s="136" t="str">
        <f>IF(AI575="","",IF(N612="","",N612))</f>
        <v/>
      </c>
      <c r="BK612" s="136" t="str">
        <f>IF(AI575="","",IF(O612="","",O612))</f>
        <v/>
      </c>
      <c r="BM612" s="136" t="str">
        <f t="shared" si="355"/>
        <v>AT</v>
      </c>
      <c r="BN612" s="136" t="str">
        <f t="shared" si="341"/>
        <v>Aulas Teóricas</v>
      </c>
      <c r="BO612" s="136" t="str">
        <f t="shared" si="341"/>
        <v>AL</v>
      </c>
      <c r="BP612" s="136">
        <f>(COUNTIFS(AX579:AX626,BM612,AY579:AY626,BO612)+COUNTIFS(AZ579:AZ626,BM612,BA579:BA626,BO612)+COUNTIFS(BB579:BB626,BM612,BC579:BC626,BO612)+COUNTIFS(BD579:BD626,BM612,BE579:BE626,BO612)+COUNTIFS(BF579:BF626,BM612,BG579:BG626,BO612)+COUNTIFS(BH579:BH626,BM612,BI579:BI626,BO612)+COUNTIFS(BJ579:BJ626,BM612,BK579:BK626,BO612))*0.5</f>
        <v>0</v>
      </c>
      <c r="BQ612" s="136" t="str">
        <f t="shared" si="342"/>
        <v>Aulas Teóricas</v>
      </c>
      <c r="BR612" s="136" t="str">
        <f t="shared" si="342"/>
        <v>AL</v>
      </c>
      <c r="BS612" s="136" t="str">
        <f t="shared" si="343"/>
        <v>Aulas Teóricas</v>
      </c>
      <c r="BT612" s="136">
        <f t="shared" si="349"/>
        <v>24</v>
      </c>
      <c r="BU612" s="136">
        <f t="shared" si="350"/>
        <v>24</v>
      </c>
      <c r="CA612" s="136">
        <f>'INFO BASE'!L690</f>
        <v>0</v>
      </c>
      <c r="CB612" s="136">
        <f>'INFO BASE'!M690</f>
        <v>0</v>
      </c>
      <c r="CR612" s="177">
        <f t="shared" si="331"/>
        <v>1</v>
      </c>
      <c r="CS612" s="177">
        <f t="shared" si="332"/>
        <v>1</v>
      </c>
      <c r="CT612" s="177">
        <f t="shared" si="331"/>
        <v>1</v>
      </c>
      <c r="CU612" s="177">
        <f t="shared" si="333"/>
        <v>1</v>
      </c>
      <c r="CV612" s="177">
        <f t="shared" si="331"/>
        <v>1</v>
      </c>
      <c r="CW612" s="177">
        <f t="shared" si="334"/>
        <v>1</v>
      </c>
      <c r="CX612" s="177">
        <f t="shared" si="331"/>
        <v>1</v>
      </c>
      <c r="CY612" s="177">
        <f t="shared" si="335"/>
        <v>1</v>
      </c>
      <c r="CZ612" s="177">
        <f t="shared" si="331"/>
        <v>1</v>
      </c>
      <c r="DA612" s="177">
        <f t="shared" si="336"/>
        <v>1</v>
      </c>
      <c r="DB612" s="177">
        <f t="shared" si="331"/>
        <v>1</v>
      </c>
      <c r="DC612" s="177">
        <f t="shared" si="337"/>
        <v>1</v>
      </c>
      <c r="DD612" s="177">
        <f t="shared" si="338"/>
        <v>1</v>
      </c>
      <c r="DE612" s="177">
        <f t="shared" si="339"/>
        <v>1</v>
      </c>
    </row>
    <row r="613" spans="1:109" ht="18" customHeight="1" x14ac:dyDescent="0.3">
      <c r="A613" s="81">
        <v>0.70833333333335602</v>
      </c>
      <c r="B613" s="153"/>
      <c r="C613" s="130"/>
      <c r="D613" s="135"/>
      <c r="E613" s="130"/>
      <c r="F613" s="135"/>
      <c r="G613" s="130"/>
      <c r="H613" s="135"/>
      <c r="I613" s="130"/>
      <c r="J613" s="135"/>
      <c r="K613" s="130"/>
      <c r="L613" s="135"/>
      <c r="M613" s="130"/>
      <c r="N613" s="135"/>
      <c r="O613" s="154"/>
      <c r="P613" s="6">
        <v>0</v>
      </c>
      <c r="Q613" s="122" t="str">
        <f t="shared" si="356"/>
        <v>Aulas Teóricas</v>
      </c>
      <c r="R613" s="105" t="str">
        <f t="shared" si="348"/>
        <v>IEI</v>
      </c>
      <c r="S613" s="88">
        <f t="shared" si="345"/>
        <v>-1</v>
      </c>
      <c r="T613" s="106">
        <f>IF(VLOOKUP(Q613,'INFO BASE'!$B$40:$I$54,IF(R613='INFO BASE'!$B$32,3,IF(R613='INFO BASE'!$B$33,4,IF(R613='INFO BASE'!$B$34,5,IF(R613='INFO BASE'!$B$35,6,IF(R613='INFO BASE'!$B$36,7,IF(R613='INFO BASE'!$B$37,8,2)))))),0)=0,"",VLOOKUP(Q613,'INFO BASE'!$B$40:$I$54,IF(R613='INFO BASE'!$B$32,3,IF(R613='INFO BASE'!$B$33,4,IF(R613='INFO BASE'!$B$34,5,IF(R613='INFO BASE'!$B$35,6,IF(R613='INFO BASE'!$B$36,7,IF(R613='INFO BASE'!$B$37,8,2)))))),0))</f>
        <v>3</v>
      </c>
      <c r="U613" s="106">
        <f>(COUNTIFS(C579:C626,R613,B579:B626,R611)+COUNTIFS(E579:E626,R613,D579:D626,R611)+COUNTIFS(G579:G626,R613,F579:F626,R611)+COUNTIFS(I579:I626,R613,H579:H626,R611)+COUNTIFS(K579:K626,R613,J579:J626,R611)+COUNTIFS(M579:M626,R613,L579:L626,R611)+COUNTIFS(O579:O626,R613,N579:N626,R611))*0.5</f>
        <v>0</v>
      </c>
      <c r="V613" s="89">
        <f>(COUNTIFS(AI579:AI626,R611,AJ579:AJ626,R606)+COUNTIFS(AK579:AK626,R611,AL579:AL626,R606)+COUNTIFS(AM579:AM626,R611,AN579:AN626,R606)+COUNTIFS(AO579:AO626,R611,AP579:AP626,R606)+COUNTIFS(AQ579:AQ626,R611,AR579:AR626,R606)+COUNTIFS(AS579:AS626,R611,AT579:AT626,R606)+COUNTIFS(AU579:AU626,R611,AV579:AV626,R606))*0.5</f>
        <v>0</v>
      </c>
      <c r="W613" s="90" t="str">
        <f>IF(AH575="","-",IF(V613=0,U613,IFERROR((U613/V613)-1,"-")))</f>
        <v>-</v>
      </c>
      <c r="X613" s="201">
        <f t="shared" si="346"/>
        <v>0</v>
      </c>
      <c r="Y613" s="271"/>
      <c r="Z613" s="272"/>
      <c r="AA613" s="272"/>
      <c r="AB613" s="272"/>
      <c r="AC613" s="272"/>
      <c r="AD613" s="272"/>
      <c r="AE613" s="272"/>
      <c r="AF613" s="273"/>
      <c r="AH613" s="136">
        <v>0.70833333333335602</v>
      </c>
      <c r="AI613" s="136" t="str">
        <f>IF(AH575="","",IF(B613="","",B613))</f>
        <v/>
      </c>
      <c r="AJ613" s="136" t="str">
        <f>IF(AH575="","",IF(C613="","",C613))</f>
        <v/>
      </c>
      <c r="AK613" s="136" t="str">
        <f>IF(AH575="","",IF(D613="","",D613))</f>
        <v/>
      </c>
      <c r="AL613" s="136" t="str">
        <f>IF(AH575="","",IF(E613="","",E613))</f>
        <v/>
      </c>
      <c r="AM613" s="136" t="str">
        <f>IF(AH575="","",IF(F613="","",F613))</f>
        <v/>
      </c>
      <c r="AN613" s="136" t="str">
        <f>IF(AH575="","",IF(G613="","",G613))</f>
        <v/>
      </c>
      <c r="AO613" s="136" t="str">
        <f>IF(AH575="","",IF(H613="","",H613))</f>
        <v/>
      </c>
      <c r="AP613" s="136" t="str">
        <f>IF(AH575="","",IF(I613="","",I613))</f>
        <v/>
      </c>
      <c r="AQ613" s="136" t="str">
        <f>IF(AH575="","",IF(J613="","",J613))</f>
        <v/>
      </c>
      <c r="AR613" s="136" t="str">
        <f>IF(AH575="","",IF(K613="","",K613))</f>
        <v/>
      </c>
      <c r="AS613" s="136" t="str">
        <f>IF(AH575="","",IF(L613="","",L613))</f>
        <v/>
      </c>
      <c r="AT613" s="136" t="str">
        <f>IF(AH575="","",IF(M613="","",M613))</f>
        <v/>
      </c>
      <c r="AU613" s="136" t="str">
        <f>IF(AH575="","",IF(N613="","",N613))</f>
        <v/>
      </c>
      <c r="AV613" s="136" t="str">
        <f>IF(AH575="","",IF(O613="","",O613))</f>
        <v/>
      </c>
      <c r="AX613" s="136" t="str">
        <f>IF(AI575="","",IF(B613="","",B613))</f>
        <v/>
      </c>
      <c r="AY613" s="136" t="str">
        <f>IF(AI575="","",IF(C613="","",C613))</f>
        <v/>
      </c>
      <c r="AZ613" s="136" t="str">
        <f>IF(AI575="","",IF(D613="","",D613))</f>
        <v/>
      </c>
      <c r="BA613" s="136" t="str">
        <f>IF(AI575="","",IF(E613="","",E613))</f>
        <v/>
      </c>
      <c r="BB613" s="136" t="str">
        <f>IF(AI575="","",IF(F613="","",F613))</f>
        <v/>
      </c>
      <c r="BC613" s="136" t="str">
        <f>IF(AI575="","",IF(G613="","",G613))</f>
        <v/>
      </c>
      <c r="BD613" s="136" t="str">
        <f>IF(AI575="","",IF(H613="","",H613))</f>
        <v/>
      </c>
      <c r="BE613" s="136" t="str">
        <f>IF(AI575="","",IF(I613="","",I613))</f>
        <v/>
      </c>
      <c r="BF613" s="136" t="str">
        <f>IF(AI575="","",IF(J613="","",J613))</f>
        <v/>
      </c>
      <c r="BG613" s="136" t="str">
        <f>IF(AI575="","",IF(K613="","",K613))</f>
        <v/>
      </c>
      <c r="BH613" s="136" t="str">
        <f>IF(AI575="","",IF(L613="","",L613))</f>
        <v/>
      </c>
      <c r="BI613" s="136" t="str">
        <f>IF(AI575="","",IF(M613="","",M613))</f>
        <v/>
      </c>
      <c r="BJ613" s="136" t="str">
        <f>IF(AI575="","",IF(N613="","",N613))</f>
        <v/>
      </c>
      <c r="BK613" s="136" t="str">
        <f>IF(AI575="","",IF(O613="","",O613))</f>
        <v/>
      </c>
      <c r="BM613" s="136" t="str">
        <f t="shared" si="355"/>
        <v>AT</v>
      </c>
      <c r="BN613" s="136" t="str">
        <f t="shared" si="341"/>
        <v>Aulas Teóricas</v>
      </c>
      <c r="BO613" s="136" t="str">
        <f t="shared" si="341"/>
        <v>CDI</v>
      </c>
      <c r="BP613" s="136">
        <f>(COUNTIFS(AX579:AX626,BM613,AY579:AY626,BO613)+COUNTIFS(AZ579:AZ626,BM613,BA579:BA626,BO613)+COUNTIFS(BB579:BB626,BM613,BC579:BC626,BO613)+COUNTIFS(BD579:BD626,BM613,BE579:BE626,BO613)+COUNTIFS(BF579:BF626,BM613,BG579:BG626,BO613)+COUNTIFS(BH579:BH626,BM613,BI579:BI626,BO613)+COUNTIFS(BJ579:BJ626,BM613,BK579:BK626,BO613))*0.5</f>
        <v>0</v>
      </c>
      <c r="BQ613" s="136" t="str">
        <f t="shared" si="342"/>
        <v>Aulas Teóricas</v>
      </c>
      <c r="BR613" s="136" t="str">
        <f t="shared" si="342"/>
        <v>CDI</v>
      </c>
      <c r="BS613" s="136" t="str">
        <f t="shared" si="343"/>
        <v>Aulas Teóricas</v>
      </c>
      <c r="BT613" s="136">
        <f t="shared" si="349"/>
        <v>24</v>
      </c>
      <c r="BU613" s="136">
        <f t="shared" si="350"/>
        <v>24</v>
      </c>
      <c r="CA613" s="136">
        <f>'INFO BASE'!L691</f>
        <v>0</v>
      </c>
      <c r="CB613" s="136">
        <f>'INFO BASE'!M691</f>
        <v>0</v>
      </c>
      <c r="CR613" s="177">
        <f t="shared" si="331"/>
        <v>1</v>
      </c>
      <c r="CS613" s="177">
        <f t="shared" si="332"/>
        <v>1</v>
      </c>
      <c r="CT613" s="177">
        <f t="shared" si="331"/>
        <v>1</v>
      </c>
      <c r="CU613" s="177">
        <f t="shared" si="333"/>
        <v>1</v>
      </c>
      <c r="CV613" s="177">
        <f t="shared" si="331"/>
        <v>1</v>
      </c>
      <c r="CW613" s="177">
        <f t="shared" si="334"/>
        <v>1</v>
      </c>
      <c r="CX613" s="177">
        <f t="shared" si="331"/>
        <v>1</v>
      </c>
      <c r="CY613" s="177">
        <f t="shared" si="335"/>
        <v>1</v>
      </c>
      <c r="CZ613" s="177">
        <f t="shared" si="331"/>
        <v>1</v>
      </c>
      <c r="DA613" s="177">
        <f t="shared" si="336"/>
        <v>1</v>
      </c>
      <c r="DB613" s="177">
        <f t="shared" si="331"/>
        <v>1</v>
      </c>
      <c r="DC613" s="177">
        <f t="shared" si="337"/>
        <v>1</v>
      </c>
      <c r="DD613" s="177">
        <f t="shared" si="338"/>
        <v>1</v>
      </c>
      <c r="DE613" s="177">
        <f t="shared" si="339"/>
        <v>1</v>
      </c>
    </row>
    <row r="614" spans="1:109" ht="18" customHeight="1" x14ac:dyDescent="0.3">
      <c r="A614" s="81">
        <v>0.72916666666669006</v>
      </c>
      <c r="B614" s="153"/>
      <c r="C614" s="130"/>
      <c r="D614" s="135"/>
      <c r="E614" s="130"/>
      <c r="F614" s="135"/>
      <c r="G614" s="130"/>
      <c r="H614" s="135"/>
      <c r="I614" s="130"/>
      <c r="J614" s="135"/>
      <c r="K614" s="130"/>
      <c r="L614" s="135"/>
      <c r="M614" s="130"/>
      <c r="N614" s="135"/>
      <c r="O614" s="154"/>
      <c r="P614" s="6">
        <v>0</v>
      </c>
      <c r="Q614" s="123" t="str">
        <f t="shared" si="356"/>
        <v>Aulas Teóricas</v>
      </c>
      <c r="R614" s="105" t="str">
        <f t="shared" si="348"/>
        <v>IAC</v>
      </c>
      <c r="S614" s="88">
        <f t="shared" si="345"/>
        <v>-1</v>
      </c>
      <c r="T614" s="106">
        <f>IF(VLOOKUP(Q614,'INFO BASE'!$B$40:$I$54,IF(R614='INFO BASE'!$B$32,3,IF(R614='INFO BASE'!$B$33,4,IF(R614='INFO BASE'!$B$34,5,IF(R614='INFO BASE'!$B$35,6,IF(R614='INFO BASE'!$B$36,7,IF(R614='INFO BASE'!$B$37,8,2)))))),0)=0,"",VLOOKUP(Q614,'INFO BASE'!$B$40:$I$54,IF(R614='INFO BASE'!$B$32,3,IF(R614='INFO BASE'!$B$33,4,IF(R614='INFO BASE'!$B$34,5,IF(R614='INFO BASE'!$B$35,6,IF(R614='INFO BASE'!$B$36,7,IF(R614='INFO BASE'!$B$37,8,2)))))),0))</f>
        <v>3</v>
      </c>
      <c r="U614" s="106">
        <f>(COUNTIFS(C579:C626,R614,B579:B626,R611)+COUNTIFS(E579:E626,R614,D579:D626,R611)+COUNTIFS(G579:G626,R614,F579:F626,R611)+COUNTIFS(I579:I626,R614,H579:H626,R611)+COUNTIFS(K579:K626,R614,J579:J626,R611)+COUNTIFS(M579:M626,R614,L579:L626,R611)+COUNTIFS(O579:O626,R614,N579:N626,R611))*0.5</f>
        <v>0</v>
      </c>
      <c r="V614" s="89">
        <f>(COUNTIFS(AI579:AI626,R611,AJ579:AJ626,R607)+COUNTIFS(AK579:AK626,R611,AL579:AL626,R607)+COUNTIFS(AM579:AM626,R611,AN579:AN626,R607)+COUNTIFS(AO579:AO626,R611,AP579:AP626,R607)+COUNTIFS(AQ579:AQ626,R611,AR579:AR626,R607)+COUNTIFS(AS579:AS626,R611,AT579:AT626,R607)+COUNTIFS(AU579:AU626,R611,AV579:AV626,R607))*0.5</f>
        <v>0</v>
      </c>
      <c r="W614" s="90" t="str">
        <f>IF(AH575="","-",IF(V614=0,U614,IFERROR((U614/V614)-1,"-")))</f>
        <v>-</v>
      </c>
      <c r="X614" s="201">
        <f t="shared" si="346"/>
        <v>0</v>
      </c>
      <c r="Y614" s="271"/>
      <c r="Z614" s="272"/>
      <c r="AA614" s="272"/>
      <c r="AB614" s="272"/>
      <c r="AC614" s="272"/>
      <c r="AD614" s="272"/>
      <c r="AE614" s="272"/>
      <c r="AF614" s="273"/>
      <c r="AH614" s="136">
        <v>0.72916666666669006</v>
      </c>
      <c r="AI614" s="136" t="str">
        <f>IF(AH575="","",IF(B614="","",B614))</f>
        <v/>
      </c>
      <c r="AJ614" s="136" t="str">
        <f>IF(AH575="","",IF(C614="","",C614))</f>
        <v/>
      </c>
      <c r="AK614" s="136" t="str">
        <f>IF(AH575="","",IF(D614="","",D614))</f>
        <v/>
      </c>
      <c r="AL614" s="136" t="str">
        <f>IF(AH575="","",IF(E614="","",E614))</f>
        <v/>
      </c>
      <c r="AM614" s="136" t="str">
        <f>IF(AH575="","",IF(F614="","",F614))</f>
        <v/>
      </c>
      <c r="AN614" s="136" t="str">
        <f>IF(AH575="","",IF(G614="","",G614))</f>
        <v/>
      </c>
      <c r="AO614" s="136" t="str">
        <f>IF(AH575="","",IF(H614="","",H614))</f>
        <v/>
      </c>
      <c r="AP614" s="136" t="str">
        <f>IF(AH575="","",IF(I614="","",I614))</f>
        <v/>
      </c>
      <c r="AQ614" s="136" t="str">
        <f>IF(AH575="","",IF(J614="","",J614))</f>
        <v/>
      </c>
      <c r="AR614" s="136" t="str">
        <f>IF(AH575="","",IF(K614="","",K614))</f>
        <v/>
      </c>
      <c r="AS614" s="136" t="str">
        <f>IF(AH575="","",IF(L614="","",L614))</f>
        <v/>
      </c>
      <c r="AT614" s="136" t="str">
        <f>IF(AH575="","",IF(M614="","",M614))</f>
        <v/>
      </c>
      <c r="AU614" s="136" t="str">
        <f>IF(AH575="","",IF(N614="","",N614))</f>
        <v/>
      </c>
      <c r="AV614" s="136" t="str">
        <f>IF(AH575="","",IF(O614="","",O614))</f>
        <v/>
      </c>
      <c r="AX614" s="136" t="str">
        <f>IF(AI575="","",IF(B614="","",B614))</f>
        <v/>
      </c>
      <c r="AY614" s="136" t="str">
        <f>IF(AI575="","",IF(C614="","",C614))</f>
        <v/>
      </c>
      <c r="AZ614" s="136" t="str">
        <f>IF(AI575="","",IF(D614="","",D614))</f>
        <v/>
      </c>
      <c r="BA614" s="136" t="str">
        <f>IF(AI575="","",IF(E614="","",E614))</f>
        <v/>
      </c>
      <c r="BB614" s="136" t="str">
        <f>IF(AI575="","",IF(F614="","",F614))</f>
        <v/>
      </c>
      <c r="BC614" s="136" t="str">
        <f>IF(AI575="","",IF(G614="","",G614))</f>
        <v/>
      </c>
      <c r="BD614" s="136" t="str">
        <f>IF(AI575="","",IF(H614="","",H614))</f>
        <v/>
      </c>
      <c r="BE614" s="136" t="str">
        <f>IF(AI575="","",IF(I614="","",I614))</f>
        <v/>
      </c>
      <c r="BF614" s="136" t="str">
        <f>IF(AI575="","",IF(J614="","",J614))</f>
        <v/>
      </c>
      <c r="BG614" s="136" t="str">
        <f>IF(AI575="","",IF(K614="","",K614))</f>
        <v/>
      </c>
      <c r="BH614" s="136" t="str">
        <f>IF(AI575="","",IF(L614="","",L614))</f>
        <v/>
      </c>
      <c r="BI614" s="136" t="str">
        <f>IF(AI575="","",IF(M614="","",M614))</f>
        <v/>
      </c>
      <c r="BJ614" s="136" t="str">
        <f>IF(AI575="","",IF(N614="","",N614))</f>
        <v/>
      </c>
      <c r="BK614" s="136" t="str">
        <f>IF(AI575="","",IF(O614="","",O614))</f>
        <v/>
      </c>
      <c r="BM614" s="136" t="str">
        <f t="shared" si="355"/>
        <v>AT</v>
      </c>
      <c r="BN614" s="136" t="str">
        <f t="shared" si="341"/>
        <v>Aulas Teóricas</v>
      </c>
      <c r="BO614" s="136" t="str">
        <f t="shared" si="341"/>
        <v/>
      </c>
      <c r="BP614" s="136">
        <f>(COUNTIFS(AX579:AX626,BM614,AY579:AY626,BO614)+COUNTIFS(AZ579:AZ626,BM614,BA579:BA626,BO614)+COUNTIFS(BB579:BB626,BM614,BC579:BC626,BO614)+COUNTIFS(BD579:BD626,BM614,BE579:BE626,BO614)+COUNTIFS(BF579:BF626,BM614,BG579:BG626,BO614)+COUNTIFS(BH579:BH626,BM614,BI579:BI626,BO614)+COUNTIFS(BJ579:BJ626,BM614,BK579:BK626,BO614))*0.5</f>
        <v>0</v>
      </c>
      <c r="BQ614" s="136" t="str">
        <f t="shared" si="342"/>
        <v>Aulas Teóricas</v>
      </c>
      <c r="BR614" s="136" t="str">
        <f t="shared" si="342"/>
        <v/>
      </c>
      <c r="BS614" s="136" t="str">
        <f t="shared" si="343"/>
        <v>Aulas Teóricas</v>
      </c>
      <c r="BT614" s="136">
        <f t="shared" si="349"/>
        <v>0</v>
      </c>
      <c r="BU614" s="136">
        <f t="shared" si="350"/>
        <v>0</v>
      </c>
      <c r="CA614" s="136">
        <f>'INFO BASE'!L692</f>
        <v>0</v>
      </c>
      <c r="CB614" s="136">
        <f>'INFO BASE'!M692</f>
        <v>0</v>
      </c>
      <c r="CR614" s="177">
        <f t="shared" si="331"/>
        <v>1</v>
      </c>
      <c r="CS614" s="177">
        <f t="shared" si="332"/>
        <v>1</v>
      </c>
      <c r="CT614" s="177">
        <f t="shared" si="331"/>
        <v>1</v>
      </c>
      <c r="CU614" s="177">
        <f t="shared" si="333"/>
        <v>1</v>
      </c>
      <c r="CV614" s="177">
        <f t="shared" si="331"/>
        <v>1</v>
      </c>
      <c r="CW614" s="177">
        <f t="shared" si="334"/>
        <v>1</v>
      </c>
      <c r="CX614" s="177">
        <f t="shared" si="331"/>
        <v>1</v>
      </c>
      <c r="CY614" s="177">
        <f t="shared" si="335"/>
        <v>1</v>
      </c>
      <c r="CZ614" s="177">
        <f t="shared" si="331"/>
        <v>1</v>
      </c>
      <c r="DA614" s="177">
        <f t="shared" si="336"/>
        <v>1</v>
      </c>
      <c r="DB614" s="177">
        <f t="shared" si="331"/>
        <v>1</v>
      </c>
      <c r="DC614" s="177">
        <f t="shared" si="337"/>
        <v>1</v>
      </c>
      <c r="DD614" s="177">
        <f t="shared" si="338"/>
        <v>1</v>
      </c>
      <c r="DE614" s="177">
        <f t="shared" si="339"/>
        <v>1</v>
      </c>
    </row>
    <row r="615" spans="1:109" ht="18" customHeight="1" x14ac:dyDescent="0.3">
      <c r="A615" s="81">
        <v>0.75000000000002398</v>
      </c>
      <c r="B615" s="153"/>
      <c r="C615" s="130"/>
      <c r="D615" s="135"/>
      <c r="E615" s="130"/>
      <c r="F615" s="135"/>
      <c r="G615" s="130"/>
      <c r="H615" s="135"/>
      <c r="I615" s="130"/>
      <c r="J615" s="135"/>
      <c r="K615" s="130"/>
      <c r="L615" s="135"/>
      <c r="M615" s="130"/>
      <c r="N615" s="135"/>
      <c r="O615" s="154"/>
      <c r="P615" s="6">
        <v>0</v>
      </c>
      <c r="Q615" s="122" t="str">
        <f t="shared" si="356"/>
        <v>Aulas Teóricas</v>
      </c>
      <c r="R615" s="105" t="str">
        <f t="shared" si="348"/>
        <v>AL</v>
      </c>
      <c r="S615" s="88">
        <f t="shared" si="345"/>
        <v>-1</v>
      </c>
      <c r="T615" s="106">
        <f>IF(VLOOKUP(Q615,'INFO BASE'!$B$40:$I$54,IF(R615='INFO BASE'!$B$32,3,IF(R615='INFO BASE'!$B$33,4,IF(R615='INFO BASE'!$B$34,5,IF(R615='INFO BASE'!$B$35,6,IF(R615='INFO BASE'!$B$36,7,IF(R615='INFO BASE'!$B$37,8,2)))))),0)=0,"",VLOOKUP(Q615,'INFO BASE'!$B$40:$I$54,IF(R615='INFO BASE'!$B$32,3,IF(R615='INFO BASE'!$B$33,4,IF(R615='INFO BASE'!$B$34,5,IF(R615='INFO BASE'!$B$35,6,IF(R615='INFO BASE'!$B$36,7,IF(R615='INFO BASE'!$B$37,8,2)))))),0))</f>
        <v>3</v>
      </c>
      <c r="U615" s="106">
        <f>(COUNTIFS(C579:C626,R615,B579:B626,R611)+COUNTIFS(E579:E626,R615,D579:D626,R611)+COUNTIFS(G579:G626,R615,F579:F626,R611)+COUNTIFS(I579:I626,R615,H579:H626,R611)+COUNTIFS(K579:K626,R615,J579:J626,R611)+COUNTIFS(M579:M626,R615,L579:L626,R611)+COUNTIFS(O579:O626,R615,N579:N626,R611))*0.5</f>
        <v>0</v>
      </c>
      <c r="V615" s="89">
        <f>(COUNTIFS(AI579:AI626,R611,AJ579:AJ626,R608)+COUNTIFS(AK579:AK626,R611,AL579:AL626,R608)+COUNTIFS(AM579:AM626,R611,AN579:AN626,R608)+COUNTIFS(AO579:AO626,R611,AP579:AP626,R608)+COUNTIFS(AQ579:AQ626,R611,AR579:AR626,R608)+COUNTIFS(AS579:AS626,R611,AT579:AT626,R608)+COUNTIFS(AU579:AU626,R611,AV579:AV626,R608))*0.5</f>
        <v>0</v>
      </c>
      <c r="W615" s="90" t="str">
        <f>IF(AH575="","-",IF(V615=0,U615,IFERROR((U615/V615)-1,"-")))</f>
        <v>-</v>
      </c>
      <c r="X615" s="201">
        <f t="shared" si="346"/>
        <v>0</v>
      </c>
      <c r="Y615" s="271"/>
      <c r="Z615" s="272"/>
      <c r="AA615" s="272"/>
      <c r="AB615" s="272"/>
      <c r="AC615" s="272"/>
      <c r="AD615" s="272"/>
      <c r="AE615" s="272"/>
      <c r="AF615" s="273"/>
      <c r="AH615" s="136">
        <v>0.75000000000002398</v>
      </c>
      <c r="AI615" s="136" t="str">
        <f>IF(AH575="","",IF(B615="","",B615))</f>
        <v/>
      </c>
      <c r="AJ615" s="136" t="str">
        <f>IF(AH575="","",IF(C615="","",C615))</f>
        <v/>
      </c>
      <c r="AK615" s="136" t="str">
        <f>IF(AH575="","",IF(D615="","",D615))</f>
        <v/>
      </c>
      <c r="AL615" s="136" t="str">
        <f>IF(AH575="","",IF(E615="","",E615))</f>
        <v/>
      </c>
      <c r="AM615" s="136" t="str">
        <f>IF(AH575="","",IF(F615="","",F615))</f>
        <v/>
      </c>
      <c r="AN615" s="136" t="str">
        <f>IF(AH575="","",IF(G615="","",G615))</f>
        <v/>
      </c>
      <c r="AO615" s="136" t="str">
        <f>IF(AH575="","",IF(H615="","",H615))</f>
        <v/>
      </c>
      <c r="AP615" s="136" t="str">
        <f>IF(AH575="","",IF(I615="","",I615))</f>
        <v/>
      </c>
      <c r="AQ615" s="136" t="str">
        <f>IF(AH575="","",IF(J615="","",J615))</f>
        <v/>
      </c>
      <c r="AR615" s="136" t="str">
        <f>IF(AH575="","",IF(K615="","",K615))</f>
        <v/>
      </c>
      <c r="AS615" s="136" t="str">
        <f>IF(AH575="","",IF(L615="","",L615))</f>
        <v/>
      </c>
      <c r="AT615" s="136" t="str">
        <f>IF(AH575="","",IF(M615="","",M615))</f>
        <v/>
      </c>
      <c r="AU615" s="136" t="str">
        <f>IF(AH575="","",IF(N615="","",N615))</f>
        <v/>
      </c>
      <c r="AV615" s="136" t="str">
        <f>IF(AH575="","",IF(O615="","",O615))</f>
        <v/>
      </c>
      <c r="AX615" s="136" t="str">
        <f>IF(AI575="","",IF(B615="","",B615))</f>
        <v/>
      </c>
      <c r="AY615" s="136" t="str">
        <f>IF(AI575="","",IF(C615="","",C615))</f>
        <v/>
      </c>
      <c r="AZ615" s="136" t="str">
        <f>IF(AI575="","",IF(D615="","",D615))</f>
        <v/>
      </c>
      <c r="BA615" s="136" t="str">
        <f>IF(AI575="","",IF(E615="","",E615))</f>
        <v/>
      </c>
      <c r="BB615" s="136" t="str">
        <f>IF(AI575="","",IF(F615="","",F615))</f>
        <v/>
      </c>
      <c r="BC615" s="136" t="str">
        <f>IF(AI575="","",IF(G615="","",G615))</f>
        <v/>
      </c>
      <c r="BD615" s="136" t="str">
        <f>IF(AI575="","",IF(H615="","",H615))</f>
        <v/>
      </c>
      <c r="BE615" s="136" t="str">
        <f>IF(AI575="","",IF(I615="","",I615))</f>
        <v/>
      </c>
      <c r="BF615" s="136" t="str">
        <f>IF(AI575="","",IF(J615="","",J615))</f>
        <v/>
      </c>
      <c r="BG615" s="136" t="str">
        <f>IF(AI575="","",IF(K615="","",K615))</f>
        <v/>
      </c>
      <c r="BH615" s="136" t="str">
        <f>IF(AI575="","",IF(L615="","",L615))</f>
        <v/>
      </c>
      <c r="BI615" s="136" t="str">
        <f>IF(AI575="","",IF(M615="","",M615))</f>
        <v/>
      </c>
      <c r="BJ615" s="136" t="str">
        <f>IF(AI575="","",IF(N615="","",N615))</f>
        <v/>
      </c>
      <c r="BK615" s="136" t="str">
        <f>IF(AI575="","",IF(O615="","",O615))</f>
        <v/>
      </c>
      <c r="BN615" s="136" t="str">
        <f t="shared" si="341"/>
        <v>Aulas Práticas</v>
      </c>
      <c r="BO615" s="136" t="str">
        <f t="shared" si="341"/>
        <v>APA</v>
      </c>
      <c r="BP615" s="136">
        <f>IF(BO615="","",COUNTIFS(AX579:BK626,BO615)*0.5)</f>
        <v>0</v>
      </c>
      <c r="BQ615" s="136" t="str">
        <f t="shared" si="342"/>
        <v>Aulas Práticas</v>
      </c>
      <c r="BR615" s="136" t="str">
        <f t="shared" si="342"/>
        <v>APA</v>
      </c>
      <c r="BS615" s="136" t="str">
        <f t="shared" si="343"/>
        <v>Aulas Práticas</v>
      </c>
      <c r="BT615" s="136">
        <f t="shared" si="349"/>
        <v>0</v>
      </c>
      <c r="BU615" s="136">
        <f t="shared" si="350"/>
        <v>0</v>
      </c>
      <c r="CA615" s="136">
        <f>'INFO BASE'!L693</f>
        <v>0</v>
      </c>
      <c r="CB615" s="136">
        <f>'INFO BASE'!M693</f>
        <v>0</v>
      </c>
      <c r="CR615" s="177">
        <f t="shared" si="331"/>
        <v>1</v>
      </c>
      <c r="CS615" s="177">
        <f t="shared" si="332"/>
        <v>1</v>
      </c>
      <c r="CT615" s="177">
        <f t="shared" si="331"/>
        <v>1</v>
      </c>
      <c r="CU615" s="177">
        <f t="shared" si="333"/>
        <v>1</v>
      </c>
      <c r="CV615" s="177">
        <f t="shared" si="331"/>
        <v>1</v>
      </c>
      <c r="CW615" s="177">
        <f t="shared" si="334"/>
        <v>1</v>
      </c>
      <c r="CX615" s="177">
        <f t="shared" si="331"/>
        <v>1</v>
      </c>
      <c r="CY615" s="177">
        <f t="shared" si="335"/>
        <v>1</v>
      </c>
      <c r="CZ615" s="177">
        <f t="shared" si="331"/>
        <v>1</v>
      </c>
      <c r="DA615" s="177">
        <f t="shared" si="336"/>
        <v>1</v>
      </c>
      <c r="DB615" s="177">
        <f t="shared" si="331"/>
        <v>1</v>
      </c>
      <c r="DC615" s="177">
        <f t="shared" si="337"/>
        <v>1</v>
      </c>
      <c r="DD615" s="177">
        <f t="shared" si="338"/>
        <v>1</v>
      </c>
      <c r="DE615" s="177">
        <f t="shared" si="339"/>
        <v>1</v>
      </c>
    </row>
    <row r="616" spans="1:109" ht="18" customHeight="1" x14ac:dyDescent="0.3">
      <c r="A616" s="81">
        <v>0.77083333333335802</v>
      </c>
      <c r="B616" s="153"/>
      <c r="C616" s="130"/>
      <c r="D616" s="135"/>
      <c r="E616" s="130"/>
      <c r="F616" s="135"/>
      <c r="G616" s="130"/>
      <c r="H616" s="135"/>
      <c r="I616" s="130"/>
      <c r="J616" s="135"/>
      <c r="K616" s="130"/>
      <c r="L616" s="135"/>
      <c r="M616" s="130"/>
      <c r="N616" s="135"/>
      <c r="O616" s="154"/>
      <c r="P616" s="6">
        <v>0</v>
      </c>
      <c r="Q616" s="122" t="str">
        <f t="shared" si="356"/>
        <v>Aulas Teóricas</v>
      </c>
      <c r="R616" s="105" t="str">
        <f t="shared" si="348"/>
        <v>CDI</v>
      </c>
      <c r="S616" s="88">
        <f t="shared" si="345"/>
        <v>-1</v>
      </c>
      <c r="T616" s="106">
        <f>IF(VLOOKUP(Q616,'INFO BASE'!$B$40:$I$54,IF(R616='INFO BASE'!$B$32,3,IF(R616='INFO BASE'!$B$33,4,IF(R616='INFO BASE'!$B$34,5,IF(R616='INFO BASE'!$B$35,6,IF(R616='INFO BASE'!$B$36,7,IF(R616='INFO BASE'!$B$37,8,2)))))),0)=0,"",VLOOKUP(Q616,'INFO BASE'!$B$40:$I$54,IF(R616='INFO BASE'!$B$32,3,IF(R616='INFO BASE'!$B$33,4,IF(R616='INFO BASE'!$B$34,5,IF(R616='INFO BASE'!$B$35,6,IF(R616='INFO BASE'!$B$36,7,IF(R616='INFO BASE'!$B$37,8,2)))))),0))</f>
        <v>3</v>
      </c>
      <c r="U616" s="106">
        <f>(COUNTIFS(C579:C626,R616,B579:B626,R611)+COUNTIFS(E579:E626,R616,D579:D626,R611)+COUNTIFS(G579:G626,R616,F579:F626,R611)+COUNTIFS(I579:I626,R616,H579:H626,R611)+COUNTIFS(K579:K626,R616,J579:J626,R611)+COUNTIFS(M579:M626,R616,L579:L626,R611)+COUNTIFS(O579:O626,R616,N579:N626,R611))*0.5</f>
        <v>0</v>
      </c>
      <c r="V616" s="89">
        <f>(COUNTIFS(AI579:AI626,R611,AJ579:AJ626,R609)+COUNTIFS(AK579:AK626,R611,AL579:AL626,R609)+COUNTIFS(AM579:AM626,R611,AN579:AN626,R609)+COUNTIFS(AO579:AO626,R611,AP579:AP626,R609)+COUNTIFS(AQ579:AQ626,R611,AR579:AR626,R609)+COUNTIFS(AS579:AS626,R611,AT579:AT626,R609)+COUNTIFS(AU579:AU626,R611,AV579:AV626,R609))*0.5</f>
        <v>0</v>
      </c>
      <c r="W616" s="90" t="str">
        <f>IF(AH575="","-",IF(V616=0,U616,IFERROR((U616/V616)-1,"-")))</f>
        <v>-</v>
      </c>
      <c r="X616" s="201">
        <f t="shared" si="346"/>
        <v>0</v>
      </c>
      <c r="Y616" s="271"/>
      <c r="Z616" s="272"/>
      <c r="AA616" s="272"/>
      <c r="AB616" s="272"/>
      <c r="AC616" s="272"/>
      <c r="AD616" s="272"/>
      <c r="AE616" s="272"/>
      <c r="AF616" s="273"/>
      <c r="AH616" s="136">
        <v>0.77083333333335802</v>
      </c>
      <c r="AI616" s="136" t="str">
        <f>IF(AH575="","",IF(B616="","",B616))</f>
        <v/>
      </c>
      <c r="AJ616" s="136" t="str">
        <f>IF(AH575="","",IF(C616="","",C616))</f>
        <v/>
      </c>
      <c r="AK616" s="136" t="str">
        <f>IF(AH575="","",IF(D616="","",D616))</f>
        <v/>
      </c>
      <c r="AL616" s="136" t="str">
        <f>IF(AH575="","",IF(E616="","",E616))</f>
        <v/>
      </c>
      <c r="AM616" s="136" t="str">
        <f>IF(AH575="","",IF(F616="","",F616))</f>
        <v/>
      </c>
      <c r="AN616" s="136" t="str">
        <f>IF(AH575="","",IF(G616="","",G616))</f>
        <v/>
      </c>
      <c r="AO616" s="136" t="str">
        <f>IF(AH575="","",IF(H616="","",H616))</f>
        <v/>
      </c>
      <c r="AP616" s="136" t="str">
        <f>IF(AH575="","",IF(I616="","",I616))</f>
        <v/>
      </c>
      <c r="AQ616" s="136" t="str">
        <f>IF(AH575="","",IF(J616="","",J616))</f>
        <v/>
      </c>
      <c r="AR616" s="136" t="str">
        <f>IF(AH575="","",IF(K616="","",K616))</f>
        <v/>
      </c>
      <c r="AS616" s="136" t="str">
        <f>IF(AH575="","",IF(L616="","",L616))</f>
        <v/>
      </c>
      <c r="AT616" s="136" t="str">
        <f>IF(AH575="","",IF(M616="","",M616))</f>
        <v/>
      </c>
      <c r="AU616" s="136" t="str">
        <f>IF(AH575="","",IF(N616="","",N616))</f>
        <v/>
      </c>
      <c r="AV616" s="136" t="str">
        <f>IF(AH575="","",IF(O616="","",O616))</f>
        <v/>
      </c>
      <c r="AX616" s="136" t="str">
        <f>IF(AI575="","",IF(B616="","",B616))</f>
        <v/>
      </c>
      <c r="AY616" s="136" t="str">
        <f>IF(AI575="","",IF(C616="","",C616))</f>
        <v/>
      </c>
      <c r="AZ616" s="136" t="str">
        <f>IF(AI575="","",IF(D616="","",D616))</f>
        <v/>
      </c>
      <c r="BA616" s="136" t="str">
        <f>IF(AI575="","",IF(E616="","",E616))</f>
        <v/>
      </c>
      <c r="BB616" s="136" t="str">
        <f>IF(AI575="","",IF(F616="","",F616))</f>
        <v/>
      </c>
      <c r="BC616" s="136" t="str">
        <f>IF(AI575="","",IF(G616="","",G616))</f>
        <v/>
      </c>
      <c r="BD616" s="136" t="str">
        <f>IF(AI575="","",IF(H616="","",H616))</f>
        <v/>
      </c>
      <c r="BE616" s="136" t="str">
        <f>IF(AI575="","",IF(I616="","",I616))</f>
        <v/>
      </c>
      <c r="BF616" s="136" t="str">
        <f>IF(AI575="","",IF(J616="","",J616))</f>
        <v/>
      </c>
      <c r="BG616" s="136" t="str">
        <f>IF(AI575="","",IF(K616="","",K616))</f>
        <v/>
      </c>
      <c r="BH616" s="136" t="str">
        <f>IF(AI575="","",IF(L616="","",L616))</f>
        <v/>
      </c>
      <c r="BI616" s="136" t="str">
        <f>IF(AI575="","",IF(M616="","",M616))</f>
        <v/>
      </c>
      <c r="BJ616" s="136" t="str">
        <f>IF(AI575="","",IF(N616="","",N616))</f>
        <v/>
      </c>
      <c r="BK616" s="136" t="str">
        <f>IF(AI575="","",IF(O616="","",O616))</f>
        <v/>
      </c>
      <c r="BN616" s="136" t="str">
        <f t="shared" si="341"/>
        <v>Aulas Problemas</v>
      </c>
      <c r="BO616" s="136" t="str">
        <f t="shared" si="341"/>
        <v>APB</v>
      </c>
      <c r="BP616" s="136">
        <f>IF(BO616="","",COUNTIFS(AX579:BK626,BO616)*0.5)</f>
        <v>0</v>
      </c>
      <c r="BQ616" s="136" t="str">
        <f t="shared" si="342"/>
        <v>Aulas Problemas</v>
      </c>
      <c r="BR616" s="136" t="str">
        <f t="shared" si="342"/>
        <v>APB</v>
      </c>
      <c r="BS616" s="136" t="str">
        <f t="shared" si="343"/>
        <v>Aulas Problemas</v>
      </c>
      <c r="BT616" s="136">
        <f t="shared" si="349"/>
        <v>36</v>
      </c>
      <c r="BU616" s="136">
        <f t="shared" si="350"/>
        <v>36</v>
      </c>
      <c r="CR616" s="177">
        <f t="shared" si="331"/>
        <v>1</v>
      </c>
      <c r="CS616" s="177">
        <f t="shared" si="332"/>
        <v>1</v>
      </c>
      <c r="CT616" s="177">
        <f t="shared" si="331"/>
        <v>1</v>
      </c>
      <c r="CU616" s="177">
        <f t="shared" si="333"/>
        <v>1</v>
      </c>
      <c r="CV616" s="177">
        <f t="shared" si="331"/>
        <v>1</v>
      </c>
      <c r="CW616" s="177">
        <f t="shared" si="334"/>
        <v>1</v>
      </c>
      <c r="CX616" s="177">
        <f t="shared" si="331"/>
        <v>1</v>
      </c>
      <c r="CY616" s="177">
        <f t="shared" si="335"/>
        <v>1</v>
      </c>
      <c r="CZ616" s="177">
        <f t="shared" si="331"/>
        <v>1</v>
      </c>
      <c r="DA616" s="177">
        <f t="shared" si="336"/>
        <v>1</v>
      </c>
      <c r="DB616" s="177">
        <f t="shared" si="331"/>
        <v>1</v>
      </c>
      <c r="DC616" s="177">
        <f t="shared" si="337"/>
        <v>1</v>
      </c>
      <c r="DD616" s="177">
        <f t="shared" si="338"/>
        <v>1</v>
      </c>
      <c r="DE616" s="177">
        <f t="shared" si="339"/>
        <v>1</v>
      </c>
    </row>
    <row r="617" spans="1:109" ht="18" customHeight="1" thickBot="1" x14ac:dyDescent="0.35">
      <c r="A617" s="81">
        <v>0.79166666666669205</v>
      </c>
      <c r="B617" s="153"/>
      <c r="C617" s="130"/>
      <c r="D617" s="135"/>
      <c r="E617" s="130"/>
      <c r="F617" s="135"/>
      <c r="G617" s="130"/>
      <c r="H617" s="135"/>
      <c r="I617" s="130"/>
      <c r="J617" s="135"/>
      <c r="K617" s="130"/>
      <c r="L617" s="135"/>
      <c r="M617" s="130"/>
      <c r="N617" s="135"/>
      <c r="O617" s="154"/>
      <c r="P617" s="6">
        <v>0</v>
      </c>
      <c r="Q617" s="124" t="str">
        <f t="shared" si="356"/>
        <v>Aulas Teóricas</v>
      </c>
      <c r="R617" s="107" t="str">
        <f t="shared" si="348"/>
        <v/>
      </c>
      <c r="S617" s="94" t="str">
        <f t="shared" si="345"/>
        <v>-</v>
      </c>
      <c r="T617" s="108" t="str">
        <f>IF(VLOOKUP(Q617,'INFO BASE'!$B$40:$I$54,IF(R617='INFO BASE'!$B$32,3,IF(R617='INFO BASE'!$B$33,4,IF(R617='INFO BASE'!$B$34,5,IF(R617='INFO BASE'!$B$35,6,IF(R617='INFO BASE'!$B$36,7,IF(R617='INFO BASE'!$B$37,8,2)))))),0)=0,"",VLOOKUP(Q617,'INFO BASE'!$B$40:$I$54,IF(R617='INFO BASE'!$B$32,3,IF(R617='INFO BASE'!$B$33,4,IF(R617='INFO BASE'!$B$34,5,IF(R617='INFO BASE'!$B$35,6,IF(R617='INFO BASE'!$B$36,7,IF(R617='INFO BASE'!$B$37,8,2)))))),0))</f>
        <v/>
      </c>
      <c r="U617" s="108">
        <f>(COUNTIFS(C579:C626,R617,B579:B626,R611)+COUNTIFS(E579:E626,R617,D579:D626,R611)+COUNTIFS(G579:G626,R617,F579:F626,R611)+COUNTIFS(I579:I626,R617,H579:H626,R611)+COUNTIFS(K579:K626,R617,J579:J626,R611)+COUNTIFS(M579:M626,R617,L579:L626,R611)+COUNTIFS(O579:O626,R617,N579:N626,R611))*0.5</f>
        <v>0</v>
      </c>
      <c r="V617" s="95">
        <f>(COUNTIFS(AI579:AI626,R611,AJ579:AJ626,R610)+COUNTIFS(AK579:AK626,R611,AL579:AL626,R610)+COUNTIFS(AM579:AM626,R611,AN579:AN626,R610)+COUNTIFS(AO579:AO626,R611,AP579:AP626,R610)+COUNTIFS(AQ579:AQ626,R611,AR579:AR626,R610)+COUNTIFS(AS579:AS626,R611,AT579:AT626,R610)+COUNTIFS(AU579:AU626,R611,AV579:AV626,R610))*0.5</f>
        <v>0</v>
      </c>
      <c r="W617" s="96" t="str">
        <f>IF(AH575="","-",IF(V617=0,U617,IFERROR((U617/V617)-1,"-")))</f>
        <v>-</v>
      </c>
      <c r="X617" s="201">
        <f t="shared" si="346"/>
        <v>0</v>
      </c>
      <c r="Y617" s="274"/>
      <c r="Z617" s="275"/>
      <c r="AA617" s="275"/>
      <c r="AB617" s="275"/>
      <c r="AC617" s="275"/>
      <c r="AD617" s="275"/>
      <c r="AE617" s="275"/>
      <c r="AF617" s="276"/>
      <c r="AH617" s="136">
        <v>0.79166666666669205</v>
      </c>
      <c r="AI617" s="136" t="str">
        <f>IF(AH575="","",IF(B617="","",B617))</f>
        <v/>
      </c>
      <c r="AJ617" s="136" t="str">
        <f>IF(AH575="","",IF(C617="","",C617))</f>
        <v/>
      </c>
      <c r="AK617" s="136" t="str">
        <f>IF(AH575="","",IF(D617="","",D617))</f>
        <v/>
      </c>
      <c r="AL617" s="136" t="str">
        <f>IF(AH575="","",IF(E617="","",E617))</f>
        <v/>
      </c>
      <c r="AM617" s="136" t="str">
        <f>IF(AH575="","",IF(F617="","",F617))</f>
        <v/>
      </c>
      <c r="AN617" s="136" t="str">
        <f>IF(AH575="","",IF(G617="","",G617))</f>
        <v/>
      </c>
      <c r="AO617" s="136" t="str">
        <f>IF(AH575="","",IF(H617="","",H617))</f>
        <v/>
      </c>
      <c r="AP617" s="136" t="str">
        <f>IF(AH575="","",IF(I617="","",I617))</f>
        <v/>
      </c>
      <c r="AQ617" s="136" t="str">
        <f>IF(AH575="","",IF(J617="","",J617))</f>
        <v/>
      </c>
      <c r="AR617" s="136" t="str">
        <f>IF(AH575="","",IF(K617="","",K617))</f>
        <v/>
      </c>
      <c r="AS617" s="136" t="str">
        <f>IF(AH575="","",IF(L617="","",L617))</f>
        <v/>
      </c>
      <c r="AT617" s="136" t="str">
        <f>IF(AH575="","",IF(M617="","",M617))</f>
        <v/>
      </c>
      <c r="AU617" s="136" t="str">
        <f>IF(AH575="","",IF(N617="","",N617))</f>
        <v/>
      </c>
      <c r="AV617" s="136" t="str">
        <f>IF(AH575="","",IF(O617="","",O617))</f>
        <v/>
      </c>
      <c r="AX617" s="136" t="str">
        <f>IF(AI575="","",IF(B617="","",B617))</f>
        <v/>
      </c>
      <c r="AY617" s="136" t="str">
        <f>IF(AI575="","",IF(C617="","",C617))</f>
        <v/>
      </c>
      <c r="AZ617" s="136" t="str">
        <f>IF(AI575="","",IF(D617="","",D617))</f>
        <v/>
      </c>
      <c r="BA617" s="136" t="str">
        <f>IF(AI575="","",IF(E617="","",E617))</f>
        <v/>
      </c>
      <c r="BB617" s="136" t="str">
        <f>IF(AI575="","",IF(F617="","",F617))</f>
        <v/>
      </c>
      <c r="BC617" s="136" t="str">
        <f>IF(AI575="","",IF(G617="","",G617))</f>
        <v/>
      </c>
      <c r="BD617" s="136" t="str">
        <f>IF(AI575="","",IF(H617="","",H617))</f>
        <v/>
      </c>
      <c r="BE617" s="136" t="str">
        <f>IF(AI575="","",IF(I617="","",I617))</f>
        <v/>
      </c>
      <c r="BF617" s="136" t="str">
        <f>IF(AI575="","",IF(J617="","",J617))</f>
        <v/>
      </c>
      <c r="BG617" s="136" t="str">
        <f>IF(AI575="","",IF(K617="","",K617))</f>
        <v/>
      </c>
      <c r="BH617" s="136" t="str">
        <f>IF(AI575="","",IF(L617="","",L617))</f>
        <v/>
      </c>
      <c r="BI617" s="136" t="str">
        <f>IF(AI575="","",IF(M617="","",M617))</f>
        <v/>
      </c>
      <c r="BJ617" s="136" t="str">
        <f>IF(AI575="","",IF(N617="","",N617))</f>
        <v/>
      </c>
      <c r="BK617" s="136" t="str">
        <f>IF(AI575="","",IF(O617="","",O617))</f>
        <v/>
      </c>
      <c r="BN617" s="136" t="str">
        <f t="shared" si="341"/>
        <v>Laboratórios</v>
      </c>
      <c r="BO617" s="136" t="str">
        <f t="shared" si="341"/>
        <v>LAB</v>
      </c>
      <c r="BP617" s="136">
        <f>IF(BO617="","",COUNTIFS(AX579:BK626,BO617)*0.5)</f>
        <v>0</v>
      </c>
      <c r="BQ617" s="136" t="str">
        <f t="shared" si="342"/>
        <v>Laboratórios</v>
      </c>
      <c r="BR617" s="136" t="str">
        <f t="shared" si="342"/>
        <v>LAB</v>
      </c>
      <c r="BS617" s="136" t="str">
        <f t="shared" si="343"/>
        <v>Laboratórios</v>
      </c>
      <c r="BT617" s="136">
        <f t="shared" si="349"/>
        <v>10.5</v>
      </c>
      <c r="BU617" s="136">
        <f t="shared" si="350"/>
        <v>10.5</v>
      </c>
      <c r="CA617" s="136">
        <f>'INFO BASE'!L694</f>
        <v>0</v>
      </c>
      <c r="CB617" s="136">
        <f>'INFO BASE'!M694</f>
        <v>0</v>
      </c>
      <c r="CR617" s="177">
        <f t="shared" si="331"/>
        <v>1</v>
      </c>
      <c r="CS617" s="177">
        <f t="shared" si="332"/>
        <v>1</v>
      </c>
      <c r="CT617" s="177">
        <f t="shared" si="331"/>
        <v>1</v>
      </c>
      <c r="CU617" s="177">
        <f t="shared" si="333"/>
        <v>1</v>
      </c>
      <c r="CV617" s="177">
        <f t="shared" si="331"/>
        <v>1</v>
      </c>
      <c r="CW617" s="177">
        <f t="shared" si="334"/>
        <v>1</v>
      </c>
      <c r="CX617" s="177">
        <f t="shared" si="331"/>
        <v>1</v>
      </c>
      <c r="CY617" s="177">
        <f t="shared" si="335"/>
        <v>1</v>
      </c>
      <c r="CZ617" s="177">
        <f t="shared" si="331"/>
        <v>1</v>
      </c>
      <c r="DA617" s="177">
        <f t="shared" si="336"/>
        <v>1</v>
      </c>
      <c r="DB617" s="177">
        <f t="shared" si="331"/>
        <v>1</v>
      </c>
      <c r="DC617" s="177">
        <f t="shared" si="337"/>
        <v>1</v>
      </c>
      <c r="DD617" s="177">
        <f t="shared" si="338"/>
        <v>1</v>
      </c>
      <c r="DE617" s="177">
        <f t="shared" si="339"/>
        <v>1</v>
      </c>
    </row>
    <row r="618" spans="1:109" ht="18" customHeight="1" x14ac:dyDescent="0.3">
      <c r="A618" s="81">
        <v>0.81250000000002598</v>
      </c>
      <c r="B618" s="153"/>
      <c r="C618" s="130"/>
      <c r="D618" s="135"/>
      <c r="E618" s="130"/>
      <c r="F618" s="135"/>
      <c r="G618" s="130"/>
      <c r="H618" s="135"/>
      <c r="I618" s="130"/>
      <c r="J618" s="135"/>
      <c r="K618" s="130"/>
      <c r="L618" s="135"/>
      <c r="M618" s="130"/>
      <c r="N618" s="135"/>
      <c r="O618" s="154"/>
      <c r="P618" s="6">
        <v>0</v>
      </c>
      <c r="Q618" s="97" t="str">
        <f>IF('INFO BASE'!$C$21="","",'INFO BASE'!$C$21)</f>
        <v>Aulas Práticas</v>
      </c>
      <c r="R618" s="82" t="str">
        <f t="shared" si="348"/>
        <v>APA</v>
      </c>
      <c r="S618" s="83" t="str">
        <f t="shared" si="345"/>
        <v>-</v>
      </c>
      <c r="T618" s="98" t="str">
        <f>IF(VLOOKUP(Q618,'INFO BASE'!$B$40:$I$54,IF(R618='INFO BASE'!$B$32,3,IF(R618='INFO BASE'!$B$33,4,IF(R618='INFO BASE'!$B$34,5,IF(R618='INFO BASE'!$B$35,6,IF(R618='INFO BASE'!$B$36,7,IF(R618='INFO BASE'!$B$37,8,2)))))),0)=0,"",VLOOKUP(Q618,'INFO BASE'!$B$40:$I$54,IF(R618='INFO BASE'!$B$32,3,IF(R618='INFO BASE'!$B$33,4,IF(R618='INFO BASE'!$B$34,5,IF(R618='INFO BASE'!$B$35,6,IF(R618='INFO BASE'!$B$36,7,IF(R618='INFO BASE'!$B$37,8,2)))))),0))</f>
        <v/>
      </c>
      <c r="U618" s="84">
        <f t="shared" ref="U618:U626" si="357">IF(R618="","",COUNTIFS(SEMANA11,R618)*0.5)</f>
        <v>0</v>
      </c>
      <c r="V618" s="84">
        <f>IF(R618="","",COUNTIFS(AI579:AV626,R618)*0.5)</f>
        <v>0</v>
      </c>
      <c r="W618" s="85" t="str">
        <f>IF(AH575="","-",IF(V618=0,U618,IFERROR((U618/V618)-1,"-")))</f>
        <v>-</v>
      </c>
      <c r="X618" s="201">
        <f t="shared" si="346"/>
        <v>0</v>
      </c>
      <c r="Y618" s="277"/>
      <c r="Z618" s="278"/>
      <c r="AA618" s="278"/>
      <c r="AB618" s="278"/>
      <c r="AC618" s="278"/>
      <c r="AD618" s="278"/>
      <c r="AE618" s="278"/>
      <c r="AF618" s="279"/>
      <c r="AH618" s="136">
        <v>0.81250000000002598</v>
      </c>
      <c r="AI618" s="136" t="str">
        <f>IF(AH575="","",IF(B618="","",B618))</f>
        <v/>
      </c>
      <c r="AJ618" s="136" t="str">
        <f>IF(AH575="","",IF(C618="","",C618))</f>
        <v/>
      </c>
      <c r="AK618" s="136" t="str">
        <f>IF(AH575="","",IF(D618="","",D618))</f>
        <v/>
      </c>
      <c r="AL618" s="136" t="str">
        <f>IF(AH575="","",IF(E618="","",E618))</f>
        <v/>
      </c>
      <c r="AM618" s="136" t="str">
        <f>IF(AH575="","",IF(F618="","",F618))</f>
        <v/>
      </c>
      <c r="AN618" s="136" t="str">
        <f>IF(AH575="","",IF(G618="","",G618))</f>
        <v/>
      </c>
      <c r="AO618" s="136" t="str">
        <f>IF(AH575="","",IF(H618="","",H618))</f>
        <v/>
      </c>
      <c r="AP618" s="136" t="str">
        <f>IF(AH575="","",IF(I618="","",I618))</f>
        <v/>
      </c>
      <c r="AQ618" s="136" t="str">
        <f>IF(AH575="","",IF(J618="","",J618))</f>
        <v/>
      </c>
      <c r="AR618" s="136" t="str">
        <f>IF(AH575="","",IF(K618="","",K618))</f>
        <v/>
      </c>
      <c r="AS618" s="136" t="str">
        <f>IF(AH575="","",IF(L618="","",L618))</f>
        <v/>
      </c>
      <c r="AT618" s="136" t="str">
        <f>IF(AH575="","",IF(M618="","",M618))</f>
        <v/>
      </c>
      <c r="AU618" s="136" t="str">
        <f>IF(AH575="","",IF(N618="","",N618))</f>
        <v/>
      </c>
      <c r="AV618" s="136" t="str">
        <f>IF(AH575="","",IF(O618="","",O618))</f>
        <v/>
      </c>
      <c r="AX618" s="136" t="str">
        <f>IF(AI575="","",IF(B618="","",B618))</f>
        <v/>
      </c>
      <c r="AY618" s="136" t="str">
        <f>IF(AI575="","",IF(C618="","",C618))</f>
        <v/>
      </c>
      <c r="AZ618" s="136" t="str">
        <f>IF(AI575="","",IF(D618="","",D618))</f>
        <v/>
      </c>
      <c r="BA618" s="136" t="str">
        <f>IF(AI575="","",IF(E618="","",E618))</f>
        <v/>
      </c>
      <c r="BB618" s="136" t="str">
        <f>IF(AI575="","",IF(F618="","",F618))</f>
        <v/>
      </c>
      <c r="BC618" s="136" t="str">
        <f>IF(AI575="","",IF(G618="","",G618))</f>
        <v/>
      </c>
      <c r="BD618" s="136" t="str">
        <f>IF(AI575="","",IF(H618="","",H618))</f>
        <v/>
      </c>
      <c r="BE618" s="136" t="str">
        <f>IF(AI575="","",IF(I618="","",I618))</f>
        <v/>
      </c>
      <c r="BF618" s="136" t="str">
        <f>IF(AI575="","",IF(J618="","",J618))</f>
        <v/>
      </c>
      <c r="BG618" s="136" t="str">
        <f>IF(AI575="","",IF(K618="","",K618))</f>
        <v/>
      </c>
      <c r="BH618" s="136" t="str">
        <f>IF(AI575="","",IF(L618="","",L618))</f>
        <v/>
      </c>
      <c r="BI618" s="136" t="str">
        <f>IF(AI575="","",IF(M618="","",M618))</f>
        <v/>
      </c>
      <c r="BJ618" s="136" t="str">
        <f>IF(AI575="","",IF(N618="","",N618))</f>
        <v/>
      </c>
      <c r="BK618" s="136" t="str">
        <f>IF(AI575="","",IF(O618="","",O618))</f>
        <v/>
      </c>
      <c r="BN618" s="136" t="str">
        <f t="shared" si="341"/>
        <v>Momento Avaliativo</v>
      </c>
      <c r="BO618" s="136" t="str">
        <f t="shared" si="341"/>
        <v>MA</v>
      </c>
      <c r="BP618" s="136">
        <f>IF(BO618="","",COUNTIFS(AX579:BK626,BO618)*0.5)</f>
        <v>0</v>
      </c>
      <c r="BQ618" s="136" t="str">
        <f t="shared" si="342"/>
        <v>Momento Avaliativo</v>
      </c>
      <c r="BR618" s="136" t="str">
        <f t="shared" si="342"/>
        <v>MA</v>
      </c>
      <c r="BS618" s="136" t="str">
        <f t="shared" si="343"/>
        <v>Momento Avaliativo</v>
      </c>
      <c r="BT618" s="136">
        <f t="shared" si="349"/>
        <v>1.5</v>
      </c>
      <c r="BU618" s="136">
        <f t="shared" si="350"/>
        <v>1.5</v>
      </c>
      <c r="CA618" s="136">
        <f>'INFO BASE'!L695</f>
        <v>0</v>
      </c>
      <c r="CB618" s="136">
        <f>'INFO BASE'!M695</f>
        <v>0</v>
      </c>
      <c r="CR618" s="177">
        <f t="shared" si="331"/>
        <v>1</v>
      </c>
      <c r="CS618" s="177">
        <f t="shared" si="332"/>
        <v>1</v>
      </c>
      <c r="CT618" s="177">
        <f t="shared" si="331"/>
        <v>1</v>
      </c>
      <c r="CU618" s="177">
        <f t="shared" si="333"/>
        <v>1</v>
      </c>
      <c r="CV618" s="177">
        <f t="shared" si="331"/>
        <v>1</v>
      </c>
      <c r="CW618" s="177">
        <f t="shared" si="334"/>
        <v>1</v>
      </c>
      <c r="CX618" s="177">
        <f t="shared" si="331"/>
        <v>1</v>
      </c>
      <c r="CY618" s="177">
        <f t="shared" si="335"/>
        <v>1</v>
      </c>
      <c r="CZ618" s="177">
        <f t="shared" si="331"/>
        <v>1</v>
      </c>
      <c r="DA618" s="177">
        <f t="shared" si="336"/>
        <v>1</v>
      </c>
      <c r="DB618" s="177">
        <f t="shared" si="331"/>
        <v>1</v>
      </c>
      <c r="DC618" s="177">
        <f t="shared" si="337"/>
        <v>1</v>
      </c>
      <c r="DD618" s="177">
        <f t="shared" si="338"/>
        <v>1</v>
      </c>
      <c r="DE618" s="177">
        <f t="shared" si="339"/>
        <v>1</v>
      </c>
    </row>
    <row r="619" spans="1:109" ht="18" customHeight="1" x14ac:dyDescent="0.3">
      <c r="A619" s="81">
        <v>0.83333333333336002</v>
      </c>
      <c r="B619" s="153"/>
      <c r="C619" s="130"/>
      <c r="D619" s="135"/>
      <c r="E619" s="130"/>
      <c r="F619" s="135"/>
      <c r="G619" s="130"/>
      <c r="H619" s="135"/>
      <c r="I619" s="130"/>
      <c r="J619" s="135"/>
      <c r="K619" s="130"/>
      <c r="L619" s="135"/>
      <c r="M619" s="130"/>
      <c r="N619" s="135"/>
      <c r="O619" s="154"/>
      <c r="P619" s="6">
        <v>0</v>
      </c>
      <c r="Q619" s="99" t="str">
        <f>IF('INFO BASE'!$C$22="","",'INFO BASE'!$C$22)</f>
        <v>Aulas Problemas</v>
      </c>
      <c r="R619" s="87" t="str">
        <f t="shared" si="348"/>
        <v>APB</v>
      </c>
      <c r="S619" s="88">
        <f t="shared" si="345"/>
        <v>-1</v>
      </c>
      <c r="T619" s="100">
        <f>IF(VLOOKUP(Q619,'INFO BASE'!$B$40:$I$54,IF(R619='INFO BASE'!$B$32,3,IF(R619='INFO BASE'!$B$33,4,IF(R619='INFO BASE'!$B$34,5,IF(R619='INFO BASE'!$B$35,6,IF(R619='INFO BASE'!$B$36,7,IF(R619='INFO BASE'!$B$37,8,2)))))),0)=0,"",VLOOKUP(Q619,'INFO BASE'!$B$40:$I$54,IF(R619='INFO BASE'!$B$32,3,IF(R619='INFO BASE'!$B$33,4,IF(R619='INFO BASE'!$B$34,5,IF(R619='INFO BASE'!$B$35,6,IF(R619='INFO BASE'!$B$36,7,IF(R619='INFO BASE'!$B$37,8,2)))))),0))</f>
        <v>6</v>
      </c>
      <c r="U619" s="89">
        <f t="shared" si="357"/>
        <v>0</v>
      </c>
      <c r="V619" s="100">
        <f>IF(R619="","",COUNTIFS(AI579:AV626,R619)*0.5)</f>
        <v>0</v>
      </c>
      <c r="W619" s="90" t="str">
        <f>IF(AH575="","-",IF(V619=0,U619,IFERROR((U619/V619)-1,"-")))</f>
        <v>-</v>
      </c>
      <c r="X619" s="201">
        <f t="shared" si="346"/>
        <v>0</v>
      </c>
      <c r="Y619" s="271"/>
      <c r="Z619" s="272"/>
      <c r="AA619" s="272"/>
      <c r="AB619" s="272"/>
      <c r="AC619" s="272"/>
      <c r="AD619" s="272"/>
      <c r="AE619" s="272"/>
      <c r="AF619" s="273"/>
      <c r="AH619" s="136">
        <v>0.83333333333336002</v>
      </c>
      <c r="AI619" s="136" t="str">
        <f>IF(AH575="","",IF(B619="","",B619))</f>
        <v/>
      </c>
      <c r="AJ619" s="136" t="str">
        <f>IF(AH575="","",IF(C619="","",C619))</f>
        <v/>
      </c>
      <c r="AK619" s="136" t="str">
        <f>IF(AH575="","",IF(D619="","",D619))</f>
        <v/>
      </c>
      <c r="AL619" s="136" t="str">
        <f>IF(AH575="","",IF(E619="","",E619))</f>
        <v/>
      </c>
      <c r="AM619" s="136" t="str">
        <f>IF(AH575="","",IF(F619="","",F619))</f>
        <v/>
      </c>
      <c r="AN619" s="136" t="str">
        <f>IF(AH575="","",IF(G619="","",G619))</f>
        <v/>
      </c>
      <c r="AO619" s="136" t="str">
        <f>IF(AH575="","",IF(H619="","",H619))</f>
        <v/>
      </c>
      <c r="AP619" s="136" t="str">
        <f>IF(AH575="","",IF(I619="","",I619))</f>
        <v/>
      </c>
      <c r="AQ619" s="136" t="str">
        <f>IF(AH575="","",IF(J619="","",J619))</f>
        <v/>
      </c>
      <c r="AR619" s="136" t="str">
        <f>IF(AH575="","",IF(K619="","",K619))</f>
        <v/>
      </c>
      <c r="AS619" s="136" t="str">
        <f>IF(AH575="","",IF(L619="","",L619))</f>
        <v/>
      </c>
      <c r="AT619" s="136" t="str">
        <f>IF(AH575="","",IF(M619="","",M619))</f>
        <v/>
      </c>
      <c r="AU619" s="136" t="str">
        <f>IF(AH575="","",IF(N619="","",N619))</f>
        <v/>
      </c>
      <c r="AV619" s="136" t="str">
        <f>IF(AH575="","",IF(O619="","",O619))</f>
        <v/>
      </c>
      <c r="AX619" s="136" t="str">
        <f>IF(AI575="","",IF(B619="","",B619))</f>
        <v/>
      </c>
      <c r="AY619" s="136" t="str">
        <f>IF(AI575="","",IF(C619="","",C619))</f>
        <v/>
      </c>
      <c r="AZ619" s="136" t="str">
        <f>IF(AI575="","",IF(D619="","",D619))</f>
        <v/>
      </c>
      <c r="BA619" s="136" t="str">
        <f>IF(AI575="","",IF(E619="","",E619))</f>
        <v/>
      </c>
      <c r="BB619" s="136" t="str">
        <f>IF(AI575="","",IF(F619="","",F619))</f>
        <v/>
      </c>
      <c r="BC619" s="136" t="str">
        <f>IF(AI575="","",IF(G619="","",G619))</f>
        <v/>
      </c>
      <c r="BD619" s="136" t="str">
        <f>IF(AI575="","",IF(H619="","",H619))</f>
        <v/>
      </c>
      <c r="BE619" s="136" t="str">
        <f>IF(AI575="","",IF(I619="","",I619))</f>
        <v/>
      </c>
      <c r="BF619" s="136" t="str">
        <f>IF(AI575="","",IF(J619="","",J619))</f>
        <v/>
      </c>
      <c r="BG619" s="136" t="str">
        <f>IF(AI575="","",IF(K619="","",K619))</f>
        <v/>
      </c>
      <c r="BH619" s="136" t="str">
        <f>IF(AI575="","",IF(L619="","",L619))</f>
        <v/>
      </c>
      <c r="BI619" s="136" t="str">
        <f>IF(AI575="","",IF(M619="","",M619))</f>
        <v/>
      </c>
      <c r="BJ619" s="136" t="str">
        <f>IF(AI575="","",IF(N619="","",N619))</f>
        <v/>
      </c>
      <c r="BK619" s="136" t="str">
        <f>IF(AI575="","",IF(O619="","",O619))</f>
        <v/>
      </c>
      <c r="BN619" s="136" t="str">
        <f t="shared" si="341"/>
        <v>Horário de Dúvidas</v>
      </c>
      <c r="BO619" s="136" t="str">
        <f t="shared" si="341"/>
        <v>HDV</v>
      </c>
      <c r="BP619" s="136">
        <f>IF(BO619="","",COUNTIFS(AX579:BK626,BO619)*0.5)</f>
        <v>0</v>
      </c>
      <c r="BQ619" s="136" t="str">
        <f t="shared" si="342"/>
        <v>Horário de Dúvidas</v>
      </c>
      <c r="BR619" s="136" t="str">
        <f t="shared" si="342"/>
        <v>HDV</v>
      </c>
      <c r="BS619" s="136" t="str">
        <f t="shared" si="343"/>
        <v>Horário de Dúvidas</v>
      </c>
      <c r="BT619" s="136">
        <f t="shared" si="349"/>
        <v>0</v>
      </c>
      <c r="BU619" s="136">
        <f t="shared" si="350"/>
        <v>0</v>
      </c>
      <c r="CA619" s="136">
        <f>'INFO BASE'!L696</f>
        <v>0</v>
      </c>
      <c r="CB619" s="136">
        <f>'INFO BASE'!M696</f>
        <v>0</v>
      </c>
      <c r="CR619" s="177">
        <f t="shared" si="331"/>
        <v>1</v>
      </c>
      <c r="CS619" s="177">
        <f t="shared" si="332"/>
        <v>1</v>
      </c>
      <c r="CT619" s="177">
        <f t="shared" si="331"/>
        <v>1</v>
      </c>
      <c r="CU619" s="177">
        <f t="shared" si="333"/>
        <v>1</v>
      </c>
      <c r="CV619" s="177">
        <f t="shared" si="331"/>
        <v>1</v>
      </c>
      <c r="CW619" s="177">
        <f t="shared" si="334"/>
        <v>1</v>
      </c>
      <c r="CX619" s="177">
        <f t="shared" si="331"/>
        <v>1</v>
      </c>
      <c r="CY619" s="177">
        <f t="shared" si="335"/>
        <v>1</v>
      </c>
      <c r="CZ619" s="177">
        <f t="shared" si="331"/>
        <v>1</v>
      </c>
      <c r="DA619" s="177">
        <f t="shared" si="336"/>
        <v>1</v>
      </c>
      <c r="DB619" s="177">
        <f t="shared" si="331"/>
        <v>1</v>
      </c>
      <c r="DC619" s="177">
        <f t="shared" si="337"/>
        <v>1</v>
      </c>
      <c r="DD619" s="177">
        <f t="shared" si="338"/>
        <v>1</v>
      </c>
      <c r="DE619" s="177">
        <f t="shared" si="339"/>
        <v>1</v>
      </c>
    </row>
    <row r="620" spans="1:109" ht="18" customHeight="1" thickBot="1" x14ac:dyDescent="0.35">
      <c r="A620" s="81">
        <v>0.85416666666669405</v>
      </c>
      <c r="B620" s="153"/>
      <c r="C620" s="130"/>
      <c r="D620" s="135"/>
      <c r="E620" s="130"/>
      <c r="F620" s="135"/>
      <c r="G620" s="130"/>
      <c r="H620" s="135"/>
      <c r="I620" s="130"/>
      <c r="J620" s="135"/>
      <c r="K620" s="130"/>
      <c r="L620" s="135"/>
      <c r="M620" s="130"/>
      <c r="N620" s="135"/>
      <c r="O620" s="154"/>
      <c r="P620" s="6">
        <v>0</v>
      </c>
      <c r="Q620" s="101" t="str">
        <f>IF('INFO BASE'!$C$23="","",'INFO BASE'!$C$23)</f>
        <v>Laboratórios</v>
      </c>
      <c r="R620" s="93" t="str">
        <f t="shared" si="348"/>
        <v>LAB</v>
      </c>
      <c r="S620" s="94">
        <f t="shared" si="345"/>
        <v>-1</v>
      </c>
      <c r="T620" s="95">
        <f>IF(VLOOKUP(Q620,'INFO BASE'!$B$40:$I$54,IF(R620='INFO BASE'!$B$32,3,IF(R620='INFO BASE'!$B$33,4,IF(R620='INFO BASE'!$B$34,5,IF(R620='INFO BASE'!$B$35,6,IF(R620='INFO BASE'!$B$36,7,IF(R620='INFO BASE'!$B$37,8,2)))))),0)=0,"",VLOOKUP(Q620,'INFO BASE'!$B$40:$I$54,IF(R620='INFO BASE'!$B$32,3,IF(R620='INFO BASE'!$B$33,4,IF(R620='INFO BASE'!$B$34,5,IF(R620='INFO BASE'!$B$35,6,IF(R620='INFO BASE'!$B$36,7,IF(R620='INFO BASE'!$B$37,8,2)))))),0))</f>
        <v>1.5</v>
      </c>
      <c r="U620" s="95">
        <f t="shared" si="357"/>
        <v>0</v>
      </c>
      <c r="V620" s="95">
        <f>IF(R620="","",COUNTIFS(AI579:AV626,R620)*0.5)</f>
        <v>0</v>
      </c>
      <c r="W620" s="96" t="str">
        <f>IF(AH575="","-",IF(V620=0,U620,IFERROR((U620/V620)-1,"-")))</f>
        <v>-</v>
      </c>
      <c r="X620" s="201">
        <f t="shared" si="346"/>
        <v>0</v>
      </c>
      <c r="Y620" s="271"/>
      <c r="Z620" s="272"/>
      <c r="AA620" s="272"/>
      <c r="AB620" s="272"/>
      <c r="AC620" s="272"/>
      <c r="AD620" s="272"/>
      <c r="AE620" s="272"/>
      <c r="AF620" s="273"/>
      <c r="AH620" s="136">
        <v>0.85416666666669405</v>
      </c>
      <c r="AI620" s="136" t="str">
        <f>IF(AH575="","",IF(B620="","",B620))</f>
        <v/>
      </c>
      <c r="AJ620" s="136" t="str">
        <f>IF(AH575="","",IF(C620="","",C620))</f>
        <v/>
      </c>
      <c r="AK620" s="136" t="str">
        <f>IF(AH575="","",IF(D620="","",D620))</f>
        <v/>
      </c>
      <c r="AL620" s="136" t="str">
        <f>IF(AH575="","",IF(E620="","",E620))</f>
        <v/>
      </c>
      <c r="AM620" s="136" t="str">
        <f>IF(AH575="","",IF(F620="","",F620))</f>
        <v/>
      </c>
      <c r="AN620" s="136" t="str">
        <f>IF(AH575="","",IF(G620="","",G620))</f>
        <v/>
      </c>
      <c r="AO620" s="136" t="str">
        <f>IF(AH575="","",IF(H620="","",H620))</f>
        <v/>
      </c>
      <c r="AP620" s="136" t="str">
        <f>IF(AH575="","",IF(I620="","",I620))</f>
        <v/>
      </c>
      <c r="AQ620" s="136" t="str">
        <f>IF(AH575="","",IF(J620="","",J620))</f>
        <v/>
      </c>
      <c r="AR620" s="136" t="str">
        <f>IF(AH575="","",IF(K620="","",K620))</f>
        <v/>
      </c>
      <c r="AS620" s="136" t="str">
        <f>IF(AH575="","",IF(L620="","",L620))</f>
        <v/>
      </c>
      <c r="AT620" s="136" t="str">
        <f>IF(AH575="","",IF(M620="","",M620))</f>
        <v/>
      </c>
      <c r="AU620" s="136" t="str">
        <f>IF(AH575="","",IF(N620="","",N620))</f>
        <v/>
      </c>
      <c r="AV620" s="136" t="str">
        <f>IF(AH575="","",IF(O620="","",O620))</f>
        <v/>
      </c>
      <c r="AX620" s="136" t="str">
        <f>IF(AI575="","",IF(B620="","",B620))</f>
        <v/>
      </c>
      <c r="AY620" s="136" t="str">
        <f>IF(AI575="","",IF(C620="","",C620))</f>
        <v/>
      </c>
      <c r="AZ620" s="136" t="str">
        <f>IF(AI575="","",IF(D620="","",D620))</f>
        <v/>
      </c>
      <c r="BA620" s="136" t="str">
        <f>IF(AI575="","",IF(E620="","",E620))</f>
        <v/>
      </c>
      <c r="BB620" s="136" t="str">
        <f>IF(AI575="","",IF(F620="","",F620))</f>
        <v/>
      </c>
      <c r="BC620" s="136" t="str">
        <f>IF(AI575="","",IF(G620="","",G620))</f>
        <v/>
      </c>
      <c r="BD620" s="136" t="str">
        <f>IF(AI575="","",IF(H620="","",H620))</f>
        <v/>
      </c>
      <c r="BE620" s="136" t="str">
        <f>IF(AI575="","",IF(I620="","",I620))</f>
        <v/>
      </c>
      <c r="BF620" s="136" t="str">
        <f>IF(AI575="","",IF(J620="","",J620))</f>
        <v/>
      </c>
      <c r="BG620" s="136" t="str">
        <f>IF(AI575="","",IF(K620="","",K620))</f>
        <v/>
      </c>
      <c r="BH620" s="136" t="str">
        <f>IF(AI575="","",IF(L620="","",L620))</f>
        <v/>
      </c>
      <c r="BI620" s="136" t="str">
        <f>IF(AI575="","",IF(M620="","",M620))</f>
        <v/>
      </c>
      <c r="BJ620" s="136" t="str">
        <f>IF(AI575="","",IF(N620="","",N620))</f>
        <v/>
      </c>
      <c r="BK620" s="136" t="str">
        <f>IF(AI575="","",IF(O620="","",O620))</f>
        <v/>
      </c>
      <c r="BN620" s="136" t="str">
        <f t="shared" si="341"/>
        <v>Privado</v>
      </c>
      <c r="BO620" s="136" t="str">
        <f t="shared" si="341"/>
        <v>PV</v>
      </c>
      <c r="BP620" s="136">
        <f>IF(BO620="","",COUNTIFS(AX579:BK626,BO620)*0.5)</f>
        <v>0</v>
      </c>
      <c r="BQ620" s="136" t="str">
        <f t="shared" si="342"/>
        <v>Privado</v>
      </c>
      <c r="BR620" s="136" t="str">
        <f t="shared" si="342"/>
        <v>PV</v>
      </c>
      <c r="BS620" s="136" t="str">
        <f t="shared" si="343"/>
        <v>Privado</v>
      </c>
      <c r="BT620" s="136">
        <f t="shared" si="349"/>
        <v>384</v>
      </c>
      <c r="BU620" s="136">
        <f t="shared" si="350"/>
        <v>369</v>
      </c>
      <c r="CA620" s="136">
        <f>'INFO BASE'!L697</f>
        <v>0</v>
      </c>
      <c r="CB620" s="136">
        <f>'INFO BASE'!M697</f>
        <v>0</v>
      </c>
      <c r="CR620" s="177">
        <f t="shared" si="331"/>
        <v>1</v>
      </c>
      <c r="CS620" s="177">
        <f t="shared" si="332"/>
        <v>1</v>
      </c>
      <c r="CT620" s="177">
        <f t="shared" si="331"/>
        <v>1</v>
      </c>
      <c r="CU620" s="177">
        <f t="shared" si="333"/>
        <v>1</v>
      </c>
      <c r="CV620" s="177">
        <f t="shared" si="331"/>
        <v>1</v>
      </c>
      <c r="CW620" s="177">
        <f t="shared" si="334"/>
        <v>1</v>
      </c>
      <c r="CX620" s="177">
        <f t="shared" si="331"/>
        <v>1</v>
      </c>
      <c r="CY620" s="177">
        <f t="shared" si="335"/>
        <v>1</v>
      </c>
      <c r="CZ620" s="177">
        <f t="shared" si="331"/>
        <v>1</v>
      </c>
      <c r="DA620" s="177">
        <f t="shared" si="336"/>
        <v>1</v>
      </c>
      <c r="DB620" s="177">
        <f t="shared" si="331"/>
        <v>1</v>
      </c>
      <c r="DC620" s="177">
        <f t="shared" si="337"/>
        <v>1</v>
      </c>
      <c r="DD620" s="177">
        <f t="shared" si="338"/>
        <v>1</v>
      </c>
      <c r="DE620" s="177">
        <f t="shared" si="339"/>
        <v>1</v>
      </c>
    </row>
    <row r="621" spans="1:109" ht="18" customHeight="1" x14ac:dyDescent="0.3">
      <c r="A621" s="81">
        <v>0.87500000000002798</v>
      </c>
      <c r="B621" s="153"/>
      <c r="C621" s="130"/>
      <c r="D621" s="135"/>
      <c r="E621" s="130"/>
      <c r="F621" s="135"/>
      <c r="G621" s="130"/>
      <c r="H621" s="135"/>
      <c r="I621" s="130"/>
      <c r="J621" s="135"/>
      <c r="K621" s="130"/>
      <c r="L621" s="135"/>
      <c r="M621" s="130"/>
      <c r="N621" s="135"/>
      <c r="O621" s="154"/>
      <c r="P621" s="6">
        <v>0</v>
      </c>
      <c r="Q621" s="102" t="str">
        <f>IF('INFO BASE'!$C$24="","",'INFO BASE'!$C$24)</f>
        <v>Momento Avaliativo</v>
      </c>
      <c r="R621" s="82" t="str">
        <f t="shared" si="348"/>
        <v>MA</v>
      </c>
      <c r="S621" s="83" t="str">
        <f t="shared" si="345"/>
        <v>-</v>
      </c>
      <c r="T621" s="84" t="str">
        <f>IF(VLOOKUP(Q621,'INFO BASE'!$B$40:$I$54,IF(R621='INFO BASE'!$B$32,3,IF(R621='INFO BASE'!$B$33,4,IF(R621='INFO BASE'!$B$34,5,IF(R621='INFO BASE'!$B$35,6,IF(R621='INFO BASE'!$B$36,7,IF(R621='INFO BASE'!$B$37,8,2)))))),0)=0,"",VLOOKUP(Q621,'INFO BASE'!$B$40:$I$54,IF(R621='INFO BASE'!$B$32,3,IF(R621='INFO BASE'!$B$33,4,IF(R621='INFO BASE'!$B$34,5,IF(R621='INFO BASE'!$B$35,6,IF(R621='INFO BASE'!$B$36,7,IF(R621='INFO BASE'!$B$37,8,2)))))),0))</f>
        <v/>
      </c>
      <c r="U621" s="84">
        <f t="shared" si="357"/>
        <v>0</v>
      </c>
      <c r="V621" s="84">
        <f>IF(R621="","",COUNTIFS(AI579:AV626,R621)*0.5)</f>
        <v>0</v>
      </c>
      <c r="W621" s="85" t="str">
        <f>IF(AH575="","-",IF(V621=0,U621,IFERROR((U621/V621)-1,"-")))</f>
        <v>-</v>
      </c>
      <c r="X621" s="201">
        <f t="shared" si="346"/>
        <v>0</v>
      </c>
      <c r="Y621" s="277"/>
      <c r="Z621" s="278"/>
      <c r="AA621" s="278"/>
      <c r="AB621" s="278"/>
      <c r="AC621" s="278"/>
      <c r="AD621" s="278"/>
      <c r="AE621" s="278"/>
      <c r="AF621" s="279"/>
      <c r="AH621" s="136">
        <v>0.87500000000002798</v>
      </c>
      <c r="AI621" s="136" t="str">
        <f>IF(AH575="","",IF(B621="","",B621))</f>
        <v/>
      </c>
      <c r="AJ621" s="136" t="str">
        <f>IF(AH575="","",IF(C621="","",C621))</f>
        <v/>
      </c>
      <c r="AK621" s="136" t="str">
        <f>IF(AH575="","",IF(D621="","",D621))</f>
        <v/>
      </c>
      <c r="AL621" s="136" t="str">
        <f>IF(AH575="","",IF(E621="","",E621))</f>
        <v/>
      </c>
      <c r="AM621" s="136" t="str">
        <f>IF(AH575="","",IF(F621="","",F621))</f>
        <v/>
      </c>
      <c r="AN621" s="136" t="str">
        <f>IF(AH575="","",IF(G621="","",G621))</f>
        <v/>
      </c>
      <c r="AO621" s="136" t="str">
        <f>IF(AH575="","",IF(H621="","",H621))</f>
        <v/>
      </c>
      <c r="AP621" s="136" t="str">
        <f>IF(AH575="","",IF(I621="","",I621))</f>
        <v/>
      </c>
      <c r="AQ621" s="136" t="str">
        <f>IF(AH575="","",IF(J621="","",J621))</f>
        <v/>
      </c>
      <c r="AR621" s="136" t="str">
        <f>IF(AH575="","",IF(K621="","",K621))</f>
        <v/>
      </c>
      <c r="AS621" s="136" t="str">
        <f>IF(AH575="","",IF(L621="","",L621))</f>
        <v/>
      </c>
      <c r="AT621" s="136" t="str">
        <f>IF(AH575="","",IF(M621="","",M621))</f>
        <v/>
      </c>
      <c r="AU621" s="136" t="str">
        <f>IF(AH575="","",IF(N621="","",N621))</f>
        <v/>
      </c>
      <c r="AV621" s="136" t="str">
        <f>IF(AH575="","",IF(O621="","",O621))</f>
        <v/>
      </c>
      <c r="AX621" s="136" t="str">
        <f>IF(AI575="","",IF(B621="","",B621))</f>
        <v/>
      </c>
      <c r="AY621" s="136" t="str">
        <f>IF(AI575="","",IF(C621="","",C621))</f>
        <v/>
      </c>
      <c r="AZ621" s="136" t="str">
        <f>IF(AI575="","",IF(D621="","",D621))</f>
        <v/>
      </c>
      <c r="BA621" s="136" t="str">
        <f>IF(AI575="","",IF(E621="","",E621))</f>
        <v/>
      </c>
      <c r="BB621" s="136" t="str">
        <f>IF(AI575="","",IF(F621="","",F621))</f>
        <v/>
      </c>
      <c r="BC621" s="136" t="str">
        <f>IF(AI575="","",IF(G621="","",G621))</f>
        <v/>
      </c>
      <c r="BD621" s="136" t="str">
        <f>IF(AI575="","",IF(H621="","",H621))</f>
        <v/>
      </c>
      <c r="BE621" s="136" t="str">
        <f>IF(AI575="","",IF(I621="","",I621))</f>
        <v/>
      </c>
      <c r="BF621" s="136" t="str">
        <f>IF(AI575="","",IF(J621="","",J621))</f>
        <v/>
      </c>
      <c r="BG621" s="136" t="str">
        <f>IF(AI575="","",IF(K621="","",K621))</f>
        <v/>
      </c>
      <c r="BH621" s="136" t="str">
        <f>IF(AI575="","",IF(L621="","",L621))</f>
        <v/>
      </c>
      <c r="BI621" s="136" t="str">
        <f>IF(AI575="","",IF(M621="","",M621))</f>
        <v/>
      </c>
      <c r="BJ621" s="136" t="str">
        <f>IF(AI575="","",IF(N621="","",N621))</f>
        <v/>
      </c>
      <c r="BK621" s="136" t="str">
        <f>IF(AI575="","",IF(O621="","",O621))</f>
        <v/>
      </c>
      <c r="BN621" s="136" t="str">
        <f t="shared" si="341"/>
        <v>Deslocação</v>
      </c>
      <c r="BO621" s="136" t="str">
        <f t="shared" si="341"/>
        <v>HD</v>
      </c>
      <c r="BP621" s="136">
        <f>IF(BO621="","",COUNTIFS(AX579:BK626,BO621)*0.5)</f>
        <v>0</v>
      </c>
      <c r="BQ621" s="136" t="str">
        <f t="shared" si="342"/>
        <v>Deslocação</v>
      </c>
      <c r="BR621" s="136" t="str">
        <f t="shared" si="342"/>
        <v>HD</v>
      </c>
      <c r="BS621" s="136" t="str">
        <f t="shared" si="343"/>
        <v>Deslocação</v>
      </c>
      <c r="BT621" s="136">
        <f t="shared" si="349"/>
        <v>116.5</v>
      </c>
      <c r="BU621" s="136">
        <f t="shared" si="350"/>
        <v>115</v>
      </c>
      <c r="CA621" s="136">
        <f>'INFO BASE'!L698</f>
        <v>0</v>
      </c>
      <c r="CB621" s="136">
        <f>'INFO BASE'!M698</f>
        <v>0</v>
      </c>
      <c r="CR621" s="177">
        <f t="shared" si="331"/>
        <v>1</v>
      </c>
      <c r="CS621" s="177">
        <f t="shared" si="332"/>
        <v>1</v>
      </c>
      <c r="CT621" s="177">
        <f t="shared" si="331"/>
        <v>1</v>
      </c>
      <c r="CU621" s="177">
        <f t="shared" si="333"/>
        <v>1</v>
      </c>
      <c r="CV621" s="177">
        <f t="shared" si="331"/>
        <v>1</v>
      </c>
      <c r="CW621" s="177">
        <f t="shared" si="334"/>
        <v>1</v>
      </c>
      <c r="CX621" s="177">
        <f t="shared" si="331"/>
        <v>1</v>
      </c>
      <c r="CY621" s="177">
        <f t="shared" si="335"/>
        <v>1</v>
      </c>
      <c r="CZ621" s="177">
        <f t="shared" si="331"/>
        <v>1</v>
      </c>
      <c r="DA621" s="177">
        <f t="shared" si="336"/>
        <v>1</v>
      </c>
      <c r="DB621" s="177">
        <f t="shared" si="331"/>
        <v>1</v>
      </c>
      <c r="DC621" s="177">
        <f t="shared" si="337"/>
        <v>1</v>
      </c>
      <c r="DD621" s="177">
        <f t="shared" si="338"/>
        <v>1</v>
      </c>
      <c r="DE621" s="177">
        <f t="shared" si="339"/>
        <v>1</v>
      </c>
    </row>
    <row r="622" spans="1:109" ht="18" customHeight="1" x14ac:dyDescent="0.3">
      <c r="A622" s="81">
        <v>0.89583333333336201</v>
      </c>
      <c r="B622" s="153"/>
      <c r="C622" s="130"/>
      <c r="D622" s="135"/>
      <c r="E622" s="130"/>
      <c r="F622" s="135"/>
      <c r="G622" s="130"/>
      <c r="H622" s="135"/>
      <c r="I622" s="130"/>
      <c r="J622" s="135"/>
      <c r="K622" s="130"/>
      <c r="L622" s="135"/>
      <c r="M622" s="130"/>
      <c r="N622" s="135"/>
      <c r="O622" s="154"/>
      <c r="P622" s="6">
        <v>0</v>
      </c>
      <c r="Q622" s="103" t="str">
        <f>IF('INFO BASE'!$C$25="","",'INFO BASE'!$C$25)</f>
        <v>Horário de Dúvidas</v>
      </c>
      <c r="R622" s="87" t="str">
        <f t="shared" si="348"/>
        <v>HDV</v>
      </c>
      <c r="S622" s="88">
        <f t="shared" si="345"/>
        <v>-1</v>
      </c>
      <c r="T622" s="89">
        <f>IF(VLOOKUP(Q622,'INFO BASE'!$B$40:$I$54,IF(R622='INFO BASE'!$B$32,3,IF(R622='INFO BASE'!$B$33,4,IF(R622='INFO BASE'!$B$34,5,IF(R622='INFO BASE'!$B$35,6,IF(R622='INFO BASE'!$B$36,7,IF(R622='INFO BASE'!$B$37,8,2)))))),0)=0,"",VLOOKUP(Q622,'INFO BASE'!$B$40:$I$54,IF(R622='INFO BASE'!$B$32,3,IF(R622='INFO BASE'!$B$33,4,IF(R622='INFO BASE'!$B$34,5,IF(R622='INFO BASE'!$B$35,6,IF(R622='INFO BASE'!$B$36,7,IF(R622='INFO BASE'!$B$37,8,2)))))),0))</f>
        <v>3</v>
      </c>
      <c r="U622" s="89">
        <f t="shared" si="357"/>
        <v>0</v>
      </c>
      <c r="V622" s="89">
        <f>IF(R622="","",COUNTIFS(AI579:AV626,R622)*0.5)</f>
        <v>0</v>
      </c>
      <c r="W622" s="90" t="str">
        <f>IF(AH575="","-",IF(V622=0,U622,IFERROR((U622/V622)-1,"-")))</f>
        <v>-</v>
      </c>
      <c r="X622" s="201">
        <f t="shared" si="346"/>
        <v>0</v>
      </c>
      <c r="Y622" s="271"/>
      <c r="Z622" s="272"/>
      <c r="AA622" s="272"/>
      <c r="AB622" s="272"/>
      <c r="AC622" s="272"/>
      <c r="AD622" s="272"/>
      <c r="AE622" s="272"/>
      <c r="AF622" s="273"/>
      <c r="AH622" s="136">
        <v>0.89583333333336201</v>
      </c>
      <c r="AI622" s="136" t="str">
        <f>IF(AH575="","",IF(B622="","",B622))</f>
        <v/>
      </c>
      <c r="AJ622" s="136" t="str">
        <f>IF(AH575="","",IF(C622="","",C622))</f>
        <v/>
      </c>
      <c r="AK622" s="136" t="str">
        <f>IF(AH575="","",IF(D622="","",D622))</f>
        <v/>
      </c>
      <c r="AL622" s="136" t="str">
        <f>IF(AH575="","",IF(E622="","",E622))</f>
        <v/>
      </c>
      <c r="AM622" s="136" t="str">
        <f>IF(AH575="","",IF(F622="","",F622))</f>
        <v/>
      </c>
      <c r="AN622" s="136" t="str">
        <f>IF(AH575="","",IF(G622="","",G622))</f>
        <v/>
      </c>
      <c r="AO622" s="136" t="str">
        <f>IF(AH575="","",IF(H622="","",H622))</f>
        <v/>
      </c>
      <c r="AP622" s="136" t="str">
        <f>IF(AH575="","",IF(I622="","",I622))</f>
        <v/>
      </c>
      <c r="AQ622" s="136" t="str">
        <f>IF(AH575="","",IF(J622="","",J622))</f>
        <v/>
      </c>
      <c r="AR622" s="136" t="str">
        <f>IF(AH575="","",IF(K622="","",K622))</f>
        <v/>
      </c>
      <c r="AS622" s="136" t="str">
        <f>IF(AH575="","",IF(L622="","",L622))</f>
        <v/>
      </c>
      <c r="AT622" s="136" t="str">
        <f>IF(AH575="","",IF(M622="","",M622))</f>
        <v/>
      </c>
      <c r="AU622" s="136" t="str">
        <f>IF(AH575="","",IF(N622="","",N622))</f>
        <v/>
      </c>
      <c r="AV622" s="136" t="str">
        <f>IF(AH575="","",IF(O622="","",O622))</f>
        <v/>
      </c>
      <c r="AX622" s="136" t="str">
        <f>IF(AI575="","",IF(B622="","",B622))</f>
        <v/>
      </c>
      <c r="AY622" s="136" t="str">
        <f>IF(AI575="","",IF(C622="","",C622))</f>
        <v/>
      </c>
      <c r="AZ622" s="136" t="str">
        <f>IF(AI575="","",IF(D622="","",D622))</f>
        <v/>
      </c>
      <c r="BA622" s="136" t="str">
        <f>IF(AI575="","",IF(E622="","",E622))</f>
        <v/>
      </c>
      <c r="BB622" s="136" t="str">
        <f>IF(AI575="","",IF(F622="","",F622))</f>
        <v/>
      </c>
      <c r="BC622" s="136" t="str">
        <f>IF(AI575="","",IF(G622="","",G622))</f>
        <v/>
      </c>
      <c r="BD622" s="136" t="str">
        <f>IF(AI575="","",IF(H622="","",H622))</f>
        <v/>
      </c>
      <c r="BE622" s="136" t="str">
        <f>IF(AI575="","",IF(I622="","",I622))</f>
        <v/>
      </c>
      <c r="BF622" s="136" t="str">
        <f>IF(AI575="","",IF(J622="","",J622))</f>
        <v/>
      </c>
      <c r="BG622" s="136" t="str">
        <f>IF(AI575="","",IF(K622="","",K622))</f>
        <v/>
      </c>
      <c r="BH622" s="136" t="str">
        <f>IF(AI575="","",IF(L622="","",L622))</f>
        <v/>
      </c>
      <c r="BI622" s="136" t="str">
        <f>IF(AI575="","",IF(M622="","",M622))</f>
        <v/>
      </c>
      <c r="BJ622" s="136" t="str">
        <f>IF(AI575="","",IF(N622="","",N622))</f>
        <v/>
      </c>
      <c r="BK622" s="136" t="str">
        <f>IF(AI575="","",IF(O622="","",O622))</f>
        <v/>
      </c>
      <c r="BN622" s="136" t="str">
        <f t="shared" si="341"/>
        <v>Refeição</v>
      </c>
      <c r="BO622" s="136" t="str">
        <f t="shared" si="341"/>
        <v>HR</v>
      </c>
      <c r="BP622" s="136">
        <f>IF(BO622="","",COUNTIFS(AX579:BK626,BO622)*0.5)</f>
        <v>0</v>
      </c>
      <c r="BQ622" s="136" t="str">
        <f t="shared" si="342"/>
        <v>Refeição</v>
      </c>
      <c r="BR622" s="136" t="str">
        <f t="shared" si="342"/>
        <v>HR</v>
      </c>
      <c r="BS622" s="136" t="str">
        <f t="shared" si="343"/>
        <v>Refeição</v>
      </c>
      <c r="BT622" s="136">
        <f t="shared" si="349"/>
        <v>126</v>
      </c>
      <c r="BU622" s="136">
        <f t="shared" si="350"/>
        <v>124</v>
      </c>
      <c r="CA622" s="136">
        <f>'INFO BASE'!L699</f>
        <v>0</v>
      </c>
      <c r="CB622" s="136">
        <f>'INFO BASE'!M699</f>
        <v>0</v>
      </c>
      <c r="CR622" s="177">
        <f t="shared" si="331"/>
        <v>1</v>
      </c>
      <c r="CS622" s="177">
        <f t="shared" si="332"/>
        <v>1</v>
      </c>
      <c r="CT622" s="177">
        <f t="shared" si="331"/>
        <v>1</v>
      </c>
      <c r="CU622" s="177">
        <f t="shared" si="333"/>
        <v>1</v>
      </c>
      <c r="CV622" s="177">
        <f t="shared" si="331"/>
        <v>1</v>
      </c>
      <c r="CW622" s="177">
        <f t="shared" si="334"/>
        <v>1</v>
      </c>
      <c r="CX622" s="177">
        <f t="shared" ref="CR622:CZ626" si="358">IF(H622="",1,H622)</f>
        <v>1</v>
      </c>
      <c r="CY622" s="177">
        <f t="shared" si="335"/>
        <v>1</v>
      </c>
      <c r="CZ622" s="177">
        <f t="shared" si="358"/>
        <v>1</v>
      </c>
      <c r="DA622" s="177">
        <f t="shared" si="336"/>
        <v>1</v>
      </c>
      <c r="DB622" s="177">
        <f t="shared" ref="DB622:DB626" si="359">IF(L622="",1,L622)</f>
        <v>1</v>
      </c>
      <c r="DC622" s="177">
        <f t="shared" si="337"/>
        <v>1</v>
      </c>
      <c r="DD622" s="177">
        <f t="shared" si="338"/>
        <v>1</v>
      </c>
      <c r="DE622" s="177">
        <f t="shared" si="339"/>
        <v>1</v>
      </c>
    </row>
    <row r="623" spans="1:109" ht="18" customHeight="1" x14ac:dyDescent="0.3">
      <c r="A623" s="81">
        <v>0.91666666666669605</v>
      </c>
      <c r="B623" s="153"/>
      <c r="C623" s="130"/>
      <c r="D623" s="135"/>
      <c r="E623" s="130"/>
      <c r="F623" s="135"/>
      <c r="G623" s="130"/>
      <c r="H623" s="135"/>
      <c r="I623" s="130"/>
      <c r="J623" s="135"/>
      <c r="K623" s="130"/>
      <c r="L623" s="135"/>
      <c r="M623" s="130"/>
      <c r="N623" s="135"/>
      <c r="O623" s="154"/>
      <c r="P623" s="6">
        <v>0.2</v>
      </c>
      <c r="Q623" s="104" t="str">
        <f>IF('INFO BASE'!$C$26="","",'INFO BASE'!$C$26)</f>
        <v>Privado</v>
      </c>
      <c r="R623" s="87" t="str">
        <f t="shared" si="348"/>
        <v>PV</v>
      </c>
      <c r="S623" s="88">
        <f t="shared" si="345"/>
        <v>-1</v>
      </c>
      <c r="T623" s="89">
        <f>IF(VLOOKUP(Q623,'INFO BASE'!$B$40:$I$54,IF(R623='INFO BASE'!$B$32,3,IF(R623='INFO BASE'!$B$33,4,IF(R623='INFO BASE'!$B$34,5,IF(R623='INFO BASE'!$B$35,6,IF(R623='INFO BASE'!$B$36,7,IF(R623='INFO BASE'!$B$37,8,2)))))),0)=0,"",VLOOKUP(Q623,'INFO BASE'!$B$40:$I$54,IF(R623='INFO BASE'!$B$32,3,IF(R623='INFO BASE'!$B$33,4,IF(R623='INFO BASE'!$B$34,5,IF(R623='INFO BASE'!$B$35,6,IF(R623='INFO BASE'!$B$36,7,IF(R623='INFO BASE'!$B$37,8,2)))))),0))</f>
        <v>26.5</v>
      </c>
      <c r="U623" s="89">
        <f t="shared" si="357"/>
        <v>0</v>
      </c>
      <c r="V623" s="89">
        <f>IF(R623="","",COUNTIFS(AI579:AV626,R623)*0.5)</f>
        <v>0</v>
      </c>
      <c r="W623" s="90" t="str">
        <f>IF(AH575="","-",IF(V623=0,U623,IFERROR((U623/V623)-1,"-")))</f>
        <v>-</v>
      </c>
      <c r="X623" s="202">
        <f t="shared" si="346"/>
        <v>0</v>
      </c>
      <c r="Y623" s="271"/>
      <c r="Z623" s="272"/>
      <c r="AA623" s="272"/>
      <c r="AB623" s="272"/>
      <c r="AC623" s="272"/>
      <c r="AD623" s="272"/>
      <c r="AE623" s="272"/>
      <c r="AF623" s="273"/>
      <c r="AH623" s="136">
        <v>0.91666666666669605</v>
      </c>
      <c r="AI623" s="136" t="str">
        <f>IF(AH575="","",IF(B623="","",B623))</f>
        <v/>
      </c>
      <c r="AJ623" s="136" t="str">
        <f>IF(AH575="","",IF(C623="","",C623))</f>
        <v/>
      </c>
      <c r="AK623" s="136" t="str">
        <f>IF(AH575="","",IF(D623="","",D623))</f>
        <v/>
      </c>
      <c r="AL623" s="136" t="str">
        <f>IF(AH575="","",IF(E623="","",E623))</f>
        <v/>
      </c>
      <c r="AM623" s="136" t="str">
        <f>IF(AH575="","",IF(F623="","",F623))</f>
        <v/>
      </c>
      <c r="AN623" s="136" t="str">
        <f>IF(AH575="","",IF(G623="","",G623))</f>
        <v/>
      </c>
      <c r="AO623" s="136" t="str">
        <f>IF(AH575="","",IF(H623="","",H623))</f>
        <v/>
      </c>
      <c r="AP623" s="136" t="str">
        <f>IF(AH575="","",IF(I623="","",I623))</f>
        <v/>
      </c>
      <c r="AQ623" s="136" t="str">
        <f>IF(AH575="","",IF(J623="","",J623))</f>
        <v/>
      </c>
      <c r="AR623" s="136" t="str">
        <f>IF(AH575="","",IF(K623="","",K623))</f>
        <v/>
      </c>
      <c r="AS623" s="136" t="str">
        <f>IF(AH575="","",IF(L623="","",L623))</f>
        <v/>
      </c>
      <c r="AT623" s="136" t="str">
        <f>IF(AH575="","",IF(M623="","",M623))</f>
        <v/>
      </c>
      <c r="AU623" s="136" t="str">
        <f>IF(AH575="","",IF(N623="","",N623))</f>
        <v/>
      </c>
      <c r="AV623" s="136" t="str">
        <f>IF(AH575="","",IF(O623="","",O623))</f>
        <v/>
      </c>
      <c r="AX623" s="136" t="str">
        <f>IF(AI575="","",IF(B623="","",B623))</f>
        <v/>
      </c>
      <c r="AY623" s="136" t="str">
        <f>IF(AI575="","",IF(C623="","",C623))</f>
        <v/>
      </c>
      <c r="AZ623" s="136" t="str">
        <f>IF(AI575="","",IF(D623="","",D623))</f>
        <v/>
      </c>
      <c r="BA623" s="136" t="str">
        <f>IF(AI575="","",IF(E623="","",E623))</f>
        <v/>
      </c>
      <c r="BB623" s="136" t="str">
        <f>IF(AI575="","",IF(F623="","",F623))</f>
        <v/>
      </c>
      <c r="BC623" s="136" t="str">
        <f>IF(AI575="","",IF(G623="","",G623))</f>
        <v/>
      </c>
      <c r="BD623" s="136" t="str">
        <f>IF(AI575="","",IF(H623="","",H623))</f>
        <v/>
      </c>
      <c r="BE623" s="136" t="str">
        <f>IF(AI575="","",IF(I623="","",I623))</f>
        <v/>
      </c>
      <c r="BF623" s="136" t="str">
        <f>IF(AI575="","",IF(J623="","",J623))</f>
        <v/>
      </c>
      <c r="BG623" s="136" t="str">
        <f>IF(AI575="","",IF(K623="","",K623))</f>
        <v/>
      </c>
      <c r="BH623" s="136" t="str">
        <f>IF(AI575="","",IF(L623="","",L623))</f>
        <v/>
      </c>
      <c r="BI623" s="136" t="str">
        <f>IF(AI575="","",IF(M623="","",M623))</f>
        <v/>
      </c>
      <c r="BJ623" s="136" t="str">
        <f>IF(AI575="","",IF(N623="","",N623))</f>
        <v/>
      </c>
      <c r="BK623" s="136" t="str">
        <f>IF(AI575="","",IF(O623="","",O623))</f>
        <v/>
      </c>
      <c r="BN623" s="136" t="str">
        <f t="shared" si="341"/>
        <v>Sono</v>
      </c>
      <c r="BO623" s="136" t="str">
        <f t="shared" si="341"/>
        <v>HS</v>
      </c>
      <c r="BP623" s="136">
        <f>IF(BO623="","",COUNTIFS(AX579:BK626,BO623)*0.5)</f>
        <v>0</v>
      </c>
      <c r="BQ623" s="136" t="str">
        <f t="shared" si="342"/>
        <v>Sono</v>
      </c>
      <c r="BR623" s="136" t="str">
        <f t="shared" si="342"/>
        <v>HS</v>
      </c>
      <c r="BS623" s="136" t="str">
        <f t="shared" si="343"/>
        <v>Sono</v>
      </c>
      <c r="BT623" s="136">
        <f t="shared" si="349"/>
        <v>417</v>
      </c>
      <c r="BU623" s="136">
        <f t="shared" si="350"/>
        <v>417.5</v>
      </c>
      <c r="CA623" s="136">
        <f>'INFO BASE'!L700</f>
        <v>0</v>
      </c>
      <c r="CB623" s="136">
        <f>'INFO BASE'!M700</f>
        <v>0</v>
      </c>
      <c r="CR623" s="177">
        <f t="shared" si="358"/>
        <v>1</v>
      </c>
      <c r="CS623" s="177">
        <f t="shared" si="332"/>
        <v>1</v>
      </c>
      <c r="CT623" s="177">
        <f t="shared" si="358"/>
        <v>1</v>
      </c>
      <c r="CU623" s="177">
        <f t="shared" si="333"/>
        <v>1</v>
      </c>
      <c r="CV623" s="177">
        <f t="shared" si="358"/>
        <v>1</v>
      </c>
      <c r="CW623" s="177">
        <f t="shared" si="334"/>
        <v>1</v>
      </c>
      <c r="CX623" s="177">
        <f t="shared" si="358"/>
        <v>1</v>
      </c>
      <c r="CY623" s="177">
        <f t="shared" si="335"/>
        <v>1</v>
      </c>
      <c r="CZ623" s="177">
        <f t="shared" si="358"/>
        <v>1</v>
      </c>
      <c r="DA623" s="177">
        <f t="shared" si="336"/>
        <v>1</v>
      </c>
      <c r="DB623" s="177">
        <f t="shared" si="359"/>
        <v>1</v>
      </c>
      <c r="DC623" s="177">
        <f t="shared" si="337"/>
        <v>1</v>
      </c>
      <c r="DD623" s="177">
        <f t="shared" si="338"/>
        <v>1</v>
      </c>
      <c r="DE623" s="177">
        <f t="shared" si="339"/>
        <v>1</v>
      </c>
    </row>
    <row r="624" spans="1:109" ht="18" customHeight="1" x14ac:dyDescent="0.3">
      <c r="A624" s="81">
        <v>0.93750000000002998</v>
      </c>
      <c r="B624" s="153"/>
      <c r="C624" s="130"/>
      <c r="D624" s="135"/>
      <c r="E624" s="130"/>
      <c r="F624" s="135"/>
      <c r="G624" s="130"/>
      <c r="H624" s="135"/>
      <c r="I624" s="130"/>
      <c r="J624" s="135"/>
      <c r="K624" s="130"/>
      <c r="L624" s="135"/>
      <c r="M624" s="130"/>
      <c r="N624" s="135"/>
      <c r="O624" s="154"/>
      <c r="P624" s="6">
        <v>0.2</v>
      </c>
      <c r="Q624" s="86" t="str">
        <f>IF('INFO BASE'!$C$27="","",'INFO BASE'!$C$27)</f>
        <v>Deslocação</v>
      </c>
      <c r="R624" s="87" t="str">
        <f t="shared" si="348"/>
        <v>HD</v>
      </c>
      <c r="S624" s="88">
        <f t="shared" si="345"/>
        <v>-1</v>
      </c>
      <c r="T624" s="89">
        <f>IF(VLOOKUP(Q624,'INFO BASE'!$B$40:$I$54,IF(R624='INFO BASE'!$B$32,3,IF(R624='INFO BASE'!$B$33,4,IF(R624='INFO BASE'!$B$34,5,IF(R624='INFO BASE'!$B$35,6,IF(R624='INFO BASE'!$B$36,7,IF(R624='INFO BASE'!$B$37,8,2)))))),0)=0,"",VLOOKUP(Q624,'INFO BASE'!$B$40:$I$54,IF(R624='INFO BASE'!$B$32,3,IF(R624='INFO BASE'!$B$33,4,IF(R624='INFO BASE'!$B$34,5,IF(R624='INFO BASE'!$B$35,6,IF(R624='INFO BASE'!$B$36,7,IF(R624='INFO BASE'!$B$37,8,2)))))),0))</f>
        <v>10</v>
      </c>
      <c r="U624" s="89">
        <f t="shared" si="357"/>
        <v>0</v>
      </c>
      <c r="V624" s="89">
        <f>IF(R624="","",COUNTIFS(AI579:AV626,R624)*0.5)</f>
        <v>0</v>
      </c>
      <c r="W624" s="90" t="str">
        <f>IF(AH575="","-",IF(V624=0,U624,IFERROR((U624/V624)-1,"-")))</f>
        <v>-</v>
      </c>
      <c r="X624" s="203">
        <f t="shared" si="346"/>
        <v>0</v>
      </c>
      <c r="Y624" s="271"/>
      <c r="Z624" s="272"/>
      <c r="AA624" s="272"/>
      <c r="AB624" s="272"/>
      <c r="AC624" s="272"/>
      <c r="AD624" s="272"/>
      <c r="AE624" s="272"/>
      <c r="AF624" s="273"/>
      <c r="AH624" s="136">
        <v>0.93750000000002998</v>
      </c>
      <c r="AI624" s="136" t="str">
        <f>IF(AH575="","",IF(B624="","",B624))</f>
        <v/>
      </c>
      <c r="AJ624" s="136" t="str">
        <f>IF(AH575="","",IF(C624="","",C624))</f>
        <v/>
      </c>
      <c r="AK624" s="136" t="str">
        <f>IF(AH575="","",IF(D624="","",D624))</f>
        <v/>
      </c>
      <c r="AL624" s="136" t="str">
        <f>IF(AH575="","",IF(E624="","",E624))</f>
        <v/>
      </c>
      <c r="AM624" s="136" t="str">
        <f>IF(AH575="","",IF(F624="","",F624))</f>
        <v/>
      </c>
      <c r="AN624" s="136" t="str">
        <f>IF(AH575="","",IF(G624="","",G624))</f>
        <v/>
      </c>
      <c r="AO624" s="136" t="str">
        <f>IF(AH575="","",IF(H624="","",H624))</f>
        <v/>
      </c>
      <c r="AP624" s="136" t="str">
        <f>IF(AH575="","",IF(I624="","",I624))</f>
        <v/>
      </c>
      <c r="AQ624" s="136" t="str">
        <f>IF(AH575="","",IF(J624="","",J624))</f>
        <v/>
      </c>
      <c r="AR624" s="136" t="str">
        <f>IF(AH575="","",IF(K624="","",K624))</f>
        <v/>
      </c>
      <c r="AS624" s="136" t="str">
        <f>IF(AH575="","",IF(L624="","",L624))</f>
        <v/>
      </c>
      <c r="AT624" s="136" t="str">
        <f>IF(AH575="","",IF(M624="","",M624))</f>
        <v/>
      </c>
      <c r="AU624" s="136" t="str">
        <f>IF(AH575="","",IF(N624="","",N624))</f>
        <v/>
      </c>
      <c r="AV624" s="136" t="str">
        <f>IF(AH575="","",IF(O624="","",O624))</f>
        <v/>
      </c>
      <c r="AX624" s="136" t="str">
        <f>IF(AI575="","",IF(B624="","",B624))</f>
        <v/>
      </c>
      <c r="AY624" s="136" t="str">
        <f>IF(AI575="","",IF(C624="","",C624))</f>
        <v/>
      </c>
      <c r="AZ624" s="136" t="str">
        <f>IF(AI575="","",IF(D624="","",D624))</f>
        <v/>
      </c>
      <c r="BA624" s="136" t="str">
        <f>IF(AI575="","",IF(E624="","",E624))</f>
        <v/>
      </c>
      <c r="BB624" s="136" t="str">
        <f>IF(AI575="","",IF(F624="","",F624))</f>
        <v/>
      </c>
      <c r="BC624" s="136" t="str">
        <f>IF(AI575="","",IF(G624="","",G624))</f>
        <v/>
      </c>
      <c r="BD624" s="136" t="str">
        <f>IF(AI575="","",IF(H624="","",H624))</f>
        <v/>
      </c>
      <c r="BE624" s="136" t="str">
        <f>IF(AI575="","",IF(I624="","",I624))</f>
        <v/>
      </c>
      <c r="BF624" s="136" t="str">
        <f>IF(AI575="","",IF(J624="","",J624))</f>
        <v/>
      </c>
      <c r="BG624" s="136" t="str">
        <f>IF(AI575="","",IF(K624="","",K624))</f>
        <v/>
      </c>
      <c r="BH624" s="136" t="str">
        <f>IF(AI575="","",IF(L624="","",L624))</f>
        <v/>
      </c>
      <c r="BI624" s="136" t="str">
        <f>IF(AI575="","",IF(M624="","",M624))</f>
        <v/>
      </c>
      <c r="BJ624" s="136" t="str">
        <f>IF(AI575="","",IF(N624="","",N624))</f>
        <v/>
      </c>
      <c r="BK624" s="136" t="str">
        <f>IF(AI575="","",IF(O624="","",O624))</f>
        <v/>
      </c>
      <c r="BP624" s="136" t="str">
        <f>IF(BO624="","",COUNTIFS(AX579:BK626,BO624)*0.5)</f>
        <v/>
      </c>
      <c r="CA624" s="136">
        <f>'INFO BASE'!L701</f>
        <v>0</v>
      </c>
      <c r="CB624" s="136">
        <f>'INFO BASE'!M701</f>
        <v>0</v>
      </c>
      <c r="CR624" s="177">
        <f t="shared" si="358"/>
        <v>1</v>
      </c>
      <c r="CS624" s="177">
        <f t="shared" si="332"/>
        <v>1</v>
      </c>
      <c r="CT624" s="177">
        <f t="shared" si="358"/>
        <v>1</v>
      </c>
      <c r="CU624" s="177">
        <f t="shared" si="333"/>
        <v>1</v>
      </c>
      <c r="CV624" s="177">
        <f t="shared" si="358"/>
        <v>1</v>
      </c>
      <c r="CW624" s="177">
        <f t="shared" si="334"/>
        <v>1</v>
      </c>
      <c r="CX624" s="177">
        <f t="shared" si="358"/>
        <v>1</v>
      </c>
      <c r="CY624" s="177">
        <f t="shared" si="335"/>
        <v>1</v>
      </c>
      <c r="CZ624" s="177">
        <f t="shared" si="358"/>
        <v>1</v>
      </c>
      <c r="DA624" s="177">
        <f t="shared" si="336"/>
        <v>1</v>
      </c>
      <c r="DB624" s="177">
        <f t="shared" si="359"/>
        <v>1</v>
      </c>
      <c r="DC624" s="177">
        <f t="shared" si="337"/>
        <v>1</v>
      </c>
      <c r="DD624" s="177">
        <f t="shared" si="338"/>
        <v>1</v>
      </c>
      <c r="DE624" s="177">
        <f t="shared" si="339"/>
        <v>1</v>
      </c>
    </row>
    <row r="625" spans="1:120" ht="18" customHeight="1" x14ac:dyDescent="0.3">
      <c r="A625" s="81">
        <v>0.95833333333336401</v>
      </c>
      <c r="B625" s="153"/>
      <c r="C625" s="130"/>
      <c r="D625" s="135"/>
      <c r="E625" s="130"/>
      <c r="F625" s="135"/>
      <c r="G625" s="130"/>
      <c r="H625" s="135"/>
      <c r="I625" s="130"/>
      <c r="J625" s="135"/>
      <c r="K625" s="130"/>
      <c r="L625" s="135"/>
      <c r="M625" s="130"/>
      <c r="N625" s="135"/>
      <c r="O625" s="154"/>
      <c r="P625" s="6">
        <v>0.2</v>
      </c>
      <c r="Q625" s="91" t="str">
        <f>IF('INFO BASE'!$C$28="","",'INFO BASE'!$C$28)</f>
        <v>Refeição</v>
      </c>
      <c r="R625" s="87" t="str">
        <f t="shared" si="348"/>
        <v>HR</v>
      </c>
      <c r="S625" s="88">
        <f t="shared" si="345"/>
        <v>-1</v>
      </c>
      <c r="T625" s="89">
        <f>IF(VLOOKUP(Q625,'INFO BASE'!$B$40:$I$54,IF(R625='INFO BASE'!$B$32,3,IF(R625='INFO BASE'!$B$33,4,IF(R625='INFO BASE'!$B$34,5,IF(R625='INFO BASE'!$B$35,6,IF(R625='INFO BASE'!$B$36,7,IF(R625='INFO BASE'!$B$37,8,2)))))),0)=0,"",VLOOKUP(Q625,'INFO BASE'!$B$40:$I$54,IF(R625='INFO BASE'!$B$32,3,IF(R625='INFO BASE'!$B$33,4,IF(R625='INFO BASE'!$B$34,5,IF(R625='INFO BASE'!$B$35,6,IF(R625='INFO BASE'!$B$36,7,IF(R625='INFO BASE'!$B$37,8,2)))))),0))</f>
        <v>15</v>
      </c>
      <c r="U625" s="89">
        <f t="shared" si="357"/>
        <v>0</v>
      </c>
      <c r="V625" s="89">
        <f>IF(R625="","",COUNTIFS(AI579:AV626,R625)*0.5)</f>
        <v>0</v>
      </c>
      <c r="W625" s="90" t="str">
        <f>IF(AH575="","-",IF(V625=0,U625,IFERROR((U625/V625)-1,"-")))</f>
        <v>-</v>
      </c>
      <c r="X625" s="204">
        <f t="shared" si="346"/>
        <v>0</v>
      </c>
      <c r="Y625" s="271"/>
      <c r="Z625" s="272"/>
      <c r="AA625" s="272"/>
      <c r="AB625" s="272"/>
      <c r="AC625" s="272"/>
      <c r="AD625" s="272"/>
      <c r="AE625" s="272"/>
      <c r="AF625" s="273"/>
      <c r="AH625" s="136">
        <v>0.95833333333336401</v>
      </c>
      <c r="AI625" s="136" t="str">
        <f>IF(AH575="","",IF(B625="","",B625))</f>
        <v/>
      </c>
      <c r="AJ625" s="136" t="str">
        <f>IF(AH575="","",IF(C625="","",C625))</f>
        <v/>
      </c>
      <c r="AK625" s="136" t="str">
        <f>IF(AH575="","",IF(D625="","",D625))</f>
        <v/>
      </c>
      <c r="AL625" s="136" t="str">
        <f>IF(AH575="","",IF(E625="","",E625))</f>
        <v/>
      </c>
      <c r="AM625" s="136" t="str">
        <f>IF(AH575="","",IF(F625="","",F625))</f>
        <v/>
      </c>
      <c r="AN625" s="136" t="str">
        <f>IF(AH575="","",IF(G625="","",G625))</f>
        <v/>
      </c>
      <c r="AO625" s="136" t="str">
        <f>IF(AH575="","",IF(H625="","",H625))</f>
        <v/>
      </c>
      <c r="AP625" s="136" t="str">
        <f>IF(AH575="","",IF(I625="","",I625))</f>
        <v/>
      </c>
      <c r="AQ625" s="136" t="str">
        <f>IF(AH575="","",IF(J625="","",J625))</f>
        <v/>
      </c>
      <c r="AR625" s="136" t="str">
        <f>IF(AH575="","",IF(K625="","",K625))</f>
        <v/>
      </c>
      <c r="AS625" s="136" t="str">
        <f>IF(AH575="","",IF(L625="","",L625))</f>
        <v/>
      </c>
      <c r="AT625" s="136" t="str">
        <f>IF(AH575="","",IF(M625="","",M625))</f>
        <v/>
      </c>
      <c r="AU625" s="136" t="str">
        <f>IF(AH575="","",IF(N625="","",N625))</f>
        <v/>
      </c>
      <c r="AV625" s="136" t="str">
        <f>IF(AH575="","",IF(O625="","",O625))</f>
        <v/>
      </c>
      <c r="AX625" s="136" t="str">
        <f>IF(AI575="","",IF(B625="","",B625))</f>
        <v/>
      </c>
      <c r="AY625" s="136" t="str">
        <f>IF(AI575="","",IF(C625="","",C625))</f>
        <v/>
      </c>
      <c r="AZ625" s="136" t="str">
        <f>IF(AI575="","",IF(D625="","",D625))</f>
        <v/>
      </c>
      <c r="BA625" s="136" t="str">
        <f>IF(AI575="","",IF(E625="","",E625))</f>
        <v/>
      </c>
      <c r="BB625" s="136" t="str">
        <f>IF(AI575="","",IF(F625="","",F625))</f>
        <v/>
      </c>
      <c r="BC625" s="136" t="str">
        <f>IF(AI575="","",IF(G625="","",G625))</f>
        <v/>
      </c>
      <c r="BD625" s="136" t="str">
        <f>IF(AI575="","",IF(H625="","",H625))</f>
        <v/>
      </c>
      <c r="BE625" s="136" t="str">
        <f>IF(AI575="","",IF(I625="","",I625))</f>
        <v/>
      </c>
      <c r="BF625" s="136" t="str">
        <f>IF(AI575="","",IF(J625="","",J625))</f>
        <v/>
      </c>
      <c r="BG625" s="136" t="str">
        <f>IF(AI575="","",IF(K625="","",K625))</f>
        <v/>
      </c>
      <c r="BH625" s="136" t="str">
        <f>IF(AI575="","",IF(L625="","",L625))</f>
        <v/>
      </c>
      <c r="BI625" s="136" t="str">
        <f>IF(AI575="","",IF(M625="","",M625))</f>
        <v/>
      </c>
      <c r="BJ625" s="136" t="str">
        <f>IF(AI575="","",IF(N625="","",N625))</f>
        <v/>
      </c>
      <c r="BK625" s="136" t="str">
        <f>IF(AI575="","",IF(O625="","",O625))</f>
        <v/>
      </c>
      <c r="BP625" s="136" t="str">
        <f>IF(BO625="","",COUNTIFS(AX579:BK626,BO625)*0.5)</f>
        <v/>
      </c>
      <c r="CA625" s="136">
        <f>'INFO BASE'!L702</f>
        <v>0</v>
      </c>
      <c r="CB625" s="136">
        <f>'INFO BASE'!M702</f>
        <v>0</v>
      </c>
      <c r="CR625" s="177">
        <f t="shared" si="358"/>
        <v>1</v>
      </c>
      <c r="CS625" s="177">
        <f t="shared" si="332"/>
        <v>1</v>
      </c>
      <c r="CT625" s="177">
        <f t="shared" si="358"/>
        <v>1</v>
      </c>
      <c r="CU625" s="177">
        <f t="shared" si="333"/>
        <v>1</v>
      </c>
      <c r="CV625" s="177">
        <f t="shared" si="358"/>
        <v>1</v>
      </c>
      <c r="CW625" s="177">
        <f t="shared" si="334"/>
        <v>1</v>
      </c>
      <c r="CX625" s="177">
        <f t="shared" si="358"/>
        <v>1</v>
      </c>
      <c r="CY625" s="177">
        <f t="shared" si="335"/>
        <v>1</v>
      </c>
      <c r="CZ625" s="177">
        <f t="shared" si="358"/>
        <v>1</v>
      </c>
      <c r="DA625" s="177">
        <f t="shared" si="336"/>
        <v>1</v>
      </c>
      <c r="DB625" s="177">
        <f t="shared" si="359"/>
        <v>1</v>
      </c>
      <c r="DC625" s="177">
        <f t="shared" si="337"/>
        <v>1</v>
      </c>
      <c r="DD625" s="177">
        <f t="shared" si="338"/>
        <v>1</v>
      </c>
      <c r="DE625" s="177">
        <f t="shared" si="339"/>
        <v>1</v>
      </c>
    </row>
    <row r="626" spans="1:120" ht="18" customHeight="1" thickBot="1" x14ac:dyDescent="0.35">
      <c r="A626" s="180">
        <v>0.97916666666669805</v>
      </c>
      <c r="B626" s="155"/>
      <c r="C626" s="156"/>
      <c r="D626" s="157"/>
      <c r="E626" s="156"/>
      <c r="F626" s="157"/>
      <c r="G626" s="156"/>
      <c r="H626" s="157"/>
      <c r="I626" s="156"/>
      <c r="J626" s="157"/>
      <c r="K626" s="156"/>
      <c r="L626" s="157"/>
      <c r="M626" s="156"/>
      <c r="N626" s="157"/>
      <c r="O626" s="158"/>
      <c r="P626" s="6">
        <v>0.2</v>
      </c>
      <c r="Q626" s="92" t="str">
        <f>IF('INFO BASE'!$C$29="","",'INFO BASE'!$C$29)</f>
        <v>Sono</v>
      </c>
      <c r="R626" s="93" t="str">
        <f t="shared" si="348"/>
        <v>HS</v>
      </c>
      <c r="S626" s="94">
        <f t="shared" si="345"/>
        <v>-1</v>
      </c>
      <c r="T626" s="95">
        <f>IF(VLOOKUP(Q626,'INFO BASE'!$B$40:$I$54,IF(R626='INFO BASE'!$B$32,3,IF(R626='INFO BASE'!$B$33,4,IF(R626='INFO BASE'!$B$34,5,IF(R626='INFO BASE'!$B$35,6,IF(R626='INFO BASE'!$B$36,7,IF(R626='INFO BASE'!$B$37,8,2)))))),0)=0,"",VLOOKUP(Q626,'INFO BASE'!$B$40:$I$54,IF(R626='INFO BASE'!$B$32,3,IF(R626='INFO BASE'!$B$33,4,IF(R626='INFO BASE'!$B$34,5,IF(R626='INFO BASE'!$B$35,6,IF(R626='INFO BASE'!$B$36,7,IF(R626='INFO BASE'!$B$37,8,2)))))),0))</f>
        <v>49</v>
      </c>
      <c r="U626" s="95">
        <f t="shared" si="357"/>
        <v>0</v>
      </c>
      <c r="V626" s="95">
        <f>IF(R626="","",COUNTIFS(AI579:AV626,R626)*0.5)</f>
        <v>0</v>
      </c>
      <c r="W626" s="96" t="str">
        <f>IF(AH575="","-",IF(V626=0,U626,IFERROR((U626/V626)-1,"-")))</f>
        <v>-</v>
      </c>
      <c r="X626" s="204">
        <f t="shared" si="346"/>
        <v>0</v>
      </c>
      <c r="Y626" s="274"/>
      <c r="Z626" s="275"/>
      <c r="AA626" s="275"/>
      <c r="AB626" s="275"/>
      <c r="AC626" s="275"/>
      <c r="AD626" s="275"/>
      <c r="AE626" s="275"/>
      <c r="AF626" s="276"/>
      <c r="AH626" s="136">
        <v>0.97916666666669805</v>
      </c>
      <c r="AI626" s="136" t="str">
        <f>IF(AH575="","",IF(B626="","",B626))</f>
        <v/>
      </c>
      <c r="AJ626" s="136" t="str">
        <f>IF(AH575="","",IF(C626="","",C626))</f>
        <v/>
      </c>
      <c r="AK626" s="136" t="str">
        <f>IF(AH575="","",IF(D626="","",D626))</f>
        <v/>
      </c>
      <c r="AL626" s="136" t="str">
        <f>IF(AH575="","",IF(E626="","",E626))</f>
        <v/>
      </c>
      <c r="AM626" s="136" t="str">
        <f>IF(AH575="","",IF(F626="","",F626))</f>
        <v/>
      </c>
      <c r="AN626" s="136" t="str">
        <f>IF(AH575="","",IF(G626="","",G626))</f>
        <v/>
      </c>
      <c r="AO626" s="136" t="str">
        <f>IF(AH575="","",IF(H626="","",H626))</f>
        <v/>
      </c>
      <c r="AP626" s="136" t="str">
        <f>IF(AH575="","",IF(I626="","",I626))</f>
        <v/>
      </c>
      <c r="AQ626" s="136" t="str">
        <f>IF(AH575="","",IF(J626="","",J626))</f>
        <v/>
      </c>
      <c r="AR626" s="136" t="str">
        <f>IF(AH575="","",IF(K626="","",K626))</f>
        <v/>
      </c>
      <c r="AS626" s="136" t="str">
        <f>IF(AH575="","",IF(L626="","",L626))</f>
        <v/>
      </c>
      <c r="AT626" s="136" t="str">
        <f>IF(AH575="","",IF(M626="","",M626))</f>
        <v/>
      </c>
      <c r="AU626" s="136" t="str">
        <f>IF(AH575="","",IF(N626="","",N626))</f>
        <v/>
      </c>
      <c r="AV626" s="136" t="str">
        <f>IF(AH575="","",IF(O626="","",O626))</f>
        <v/>
      </c>
      <c r="AX626" s="136" t="str">
        <f>IF(AI575="","",IF(B626="","",B626))</f>
        <v/>
      </c>
      <c r="AY626" s="136" t="str">
        <f>IF(AI575="","",IF(C626="","",C626))</f>
        <v/>
      </c>
      <c r="AZ626" s="136" t="str">
        <f>IF(AI575="","",IF(D626="","",D626))</f>
        <v/>
      </c>
      <c r="BA626" s="136" t="str">
        <f>IF(AI575="","",IF(E626="","",E626))</f>
        <v/>
      </c>
      <c r="BB626" s="136" t="str">
        <f>IF(AI575="","",IF(F626="","",F626))</f>
        <v/>
      </c>
      <c r="BC626" s="136" t="str">
        <f>IF(AI575="","",IF(G626="","",G626))</f>
        <v/>
      </c>
      <c r="BD626" s="136" t="str">
        <f>IF(AI575="","",IF(H626="","",H626))</f>
        <v/>
      </c>
      <c r="BE626" s="136" t="str">
        <f>IF(AI575="","",IF(I626="","",I626))</f>
        <v/>
      </c>
      <c r="BF626" s="136" t="str">
        <f>IF(AI575="","",IF(J626="","",J626))</f>
        <v/>
      </c>
      <c r="BG626" s="136" t="str">
        <f>IF(AI575="","",IF(K626="","",K626))</f>
        <v/>
      </c>
      <c r="BH626" s="136" t="str">
        <f>IF(AI575="","",IF(L626="","",L626))</f>
        <v/>
      </c>
      <c r="BI626" s="136" t="str">
        <f>IF(AI575="","",IF(M626="","",M626))</f>
        <v/>
      </c>
      <c r="BJ626" s="136" t="str">
        <f>IF(AI575="","",IF(N626="","",N626))</f>
        <v/>
      </c>
      <c r="BK626" s="136" t="str">
        <f>IF(AI575="","",IF(O626="","",O626))</f>
        <v/>
      </c>
      <c r="BP626" s="136" t="str">
        <f>IF(BO626="","",COUNTIFS(AX579:BK626,BO626)*0.5)</f>
        <v/>
      </c>
      <c r="CA626" s="136">
        <f>'INFO BASE'!L703</f>
        <v>0</v>
      </c>
      <c r="CB626" s="136">
        <f>'INFO BASE'!M703</f>
        <v>0</v>
      </c>
      <c r="CR626" s="177">
        <f t="shared" si="358"/>
        <v>1</v>
      </c>
      <c r="CS626" s="177">
        <f t="shared" si="332"/>
        <v>1</v>
      </c>
      <c r="CT626" s="177">
        <f t="shared" si="358"/>
        <v>1</v>
      </c>
      <c r="CU626" s="177">
        <f t="shared" si="333"/>
        <v>1</v>
      </c>
      <c r="CV626" s="177">
        <f t="shared" si="358"/>
        <v>1</v>
      </c>
      <c r="CW626" s="177">
        <f t="shared" si="334"/>
        <v>1</v>
      </c>
      <c r="CX626" s="177">
        <f t="shared" si="358"/>
        <v>1</v>
      </c>
      <c r="CY626" s="177">
        <f t="shared" si="335"/>
        <v>1</v>
      </c>
      <c r="CZ626" s="177">
        <f t="shared" si="358"/>
        <v>1</v>
      </c>
      <c r="DA626" s="177">
        <f t="shared" si="336"/>
        <v>1</v>
      </c>
      <c r="DB626" s="177">
        <f t="shared" si="359"/>
        <v>1</v>
      </c>
      <c r="DC626" s="177">
        <f t="shared" si="337"/>
        <v>1</v>
      </c>
      <c r="DD626" s="177">
        <f t="shared" si="338"/>
        <v>1</v>
      </c>
      <c r="DE626" s="177">
        <f t="shared" si="339"/>
        <v>1</v>
      </c>
    </row>
    <row r="627" spans="1:120" s="139" customFormat="1" ht="15" thickTop="1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7">
        <v>1</v>
      </c>
      <c r="Y627" s="6">
        <f>COUNTA(Y590:AF626)</f>
        <v>0</v>
      </c>
      <c r="Z627" s="6">
        <f>SUM(X590:X626)</f>
        <v>0</v>
      </c>
      <c r="AA627" s="6">
        <f>IF(Z627&gt;Y627,"ERRO",0)</f>
        <v>0</v>
      </c>
      <c r="AB627" s="6"/>
      <c r="AC627" s="6"/>
      <c r="AD627" s="6"/>
      <c r="AE627" s="6"/>
      <c r="AF627" s="6"/>
      <c r="AG627" s="6"/>
      <c r="BM627" s="136"/>
      <c r="BN627" s="136"/>
      <c r="BO627" s="136"/>
      <c r="BP627" s="136"/>
      <c r="BQ627" s="136"/>
      <c r="BR627" s="136"/>
      <c r="BS627" s="136"/>
      <c r="BT627" s="136"/>
      <c r="BU627" s="136"/>
      <c r="DN627" s="194"/>
      <c r="DO627" s="194"/>
      <c r="DP627" s="194"/>
    </row>
    <row r="628" spans="1:120" s="139" customFormat="1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7">
        <v>1</v>
      </c>
      <c r="Y628" s="6" t="s">
        <v>220</v>
      </c>
      <c r="Z628" s="6" t="s">
        <v>219</v>
      </c>
      <c r="AA628" s="6" t="s">
        <v>221</v>
      </c>
      <c r="AB628" s="6"/>
      <c r="AC628" s="6"/>
      <c r="AD628" s="6"/>
      <c r="AE628" s="6"/>
      <c r="AF628" s="6"/>
      <c r="AG628" s="6"/>
      <c r="BM628" s="136"/>
      <c r="BN628" s="136"/>
      <c r="BO628" s="136"/>
      <c r="BP628" s="136"/>
      <c r="BQ628" s="136"/>
      <c r="BR628" s="136"/>
      <c r="BS628" s="136"/>
      <c r="BT628" s="136"/>
      <c r="BU628" s="136"/>
      <c r="DN628" s="194"/>
      <c r="DO628" s="194"/>
      <c r="DP628" s="194"/>
    </row>
    <row r="629" spans="1:120" x14ac:dyDescent="0.3">
      <c r="X629" s="7">
        <v>1</v>
      </c>
    </row>
    <row r="630" spans="1:120" ht="15" thickBot="1" x14ac:dyDescent="0.35">
      <c r="X630" s="7">
        <v>1</v>
      </c>
    </row>
    <row r="631" spans="1:120" ht="38.25" customHeight="1" thickTop="1" thickBot="1" x14ac:dyDescent="0.35">
      <c r="A631" s="311" t="str">
        <f>IF(LEN(A574)=8,CONCATENATE("SEMANA ",RIGHT(A574,1)+1),CONCATENATE("SEMANA ",RIGHT(A574,2)+1))</f>
        <v>SEMANA 12</v>
      </c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3"/>
      <c r="AG631" s="12"/>
      <c r="CA631" s="136">
        <f>'INFO BASE'!L712</f>
        <v>0</v>
      </c>
      <c r="CB631" s="136">
        <f>'INFO BASE'!M712</f>
        <v>0</v>
      </c>
    </row>
    <row r="632" spans="1:120" ht="9" customHeight="1" thickTop="1" thickBot="1" x14ac:dyDescent="0.35">
      <c r="A632" s="139"/>
      <c r="B632" s="139"/>
      <c r="C632" s="140"/>
      <c r="D632" s="139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41">
        <v>1</v>
      </c>
      <c r="Y632" s="139"/>
      <c r="Z632" s="139"/>
      <c r="AA632" s="139"/>
      <c r="AB632" s="139"/>
      <c r="AC632" s="139"/>
      <c r="AD632" s="139"/>
      <c r="AE632" s="139"/>
      <c r="AF632" s="139"/>
      <c r="AG632" s="139"/>
      <c r="CA632" s="136">
        <f>'INFO BASE'!L713</f>
        <v>0</v>
      </c>
      <c r="CB632" s="136">
        <f>'INFO BASE'!M713</f>
        <v>0</v>
      </c>
    </row>
    <row r="633" spans="1:120" ht="30.75" customHeight="1" x14ac:dyDescent="0.3">
      <c r="A633" s="145"/>
      <c r="B633" s="314">
        <f>1-(CR633/673)</f>
        <v>0</v>
      </c>
      <c r="C633" s="315"/>
      <c r="D633" s="315"/>
      <c r="E633" s="315"/>
      <c r="F633" s="315"/>
      <c r="G633" s="315"/>
      <c r="H633" s="315"/>
      <c r="I633" s="315"/>
      <c r="J633" s="315"/>
      <c r="K633" s="315"/>
      <c r="L633" s="315"/>
      <c r="M633" s="315"/>
      <c r="N633" s="315"/>
      <c r="O633" s="316"/>
      <c r="Q633" s="205">
        <f>IF(OR(Q636="Registe aqui o que considera serem as suas três principais prioridades para a semana
(Dica - para criar paragráfos Alt+Enter)",LEN(Q636)&lt;10),1,0)</f>
        <v>1</v>
      </c>
      <c r="X633" s="7">
        <v>1</v>
      </c>
      <c r="AM633" s="136" t="str">
        <f>CONCATENATE("PLANEAMENTO ",I633)</f>
        <v xml:space="preserve">PLANEAMENTO </v>
      </c>
      <c r="AX633" s="136" t="str">
        <f>IF(AI632="","",IF(B633="","",B633))</f>
        <v/>
      </c>
      <c r="AY633" s="136" t="str">
        <f>IF(AI632="","",IF(C633="","",C633))</f>
        <v/>
      </c>
      <c r="AZ633" s="136" t="str">
        <f>IF(AI632="","",IF(D633="","",D633))</f>
        <v/>
      </c>
      <c r="BA633" s="136" t="str">
        <f>IF(AI632="","",IF(E633="","",E633))</f>
        <v/>
      </c>
      <c r="BB633" s="136" t="str">
        <f>IF(AI632="","",IF(F633="","",F633))</f>
        <v/>
      </c>
      <c r="BC633" s="136" t="str">
        <f>IF(AI632="","",IF(G633="","",G633))</f>
        <v/>
      </c>
      <c r="BD633" s="136" t="str">
        <f>IF(AI632="","",IF(H633="","",H633))</f>
        <v/>
      </c>
      <c r="BE633" s="136" t="str">
        <f>IF(AI632="","",IF(I633="","",I633))</f>
        <v/>
      </c>
      <c r="BF633" s="136" t="str">
        <f>IF(AI632="","",IF(J633="","",J633))</f>
        <v/>
      </c>
      <c r="BG633" s="136" t="str">
        <f>IF(AI632="","",IF(K633="","",K633))</f>
        <v/>
      </c>
      <c r="BH633" s="136" t="str">
        <f>IF(AI632="","",IF(L633="","",L633))</f>
        <v/>
      </c>
      <c r="BI633" s="136" t="str">
        <f>IF(AI632="","",IF(M633="","",M633))</f>
        <v/>
      </c>
      <c r="BJ633" s="136" t="str">
        <f>IF(AI632="","",IF(N633="","",N633))</f>
        <v/>
      </c>
      <c r="BK633" s="136" t="str">
        <f>IF(AI632="","",IF(O633="","",O633))</f>
        <v/>
      </c>
      <c r="CA633" s="136">
        <f>'INFO BASE'!L699</f>
        <v>0</v>
      </c>
      <c r="CB633" s="136">
        <f>'INFO BASE'!M699</f>
        <v>0</v>
      </c>
      <c r="CR633" s="136">
        <f>SUM(CR636:DE683,Q633)</f>
        <v>673</v>
      </c>
    </row>
    <row r="634" spans="1:120" ht="37.5" customHeight="1" thickBot="1" x14ac:dyDescent="0.35">
      <c r="A634" s="146"/>
      <c r="B634" s="330" t="str">
        <f>CONCATENATE("Segunda ",CHAR(10),TEXT(B635,"dd-mm-aaaa"))</f>
        <v>Segunda 
30-11-2015</v>
      </c>
      <c r="C634" s="317"/>
      <c r="D634" s="317" t="str">
        <f>CONCATENATE("Terça ",CHAR(10),TEXT(D635,"dd-mm-aaaa"))</f>
        <v>Terça 
01-12-2015</v>
      </c>
      <c r="E634" s="317"/>
      <c r="F634" s="317" t="str">
        <f>CONCATENATE("Quarta ",CHAR(10),TEXT(F635,"dd-mm-aaaa"))</f>
        <v>Quarta 
02-12-2015</v>
      </c>
      <c r="G634" s="317"/>
      <c r="H634" s="317" t="str">
        <f>CONCATENATE("Quinta ",CHAR(10),TEXT(H635,"dd-mm-aaaa"))</f>
        <v>Quinta 
03-12-2015</v>
      </c>
      <c r="I634" s="317"/>
      <c r="J634" s="317" t="str">
        <f>CONCATENATE("Sexta ",CHAR(10),TEXT(J635,"dd-mm-aaaa"))</f>
        <v>Sexta 
04-12-2015</v>
      </c>
      <c r="K634" s="317"/>
      <c r="L634" s="317" t="str">
        <f>CONCATENATE("Sábado ",CHAR(10),TEXT(L635,"dd-mm-aaaa"))</f>
        <v>Sábado 
05-12-2015</v>
      </c>
      <c r="M634" s="317"/>
      <c r="N634" s="317" t="str">
        <f>CONCATENATE("Domingo ",CHAR(10),TEXT(N635,"dd-mm-aaaa"))</f>
        <v>Domingo 
06-12-2015</v>
      </c>
      <c r="O634" s="329"/>
      <c r="Q634" s="55" t="str">
        <f>'INFO BASE'!$L$3</f>
        <v>PRIORIDADES PARA ESTA SEMANA</v>
      </c>
      <c r="R634" s="132"/>
      <c r="S634" s="132"/>
      <c r="T634" s="132"/>
      <c r="U634" s="132"/>
      <c r="V634" s="132"/>
      <c r="W634" s="195" t="str">
        <f>CONCATENATE("HORÁRIO ",'INFO BASE'!$C$6,"_",'INFO BASE'!$C$5,": ",UPPER(A631))</f>
        <v>HORÁRIO André Fonseca_84698: SEMANA 12</v>
      </c>
      <c r="X634" s="198">
        <v>1</v>
      </c>
      <c r="Y634" s="261" t="str">
        <f>'INFO BASE'!$L$1</f>
        <v>MOMENTOS AVALIATIVOS</v>
      </c>
      <c r="Z634" s="261"/>
      <c r="AA634" s="261"/>
      <c r="AB634" s="261"/>
      <c r="AC634" s="261" t="s">
        <v>215</v>
      </c>
      <c r="AD634" s="261"/>
      <c r="AE634" s="261"/>
      <c r="AF634" s="261"/>
      <c r="AI634" s="136" t="str">
        <f>B634</f>
        <v>Segunda 
30-11-2015</v>
      </c>
      <c r="AK634" s="136" t="str">
        <f>D634</f>
        <v>Terça 
01-12-2015</v>
      </c>
      <c r="AM634" s="136" t="str">
        <f>F634</f>
        <v>Quarta 
02-12-2015</v>
      </c>
      <c r="AO634" s="136" t="str">
        <f>H634</f>
        <v>Quinta 
03-12-2015</v>
      </c>
      <c r="AQ634" s="136" t="str">
        <f>J634</f>
        <v>Sexta 
04-12-2015</v>
      </c>
      <c r="AS634" s="136" t="str">
        <f>L634</f>
        <v>Sábado 
05-12-2015</v>
      </c>
      <c r="AU634" s="136" t="str">
        <f>N634</f>
        <v>Domingo 
06-12-2015</v>
      </c>
      <c r="AX634" s="136" t="str">
        <f>IF(AI632="","",IF(B634="","",B634))</f>
        <v/>
      </c>
      <c r="AY634" s="136" t="str">
        <f>IF(AI632="","",IF(C634="","",C634))</f>
        <v/>
      </c>
      <c r="AZ634" s="136" t="str">
        <f>IF(AI632="","",IF(D634="","",D634))</f>
        <v/>
      </c>
      <c r="BA634" s="136" t="str">
        <f>IF(AI632="","",IF(E634="","",E634))</f>
        <v/>
      </c>
      <c r="BB634" s="136" t="str">
        <f>IF(AI632="","",IF(F634="","",F634))</f>
        <v/>
      </c>
      <c r="BC634" s="136" t="str">
        <f>IF(AI632="","",IF(G634="","",G634))</f>
        <v/>
      </c>
      <c r="BD634" s="136" t="str">
        <f>IF(AI632="","",IF(H634="","",H634))</f>
        <v/>
      </c>
      <c r="BE634" s="136" t="str">
        <f>IF(AI632="","",IF(I634="","",I634))</f>
        <v/>
      </c>
      <c r="BF634" s="136" t="str">
        <f>IF(AI632="","",IF(J634="","",J634))</f>
        <v/>
      </c>
      <c r="BG634" s="136" t="str">
        <f>IF(AI632="","",IF(K634="","",K634))</f>
        <v/>
      </c>
      <c r="BH634" s="136" t="str">
        <f>IF(AI632="","",IF(L634="","",L634))</f>
        <v/>
      </c>
      <c r="BI634" s="136" t="str">
        <f>IF(AI632="","",IF(M634="","",M634))</f>
        <v/>
      </c>
      <c r="BJ634" s="136" t="str">
        <f>IF(AI632="","",IF(N634="","",N634))</f>
        <v/>
      </c>
      <c r="BK634" s="136" t="str">
        <f>IF(AI632="","",IF(O634="","",O634))</f>
        <v/>
      </c>
      <c r="CA634" s="136">
        <f>'INFO BASE'!L693</f>
        <v>0</v>
      </c>
      <c r="CB634" s="136">
        <f>'INFO BASE'!M693</f>
        <v>0</v>
      </c>
    </row>
    <row r="635" spans="1:120" ht="21" hidden="1" customHeight="1" x14ac:dyDescent="0.3">
      <c r="A635" s="142"/>
      <c r="B635" s="333">
        <f>N578+1</f>
        <v>42338</v>
      </c>
      <c r="C635" s="334"/>
      <c r="D635" s="334">
        <f>B635+1</f>
        <v>42339</v>
      </c>
      <c r="E635" s="334"/>
      <c r="F635" s="334">
        <f>D635+1</f>
        <v>42340</v>
      </c>
      <c r="G635" s="334"/>
      <c r="H635" s="334">
        <f>F635+1</f>
        <v>42341</v>
      </c>
      <c r="I635" s="334"/>
      <c r="J635" s="334">
        <f>H635+1</f>
        <v>42342</v>
      </c>
      <c r="K635" s="334"/>
      <c r="L635" s="334">
        <f>J635+1</f>
        <v>42343</v>
      </c>
      <c r="M635" s="334"/>
      <c r="N635" s="334">
        <f>L635+1</f>
        <v>42344</v>
      </c>
      <c r="O635" s="334"/>
      <c r="Q635" s="132"/>
      <c r="R635" s="132"/>
      <c r="S635" s="132"/>
      <c r="T635" s="132"/>
      <c r="U635" s="132"/>
      <c r="V635" s="132"/>
      <c r="W635" s="132"/>
      <c r="X635" s="198">
        <v>1</v>
      </c>
      <c r="Y635" s="132"/>
      <c r="Z635" s="132"/>
      <c r="AA635" s="132"/>
      <c r="AB635" s="131"/>
      <c r="AC635" s="131"/>
      <c r="AD635" s="131"/>
      <c r="AE635" s="131"/>
      <c r="AF635" s="131"/>
      <c r="AI635" s="136">
        <f>B635</f>
        <v>42338</v>
      </c>
      <c r="AK635" s="136">
        <f>D635</f>
        <v>42339</v>
      </c>
      <c r="AM635" s="136">
        <f>F635</f>
        <v>42340</v>
      </c>
      <c r="AO635" s="136">
        <f>H635</f>
        <v>42341</v>
      </c>
      <c r="AQ635" s="136">
        <f>J635</f>
        <v>42342</v>
      </c>
      <c r="AS635" s="136">
        <f>L635</f>
        <v>42343</v>
      </c>
      <c r="AU635" s="136">
        <f>N635</f>
        <v>42344</v>
      </c>
      <c r="AX635" s="136" t="str">
        <f>IF(AI632="","",IF(B635="","",B635))</f>
        <v/>
      </c>
      <c r="AY635" s="136" t="str">
        <f>IF(AI632="","",IF(C635="","",C635))</f>
        <v/>
      </c>
      <c r="AZ635" s="136" t="str">
        <f>IF(AI632="","",IF(D635="","",D635))</f>
        <v/>
      </c>
      <c r="BA635" s="136" t="str">
        <f>IF(AI632="","",IF(E635="","",E635))</f>
        <v/>
      </c>
      <c r="BB635" s="136" t="str">
        <f>IF(AI632="","",IF(F635="","",F635))</f>
        <v/>
      </c>
      <c r="BC635" s="136" t="str">
        <f>IF(AI632="","",IF(G635="","",G635))</f>
        <v/>
      </c>
      <c r="BD635" s="136" t="str">
        <f>IF(AI632="","",IF(H635="","",H635))</f>
        <v/>
      </c>
      <c r="BE635" s="136" t="str">
        <f>IF(AI632="","",IF(I635="","",I635))</f>
        <v/>
      </c>
      <c r="BF635" s="136" t="str">
        <f>IF(AI632="","",IF(J635="","",J635))</f>
        <v/>
      </c>
      <c r="BG635" s="136" t="str">
        <f>IF(AI632="","",IF(K635="","",K635))</f>
        <v/>
      </c>
      <c r="BH635" s="136" t="str">
        <f>IF(AI632="","",IF(L635="","",L635))</f>
        <v/>
      </c>
      <c r="BI635" s="136" t="str">
        <f>IF(AI632="","",IF(M635="","",M635))</f>
        <v/>
      </c>
      <c r="BJ635" s="136" t="str">
        <f>IF(AI632="","",IF(N635="","",N635))</f>
        <v/>
      </c>
      <c r="BK635" s="136" t="str">
        <f>IF(AI632="","",IF(O635="","",O635))</f>
        <v/>
      </c>
      <c r="CA635" s="136">
        <f>'INFO BASE'!L705</f>
        <v>0</v>
      </c>
      <c r="CB635" s="136">
        <f>'INFO BASE'!M705</f>
        <v>0</v>
      </c>
    </row>
    <row r="636" spans="1:120" ht="18" customHeight="1" thickTop="1" x14ac:dyDescent="0.3">
      <c r="A636" s="81">
        <v>0</v>
      </c>
      <c r="B636" s="149"/>
      <c r="C636" s="150"/>
      <c r="D636" s="151"/>
      <c r="E636" s="150"/>
      <c r="F636" s="151"/>
      <c r="G636" s="150"/>
      <c r="H636" s="151"/>
      <c r="I636" s="150"/>
      <c r="J636" s="151"/>
      <c r="K636" s="150"/>
      <c r="L636" s="151"/>
      <c r="M636" s="150"/>
      <c r="N636" s="151"/>
      <c r="O636" s="152"/>
      <c r="Q636" s="281" t="s">
        <v>216</v>
      </c>
      <c r="R636" s="282"/>
      <c r="S636" s="282"/>
      <c r="T636" s="282"/>
      <c r="U636" s="282"/>
      <c r="V636" s="282"/>
      <c r="W636" s="283"/>
      <c r="X636" s="199">
        <v>1</v>
      </c>
      <c r="Y636" s="268" t="str">
        <f t="array" ref="Y636">IF(ISERROR(INDEX($CA$2:$CB$200,SMALL(IF($CA$2:$CA$200=$A$631,ROW($CA$2:$CA$200)),ROW(1:1))-1,2)),"",INDEX($CA$2:$CB$200,SMALL(IF($CA$2:$CA$200=$A$631,ROW($CA$2:$CA$200)),ROW(1:1))-1,2))</f>
        <v/>
      </c>
      <c r="Z636" s="269"/>
      <c r="AA636" s="269"/>
      <c r="AB636" s="269"/>
      <c r="AC636" s="269"/>
      <c r="AD636" s="269"/>
      <c r="AE636" s="269"/>
      <c r="AF636" s="270"/>
      <c r="AH636" s="136">
        <v>0</v>
      </c>
      <c r="AI636" s="136" t="str">
        <f>IF(AH632="","",IF(B636="","",B636))</f>
        <v/>
      </c>
      <c r="AJ636" s="136" t="str">
        <f>IF(AH632="","",IF(C636="","",C636))</f>
        <v/>
      </c>
      <c r="AK636" s="136" t="str">
        <f>IF(AH632="","",IF(D636="","",D636))</f>
        <v/>
      </c>
      <c r="AL636" s="136" t="str">
        <f>IF(AH632="","",IF(E636="","",E636))</f>
        <v/>
      </c>
      <c r="AM636" s="136" t="str">
        <f>IF(AH632="","",IF(F636="","",F636))</f>
        <v/>
      </c>
      <c r="AN636" s="136" t="str">
        <f>IF(AH632="","",IF(G636="","",G636))</f>
        <v/>
      </c>
      <c r="AO636" s="136" t="str">
        <f>IF(AH632="","",IF(H636="","",H636))</f>
        <v/>
      </c>
      <c r="AP636" s="136" t="str">
        <f>IF(AH632="","",IF(I636="","",I636))</f>
        <v/>
      </c>
      <c r="AQ636" s="136" t="str">
        <f>IF(AH632="","",IF(J636="","",J636))</f>
        <v/>
      </c>
      <c r="AR636" s="136" t="str">
        <f>IF(AH632="","",IF(K636="","",K636))</f>
        <v/>
      </c>
      <c r="AS636" s="136" t="str">
        <f>IF(AH632="","",IF(L636="","",L636))</f>
        <v/>
      </c>
      <c r="AT636" s="136" t="str">
        <f>IF(AH632="","",IF(M636="","",M636))</f>
        <v/>
      </c>
      <c r="AU636" s="136" t="str">
        <f>IF(AH632="","",IF(N636="","",N636))</f>
        <v/>
      </c>
      <c r="AV636" s="136" t="str">
        <f>IF(AH632="","",IF(O636="","",O636))</f>
        <v/>
      </c>
      <c r="AX636" s="136" t="str">
        <f>IF(AI632="","",IF(B636="","",B636))</f>
        <v/>
      </c>
      <c r="AY636" s="136" t="str">
        <f>IF(AI632="","",IF(C636="","",C636))</f>
        <v/>
      </c>
      <c r="AZ636" s="136" t="str">
        <f>IF(AI632="","",IF(D636="","",D636))</f>
        <v/>
      </c>
      <c r="BA636" s="136" t="str">
        <f>IF(AI632="","",IF(E636="","",E636))</f>
        <v/>
      </c>
      <c r="BB636" s="136" t="str">
        <f>IF(AI632="","",IF(F636="","",F636))</f>
        <v/>
      </c>
      <c r="BC636" s="136" t="str">
        <f>IF(AI632="","",IF(G636="","",G636))</f>
        <v/>
      </c>
      <c r="BD636" s="136" t="str">
        <f>IF(AI632="","",IF(H636="","",H636))</f>
        <v/>
      </c>
      <c r="BE636" s="136" t="str">
        <f>IF(AI632="","",IF(I636="","",I636))</f>
        <v/>
      </c>
      <c r="BF636" s="136" t="str">
        <f>IF(AI632="","",IF(J636="","",J636))</f>
        <v/>
      </c>
      <c r="BG636" s="136" t="str">
        <f>IF(AI632="","",IF(K636="","",K636))</f>
        <v/>
      </c>
      <c r="BH636" s="136" t="str">
        <f>IF(AI632="","",IF(L636="","",L636))</f>
        <v/>
      </c>
      <c r="BI636" s="136" t="str">
        <f>IF(AI632="","",IF(M636="","",M636))</f>
        <v/>
      </c>
      <c r="BJ636" s="136" t="str">
        <f>IF(AI632="","",IF(N636="","",N636))</f>
        <v/>
      </c>
      <c r="BK636" s="136" t="str">
        <f>IF(AI632="","",IF(O636="","",O636))</f>
        <v/>
      </c>
      <c r="CA636" s="136">
        <f>'INFO BASE'!L706</f>
        <v>0</v>
      </c>
      <c r="CB636" s="136">
        <f>'INFO BASE'!M706</f>
        <v>0</v>
      </c>
      <c r="CD636" s="136">
        <f>COUNTA('INFO BASE'!E660:E665)+6</f>
        <v>6</v>
      </c>
      <c r="CR636" s="177">
        <f>IF(B636="",1,B636)</f>
        <v>1</v>
      </c>
      <c r="CS636" s="177">
        <f>IF(B636="PV",0,IFERROR(VLOOKUP(CONCATENATE(B636,C636),$DK$9:$DK$72,1,0),1))</f>
        <v>1</v>
      </c>
      <c r="CT636" s="177">
        <f>IF(D636="",1,D636)</f>
        <v>1</v>
      </c>
      <c r="CU636" s="177">
        <f>IF(D636="PV",0,IFERROR(VLOOKUP(CONCATENATE(D636,E636),$DK$9:$DK$72,1,0),1))</f>
        <v>1</v>
      </c>
      <c r="CV636" s="177">
        <f>IF(F636="",1,F636)</f>
        <v>1</v>
      </c>
      <c r="CW636" s="177">
        <f>IF(F636="PV",0,IFERROR(VLOOKUP(CONCATENATE(F636,G636),$DK$9:$DK$72,1,0),1))</f>
        <v>1</v>
      </c>
      <c r="CX636" s="177">
        <f>IF(H636="",1,H636)</f>
        <v>1</v>
      </c>
      <c r="CY636" s="177">
        <f>IF(H636="PV",0,IFERROR(VLOOKUP(CONCATENATE(H636,I636),$DK$9:$DK$72,1,0),1))</f>
        <v>1</v>
      </c>
      <c r="CZ636" s="177">
        <f>IF(J636="",1,J636)</f>
        <v>1</v>
      </c>
      <c r="DA636" s="177">
        <f>IF(J636="PV",0,IFERROR(VLOOKUP(CONCATENATE(J636,K636),$DK$9:$DK$72,1,0),1))</f>
        <v>1</v>
      </c>
      <c r="DB636" s="177">
        <f>IF(L636="",1,L636)</f>
        <v>1</v>
      </c>
      <c r="DC636" s="177">
        <f>IF(L636="PV",0,IFERROR(VLOOKUP(CONCATENATE(L636,M636),$DK$9:$DK$72,1,0),1))</f>
        <v>1</v>
      </c>
      <c r="DD636" s="177">
        <f>IF(N636="",1,N636)</f>
        <v>1</v>
      </c>
      <c r="DE636" s="177">
        <f>IF(N636="PV",0,IFERROR(VLOOKUP(CONCATENATE(N636,O636),$DK$9:$DK$72,1,0),1))</f>
        <v>1</v>
      </c>
    </row>
    <row r="637" spans="1:120" ht="18" customHeight="1" x14ac:dyDescent="0.3">
      <c r="A637" s="81">
        <v>2.0833333333333998E-2</v>
      </c>
      <c r="B637" s="153"/>
      <c r="C637" s="130"/>
      <c r="D637" s="135"/>
      <c r="E637" s="130"/>
      <c r="F637" s="135"/>
      <c r="G637" s="130"/>
      <c r="H637" s="135"/>
      <c r="I637" s="130"/>
      <c r="J637" s="135"/>
      <c r="K637" s="130"/>
      <c r="L637" s="135"/>
      <c r="M637" s="130"/>
      <c r="N637" s="135"/>
      <c r="O637" s="154"/>
      <c r="Q637" s="284"/>
      <c r="R637" s="285"/>
      <c r="S637" s="285"/>
      <c r="T637" s="285"/>
      <c r="U637" s="285"/>
      <c r="V637" s="285"/>
      <c r="W637" s="286"/>
      <c r="X637" s="199">
        <v>1</v>
      </c>
      <c r="Y637" s="262" t="str">
        <f t="array" ref="Y637">IF(ISERROR(INDEX($CA$2:$CB$200,SMALL(IF($CA$2:$CA$200=$A$631,ROW($CA$2:$CA$200)),ROW(2:2))-1,2)),"",INDEX($CA$2:$CB$200,SMALL(IF($CA$2:$CA$200=$A$631,ROW($CA$2:$CA$200)),ROW(2:2))-1,2))</f>
        <v/>
      </c>
      <c r="Z637" s="263"/>
      <c r="AA637" s="263"/>
      <c r="AB637" s="263"/>
      <c r="AC637" s="263"/>
      <c r="AD637" s="263"/>
      <c r="AE637" s="263"/>
      <c r="AF637" s="264"/>
      <c r="AH637" s="136">
        <v>2.0833333333333998E-2</v>
      </c>
      <c r="AI637" s="136" t="str">
        <f>IF(AH632="","",IF(B637="","",B637))</f>
        <v/>
      </c>
      <c r="AJ637" s="136" t="str">
        <f>IF(AH632="","",IF(C637="","",C637))</f>
        <v/>
      </c>
      <c r="AK637" s="136" t="str">
        <f>IF(AH632="","",IF(D637="","",D637))</f>
        <v/>
      </c>
      <c r="AL637" s="136" t="str">
        <f>IF(AH632="","",IF(E637="","",E637))</f>
        <v/>
      </c>
      <c r="AM637" s="136" t="str">
        <f>IF(AH632="","",IF(F637="","",F637))</f>
        <v/>
      </c>
      <c r="AN637" s="136" t="str">
        <f>IF(AH632="","",IF(G637="","",G637))</f>
        <v/>
      </c>
      <c r="AO637" s="136" t="str">
        <f>IF(AH632="","",IF(H637="","",H637))</f>
        <v/>
      </c>
      <c r="AP637" s="136" t="str">
        <f>IF(AH632="","",IF(I637="","",I637))</f>
        <v/>
      </c>
      <c r="AQ637" s="136" t="str">
        <f>IF(AH632="","",IF(J637="","",J637))</f>
        <v/>
      </c>
      <c r="AR637" s="136" t="str">
        <f>IF(AH632="","",IF(K637="","",K637))</f>
        <v/>
      </c>
      <c r="AS637" s="136" t="str">
        <f>IF(AH632="","",IF(L637="","",L637))</f>
        <v/>
      </c>
      <c r="AT637" s="136" t="str">
        <f>IF(AH632="","",IF(M637="","",M637))</f>
        <v/>
      </c>
      <c r="AU637" s="136" t="str">
        <f>IF(AH632="","",IF(N637="","",N637))</f>
        <v/>
      </c>
      <c r="AV637" s="136" t="str">
        <f>IF(AH632="","",IF(O637="","",O637))</f>
        <v/>
      </c>
      <c r="AX637" s="136" t="str">
        <f>IF(AI632="","",IF(B637="","",B637))</f>
        <v/>
      </c>
      <c r="AY637" s="136" t="str">
        <f>IF(AI632="","",IF(C637="","",C637))</f>
        <v/>
      </c>
      <c r="AZ637" s="136" t="str">
        <f>IF(AI632="","",IF(D637="","",D637))</f>
        <v/>
      </c>
      <c r="BA637" s="136" t="str">
        <f>IF(AI632="","",IF(E637="","",E637))</f>
        <v/>
      </c>
      <c r="BB637" s="136" t="str">
        <f>IF(AI632="","",IF(F637="","",F637))</f>
        <v/>
      </c>
      <c r="BC637" s="136" t="str">
        <f>IF(AI632="","",IF(G637="","",G637))</f>
        <v/>
      </c>
      <c r="BD637" s="136" t="str">
        <f>IF(AI632="","",IF(H637="","",H637))</f>
        <v/>
      </c>
      <c r="BE637" s="136" t="str">
        <f>IF(AI632="","",IF(I637="","",I637))</f>
        <v/>
      </c>
      <c r="BF637" s="136" t="str">
        <f>IF(AI632="","",IF(J637="","",J637))</f>
        <v/>
      </c>
      <c r="BG637" s="136" t="str">
        <f>IF(AI632="","",IF(K637="","",K637))</f>
        <v/>
      </c>
      <c r="BH637" s="136" t="str">
        <f>IF(AI632="","",IF(L637="","",L637))</f>
        <v/>
      </c>
      <c r="BI637" s="136" t="str">
        <f>IF(AI632="","",IF(M637="","",M637))</f>
        <v/>
      </c>
      <c r="BJ637" s="136" t="str">
        <f>IF(AI632="","",IF(N637="","",N637))</f>
        <v/>
      </c>
      <c r="BK637" s="136" t="str">
        <f>IF(AI632="","",IF(O637="","",O637))</f>
        <v/>
      </c>
      <c r="CA637" s="136">
        <f>'INFO BASE'!L707</f>
        <v>0</v>
      </c>
      <c r="CB637" s="136">
        <f>'INFO BASE'!M707</f>
        <v>0</v>
      </c>
      <c r="CR637" s="177">
        <f t="shared" ref="CR637:DB679" si="360">IF(B637="",1,B637)</f>
        <v>1</v>
      </c>
      <c r="CS637" s="177">
        <f t="shared" ref="CS637:CS683" si="361">IF(B637="PV",0,IFERROR(VLOOKUP(CONCATENATE(B637,C637),$DK$9:$DK$72,1,0),1))</f>
        <v>1</v>
      </c>
      <c r="CT637" s="177">
        <f t="shared" si="360"/>
        <v>1</v>
      </c>
      <c r="CU637" s="177">
        <f t="shared" ref="CU637:CU683" si="362">IF(D637="PV",0,IFERROR(VLOOKUP(CONCATENATE(D637,E637),$DK$9:$DK$72,1,0),1))</f>
        <v>1</v>
      </c>
      <c r="CV637" s="177">
        <f t="shared" si="360"/>
        <v>1</v>
      </c>
      <c r="CW637" s="177">
        <f t="shared" ref="CW637:CW683" si="363">IF(F637="PV",0,IFERROR(VLOOKUP(CONCATENATE(F637,G637),$DK$9:$DK$72,1,0),1))</f>
        <v>1</v>
      </c>
      <c r="CX637" s="177">
        <f t="shared" si="360"/>
        <v>1</v>
      </c>
      <c r="CY637" s="177">
        <f t="shared" ref="CY637:CY683" si="364">IF(H637="PV",0,IFERROR(VLOOKUP(CONCATENATE(H637,I637),$DK$9:$DK$72,1,0),1))</f>
        <v>1</v>
      </c>
      <c r="CZ637" s="177">
        <f t="shared" si="360"/>
        <v>1</v>
      </c>
      <c r="DA637" s="177">
        <f t="shared" ref="DA637:DA683" si="365">IF(J637="PV",0,IFERROR(VLOOKUP(CONCATENATE(J637,K637),$DK$9:$DK$72,1,0),1))</f>
        <v>1</v>
      </c>
      <c r="DB637" s="177">
        <f t="shared" si="360"/>
        <v>1</v>
      </c>
      <c r="DC637" s="177">
        <f t="shared" ref="DC637:DC683" si="366">IF(L637="PV",0,IFERROR(VLOOKUP(CONCATENATE(L637,M637),$DK$9:$DK$72,1,0),1))</f>
        <v>1</v>
      </c>
      <c r="DD637" s="177">
        <f t="shared" ref="DD637:DD683" si="367">IF(N637="",1,N637)</f>
        <v>1</v>
      </c>
      <c r="DE637" s="177">
        <f t="shared" ref="DE637:DE683" si="368">IF(N637="PV",0,IFERROR(VLOOKUP(CONCATENATE(N637,O637),$DK$9:$DK$72,1,0),1))</f>
        <v>1</v>
      </c>
    </row>
    <row r="638" spans="1:120" ht="18" customHeight="1" x14ac:dyDescent="0.3">
      <c r="A638" s="81">
        <v>4.1666666666667997E-2</v>
      </c>
      <c r="B638" s="153"/>
      <c r="C638" s="130"/>
      <c r="D638" s="135"/>
      <c r="E638" s="130"/>
      <c r="F638" s="135"/>
      <c r="G638" s="130"/>
      <c r="H638" s="135"/>
      <c r="I638" s="130"/>
      <c r="J638" s="135"/>
      <c r="K638" s="130"/>
      <c r="L638" s="135"/>
      <c r="M638" s="130"/>
      <c r="N638" s="135"/>
      <c r="O638" s="154"/>
      <c r="Q638" s="284"/>
      <c r="R638" s="285"/>
      <c r="S638" s="285"/>
      <c r="T638" s="285"/>
      <c r="U638" s="285"/>
      <c r="V638" s="285"/>
      <c r="W638" s="286"/>
      <c r="X638" s="199">
        <v>1</v>
      </c>
      <c r="Y638" s="262" t="str">
        <f t="array" ref="Y638">IF(ISERROR(INDEX($CA$2:$CB$200,SMALL(IF($CA$2:$CA$200=$A$631,ROW($CA$2:$CA$200)),ROW(3:3))-1,2)),"",INDEX($CA$2:$CB$200,SMALL(IF($CA$2:$CA$200=$A$631,ROW($CA$2:$CA$200)),ROW(3:3))-1,2))</f>
        <v/>
      </c>
      <c r="Z638" s="263"/>
      <c r="AA638" s="263"/>
      <c r="AB638" s="263"/>
      <c r="AC638" s="263"/>
      <c r="AD638" s="263"/>
      <c r="AE638" s="263"/>
      <c r="AF638" s="264"/>
      <c r="AH638" s="136">
        <v>4.1666666666667997E-2</v>
      </c>
      <c r="AI638" s="136" t="str">
        <f>IF(AH632="","",IF(B638="","",B638))</f>
        <v/>
      </c>
      <c r="AJ638" s="136" t="str">
        <f>IF(AH632="","",IF(C638="","",C638))</f>
        <v/>
      </c>
      <c r="AK638" s="136" t="str">
        <f>IF(AH632="","",IF(D638="","",D638))</f>
        <v/>
      </c>
      <c r="AL638" s="136" t="str">
        <f>IF(AH632="","",IF(E638="","",E638))</f>
        <v/>
      </c>
      <c r="AM638" s="136" t="str">
        <f>IF(AH632="","",IF(F638="","",F638))</f>
        <v/>
      </c>
      <c r="AN638" s="136" t="str">
        <f>IF(AH632="","",IF(G638="","",G638))</f>
        <v/>
      </c>
      <c r="AO638" s="136" t="str">
        <f>IF(AH632="","",IF(H638="","",H638))</f>
        <v/>
      </c>
      <c r="AP638" s="136" t="str">
        <f>IF(AH632="","",IF(I638="","",I638))</f>
        <v/>
      </c>
      <c r="AQ638" s="136" t="str">
        <f>IF(AH632="","",IF(J638="","",J638))</f>
        <v/>
      </c>
      <c r="AR638" s="136" t="str">
        <f>IF(AH632="","",IF(K638="","",K638))</f>
        <v/>
      </c>
      <c r="AS638" s="136" t="str">
        <f>IF(AH632="","",IF(L638="","",L638))</f>
        <v/>
      </c>
      <c r="AT638" s="136" t="str">
        <f>IF(AH632="","",IF(M638="","",M638))</f>
        <v/>
      </c>
      <c r="AU638" s="136" t="str">
        <f>IF(AH632="","",IF(N638="","",N638))</f>
        <v/>
      </c>
      <c r="AV638" s="136" t="str">
        <f>IF(AH632="","",IF(O638="","",O638))</f>
        <v/>
      </c>
      <c r="AX638" s="136" t="str">
        <f>IF(AI632="","",IF(B638="","",B638))</f>
        <v/>
      </c>
      <c r="AY638" s="136" t="str">
        <f>IF(AI632="","",IF(C638="","",C638))</f>
        <v/>
      </c>
      <c r="AZ638" s="136" t="str">
        <f>IF(AI632="","",IF(D638="","",D638))</f>
        <v/>
      </c>
      <c r="BA638" s="136" t="str">
        <f>IF(AI632="","",IF(E638="","",E638))</f>
        <v/>
      </c>
      <c r="BB638" s="136" t="str">
        <f>IF(AI632="","",IF(F638="","",F638))</f>
        <v/>
      </c>
      <c r="BC638" s="136" t="str">
        <f>IF(AI632="","",IF(G638="","",G638))</f>
        <v/>
      </c>
      <c r="BD638" s="136" t="str">
        <f>IF(AI632="","",IF(H638="","",H638))</f>
        <v/>
      </c>
      <c r="BE638" s="136" t="str">
        <f>IF(AI632="","",IF(I638="","",I638))</f>
        <v/>
      </c>
      <c r="BF638" s="136" t="str">
        <f>IF(AI632="","",IF(J638="","",J638))</f>
        <v/>
      </c>
      <c r="BG638" s="136" t="str">
        <f>IF(AI632="","",IF(K638="","",K638))</f>
        <v/>
      </c>
      <c r="BH638" s="136" t="str">
        <f>IF(AI632="","",IF(L638="","",L638))</f>
        <v/>
      </c>
      <c r="BI638" s="136" t="str">
        <f>IF(AI632="","",IF(M638="","",M638))</f>
        <v/>
      </c>
      <c r="BJ638" s="136" t="str">
        <f>IF(AI632="","",IF(N638="","",N638))</f>
        <v/>
      </c>
      <c r="BK638" s="136" t="str">
        <f>IF(AI632="","",IF(O638="","",O638))</f>
        <v/>
      </c>
      <c r="CA638" s="136">
        <f>'INFO BASE'!L708</f>
        <v>0</v>
      </c>
      <c r="CB638" s="136">
        <f>'INFO BASE'!M708</f>
        <v>0</v>
      </c>
      <c r="CR638" s="177">
        <f t="shared" si="360"/>
        <v>1</v>
      </c>
      <c r="CS638" s="177">
        <f t="shared" si="361"/>
        <v>1</v>
      </c>
      <c r="CT638" s="177">
        <f t="shared" si="360"/>
        <v>1</v>
      </c>
      <c r="CU638" s="177">
        <f t="shared" si="362"/>
        <v>1</v>
      </c>
      <c r="CV638" s="177">
        <f t="shared" si="360"/>
        <v>1</v>
      </c>
      <c r="CW638" s="177">
        <f t="shared" si="363"/>
        <v>1</v>
      </c>
      <c r="CX638" s="177">
        <f t="shared" si="360"/>
        <v>1</v>
      </c>
      <c r="CY638" s="177">
        <f t="shared" si="364"/>
        <v>1</v>
      </c>
      <c r="CZ638" s="177">
        <f t="shared" si="360"/>
        <v>1</v>
      </c>
      <c r="DA638" s="177">
        <f t="shared" si="365"/>
        <v>1</v>
      </c>
      <c r="DB638" s="177">
        <f t="shared" si="360"/>
        <v>1</v>
      </c>
      <c r="DC638" s="177">
        <f t="shared" si="366"/>
        <v>1</v>
      </c>
      <c r="DD638" s="177">
        <f t="shared" si="367"/>
        <v>1</v>
      </c>
      <c r="DE638" s="177">
        <f t="shared" si="368"/>
        <v>1</v>
      </c>
    </row>
    <row r="639" spans="1:120" ht="18" customHeight="1" x14ac:dyDescent="0.3">
      <c r="A639" s="81">
        <v>6.2500000000001998E-2</v>
      </c>
      <c r="B639" s="153"/>
      <c r="C639" s="130"/>
      <c r="D639" s="135"/>
      <c r="E639" s="130"/>
      <c r="F639" s="135"/>
      <c r="G639" s="130"/>
      <c r="H639" s="135"/>
      <c r="I639" s="130"/>
      <c r="J639" s="135"/>
      <c r="K639" s="130"/>
      <c r="L639" s="135"/>
      <c r="M639" s="130"/>
      <c r="N639" s="135"/>
      <c r="O639" s="154"/>
      <c r="Q639" s="284"/>
      <c r="R639" s="285"/>
      <c r="S639" s="285"/>
      <c r="T639" s="285"/>
      <c r="U639" s="285"/>
      <c r="V639" s="285"/>
      <c r="W639" s="286"/>
      <c r="X639" s="199">
        <v>1</v>
      </c>
      <c r="Y639" s="262" t="str">
        <f t="array" ref="Y639">IF(ISERROR(INDEX($CA$2:$CB$200,SMALL(IF($CA$2:$CA$200=$A$631,ROW($CA$2:$CA$200)),ROW(4:4))-1,2)),"",INDEX($CA$2:$CB$200,SMALL(IF($CA$2:$CA$200=$A$631,ROW($CA$2:$CA$200)),ROW(4:4))-1,2))</f>
        <v/>
      </c>
      <c r="Z639" s="263"/>
      <c r="AA639" s="263"/>
      <c r="AB639" s="263"/>
      <c r="AC639" s="263"/>
      <c r="AD639" s="263"/>
      <c r="AE639" s="263"/>
      <c r="AF639" s="264"/>
      <c r="AH639" s="136">
        <v>6.2500000000001998E-2</v>
      </c>
      <c r="AI639" s="136" t="str">
        <f>IF(AH632="","",IF(B639="","",B639))</f>
        <v/>
      </c>
      <c r="AJ639" s="136" t="str">
        <f>IF(AH632="","",IF(C639="","",C639))</f>
        <v/>
      </c>
      <c r="AK639" s="136" t="str">
        <f>IF(AH632="","",IF(D639="","",D639))</f>
        <v/>
      </c>
      <c r="AL639" s="136" t="str">
        <f>IF(AH632="","",IF(E639="","",E639))</f>
        <v/>
      </c>
      <c r="AM639" s="136" t="str">
        <f>IF(AH632="","",IF(F639="","",F639))</f>
        <v/>
      </c>
      <c r="AN639" s="136" t="str">
        <f>IF(AH632="","",IF(G639="","",G639))</f>
        <v/>
      </c>
      <c r="AO639" s="136" t="str">
        <f>IF(AH632="","",IF(H639="","",H639))</f>
        <v/>
      </c>
      <c r="AP639" s="136" t="str">
        <f>IF(AH632="","",IF(I639="","",I639))</f>
        <v/>
      </c>
      <c r="AQ639" s="136" t="str">
        <f>IF(AH632="","",IF(J639="","",J639))</f>
        <v/>
      </c>
      <c r="AR639" s="136" t="str">
        <f>IF(AH632="","",IF(K639="","",K639))</f>
        <v/>
      </c>
      <c r="AS639" s="136" t="str">
        <f>IF(AH632="","",IF(L639="","",L639))</f>
        <v/>
      </c>
      <c r="AT639" s="136" t="str">
        <f>IF(AH632="","",IF(M639="","",M639))</f>
        <v/>
      </c>
      <c r="AU639" s="136" t="str">
        <f>IF(AH632="","",IF(N639="","",N639))</f>
        <v/>
      </c>
      <c r="AV639" s="136" t="str">
        <f>IF(AH632="","",IF(O639="","",O639))</f>
        <v/>
      </c>
      <c r="AX639" s="136" t="str">
        <f>IF(AI632="","",IF(B639="","",B639))</f>
        <v/>
      </c>
      <c r="AY639" s="136" t="str">
        <f>IF(AI632="","",IF(C639="","",C639))</f>
        <v/>
      </c>
      <c r="AZ639" s="136" t="str">
        <f>IF(AI632="","",IF(D639="","",D639))</f>
        <v/>
      </c>
      <c r="BA639" s="136" t="str">
        <f>IF(AI632="","",IF(E639="","",E639))</f>
        <v/>
      </c>
      <c r="BB639" s="136" t="str">
        <f>IF(AI632="","",IF(F639="","",F639))</f>
        <v/>
      </c>
      <c r="BC639" s="136" t="str">
        <f>IF(AI632="","",IF(G639="","",G639))</f>
        <v/>
      </c>
      <c r="BD639" s="136" t="str">
        <f>IF(AI632="","",IF(H639="","",H639))</f>
        <v/>
      </c>
      <c r="BE639" s="136" t="str">
        <f>IF(AI632="","",IF(I639="","",I639))</f>
        <v/>
      </c>
      <c r="BF639" s="136" t="str">
        <f>IF(AI632="","",IF(J639="","",J639))</f>
        <v/>
      </c>
      <c r="BG639" s="136" t="str">
        <f>IF(AI632="","",IF(K639="","",K639))</f>
        <v/>
      </c>
      <c r="BH639" s="136" t="str">
        <f>IF(AI632="","",IF(L639="","",L639))</f>
        <v/>
      </c>
      <c r="BI639" s="136" t="str">
        <f>IF(AI632="","",IF(M639="","",M639))</f>
        <v/>
      </c>
      <c r="BJ639" s="136" t="str">
        <f>IF(AI632="","",IF(N639="","",N639))</f>
        <v/>
      </c>
      <c r="BK639" s="136" t="str">
        <f>IF(AI632="","",IF(O639="","",O639))</f>
        <v/>
      </c>
      <c r="CA639" s="136">
        <f>'INFO BASE'!L709</f>
        <v>0</v>
      </c>
      <c r="CB639" s="136">
        <f>'INFO BASE'!M709</f>
        <v>0</v>
      </c>
      <c r="CR639" s="177">
        <f t="shared" si="360"/>
        <v>1</v>
      </c>
      <c r="CS639" s="177">
        <f t="shared" si="361"/>
        <v>1</v>
      </c>
      <c r="CT639" s="177">
        <f t="shared" si="360"/>
        <v>1</v>
      </c>
      <c r="CU639" s="177">
        <f t="shared" si="362"/>
        <v>1</v>
      </c>
      <c r="CV639" s="177">
        <f t="shared" si="360"/>
        <v>1</v>
      </c>
      <c r="CW639" s="177">
        <f t="shared" si="363"/>
        <v>1</v>
      </c>
      <c r="CX639" s="177">
        <f t="shared" si="360"/>
        <v>1</v>
      </c>
      <c r="CY639" s="177">
        <f t="shared" si="364"/>
        <v>1</v>
      </c>
      <c r="CZ639" s="177">
        <f t="shared" si="360"/>
        <v>1</v>
      </c>
      <c r="DA639" s="177">
        <f t="shared" si="365"/>
        <v>1</v>
      </c>
      <c r="DB639" s="177">
        <f t="shared" si="360"/>
        <v>1</v>
      </c>
      <c r="DC639" s="177">
        <f t="shared" si="366"/>
        <v>1</v>
      </c>
      <c r="DD639" s="177">
        <f t="shared" si="367"/>
        <v>1</v>
      </c>
      <c r="DE639" s="177">
        <f t="shared" si="368"/>
        <v>1</v>
      </c>
    </row>
    <row r="640" spans="1:120" ht="18" customHeight="1" x14ac:dyDescent="0.3">
      <c r="A640" s="81">
        <v>8.3333333333335993E-2</v>
      </c>
      <c r="B640" s="153"/>
      <c r="C640" s="130"/>
      <c r="D640" s="135"/>
      <c r="E640" s="130"/>
      <c r="F640" s="135"/>
      <c r="G640" s="130"/>
      <c r="H640" s="135"/>
      <c r="I640" s="130"/>
      <c r="J640" s="135"/>
      <c r="K640" s="130"/>
      <c r="L640" s="135"/>
      <c r="M640" s="130"/>
      <c r="N640" s="135"/>
      <c r="O640" s="154"/>
      <c r="Q640" s="284"/>
      <c r="R640" s="285"/>
      <c r="S640" s="285"/>
      <c r="T640" s="285"/>
      <c r="U640" s="285"/>
      <c r="V640" s="285"/>
      <c r="W640" s="286"/>
      <c r="X640" s="199">
        <v>1</v>
      </c>
      <c r="Y640" s="262" t="str">
        <f t="array" ref="Y640">IF(ISERROR(INDEX($CA$2:$CB$200,SMALL(IF($CA$2:$CA$200=$A$631,ROW($CA$2:$CA$200)),ROW(5:5))-1,2)),"",INDEX($CA$2:$CB$200,SMALL(IF($CA$2:$CA$200=$A$631,ROW($CA$2:$CA$200)),ROW(5:5))-1,2))</f>
        <v/>
      </c>
      <c r="Z640" s="263"/>
      <c r="AA640" s="263"/>
      <c r="AB640" s="263"/>
      <c r="AC640" s="263"/>
      <c r="AD640" s="263"/>
      <c r="AE640" s="263"/>
      <c r="AF640" s="264"/>
      <c r="AH640" s="136">
        <v>8.3333333333335993E-2</v>
      </c>
      <c r="AI640" s="136" t="str">
        <f>IF(AH632="","",IF(B640="","",B640))</f>
        <v/>
      </c>
      <c r="AJ640" s="136" t="str">
        <f>IF(AH632="","",IF(C640="","",C640))</f>
        <v/>
      </c>
      <c r="AK640" s="136" t="str">
        <f>IF(AH632="","",IF(D640="","",D640))</f>
        <v/>
      </c>
      <c r="AL640" s="136" t="str">
        <f>IF(AH632="","",IF(E640="","",E640))</f>
        <v/>
      </c>
      <c r="AM640" s="136" t="str">
        <f>IF(AH632="","",IF(F640="","",F640))</f>
        <v/>
      </c>
      <c r="AN640" s="136" t="str">
        <f>IF(AH632="","",IF(G640="","",G640))</f>
        <v/>
      </c>
      <c r="AO640" s="136" t="str">
        <f>IF(AH632="","",IF(H640="","",H640))</f>
        <v/>
      </c>
      <c r="AP640" s="136" t="str">
        <f>IF(AH632="","",IF(I640="","",I640))</f>
        <v/>
      </c>
      <c r="AQ640" s="136" t="str">
        <f>IF(AH632="","",IF(J640="","",J640))</f>
        <v/>
      </c>
      <c r="AR640" s="136" t="str">
        <f>IF(AH632="","",IF(K640="","",K640))</f>
        <v/>
      </c>
      <c r="AS640" s="136" t="str">
        <f>IF(AH632="","",IF(L640="","",L640))</f>
        <v/>
      </c>
      <c r="AT640" s="136" t="str">
        <f>IF(AH632="","",IF(M640="","",M640))</f>
        <v/>
      </c>
      <c r="AU640" s="136" t="str">
        <f>IF(AH632="","",IF(N640="","",N640))</f>
        <v/>
      </c>
      <c r="AV640" s="136" t="str">
        <f>IF(AH632="","",IF(O640="","",O640))</f>
        <v/>
      </c>
      <c r="AX640" s="136" t="str">
        <f>IF(AI632="","",IF(B640="","",B640))</f>
        <v/>
      </c>
      <c r="AY640" s="136" t="str">
        <f>IF(AI632="","",IF(C640="","",C640))</f>
        <v/>
      </c>
      <c r="AZ640" s="136" t="str">
        <f>IF(AI632="","",IF(D640="","",D640))</f>
        <v/>
      </c>
      <c r="BA640" s="136" t="str">
        <f>IF(AI632="","",IF(E640="","",E640))</f>
        <v/>
      </c>
      <c r="BB640" s="136" t="str">
        <f>IF(AI632="","",IF(F640="","",F640))</f>
        <v/>
      </c>
      <c r="BC640" s="136" t="str">
        <f>IF(AI632="","",IF(G640="","",G640))</f>
        <v/>
      </c>
      <c r="BD640" s="136" t="str">
        <f>IF(AI632="","",IF(H640="","",H640))</f>
        <v/>
      </c>
      <c r="BE640" s="136" t="str">
        <f>IF(AI632="","",IF(I640="","",I640))</f>
        <v/>
      </c>
      <c r="BF640" s="136" t="str">
        <f>IF(AI632="","",IF(J640="","",J640))</f>
        <v/>
      </c>
      <c r="BG640" s="136" t="str">
        <f>IF(AI632="","",IF(K640="","",K640))</f>
        <v/>
      </c>
      <c r="BH640" s="136" t="str">
        <f>IF(AI632="","",IF(L640="","",L640))</f>
        <v/>
      </c>
      <c r="BI640" s="136" t="str">
        <f>IF(AI632="","",IF(M640="","",M640))</f>
        <v/>
      </c>
      <c r="BJ640" s="136" t="str">
        <f>IF(AI632="","",IF(N640="","",N640))</f>
        <v/>
      </c>
      <c r="BK640" s="136" t="str">
        <f>IF(AI632="","",IF(O640="","",O640))</f>
        <v/>
      </c>
      <c r="CA640" s="136">
        <f>'INFO BASE'!L710</f>
        <v>0</v>
      </c>
      <c r="CB640" s="136">
        <f>'INFO BASE'!M710</f>
        <v>0</v>
      </c>
      <c r="CD640" s="136" t="str">
        <f t="shared" ref="CD640:CD645" si="369">R648</f>
        <v>FP</v>
      </c>
      <c r="CR640" s="177">
        <f t="shared" si="360"/>
        <v>1</v>
      </c>
      <c r="CS640" s="177">
        <f t="shared" si="361"/>
        <v>1</v>
      </c>
      <c r="CT640" s="177">
        <f t="shared" si="360"/>
        <v>1</v>
      </c>
      <c r="CU640" s="177">
        <f t="shared" si="362"/>
        <v>1</v>
      </c>
      <c r="CV640" s="177">
        <f t="shared" si="360"/>
        <v>1</v>
      </c>
      <c r="CW640" s="177">
        <f t="shared" si="363"/>
        <v>1</v>
      </c>
      <c r="CX640" s="177">
        <f t="shared" si="360"/>
        <v>1</v>
      </c>
      <c r="CY640" s="177">
        <f t="shared" si="364"/>
        <v>1</v>
      </c>
      <c r="CZ640" s="177">
        <f t="shared" si="360"/>
        <v>1</v>
      </c>
      <c r="DA640" s="177">
        <f t="shared" si="365"/>
        <v>1</v>
      </c>
      <c r="DB640" s="177">
        <f t="shared" si="360"/>
        <v>1</v>
      </c>
      <c r="DC640" s="177">
        <f t="shared" si="366"/>
        <v>1</v>
      </c>
      <c r="DD640" s="177">
        <f t="shared" si="367"/>
        <v>1</v>
      </c>
      <c r="DE640" s="177">
        <f t="shared" si="368"/>
        <v>1</v>
      </c>
    </row>
    <row r="641" spans="1:109" ht="18" customHeight="1" x14ac:dyDescent="0.3">
      <c r="A641" s="81">
        <v>0.10416666666667</v>
      </c>
      <c r="B641" s="153"/>
      <c r="C641" s="130"/>
      <c r="D641" s="135"/>
      <c r="E641" s="130"/>
      <c r="F641" s="135"/>
      <c r="G641" s="130"/>
      <c r="H641" s="135"/>
      <c r="I641" s="130"/>
      <c r="J641" s="135"/>
      <c r="K641" s="130"/>
      <c r="L641" s="135"/>
      <c r="M641" s="130"/>
      <c r="N641" s="135"/>
      <c r="O641" s="154"/>
      <c r="Q641" s="284"/>
      <c r="R641" s="285"/>
      <c r="S641" s="285"/>
      <c r="T641" s="285"/>
      <c r="U641" s="285"/>
      <c r="V641" s="285"/>
      <c r="W641" s="286"/>
      <c r="X641" s="199">
        <v>1</v>
      </c>
      <c r="Y641" s="262" t="str">
        <f t="array" ref="Y641">IF(ISERROR(INDEX($CA$2:$CB$200,SMALL(IF($CA$2:$CA$200=$A$631,ROW($CA$2:$CA$200)),ROW(6:6))-1,2)),"",INDEX($CA$2:$CB$200,SMALL(IF($CA$2:$CA$200=$A$631,ROW($CA$2:$CA$200)),ROW(6:6))-1,2))</f>
        <v/>
      </c>
      <c r="Z641" s="263"/>
      <c r="AA641" s="263"/>
      <c r="AB641" s="263"/>
      <c r="AC641" s="263"/>
      <c r="AD641" s="263"/>
      <c r="AE641" s="263"/>
      <c r="AF641" s="264"/>
      <c r="AH641" s="136">
        <v>0.10416666666667</v>
      </c>
      <c r="AI641" s="136" t="str">
        <f>IF(AH632="","",IF(B641="","",B641))</f>
        <v/>
      </c>
      <c r="AJ641" s="136" t="str">
        <f>IF(AH632="","",IF(C641="","",C641))</f>
        <v/>
      </c>
      <c r="AK641" s="136" t="str">
        <f>IF(AH632="","",IF(D641="","",D641))</f>
        <v/>
      </c>
      <c r="AL641" s="136" t="str">
        <f>IF(AH632="","",IF(E641="","",E641))</f>
        <v/>
      </c>
      <c r="AM641" s="136" t="str">
        <f>IF(AH632="","",IF(F641="","",F641))</f>
        <v/>
      </c>
      <c r="AN641" s="136" t="str">
        <f>IF(AH632="","",IF(G641="","",G641))</f>
        <v/>
      </c>
      <c r="AO641" s="136" t="str">
        <f>IF(AH632="","",IF(H641="","",H641))</f>
        <v/>
      </c>
      <c r="AP641" s="136" t="str">
        <f>IF(AH632="","",IF(I641="","",I641))</f>
        <v/>
      </c>
      <c r="AQ641" s="136" t="str">
        <f>IF(AH632="","",IF(J641="","",J641))</f>
        <v/>
      </c>
      <c r="AR641" s="136" t="str">
        <f>IF(AH632="","",IF(K641="","",K641))</f>
        <v/>
      </c>
      <c r="AS641" s="136" t="str">
        <f>IF(AH632="","",IF(L641="","",L641))</f>
        <v/>
      </c>
      <c r="AT641" s="136" t="str">
        <f>IF(AH632="","",IF(M641="","",M641))</f>
        <v/>
      </c>
      <c r="AU641" s="136" t="str">
        <f>IF(AH632="","",IF(N641="","",N641))</f>
        <v/>
      </c>
      <c r="AV641" s="136" t="str">
        <f>IF(AH632="","",IF(O641="","",O641))</f>
        <v/>
      </c>
      <c r="AX641" s="136" t="str">
        <f>IF(AI632="","",IF(B641="","",B641))</f>
        <v/>
      </c>
      <c r="AY641" s="136" t="str">
        <f>IF(AI632="","",IF(C641="","",C641))</f>
        <v/>
      </c>
      <c r="AZ641" s="136" t="str">
        <f>IF(AI632="","",IF(D641="","",D641))</f>
        <v/>
      </c>
      <c r="BA641" s="136" t="str">
        <f>IF(AI632="","",IF(E641="","",E641))</f>
        <v/>
      </c>
      <c r="BB641" s="136" t="str">
        <f>IF(AI632="","",IF(F641="","",F641))</f>
        <v/>
      </c>
      <c r="BC641" s="136" t="str">
        <f>IF(AI632="","",IF(G641="","",G641))</f>
        <v/>
      </c>
      <c r="BD641" s="136" t="str">
        <f>IF(AI632="","",IF(H641="","",H641))</f>
        <v/>
      </c>
      <c r="BE641" s="136" t="str">
        <f>IF(AI632="","",IF(I641="","",I641))</f>
        <v/>
      </c>
      <c r="BF641" s="136" t="str">
        <f>IF(AI632="","",IF(J641="","",J641))</f>
        <v/>
      </c>
      <c r="BG641" s="136" t="str">
        <f>IF(AI632="","",IF(K641="","",K641))</f>
        <v/>
      </c>
      <c r="BH641" s="136" t="str">
        <f>IF(AI632="","",IF(L641="","",L641))</f>
        <v/>
      </c>
      <c r="BI641" s="136" t="str">
        <f>IF(AI632="","",IF(M641="","",M641))</f>
        <v/>
      </c>
      <c r="BJ641" s="136" t="str">
        <f>IF(AI632="","",IF(N641="","",N641))</f>
        <v/>
      </c>
      <c r="BK641" s="136" t="str">
        <f>IF(AI632="","",IF(O641="","",O641))</f>
        <v/>
      </c>
      <c r="CA641" s="136">
        <f>'INFO BASE'!L721</f>
        <v>0</v>
      </c>
      <c r="CB641" s="136">
        <f>'INFO BASE'!M721</f>
        <v>0</v>
      </c>
      <c r="CD641" s="136" t="str">
        <f t="shared" si="369"/>
        <v>IEI</v>
      </c>
      <c r="CR641" s="177">
        <f t="shared" si="360"/>
        <v>1</v>
      </c>
      <c r="CS641" s="177">
        <f t="shared" si="361"/>
        <v>1</v>
      </c>
      <c r="CT641" s="177">
        <f t="shared" si="360"/>
        <v>1</v>
      </c>
      <c r="CU641" s="177">
        <f t="shared" si="362"/>
        <v>1</v>
      </c>
      <c r="CV641" s="177">
        <f t="shared" si="360"/>
        <v>1</v>
      </c>
      <c r="CW641" s="177">
        <f t="shared" si="363"/>
        <v>1</v>
      </c>
      <c r="CX641" s="177">
        <f t="shared" si="360"/>
        <v>1</v>
      </c>
      <c r="CY641" s="177">
        <f t="shared" si="364"/>
        <v>1</v>
      </c>
      <c r="CZ641" s="177">
        <f t="shared" si="360"/>
        <v>1</v>
      </c>
      <c r="DA641" s="177">
        <f t="shared" si="365"/>
        <v>1</v>
      </c>
      <c r="DB641" s="177">
        <f t="shared" si="360"/>
        <v>1</v>
      </c>
      <c r="DC641" s="177">
        <f t="shared" si="366"/>
        <v>1</v>
      </c>
      <c r="DD641" s="177">
        <f t="shared" si="367"/>
        <v>1</v>
      </c>
      <c r="DE641" s="177">
        <f t="shared" si="368"/>
        <v>1</v>
      </c>
    </row>
    <row r="642" spans="1:109" ht="18" customHeight="1" x14ac:dyDescent="0.3">
      <c r="A642" s="81">
        <v>0.125000000000004</v>
      </c>
      <c r="B642" s="153"/>
      <c r="C642" s="130"/>
      <c r="D642" s="135"/>
      <c r="E642" s="130"/>
      <c r="F642" s="135"/>
      <c r="G642" s="130"/>
      <c r="H642" s="135"/>
      <c r="I642" s="130"/>
      <c r="J642" s="135"/>
      <c r="K642" s="130"/>
      <c r="L642" s="135"/>
      <c r="M642" s="130"/>
      <c r="N642" s="135"/>
      <c r="O642" s="154"/>
      <c r="Q642" s="284"/>
      <c r="R642" s="285"/>
      <c r="S642" s="285"/>
      <c r="T642" s="285"/>
      <c r="U642" s="285"/>
      <c r="V642" s="285"/>
      <c r="W642" s="286"/>
      <c r="X642" s="199">
        <v>1</v>
      </c>
      <c r="Y642" s="262" t="str">
        <f t="array" ref="Y642">IF(ISERROR(INDEX($CA$2:$CB$200,SMALL(IF($CA$2:$CA$200=$A$631,ROW($CA$2:$CA$200)),ROW(7:7))-1,2)),"",INDEX($CA$2:$CB$200,SMALL(IF($CA$2:$CA$200=$A$631,ROW($CA$2:$CA$200)),ROW(7:7))-1,2))</f>
        <v/>
      </c>
      <c r="Z642" s="263"/>
      <c r="AA642" s="263"/>
      <c r="AB642" s="263"/>
      <c r="AC642" s="263"/>
      <c r="AD642" s="263"/>
      <c r="AE642" s="263"/>
      <c r="AF642" s="264"/>
      <c r="AH642" s="136">
        <v>0.125000000000004</v>
      </c>
      <c r="AI642" s="136" t="str">
        <f>IF(AH632="","",IF(B642="","",B642))</f>
        <v/>
      </c>
      <c r="AJ642" s="136" t="str">
        <f>IF(AH632="","",IF(C642="","",C642))</f>
        <v/>
      </c>
      <c r="AK642" s="136" t="str">
        <f>IF(AH632="","",IF(D642="","",D642))</f>
        <v/>
      </c>
      <c r="AL642" s="136" t="str">
        <f>IF(AH632="","",IF(E642="","",E642))</f>
        <v/>
      </c>
      <c r="AM642" s="136" t="str">
        <f>IF(AH632="","",IF(F642="","",F642))</f>
        <v/>
      </c>
      <c r="AN642" s="136" t="str">
        <f>IF(AH632="","",IF(G642="","",G642))</f>
        <v/>
      </c>
      <c r="AO642" s="136" t="str">
        <f>IF(AH632="","",IF(H642="","",H642))</f>
        <v/>
      </c>
      <c r="AP642" s="136" t="str">
        <f>IF(AH632="","",IF(I642="","",I642))</f>
        <v/>
      </c>
      <c r="AQ642" s="136" t="str">
        <f>IF(AH632="","",IF(J642="","",J642))</f>
        <v/>
      </c>
      <c r="AR642" s="136" t="str">
        <f>IF(AH632="","",IF(K642="","",K642))</f>
        <v/>
      </c>
      <c r="AS642" s="136" t="str">
        <f>IF(AH632="","",IF(L642="","",L642))</f>
        <v/>
      </c>
      <c r="AT642" s="136" t="str">
        <f>IF(AH632="","",IF(M642="","",M642))</f>
        <v/>
      </c>
      <c r="AU642" s="136" t="str">
        <f>IF(AH632="","",IF(N642="","",N642))</f>
        <v/>
      </c>
      <c r="AV642" s="136" t="str">
        <f>IF(AH632="","",IF(O642="","",O642))</f>
        <v/>
      </c>
      <c r="AX642" s="136" t="str">
        <f>IF(AI632="","",IF(B642="","",B642))</f>
        <v/>
      </c>
      <c r="AY642" s="136" t="str">
        <f>IF(AI632="","",IF(C642="","",C642))</f>
        <v/>
      </c>
      <c r="AZ642" s="136" t="str">
        <f>IF(AI632="","",IF(D642="","",D642))</f>
        <v/>
      </c>
      <c r="BA642" s="136" t="str">
        <f>IF(AI632="","",IF(E642="","",E642))</f>
        <v/>
      </c>
      <c r="BB642" s="136" t="str">
        <f>IF(AI632="","",IF(F642="","",F642))</f>
        <v/>
      </c>
      <c r="BC642" s="136" t="str">
        <f>IF(AI632="","",IF(G642="","",G642))</f>
        <v/>
      </c>
      <c r="BD642" s="136" t="str">
        <f>IF(AI632="","",IF(H642="","",H642))</f>
        <v/>
      </c>
      <c r="BE642" s="136" t="str">
        <f>IF(AI632="","",IF(I642="","",I642))</f>
        <v/>
      </c>
      <c r="BF642" s="136" t="str">
        <f>IF(AI632="","",IF(J642="","",J642))</f>
        <v/>
      </c>
      <c r="BG642" s="136" t="str">
        <f>IF(AI632="","",IF(K642="","",K642))</f>
        <v/>
      </c>
      <c r="BH642" s="136" t="str">
        <f>IF(AI632="","",IF(L642="","",L642))</f>
        <v/>
      </c>
      <c r="BI642" s="136" t="str">
        <f>IF(AI632="","",IF(M642="","",M642))</f>
        <v/>
      </c>
      <c r="BJ642" s="136" t="str">
        <f>IF(AI632="","",IF(N642="","",N642))</f>
        <v/>
      </c>
      <c r="BK642" s="136" t="str">
        <f>IF(AI632="","",IF(O642="","",O642))</f>
        <v/>
      </c>
      <c r="CA642" s="136">
        <f>'INFO BASE'!L722</f>
        <v>0</v>
      </c>
      <c r="CB642" s="136">
        <f>'INFO BASE'!M722</f>
        <v>0</v>
      </c>
      <c r="CD642" s="136" t="str">
        <f t="shared" si="369"/>
        <v>IAC</v>
      </c>
      <c r="CR642" s="177">
        <f t="shared" si="360"/>
        <v>1</v>
      </c>
      <c r="CS642" s="177">
        <f t="shared" si="361"/>
        <v>1</v>
      </c>
      <c r="CT642" s="177">
        <f t="shared" si="360"/>
        <v>1</v>
      </c>
      <c r="CU642" s="177">
        <f t="shared" si="362"/>
        <v>1</v>
      </c>
      <c r="CV642" s="177">
        <f t="shared" si="360"/>
        <v>1</v>
      </c>
      <c r="CW642" s="177">
        <f t="shared" si="363"/>
        <v>1</v>
      </c>
      <c r="CX642" s="177">
        <f t="shared" si="360"/>
        <v>1</v>
      </c>
      <c r="CY642" s="177">
        <f t="shared" si="364"/>
        <v>1</v>
      </c>
      <c r="CZ642" s="177">
        <f t="shared" si="360"/>
        <v>1</v>
      </c>
      <c r="DA642" s="177">
        <f t="shared" si="365"/>
        <v>1</v>
      </c>
      <c r="DB642" s="177">
        <f t="shared" si="360"/>
        <v>1</v>
      </c>
      <c r="DC642" s="177">
        <f t="shared" si="366"/>
        <v>1</v>
      </c>
      <c r="DD642" s="177">
        <f t="shared" si="367"/>
        <v>1</v>
      </c>
      <c r="DE642" s="177">
        <f t="shared" si="368"/>
        <v>1</v>
      </c>
    </row>
    <row r="643" spans="1:109" ht="18" customHeight="1" thickBot="1" x14ac:dyDescent="0.35">
      <c r="A643" s="81">
        <v>0.14583333333333801</v>
      </c>
      <c r="B643" s="153"/>
      <c r="C643" s="130"/>
      <c r="D643" s="135"/>
      <c r="E643" s="130"/>
      <c r="F643" s="135"/>
      <c r="G643" s="130"/>
      <c r="H643" s="135"/>
      <c r="I643" s="130"/>
      <c r="J643" s="135"/>
      <c r="K643" s="130"/>
      <c r="L643" s="135"/>
      <c r="M643" s="130"/>
      <c r="N643" s="135"/>
      <c r="O643" s="154"/>
      <c r="Q643" s="287"/>
      <c r="R643" s="288"/>
      <c r="S643" s="288"/>
      <c r="T643" s="288"/>
      <c r="U643" s="288"/>
      <c r="V643" s="288"/>
      <c r="W643" s="289"/>
      <c r="X643" s="199">
        <v>1</v>
      </c>
      <c r="Y643" s="265" t="str">
        <f t="array" ref="Y643">IF(ISERROR(INDEX($CA$2:$CB$200,SMALL(IF($CA$2:$CA$200=$A$631,ROW($CA$2:$CA$200)),ROW(8:8))-1,2)),"",INDEX($CA$2:$CB$200,SMALL(IF($CA$2:$CA$200=$A$631,ROW($CA$2:$CA$200)),ROW(8:8))-1,2))</f>
        <v/>
      </c>
      <c r="Z643" s="266"/>
      <c r="AA643" s="266"/>
      <c r="AB643" s="266"/>
      <c r="AC643" s="266"/>
      <c r="AD643" s="266"/>
      <c r="AE643" s="266"/>
      <c r="AF643" s="267"/>
      <c r="AH643" s="136">
        <v>0.14583333333333801</v>
      </c>
      <c r="AI643" s="136" t="str">
        <f>IF(AH632="","",IF(B643="","",B643))</f>
        <v/>
      </c>
      <c r="AJ643" s="136" t="str">
        <f>IF(AH632="","",IF(C643="","",C643))</f>
        <v/>
      </c>
      <c r="AK643" s="136" t="str">
        <f>IF(AH632="","",IF(D643="","",D643))</f>
        <v/>
      </c>
      <c r="AL643" s="136" t="str">
        <f>IF(AH632="","",IF(E643="","",E643))</f>
        <v/>
      </c>
      <c r="AM643" s="136" t="str">
        <f>IF(AH632="","",IF(F643="","",F643))</f>
        <v/>
      </c>
      <c r="AN643" s="136" t="str">
        <f>IF(AH632="","",IF(G643="","",G643))</f>
        <v/>
      </c>
      <c r="AO643" s="136" t="str">
        <f>IF(AH632="","",IF(H643="","",H643))</f>
        <v/>
      </c>
      <c r="AP643" s="136" t="str">
        <f>IF(AH632="","",IF(I643="","",I643))</f>
        <v/>
      </c>
      <c r="AQ643" s="136" t="str">
        <f>IF(AH632="","",IF(J643="","",J643))</f>
        <v/>
      </c>
      <c r="AR643" s="136" t="str">
        <f>IF(AH632="","",IF(K643="","",K643))</f>
        <v/>
      </c>
      <c r="AS643" s="136" t="str">
        <f>IF(AH632="","",IF(L643="","",L643))</f>
        <v/>
      </c>
      <c r="AT643" s="136" t="str">
        <f>IF(AH632="","",IF(M643="","",M643))</f>
        <v/>
      </c>
      <c r="AU643" s="136" t="str">
        <f>IF(AH632="","",IF(N643="","",N643))</f>
        <v/>
      </c>
      <c r="AV643" s="136" t="str">
        <f>IF(AH632="","",IF(O643="","",O643))</f>
        <v/>
      </c>
      <c r="AX643" s="136" t="str">
        <f>IF(AI632="","",IF(B643="","",B643))</f>
        <v/>
      </c>
      <c r="AY643" s="136" t="str">
        <f>IF(AI632="","",IF(C643="","",C643))</f>
        <v/>
      </c>
      <c r="AZ643" s="136" t="str">
        <f>IF(AI632="","",IF(D643="","",D643))</f>
        <v/>
      </c>
      <c r="BA643" s="136" t="str">
        <f>IF(AI632="","",IF(E643="","",E643))</f>
        <v/>
      </c>
      <c r="BB643" s="136" t="str">
        <f>IF(AI632="","",IF(F643="","",F643))</f>
        <v/>
      </c>
      <c r="BC643" s="136" t="str">
        <f>IF(AI632="","",IF(G643="","",G643))</f>
        <v/>
      </c>
      <c r="BD643" s="136" t="str">
        <f>IF(AI632="","",IF(H643="","",H643))</f>
        <v/>
      </c>
      <c r="BE643" s="136" t="str">
        <f>IF(AI632="","",IF(I643="","",I643))</f>
        <v/>
      </c>
      <c r="BF643" s="136" t="str">
        <f>IF(AI632="","",IF(J643="","",J643))</f>
        <v/>
      </c>
      <c r="BG643" s="136" t="str">
        <f>IF(AI632="","",IF(K643="","",K643))</f>
        <v/>
      </c>
      <c r="BH643" s="136" t="str">
        <f>IF(AI632="","",IF(L643="","",L643))</f>
        <v/>
      </c>
      <c r="BI643" s="136" t="str">
        <f>IF(AI632="","",IF(M643="","",M643))</f>
        <v/>
      </c>
      <c r="BJ643" s="136" t="str">
        <f>IF(AI632="","",IF(N643="","",N643))</f>
        <v/>
      </c>
      <c r="BK643" s="136" t="str">
        <f>IF(AI632="","",IF(O643="","",O643))</f>
        <v/>
      </c>
      <c r="CA643" s="136">
        <f>'INFO BASE'!L723</f>
        <v>0</v>
      </c>
      <c r="CB643" s="136">
        <f>'INFO BASE'!M723</f>
        <v>0</v>
      </c>
      <c r="CD643" s="136" t="str">
        <f t="shared" si="369"/>
        <v>AL</v>
      </c>
      <c r="CR643" s="177">
        <f t="shared" si="360"/>
        <v>1</v>
      </c>
      <c r="CS643" s="177">
        <f t="shared" si="361"/>
        <v>1</v>
      </c>
      <c r="CT643" s="177">
        <f t="shared" si="360"/>
        <v>1</v>
      </c>
      <c r="CU643" s="177">
        <f t="shared" si="362"/>
        <v>1</v>
      </c>
      <c r="CV643" s="177">
        <f t="shared" si="360"/>
        <v>1</v>
      </c>
      <c r="CW643" s="177">
        <f t="shared" si="363"/>
        <v>1</v>
      </c>
      <c r="CX643" s="177">
        <f t="shared" si="360"/>
        <v>1</v>
      </c>
      <c r="CY643" s="177">
        <f t="shared" si="364"/>
        <v>1</v>
      </c>
      <c r="CZ643" s="177">
        <f t="shared" si="360"/>
        <v>1</v>
      </c>
      <c r="DA643" s="177">
        <f t="shared" si="365"/>
        <v>1</v>
      </c>
      <c r="DB643" s="177">
        <f t="shared" si="360"/>
        <v>1</v>
      </c>
      <c r="DC643" s="177">
        <f t="shared" si="366"/>
        <v>1</v>
      </c>
      <c r="DD643" s="177">
        <f t="shared" si="367"/>
        <v>1</v>
      </c>
      <c r="DE643" s="177">
        <f t="shared" si="368"/>
        <v>1</v>
      </c>
    </row>
    <row r="644" spans="1:109" ht="18" customHeight="1" thickBot="1" x14ac:dyDescent="0.35">
      <c r="A644" s="81">
        <v>0.16666666666667199</v>
      </c>
      <c r="B644" s="153"/>
      <c r="C644" s="130"/>
      <c r="D644" s="135"/>
      <c r="E644" s="130"/>
      <c r="F644" s="135"/>
      <c r="G644" s="130"/>
      <c r="H644" s="135"/>
      <c r="I644" s="130"/>
      <c r="J644" s="135"/>
      <c r="K644" s="130"/>
      <c r="L644" s="135"/>
      <c r="M644" s="130"/>
      <c r="N644" s="135"/>
      <c r="O644" s="154"/>
      <c r="Q644" s="63"/>
      <c r="R644" s="64"/>
      <c r="S644" s="65"/>
      <c r="T644" s="65"/>
      <c r="U644" s="65"/>
      <c r="V644" s="65"/>
      <c r="W644" s="65"/>
      <c r="X644" s="199">
        <v>1</v>
      </c>
      <c r="Y644" s="59"/>
      <c r="Z644" s="59"/>
      <c r="AA644" s="59"/>
      <c r="AB644" s="59"/>
      <c r="AC644" s="59"/>
      <c r="AD644" s="59"/>
      <c r="AE644" s="59"/>
      <c r="AF644" s="59"/>
      <c r="AH644" s="136">
        <v>0.16666666666667199</v>
      </c>
      <c r="AI644" s="136" t="str">
        <f>IF(AH632="","",IF(B644="","",B644))</f>
        <v/>
      </c>
      <c r="AJ644" s="136" t="str">
        <f>IF(AH632="","",IF(C644="","",C644))</f>
        <v/>
      </c>
      <c r="AK644" s="136" t="str">
        <f>IF(AH632="","",IF(D644="","",D644))</f>
        <v/>
      </c>
      <c r="AL644" s="136" t="str">
        <f>IF(AH632="","",IF(E644="","",E644))</f>
        <v/>
      </c>
      <c r="AM644" s="136" t="str">
        <f>IF(AH632="","",IF(F644="","",F644))</f>
        <v/>
      </c>
      <c r="AN644" s="136" t="str">
        <f>IF(AH632="","",IF(G644="","",G644))</f>
        <v/>
      </c>
      <c r="AO644" s="136" t="str">
        <f>IF(AH632="","",IF(H644="","",H644))</f>
        <v/>
      </c>
      <c r="AP644" s="136" t="str">
        <f>IF(AH632="","",IF(I644="","",I644))</f>
        <v/>
      </c>
      <c r="AQ644" s="136" t="str">
        <f>IF(AH632="","",IF(J644="","",J644))</f>
        <v/>
      </c>
      <c r="AR644" s="136" t="str">
        <f>IF(AH632="","",IF(K644="","",K644))</f>
        <v/>
      </c>
      <c r="AS644" s="136" t="str">
        <f>IF(AH632="","",IF(L644="","",L644))</f>
        <v/>
      </c>
      <c r="AT644" s="136" t="str">
        <f>IF(AH632="","",IF(M644="","",M644))</f>
        <v/>
      </c>
      <c r="AU644" s="136" t="str">
        <f>IF(AH632="","",IF(N644="","",N644))</f>
        <v/>
      </c>
      <c r="AV644" s="136" t="str">
        <f>IF(AH632="","",IF(O644="","",O644))</f>
        <v/>
      </c>
      <c r="AX644" s="136" t="str">
        <f>IF(AI632="","",IF(B644="","",B644))</f>
        <v/>
      </c>
      <c r="AY644" s="136" t="str">
        <f>IF(AI632="","",IF(C644="","",C644))</f>
        <v/>
      </c>
      <c r="AZ644" s="136" t="str">
        <f>IF(AI632="","",IF(D644="","",D644))</f>
        <v/>
      </c>
      <c r="BA644" s="136" t="str">
        <f>IF(AI632="","",IF(E644="","",E644))</f>
        <v/>
      </c>
      <c r="BB644" s="136" t="str">
        <f>IF(AI632="","",IF(F644="","",F644))</f>
        <v/>
      </c>
      <c r="BC644" s="136" t="str">
        <f>IF(AI632="","",IF(G644="","",G644))</f>
        <v/>
      </c>
      <c r="BD644" s="136" t="str">
        <f>IF(AI632="","",IF(H644="","",H644))</f>
        <v/>
      </c>
      <c r="BE644" s="136" t="str">
        <f>IF(AI632="","",IF(I644="","",I644))</f>
        <v/>
      </c>
      <c r="BF644" s="136" t="str">
        <f>IF(AI632="","",IF(J644="","",J644))</f>
        <v/>
      </c>
      <c r="BG644" s="136" t="str">
        <f>IF(AI632="","",IF(K644="","",K644))</f>
        <v/>
      </c>
      <c r="BH644" s="136" t="str">
        <f>IF(AI632="","",IF(L644="","",L644))</f>
        <v/>
      </c>
      <c r="BI644" s="136" t="str">
        <f>IF(AI632="","",IF(M644="","",M644))</f>
        <v/>
      </c>
      <c r="BJ644" s="136" t="str">
        <f>IF(AI632="","",IF(N644="","",N644))</f>
        <v/>
      </c>
      <c r="BK644" s="136" t="str">
        <f>IF(AI632="","",IF(O644="","",O644))</f>
        <v/>
      </c>
      <c r="BM644" s="136" t="str">
        <f>BO644</f>
        <v>EA</v>
      </c>
      <c r="BN644" s="136" t="str">
        <f t="shared" ref="BN644:BO680" si="370">Q647</f>
        <v>Estudo Autónomo</v>
      </c>
      <c r="BO644" s="136" t="str">
        <f t="shared" si="370"/>
        <v>EA</v>
      </c>
      <c r="BP644" s="136">
        <f>COUNTIFS(AX636:BK683,BO644)*0.5</f>
        <v>0</v>
      </c>
      <c r="BQ644" s="136" t="str">
        <f t="shared" ref="BQ644:BR680" si="371">BN644</f>
        <v>Estudo Autónomo</v>
      </c>
      <c r="BR644" s="136" t="str">
        <f t="shared" si="371"/>
        <v>EA</v>
      </c>
      <c r="BS644" s="136" t="str">
        <f>BQ644</f>
        <v>Estudo Autónomo</v>
      </c>
      <c r="BT644" s="136">
        <f>SUMIFS(V:V,Q:Q,BQ644,R:R,BR644)</f>
        <v>86.5</v>
      </c>
      <c r="BU644" s="136">
        <f>SUMIFS(BP:BP,BN:BN,BQ644,BO:BO,BR644)</f>
        <v>95.5</v>
      </c>
      <c r="CA644" s="136">
        <f>'INFO BASE'!L724</f>
        <v>0</v>
      </c>
      <c r="CB644" s="136">
        <f>'INFO BASE'!M724</f>
        <v>0</v>
      </c>
      <c r="CD644" s="136" t="str">
        <f t="shared" si="369"/>
        <v>CDI</v>
      </c>
      <c r="CR644" s="177">
        <f t="shared" si="360"/>
        <v>1</v>
      </c>
      <c r="CS644" s="177">
        <f t="shared" si="361"/>
        <v>1</v>
      </c>
      <c r="CT644" s="177">
        <f t="shared" si="360"/>
        <v>1</v>
      </c>
      <c r="CU644" s="177">
        <f t="shared" si="362"/>
        <v>1</v>
      </c>
      <c r="CV644" s="177">
        <f t="shared" si="360"/>
        <v>1</v>
      </c>
      <c r="CW644" s="177">
        <f t="shared" si="363"/>
        <v>1</v>
      </c>
      <c r="CX644" s="177">
        <f t="shared" si="360"/>
        <v>1</v>
      </c>
      <c r="CY644" s="177">
        <f t="shared" si="364"/>
        <v>1</v>
      </c>
      <c r="CZ644" s="177">
        <f t="shared" si="360"/>
        <v>1</v>
      </c>
      <c r="DA644" s="177">
        <f t="shared" si="365"/>
        <v>1</v>
      </c>
      <c r="DB644" s="177">
        <f t="shared" si="360"/>
        <v>1</v>
      </c>
      <c r="DC644" s="177">
        <f t="shared" si="366"/>
        <v>1</v>
      </c>
      <c r="DD644" s="177">
        <f t="shared" si="367"/>
        <v>1</v>
      </c>
      <c r="DE644" s="177">
        <f t="shared" si="368"/>
        <v>1</v>
      </c>
    </row>
    <row r="645" spans="1:109" ht="18" customHeight="1" x14ac:dyDescent="0.3">
      <c r="A645" s="81">
        <v>0.187500000000006</v>
      </c>
      <c r="B645" s="153"/>
      <c r="C645" s="130"/>
      <c r="D645" s="135"/>
      <c r="E645" s="130"/>
      <c r="F645" s="135"/>
      <c r="G645" s="130"/>
      <c r="H645" s="135"/>
      <c r="I645" s="130"/>
      <c r="J645" s="135"/>
      <c r="K645" s="130"/>
      <c r="L645" s="135"/>
      <c r="M645" s="130"/>
      <c r="N645" s="135"/>
      <c r="O645" s="154"/>
      <c r="Q645" s="294" t="s">
        <v>14</v>
      </c>
      <c r="R645" s="290" t="s">
        <v>88</v>
      </c>
      <c r="S645" s="290" t="s">
        <v>87</v>
      </c>
      <c r="T645" s="290" t="s">
        <v>89</v>
      </c>
      <c r="U645" s="290" t="s">
        <v>41</v>
      </c>
      <c r="V645" s="290" t="s">
        <v>91</v>
      </c>
      <c r="W645" s="292" t="s">
        <v>90</v>
      </c>
      <c r="X645" s="199">
        <v>1</v>
      </c>
      <c r="Y645" s="302" t="s">
        <v>21</v>
      </c>
      <c r="Z645" s="303"/>
      <c r="AA645" s="303"/>
      <c r="AB645" s="303"/>
      <c r="AC645" s="303"/>
      <c r="AD645" s="303"/>
      <c r="AE645" s="303"/>
      <c r="AF645" s="304"/>
      <c r="AH645" s="136">
        <v>0.187500000000006</v>
      </c>
      <c r="AI645" s="136" t="str">
        <f>IF(AH632="","",IF(B645="","",B645))</f>
        <v/>
      </c>
      <c r="AJ645" s="136" t="str">
        <f>IF(AH632="","",IF(C645="","",C645))</f>
        <v/>
      </c>
      <c r="AK645" s="136" t="str">
        <f>IF(AH632="","",IF(D645="","",D645))</f>
        <v/>
      </c>
      <c r="AL645" s="136" t="str">
        <f>IF(AH632="","",IF(E645="","",E645))</f>
        <v/>
      </c>
      <c r="AM645" s="136" t="str">
        <f>IF(AH632="","",IF(F645="","",F645))</f>
        <v/>
      </c>
      <c r="AN645" s="136" t="str">
        <f>IF(AH632="","",IF(G645="","",G645))</f>
        <v/>
      </c>
      <c r="AO645" s="136" t="str">
        <f>IF(AH632="","",IF(H645="","",H645))</f>
        <v/>
      </c>
      <c r="AP645" s="136" t="str">
        <f>IF(AH632="","",IF(I645="","",I645))</f>
        <v/>
      </c>
      <c r="AQ645" s="136" t="str">
        <f>IF(AH632="","",IF(J645="","",J645))</f>
        <v/>
      </c>
      <c r="AR645" s="136" t="str">
        <f>IF(AH632="","",IF(K645="","",K645))</f>
        <v/>
      </c>
      <c r="AS645" s="136" t="str">
        <f>IF(AH632="","",IF(L645="","",L645))</f>
        <v/>
      </c>
      <c r="AT645" s="136" t="str">
        <f>IF(AH632="","",IF(M645="","",M645))</f>
        <v/>
      </c>
      <c r="AU645" s="136" t="str">
        <f>IF(AH632="","",IF(N645="","",N645))</f>
        <v/>
      </c>
      <c r="AV645" s="136" t="str">
        <f>IF(AH632="","",IF(O645="","",O645))</f>
        <v/>
      </c>
      <c r="AX645" s="136" t="str">
        <f>IF(AI632="","",IF(B645="","",B645))</f>
        <v/>
      </c>
      <c r="AY645" s="136" t="str">
        <f>IF(AI632="","",IF(C645="","",C645))</f>
        <v/>
      </c>
      <c r="AZ645" s="136" t="str">
        <f>IF(AI632="","",IF(D645="","",D645))</f>
        <v/>
      </c>
      <c r="BA645" s="136" t="str">
        <f>IF(AI632="","",IF(E645="","",E645))</f>
        <v/>
      </c>
      <c r="BB645" s="136" t="str">
        <f>IF(AI632="","",IF(F645="","",F645))</f>
        <v/>
      </c>
      <c r="BC645" s="136" t="str">
        <f>IF(AI632="","",IF(G645="","",G645))</f>
        <v/>
      </c>
      <c r="BD645" s="136" t="str">
        <f>IF(AI632="","",IF(H645="","",H645))</f>
        <v/>
      </c>
      <c r="BE645" s="136" t="str">
        <f>IF(AI632="","",IF(I645="","",I645))</f>
        <v/>
      </c>
      <c r="BF645" s="136" t="str">
        <f>IF(AI632="","",IF(J645="","",J645))</f>
        <v/>
      </c>
      <c r="BG645" s="136" t="str">
        <f>IF(AI632="","",IF(K645="","",K645))</f>
        <v/>
      </c>
      <c r="BH645" s="136" t="str">
        <f>IF(AI632="","",IF(L645="","",L645))</f>
        <v/>
      </c>
      <c r="BI645" s="136" t="str">
        <f>IF(AI632="","",IF(M645="","",M645))</f>
        <v/>
      </c>
      <c r="BJ645" s="136" t="str">
        <f>IF(AI632="","",IF(N645="","",N645))</f>
        <v/>
      </c>
      <c r="BK645" s="136" t="str">
        <f>IF(AI632="","",IF(O645="","",O645))</f>
        <v/>
      </c>
      <c r="BM645" s="136" t="str">
        <f>BM644</f>
        <v>EA</v>
      </c>
      <c r="BN645" s="136" t="str">
        <f t="shared" si="370"/>
        <v>Estudo Autónomo</v>
      </c>
      <c r="BO645" s="136" t="str">
        <f t="shared" si="370"/>
        <v>FP</v>
      </c>
      <c r="BP645" s="136">
        <f>(COUNTIFS(AX636:AX683,BM645,AY636:AY683,BO645)+COUNTIFS(AZ636:AZ683,BM645,BA636:BA683,BO645)+COUNTIFS(BB636:BB683,BM645,BC636:BC683,BO645)+COUNTIFS(BD636:BD683,BM645,BE636:BE683,BO645)+COUNTIFS(BF636:BF683,BM645,BG636:BG683,BO645)+COUNTIFS(BH636:BH683,BM645,BI636:BI683,BO645)+COUNTIFS(BJ636:BJ683,BM645,BK636:BK683,BO645))*0.5</f>
        <v>0</v>
      </c>
      <c r="BQ645" s="136" t="str">
        <f t="shared" si="371"/>
        <v>Estudo Autónomo</v>
      </c>
      <c r="BR645" s="136" t="str">
        <f>$R$20</f>
        <v>EA</v>
      </c>
      <c r="BS645" s="136" t="str">
        <f t="shared" ref="BS645:BS680" si="372">BQ645</f>
        <v>Estudo Autónomo</v>
      </c>
      <c r="BT645" s="136">
        <f>SUMIFS(V:V,Q:Q,BQ645,R:R,BR645)</f>
        <v>86.5</v>
      </c>
      <c r="BU645" s="136">
        <f>SUMIFS(BP:BP,BN:BN,BQ645,BO:BO,BR645)</f>
        <v>95.5</v>
      </c>
      <c r="CA645" s="136">
        <f>'INFO BASE'!L725</f>
        <v>0</v>
      </c>
      <c r="CB645" s="136">
        <f>'INFO BASE'!M725</f>
        <v>0</v>
      </c>
      <c r="CD645" s="136" t="str">
        <f t="shared" si="369"/>
        <v/>
      </c>
      <c r="CR645" s="177">
        <f t="shared" si="360"/>
        <v>1</v>
      </c>
      <c r="CS645" s="177">
        <f t="shared" si="361"/>
        <v>1</v>
      </c>
      <c r="CT645" s="177">
        <f t="shared" si="360"/>
        <v>1</v>
      </c>
      <c r="CU645" s="177">
        <f t="shared" si="362"/>
        <v>1</v>
      </c>
      <c r="CV645" s="177">
        <f t="shared" si="360"/>
        <v>1</v>
      </c>
      <c r="CW645" s="177">
        <f t="shared" si="363"/>
        <v>1</v>
      </c>
      <c r="CX645" s="177">
        <f t="shared" si="360"/>
        <v>1</v>
      </c>
      <c r="CY645" s="177">
        <f t="shared" si="364"/>
        <v>1</v>
      </c>
      <c r="CZ645" s="177">
        <f t="shared" si="360"/>
        <v>1</v>
      </c>
      <c r="DA645" s="177">
        <f t="shared" si="365"/>
        <v>1</v>
      </c>
      <c r="DB645" s="177">
        <f t="shared" si="360"/>
        <v>1</v>
      </c>
      <c r="DC645" s="177">
        <f t="shared" si="366"/>
        <v>1</v>
      </c>
      <c r="DD645" s="177">
        <f t="shared" si="367"/>
        <v>1</v>
      </c>
      <c r="DE645" s="177">
        <f t="shared" si="368"/>
        <v>1</v>
      </c>
    </row>
    <row r="646" spans="1:109" ht="18" customHeight="1" thickBot="1" x14ac:dyDescent="0.35">
      <c r="A646" s="81">
        <v>0.20833333333334</v>
      </c>
      <c r="B646" s="153"/>
      <c r="C646" s="130"/>
      <c r="D646" s="135"/>
      <c r="E646" s="130"/>
      <c r="F646" s="135"/>
      <c r="G646" s="130"/>
      <c r="H646" s="135"/>
      <c r="I646" s="130"/>
      <c r="J646" s="135"/>
      <c r="K646" s="130"/>
      <c r="L646" s="135"/>
      <c r="M646" s="130"/>
      <c r="N646" s="135"/>
      <c r="O646" s="154"/>
      <c r="Q646" s="295"/>
      <c r="R646" s="291"/>
      <c r="S646" s="291"/>
      <c r="T646" s="291"/>
      <c r="U646" s="291"/>
      <c r="V646" s="291"/>
      <c r="W646" s="293"/>
      <c r="X646" s="199">
        <v>1</v>
      </c>
      <c r="Y646" s="305"/>
      <c r="Z646" s="306"/>
      <c r="AA646" s="306"/>
      <c r="AB646" s="306"/>
      <c r="AC646" s="306"/>
      <c r="AD646" s="306"/>
      <c r="AE646" s="306"/>
      <c r="AF646" s="307"/>
      <c r="AH646" s="136">
        <v>0.20833333333334</v>
      </c>
      <c r="AI646" s="136" t="str">
        <f>IF(AH632="","",IF(B646="","",B646))</f>
        <v/>
      </c>
      <c r="AJ646" s="136" t="str">
        <f>IF(AH632="","",IF(C646="","",C646))</f>
        <v/>
      </c>
      <c r="AK646" s="136" t="str">
        <f>IF(AH632="","",IF(D646="","",D646))</f>
        <v/>
      </c>
      <c r="AL646" s="136" t="str">
        <f>IF(AH632="","",IF(E646="","",E646))</f>
        <v/>
      </c>
      <c r="AM646" s="136" t="str">
        <f>IF(AH632="","",IF(F646="","",F646))</f>
        <v/>
      </c>
      <c r="AN646" s="136" t="str">
        <f>IF(AH632="","",IF(G646="","",G646))</f>
        <v/>
      </c>
      <c r="AO646" s="136" t="str">
        <f>IF(AH632="","",IF(H646="","",H646))</f>
        <v/>
      </c>
      <c r="AP646" s="136" t="str">
        <f>IF(AH632="","",IF(I646="","",I646))</f>
        <v/>
      </c>
      <c r="AQ646" s="136" t="str">
        <f>IF(AH632="","",IF(J646="","",J646))</f>
        <v/>
      </c>
      <c r="AR646" s="136" t="str">
        <f>IF(AH632="","",IF(K646="","",K646))</f>
        <v/>
      </c>
      <c r="AS646" s="136" t="str">
        <f>IF(AH632="","",IF(L646="","",L646))</f>
        <v/>
      </c>
      <c r="AT646" s="136" t="str">
        <f>IF(AH632="","",IF(M646="","",M646))</f>
        <v/>
      </c>
      <c r="AU646" s="136" t="str">
        <f>IF(AH632="","",IF(N646="","",N646))</f>
        <v/>
      </c>
      <c r="AV646" s="136" t="str">
        <f>IF(AH632="","",IF(O646="","",O646))</f>
        <v/>
      </c>
      <c r="AX646" s="136" t="str">
        <f>IF(AI632="","",IF(B646="","",B646))</f>
        <v/>
      </c>
      <c r="AY646" s="136" t="str">
        <f>IF(AI632="","",IF(C646="","",C646))</f>
        <v/>
      </c>
      <c r="AZ646" s="136" t="str">
        <f>IF(AI632="","",IF(D646="","",D646))</f>
        <v/>
      </c>
      <c r="BA646" s="136" t="str">
        <f>IF(AI632="","",IF(E646="","",E646))</f>
        <v/>
      </c>
      <c r="BB646" s="136" t="str">
        <f>IF(AI632="","",IF(F646="","",F646))</f>
        <v/>
      </c>
      <c r="BC646" s="136" t="str">
        <f>IF(AI632="","",IF(G646="","",G646))</f>
        <v/>
      </c>
      <c r="BD646" s="136" t="str">
        <f>IF(AI632="","",IF(H646="","",H646))</f>
        <v/>
      </c>
      <c r="BE646" s="136" t="str">
        <f>IF(AI632="","",IF(I646="","",I646))</f>
        <v/>
      </c>
      <c r="BF646" s="136" t="str">
        <f>IF(AI632="","",IF(J646="","",J646))</f>
        <v/>
      </c>
      <c r="BG646" s="136" t="str">
        <f>IF(AI632="","",IF(K646="","",K646))</f>
        <v/>
      </c>
      <c r="BH646" s="136" t="str">
        <f>IF(AI632="","",IF(L646="","",L646))</f>
        <v/>
      </c>
      <c r="BI646" s="136" t="str">
        <f>IF(AI632="","",IF(M646="","",M646))</f>
        <v/>
      </c>
      <c r="BJ646" s="136" t="str">
        <f>IF(AI632="","",IF(N646="","",N646))</f>
        <v/>
      </c>
      <c r="BK646" s="136" t="str">
        <f>IF(AI632="","",IF(O646="","",O646))</f>
        <v/>
      </c>
      <c r="BM646" s="136" t="str">
        <f t="shared" ref="BM646:BM650" si="373">BM645</f>
        <v>EA</v>
      </c>
      <c r="BN646" s="136" t="str">
        <f t="shared" si="370"/>
        <v>Estudo Autónomo</v>
      </c>
      <c r="BO646" s="136" t="str">
        <f t="shared" si="370"/>
        <v>IEI</v>
      </c>
      <c r="BP646" s="136">
        <f>(COUNTIFS(AX636:AX683,BM646,AY636:AY683,BO646)+COUNTIFS(AZ636:AZ683,BM646,BA636:BA683,BO646)+COUNTIFS(BB636:BB683,BM646,BC636:BC683,BO646)+COUNTIFS(BD636:BD683,BM646,BE636:BE683,BO646)+COUNTIFS(BF636:BF683,BM646,BG636:BG683,BO646)+COUNTIFS(BH636:BH683,BM646,BI636:BI683,BO646)+COUNTIFS(BJ636:BJ683,BM646,BK636:BK683,BO646))*0.5</f>
        <v>0</v>
      </c>
      <c r="BQ646" s="136" t="str">
        <f t="shared" si="371"/>
        <v>Estudo Autónomo</v>
      </c>
      <c r="BR646" s="136" t="str">
        <f t="shared" si="371"/>
        <v>IEI</v>
      </c>
      <c r="BS646" s="136" t="str">
        <f t="shared" si="372"/>
        <v>Estudo Autónomo</v>
      </c>
      <c r="BT646" s="136">
        <f>SUMIFS(V:V,Q:Q,BQ646,R:R,BR646)</f>
        <v>20</v>
      </c>
      <c r="BU646" s="136">
        <f>SUMIFS(BP:BP,BN:BN,BQ646,BO:BO,BR646)</f>
        <v>36.5</v>
      </c>
      <c r="CA646" s="136">
        <f>'INFO BASE'!L726</f>
        <v>0</v>
      </c>
      <c r="CB646" s="136">
        <f>'INFO BASE'!M726</f>
        <v>0</v>
      </c>
      <c r="CD646" s="136" t="str">
        <f>IF('INFO BASE'!E660="","",'INFO BASE'!E660)</f>
        <v/>
      </c>
      <c r="CR646" s="177">
        <f t="shared" si="360"/>
        <v>1</v>
      </c>
      <c r="CS646" s="177">
        <f t="shared" si="361"/>
        <v>1</v>
      </c>
      <c r="CT646" s="177">
        <f t="shared" si="360"/>
        <v>1</v>
      </c>
      <c r="CU646" s="177">
        <f t="shared" si="362"/>
        <v>1</v>
      </c>
      <c r="CV646" s="177">
        <f t="shared" si="360"/>
        <v>1</v>
      </c>
      <c r="CW646" s="177">
        <f t="shared" si="363"/>
        <v>1</v>
      </c>
      <c r="CX646" s="177">
        <f t="shared" si="360"/>
        <v>1</v>
      </c>
      <c r="CY646" s="177">
        <f t="shared" si="364"/>
        <v>1</v>
      </c>
      <c r="CZ646" s="177">
        <f t="shared" si="360"/>
        <v>1</v>
      </c>
      <c r="DA646" s="177">
        <f t="shared" si="365"/>
        <v>1</v>
      </c>
      <c r="DB646" s="177">
        <f t="shared" si="360"/>
        <v>1</v>
      </c>
      <c r="DC646" s="177">
        <f t="shared" si="366"/>
        <v>1</v>
      </c>
      <c r="DD646" s="177">
        <f t="shared" si="367"/>
        <v>1</v>
      </c>
      <c r="DE646" s="177">
        <f t="shared" si="368"/>
        <v>1</v>
      </c>
    </row>
    <row r="647" spans="1:109" ht="18" customHeight="1" x14ac:dyDescent="0.3">
      <c r="A647" s="81">
        <v>0.22916666666667401</v>
      </c>
      <c r="B647" s="153"/>
      <c r="C647" s="130"/>
      <c r="D647" s="135"/>
      <c r="E647" s="130"/>
      <c r="F647" s="135"/>
      <c r="G647" s="130"/>
      <c r="H647" s="135"/>
      <c r="I647" s="130"/>
      <c r="J647" s="135"/>
      <c r="K647" s="130"/>
      <c r="L647" s="135"/>
      <c r="M647" s="130"/>
      <c r="N647" s="135"/>
      <c r="O647" s="154"/>
      <c r="P647" s="6">
        <v>0</v>
      </c>
      <c r="Q647" s="109" t="str">
        <f>IF('INFO BASE'!$C$17="","",'INFO BASE'!$C$17)</f>
        <v>Estudo Autónomo</v>
      </c>
      <c r="R647" s="82" t="str">
        <f>R590</f>
        <v>EA</v>
      </c>
      <c r="S647" s="83">
        <f t="shared" ref="S647:S683" si="374">IFERROR((U647/T647)-1,"-")</f>
        <v>-1</v>
      </c>
      <c r="T647" s="84">
        <f>IF(VLOOKUP(Q647,'INFO BASE'!$B$40:$I$54,IF(R647='INFO BASE'!$B$32,3,IF(R647='INFO BASE'!$B$33,4,IF(R647='INFO BASE'!$B$34,5,IF(R647='INFO BASE'!$B$35,6,IF(R647='INFO BASE'!$B$36,7,IF(R647='INFO BASE'!$B$37,8,2)))))),0)=0,"",VLOOKUP(Q647,'INFO BASE'!$B$40:$I$54,IF(R647='INFO BASE'!$B$32,3,IF(R647='INFO BASE'!$B$33,4,IF(R647='INFO BASE'!$B$34,5,IF(R647='INFO BASE'!$B$35,6,IF(R647='INFO BASE'!$B$36,7,IF(R647='INFO BASE'!$B$37,8,2)))))),0))</f>
        <v>19</v>
      </c>
      <c r="U647" s="84">
        <f>IF(R647="","",COUNTIFS(SEMANA12,R647)*0.5)</f>
        <v>0</v>
      </c>
      <c r="V647" s="84">
        <f>IF(R647="","",COUNTIFS(AI636:AV683,R647)*0.5)</f>
        <v>0</v>
      </c>
      <c r="W647" s="85" t="str">
        <f>IF(AH632="","-",IF(V647=0,U647,IFERROR((U647/V647)-1,"-")))</f>
        <v>-</v>
      </c>
      <c r="X647" s="200">
        <f t="shared" ref="X647:X683" si="375">IFERROR(IF(ABS(W647)&gt;P647,1,0),0)</f>
        <v>0</v>
      </c>
      <c r="Y647" s="296"/>
      <c r="Z647" s="297"/>
      <c r="AA647" s="297"/>
      <c r="AB647" s="297"/>
      <c r="AC647" s="297"/>
      <c r="AD647" s="297"/>
      <c r="AE647" s="297"/>
      <c r="AF647" s="298"/>
      <c r="AH647" s="136">
        <v>0.22916666666667401</v>
      </c>
      <c r="AI647" s="136" t="str">
        <f>IF(AH632="","",IF(B647="","",B647))</f>
        <v/>
      </c>
      <c r="AJ647" s="136" t="str">
        <f>IF(AH632="","",IF(C647="","",C647))</f>
        <v/>
      </c>
      <c r="AK647" s="136" t="str">
        <f>IF(AH632="","",IF(D647="","",D647))</f>
        <v/>
      </c>
      <c r="AL647" s="136" t="str">
        <f>IF(AH632="","",IF(E647="","",E647))</f>
        <v/>
      </c>
      <c r="AM647" s="136" t="str">
        <f>IF(AH632="","",IF(F647="","",F647))</f>
        <v/>
      </c>
      <c r="AN647" s="136" t="str">
        <f>IF(AH632="","",IF(G647="","",G647))</f>
        <v/>
      </c>
      <c r="AO647" s="136" t="str">
        <f>IF(AH632="","",IF(H647="","",H647))</f>
        <v/>
      </c>
      <c r="AP647" s="136" t="str">
        <f>IF(AH632="","",IF(I647="","",I647))</f>
        <v/>
      </c>
      <c r="AQ647" s="136" t="str">
        <f>IF(AH632="","",IF(J647="","",J647))</f>
        <v/>
      </c>
      <c r="AR647" s="136" t="str">
        <f>IF(AH632="","",IF(K647="","",K647))</f>
        <v/>
      </c>
      <c r="AS647" s="136" t="str">
        <f>IF(AH632="","",IF(L647="","",L647))</f>
        <v/>
      </c>
      <c r="AT647" s="136" t="str">
        <f>IF(AH632="","",IF(M647="","",M647))</f>
        <v/>
      </c>
      <c r="AU647" s="136" t="str">
        <f>IF(AH632="","",IF(N647="","",N647))</f>
        <v/>
      </c>
      <c r="AV647" s="136" t="str">
        <f>IF(AH632="","",IF(O647="","",O647))</f>
        <v/>
      </c>
      <c r="AX647" s="136" t="str">
        <f>IF(AI632="","",IF(B647="","",B647))</f>
        <v/>
      </c>
      <c r="AY647" s="136" t="str">
        <f>IF(AI632="","",IF(C647="","",C647))</f>
        <v/>
      </c>
      <c r="AZ647" s="136" t="str">
        <f>IF(AI632="","",IF(D647="","",D647))</f>
        <v/>
      </c>
      <c r="BA647" s="136" t="str">
        <f>IF(AI632="","",IF(E647="","",E647))</f>
        <v/>
      </c>
      <c r="BB647" s="136" t="str">
        <f>IF(AI632="","",IF(F647="","",F647))</f>
        <v/>
      </c>
      <c r="BC647" s="136" t="str">
        <f>IF(AI632="","",IF(G647="","",G647))</f>
        <v/>
      </c>
      <c r="BD647" s="136" t="str">
        <f>IF(AI632="","",IF(H647="","",H647))</f>
        <v/>
      </c>
      <c r="BE647" s="136" t="str">
        <f>IF(AI632="","",IF(I647="","",I647))</f>
        <v/>
      </c>
      <c r="BF647" s="136" t="str">
        <f>IF(AI632="","",IF(J647="","",J647))</f>
        <v/>
      </c>
      <c r="BG647" s="136" t="str">
        <f>IF(AI632="","",IF(K647="","",K647))</f>
        <v/>
      </c>
      <c r="BH647" s="136" t="str">
        <f>IF(AI632="","",IF(L647="","",L647))</f>
        <v/>
      </c>
      <c r="BI647" s="136" t="str">
        <f>IF(AI632="","",IF(M647="","",M647))</f>
        <v/>
      </c>
      <c r="BJ647" s="136" t="str">
        <f>IF(AI632="","",IF(N647="","",N647))</f>
        <v/>
      </c>
      <c r="BK647" s="136" t="str">
        <f>IF(AI632="","",IF(O647="","",O647))</f>
        <v/>
      </c>
      <c r="BM647" s="136" t="str">
        <f t="shared" si="373"/>
        <v>EA</v>
      </c>
      <c r="BN647" s="136" t="str">
        <f t="shared" si="370"/>
        <v>Estudo Autónomo</v>
      </c>
      <c r="BO647" s="136" t="str">
        <f t="shared" si="370"/>
        <v>IAC</v>
      </c>
      <c r="BP647" s="136">
        <f>(COUNTIFS(AX636:AX683,BM647,AY636:AY683,BO647)+COUNTIFS(AZ636:AZ683,BM647,BA636:BA683,BO647)+COUNTIFS(BB636:BB683,BM647,BC636:BC683,BO647)+COUNTIFS(BD636:BD683,BM647,BE636:BE683,BO647)+COUNTIFS(BF636:BF683,BM647,BG636:BG683,BO647)+COUNTIFS(BH636:BH683,BM647,BI636:BI683,BO647)+COUNTIFS(BJ636:BJ683,BM647,BK636:BK683,BO647))*0.5</f>
        <v>0</v>
      </c>
      <c r="BQ647" s="136" t="str">
        <f t="shared" si="371"/>
        <v>Estudo Autónomo</v>
      </c>
      <c r="BR647" s="136" t="str">
        <f t="shared" si="371"/>
        <v>IAC</v>
      </c>
      <c r="BS647" s="136" t="str">
        <f t="shared" si="372"/>
        <v>Estudo Autónomo</v>
      </c>
      <c r="BT647" s="136">
        <f>SUMIFS(V:V,Q:Q,BQ647,R:R,BBO645)</f>
        <v>0</v>
      </c>
      <c r="BU647" s="136">
        <f>SUMIFS(BP:BP,BN:BN,BQ647,BO:BO,BBO645)</f>
        <v>0</v>
      </c>
      <c r="CA647" s="136">
        <f>'INFO BASE'!L727</f>
        <v>0</v>
      </c>
      <c r="CB647" s="136">
        <f>'INFO BASE'!M727</f>
        <v>0</v>
      </c>
      <c r="CD647" s="136" t="str">
        <f>IF('INFO BASE'!E661="","",'INFO BASE'!E661)</f>
        <v/>
      </c>
      <c r="CR647" s="177">
        <f t="shared" si="360"/>
        <v>1</v>
      </c>
      <c r="CS647" s="177">
        <f t="shared" si="361"/>
        <v>1</v>
      </c>
      <c r="CT647" s="177">
        <f t="shared" si="360"/>
        <v>1</v>
      </c>
      <c r="CU647" s="177">
        <f t="shared" si="362"/>
        <v>1</v>
      </c>
      <c r="CV647" s="177">
        <f t="shared" si="360"/>
        <v>1</v>
      </c>
      <c r="CW647" s="177">
        <f t="shared" si="363"/>
        <v>1</v>
      </c>
      <c r="CX647" s="177">
        <f t="shared" si="360"/>
        <v>1</v>
      </c>
      <c r="CY647" s="177">
        <f t="shared" si="364"/>
        <v>1</v>
      </c>
      <c r="CZ647" s="177">
        <f t="shared" si="360"/>
        <v>1</v>
      </c>
      <c r="DA647" s="177">
        <f t="shared" si="365"/>
        <v>1</v>
      </c>
      <c r="DB647" s="177">
        <f t="shared" si="360"/>
        <v>1</v>
      </c>
      <c r="DC647" s="177">
        <f t="shared" si="366"/>
        <v>1</v>
      </c>
      <c r="DD647" s="177">
        <f t="shared" si="367"/>
        <v>1</v>
      </c>
      <c r="DE647" s="177">
        <f t="shared" si="368"/>
        <v>1</v>
      </c>
    </row>
    <row r="648" spans="1:109" ht="18" customHeight="1" x14ac:dyDescent="0.3">
      <c r="A648" s="81">
        <v>0.25000000000000799</v>
      </c>
      <c r="B648" s="153"/>
      <c r="C648" s="130"/>
      <c r="D648" s="135"/>
      <c r="E648" s="130"/>
      <c r="F648" s="135"/>
      <c r="G648" s="130"/>
      <c r="H648" s="135"/>
      <c r="I648" s="130"/>
      <c r="J648" s="135"/>
      <c r="K648" s="130"/>
      <c r="L648" s="135"/>
      <c r="M648" s="130"/>
      <c r="N648" s="135"/>
      <c r="O648" s="154"/>
      <c r="P648" s="6">
        <v>0</v>
      </c>
      <c r="Q648" s="110" t="str">
        <f t="shared" ref="Q648:Q653" si="376">Q647</f>
        <v>Estudo Autónomo</v>
      </c>
      <c r="R648" s="105" t="str">
        <f t="shared" ref="R648:R683" si="377">R591</f>
        <v>FP</v>
      </c>
      <c r="S648" s="88">
        <f t="shared" si="374"/>
        <v>-1</v>
      </c>
      <c r="T648" s="89">
        <f>IF(VLOOKUP(Q648,'INFO BASE'!$B$40:$I$54,IF(R648='INFO BASE'!$B$32,3,IF(R648='INFO BASE'!$B$33,4,IF(R648='INFO BASE'!$B$34,5,IF(R648='INFO BASE'!$B$35,6,IF(R648='INFO BASE'!$B$36,7,IF(R648='INFO BASE'!$B$37,8,2)))))),0)=0,"",VLOOKUP(Q648,'INFO BASE'!$B$40:$I$54,IF(R648='INFO BASE'!$B$32,3,IF(R648='INFO BASE'!$B$33,4,IF(R648='INFO BASE'!$B$34,5,IF(R648='INFO BASE'!$B$35,6,IF(R648='INFO BASE'!$B$36,7,IF(R648='INFO BASE'!$B$37,8,2)))))),0))</f>
        <v>5</v>
      </c>
      <c r="U648" s="89">
        <f>(COUNTIFS(C636:C683,R648,B636:B683,R647)+COUNTIFS(E636:E683,R648,D636:D683,R647)+COUNTIFS(G636:G683,R648,F636:F683,R647)+COUNTIFS(I636:I683,R648,H636:H683,R647)+COUNTIFS(K636:K683,R648,J636:J683,R647)+COUNTIFS(M636:M683,R648,L636:L683,R647)+COUNTIFS(O636:O683,R648,N636:N683,R647))*0.5</f>
        <v>0</v>
      </c>
      <c r="V648" s="89">
        <f>(COUNTIFS(AI636:AI683,R647,AJ636:AJ683,R648)+COUNTIFS(AK636:AK683,R647,AL636:AL683,R648)+COUNTIFS(AM636:AM683,R647,AN636:AN683,R648)+COUNTIFS(AO636:AO683,R647,AP636:AP683,R648)+COUNTIFS(AQ636:AQ683,R647,AR636:AR683,R648)+COUNTIFS(AS636:AS683,R647,AT636:AT683,R648)+COUNTIFS(AU636:AU683,R647,AV636:AV683,R648))*0.5</f>
        <v>0</v>
      </c>
      <c r="W648" s="90" t="str">
        <f>IF(AH632="","-",IF(V648=0,U648,IFERROR((U648/V648)-1,"-")))</f>
        <v>-</v>
      </c>
      <c r="X648" s="200">
        <f t="shared" si="375"/>
        <v>0</v>
      </c>
      <c r="Y648" s="299"/>
      <c r="Z648" s="300"/>
      <c r="AA648" s="300"/>
      <c r="AB648" s="300"/>
      <c r="AC648" s="300"/>
      <c r="AD648" s="300"/>
      <c r="AE648" s="300"/>
      <c r="AF648" s="301"/>
      <c r="AH648" s="136">
        <v>0.25000000000000799</v>
      </c>
      <c r="AI648" s="136" t="str">
        <f>IF(AH632="","",IF(B648="","",B648))</f>
        <v/>
      </c>
      <c r="AJ648" s="136" t="str">
        <f>IF(AH632="","",IF(C648="","",C648))</f>
        <v/>
      </c>
      <c r="AK648" s="136" t="str">
        <f>IF(AH632="","",IF(D648="","",D648))</f>
        <v/>
      </c>
      <c r="AL648" s="136" t="str">
        <f>IF(AH632="","",IF(E648="","",E648))</f>
        <v/>
      </c>
      <c r="AM648" s="136" t="str">
        <f>IF(AH632="","",IF(F648="","",F648))</f>
        <v/>
      </c>
      <c r="AN648" s="136" t="str">
        <f>IF(AH632="","",IF(G648="","",G648))</f>
        <v/>
      </c>
      <c r="AO648" s="136" t="str">
        <f>IF(AH632="","",IF(H648="","",H648))</f>
        <v/>
      </c>
      <c r="AP648" s="136" t="str">
        <f>IF(AH632="","",IF(I648="","",I648))</f>
        <v/>
      </c>
      <c r="AQ648" s="136" t="str">
        <f>IF(AH632="","",IF(J648="","",J648))</f>
        <v/>
      </c>
      <c r="AR648" s="136" t="str">
        <f>IF(AH632="","",IF(K648="","",K648))</f>
        <v/>
      </c>
      <c r="AS648" s="136" t="str">
        <f>IF(AH632="","",IF(L648="","",L648))</f>
        <v/>
      </c>
      <c r="AT648" s="136" t="str">
        <f>IF(AH632="","",IF(M648="","",M648))</f>
        <v/>
      </c>
      <c r="AU648" s="136" t="str">
        <f>IF(AH632="","",IF(N648="","",N648))</f>
        <v/>
      </c>
      <c r="AV648" s="136" t="str">
        <f>IF(AH632="","",IF(O648="","",O648))</f>
        <v/>
      </c>
      <c r="AX648" s="136" t="str">
        <f>IF(AI632="","",IF(B648="","",B648))</f>
        <v/>
      </c>
      <c r="AY648" s="136" t="str">
        <f>IF(AI632="","",IF(C648="","",C648))</f>
        <v/>
      </c>
      <c r="AZ648" s="136" t="str">
        <f>IF(AI632="","",IF(D648="","",D648))</f>
        <v/>
      </c>
      <c r="BA648" s="136" t="str">
        <f>IF(AI632="","",IF(E648="","",E648))</f>
        <v/>
      </c>
      <c r="BB648" s="136" t="str">
        <f>IF(AI632="","",IF(F648="","",F648))</f>
        <v/>
      </c>
      <c r="BC648" s="136" t="str">
        <f>IF(AI632="","",IF(G648="","",G648))</f>
        <v/>
      </c>
      <c r="BD648" s="136" t="str">
        <f>IF(AI632="","",IF(H648="","",H648))</f>
        <v/>
      </c>
      <c r="BE648" s="136" t="str">
        <f>IF(AI632="","",IF(I648="","",I648))</f>
        <v/>
      </c>
      <c r="BF648" s="136" t="str">
        <f>IF(AI632="","",IF(J648="","",J648))</f>
        <v/>
      </c>
      <c r="BG648" s="136" t="str">
        <f>IF(AI632="","",IF(K648="","",K648))</f>
        <v/>
      </c>
      <c r="BH648" s="136" t="str">
        <f>IF(AI632="","",IF(L648="","",L648))</f>
        <v/>
      </c>
      <c r="BI648" s="136" t="str">
        <f>IF(AI632="","",IF(M648="","",M648))</f>
        <v/>
      </c>
      <c r="BJ648" s="136" t="str">
        <f>IF(AI632="","",IF(N648="","",N648))</f>
        <v/>
      </c>
      <c r="BK648" s="136" t="str">
        <f>IF(AI632="","",IF(O648="","",O648))</f>
        <v/>
      </c>
      <c r="BM648" s="136" t="str">
        <f t="shared" si="373"/>
        <v>EA</v>
      </c>
      <c r="BN648" s="136" t="str">
        <f t="shared" si="370"/>
        <v>Estudo Autónomo</v>
      </c>
      <c r="BO648" s="136" t="str">
        <f t="shared" si="370"/>
        <v>AL</v>
      </c>
      <c r="BP648" s="136">
        <f>(COUNTIFS(AX636:AX683,BM648,AY636:AY683,BO648)+COUNTIFS(AZ636:AZ683,BM648,BA636:BA683,BO648)+COUNTIFS(BB636:BB683,BM648,BC636:BC683,BO648)+COUNTIFS(BD636:BD683,BM648,BE636:BE683,BO648)+COUNTIFS(BF636:BF683,BM648,BG636:BG683,BO648)+COUNTIFS(BH636:BH683,BM648,BI636:BI683,BO648)+COUNTIFS(BJ636:BJ683,BM648,BK636:BK683,BO648))*0.5</f>
        <v>0</v>
      </c>
      <c r="BQ648" s="136" t="str">
        <f t="shared" si="371"/>
        <v>Estudo Autónomo</v>
      </c>
      <c r="BR648" s="136" t="str">
        <f t="shared" si="371"/>
        <v>AL</v>
      </c>
      <c r="BS648" s="136" t="str">
        <f t="shared" si="372"/>
        <v>Estudo Autónomo</v>
      </c>
      <c r="BT648" s="136">
        <f t="shared" ref="BT648:BT680" si="378">SUMIFS(V:V,Q:Q,BQ648,R:R,BR648)</f>
        <v>24</v>
      </c>
      <c r="BU648" s="136">
        <f t="shared" ref="BU648:BU680" si="379">SUMIFS(BP:BP,BN:BN,BQ648,BO:BO,BR648)</f>
        <v>25.5</v>
      </c>
      <c r="CA648" s="136">
        <f>'INFO BASE'!L728</f>
        <v>0</v>
      </c>
      <c r="CB648" s="136">
        <f>'INFO BASE'!M728</f>
        <v>0</v>
      </c>
      <c r="CD648" s="136" t="str">
        <f>IF('INFO BASE'!E662="","",'INFO BASE'!E662)</f>
        <v/>
      </c>
      <c r="CR648" s="177">
        <f t="shared" si="360"/>
        <v>1</v>
      </c>
      <c r="CS648" s="177">
        <f t="shared" si="361"/>
        <v>1</v>
      </c>
      <c r="CT648" s="177">
        <f t="shared" si="360"/>
        <v>1</v>
      </c>
      <c r="CU648" s="177">
        <f t="shared" si="362"/>
        <v>1</v>
      </c>
      <c r="CV648" s="177">
        <f t="shared" si="360"/>
        <v>1</v>
      </c>
      <c r="CW648" s="177">
        <f t="shared" si="363"/>
        <v>1</v>
      </c>
      <c r="CX648" s="177">
        <f t="shared" si="360"/>
        <v>1</v>
      </c>
      <c r="CY648" s="177">
        <f t="shared" si="364"/>
        <v>1</v>
      </c>
      <c r="CZ648" s="177">
        <f t="shared" si="360"/>
        <v>1</v>
      </c>
      <c r="DA648" s="177">
        <f t="shared" si="365"/>
        <v>1</v>
      </c>
      <c r="DB648" s="177">
        <f t="shared" si="360"/>
        <v>1</v>
      </c>
      <c r="DC648" s="177">
        <f t="shared" si="366"/>
        <v>1</v>
      </c>
      <c r="DD648" s="177">
        <f t="shared" si="367"/>
        <v>1</v>
      </c>
      <c r="DE648" s="177">
        <f t="shared" si="368"/>
        <v>1</v>
      </c>
    </row>
    <row r="649" spans="1:109" ht="18" customHeight="1" x14ac:dyDescent="0.3">
      <c r="A649" s="81">
        <v>0.27083333333334197</v>
      </c>
      <c r="B649" s="153"/>
      <c r="C649" s="130"/>
      <c r="D649" s="135"/>
      <c r="E649" s="130"/>
      <c r="F649" s="135"/>
      <c r="G649" s="130"/>
      <c r="H649" s="135"/>
      <c r="I649" s="130"/>
      <c r="J649" s="135"/>
      <c r="K649" s="130"/>
      <c r="L649" s="135"/>
      <c r="M649" s="130"/>
      <c r="N649" s="135"/>
      <c r="O649" s="154"/>
      <c r="P649" s="6">
        <v>0</v>
      </c>
      <c r="Q649" s="110" t="str">
        <f t="shared" si="376"/>
        <v>Estudo Autónomo</v>
      </c>
      <c r="R649" s="105" t="str">
        <f t="shared" si="377"/>
        <v>IEI</v>
      </c>
      <c r="S649" s="88">
        <f t="shared" si="374"/>
        <v>-1</v>
      </c>
      <c r="T649" s="89">
        <f>IF(VLOOKUP(Q649,'INFO BASE'!$B$40:$I$54,IF(R649='INFO BASE'!$B$32,3,IF(R649='INFO BASE'!$B$33,4,IF(R649='INFO BASE'!$B$34,5,IF(R649='INFO BASE'!$B$35,6,IF(R649='INFO BASE'!$B$36,7,IF(R649='INFO BASE'!$B$37,8,2)))))),0)=0,"",VLOOKUP(Q649,'INFO BASE'!$B$40:$I$54,IF(R649='INFO BASE'!$B$32,3,IF(R649='INFO BASE'!$B$33,4,IF(R649='INFO BASE'!$B$34,5,IF(R649='INFO BASE'!$B$35,6,IF(R649='INFO BASE'!$B$36,7,IF(R649='INFO BASE'!$B$37,8,2)))))),0))</f>
        <v>2</v>
      </c>
      <c r="U649" s="89">
        <f>(COUNTIFS(C636:C683,R649,B636:B683,R647)+COUNTIFS(E636:E683,R649,D636:D683,R647)+COUNTIFS(G636:G683,R649,F636:F683,R647)+COUNTIFS(I636:I683,R649,H636:H683,R647)+COUNTIFS(K636:K683,R649,J636:J683,R647)+COUNTIFS(M636:M683,R649,L636:L683,R647)+COUNTIFS(O636:O683,R649,N636:N683,R647))*0.5</f>
        <v>0</v>
      </c>
      <c r="V649" s="89">
        <f>(COUNTIFS(AI636:AI683,R647,AJ636:AJ683,R649)+COUNTIFS(AK636:AK683,R647,AL636:AL683,R649)+COUNTIFS(AM636:AM683,R647,AN636:AN683,R649)+COUNTIFS(AO636:AO683,R647,AP636:AP683,R649)+COUNTIFS(AQ636:AQ683,R647,AR636:AR683,R649)+COUNTIFS(AS636:AS683,R647,AT636:AT683,R649)+COUNTIFS(AU636:AU683,R647,AV636:AV683,R649))*0.5</f>
        <v>0</v>
      </c>
      <c r="W649" s="90" t="str">
        <f>IF(AH632="","-",IF(V649=0,U649,IFERROR((U649/V649)-1,"-")))</f>
        <v>-</v>
      </c>
      <c r="X649" s="200">
        <f t="shared" si="375"/>
        <v>0</v>
      </c>
      <c r="Y649" s="299"/>
      <c r="Z649" s="300"/>
      <c r="AA649" s="300"/>
      <c r="AB649" s="300"/>
      <c r="AC649" s="300"/>
      <c r="AD649" s="300"/>
      <c r="AE649" s="300"/>
      <c r="AF649" s="301"/>
      <c r="AH649" s="136">
        <v>0.27083333333334197</v>
      </c>
      <c r="AI649" s="136" t="str">
        <f>IF(AH632="","",IF(B649="","",B649))</f>
        <v/>
      </c>
      <c r="AJ649" s="136" t="str">
        <f>IF(AH632="","",IF(C649="","",C649))</f>
        <v/>
      </c>
      <c r="AK649" s="136" t="str">
        <f>IF(AH632="","",IF(D649="","",D649))</f>
        <v/>
      </c>
      <c r="AL649" s="136" t="str">
        <f>IF(AH632="","",IF(E649="","",E649))</f>
        <v/>
      </c>
      <c r="AM649" s="136" t="str">
        <f>IF(AH632="","",IF(F649="","",F649))</f>
        <v/>
      </c>
      <c r="AN649" s="136" t="str">
        <f>IF(AH632="","",IF(G649="","",G649))</f>
        <v/>
      </c>
      <c r="AO649" s="136" t="str">
        <f>IF(AH632="","",IF(H649="","",H649))</f>
        <v/>
      </c>
      <c r="AP649" s="136" t="str">
        <f>IF(AH632="","",IF(I649="","",I649))</f>
        <v/>
      </c>
      <c r="AQ649" s="136" t="str">
        <f>IF(AH632="","",IF(J649="","",J649))</f>
        <v/>
      </c>
      <c r="AR649" s="136" t="str">
        <f>IF(AH632="","",IF(K649="","",K649))</f>
        <v/>
      </c>
      <c r="AS649" s="136" t="str">
        <f>IF(AH632="","",IF(L649="","",L649))</f>
        <v/>
      </c>
      <c r="AT649" s="136" t="str">
        <f>IF(AH632="","",IF(M649="","",M649))</f>
        <v/>
      </c>
      <c r="AU649" s="136" t="str">
        <f>IF(AH632="","",IF(N649="","",N649))</f>
        <v/>
      </c>
      <c r="AV649" s="136" t="str">
        <f>IF(AH632="","",IF(O649="","",O649))</f>
        <v/>
      </c>
      <c r="AX649" s="136" t="str">
        <f>IF(AI632="","",IF(B649="","",B649))</f>
        <v/>
      </c>
      <c r="AY649" s="136" t="str">
        <f>IF(AI632="","",IF(C649="","",C649))</f>
        <v/>
      </c>
      <c r="AZ649" s="136" t="str">
        <f>IF(AI632="","",IF(D649="","",D649))</f>
        <v/>
      </c>
      <c r="BA649" s="136" t="str">
        <f>IF(AI632="","",IF(E649="","",E649))</f>
        <v/>
      </c>
      <c r="BB649" s="136" t="str">
        <f>IF(AI632="","",IF(F649="","",F649))</f>
        <v/>
      </c>
      <c r="BC649" s="136" t="str">
        <f>IF(AI632="","",IF(G649="","",G649))</f>
        <v/>
      </c>
      <c r="BD649" s="136" t="str">
        <f>IF(AI632="","",IF(H649="","",H649))</f>
        <v/>
      </c>
      <c r="BE649" s="136" t="str">
        <f>IF(AI632="","",IF(I649="","",I649))</f>
        <v/>
      </c>
      <c r="BF649" s="136" t="str">
        <f>IF(AI632="","",IF(J649="","",J649))</f>
        <v/>
      </c>
      <c r="BG649" s="136" t="str">
        <f>IF(AI632="","",IF(K649="","",K649))</f>
        <v/>
      </c>
      <c r="BH649" s="136" t="str">
        <f>IF(AI632="","",IF(L649="","",L649))</f>
        <v/>
      </c>
      <c r="BI649" s="136" t="str">
        <f>IF(AI632="","",IF(M649="","",M649))</f>
        <v/>
      </c>
      <c r="BJ649" s="136" t="str">
        <f>IF(AI632="","",IF(N649="","",N649))</f>
        <v/>
      </c>
      <c r="BK649" s="136" t="str">
        <f>IF(AI632="","",IF(O649="","",O649))</f>
        <v/>
      </c>
      <c r="BM649" s="136" t="str">
        <f t="shared" si="373"/>
        <v>EA</v>
      </c>
      <c r="BN649" s="136" t="str">
        <f t="shared" si="370"/>
        <v>Estudo Autónomo</v>
      </c>
      <c r="BO649" s="136" t="str">
        <f t="shared" si="370"/>
        <v>CDI</v>
      </c>
      <c r="BP649" s="136">
        <f>(COUNTIFS(AX636:AX683,BM649,AY636:AY683,BO649)+COUNTIFS(AZ636:AZ683,BM649,BA636:BA683,BO649)+COUNTIFS(BB636:BB683,BM649,BC636:BC683,BO649)+COUNTIFS(BD636:BD683,BM649,BE636:BE683,BO649)+COUNTIFS(BF636:BF683,BM649,BG636:BG683,BO649)+COUNTIFS(BH636:BH683,BM649,BI636:BI683,BO649)+COUNTIFS(BJ636:BJ683,BM649,BK636:BK683,BO649))*0.5</f>
        <v>0</v>
      </c>
      <c r="BQ649" s="136" t="str">
        <f t="shared" si="371"/>
        <v>Estudo Autónomo</v>
      </c>
      <c r="BR649" s="136" t="str">
        <f t="shared" si="371"/>
        <v>CDI</v>
      </c>
      <c r="BS649" s="136" t="str">
        <f t="shared" si="372"/>
        <v>Estudo Autónomo</v>
      </c>
      <c r="BT649" s="136">
        <f t="shared" si="378"/>
        <v>9.5</v>
      </c>
      <c r="BU649" s="136">
        <f t="shared" si="379"/>
        <v>7.5</v>
      </c>
      <c r="CA649" s="136">
        <f>'INFO BASE'!L729</f>
        <v>0</v>
      </c>
      <c r="CB649" s="136">
        <f>'INFO BASE'!M729</f>
        <v>0</v>
      </c>
      <c r="CD649" s="136" t="str">
        <f>IF('INFO BASE'!E663="","",'INFO BASE'!E663)</f>
        <v/>
      </c>
      <c r="CR649" s="177">
        <f t="shared" si="360"/>
        <v>1</v>
      </c>
      <c r="CS649" s="177">
        <f t="shared" si="361"/>
        <v>1</v>
      </c>
      <c r="CT649" s="177">
        <f t="shared" si="360"/>
        <v>1</v>
      </c>
      <c r="CU649" s="177">
        <f t="shared" si="362"/>
        <v>1</v>
      </c>
      <c r="CV649" s="177">
        <f t="shared" si="360"/>
        <v>1</v>
      </c>
      <c r="CW649" s="177">
        <f t="shared" si="363"/>
        <v>1</v>
      </c>
      <c r="CX649" s="177">
        <f t="shared" si="360"/>
        <v>1</v>
      </c>
      <c r="CY649" s="177">
        <f t="shared" si="364"/>
        <v>1</v>
      </c>
      <c r="CZ649" s="177">
        <f t="shared" si="360"/>
        <v>1</v>
      </c>
      <c r="DA649" s="177">
        <f t="shared" si="365"/>
        <v>1</v>
      </c>
      <c r="DB649" s="177">
        <f t="shared" si="360"/>
        <v>1</v>
      </c>
      <c r="DC649" s="177">
        <f t="shared" si="366"/>
        <v>1</v>
      </c>
      <c r="DD649" s="177">
        <f t="shared" si="367"/>
        <v>1</v>
      </c>
      <c r="DE649" s="177">
        <f t="shared" si="368"/>
        <v>1</v>
      </c>
    </row>
    <row r="650" spans="1:109" ht="18" customHeight="1" x14ac:dyDescent="0.3">
      <c r="A650" s="81">
        <v>0.29166666666667601</v>
      </c>
      <c r="B650" s="153"/>
      <c r="C650" s="130"/>
      <c r="D650" s="135"/>
      <c r="E650" s="130"/>
      <c r="F650" s="135"/>
      <c r="G650" s="130"/>
      <c r="H650" s="135"/>
      <c r="I650" s="130"/>
      <c r="J650" s="135"/>
      <c r="K650" s="130"/>
      <c r="L650" s="135"/>
      <c r="M650" s="130"/>
      <c r="N650" s="135"/>
      <c r="O650" s="154"/>
      <c r="P650" s="6">
        <v>0</v>
      </c>
      <c r="Q650" s="111" t="str">
        <f t="shared" si="376"/>
        <v>Estudo Autónomo</v>
      </c>
      <c r="R650" s="105" t="str">
        <f t="shared" si="377"/>
        <v>IAC</v>
      </c>
      <c r="S650" s="88">
        <f t="shared" si="374"/>
        <v>-1</v>
      </c>
      <c r="T650" s="89">
        <f>IF(VLOOKUP(Q650,'INFO BASE'!$B$40:$I$54,IF(R650='INFO BASE'!$B$32,3,IF(R650='INFO BASE'!$B$33,4,IF(R650='INFO BASE'!$B$34,5,IF(R650='INFO BASE'!$B$35,6,IF(R650='INFO BASE'!$B$36,7,IF(R650='INFO BASE'!$B$37,8,2)))))),0)=0,"",VLOOKUP(Q650,'INFO BASE'!$B$40:$I$54,IF(R650='INFO BASE'!$B$32,3,IF(R650='INFO BASE'!$B$33,4,IF(R650='INFO BASE'!$B$34,5,IF(R650='INFO BASE'!$B$35,6,IF(R650='INFO BASE'!$B$36,7,IF(R650='INFO BASE'!$B$37,8,2)))))),0))</f>
        <v>2</v>
      </c>
      <c r="U650" s="89">
        <f>(COUNTIFS(C636:C683,R650,B636:B683,R647)+COUNTIFS(E636:E683,R650,D636:D683,R647)+COUNTIFS(G636:G683,R650,F636:F683,R647)+COUNTIFS(I636:I683,R650,H636:H683,R647)+COUNTIFS(K636:K683,R650,J636:J683,R647)+COUNTIFS(M636:M683,R650,L636:L683,R647)+COUNTIFS(O636:O683,R650,N636:N683,R647))*0.5</f>
        <v>0</v>
      </c>
      <c r="V650" s="89">
        <f>(COUNTIFS(AI636:AI683,R647,AJ636:AJ683,R650)+COUNTIFS(AK636:AK683,R647,AL636:AL683,R650)+COUNTIFS(AM636:AM683,R647,AN636:AN683,R650)+COUNTIFS(AO636:AO683,R647,AP636:AP683,R650)+COUNTIFS(AQ636:AQ683,R647,AR636:AR683,R650)+COUNTIFS(AS636:AS683,R647,AT636:AT683,R650)+COUNTIFS(AU636:AU683,R647,AV636:AV683,R650))*0.5</f>
        <v>0</v>
      </c>
      <c r="W650" s="90" t="str">
        <f>IF(AH632="","-",IF(V650=0,U650,IFERROR((U650/V650)-1,"-")))</f>
        <v>-</v>
      </c>
      <c r="X650" s="200">
        <f t="shared" si="375"/>
        <v>0</v>
      </c>
      <c r="Y650" s="299"/>
      <c r="Z650" s="300"/>
      <c r="AA650" s="300"/>
      <c r="AB650" s="300"/>
      <c r="AC650" s="300"/>
      <c r="AD650" s="300"/>
      <c r="AE650" s="300"/>
      <c r="AF650" s="301"/>
      <c r="AH650" s="136">
        <v>0.29166666666667601</v>
      </c>
      <c r="AI650" s="136" t="str">
        <f>IF(AH632="","",IF(B650="","",B650))</f>
        <v/>
      </c>
      <c r="AJ650" s="136" t="str">
        <f>IF(AH632="","",IF(C650="","",C650))</f>
        <v/>
      </c>
      <c r="AK650" s="136" t="str">
        <f>IF(AH632="","",IF(D650="","",D650))</f>
        <v/>
      </c>
      <c r="AL650" s="136" t="str">
        <f>IF(AH632="","",IF(E650="","",E650))</f>
        <v/>
      </c>
      <c r="AM650" s="136" t="str">
        <f>IF(AH632="","",IF(F650="","",F650))</f>
        <v/>
      </c>
      <c r="AN650" s="136" t="str">
        <f>IF(AH632="","",IF(G650="","",G650))</f>
        <v/>
      </c>
      <c r="AO650" s="136" t="str">
        <f>IF(AH632="","",IF(H650="","",H650))</f>
        <v/>
      </c>
      <c r="AP650" s="136" t="str">
        <f>IF(AH632="","",IF(I650="","",I650))</f>
        <v/>
      </c>
      <c r="AQ650" s="136" t="str">
        <f>IF(AH632="","",IF(J650="","",J650))</f>
        <v/>
      </c>
      <c r="AR650" s="136" t="str">
        <f>IF(AH632="","",IF(K650="","",K650))</f>
        <v/>
      </c>
      <c r="AS650" s="136" t="str">
        <f>IF(AH632="","",IF(L650="","",L650))</f>
        <v/>
      </c>
      <c r="AT650" s="136" t="str">
        <f>IF(AH632="","",IF(M650="","",M650))</f>
        <v/>
      </c>
      <c r="AU650" s="136" t="str">
        <f>IF(AH632="","",IF(N650="","",N650))</f>
        <v/>
      </c>
      <c r="AV650" s="136" t="str">
        <f>IF(AH632="","",IF(O650="","",O650))</f>
        <v/>
      </c>
      <c r="AX650" s="136" t="str">
        <f>IF(AI632="","",IF(B650="","",B650))</f>
        <v/>
      </c>
      <c r="AY650" s="136" t="str">
        <f>IF(AI632="","",IF(C650="","",C650))</f>
        <v/>
      </c>
      <c r="AZ650" s="136" t="str">
        <f>IF(AI632="","",IF(D650="","",D650))</f>
        <v/>
      </c>
      <c r="BA650" s="136" t="str">
        <f>IF(AI632="","",IF(E650="","",E650))</f>
        <v/>
      </c>
      <c r="BB650" s="136" t="str">
        <f>IF(AI632="","",IF(F650="","",F650))</f>
        <v/>
      </c>
      <c r="BC650" s="136" t="str">
        <f>IF(AI632="","",IF(G650="","",G650))</f>
        <v/>
      </c>
      <c r="BD650" s="136" t="str">
        <f>IF(AI632="","",IF(H650="","",H650))</f>
        <v/>
      </c>
      <c r="BE650" s="136" t="str">
        <f>IF(AI632="","",IF(I650="","",I650))</f>
        <v/>
      </c>
      <c r="BF650" s="136" t="str">
        <f>IF(AI632="","",IF(J650="","",J650))</f>
        <v/>
      </c>
      <c r="BG650" s="136" t="str">
        <f>IF(AI632="","",IF(K650="","",K650))</f>
        <v/>
      </c>
      <c r="BH650" s="136" t="str">
        <f>IF(AI632="","",IF(L650="","",L650))</f>
        <v/>
      </c>
      <c r="BI650" s="136" t="str">
        <f>IF(AI632="","",IF(M650="","",M650))</f>
        <v/>
      </c>
      <c r="BJ650" s="136" t="str">
        <f>IF(AI632="","",IF(N650="","",N650))</f>
        <v/>
      </c>
      <c r="BK650" s="136" t="str">
        <f>IF(AI632="","",IF(O650="","",O650))</f>
        <v/>
      </c>
      <c r="BM650" s="136" t="str">
        <f t="shared" si="373"/>
        <v>EA</v>
      </c>
      <c r="BN650" s="136" t="str">
        <f t="shared" si="370"/>
        <v>Estudo Autónomo</v>
      </c>
      <c r="BO650" s="136" t="str">
        <f t="shared" si="370"/>
        <v/>
      </c>
      <c r="BP650" s="136">
        <f>(COUNTIFS(AX636:AX683,BM650,AY636:AY683,BO650)+COUNTIFS(AZ636:AZ683,BM650,BA636:BA683,BO650)+COUNTIFS(BB636:BB683,BM650,BC636:BC683,BO650)+COUNTIFS(BD636:BD683,BM650,BE636:BE683,BO650)+COUNTIFS(BF636:BF683,BM650,BG636:BG683,BO650)+COUNTIFS(BH636:BH683,BM650,BI636:BI683,BO650)+COUNTIFS(BJ636:BJ683,BM650,BK636:BK683,BO650))*0.5</f>
        <v>0</v>
      </c>
      <c r="BQ650" s="136" t="str">
        <f t="shared" si="371"/>
        <v>Estudo Autónomo</v>
      </c>
      <c r="BR650" s="136" t="str">
        <f t="shared" si="371"/>
        <v/>
      </c>
      <c r="BS650" s="136" t="str">
        <f t="shared" si="372"/>
        <v>Estudo Autónomo</v>
      </c>
      <c r="BT650" s="136">
        <f t="shared" si="378"/>
        <v>0</v>
      </c>
      <c r="BU650" s="136">
        <f t="shared" si="379"/>
        <v>0</v>
      </c>
      <c r="CA650" s="136">
        <f>'INFO BASE'!L730</f>
        <v>0</v>
      </c>
      <c r="CB650" s="136">
        <f>'INFO BASE'!M730</f>
        <v>0</v>
      </c>
      <c r="CD650" s="136" t="str">
        <f>IF('INFO BASE'!E664="","",'INFO BASE'!E664)</f>
        <v/>
      </c>
      <c r="CR650" s="177">
        <f t="shared" si="360"/>
        <v>1</v>
      </c>
      <c r="CS650" s="177">
        <f t="shared" si="361"/>
        <v>1</v>
      </c>
      <c r="CT650" s="177">
        <f t="shared" si="360"/>
        <v>1</v>
      </c>
      <c r="CU650" s="177">
        <f t="shared" si="362"/>
        <v>1</v>
      </c>
      <c r="CV650" s="177">
        <f t="shared" si="360"/>
        <v>1</v>
      </c>
      <c r="CW650" s="177">
        <f t="shared" si="363"/>
        <v>1</v>
      </c>
      <c r="CX650" s="177">
        <f t="shared" si="360"/>
        <v>1</v>
      </c>
      <c r="CY650" s="177">
        <f t="shared" si="364"/>
        <v>1</v>
      </c>
      <c r="CZ650" s="177">
        <f t="shared" si="360"/>
        <v>1</v>
      </c>
      <c r="DA650" s="177">
        <f t="shared" si="365"/>
        <v>1</v>
      </c>
      <c r="DB650" s="177">
        <f t="shared" si="360"/>
        <v>1</v>
      </c>
      <c r="DC650" s="177">
        <f t="shared" si="366"/>
        <v>1</v>
      </c>
      <c r="DD650" s="177">
        <f t="shared" si="367"/>
        <v>1</v>
      </c>
      <c r="DE650" s="177">
        <f t="shared" si="368"/>
        <v>1</v>
      </c>
    </row>
    <row r="651" spans="1:109" ht="18" customHeight="1" x14ac:dyDescent="0.3">
      <c r="A651" s="81">
        <v>0.31250000000000999</v>
      </c>
      <c r="B651" s="153"/>
      <c r="C651" s="130"/>
      <c r="D651" s="135"/>
      <c r="E651" s="130"/>
      <c r="F651" s="135"/>
      <c r="G651" s="130"/>
      <c r="H651" s="135"/>
      <c r="I651" s="130"/>
      <c r="J651" s="135"/>
      <c r="K651" s="130"/>
      <c r="L651" s="135"/>
      <c r="M651" s="130"/>
      <c r="N651" s="135"/>
      <c r="O651" s="154"/>
      <c r="P651" s="6">
        <v>0</v>
      </c>
      <c r="Q651" s="110" t="str">
        <f t="shared" si="376"/>
        <v>Estudo Autónomo</v>
      </c>
      <c r="R651" s="105" t="str">
        <f t="shared" si="377"/>
        <v>AL</v>
      </c>
      <c r="S651" s="88">
        <f t="shared" si="374"/>
        <v>-1</v>
      </c>
      <c r="T651" s="89">
        <f>IF(VLOOKUP(Q651,'INFO BASE'!$B$40:$I$54,IF(R651='INFO BASE'!$B$32,3,IF(R651='INFO BASE'!$B$33,4,IF(R651='INFO BASE'!$B$34,5,IF(R651='INFO BASE'!$B$35,6,IF(R651='INFO BASE'!$B$36,7,IF(R651='INFO BASE'!$B$37,8,2)))))),0)=0,"",VLOOKUP(Q651,'INFO BASE'!$B$40:$I$54,IF(R651='INFO BASE'!$B$32,3,IF(R651='INFO BASE'!$B$33,4,IF(R651='INFO BASE'!$B$34,5,IF(R651='INFO BASE'!$B$35,6,IF(R651='INFO BASE'!$B$36,7,IF(R651='INFO BASE'!$B$37,8,2)))))),0))</f>
        <v>5</v>
      </c>
      <c r="U651" s="89">
        <f>(COUNTIFS(C636:C683,R651,B636:B683,R647)+COUNTIFS(E636:E683,R651,D636:D683,R647)+COUNTIFS(G636:G683,R651,F636:F683,R647)+COUNTIFS(I636:I683,R651,H636:H683,R647)+COUNTIFS(K636:K683,R651,J636:J683,R647)+COUNTIFS(M636:M683,R651,L636:L683,R647)+COUNTIFS(O636:O683,R651,N636:N683,R647))*0.5</f>
        <v>0</v>
      </c>
      <c r="V651" s="89">
        <f>(COUNTIFS(AI636:AI683,R647,AJ636:AJ683,R651)+COUNTIFS(AK636:AK683,R647,AL636:AL683,R651)+COUNTIFS(AM636:AM683,R647,AN636:AN683,R651)+COUNTIFS(AO636:AO683,R647,AP636:AP683,R651)+COUNTIFS(AQ636:AQ683,R647,AR636:AR683,R651)+COUNTIFS(AS636:AS683,R647,AT636:AT683,R651)+COUNTIFS(AU636:AU683,R647,AV636:AV683,R651))*0.5</f>
        <v>0</v>
      </c>
      <c r="W651" s="90" t="str">
        <f>IF(AH632="","-",IF(V651=0,U651,IFERROR((U651/V651)-1,"-")))</f>
        <v>-</v>
      </c>
      <c r="X651" s="200">
        <f t="shared" si="375"/>
        <v>0</v>
      </c>
      <c r="Y651" s="299"/>
      <c r="Z651" s="300"/>
      <c r="AA651" s="300"/>
      <c r="AB651" s="300"/>
      <c r="AC651" s="300"/>
      <c r="AD651" s="300"/>
      <c r="AE651" s="300"/>
      <c r="AF651" s="301"/>
      <c r="AH651" s="136">
        <v>0.31250000000000999</v>
      </c>
      <c r="AI651" s="136" t="str">
        <f>IF(AH632="","",IF(B651="","",B651))</f>
        <v/>
      </c>
      <c r="AJ651" s="136" t="str">
        <f>IF(AH632="","",IF(C651="","",C651))</f>
        <v/>
      </c>
      <c r="AK651" s="136" t="str">
        <f>IF(AH632="","",IF(D651="","",D651))</f>
        <v/>
      </c>
      <c r="AL651" s="136" t="str">
        <f>IF(AH632="","",IF(E651="","",E651))</f>
        <v/>
      </c>
      <c r="AM651" s="136" t="str">
        <f>IF(AH632="","",IF(F651="","",F651))</f>
        <v/>
      </c>
      <c r="AN651" s="136" t="str">
        <f>IF(AH632="","",IF(G651="","",G651))</f>
        <v/>
      </c>
      <c r="AO651" s="136" t="str">
        <f>IF(AH632="","",IF(H651="","",H651))</f>
        <v/>
      </c>
      <c r="AP651" s="136" t="str">
        <f>IF(AH632="","",IF(I651="","",I651))</f>
        <v/>
      </c>
      <c r="AQ651" s="136" t="str">
        <f>IF(AH632="","",IF(J651="","",J651))</f>
        <v/>
      </c>
      <c r="AR651" s="136" t="str">
        <f>IF(AH632="","",IF(K651="","",K651))</f>
        <v/>
      </c>
      <c r="AS651" s="136" t="str">
        <f>IF(AH632="","",IF(L651="","",L651))</f>
        <v/>
      </c>
      <c r="AT651" s="136" t="str">
        <f>IF(AH632="","",IF(M651="","",M651))</f>
        <v/>
      </c>
      <c r="AU651" s="136" t="str">
        <f>IF(AH632="","",IF(N651="","",N651))</f>
        <v/>
      </c>
      <c r="AV651" s="136" t="str">
        <f>IF(AH632="","",IF(O651="","",O651))</f>
        <v/>
      </c>
      <c r="AX651" s="136" t="str">
        <f>IF(AI632="","",IF(B651="","",B651))</f>
        <v/>
      </c>
      <c r="AY651" s="136" t="str">
        <f>IF(AI632="","",IF(C651="","",C651))</f>
        <v/>
      </c>
      <c r="AZ651" s="136" t="str">
        <f>IF(AI632="","",IF(D651="","",D651))</f>
        <v/>
      </c>
      <c r="BA651" s="136" t="str">
        <f>IF(AI632="","",IF(E651="","",E651))</f>
        <v/>
      </c>
      <c r="BB651" s="136" t="str">
        <f>IF(AI632="","",IF(F651="","",F651))</f>
        <v/>
      </c>
      <c r="BC651" s="136" t="str">
        <f>IF(AI632="","",IF(G651="","",G651))</f>
        <v/>
      </c>
      <c r="BD651" s="136" t="str">
        <f>IF(AI632="","",IF(H651="","",H651))</f>
        <v/>
      </c>
      <c r="BE651" s="136" t="str">
        <f>IF(AI632="","",IF(I651="","",I651))</f>
        <v/>
      </c>
      <c r="BF651" s="136" t="str">
        <f>IF(AI632="","",IF(J651="","",J651))</f>
        <v/>
      </c>
      <c r="BG651" s="136" t="str">
        <f>IF(AI632="","",IF(K651="","",K651))</f>
        <v/>
      </c>
      <c r="BH651" s="136" t="str">
        <f>IF(AI632="","",IF(L651="","",L651))</f>
        <v/>
      </c>
      <c r="BI651" s="136" t="str">
        <f>IF(AI632="","",IF(M651="","",M651))</f>
        <v/>
      </c>
      <c r="BJ651" s="136" t="str">
        <f>IF(AI632="","",IF(N651="","",N651))</f>
        <v/>
      </c>
      <c r="BK651" s="136" t="str">
        <f>IF(AI632="","",IF(O651="","",O651))</f>
        <v/>
      </c>
      <c r="BM651" s="136" t="str">
        <f>BO651</f>
        <v>EG</v>
      </c>
      <c r="BN651" s="136" t="str">
        <f t="shared" si="370"/>
        <v>Estudo em Grupo</v>
      </c>
      <c r="BO651" s="136" t="str">
        <f t="shared" si="370"/>
        <v>EG</v>
      </c>
      <c r="BP651" s="136">
        <f>COUNTIFS(AX636:BK683,BO651)*0.5</f>
        <v>0</v>
      </c>
      <c r="BQ651" s="136" t="str">
        <f t="shared" si="371"/>
        <v>Estudo em Grupo</v>
      </c>
      <c r="BR651" s="136" t="str">
        <f t="shared" si="371"/>
        <v>EG</v>
      </c>
      <c r="BS651" s="136" t="str">
        <f t="shared" si="372"/>
        <v>Estudo em Grupo</v>
      </c>
      <c r="BT651" s="136">
        <f t="shared" si="378"/>
        <v>46.5</v>
      </c>
      <c r="BU651" s="136">
        <f t="shared" si="379"/>
        <v>55.5</v>
      </c>
      <c r="CA651" s="136">
        <f>'INFO BASE'!L731</f>
        <v>0</v>
      </c>
      <c r="CB651" s="136">
        <f>'INFO BASE'!M731</f>
        <v>0</v>
      </c>
      <c r="CD651" s="136" t="str">
        <f>IF('INFO BASE'!E665="","",'INFO BASE'!E665)</f>
        <v/>
      </c>
      <c r="CR651" s="177">
        <f t="shared" si="360"/>
        <v>1</v>
      </c>
      <c r="CS651" s="177">
        <f t="shared" si="361"/>
        <v>1</v>
      </c>
      <c r="CT651" s="177">
        <f t="shared" si="360"/>
        <v>1</v>
      </c>
      <c r="CU651" s="177">
        <f t="shared" si="362"/>
        <v>1</v>
      </c>
      <c r="CV651" s="177">
        <f t="shared" si="360"/>
        <v>1</v>
      </c>
      <c r="CW651" s="177">
        <f t="shared" si="363"/>
        <v>1</v>
      </c>
      <c r="CX651" s="177">
        <f t="shared" si="360"/>
        <v>1</v>
      </c>
      <c r="CY651" s="177">
        <f t="shared" si="364"/>
        <v>1</v>
      </c>
      <c r="CZ651" s="177">
        <f t="shared" si="360"/>
        <v>1</v>
      </c>
      <c r="DA651" s="177">
        <f t="shared" si="365"/>
        <v>1</v>
      </c>
      <c r="DB651" s="177">
        <f t="shared" si="360"/>
        <v>1</v>
      </c>
      <c r="DC651" s="177">
        <f t="shared" si="366"/>
        <v>1</v>
      </c>
      <c r="DD651" s="177">
        <f t="shared" si="367"/>
        <v>1</v>
      </c>
      <c r="DE651" s="177">
        <f t="shared" si="368"/>
        <v>1</v>
      </c>
    </row>
    <row r="652" spans="1:109" ht="18" customHeight="1" x14ac:dyDescent="0.3">
      <c r="A652" s="81">
        <v>0.33333333333334397</v>
      </c>
      <c r="B652" s="153"/>
      <c r="C652" s="130"/>
      <c r="D652" s="135"/>
      <c r="E652" s="130"/>
      <c r="F652" s="135"/>
      <c r="G652" s="130"/>
      <c r="H652" s="135"/>
      <c r="I652" s="130"/>
      <c r="J652" s="135"/>
      <c r="K652" s="130"/>
      <c r="L652" s="135"/>
      <c r="M652" s="130"/>
      <c r="N652" s="135"/>
      <c r="O652" s="154"/>
      <c r="P652" s="6">
        <v>0</v>
      </c>
      <c r="Q652" s="110" t="str">
        <f t="shared" si="376"/>
        <v>Estudo Autónomo</v>
      </c>
      <c r="R652" s="105" t="str">
        <f t="shared" si="377"/>
        <v>CDI</v>
      </c>
      <c r="S652" s="88">
        <f t="shared" si="374"/>
        <v>-1</v>
      </c>
      <c r="T652" s="89">
        <f>IF(VLOOKUP(Q652,'INFO BASE'!$B$40:$I$54,IF(R652='INFO BASE'!$B$32,3,IF(R652='INFO BASE'!$B$33,4,IF(R652='INFO BASE'!$B$34,5,IF(R652='INFO BASE'!$B$35,6,IF(R652='INFO BASE'!$B$36,7,IF(R652='INFO BASE'!$B$37,8,2)))))),0)=0,"",VLOOKUP(Q652,'INFO BASE'!$B$40:$I$54,IF(R652='INFO BASE'!$B$32,3,IF(R652='INFO BASE'!$B$33,4,IF(R652='INFO BASE'!$B$34,5,IF(R652='INFO BASE'!$B$35,6,IF(R652='INFO BASE'!$B$36,7,IF(R652='INFO BASE'!$B$37,8,2)))))),0))</f>
        <v>5</v>
      </c>
      <c r="U652" s="89">
        <f>(COUNTIFS(C636:C683,R652,B636:B683,R647)+COUNTIFS(E636:E683,R652,D636:D683,R647)+COUNTIFS(G636:G683,R652,F636:F683,R647)+COUNTIFS(I636:I683,R652,H636:H683,R647)+COUNTIFS(K636:K683,R652,J636:J683,R647)+COUNTIFS(M636:M683,R652,L636:L683,R647)+COUNTIFS(O636:O683,R652,N636:N683,R647))*0.5</f>
        <v>0</v>
      </c>
      <c r="V652" s="89">
        <f>(COUNTIFS(AI636:AI683,R647,AJ636:AJ683,R652)+COUNTIFS(AK636:AK683,R647,AL636:AL683,R652)+COUNTIFS(AM636:AM683,R647,AN636:AN683,R652)+COUNTIFS(AO636:AO683,R647,AP636:AP683,R652)+COUNTIFS(AQ636:AQ683,R647,AR636:AR683,R652)+COUNTIFS(AS636:AS683,R647,AT636:AT683,R652)+COUNTIFS(AU636:AU683,R647,AV636:AV683,R652))*0.5</f>
        <v>0</v>
      </c>
      <c r="W652" s="90" t="str">
        <f>IF(AH632="","-",IF(V652=0,U652,IFERROR((U652/V652)-1,"-")))</f>
        <v>-</v>
      </c>
      <c r="X652" s="200">
        <f t="shared" si="375"/>
        <v>0</v>
      </c>
      <c r="Y652" s="299"/>
      <c r="Z652" s="300"/>
      <c r="AA652" s="300"/>
      <c r="AB652" s="300"/>
      <c r="AC652" s="300"/>
      <c r="AD652" s="300"/>
      <c r="AE652" s="300"/>
      <c r="AF652" s="301"/>
      <c r="AH652" s="136">
        <v>0.33333333333334397</v>
      </c>
      <c r="AI652" s="136" t="str">
        <f>IF(AH632="","",IF(B652="","",B652))</f>
        <v/>
      </c>
      <c r="AJ652" s="136" t="str">
        <f>IF(AH632="","",IF(C652="","",C652))</f>
        <v/>
      </c>
      <c r="AK652" s="136" t="str">
        <f>IF(AH632="","",IF(D652="","",D652))</f>
        <v/>
      </c>
      <c r="AL652" s="136" t="str">
        <f>IF(AH632="","",IF(E652="","",E652))</f>
        <v/>
      </c>
      <c r="AM652" s="136" t="str">
        <f>IF(AH632="","",IF(F652="","",F652))</f>
        <v/>
      </c>
      <c r="AN652" s="136" t="str">
        <f>IF(AH632="","",IF(G652="","",G652))</f>
        <v/>
      </c>
      <c r="AO652" s="136" t="str">
        <f>IF(AH632="","",IF(H652="","",H652))</f>
        <v/>
      </c>
      <c r="AP652" s="136" t="str">
        <f>IF(AH632="","",IF(I652="","",I652))</f>
        <v/>
      </c>
      <c r="AQ652" s="136" t="str">
        <f>IF(AH632="","",IF(J652="","",J652))</f>
        <v/>
      </c>
      <c r="AR652" s="136" t="str">
        <f>IF(AH632="","",IF(K652="","",K652))</f>
        <v/>
      </c>
      <c r="AS652" s="136" t="str">
        <f>IF(AH632="","",IF(L652="","",L652))</f>
        <v/>
      </c>
      <c r="AT652" s="136" t="str">
        <f>IF(AH632="","",IF(M652="","",M652))</f>
        <v/>
      </c>
      <c r="AU652" s="136" t="str">
        <f>IF(AH632="","",IF(N652="","",N652))</f>
        <v/>
      </c>
      <c r="AV652" s="136" t="str">
        <f>IF(AH632="","",IF(O652="","",O652))</f>
        <v/>
      </c>
      <c r="AX652" s="136" t="str">
        <f>IF(AI632="","",IF(B652="","",B652))</f>
        <v/>
      </c>
      <c r="AY652" s="136" t="str">
        <f>IF(AI632="","",IF(C652="","",C652))</f>
        <v/>
      </c>
      <c r="AZ652" s="136" t="str">
        <f>IF(AI632="","",IF(D652="","",D652))</f>
        <v/>
      </c>
      <c r="BA652" s="136" t="str">
        <f>IF(AI632="","",IF(E652="","",E652))</f>
        <v/>
      </c>
      <c r="BB652" s="136" t="str">
        <f>IF(AI632="","",IF(F652="","",F652))</f>
        <v/>
      </c>
      <c r="BC652" s="136" t="str">
        <f>IF(AI632="","",IF(G652="","",G652))</f>
        <v/>
      </c>
      <c r="BD652" s="136" t="str">
        <f>IF(AI632="","",IF(H652="","",H652))</f>
        <v/>
      </c>
      <c r="BE652" s="136" t="str">
        <f>IF(AI632="","",IF(I652="","",I652))</f>
        <v/>
      </c>
      <c r="BF652" s="136" t="str">
        <f>IF(AI632="","",IF(J652="","",J652))</f>
        <v/>
      </c>
      <c r="BG652" s="136" t="str">
        <f>IF(AI632="","",IF(K652="","",K652))</f>
        <v/>
      </c>
      <c r="BH652" s="136" t="str">
        <f>IF(AI632="","",IF(L652="","",L652))</f>
        <v/>
      </c>
      <c r="BI652" s="136" t="str">
        <f>IF(AI632="","",IF(M652="","",M652))</f>
        <v/>
      </c>
      <c r="BJ652" s="136" t="str">
        <f>IF(AI632="","",IF(N652="","",N652))</f>
        <v/>
      </c>
      <c r="BK652" s="136" t="str">
        <f>IF(AI632="","",IF(O652="","",O652))</f>
        <v/>
      </c>
      <c r="BM652" s="136" t="str">
        <f>BM651</f>
        <v>EG</v>
      </c>
      <c r="BN652" s="136" t="str">
        <f t="shared" si="370"/>
        <v>Estudo em Grupo</v>
      </c>
      <c r="BO652" s="136" t="str">
        <f t="shared" si="370"/>
        <v>FP</v>
      </c>
      <c r="BP652" s="136">
        <f>(COUNTIFS(AX636:AX683,BM652,AY636:AY683,BO652)+COUNTIFS(AZ636:AZ683,BM652,BA636:BA683,BO652)+COUNTIFS(BB636:BB683,BM652,BC636:BC683,BO652)+COUNTIFS(BD636:BD683,BM652,BE636:BE683,BO652)+COUNTIFS(BF636:BF683,BM652,BG636:BG683,BO652)+COUNTIFS(BH636:BH683,BM652,BI636:BI683,BO652)+COUNTIFS(BJ636:BJ683,BM652,BK636:BK683,BO652))*0.5</f>
        <v>0</v>
      </c>
      <c r="BQ652" s="136" t="str">
        <f t="shared" si="371"/>
        <v>Estudo em Grupo</v>
      </c>
      <c r="BR652" s="136" t="str">
        <f t="shared" si="371"/>
        <v>FP</v>
      </c>
      <c r="BS652" s="136" t="str">
        <f t="shared" si="372"/>
        <v>Estudo em Grupo</v>
      </c>
      <c r="BT652" s="136">
        <f t="shared" si="378"/>
        <v>11</v>
      </c>
      <c r="BU652" s="136">
        <f t="shared" si="379"/>
        <v>12</v>
      </c>
      <c r="CA652" s="136">
        <f>'INFO BASE'!L732</f>
        <v>0</v>
      </c>
      <c r="CB652" s="136">
        <f>'INFO BASE'!M732</f>
        <v>0</v>
      </c>
      <c r="CD652" s="136" t="str">
        <f>IF('INFO BASE'!F666="","",'INFO BASE'!F666)</f>
        <v/>
      </c>
      <c r="CR652" s="177">
        <f t="shared" si="360"/>
        <v>1</v>
      </c>
      <c r="CS652" s="177">
        <f t="shared" si="361"/>
        <v>1</v>
      </c>
      <c r="CT652" s="177">
        <f t="shared" si="360"/>
        <v>1</v>
      </c>
      <c r="CU652" s="177">
        <f t="shared" si="362"/>
        <v>1</v>
      </c>
      <c r="CV652" s="177">
        <f t="shared" si="360"/>
        <v>1</v>
      </c>
      <c r="CW652" s="177">
        <f t="shared" si="363"/>
        <v>1</v>
      </c>
      <c r="CX652" s="177">
        <f t="shared" si="360"/>
        <v>1</v>
      </c>
      <c r="CY652" s="177">
        <f t="shared" si="364"/>
        <v>1</v>
      </c>
      <c r="CZ652" s="177">
        <f t="shared" si="360"/>
        <v>1</v>
      </c>
      <c r="DA652" s="177">
        <f t="shared" si="365"/>
        <v>1</v>
      </c>
      <c r="DB652" s="177">
        <f t="shared" si="360"/>
        <v>1</v>
      </c>
      <c r="DC652" s="177">
        <f t="shared" si="366"/>
        <v>1</v>
      </c>
      <c r="DD652" s="177">
        <f t="shared" si="367"/>
        <v>1</v>
      </c>
      <c r="DE652" s="177">
        <f t="shared" si="368"/>
        <v>1</v>
      </c>
    </row>
    <row r="653" spans="1:109" ht="18" customHeight="1" thickBot="1" x14ac:dyDescent="0.35">
      <c r="A653" s="81">
        <v>0.35416666666667801</v>
      </c>
      <c r="B653" s="153"/>
      <c r="C653" s="130"/>
      <c r="D653" s="135"/>
      <c r="E653" s="130"/>
      <c r="F653" s="135"/>
      <c r="G653" s="130"/>
      <c r="H653" s="135"/>
      <c r="I653" s="130"/>
      <c r="J653" s="135"/>
      <c r="K653" s="130"/>
      <c r="L653" s="135"/>
      <c r="M653" s="130"/>
      <c r="N653" s="135"/>
      <c r="O653" s="154"/>
      <c r="P653" s="6">
        <v>0</v>
      </c>
      <c r="Q653" s="112" t="str">
        <f t="shared" si="376"/>
        <v>Estudo Autónomo</v>
      </c>
      <c r="R653" s="107" t="str">
        <f t="shared" si="377"/>
        <v/>
      </c>
      <c r="S653" s="94" t="str">
        <f t="shared" si="374"/>
        <v>-</v>
      </c>
      <c r="T653" s="95" t="str">
        <f>IF(VLOOKUP(Q653,'INFO BASE'!$B$40:$I$54,IF(R653='INFO BASE'!$B$32,3,IF(R653='INFO BASE'!$B$33,4,IF(R653='INFO BASE'!$B$34,5,IF(R653='INFO BASE'!$B$35,6,IF(R653='INFO BASE'!$B$36,7,IF(R653='INFO BASE'!$B$37,8,2)))))),0)=0,"",VLOOKUP(Q653,'INFO BASE'!$B$40:$I$54,IF(R653='INFO BASE'!$B$32,3,IF(R653='INFO BASE'!$B$33,4,IF(R653='INFO BASE'!$B$34,5,IF(R653='INFO BASE'!$B$35,6,IF(R653='INFO BASE'!$B$36,7,IF(R653='INFO BASE'!$B$37,8,2)))))),0))</f>
        <v/>
      </c>
      <c r="U653" s="95">
        <f>(COUNTIFS(C636:C683,R653,B636:B683,R647)+COUNTIFS(E636:E683,R653,D636:D683,R647)+COUNTIFS(G636:G683,R653,F636:F683,R647)+COUNTIFS(I636:I683,R653,H636:H683,R647)+COUNTIFS(K636:K683,R653,J636:J683,R647)+COUNTIFS(M636:M683,R653,L636:L683,R647)+COUNTIFS(O636:O683,R653,N636:N683,R647))*0.5</f>
        <v>0</v>
      </c>
      <c r="V653" s="95">
        <f>(COUNTIFS(AI636:AI683,R647,AJ636:AJ683,R653)+COUNTIFS(AK636:AK683,R647,AL636:AL683,R653)+COUNTIFS(AM636:AM683,R647,AN636:AN683,R653)+COUNTIFS(AO636:AO683,R647,AP636:AP683,R653)+COUNTIFS(AQ636:AQ683,R647,AR636:AR683,R653)+COUNTIFS(AS636:AS683,R647,AT636:AT683,R653)+COUNTIFS(AU636:AU683,R647,AV636:AV683,R653))*0.5</f>
        <v>0</v>
      </c>
      <c r="W653" s="96" t="str">
        <f>IF(AH632="","-",IF(V653=0,U653,IFERROR((U653/V653)-1,"-")))</f>
        <v>-</v>
      </c>
      <c r="X653" s="201">
        <f t="shared" si="375"/>
        <v>0</v>
      </c>
      <c r="Y653" s="274"/>
      <c r="Z653" s="275"/>
      <c r="AA653" s="275"/>
      <c r="AB653" s="275"/>
      <c r="AC653" s="275"/>
      <c r="AD653" s="275"/>
      <c r="AE653" s="275"/>
      <c r="AF653" s="276"/>
      <c r="AH653" s="136">
        <v>0.35416666666667801</v>
      </c>
      <c r="AI653" s="136" t="str">
        <f>IF(AH632="","",IF(B653="","",B653))</f>
        <v/>
      </c>
      <c r="AJ653" s="136" t="str">
        <f>IF(AH632="","",IF(C653="","",C653))</f>
        <v/>
      </c>
      <c r="AK653" s="136" t="str">
        <f>IF(AH632="","",IF(D653="","",D653))</f>
        <v/>
      </c>
      <c r="AL653" s="136" t="str">
        <f>IF(AH632="","",IF(E653="","",E653))</f>
        <v/>
      </c>
      <c r="AM653" s="136" t="str">
        <f>IF(AH632="","",IF(F653="","",F653))</f>
        <v/>
      </c>
      <c r="AN653" s="136" t="str">
        <f>IF(AH632="","",IF(G653="","",G653))</f>
        <v/>
      </c>
      <c r="AO653" s="136" t="str">
        <f>IF(AH632="","",IF(H653="","",H653))</f>
        <v/>
      </c>
      <c r="AP653" s="136" t="str">
        <f>IF(AH632="","",IF(I653="","",I653))</f>
        <v/>
      </c>
      <c r="AQ653" s="136" t="str">
        <f>IF(AH632="","",IF(J653="","",J653))</f>
        <v/>
      </c>
      <c r="AR653" s="136" t="str">
        <f>IF(AH632="","",IF(K653="","",K653))</f>
        <v/>
      </c>
      <c r="AS653" s="136" t="str">
        <f>IF(AH632="","",IF(L653="","",L653))</f>
        <v/>
      </c>
      <c r="AT653" s="136" t="str">
        <f>IF(AH632="","",IF(M653="","",M653))</f>
        <v/>
      </c>
      <c r="AU653" s="136" t="str">
        <f>IF(AH632="","",IF(N653="","",N653))</f>
        <v/>
      </c>
      <c r="AV653" s="136" t="str">
        <f>IF(AH632="","",IF(O653="","",O653))</f>
        <v/>
      </c>
      <c r="AX653" s="136" t="str">
        <f>IF(AI632="","",IF(B653="","",B653))</f>
        <v/>
      </c>
      <c r="AY653" s="136" t="str">
        <f>IF(AI632="","",IF(C653="","",C653))</f>
        <v/>
      </c>
      <c r="AZ653" s="136" t="str">
        <f>IF(AI632="","",IF(D653="","",D653))</f>
        <v/>
      </c>
      <c r="BA653" s="136" t="str">
        <f>IF(AI632="","",IF(E653="","",E653))</f>
        <v/>
      </c>
      <c r="BB653" s="136" t="str">
        <f>IF(AI632="","",IF(F653="","",F653))</f>
        <v/>
      </c>
      <c r="BC653" s="136" t="str">
        <f>IF(AI632="","",IF(G653="","",G653))</f>
        <v/>
      </c>
      <c r="BD653" s="136" t="str">
        <f>IF(AI632="","",IF(H653="","",H653))</f>
        <v/>
      </c>
      <c r="BE653" s="136" t="str">
        <f>IF(AI632="","",IF(I653="","",I653))</f>
        <v/>
      </c>
      <c r="BF653" s="136" t="str">
        <f>IF(AI632="","",IF(J653="","",J653))</f>
        <v/>
      </c>
      <c r="BG653" s="136" t="str">
        <f>IF(AI632="","",IF(K653="","",K653))</f>
        <v/>
      </c>
      <c r="BH653" s="136" t="str">
        <f>IF(AI632="","",IF(L653="","",L653))</f>
        <v/>
      </c>
      <c r="BI653" s="136" t="str">
        <f>IF(AI632="","",IF(M653="","",M653))</f>
        <v/>
      </c>
      <c r="BJ653" s="136" t="str">
        <f>IF(AI632="","",IF(N653="","",N653))</f>
        <v/>
      </c>
      <c r="BK653" s="136" t="str">
        <f>IF(AI632="","",IF(O653="","",O653))</f>
        <v/>
      </c>
      <c r="BM653" s="136" t="str">
        <f t="shared" ref="BM653:BM657" si="380">BM652</f>
        <v>EG</v>
      </c>
      <c r="BN653" s="136" t="str">
        <f t="shared" si="370"/>
        <v>Estudo em Grupo</v>
      </c>
      <c r="BO653" s="136" t="str">
        <f t="shared" si="370"/>
        <v>IEI</v>
      </c>
      <c r="BP653" s="136">
        <f>(COUNTIFS(AX636:AX683,BM653,AY636:AY683,BO653)+COUNTIFS(AZ636:AZ683,BM653,BA636:BA683,BO653)+COUNTIFS(BB636:BB683,BM653,BC636:BC683,BO653)+COUNTIFS(BD636:BD683,BM653,BE636:BE683,BO653)+COUNTIFS(BF636:BF683,BM653,BG636:BG683,BO653)+COUNTIFS(BH636:BH683,BM653,BI636:BI683,BO653)+COUNTIFS(BJ636:BJ683,BM653,BK636:BK683,BO653))*0.5</f>
        <v>0</v>
      </c>
      <c r="BQ653" s="136" t="str">
        <f t="shared" si="371"/>
        <v>Estudo em Grupo</v>
      </c>
      <c r="BR653" s="136" t="str">
        <f t="shared" si="371"/>
        <v>IEI</v>
      </c>
      <c r="BS653" s="136" t="str">
        <f t="shared" si="372"/>
        <v>Estudo em Grupo</v>
      </c>
      <c r="BT653" s="136">
        <f t="shared" si="378"/>
        <v>2.5</v>
      </c>
      <c r="BU653" s="136">
        <f t="shared" si="379"/>
        <v>7</v>
      </c>
      <c r="CA653" s="136">
        <f>'INFO BASE'!L733</f>
        <v>0</v>
      </c>
      <c r="CB653" s="136">
        <f>'INFO BASE'!M733</f>
        <v>0</v>
      </c>
      <c r="CR653" s="177">
        <f t="shared" si="360"/>
        <v>1</v>
      </c>
      <c r="CS653" s="177">
        <f t="shared" si="361"/>
        <v>1</v>
      </c>
      <c r="CT653" s="177">
        <f t="shared" si="360"/>
        <v>1</v>
      </c>
      <c r="CU653" s="177">
        <f t="shared" si="362"/>
        <v>1</v>
      </c>
      <c r="CV653" s="177">
        <f t="shared" si="360"/>
        <v>1</v>
      </c>
      <c r="CW653" s="177">
        <f t="shared" si="363"/>
        <v>1</v>
      </c>
      <c r="CX653" s="177">
        <f t="shared" si="360"/>
        <v>1</v>
      </c>
      <c r="CY653" s="177">
        <f t="shared" si="364"/>
        <v>1</v>
      </c>
      <c r="CZ653" s="177">
        <f t="shared" si="360"/>
        <v>1</v>
      </c>
      <c r="DA653" s="177">
        <f t="shared" si="365"/>
        <v>1</v>
      </c>
      <c r="DB653" s="177">
        <f t="shared" si="360"/>
        <v>1</v>
      </c>
      <c r="DC653" s="177">
        <f t="shared" si="366"/>
        <v>1</v>
      </c>
      <c r="DD653" s="177">
        <f t="shared" si="367"/>
        <v>1</v>
      </c>
      <c r="DE653" s="177">
        <f t="shared" si="368"/>
        <v>1</v>
      </c>
    </row>
    <row r="654" spans="1:109" ht="18" customHeight="1" x14ac:dyDescent="0.3">
      <c r="A654" s="81">
        <v>0.37500000000001199</v>
      </c>
      <c r="B654" s="153"/>
      <c r="C654" s="130"/>
      <c r="D654" s="135"/>
      <c r="E654" s="130"/>
      <c r="F654" s="135"/>
      <c r="G654" s="130"/>
      <c r="H654" s="135"/>
      <c r="I654" s="130"/>
      <c r="J654" s="135"/>
      <c r="K654" s="130"/>
      <c r="L654" s="135"/>
      <c r="M654" s="130"/>
      <c r="N654" s="135"/>
      <c r="O654" s="154"/>
      <c r="P654" s="6">
        <v>0</v>
      </c>
      <c r="Q654" s="113" t="str">
        <f>IF('INFO BASE'!$C$18="","",'INFO BASE'!$C$18)</f>
        <v>Estudo em Grupo</v>
      </c>
      <c r="R654" s="82" t="str">
        <f t="shared" si="377"/>
        <v>EG</v>
      </c>
      <c r="S654" s="83">
        <f t="shared" si="374"/>
        <v>-1</v>
      </c>
      <c r="T654" s="84">
        <f>IF(VLOOKUP(Q654,'INFO BASE'!$B$40:$I$54,IF(R654='INFO BASE'!$B$32,3,IF(R654='INFO BASE'!$B$33,4,IF(R654='INFO BASE'!$B$34,5,IF(R654='INFO BASE'!$B$35,6,IF(R654='INFO BASE'!$B$36,7,IF(R654='INFO BASE'!$B$37,8,2)))))),0)=0,"",VLOOKUP(Q654,'INFO BASE'!$B$40:$I$54,IF(R654='INFO BASE'!$B$32,3,IF(R654='INFO BASE'!$B$33,4,IF(R654='INFO BASE'!$B$34,5,IF(R654='INFO BASE'!$B$35,6,IF(R654='INFO BASE'!$B$36,7,IF(R654='INFO BASE'!$B$37,8,2)))))),0))</f>
        <v>8</v>
      </c>
      <c r="U654" s="84">
        <f>IF(R654="","",COUNTIFS(SEMANA12,R654)*0.5)</f>
        <v>0</v>
      </c>
      <c r="V654" s="84">
        <f>IF(R654="","",COUNTIFS(AI636:AV683,R654)*0.5)</f>
        <v>0</v>
      </c>
      <c r="W654" s="85" t="str">
        <f>IF(AH632="","-",IF(V654=0,U654,IFERROR((U654/V654)-1,"-")))</f>
        <v>-</v>
      </c>
      <c r="X654" s="201">
        <f t="shared" si="375"/>
        <v>0</v>
      </c>
      <c r="Y654" s="277"/>
      <c r="Z654" s="278"/>
      <c r="AA654" s="278"/>
      <c r="AB654" s="278"/>
      <c r="AC654" s="278"/>
      <c r="AD654" s="278"/>
      <c r="AE654" s="278"/>
      <c r="AF654" s="279"/>
      <c r="AH654" s="136">
        <v>0.37500000000001199</v>
      </c>
      <c r="AI654" s="136" t="str">
        <f>IF(AH632="","",IF(B654="","",B654))</f>
        <v/>
      </c>
      <c r="AJ654" s="136" t="str">
        <f>IF(AH632="","",IF(C654="","",C654))</f>
        <v/>
      </c>
      <c r="AK654" s="136" t="str">
        <f>IF(AH632="","",IF(D654="","",D654))</f>
        <v/>
      </c>
      <c r="AL654" s="136" t="str">
        <f>IF(AH632="","",IF(E654="","",E654))</f>
        <v/>
      </c>
      <c r="AM654" s="136" t="str">
        <f>IF(AH632="","",IF(F654="","",F654))</f>
        <v/>
      </c>
      <c r="AN654" s="136" t="str">
        <f>IF(AH632="","",IF(G654="","",G654))</f>
        <v/>
      </c>
      <c r="AO654" s="136" t="str">
        <f>IF(AH632="","",IF(H654="","",H654))</f>
        <v/>
      </c>
      <c r="AP654" s="136" t="str">
        <f>IF(AH632="","",IF(I654="","",I654))</f>
        <v/>
      </c>
      <c r="AQ654" s="136" t="str">
        <f>IF(AH632="","",IF(J654="","",J654))</f>
        <v/>
      </c>
      <c r="AR654" s="136" t="str">
        <f>IF(AH632="","",IF(K654="","",K654))</f>
        <v/>
      </c>
      <c r="AS654" s="136" t="str">
        <f>IF(AH632="","",IF(L654="","",L654))</f>
        <v/>
      </c>
      <c r="AT654" s="136" t="str">
        <f>IF(AH632="","",IF(M654="","",M654))</f>
        <v/>
      </c>
      <c r="AU654" s="136" t="str">
        <f>IF(AH632="","",IF(N654="","",N654))</f>
        <v/>
      </c>
      <c r="AV654" s="136" t="str">
        <f>IF(AH632="","",IF(O654="","",O654))</f>
        <v/>
      </c>
      <c r="AX654" s="136" t="str">
        <f>IF(AI632="","",IF(B654="","",B654))</f>
        <v/>
      </c>
      <c r="AY654" s="136" t="str">
        <f>IF(AI632="","",IF(C654="","",C654))</f>
        <v/>
      </c>
      <c r="AZ654" s="136" t="str">
        <f>IF(AI632="","",IF(D654="","",D654))</f>
        <v/>
      </c>
      <c r="BA654" s="136" t="str">
        <f>IF(AI632="","",IF(E654="","",E654))</f>
        <v/>
      </c>
      <c r="BB654" s="136" t="str">
        <f>IF(AI632="","",IF(F654="","",F654))</f>
        <v/>
      </c>
      <c r="BC654" s="136" t="str">
        <f>IF(AI632="","",IF(G654="","",G654))</f>
        <v/>
      </c>
      <c r="BD654" s="136" t="str">
        <f>IF(AI632="","",IF(H654="","",H654))</f>
        <v/>
      </c>
      <c r="BE654" s="136" t="str">
        <f>IF(AI632="","",IF(I654="","",I654))</f>
        <v/>
      </c>
      <c r="BF654" s="136" t="str">
        <f>IF(AI632="","",IF(J654="","",J654))</f>
        <v/>
      </c>
      <c r="BG654" s="136" t="str">
        <f>IF(AI632="","",IF(K654="","",K654))</f>
        <v/>
      </c>
      <c r="BH654" s="136" t="str">
        <f>IF(AI632="","",IF(L654="","",L654))</f>
        <v/>
      </c>
      <c r="BI654" s="136" t="str">
        <f>IF(AI632="","",IF(M654="","",M654))</f>
        <v/>
      </c>
      <c r="BJ654" s="136" t="str">
        <f>IF(AI632="","",IF(N654="","",N654))</f>
        <v/>
      </c>
      <c r="BK654" s="136" t="str">
        <f>IF(AI632="","",IF(O654="","",O654))</f>
        <v/>
      </c>
      <c r="BM654" s="136" t="str">
        <f t="shared" si="380"/>
        <v>EG</v>
      </c>
      <c r="BN654" s="136" t="str">
        <f t="shared" si="370"/>
        <v>Estudo em Grupo</v>
      </c>
      <c r="BO654" s="136" t="str">
        <f t="shared" si="370"/>
        <v>IAC</v>
      </c>
      <c r="BP654" s="136">
        <f>(COUNTIFS(AX636:AX683,BM654,AY636:AY683,BO654)+COUNTIFS(AZ636:AZ683,BM654,BA636:BA683,BO654)+COUNTIFS(BB636:BB683,BM654,BC636:BC683,BO654)+COUNTIFS(BD636:BD683,BM654,BE636:BE683,BO654)+COUNTIFS(BF636:BF683,BM654,BG636:BG683,BO654)+COUNTIFS(BH636:BH683,BM654,BI636:BI683,BO654)+COUNTIFS(BJ636:BJ683,BM654,BK636:BK683,BO654))*0.5</f>
        <v>0</v>
      </c>
      <c r="BQ654" s="136" t="str">
        <f t="shared" si="371"/>
        <v>Estudo em Grupo</v>
      </c>
      <c r="BR654" s="136" t="str">
        <f t="shared" si="371"/>
        <v>IAC</v>
      </c>
      <c r="BS654" s="136" t="str">
        <f t="shared" si="372"/>
        <v>Estudo em Grupo</v>
      </c>
      <c r="BT654" s="136">
        <f t="shared" si="378"/>
        <v>6</v>
      </c>
      <c r="BU654" s="136">
        <f t="shared" si="379"/>
        <v>10.5</v>
      </c>
      <c r="CA654" s="136">
        <f>'INFO BASE'!L734</f>
        <v>0</v>
      </c>
      <c r="CB654" s="136">
        <f>'INFO BASE'!M734</f>
        <v>0</v>
      </c>
      <c r="CR654" s="177">
        <f t="shared" si="360"/>
        <v>1</v>
      </c>
      <c r="CS654" s="177">
        <f t="shared" si="361"/>
        <v>1</v>
      </c>
      <c r="CT654" s="177">
        <f t="shared" si="360"/>
        <v>1</v>
      </c>
      <c r="CU654" s="177">
        <f t="shared" si="362"/>
        <v>1</v>
      </c>
      <c r="CV654" s="177">
        <f t="shared" si="360"/>
        <v>1</v>
      </c>
      <c r="CW654" s="177">
        <f t="shared" si="363"/>
        <v>1</v>
      </c>
      <c r="CX654" s="177">
        <f t="shared" si="360"/>
        <v>1</v>
      </c>
      <c r="CY654" s="177">
        <f t="shared" si="364"/>
        <v>1</v>
      </c>
      <c r="CZ654" s="177">
        <f t="shared" si="360"/>
        <v>1</v>
      </c>
      <c r="DA654" s="177">
        <f t="shared" si="365"/>
        <v>1</v>
      </c>
      <c r="DB654" s="177">
        <f t="shared" si="360"/>
        <v>1</v>
      </c>
      <c r="DC654" s="177">
        <f t="shared" si="366"/>
        <v>1</v>
      </c>
      <c r="DD654" s="177">
        <f t="shared" si="367"/>
        <v>1</v>
      </c>
      <c r="DE654" s="177">
        <f t="shared" si="368"/>
        <v>1</v>
      </c>
    </row>
    <row r="655" spans="1:109" ht="18" customHeight="1" x14ac:dyDescent="0.3">
      <c r="A655" s="81">
        <v>0.39583333333334603</v>
      </c>
      <c r="B655" s="153"/>
      <c r="C655" s="130"/>
      <c r="D655" s="135"/>
      <c r="E655" s="130"/>
      <c r="F655" s="135"/>
      <c r="G655" s="130"/>
      <c r="H655" s="135"/>
      <c r="I655" s="130"/>
      <c r="J655" s="135"/>
      <c r="K655" s="130"/>
      <c r="L655" s="135"/>
      <c r="M655" s="130"/>
      <c r="N655" s="135"/>
      <c r="O655" s="154"/>
      <c r="P655" s="6">
        <v>0</v>
      </c>
      <c r="Q655" s="114" t="str">
        <f t="shared" ref="Q655:Q660" si="381">Q654</f>
        <v>Estudo em Grupo</v>
      </c>
      <c r="R655" s="105" t="str">
        <f t="shared" si="377"/>
        <v>FP</v>
      </c>
      <c r="S655" s="88">
        <f t="shared" si="374"/>
        <v>-1</v>
      </c>
      <c r="T655" s="89">
        <f>IF(VLOOKUP(Q655,'INFO BASE'!$B$40:$I$54,IF(R655='INFO BASE'!$B$32,3,IF(R655='INFO BASE'!$B$33,4,IF(R655='INFO BASE'!$B$34,5,IF(R655='INFO BASE'!$B$35,6,IF(R655='INFO BASE'!$B$36,7,IF(R655='INFO BASE'!$B$37,8,2)))))),0)=0,"",VLOOKUP(Q655,'INFO BASE'!$B$40:$I$54,IF(R655='INFO BASE'!$B$32,3,IF(R655='INFO BASE'!$B$33,4,IF(R655='INFO BASE'!$B$34,5,IF(R655='INFO BASE'!$B$35,6,IF(R655='INFO BASE'!$B$36,7,IF(R655='INFO BASE'!$B$37,8,2)))))),0))</f>
        <v>2</v>
      </c>
      <c r="U655" s="89">
        <f>(COUNTIFS(C636:C683,R655,B636:B683,R654)+COUNTIFS(E636:E683,R655,D636:D683,R654)+COUNTIFS(G636:G683,R655,F636:F683,R654)+COUNTIFS(I636:I683,R655,H636:H683,R654)+COUNTIFS(K636:K683,R655,J636:J683,R654)+COUNTIFS(M636:M683,R655,L636:L683,R654)+COUNTIFS(O636:O683,R655,N636:N683,R654))*0.5</f>
        <v>0</v>
      </c>
      <c r="V655" s="89">
        <f>(COUNTIFS(AI636:AI683,R654,AJ636:AJ683,R648)+COUNTIFS(AK636:AK683,R654,AL636:AL683,R648)+COUNTIFS(AM636:AM683,R654,AN636:AN683,R648)+COUNTIFS(AO636:AO683,R654,AP636:AP683,R648)+COUNTIFS(AQ636:AQ683,R654,AR636:AR683,R648)+COUNTIFS(AS636:AS683,R654,AT636:AT683,R648)+COUNTIFS(AU636:AU683,R654,AV636:AV683,R648))*0.5</f>
        <v>0</v>
      </c>
      <c r="W655" s="90" t="str">
        <f>IF(AH632="","-",IF(V655=0,U655,IFERROR((U655/V655)-1,"-")))</f>
        <v>-</v>
      </c>
      <c r="X655" s="201">
        <f t="shared" si="375"/>
        <v>0</v>
      </c>
      <c r="Y655" s="271"/>
      <c r="Z655" s="272"/>
      <c r="AA655" s="272"/>
      <c r="AB655" s="272"/>
      <c r="AC655" s="272"/>
      <c r="AD655" s="272"/>
      <c r="AE655" s="272"/>
      <c r="AF655" s="273"/>
      <c r="AH655" s="136">
        <v>0.39583333333334603</v>
      </c>
      <c r="AI655" s="136" t="str">
        <f>IF(AH632="","",IF(B655="","",B655))</f>
        <v/>
      </c>
      <c r="AJ655" s="136" t="str">
        <f>IF(AH632="","",IF(C655="","",C655))</f>
        <v/>
      </c>
      <c r="AK655" s="136" t="str">
        <f>IF(AH632="","",IF(D655="","",D655))</f>
        <v/>
      </c>
      <c r="AL655" s="136" t="str">
        <f>IF(AH632="","",IF(E655="","",E655))</f>
        <v/>
      </c>
      <c r="AM655" s="136" t="str">
        <f>IF(AH632="","",IF(F655="","",F655))</f>
        <v/>
      </c>
      <c r="AN655" s="136" t="str">
        <f>IF(AH632="","",IF(G655="","",G655))</f>
        <v/>
      </c>
      <c r="AO655" s="136" t="str">
        <f>IF(AH632="","",IF(H655="","",H655))</f>
        <v/>
      </c>
      <c r="AP655" s="136" t="str">
        <f>IF(AH632="","",IF(I655="","",I655))</f>
        <v/>
      </c>
      <c r="AQ655" s="136" t="str">
        <f>IF(AH632="","",IF(J655="","",J655))</f>
        <v/>
      </c>
      <c r="AR655" s="136" t="str">
        <f>IF(AH632="","",IF(K655="","",K655))</f>
        <v/>
      </c>
      <c r="AS655" s="136" t="str">
        <f>IF(AH632="","",IF(L655="","",L655))</f>
        <v/>
      </c>
      <c r="AT655" s="136" t="str">
        <f>IF(AH632="","",IF(M655="","",M655))</f>
        <v/>
      </c>
      <c r="AU655" s="136" t="str">
        <f>IF(AH632="","",IF(N655="","",N655))</f>
        <v/>
      </c>
      <c r="AV655" s="136" t="str">
        <f>IF(AH632="","",IF(O655="","",O655))</f>
        <v/>
      </c>
      <c r="AX655" s="136" t="str">
        <f>IF(AI632="","",IF(B655="","",B655))</f>
        <v/>
      </c>
      <c r="AY655" s="136" t="str">
        <f>IF(AI632="","",IF(C655="","",C655))</f>
        <v/>
      </c>
      <c r="AZ655" s="136" t="str">
        <f>IF(AI632="","",IF(D655="","",D655))</f>
        <v/>
      </c>
      <c r="BA655" s="136" t="str">
        <f>IF(AI632="","",IF(E655="","",E655))</f>
        <v/>
      </c>
      <c r="BB655" s="136" t="str">
        <f>IF(AI632="","",IF(F655="","",F655))</f>
        <v/>
      </c>
      <c r="BC655" s="136" t="str">
        <f>IF(AI632="","",IF(G655="","",G655))</f>
        <v/>
      </c>
      <c r="BD655" s="136" t="str">
        <f>IF(AI632="","",IF(H655="","",H655))</f>
        <v/>
      </c>
      <c r="BE655" s="136" t="str">
        <f>IF(AI632="","",IF(I655="","",I655))</f>
        <v/>
      </c>
      <c r="BF655" s="136" t="str">
        <f>IF(AI632="","",IF(J655="","",J655))</f>
        <v/>
      </c>
      <c r="BG655" s="136" t="str">
        <f>IF(AI632="","",IF(K655="","",K655))</f>
        <v/>
      </c>
      <c r="BH655" s="136" t="str">
        <f>IF(AI632="","",IF(L655="","",L655))</f>
        <v/>
      </c>
      <c r="BI655" s="136" t="str">
        <f>IF(AI632="","",IF(M655="","",M655))</f>
        <v/>
      </c>
      <c r="BJ655" s="136" t="str">
        <f>IF(AI632="","",IF(N655="","",N655))</f>
        <v/>
      </c>
      <c r="BK655" s="136" t="str">
        <f>IF(AI632="","",IF(O655="","",O655))</f>
        <v/>
      </c>
      <c r="BM655" s="136" t="str">
        <f t="shared" si="380"/>
        <v>EG</v>
      </c>
      <c r="BN655" s="136" t="str">
        <f t="shared" si="370"/>
        <v>Estudo em Grupo</v>
      </c>
      <c r="BO655" s="136" t="str">
        <f t="shared" si="370"/>
        <v>AL</v>
      </c>
      <c r="BP655" s="136">
        <f>(COUNTIFS(AX636:AX683,BM655,AY636:AY683,BO655)+COUNTIFS(AZ636:AZ683,BM655,BA636:BA683,BO655)+COUNTIFS(BB636:BB683,BM655,BC636:BC683,BO655)+COUNTIFS(BD636:BD683,BM655,BE636:BE683,BO655)+COUNTIFS(BF636:BF683,BM655,BG636:BG683,BO655)+COUNTIFS(BH636:BH683,BM655,BI636:BI683,BO655)+COUNTIFS(BJ636:BJ683,BM655,BK636:BK683,BO655))*0.5</f>
        <v>0</v>
      </c>
      <c r="BQ655" s="136" t="str">
        <f t="shared" si="371"/>
        <v>Estudo em Grupo</v>
      </c>
      <c r="BR655" s="136" t="str">
        <f t="shared" si="371"/>
        <v>AL</v>
      </c>
      <c r="BS655" s="136" t="str">
        <f t="shared" si="372"/>
        <v>Estudo em Grupo</v>
      </c>
      <c r="BT655" s="136">
        <f t="shared" si="378"/>
        <v>16.5</v>
      </c>
      <c r="BU655" s="136">
        <f t="shared" si="379"/>
        <v>17.5</v>
      </c>
      <c r="CA655" s="136">
        <f>'INFO BASE'!L735</f>
        <v>0</v>
      </c>
      <c r="CB655" s="136">
        <f>'INFO BASE'!M735</f>
        <v>0</v>
      </c>
      <c r="CR655" s="177">
        <f t="shared" si="360"/>
        <v>1</v>
      </c>
      <c r="CS655" s="177">
        <f t="shared" si="361"/>
        <v>1</v>
      </c>
      <c r="CT655" s="177">
        <f t="shared" si="360"/>
        <v>1</v>
      </c>
      <c r="CU655" s="177">
        <f t="shared" si="362"/>
        <v>1</v>
      </c>
      <c r="CV655" s="177">
        <f t="shared" si="360"/>
        <v>1</v>
      </c>
      <c r="CW655" s="177">
        <f t="shared" si="363"/>
        <v>1</v>
      </c>
      <c r="CX655" s="177">
        <f t="shared" si="360"/>
        <v>1</v>
      </c>
      <c r="CY655" s="177">
        <f t="shared" si="364"/>
        <v>1</v>
      </c>
      <c r="CZ655" s="177">
        <f t="shared" si="360"/>
        <v>1</v>
      </c>
      <c r="DA655" s="177">
        <f t="shared" si="365"/>
        <v>1</v>
      </c>
      <c r="DB655" s="177">
        <f t="shared" si="360"/>
        <v>1</v>
      </c>
      <c r="DC655" s="177">
        <f t="shared" si="366"/>
        <v>1</v>
      </c>
      <c r="DD655" s="177">
        <f t="shared" si="367"/>
        <v>1</v>
      </c>
      <c r="DE655" s="177">
        <f t="shared" si="368"/>
        <v>1</v>
      </c>
    </row>
    <row r="656" spans="1:109" ht="18" customHeight="1" x14ac:dyDescent="0.3">
      <c r="A656" s="81">
        <v>0.41666666666668001</v>
      </c>
      <c r="B656" s="153"/>
      <c r="C656" s="130"/>
      <c r="D656" s="135"/>
      <c r="E656" s="130"/>
      <c r="F656" s="135"/>
      <c r="G656" s="130"/>
      <c r="H656" s="135"/>
      <c r="I656" s="130"/>
      <c r="J656" s="135"/>
      <c r="K656" s="130"/>
      <c r="L656" s="135"/>
      <c r="M656" s="130"/>
      <c r="N656" s="135"/>
      <c r="O656" s="154"/>
      <c r="P656" s="6">
        <v>0</v>
      </c>
      <c r="Q656" s="114" t="str">
        <f t="shared" si="381"/>
        <v>Estudo em Grupo</v>
      </c>
      <c r="R656" s="105" t="str">
        <f t="shared" si="377"/>
        <v>IEI</v>
      </c>
      <c r="S656" s="88" t="str">
        <f t="shared" si="374"/>
        <v>-</v>
      </c>
      <c r="T656" s="89" t="str">
        <f>IF(VLOOKUP(Q656,'INFO BASE'!$B$40:$I$54,IF(R656='INFO BASE'!$B$32,3,IF(R656='INFO BASE'!$B$33,4,IF(R656='INFO BASE'!$B$34,5,IF(R656='INFO BASE'!$B$35,6,IF(R656='INFO BASE'!$B$36,7,IF(R656='INFO BASE'!$B$37,8,2)))))),0)=0,"",VLOOKUP(Q656,'INFO BASE'!$B$40:$I$54,IF(R656='INFO BASE'!$B$32,3,IF(R656='INFO BASE'!$B$33,4,IF(R656='INFO BASE'!$B$34,5,IF(R656='INFO BASE'!$B$35,6,IF(R656='INFO BASE'!$B$36,7,IF(R656='INFO BASE'!$B$37,8,2)))))),0))</f>
        <v/>
      </c>
      <c r="U656" s="89">
        <f>(COUNTIFS(C636:C683,R656,B636:B683,R654)+COUNTIFS(E636:E683,R656,D636:D683,R654)+COUNTIFS(G636:G683,R656,F636:F683,R654)+COUNTIFS(I636:I683,R656,H636:H683,R654)+COUNTIFS(K636:K683,R656,J636:J683,R654)+COUNTIFS(M636:M683,R656,L636:L683,R654)+COUNTIFS(O636:O683,R656,N636:N683,R654))*0.5</f>
        <v>0</v>
      </c>
      <c r="V656" s="89">
        <f>(COUNTIFS(AI636:AI683,R654,AJ636:AJ683,R649)+COUNTIFS(AK636:AK683,R654,AL636:AL683,R649)+COUNTIFS(AM636:AM683,R654,AN636:AN683,R649)+COUNTIFS(AO636:AO683,R654,AP636:AP683,R649)+COUNTIFS(AQ636:AQ683,R654,AR636:AR683,R649)+COUNTIFS(AS636:AS683,R654,AT636:AT683,R649)+COUNTIFS(AU636:AU683,R654,AV636:AV683,R649))*0.5</f>
        <v>0</v>
      </c>
      <c r="W656" s="90" t="str">
        <f>IF(AH632="","-",IF(V656=0,U656,IFERROR((U656/V656)-1,"-")))</f>
        <v>-</v>
      </c>
      <c r="X656" s="201">
        <f t="shared" si="375"/>
        <v>0</v>
      </c>
      <c r="Y656" s="271"/>
      <c r="Z656" s="272"/>
      <c r="AA656" s="272"/>
      <c r="AB656" s="272"/>
      <c r="AC656" s="272"/>
      <c r="AD656" s="272"/>
      <c r="AE656" s="272"/>
      <c r="AF656" s="273"/>
      <c r="AH656" s="136">
        <v>0.41666666666668001</v>
      </c>
      <c r="AI656" s="136" t="str">
        <f>IF(AH632="","",IF(B656="","",B656))</f>
        <v/>
      </c>
      <c r="AJ656" s="136" t="str">
        <f>IF(AH632="","",IF(C656="","",C656))</f>
        <v/>
      </c>
      <c r="AK656" s="136" t="str">
        <f>IF(AH632="","",IF(D656="","",D656))</f>
        <v/>
      </c>
      <c r="AL656" s="136" t="str">
        <f>IF(AH632="","",IF(E656="","",E656))</f>
        <v/>
      </c>
      <c r="AM656" s="136" t="str">
        <f>IF(AH632="","",IF(F656="","",F656))</f>
        <v/>
      </c>
      <c r="AN656" s="136" t="str">
        <f>IF(AH632="","",IF(G656="","",G656))</f>
        <v/>
      </c>
      <c r="AO656" s="136" t="str">
        <f>IF(AH632="","",IF(H656="","",H656))</f>
        <v/>
      </c>
      <c r="AP656" s="136" t="str">
        <f>IF(AH632="","",IF(I656="","",I656))</f>
        <v/>
      </c>
      <c r="AQ656" s="136" t="str">
        <f>IF(AH632="","",IF(J656="","",J656))</f>
        <v/>
      </c>
      <c r="AR656" s="136" t="str">
        <f>IF(AH632="","",IF(K656="","",K656))</f>
        <v/>
      </c>
      <c r="AS656" s="136" t="str">
        <f>IF(AH632="","",IF(L656="","",L656))</f>
        <v/>
      </c>
      <c r="AT656" s="136" t="str">
        <f>IF(AH632="","",IF(M656="","",M656))</f>
        <v/>
      </c>
      <c r="AU656" s="136" t="str">
        <f>IF(AH632="","",IF(N656="","",N656))</f>
        <v/>
      </c>
      <c r="AV656" s="136" t="str">
        <f>IF(AH632="","",IF(O656="","",O656))</f>
        <v/>
      </c>
      <c r="AX656" s="136" t="str">
        <f>IF(AI632="","",IF(B656="","",B656))</f>
        <v/>
      </c>
      <c r="AY656" s="136" t="str">
        <f>IF(AI632="","",IF(C656="","",C656))</f>
        <v/>
      </c>
      <c r="AZ656" s="136" t="str">
        <f>IF(AI632="","",IF(D656="","",D656))</f>
        <v/>
      </c>
      <c r="BA656" s="136" t="str">
        <f>IF(AI632="","",IF(E656="","",E656))</f>
        <v/>
      </c>
      <c r="BB656" s="136" t="str">
        <f>IF(AI632="","",IF(F656="","",F656))</f>
        <v/>
      </c>
      <c r="BC656" s="136" t="str">
        <f>IF(AI632="","",IF(G656="","",G656))</f>
        <v/>
      </c>
      <c r="BD656" s="136" t="str">
        <f>IF(AI632="","",IF(H656="","",H656))</f>
        <v/>
      </c>
      <c r="BE656" s="136" t="str">
        <f>IF(AI632="","",IF(I656="","",I656))</f>
        <v/>
      </c>
      <c r="BF656" s="136" t="str">
        <f>IF(AI632="","",IF(J656="","",J656))</f>
        <v/>
      </c>
      <c r="BG656" s="136" t="str">
        <f>IF(AI632="","",IF(K656="","",K656))</f>
        <v/>
      </c>
      <c r="BH656" s="136" t="str">
        <f>IF(AI632="","",IF(L656="","",L656))</f>
        <v/>
      </c>
      <c r="BI656" s="136" t="str">
        <f>IF(AI632="","",IF(M656="","",M656))</f>
        <v/>
      </c>
      <c r="BJ656" s="136" t="str">
        <f>IF(AI632="","",IF(N656="","",N656))</f>
        <v/>
      </c>
      <c r="BK656" s="136" t="str">
        <f>IF(AI632="","",IF(O656="","",O656))</f>
        <v/>
      </c>
      <c r="BM656" s="136" t="str">
        <f t="shared" si="380"/>
        <v>EG</v>
      </c>
      <c r="BN656" s="136" t="str">
        <f t="shared" si="370"/>
        <v>Estudo em Grupo</v>
      </c>
      <c r="BO656" s="136" t="str">
        <f t="shared" si="370"/>
        <v>CDI</v>
      </c>
      <c r="BP656" s="136">
        <f>(COUNTIFS(AX636:AX683,BM656,AY636:AY683,BO656)+COUNTIFS(AZ636:AZ683,BM656,BA636:BA683,BO656)+COUNTIFS(BB636:BB683,BM656,BC636:BC683,BO656)+COUNTIFS(BD636:BD683,BM656,BE636:BE683,BO656)+COUNTIFS(BF636:BF683,BM656,BG636:BG683,BO656)+COUNTIFS(BH636:BH683,BM656,BI636:BI683,BO656)+COUNTIFS(BJ636:BJ683,BM656,BK636:BK683,BO656))*0.5</f>
        <v>0</v>
      </c>
      <c r="BQ656" s="136" t="str">
        <f t="shared" si="371"/>
        <v>Estudo em Grupo</v>
      </c>
      <c r="BR656" s="136" t="str">
        <f t="shared" si="371"/>
        <v>CDI</v>
      </c>
      <c r="BS656" s="136" t="str">
        <f t="shared" si="372"/>
        <v>Estudo em Grupo</v>
      </c>
      <c r="BT656" s="136">
        <f t="shared" si="378"/>
        <v>10.5</v>
      </c>
      <c r="BU656" s="136">
        <f t="shared" si="379"/>
        <v>8.5</v>
      </c>
      <c r="CA656" s="136">
        <f>'INFO BASE'!L736</f>
        <v>0</v>
      </c>
      <c r="CB656" s="136">
        <f>'INFO BASE'!M736</f>
        <v>0</v>
      </c>
      <c r="CR656" s="177">
        <f t="shared" si="360"/>
        <v>1</v>
      </c>
      <c r="CS656" s="177">
        <f t="shared" si="361"/>
        <v>1</v>
      </c>
      <c r="CT656" s="177">
        <f t="shared" si="360"/>
        <v>1</v>
      </c>
      <c r="CU656" s="177">
        <f t="shared" si="362"/>
        <v>1</v>
      </c>
      <c r="CV656" s="177">
        <f t="shared" si="360"/>
        <v>1</v>
      </c>
      <c r="CW656" s="177">
        <f t="shared" si="363"/>
        <v>1</v>
      </c>
      <c r="CX656" s="177">
        <f t="shared" si="360"/>
        <v>1</v>
      </c>
      <c r="CY656" s="177">
        <f t="shared" si="364"/>
        <v>1</v>
      </c>
      <c r="CZ656" s="177">
        <f t="shared" si="360"/>
        <v>1</v>
      </c>
      <c r="DA656" s="177">
        <f t="shared" si="365"/>
        <v>1</v>
      </c>
      <c r="DB656" s="177">
        <f t="shared" si="360"/>
        <v>1</v>
      </c>
      <c r="DC656" s="177">
        <f t="shared" si="366"/>
        <v>1</v>
      </c>
      <c r="DD656" s="177">
        <f t="shared" si="367"/>
        <v>1</v>
      </c>
      <c r="DE656" s="177">
        <f t="shared" si="368"/>
        <v>1</v>
      </c>
    </row>
    <row r="657" spans="1:109" ht="18" customHeight="1" x14ac:dyDescent="0.3">
      <c r="A657" s="81">
        <v>0.43750000000001399</v>
      </c>
      <c r="B657" s="153"/>
      <c r="C657" s="130"/>
      <c r="D657" s="135"/>
      <c r="E657" s="130"/>
      <c r="F657" s="135"/>
      <c r="G657" s="130"/>
      <c r="H657" s="135"/>
      <c r="I657" s="130"/>
      <c r="J657" s="135"/>
      <c r="K657" s="130"/>
      <c r="L657" s="135"/>
      <c r="M657" s="130"/>
      <c r="N657" s="135"/>
      <c r="O657" s="154"/>
      <c r="P657" s="6">
        <v>0</v>
      </c>
      <c r="Q657" s="115" t="str">
        <f t="shared" si="381"/>
        <v>Estudo em Grupo</v>
      </c>
      <c r="R657" s="105" t="str">
        <f t="shared" si="377"/>
        <v>IAC</v>
      </c>
      <c r="S657" s="88">
        <f t="shared" si="374"/>
        <v>-1</v>
      </c>
      <c r="T657" s="89">
        <f>IF(VLOOKUP(Q657,'INFO BASE'!$B$40:$I$54,IF(R657='INFO BASE'!$B$32,3,IF(R657='INFO BASE'!$B$33,4,IF(R657='INFO BASE'!$B$34,5,IF(R657='INFO BASE'!$B$35,6,IF(R657='INFO BASE'!$B$36,7,IF(R657='INFO BASE'!$B$37,8,2)))))),0)=0,"",VLOOKUP(Q657,'INFO BASE'!$B$40:$I$54,IF(R657='INFO BASE'!$B$32,3,IF(R657='INFO BASE'!$B$33,4,IF(R657='INFO BASE'!$B$34,5,IF(R657='INFO BASE'!$B$35,6,IF(R657='INFO BASE'!$B$36,7,IF(R657='INFO BASE'!$B$37,8,2)))))),0))</f>
        <v>2</v>
      </c>
      <c r="U657" s="89">
        <f>(COUNTIFS(C636:C683,R657,B636:B683,R654)+COUNTIFS(E636:E683,R657,D636:D683,R654)+COUNTIFS(G636:G683,R657,F636:F683,R654)+COUNTIFS(I636:I683,R657,H636:H683,R654)+COUNTIFS(K636:K683,R657,J636:J683,R654)+COUNTIFS(M636:M683,R657,L636:L683,R654)+COUNTIFS(O636:O683,R657,N636:N683,R654))*0.5</f>
        <v>0</v>
      </c>
      <c r="V657" s="89">
        <f>(COUNTIFS(AI636:AI683,R654,AJ636:AJ683,R650)+COUNTIFS(AK636:AK683,R654,AL636:AL683,R650)+COUNTIFS(AM636:AM683,R654,AN636:AN683,R650)+COUNTIFS(AO636:AO683,R654,AP636:AP683,R650)+COUNTIFS(AQ636:AQ683,R654,AR636:AR683,R650)+COUNTIFS(AS636:AS683,R654,AT636:AT683,R650)+COUNTIFS(AU636:AU683,R654,AV636:AV683,R650))*0.5</f>
        <v>0</v>
      </c>
      <c r="W657" s="90" t="str">
        <f>IF(AH632="","-",IF(V657=0,U657,IFERROR((U657/V657)-1,"-")))</f>
        <v>-</v>
      </c>
      <c r="X657" s="201">
        <f t="shared" si="375"/>
        <v>0</v>
      </c>
      <c r="Y657" s="271"/>
      <c r="Z657" s="272"/>
      <c r="AA657" s="272"/>
      <c r="AB657" s="272"/>
      <c r="AC657" s="272"/>
      <c r="AD657" s="272"/>
      <c r="AE657" s="272"/>
      <c r="AF657" s="273"/>
      <c r="AH657" s="136">
        <v>0.43750000000001399</v>
      </c>
      <c r="AI657" s="136" t="str">
        <f>IF(AH632="","",IF(B657="","",B657))</f>
        <v/>
      </c>
      <c r="AJ657" s="136" t="str">
        <f>IF(AH632="","",IF(C657="","",C657))</f>
        <v/>
      </c>
      <c r="AK657" s="136" t="str">
        <f>IF(AH632="","",IF(D657="","",D657))</f>
        <v/>
      </c>
      <c r="AL657" s="136" t="str">
        <f>IF(AH632="","",IF(E657="","",E657))</f>
        <v/>
      </c>
      <c r="AM657" s="136" t="str">
        <f>IF(AH632="","",IF(F657="","",F657))</f>
        <v/>
      </c>
      <c r="AN657" s="136" t="str">
        <f>IF(AH632="","",IF(G657="","",G657))</f>
        <v/>
      </c>
      <c r="AO657" s="136" t="str">
        <f>IF(AH632="","",IF(H657="","",H657))</f>
        <v/>
      </c>
      <c r="AP657" s="136" t="str">
        <f>IF(AH632="","",IF(I657="","",I657))</f>
        <v/>
      </c>
      <c r="AQ657" s="136" t="str">
        <f>IF(AH632="","",IF(J657="","",J657))</f>
        <v/>
      </c>
      <c r="AR657" s="136" t="str">
        <f>IF(AH632="","",IF(K657="","",K657))</f>
        <v/>
      </c>
      <c r="AS657" s="136" t="str">
        <f>IF(AH632="","",IF(L657="","",L657))</f>
        <v/>
      </c>
      <c r="AT657" s="136" t="str">
        <f>IF(AH632="","",IF(M657="","",M657))</f>
        <v/>
      </c>
      <c r="AU657" s="136" t="str">
        <f>IF(AH632="","",IF(N657="","",N657))</f>
        <v/>
      </c>
      <c r="AV657" s="136" t="str">
        <f>IF(AH632="","",IF(O657="","",O657))</f>
        <v/>
      </c>
      <c r="AX657" s="136" t="str">
        <f>IF(AI632="","",IF(B657="","",B657))</f>
        <v/>
      </c>
      <c r="AY657" s="136" t="str">
        <f>IF(AI632="","",IF(C657="","",C657))</f>
        <v/>
      </c>
      <c r="AZ657" s="136" t="str">
        <f>IF(AI632="","",IF(D657="","",D657))</f>
        <v/>
      </c>
      <c r="BA657" s="136" t="str">
        <f>IF(AI632="","",IF(E657="","",E657))</f>
        <v/>
      </c>
      <c r="BB657" s="136" t="str">
        <f>IF(AI632="","",IF(F657="","",F657))</f>
        <v/>
      </c>
      <c r="BC657" s="136" t="str">
        <f>IF(AI632="","",IF(G657="","",G657))</f>
        <v/>
      </c>
      <c r="BD657" s="136" t="str">
        <f>IF(AI632="","",IF(H657="","",H657))</f>
        <v/>
      </c>
      <c r="BE657" s="136" t="str">
        <f>IF(AI632="","",IF(I657="","",I657))</f>
        <v/>
      </c>
      <c r="BF657" s="136" t="str">
        <f>IF(AI632="","",IF(J657="","",J657))</f>
        <v/>
      </c>
      <c r="BG657" s="136" t="str">
        <f>IF(AI632="","",IF(K657="","",K657))</f>
        <v/>
      </c>
      <c r="BH657" s="136" t="str">
        <f>IF(AI632="","",IF(L657="","",L657))</f>
        <v/>
      </c>
      <c r="BI657" s="136" t="str">
        <f>IF(AI632="","",IF(M657="","",M657))</f>
        <v/>
      </c>
      <c r="BJ657" s="136" t="str">
        <f>IF(AI632="","",IF(N657="","",N657))</f>
        <v/>
      </c>
      <c r="BK657" s="136" t="str">
        <f>IF(AI632="","",IF(O657="","",O657))</f>
        <v/>
      </c>
      <c r="BM657" s="136" t="str">
        <f t="shared" si="380"/>
        <v>EG</v>
      </c>
      <c r="BN657" s="136" t="str">
        <f t="shared" si="370"/>
        <v>Estudo em Grupo</v>
      </c>
      <c r="BO657" s="136" t="str">
        <f t="shared" si="370"/>
        <v/>
      </c>
      <c r="BP657" s="136">
        <f>(COUNTIFS(AX636:AX683,BM657,AY636:AY683,BO657)+COUNTIFS(AZ636:AZ683,BM657,BA636:BA683,BO657)+COUNTIFS(BB636:BB683,BM657,BC636:BC683,BO657)+COUNTIFS(BD636:BD683,BM657,BE636:BE683,BO657)+COUNTIFS(BF636:BF683,BM657,BG636:BG683,BO657)+COUNTIFS(BH636:BH683,BM657,BI636:BI683,BO657)+COUNTIFS(BJ636:BJ683,BM657,BK636:BK683,BO657))*0.5</f>
        <v>0</v>
      </c>
      <c r="BQ657" s="136" t="str">
        <f t="shared" si="371"/>
        <v>Estudo em Grupo</v>
      </c>
      <c r="BR657" s="136" t="str">
        <f t="shared" si="371"/>
        <v/>
      </c>
      <c r="BS657" s="136" t="str">
        <f t="shared" si="372"/>
        <v>Estudo em Grupo</v>
      </c>
      <c r="BT657" s="136">
        <f t="shared" si="378"/>
        <v>0</v>
      </c>
      <c r="BU657" s="136">
        <f t="shared" si="379"/>
        <v>0</v>
      </c>
      <c r="CA657" s="136">
        <f>'INFO BASE'!L737</f>
        <v>0</v>
      </c>
      <c r="CB657" s="136">
        <f>'INFO BASE'!M737</f>
        <v>0</v>
      </c>
      <c r="CR657" s="177">
        <f t="shared" si="360"/>
        <v>1</v>
      </c>
      <c r="CS657" s="177">
        <f t="shared" si="361"/>
        <v>1</v>
      </c>
      <c r="CT657" s="177">
        <f t="shared" si="360"/>
        <v>1</v>
      </c>
      <c r="CU657" s="177">
        <f t="shared" si="362"/>
        <v>1</v>
      </c>
      <c r="CV657" s="177">
        <f t="shared" si="360"/>
        <v>1</v>
      </c>
      <c r="CW657" s="177">
        <f t="shared" si="363"/>
        <v>1</v>
      </c>
      <c r="CX657" s="177">
        <f t="shared" si="360"/>
        <v>1</v>
      </c>
      <c r="CY657" s="177">
        <f t="shared" si="364"/>
        <v>1</v>
      </c>
      <c r="CZ657" s="177">
        <f t="shared" si="360"/>
        <v>1</v>
      </c>
      <c r="DA657" s="177">
        <f t="shared" si="365"/>
        <v>1</v>
      </c>
      <c r="DB657" s="177">
        <f t="shared" si="360"/>
        <v>1</v>
      </c>
      <c r="DC657" s="177">
        <f t="shared" si="366"/>
        <v>1</v>
      </c>
      <c r="DD657" s="177">
        <f t="shared" si="367"/>
        <v>1</v>
      </c>
      <c r="DE657" s="177">
        <f t="shared" si="368"/>
        <v>1</v>
      </c>
    </row>
    <row r="658" spans="1:109" ht="18" customHeight="1" x14ac:dyDescent="0.3">
      <c r="A658" s="81">
        <v>0.45833333333334803</v>
      </c>
      <c r="B658" s="153"/>
      <c r="C658" s="130"/>
      <c r="D658" s="135"/>
      <c r="E658" s="130"/>
      <c r="F658" s="135"/>
      <c r="G658" s="130"/>
      <c r="H658" s="135"/>
      <c r="I658" s="130"/>
      <c r="J658" s="135"/>
      <c r="K658" s="130"/>
      <c r="L658" s="135"/>
      <c r="M658" s="130"/>
      <c r="N658" s="135"/>
      <c r="O658" s="154"/>
      <c r="P658" s="6">
        <v>0</v>
      </c>
      <c r="Q658" s="114" t="str">
        <f t="shared" si="381"/>
        <v>Estudo em Grupo</v>
      </c>
      <c r="R658" s="105" t="str">
        <f t="shared" si="377"/>
        <v>AL</v>
      </c>
      <c r="S658" s="88">
        <f t="shared" si="374"/>
        <v>-1</v>
      </c>
      <c r="T658" s="89">
        <f>IF(VLOOKUP(Q658,'INFO BASE'!$B$40:$I$54,IF(R658='INFO BASE'!$B$32,3,IF(R658='INFO BASE'!$B$33,4,IF(R658='INFO BASE'!$B$34,5,IF(R658='INFO BASE'!$B$35,6,IF(R658='INFO BASE'!$B$36,7,IF(R658='INFO BASE'!$B$37,8,2)))))),0)=0,"",VLOOKUP(Q658,'INFO BASE'!$B$40:$I$54,IF(R658='INFO BASE'!$B$32,3,IF(R658='INFO BASE'!$B$33,4,IF(R658='INFO BASE'!$B$34,5,IF(R658='INFO BASE'!$B$35,6,IF(R658='INFO BASE'!$B$36,7,IF(R658='INFO BASE'!$B$37,8,2)))))),0))</f>
        <v>2</v>
      </c>
      <c r="U658" s="89">
        <f>(COUNTIFS(C636:C683,R658,B636:B683,R654)+COUNTIFS(E636:E683,R658,D636:D683,R654)+COUNTIFS(G636:G683,R658,F636:F683,R654)+COUNTIFS(I636:I683,R658,H636:H683,R654)+COUNTIFS(K636:K683,R658,J636:J683,R654)+COUNTIFS(M636:M683,R658,L636:L683,R654)+COUNTIFS(O636:O683,R658,N636:N683,R654))*0.5</f>
        <v>0</v>
      </c>
      <c r="V658" s="89">
        <f>(COUNTIFS(AI636:AI683,R654,AJ636:AJ683,R651)+COUNTIFS(AK636:AK683,R654,AL636:AL683,R651)+COUNTIFS(AM636:AM683,R654,AN636:AN683,R651)+COUNTIFS(AO636:AO683,R654,AP636:AP683,R651)+COUNTIFS(AQ636:AQ683,R654,AR636:AR683,R651)+COUNTIFS(AS636:AS683,R654,AT636:AT683,R651)+COUNTIFS(AU636:AU683,R654,AV636:AV683,R651))*0.5</f>
        <v>0</v>
      </c>
      <c r="W658" s="90" t="str">
        <f>IF(AH632="","-",IF(V658=0,U658,IFERROR((U658/V658)-1,"-")))</f>
        <v>-</v>
      </c>
      <c r="X658" s="201">
        <f t="shared" si="375"/>
        <v>0</v>
      </c>
      <c r="Y658" s="271"/>
      <c r="Z658" s="272"/>
      <c r="AA658" s="272"/>
      <c r="AB658" s="272"/>
      <c r="AC658" s="272"/>
      <c r="AD658" s="272"/>
      <c r="AE658" s="272"/>
      <c r="AF658" s="273"/>
      <c r="AH658" s="136">
        <v>0.45833333333334803</v>
      </c>
      <c r="AI658" s="136" t="str">
        <f>IF(AH632="","",IF(B658="","",B658))</f>
        <v/>
      </c>
      <c r="AJ658" s="136" t="str">
        <f>IF(AH632="","",IF(C658="","",C658))</f>
        <v/>
      </c>
      <c r="AK658" s="136" t="str">
        <f>IF(AH632="","",IF(D658="","",D658))</f>
        <v/>
      </c>
      <c r="AL658" s="136" t="str">
        <f>IF(AH632="","",IF(E658="","",E658))</f>
        <v/>
      </c>
      <c r="AM658" s="136" t="str">
        <f>IF(AH632="","",IF(F658="","",F658))</f>
        <v/>
      </c>
      <c r="AN658" s="136" t="str">
        <f>IF(AH632="","",IF(G658="","",G658))</f>
        <v/>
      </c>
      <c r="AO658" s="136" t="str">
        <f>IF(AH632="","",IF(H658="","",H658))</f>
        <v/>
      </c>
      <c r="AP658" s="136" t="str">
        <f>IF(AH632="","",IF(I658="","",I658))</f>
        <v/>
      </c>
      <c r="AQ658" s="136" t="str">
        <f>IF(AH632="","",IF(J658="","",J658))</f>
        <v/>
      </c>
      <c r="AR658" s="136" t="str">
        <f>IF(AH632="","",IF(K658="","",K658))</f>
        <v/>
      </c>
      <c r="AS658" s="136" t="str">
        <f>IF(AH632="","",IF(L658="","",L658))</f>
        <v/>
      </c>
      <c r="AT658" s="136" t="str">
        <f>IF(AH632="","",IF(M658="","",M658))</f>
        <v/>
      </c>
      <c r="AU658" s="136" t="str">
        <f>IF(AH632="","",IF(N658="","",N658))</f>
        <v/>
      </c>
      <c r="AV658" s="136" t="str">
        <f>IF(AH632="","",IF(O658="","",O658))</f>
        <v/>
      </c>
      <c r="AX658" s="136" t="str">
        <f>IF(AI632="","",IF(B658="","",B658))</f>
        <v/>
      </c>
      <c r="AY658" s="136" t="str">
        <f>IF(AI632="","",IF(C658="","",C658))</f>
        <v/>
      </c>
      <c r="AZ658" s="136" t="str">
        <f>IF(AI632="","",IF(D658="","",D658))</f>
        <v/>
      </c>
      <c r="BA658" s="136" t="str">
        <f>IF(AI632="","",IF(E658="","",E658))</f>
        <v/>
      </c>
      <c r="BB658" s="136" t="str">
        <f>IF(AI632="","",IF(F658="","",F658))</f>
        <v/>
      </c>
      <c r="BC658" s="136" t="str">
        <f>IF(AI632="","",IF(G658="","",G658))</f>
        <v/>
      </c>
      <c r="BD658" s="136" t="str">
        <f>IF(AI632="","",IF(H658="","",H658))</f>
        <v/>
      </c>
      <c r="BE658" s="136" t="str">
        <f>IF(AI632="","",IF(I658="","",I658))</f>
        <v/>
      </c>
      <c r="BF658" s="136" t="str">
        <f>IF(AI632="","",IF(J658="","",J658))</f>
        <v/>
      </c>
      <c r="BG658" s="136" t="str">
        <f>IF(AI632="","",IF(K658="","",K658))</f>
        <v/>
      </c>
      <c r="BH658" s="136" t="str">
        <f>IF(AI632="","",IF(L658="","",L658))</f>
        <v/>
      </c>
      <c r="BI658" s="136" t="str">
        <f>IF(AI632="","",IF(M658="","",M658))</f>
        <v/>
      </c>
      <c r="BJ658" s="136" t="str">
        <f>IF(AI632="","",IF(N658="","",N658))</f>
        <v/>
      </c>
      <c r="BK658" s="136" t="str">
        <f>IF(AI632="","",IF(O658="","",O658))</f>
        <v/>
      </c>
      <c r="BM658" s="136" t="str">
        <f>BO658</f>
        <v>TG</v>
      </c>
      <c r="BN658" s="136" t="str">
        <f t="shared" si="370"/>
        <v>Trabalho de Grupo</v>
      </c>
      <c r="BO658" s="136" t="str">
        <f t="shared" si="370"/>
        <v>TG</v>
      </c>
      <c r="BP658" s="136">
        <f>COUNTIFS(AX636:BK683,BO658)*0.5</f>
        <v>0</v>
      </c>
      <c r="BQ658" s="136" t="str">
        <f t="shared" si="371"/>
        <v>Trabalho de Grupo</v>
      </c>
      <c r="BR658" s="136" t="str">
        <f t="shared" si="371"/>
        <v>TG</v>
      </c>
      <c r="BS658" s="136" t="str">
        <f t="shared" si="372"/>
        <v>Trabalho de Grupo</v>
      </c>
      <c r="BT658" s="136">
        <f t="shared" si="378"/>
        <v>0</v>
      </c>
      <c r="BU658" s="136">
        <f t="shared" si="379"/>
        <v>0</v>
      </c>
      <c r="CA658" s="136">
        <f>'INFO BASE'!L738</f>
        <v>0</v>
      </c>
      <c r="CB658" s="136">
        <f>'INFO BASE'!M738</f>
        <v>0</v>
      </c>
      <c r="CR658" s="177">
        <f t="shared" si="360"/>
        <v>1</v>
      </c>
      <c r="CS658" s="177">
        <f t="shared" si="361"/>
        <v>1</v>
      </c>
      <c r="CT658" s="177">
        <f t="shared" si="360"/>
        <v>1</v>
      </c>
      <c r="CU658" s="177">
        <f t="shared" si="362"/>
        <v>1</v>
      </c>
      <c r="CV658" s="177">
        <f t="shared" si="360"/>
        <v>1</v>
      </c>
      <c r="CW658" s="177">
        <f t="shared" si="363"/>
        <v>1</v>
      </c>
      <c r="CX658" s="177">
        <f t="shared" si="360"/>
        <v>1</v>
      </c>
      <c r="CY658" s="177">
        <f t="shared" si="364"/>
        <v>1</v>
      </c>
      <c r="CZ658" s="177">
        <f t="shared" si="360"/>
        <v>1</v>
      </c>
      <c r="DA658" s="177">
        <f t="shared" si="365"/>
        <v>1</v>
      </c>
      <c r="DB658" s="177">
        <f t="shared" si="360"/>
        <v>1</v>
      </c>
      <c r="DC658" s="177">
        <f t="shared" si="366"/>
        <v>1</v>
      </c>
      <c r="DD658" s="177">
        <f t="shared" si="367"/>
        <v>1</v>
      </c>
      <c r="DE658" s="177">
        <f t="shared" si="368"/>
        <v>1</v>
      </c>
    </row>
    <row r="659" spans="1:109" ht="18" customHeight="1" x14ac:dyDescent="0.3">
      <c r="A659" s="81">
        <v>0.47916666666668201</v>
      </c>
      <c r="B659" s="153"/>
      <c r="C659" s="130"/>
      <c r="D659" s="135"/>
      <c r="E659" s="130"/>
      <c r="F659" s="135"/>
      <c r="G659" s="130"/>
      <c r="H659" s="135"/>
      <c r="I659" s="130"/>
      <c r="J659" s="135"/>
      <c r="K659" s="130"/>
      <c r="L659" s="135"/>
      <c r="M659" s="130"/>
      <c r="N659" s="135"/>
      <c r="O659" s="154"/>
      <c r="P659" s="6">
        <v>0</v>
      </c>
      <c r="Q659" s="114" t="str">
        <f t="shared" si="381"/>
        <v>Estudo em Grupo</v>
      </c>
      <c r="R659" s="105" t="str">
        <f t="shared" si="377"/>
        <v>CDI</v>
      </c>
      <c r="S659" s="88">
        <f t="shared" si="374"/>
        <v>-1</v>
      </c>
      <c r="T659" s="89">
        <f>IF(VLOOKUP(Q659,'INFO BASE'!$B$40:$I$54,IF(R659='INFO BASE'!$B$32,3,IF(R659='INFO BASE'!$B$33,4,IF(R659='INFO BASE'!$B$34,5,IF(R659='INFO BASE'!$B$35,6,IF(R659='INFO BASE'!$B$36,7,IF(R659='INFO BASE'!$B$37,8,2)))))),0)=0,"",VLOOKUP(Q659,'INFO BASE'!$B$40:$I$54,IF(R659='INFO BASE'!$B$32,3,IF(R659='INFO BASE'!$B$33,4,IF(R659='INFO BASE'!$B$34,5,IF(R659='INFO BASE'!$B$35,6,IF(R659='INFO BASE'!$B$36,7,IF(R659='INFO BASE'!$B$37,8,2)))))),0))</f>
        <v>2</v>
      </c>
      <c r="U659" s="89">
        <f>(COUNTIFS(C636:C683,R659,B636:B683,R654)+COUNTIFS(E636:E683,R659,D636:D683,R654)+COUNTIFS(G636:G683,R659,F636:F683,R654)+COUNTIFS(I636:I683,R659,H636:H683,R654)+COUNTIFS(K636:K683,R659,J636:J683,R654)+COUNTIFS(M636:M683,R659,L636:L683,R654)+COUNTIFS(O636:O683,R659,N636:N683,R654))*0.5</f>
        <v>0</v>
      </c>
      <c r="V659" s="89">
        <f>(COUNTIFS(AI636:AI683,R654,AJ636:AJ683,R652)+COUNTIFS(AK636:AK683,R654,AL636:AL683,R652)+COUNTIFS(AM636:AM683,R654,AN636:AN683,R652)+COUNTIFS(AO636:AO683,R654,AP636:AP683,R652)+COUNTIFS(AQ636:AQ683,R654,AR636:AR683,R652)+COUNTIFS(AS636:AS683,R654,AT636:AT683,R652)+COUNTIFS(AU636:AU683,R654,AV636:AV683,R652))*0.5</f>
        <v>0</v>
      </c>
      <c r="W659" s="90" t="str">
        <f>IF(AH632="","-",IF(V659=0,U659,IFERROR((U659/V659)-1,"-")))</f>
        <v>-</v>
      </c>
      <c r="X659" s="201">
        <f t="shared" si="375"/>
        <v>0</v>
      </c>
      <c r="Y659" s="271"/>
      <c r="Z659" s="272"/>
      <c r="AA659" s="272"/>
      <c r="AB659" s="272"/>
      <c r="AC659" s="272"/>
      <c r="AD659" s="272"/>
      <c r="AE659" s="272"/>
      <c r="AF659" s="273"/>
      <c r="AH659" s="136">
        <v>0.47916666666668201</v>
      </c>
      <c r="AI659" s="136" t="str">
        <f>IF(AH632="","",IF(B659="","",B659))</f>
        <v/>
      </c>
      <c r="AJ659" s="136" t="str">
        <f>IF(AH632="","",IF(C659="","",C659))</f>
        <v/>
      </c>
      <c r="AK659" s="136" t="str">
        <f>IF(AH632="","",IF(D659="","",D659))</f>
        <v/>
      </c>
      <c r="AL659" s="136" t="str">
        <f>IF(AH632="","",IF(E659="","",E659))</f>
        <v/>
      </c>
      <c r="AM659" s="136" t="str">
        <f>IF(AH632="","",IF(F659="","",F659))</f>
        <v/>
      </c>
      <c r="AN659" s="136" t="str">
        <f>IF(AH632="","",IF(G659="","",G659))</f>
        <v/>
      </c>
      <c r="AO659" s="136" t="str">
        <f>IF(AH632="","",IF(H659="","",H659))</f>
        <v/>
      </c>
      <c r="AP659" s="136" t="str">
        <f>IF(AH632="","",IF(I659="","",I659))</f>
        <v/>
      </c>
      <c r="AQ659" s="136" t="str">
        <f>IF(AH632="","",IF(J659="","",J659))</f>
        <v/>
      </c>
      <c r="AR659" s="136" t="str">
        <f>IF(AH632="","",IF(K659="","",K659))</f>
        <v/>
      </c>
      <c r="AS659" s="136" t="str">
        <f>IF(AH632="","",IF(L659="","",L659))</f>
        <v/>
      </c>
      <c r="AT659" s="136" t="str">
        <f>IF(AH632="","",IF(M659="","",M659))</f>
        <v/>
      </c>
      <c r="AU659" s="136" t="str">
        <f>IF(AH632="","",IF(N659="","",N659))</f>
        <v/>
      </c>
      <c r="AV659" s="136" t="str">
        <f>IF(AH632="","",IF(O659="","",O659))</f>
        <v/>
      </c>
      <c r="AX659" s="136" t="str">
        <f>IF(AI632="","",IF(B659="","",B659))</f>
        <v/>
      </c>
      <c r="AY659" s="136" t="str">
        <f>IF(AI632="","",IF(C659="","",C659))</f>
        <v/>
      </c>
      <c r="AZ659" s="136" t="str">
        <f>IF(AI632="","",IF(D659="","",D659))</f>
        <v/>
      </c>
      <c r="BA659" s="136" t="str">
        <f>IF(AI632="","",IF(E659="","",E659))</f>
        <v/>
      </c>
      <c r="BB659" s="136" t="str">
        <f>IF(AI632="","",IF(F659="","",F659))</f>
        <v/>
      </c>
      <c r="BC659" s="136" t="str">
        <f>IF(AI632="","",IF(G659="","",G659))</f>
        <v/>
      </c>
      <c r="BD659" s="136" t="str">
        <f>IF(AI632="","",IF(H659="","",H659))</f>
        <v/>
      </c>
      <c r="BE659" s="136" t="str">
        <f>IF(AI632="","",IF(I659="","",I659))</f>
        <v/>
      </c>
      <c r="BF659" s="136" t="str">
        <f>IF(AI632="","",IF(J659="","",J659))</f>
        <v/>
      </c>
      <c r="BG659" s="136" t="str">
        <f>IF(AI632="","",IF(K659="","",K659))</f>
        <v/>
      </c>
      <c r="BH659" s="136" t="str">
        <f>IF(AI632="","",IF(L659="","",L659))</f>
        <v/>
      </c>
      <c r="BI659" s="136" t="str">
        <f>IF(AI632="","",IF(M659="","",M659))</f>
        <v/>
      </c>
      <c r="BJ659" s="136" t="str">
        <f>IF(AI632="","",IF(N659="","",N659))</f>
        <v/>
      </c>
      <c r="BK659" s="136" t="str">
        <f>IF(AI632="","",IF(O659="","",O659))</f>
        <v/>
      </c>
      <c r="BM659" s="136" t="str">
        <f>BM658</f>
        <v>TG</v>
      </c>
      <c r="BN659" s="136" t="str">
        <f t="shared" si="370"/>
        <v>Trabalho de Grupo</v>
      </c>
      <c r="BO659" s="136" t="str">
        <f t="shared" si="370"/>
        <v>FP</v>
      </c>
      <c r="BP659" s="136">
        <f>(COUNTIFS(AX636:AX683,BM659,AY636:AY683,BO659)+COUNTIFS(AZ636:AZ683,BM659,BA636:BA683,BO659)+COUNTIFS(BB636:BB683,BM659,BC636:BC683,BO659)+COUNTIFS(BD636:BD683,BM659,BE636:BE683,BO659)+COUNTIFS(BF636:BF683,BM659,BG636:BG683,BO659)+COUNTIFS(BH636:BH683,BM659,BI636:BI683,BO659)+COUNTIFS(BJ636:BJ683,BM659,BK636:BK683,BO659))*0.5</f>
        <v>0</v>
      </c>
      <c r="BQ659" s="136" t="str">
        <f t="shared" si="371"/>
        <v>Trabalho de Grupo</v>
      </c>
      <c r="BR659" s="136" t="str">
        <f t="shared" si="371"/>
        <v>FP</v>
      </c>
      <c r="BS659" s="136" t="str">
        <f t="shared" si="372"/>
        <v>Trabalho de Grupo</v>
      </c>
      <c r="BT659" s="136">
        <f t="shared" si="378"/>
        <v>0</v>
      </c>
      <c r="BU659" s="136">
        <f t="shared" si="379"/>
        <v>0</v>
      </c>
      <c r="CR659" s="177">
        <f t="shared" si="360"/>
        <v>1</v>
      </c>
      <c r="CS659" s="177">
        <f t="shared" si="361"/>
        <v>1</v>
      </c>
      <c r="CT659" s="177">
        <f t="shared" si="360"/>
        <v>1</v>
      </c>
      <c r="CU659" s="177">
        <f t="shared" si="362"/>
        <v>1</v>
      </c>
      <c r="CV659" s="177">
        <f t="shared" si="360"/>
        <v>1</v>
      </c>
      <c r="CW659" s="177">
        <f t="shared" si="363"/>
        <v>1</v>
      </c>
      <c r="CX659" s="177">
        <f t="shared" si="360"/>
        <v>1</v>
      </c>
      <c r="CY659" s="177">
        <f t="shared" si="364"/>
        <v>1</v>
      </c>
      <c r="CZ659" s="177">
        <f t="shared" si="360"/>
        <v>1</v>
      </c>
      <c r="DA659" s="177">
        <f t="shared" si="365"/>
        <v>1</v>
      </c>
      <c r="DB659" s="177">
        <f t="shared" si="360"/>
        <v>1</v>
      </c>
      <c r="DC659" s="177">
        <f t="shared" si="366"/>
        <v>1</v>
      </c>
      <c r="DD659" s="177">
        <f t="shared" si="367"/>
        <v>1</v>
      </c>
      <c r="DE659" s="177">
        <f t="shared" si="368"/>
        <v>1</v>
      </c>
    </row>
    <row r="660" spans="1:109" ht="18" customHeight="1" thickBot="1" x14ac:dyDescent="0.35">
      <c r="A660" s="81">
        <v>0.50000000000001599</v>
      </c>
      <c r="B660" s="153"/>
      <c r="C660" s="130"/>
      <c r="D660" s="135"/>
      <c r="E660" s="130"/>
      <c r="F660" s="135"/>
      <c r="G660" s="130"/>
      <c r="H660" s="135"/>
      <c r="I660" s="130"/>
      <c r="J660" s="135"/>
      <c r="K660" s="130"/>
      <c r="L660" s="135"/>
      <c r="M660" s="130"/>
      <c r="N660" s="135"/>
      <c r="O660" s="154"/>
      <c r="P660" s="6">
        <v>0</v>
      </c>
      <c r="Q660" s="116" t="str">
        <f t="shared" si="381"/>
        <v>Estudo em Grupo</v>
      </c>
      <c r="R660" s="107" t="str">
        <f t="shared" si="377"/>
        <v/>
      </c>
      <c r="S660" s="94" t="str">
        <f t="shared" si="374"/>
        <v>-</v>
      </c>
      <c r="T660" s="95" t="str">
        <f>IF(VLOOKUP(Q660,'INFO BASE'!$B$40:$I$54,IF(R660='INFO BASE'!$B$32,3,IF(R660='INFO BASE'!$B$33,4,IF(R660='INFO BASE'!$B$34,5,IF(R660='INFO BASE'!$B$35,6,IF(R660='INFO BASE'!$B$36,7,IF(R660='INFO BASE'!$B$37,8,2)))))),0)=0,"",VLOOKUP(Q660,'INFO BASE'!$B$40:$I$54,IF(R660='INFO BASE'!$B$32,3,IF(R660='INFO BASE'!$B$33,4,IF(R660='INFO BASE'!$B$34,5,IF(R660='INFO BASE'!$B$35,6,IF(R660='INFO BASE'!$B$36,7,IF(R660='INFO BASE'!$B$37,8,2)))))),0))</f>
        <v/>
      </c>
      <c r="U660" s="95">
        <f>(COUNTIFS(C636:C683,R660,B636:B683,R654)+COUNTIFS(E636:E683,R660,D636:D683,R654)+COUNTIFS(G636:G683,R660,F636:F683,R654)+COUNTIFS(I636:I683,R660,H636:H683,R654)+COUNTIFS(K636:K683,R660,J636:J683,R654)+COUNTIFS(M636:M683,R660,L636:L683,R654)+COUNTIFS(O636:O683,R660,N636:N683,R654))*0.5</f>
        <v>0</v>
      </c>
      <c r="V660" s="95">
        <f>(COUNTIFS(AI636:AI683,R654,AJ636:AJ683,R653)+COUNTIFS(AK636:AK683,R654,AL636:AL683,R653)+COUNTIFS(AM636:AM683,R654,AN636:AN683,R653)+COUNTIFS(AO636:AO683,R654,AP636:AP683,R653)+COUNTIFS(AQ636:AQ683,R654,AR636:AR683,R653)+COUNTIFS(AS636:AS683,R654,AT636:AT683,R653)+COUNTIFS(AU636:AU683,R654,AV636:AV683,R653))*0.5</f>
        <v>0</v>
      </c>
      <c r="W660" s="96" t="str">
        <f>IF(AH632="","-",IF(V660=0,U660,IFERROR((U660/V660)-1,"-")))</f>
        <v>-</v>
      </c>
      <c r="X660" s="201">
        <f t="shared" si="375"/>
        <v>0</v>
      </c>
      <c r="Y660" s="274"/>
      <c r="Z660" s="275"/>
      <c r="AA660" s="275"/>
      <c r="AB660" s="275"/>
      <c r="AC660" s="275"/>
      <c r="AD660" s="275"/>
      <c r="AE660" s="275"/>
      <c r="AF660" s="276"/>
      <c r="AH660" s="136">
        <v>0.50000000000001599</v>
      </c>
      <c r="AI660" s="136" t="str">
        <f>IF(AH632="","",IF(B660="","",B660))</f>
        <v/>
      </c>
      <c r="AJ660" s="136" t="str">
        <f>IF(AH632="","",IF(C660="","",C660))</f>
        <v/>
      </c>
      <c r="AK660" s="136" t="str">
        <f>IF(AH632="","",IF(D660="","",D660))</f>
        <v/>
      </c>
      <c r="AL660" s="136" t="str">
        <f>IF(AH632="","",IF(E660="","",E660))</f>
        <v/>
      </c>
      <c r="AM660" s="136" t="str">
        <f>IF(AH632="","",IF(F660="","",F660))</f>
        <v/>
      </c>
      <c r="AN660" s="136" t="str">
        <f>IF(AH632="","",IF(G660="","",G660))</f>
        <v/>
      </c>
      <c r="AO660" s="136" t="str">
        <f>IF(AH632="","",IF(H660="","",H660))</f>
        <v/>
      </c>
      <c r="AP660" s="136" t="str">
        <f>IF(AH632="","",IF(I660="","",I660))</f>
        <v/>
      </c>
      <c r="AQ660" s="136" t="str">
        <f>IF(AH632="","",IF(J660="","",J660))</f>
        <v/>
      </c>
      <c r="AR660" s="136" t="str">
        <f>IF(AH632="","",IF(K660="","",K660))</f>
        <v/>
      </c>
      <c r="AS660" s="136" t="str">
        <f>IF(AH632="","",IF(L660="","",L660))</f>
        <v/>
      </c>
      <c r="AT660" s="136" t="str">
        <f>IF(AH632="","",IF(M660="","",M660))</f>
        <v/>
      </c>
      <c r="AU660" s="136" t="str">
        <f>IF(AH632="","",IF(N660="","",N660))</f>
        <v/>
      </c>
      <c r="AV660" s="136" t="str">
        <f>IF(AH632="","",IF(O660="","",O660))</f>
        <v/>
      </c>
      <c r="AX660" s="136" t="str">
        <f>IF(AI632="","",IF(B660="","",B660))</f>
        <v/>
      </c>
      <c r="AY660" s="136" t="str">
        <f>IF(AI632="","",IF(C660="","",C660))</f>
        <v/>
      </c>
      <c r="AZ660" s="136" t="str">
        <f>IF(AI632="","",IF(D660="","",D660))</f>
        <v/>
      </c>
      <c r="BA660" s="136" t="str">
        <f>IF(AI632="","",IF(E660="","",E660))</f>
        <v/>
      </c>
      <c r="BB660" s="136" t="str">
        <f>IF(AI632="","",IF(F660="","",F660))</f>
        <v/>
      </c>
      <c r="BC660" s="136" t="str">
        <f>IF(AI632="","",IF(G660="","",G660))</f>
        <v/>
      </c>
      <c r="BD660" s="136" t="str">
        <f>IF(AI632="","",IF(H660="","",H660))</f>
        <v/>
      </c>
      <c r="BE660" s="136" t="str">
        <f>IF(AI632="","",IF(I660="","",I660))</f>
        <v/>
      </c>
      <c r="BF660" s="136" t="str">
        <f>IF(AI632="","",IF(J660="","",J660))</f>
        <v/>
      </c>
      <c r="BG660" s="136" t="str">
        <f>IF(AI632="","",IF(K660="","",K660))</f>
        <v/>
      </c>
      <c r="BH660" s="136" t="str">
        <f>IF(AI632="","",IF(L660="","",L660))</f>
        <v/>
      </c>
      <c r="BI660" s="136" t="str">
        <f>IF(AI632="","",IF(M660="","",M660))</f>
        <v/>
      </c>
      <c r="BJ660" s="136" t="str">
        <f>IF(AI632="","",IF(N660="","",N660))</f>
        <v/>
      </c>
      <c r="BK660" s="136" t="str">
        <f>IF(AI632="","",IF(O660="","",O660))</f>
        <v/>
      </c>
      <c r="BM660" s="136" t="str">
        <f t="shared" ref="BM660:BM664" si="382">BM659</f>
        <v>TG</v>
      </c>
      <c r="BN660" s="136" t="str">
        <f t="shared" si="370"/>
        <v>Trabalho de Grupo</v>
      </c>
      <c r="BO660" s="136" t="str">
        <f t="shared" si="370"/>
        <v>IEI</v>
      </c>
      <c r="BP660" s="136">
        <f>(COUNTIFS(AX636:AX683,BM660,AY636:AY683,BO660)+COUNTIFS(AZ636:AZ683,BM660,BA636:BA683,BO660)+COUNTIFS(BB636:BB683,BM660,BC636:BC683,BO660)+COUNTIFS(BD636:BD683,BM660,BE636:BE683,BO660)+COUNTIFS(BF636:BF683,BM660,BG636:BG683,BO660)+COUNTIFS(BH636:BH683,BM660,BI636:BI683,BO660)+COUNTIFS(BJ636:BJ683,BM660,BK636:BK683,BO660))*0.5</f>
        <v>0</v>
      </c>
      <c r="BQ660" s="136" t="str">
        <f t="shared" si="371"/>
        <v>Trabalho de Grupo</v>
      </c>
      <c r="BR660" s="136" t="str">
        <f t="shared" si="371"/>
        <v>IEI</v>
      </c>
      <c r="BS660" s="136" t="str">
        <f t="shared" si="372"/>
        <v>Trabalho de Grupo</v>
      </c>
      <c r="BT660" s="136">
        <f t="shared" si="378"/>
        <v>0</v>
      </c>
      <c r="BU660" s="136">
        <f t="shared" si="379"/>
        <v>0</v>
      </c>
      <c r="CA660" s="136">
        <f>'INFO BASE'!L739</f>
        <v>0</v>
      </c>
      <c r="CB660" s="136">
        <f>'INFO BASE'!M739</f>
        <v>0</v>
      </c>
      <c r="CR660" s="177">
        <f t="shared" si="360"/>
        <v>1</v>
      </c>
      <c r="CS660" s="177">
        <f t="shared" si="361"/>
        <v>1</v>
      </c>
      <c r="CT660" s="177">
        <f t="shared" si="360"/>
        <v>1</v>
      </c>
      <c r="CU660" s="177">
        <f t="shared" si="362"/>
        <v>1</v>
      </c>
      <c r="CV660" s="177">
        <f t="shared" si="360"/>
        <v>1</v>
      </c>
      <c r="CW660" s="177">
        <f t="shared" si="363"/>
        <v>1</v>
      </c>
      <c r="CX660" s="177">
        <f t="shared" si="360"/>
        <v>1</v>
      </c>
      <c r="CY660" s="177">
        <f t="shared" si="364"/>
        <v>1</v>
      </c>
      <c r="CZ660" s="177">
        <f t="shared" si="360"/>
        <v>1</v>
      </c>
      <c r="DA660" s="177">
        <f t="shared" si="365"/>
        <v>1</v>
      </c>
      <c r="DB660" s="177">
        <f t="shared" si="360"/>
        <v>1</v>
      </c>
      <c r="DC660" s="177">
        <f t="shared" si="366"/>
        <v>1</v>
      </c>
      <c r="DD660" s="177">
        <f t="shared" si="367"/>
        <v>1</v>
      </c>
      <c r="DE660" s="177">
        <f t="shared" si="368"/>
        <v>1</v>
      </c>
    </row>
    <row r="661" spans="1:109" ht="18" customHeight="1" x14ac:dyDescent="0.3">
      <c r="A661" s="81">
        <v>0.52083333333335002</v>
      </c>
      <c r="B661" s="153"/>
      <c r="C661" s="130"/>
      <c r="D661" s="135"/>
      <c r="E661" s="130"/>
      <c r="F661" s="135"/>
      <c r="G661" s="130"/>
      <c r="H661" s="135"/>
      <c r="I661" s="130"/>
      <c r="J661" s="135"/>
      <c r="K661" s="130"/>
      <c r="L661" s="135"/>
      <c r="M661" s="130"/>
      <c r="N661" s="135"/>
      <c r="O661" s="154"/>
      <c r="P661" s="6">
        <v>0</v>
      </c>
      <c r="Q661" s="117" t="str">
        <f>IF('INFO BASE'!$C$19="","",'INFO BASE'!$C$19)</f>
        <v>Trabalho de Grupo</v>
      </c>
      <c r="R661" s="82" t="str">
        <f t="shared" si="377"/>
        <v>TG</v>
      </c>
      <c r="S661" s="83">
        <f t="shared" si="374"/>
        <v>-1</v>
      </c>
      <c r="T661" s="84">
        <f>IF(VLOOKUP(Q661,'INFO BASE'!$B$40:$I$54,IF(R661='INFO BASE'!$B$32,3,IF(R661='INFO BASE'!$B$33,4,IF(R661='INFO BASE'!$B$34,5,IF(R661='INFO BASE'!$B$35,6,IF(R661='INFO BASE'!$B$36,7,IF(R661='INFO BASE'!$B$37,8,2)))))),0)=0,"",VLOOKUP(Q661,'INFO BASE'!$B$40:$I$54,IF(R661='INFO BASE'!$B$32,3,IF(R661='INFO BASE'!$B$33,4,IF(R661='INFO BASE'!$B$34,5,IF(R661='INFO BASE'!$B$35,6,IF(R661='INFO BASE'!$B$36,7,IF(R661='INFO BASE'!$B$37,8,2)))))),0))</f>
        <v>15</v>
      </c>
      <c r="U661" s="84">
        <f>IF(R661="","",COUNTIFS(SEMANA12,R661)*0.5)</f>
        <v>0</v>
      </c>
      <c r="V661" s="84">
        <f>IF(R661="","",COUNTIFS(AI636:AV683,R661)*0.5)</f>
        <v>0</v>
      </c>
      <c r="W661" s="85" t="str">
        <f>IF(AH632="","-",IF(V661=0,U661,IFERROR((U661/V661)-1,"-")))</f>
        <v>-</v>
      </c>
      <c r="X661" s="201">
        <f t="shared" si="375"/>
        <v>0</v>
      </c>
      <c r="Y661" s="277"/>
      <c r="Z661" s="278"/>
      <c r="AA661" s="278"/>
      <c r="AB661" s="278"/>
      <c r="AC661" s="278"/>
      <c r="AD661" s="278"/>
      <c r="AE661" s="278"/>
      <c r="AF661" s="279"/>
      <c r="AH661" s="136">
        <v>0.52083333333335002</v>
      </c>
      <c r="AI661" s="136" t="str">
        <f>IF(AH632="","",IF(B661="","",B661))</f>
        <v/>
      </c>
      <c r="AJ661" s="136" t="str">
        <f>IF(AH632="","",IF(C661="","",C661))</f>
        <v/>
      </c>
      <c r="AK661" s="136" t="str">
        <f>IF(AH632="","",IF(D661="","",D661))</f>
        <v/>
      </c>
      <c r="AL661" s="136" t="str">
        <f>IF(AH632="","",IF(E661="","",E661))</f>
        <v/>
      </c>
      <c r="AM661" s="136" t="str">
        <f>IF(AH632="","",IF(F661="","",F661))</f>
        <v/>
      </c>
      <c r="AN661" s="136" t="str">
        <f>IF(AH632="","",IF(G661="","",G661))</f>
        <v/>
      </c>
      <c r="AO661" s="136" t="str">
        <f>IF(AH632="","",IF(H661="","",H661))</f>
        <v/>
      </c>
      <c r="AP661" s="136" t="str">
        <f>IF(AH632="","",IF(I661="","",I661))</f>
        <v/>
      </c>
      <c r="AQ661" s="136" t="str">
        <f>IF(AH632="","",IF(J661="","",J661))</f>
        <v/>
      </c>
      <c r="AR661" s="136" t="str">
        <f>IF(AH632="","",IF(K661="","",K661))</f>
        <v/>
      </c>
      <c r="AS661" s="136" t="str">
        <f>IF(AH632="","",IF(L661="","",L661))</f>
        <v/>
      </c>
      <c r="AT661" s="136" t="str">
        <f>IF(AH632="","",IF(M661="","",M661))</f>
        <v/>
      </c>
      <c r="AU661" s="136" t="str">
        <f>IF(AH632="","",IF(N661="","",N661))</f>
        <v/>
      </c>
      <c r="AV661" s="136" t="str">
        <f>IF(AH632="","",IF(O661="","",O661))</f>
        <v/>
      </c>
      <c r="AX661" s="136" t="str">
        <f>IF(AI632="","",IF(B661="","",B661))</f>
        <v/>
      </c>
      <c r="AY661" s="136" t="str">
        <f>IF(AI632="","",IF(C661="","",C661))</f>
        <v/>
      </c>
      <c r="AZ661" s="136" t="str">
        <f>IF(AI632="","",IF(D661="","",D661))</f>
        <v/>
      </c>
      <c r="BA661" s="136" t="str">
        <f>IF(AI632="","",IF(E661="","",E661))</f>
        <v/>
      </c>
      <c r="BB661" s="136" t="str">
        <f>IF(AI632="","",IF(F661="","",F661))</f>
        <v/>
      </c>
      <c r="BC661" s="136" t="str">
        <f>IF(AI632="","",IF(G661="","",G661))</f>
        <v/>
      </c>
      <c r="BD661" s="136" t="str">
        <f>IF(AI632="","",IF(H661="","",H661))</f>
        <v/>
      </c>
      <c r="BE661" s="136" t="str">
        <f>IF(AI632="","",IF(I661="","",I661))</f>
        <v/>
      </c>
      <c r="BF661" s="136" t="str">
        <f>IF(AI632="","",IF(J661="","",J661))</f>
        <v/>
      </c>
      <c r="BG661" s="136" t="str">
        <f>IF(AI632="","",IF(K661="","",K661))</f>
        <v/>
      </c>
      <c r="BH661" s="136" t="str">
        <f>IF(AI632="","",IF(L661="","",L661))</f>
        <v/>
      </c>
      <c r="BI661" s="136" t="str">
        <f>IF(AI632="","",IF(M661="","",M661))</f>
        <v/>
      </c>
      <c r="BJ661" s="136" t="str">
        <f>IF(AI632="","",IF(N661="","",N661))</f>
        <v/>
      </c>
      <c r="BK661" s="136" t="str">
        <f>IF(AI632="","",IF(O661="","",O661))</f>
        <v/>
      </c>
      <c r="BM661" s="136" t="str">
        <f t="shared" si="382"/>
        <v>TG</v>
      </c>
      <c r="BN661" s="136" t="str">
        <f t="shared" si="370"/>
        <v>Trabalho de Grupo</v>
      </c>
      <c r="BO661" s="136" t="str">
        <f t="shared" si="370"/>
        <v>IAC</v>
      </c>
      <c r="BP661" s="136">
        <f>(COUNTIFS(AX636:AX683,BM661,AY636:AY683,BO661)+COUNTIFS(AZ636:AZ683,BM661,BA636:BA683,BO661)+COUNTIFS(BB636:BB683,BM661,BC636:BC683,BO661)+COUNTIFS(BD636:BD683,BM661,BE636:BE683,BO661)+COUNTIFS(BF636:BF683,BM661,BG636:BG683,BO661)+COUNTIFS(BH636:BH683,BM661,BI636:BI683,BO661)+COUNTIFS(BJ636:BJ683,BM661,BK636:BK683,BO661))*0.5</f>
        <v>0</v>
      </c>
      <c r="BQ661" s="136" t="str">
        <f t="shared" si="371"/>
        <v>Trabalho de Grupo</v>
      </c>
      <c r="BR661" s="136" t="str">
        <f t="shared" si="371"/>
        <v>IAC</v>
      </c>
      <c r="BS661" s="136" t="str">
        <f t="shared" si="372"/>
        <v>Trabalho de Grupo</v>
      </c>
      <c r="BT661" s="136">
        <f t="shared" si="378"/>
        <v>0</v>
      </c>
      <c r="BU661" s="136">
        <f t="shared" si="379"/>
        <v>0</v>
      </c>
      <c r="CA661" s="136">
        <f>'INFO BASE'!L740</f>
        <v>0</v>
      </c>
      <c r="CB661" s="136">
        <f>'INFO BASE'!M740</f>
        <v>0</v>
      </c>
      <c r="CR661" s="177">
        <f t="shared" si="360"/>
        <v>1</v>
      </c>
      <c r="CS661" s="177">
        <f t="shared" si="361"/>
        <v>1</v>
      </c>
      <c r="CT661" s="177">
        <f t="shared" si="360"/>
        <v>1</v>
      </c>
      <c r="CU661" s="177">
        <f t="shared" si="362"/>
        <v>1</v>
      </c>
      <c r="CV661" s="177">
        <f t="shared" si="360"/>
        <v>1</v>
      </c>
      <c r="CW661" s="177">
        <f t="shared" si="363"/>
        <v>1</v>
      </c>
      <c r="CX661" s="177">
        <f t="shared" si="360"/>
        <v>1</v>
      </c>
      <c r="CY661" s="177">
        <f t="shared" si="364"/>
        <v>1</v>
      </c>
      <c r="CZ661" s="177">
        <f t="shared" si="360"/>
        <v>1</v>
      </c>
      <c r="DA661" s="177">
        <f t="shared" si="365"/>
        <v>1</v>
      </c>
      <c r="DB661" s="177">
        <f t="shared" si="360"/>
        <v>1</v>
      </c>
      <c r="DC661" s="177">
        <f t="shared" si="366"/>
        <v>1</v>
      </c>
      <c r="DD661" s="177">
        <f t="shared" si="367"/>
        <v>1</v>
      </c>
      <c r="DE661" s="177">
        <f t="shared" si="368"/>
        <v>1</v>
      </c>
    </row>
    <row r="662" spans="1:109" ht="18" customHeight="1" x14ac:dyDescent="0.3">
      <c r="A662" s="81">
        <v>0.54166666666668395</v>
      </c>
      <c r="B662" s="153"/>
      <c r="C662" s="130"/>
      <c r="D662" s="135"/>
      <c r="E662" s="130"/>
      <c r="F662" s="135"/>
      <c r="G662" s="130"/>
      <c r="H662" s="135"/>
      <c r="I662" s="130"/>
      <c r="J662" s="135"/>
      <c r="K662" s="130"/>
      <c r="L662" s="135"/>
      <c r="M662" s="130"/>
      <c r="N662" s="135"/>
      <c r="O662" s="154"/>
      <c r="P662" s="6">
        <v>0</v>
      </c>
      <c r="Q662" s="118" t="str">
        <f t="shared" ref="Q662:Q667" si="383">Q661</f>
        <v>Trabalho de Grupo</v>
      </c>
      <c r="R662" s="105" t="str">
        <f t="shared" si="377"/>
        <v>FP</v>
      </c>
      <c r="S662" s="88">
        <f t="shared" si="374"/>
        <v>-1</v>
      </c>
      <c r="T662" s="89">
        <f>IF(VLOOKUP(Q662,'INFO BASE'!$B$40:$I$54,IF(R662='INFO BASE'!$B$32,3,IF(R662='INFO BASE'!$B$33,4,IF(R662='INFO BASE'!$B$34,5,IF(R662='INFO BASE'!$B$35,6,IF(R662='INFO BASE'!$B$36,7,IF(R662='INFO BASE'!$B$37,8,2)))))),0)=0,"",VLOOKUP(Q662,'INFO BASE'!$B$40:$I$54,IF(R662='INFO BASE'!$B$32,3,IF(R662='INFO BASE'!$B$33,4,IF(R662='INFO BASE'!$B$34,5,IF(R662='INFO BASE'!$B$35,6,IF(R662='INFO BASE'!$B$36,7,IF(R662='INFO BASE'!$B$37,8,2)))))),0))</f>
        <v>3</v>
      </c>
      <c r="U662" s="89">
        <f>(COUNTIFS(C636:C683,R662,B636:B683,R661)+COUNTIFS(E636:E683,R662,D636:D683,R661)+COUNTIFS(G636:G683,R662,F636:F683,R661)+COUNTIFS(I636:I683,R662,H636:H683,R661)+COUNTIFS(K636:K683,R662,J636:J683,R661)+COUNTIFS(M636:M683,R662,L636:L683,R661)+COUNTIFS(O636:O683,R662,N636:N683,R661))*0.5</f>
        <v>0</v>
      </c>
      <c r="V662" s="89">
        <f>(COUNTIFS(AI636:AI683,R661,AJ636:AJ683,R655)+COUNTIFS(AK636:AK683,R661,AL636:AL683,R655)+COUNTIFS(AM636:AM683,R661,AN636:AN683,R655)+COUNTIFS(AO636:AO683,R661,AP636:AP683,R655)+COUNTIFS(AQ636:AQ683,R661,AR636:AR683,R655)+COUNTIFS(AS636:AS683,R661,AT636:AT683,R655)+COUNTIFS(AU636:AU683,R661,AV636:AV683,R655))*0.5</f>
        <v>0</v>
      </c>
      <c r="W662" s="90" t="str">
        <f>IF(AH632="","-",IF(V662=0,U662,IFERROR((U662/V662)-1,"-")))</f>
        <v>-</v>
      </c>
      <c r="X662" s="201">
        <f t="shared" si="375"/>
        <v>0</v>
      </c>
      <c r="Y662" s="271"/>
      <c r="Z662" s="272"/>
      <c r="AA662" s="272"/>
      <c r="AB662" s="272"/>
      <c r="AC662" s="272"/>
      <c r="AD662" s="272"/>
      <c r="AE662" s="272"/>
      <c r="AF662" s="273"/>
      <c r="AH662" s="136">
        <v>0.54166666666668395</v>
      </c>
      <c r="AI662" s="136" t="str">
        <f>IF(AH632="","",IF(B662="","",B662))</f>
        <v/>
      </c>
      <c r="AJ662" s="136" t="str">
        <f>IF(AH632="","",IF(C662="","",C662))</f>
        <v/>
      </c>
      <c r="AK662" s="136" t="str">
        <f>IF(AH632="","",IF(D662="","",D662))</f>
        <v/>
      </c>
      <c r="AL662" s="136" t="str">
        <f>IF(AH632="","",IF(E662="","",E662))</f>
        <v/>
      </c>
      <c r="AM662" s="136" t="str">
        <f>IF(AH632="","",IF(F662="","",F662))</f>
        <v/>
      </c>
      <c r="AN662" s="136" t="str">
        <f>IF(AH632="","",IF(G662="","",G662))</f>
        <v/>
      </c>
      <c r="AO662" s="136" t="str">
        <f>IF(AH632="","",IF(H662="","",H662))</f>
        <v/>
      </c>
      <c r="AP662" s="136" t="str">
        <f>IF(AH632="","",IF(I662="","",I662))</f>
        <v/>
      </c>
      <c r="AQ662" s="136" t="str">
        <f>IF(AH632="","",IF(J662="","",J662))</f>
        <v/>
      </c>
      <c r="AR662" s="136" t="str">
        <f>IF(AH632="","",IF(K662="","",K662))</f>
        <v/>
      </c>
      <c r="AS662" s="136" t="str">
        <f>IF(AH632="","",IF(L662="","",L662))</f>
        <v/>
      </c>
      <c r="AT662" s="136" t="str">
        <f>IF(AH632="","",IF(M662="","",M662))</f>
        <v/>
      </c>
      <c r="AU662" s="136" t="str">
        <f>IF(AH632="","",IF(N662="","",N662))</f>
        <v/>
      </c>
      <c r="AV662" s="136" t="str">
        <f>IF(AH632="","",IF(O662="","",O662))</f>
        <v/>
      </c>
      <c r="AX662" s="136" t="str">
        <f>IF(AI632="","",IF(B662="","",B662))</f>
        <v/>
      </c>
      <c r="AY662" s="136" t="str">
        <f>IF(AI632="","",IF(C662="","",C662))</f>
        <v/>
      </c>
      <c r="AZ662" s="136" t="str">
        <f>IF(AI632="","",IF(D662="","",D662))</f>
        <v/>
      </c>
      <c r="BA662" s="136" t="str">
        <f>IF(AI632="","",IF(E662="","",E662))</f>
        <v/>
      </c>
      <c r="BB662" s="136" t="str">
        <f>IF(AI632="","",IF(F662="","",F662))</f>
        <v/>
      </c>
      <c r="BC662" s="136" t="str">
        <f>IF(AI632="","",IF(G662="","",G662))</f>
        <v/>
      </c>
      <c r="BD662" s="136" t="str">
        <f>IF(AI632="","",IF(H662="","",H662))</f>
        <v/>
      </c>
      <c r="BE662" s="136" t="str">
        <f>IF(AI632="","",IF(I662="","",I662))</f>
        <v/>
      </c>
      <c r="BF662" s="136" t="str">
        <f>IF(AI632="","",IF(J662="","",J662))</f>
        <v/>
      </c>
      <c r="BG662" s="136" t="str">
        <f>IF(AI632="","",IF(K662="","",K662))</f>
        <v/>
      </c>
      <c r="BH662" s="136" t="str">
        <f>IF(AI632="","",IF(L662="","",L662))</f>
        <v/>
      </c>
      <c r="BI662" s="136" t="str">
        <f>IF(AI632="","",IF(M662="","",M662))</f>
        <v/>
      </c>
      <c r="BJ662" s="136" t="str">
        <f>IF(AI632="","",IF(N662="","",N662))</f>
        <v/>
      </c>
      <c r="BK662" s="136" t="str">
        <f>IF(AI632="","",IF(O662="","",O662))</f>
        <v/>
      </c>
      <c r="BM662" s="136" t="str">
        <f t="shared" si="382"/>
        <v>TG</v>
      </c>
      <c r="BN662" s="136" t="str">
        <f t="shared" si="370"/>
        <v>Trabalho de Grupo</v>
      </c>
      <c r="BO662" s="136" t="str">
        <f t="shared" si="370"/>
        <v>AL</v>
      </c>
      <c r="BP662" s="136">
        <f>(COUNTIFS(AX636:AX683,BM662,AY636:AY683,BO662)+COUNTIFS(AZ636:AZ683,BM662,BA636:BA683,BO662)+COUNTIFS(BB636:BB683,BM662,BC636:BC683,BO662)+COUNTIFS(BD636:BD683,BM662,BE636:BE683,BO662)+COUNTIFS(BF636:BF683,BM662,BG636:BG683,BO662)+COUNTIFS(BH636:BH683,BM662,BI636:BI683,BO662)+COUNTIFS(BJ636:BJ683,BM662,BK636:BK683,BO662))*0.5</f>
        <v>0</v>
      </c>
      <c r="BQ662" s="136" t="str">
        <f t="shared" si="371"/>
        <v>Trabalho de Grupo</v>
      </c>
      <c r="BR662" s="136" t="str">
        <f t="shared" si="371"/>
        <v>AL</v>
      </c>
      <c r="BS662" s="136" t="str">
        <f t="shared" si="372"/>
        <v>Trabalho de Grupo</v>
      </c>
      <c r="BT662" s="136">
        <f t="shared" si="378"/>
        <v>0</v>
      </c>
      <c r="BU662" s="136">
        <f t="shared" si="379"/>
        <v>0</v>
      </c>
      <c r="CA662" s="136">
        <f>'INFO BASE'!L741</f>
        <v>0</v>
      </c>
      <c r="CB662" s="136">
        <f>'INFO BASE'!M741</f>
        <v>0</v>
      </c>
      <c r="CR662" s="177">
        <f t="shared" si="360"/>
        <v>1</v>
      </c>
      <c r="CS662" s="177">
        <f t="shared" si="361"/>
        <v>1</v>
      </c>
      <c r="CT662" s="177">
        <f t="shared" si="360"/>
        <v>1</v>
      </c>
      <c r="CU662" s="177">
        <f t="shared" si="362"/>
        <v>1</v>
      </c>
      <c r="CV662" s="177">
        <f t="shared" si="360"/>
        <v>1</v>
      </c>
      <c r="CW662" s="177">
        <f t="shared" si="363"/>
        <v>1</v>
      </c>
      <c r="CX662" s="177">
        <f t="shared" si="360"/>
        <v>1</v>
      </c>
      <c r="CY662" s="177">
        <f t="shared" si="364"/>
        <v>1</v>
      </c>
      <c r="CZ662" s="177">
        <f t="shared" si="360"/>
        <v>1</v>
      </c>
      <c r="DA662" s="177">
        <f t="shared" si="365"/>
        <v>1</v>
      </c>
      <c r="DB662" s="177">
        <f t="shared" si="360"/>
        <v>1</v>
      </c>
      <c r="DC662" s="177">
        <f t="shared" si="366"/>
        <v>1</v>
      </c>
      <c r="DD662" s="177">
        <f t="shared" si="367"/>
        <v>1</v>
      </c>
      <c r="DE662" s="177">
        <f t="shared" si="368"/>
        <v>1</v>
      </c>
    </row>
    <row r="663" spans="1:109" ht="18" customHeight="1" x14ac:dyDescent="0.3">
      <c r="A663" s="81">
        <v>0.56250000000001799</v>
      </c>
      <c r="B663" s="153"/>
      <c r="C663" s="130"/>
      <c r="D663" s="135"/>
      <c r="E663" s="130"/>
      <c r="F663" s="135"/>
      <c r="G663" s="130"/>
      <c r="H663" s="135"/>
      <c r="I663" s="130"/>
      <c r="J663" s="135"/>
      <c r="K663" s="130"/>
      <c r="L663" s="135"/>
      <c r="M663" s="130"/>
      <c r="N663" s="135"/>
      <c r="O663" s="154"/>
      <c r="P663" s="6">
        <v>0</v>
      </c>
      <c r="Q663" s="118" t="str">
        <f t="shared" si="383"/>
        <v>Trabalho de Grupo</v>
      </c>
      <c r="R663" s="105" t="str">
        <f t="shared" si="377"/>
        <v>IEI</v>
      </c>
      <c r="S663" s="88">
        <f t="shared" si="374"/>
        <v>-1</v>
      </c>
      <c r="T663" s="89">
        <f>IF(VLOOKUP(Q663,'INFO BASE'!$B$40:$I$54,IF(R663='INFO BASE'!$B$32,3,IF(R663='INFO BASE'!$B$33,4,IF(R663='INFO BASE'!$B$34,5,IF(R663='INFO BASE'!$B$35,6,IF(R663='INFO BASE'!$B$36,7,IF(R663='INFO BASE'!$B$37,8,2)))))),0)=0,"",VLOOKUP(Q663,'INFO BASE'!$B$40:$I$54,IF(R663='INFO BASE'!$B$32,3,IF(R663='INFO BASE'!$B$33,4,IF(R663='INFO BASE'!$B$34,5,IF(R663='INFO BASE'!$B$35,6,IF(R663='INFO BASE'!$B$36,7,IF(R663='INFO BASE'!$B$37,8,2)))))),0))</f>
        <v>3</v>
      </c>
      <c r="U663" s="89">
        <f>(COUNTIFS(C636:C683,R663,B636:B683,R661)+COUNTIFS(E636:E683,R663,D636:D683,R661)+COUNTIFS(G636:G683,R663,F636:F683,R661)+COUNTIFS(I636:I683,R663,H636:H683,R661)+COUNTIFS(K636:K683,R663,J636:J683,R661)+COUNTIFS(M636:M683,R663,L636:L683,R661)+COUNTIFS(O636:O683,R663,N636:N683,R661))*0.5</f>
        <v>0</v>
      </c>
      <c r="V663" s="89">
        <f>(COUNTIFS(AI636:AI683,R661,AJ636:AJ683,R656)+COUNTIFS(AK636:AK683,R661,AL636:AL683,R656)+COUNTIFS(AM636:AM683,R661,AN636:AN683,R656)+COUNTIFS(AO636:AO683,R661,AP636:AP683,R656)+COUNTIFS(AQ636:AQ683,R661,AR636:AR683,R656)+COUNTIFS(AS636:AS683,R661,AT636:AT683,R656)+COUNTIFS(AU636:AU683,R661,AV636:AV683,R656))*0.5</f>
        <v>0</v>
      </c>
      <c r="W663" s="90" t="str">
        <f>IF(AH632="","-",IF(V663=0,U663,IFERROR((U663/V663)-1,"-")))</f>
        <v>-</v>
      </c>
      <c r="X663" s="201">
        <f t="shared" si="375"/>
        <v>0</v>
      </c>
      <c r="Y663" s="271"/>
      <c r="Z663" s="272"/>
      <c r="AA663" s="272"/>
      <c r="AB663" s="272"/>
      <c r="AC663" s="272"/>
      <c r="AD663" s="272"/>
      <c r="AE663" s="272"/>
      <c r="AF663" s="273"/>
      <c r="AH663" s="136">
        <v>0.56250000000001799</v>
      </c>
      <c r="AI663" s="136" t="str">
        <f>IF(AH632="","",IF(B663="","",B663))</f>
        <v/>
      </c>
      <c r="AJ663" s="136" t="str">
        <f>IF(AH632="","",IF(C663="","",C663))</f>
        <v/>
      </c>
      <c r="AK663" s="136" t="str">
        <f>IF(AH632="","",IF(D663="","",D663))</f>
        <v/>
      </c>
      <c r="AL663" s="136" t="str">
        <f>IF(AH632="","",IF(E663="","",E663))</f>
        <v/>
      </c>
      <c r="AM663" s="136" t="str">
        <f>IF(AH632="","",IF(F663="","",F663))</f>
        <v/>
      </c>
      <c r="AN663" s="136" t="str">
        <f>IF(AH632="","",IF(G663="","",G663))</f>
        <v/>
      </c>
      <c r="AO663" s="136" t="str">
        <f>IF(AH632="","",IF(H663="","",H663))</f>
        <v/>
      </c>
      <c r="AP663" s="136" t="str">
        <f>IF(AH632="","",IF(I663="","",I663))</f>
        <v/>
      </c>
      <c r="AQ663" s="136" t="str">
        <f>IF(AH632="","",IF(J663="","",J663))</f>
        <v/>
      </c>
      <c r="AR663" s="136" t="str">
        <f>IF(AH632="","",IF(K663="","",K663))</f>
        <v/>
      </c>
      <c r="AS663" s="136" t="str">
        <f>IF(AH632="","",IF(L663="","",L663))</f>
        <v/>
      </c>
      <c r="AT663" s="136" t="str">
        <f>IF(AH632="","",IF(M663="","",M663))</f>
        <v/>
      </c>
      <c r="AU663" s="136" t="str">
        <f>IF(AH632="","",IF(N663="","",N663))</f>
        <v/>
      </c>
      <c r="AV663" s="136" t="str">
        <f>IF(AH632="","",IF(O663="","",O663))</f>
        <v/>
      </c>
      <c r="AX663" s="136" t="str">
        <f>IF(AI632="","",IF(B663="","",B663))</f>
        <v/>
      </c>
      <c r="AY663" s="136" t="str">
        <f>IF(AI632="","",IF(C663="","",C663))</f>
        <v/>
      </c>
      <c r="AZ663" s="136" t="str">
        <f>IF(AI632="","",IF(D663="","",D663))</f>
        <v/>
      </c>
      <c r="BA663" s="136" t="str">
        <f>IF(AI632="","",IF(E663="","",E663))</f>
        <v/>
      </c>
      <c r="BB663" s="136" t="str">
        <f>IF(AI632="","",IF(F663="","",F663))</f>
        <v/>
      </c>
      <c r="BC663" s="136" t="str">
        <f>IF(AI632="","",IF(G663="","",G663))</f>
        <v/>
      </c>
      <c r="BD663" s="136" t="str">
        <f>IF(AI632="","",IF(H663="","",H663))</f>
        <v/>
      </c>
      <c r="BE663" s="136" t="str">
        <f>IF(AI632="","",IF(I663="","",I663))</f>
        <v/>
      </c>
      <c r="BF663" s="136" t="str">
        <f>IF(AI632="","",IF(J663="","",J663))</f>
        <v/>
      </c>
      <c r="BG663" s="136" t="str">
        <f>IF(AI632="","",IF(K663="","",K663))</f>
        <v/>
      </c>
      <c r="BH663" s="136" t="str">
        <f>IF(AI632="","",IF(L663="","",L663))</f>
        <v/>
      </c>
      <c r="BI663" s="136" t="str">
        <f>IF(AI632="","",IF(M663="","",M663))</f>
        <v/>
      </c>
      <c r="BJ663" s="136" t="str">
        <f>IF(AI632="","",IF(N663="","",N663))</f>
        <v/>
      </c>
      <c r="BK663" s="136" t="str">
        <f>IF(AI632="","",IF(O663="","",O663))</f>
        <v/>
      </c>
      <c r="BM663" s="136" t="str">
        <f t="shared" si="382"/>
        <v>TG</v>
      </c>
      <c r="BN663" s="136" t="str">
        <f t="shared" si="370"/>
        <v>Trabalho de Grupo</v>
      </c>
      <c r="BO663" s="136" t="str">
        <f t="shared" si="370"/>
        <v>CDI</v>
      </c>
      <c r="BP663" s="136">
        <f>(COUNTIFS(AX636:AX683,BM663,AY636:AY683,BO663)+COUNTIFS(AZ636:AZ683,BM663,BA636:BA683,BO663)+COUNTIFS(BB636:BB683,BM663,BC636:BC683,BO663)+COUNTIFS(BD636:BD683,BM663,BE636:BE683,BO663)+COUNTIFS(BF636:BF683,BM663,BG636:BG683,BO663)+COUNTIFS(BH636:BH683,BM663,BI636:BI683,BO663)+COUNTIFS(BJ636:BJ683,BM663,BK636:BK683,BO663))*0.5</f>
        <v>0</v>
      </c>
      <c r="BQ663" s="136" t="str">
        <f t="shared" si="371"/>
        <v>Trabalho de Grupo</v>
      </c>
      <c r="BR663" s="136" t="str">
        <f t="shared" si="371"/>
        <v>CDI</v>
      </c>
      <c r="BS663" s="136" t="str">
        <f t="shared" si="372"/>
        <v>Trabalho de Grupo</v>
      </c>
      <c r="BT663" s="136">
        <f t="shared" si="378"/>
        <v>0</v>
      </c>
      <c r="BU663" s="136">
        <f t="shared" si="379"/>
        <v>0</v>
      </c>
      <c r="CA663" s="136">
        <f>'INFO BASE'!L742</f>
        <v>0</v>
      </c>
      <c r="CB663" s="136">
        <f>'INFO BASE'!M742</f>
        <v>0</v>
      </c>
      <c r="CR663" s="177">
        <f t="shared" si="360"/>
        <v>1</v>
      </c>
      <c r="CS663" s="177">
        <f t="shared" si="361"/>
        <v>1</v>
      </c>
      <c r="CT663" s="177">
        <f t="shared" si="360"/>
        <v>1</v>
      </c>
      <c r="CU663" s="177">
        <f t="shared" si="362"/>
        <v>1</v>
      </c>
      <c r="CV663" s="177">
        <f t="shared" si="360"/>
        <v>1</v>
      </c>
      <c r="CW663" s="177">
        <f t="shared" si="363"/>
        <v>1</v>
      </c>
      <c r="CX663" s="177">
        <f t="shared" si="360"/>
        <v>1</v>
      </c>
      <c r="CY663" s="177">
        <f t="shared" si="364"/>
        <v>1</v>
      </c>
      <c r="CZ663" s="177">
        <f t="shared" si="360"/>
        <v>1</v>
      </c>
      <c r="DA663" s="177">
        <f t="shared" si="365"/>
        <v>1</v>
      </c>
      <c r="DB663" s="177">
        <f t="shared" si="360"/>
        <v>1</v>
      </c>
      <c r="DC663" s="177">
        <f t="shared" si="366"/>
        <v>1</v>
      </c>
      <c r="DD663" s="177">
        <f t="shared" si="367"/>
        <v>1</v>
      </c>
      <c r="DE663" s="177">
        <f t="shared" si="368"/>
        <v>1</v>
      </c>
    </row>
    <row r="664" spans="1:109" ht="18" customHeight="1" x14ac:dyDescent="0.3">
      <c r="A664" s="81">
        <v>0.58333333333335202</v>
      </c>
      <c r="B664" s="153"/>
      <c r="C664" s="130"/>
      <c r="D664" s="135"/>
      <c r="E664" s="130"/>
      <c r="F664" s="135"/>
      <c r="G664" s="130"/>
      <c r="H664" s="135"/>
      <c r="I664" s="130"/>
      <c r="J664" s="135"/>
      <c r="K664" s="130"/>
      <c r="L664" s="135"/>
      <c r="M664" s="130"/>
      <c r="N664" s="135"/>
      <c r="O664" s="154"/>
      <c r="P664" s="6">
        <v>0</v>
      </c>
      <c r="Q664" s="119" t="str">
        <f t="shared" si="383"/>
        <v>Trabalho de Grupo</v>
      </c>
      <c r="R664" s="105" t="str">
        <f t="shared" si="377"/>
        <v>IAC</v>
      </c>
      <c r="S664" s="88">
        <f t="shared" si="374"/>
        <v>-1</v>
      </c>
      <c r="T664" s="89">
        <f>IF(VLOOKUP(Q664,'INFO BASE'!$B$40:$I$54,IF(R664='INFO BASE'!$B$32,3,IF(R664='INFO BASE'!$B$33,4,IF(R664='INFO BASE'!$B$34,5,IF(R664='INFO BASE'!$B$35,6,IF(R664='INFO BASE'!$B$36,7,IF(R664='INFO BASE'!$B$37,8,2)))))),0)=0,"",VLOOKUP(Q664,'INFO BASE'!$B$40:$I$54,IF(R664='INFO BASE'!$B$32,3,IF(R664='INFO BASE'!$B$33,4,IF(R664='INFO BASE'!$B$34,5,IF(R664='INFO BASE'!$B$35,6,IF(R664='INFO BASE'!$B$36,7,IF(R664='INFO BASE'!$B$37,8,2)))))),0))</f>
        <v>3</v>
      </c>
      <c r="U664" s="89">
        <f>(COUNTIFS(C636:C683,R664,B636:B683,R661)+COUNTIFS(E636:E683,R664,D636:D683,R661)+COUNTIFS(G636:G683,R664,F636:F683,R661)+COUNTIFS(I636:I683,R664,H636:H683,R661)+COUNTIFS(K636:K683,R664,J636:J683,R661)+COUNTIFS(M636:M683,R664,L636:L683,R661)+COUNTIFS(O636:O683,R664,N636:N683,R661))*0.5</f>
        <v>0</v>
      </c>
      <c r="V664" s="89">
        <f>(COUNTIFS(AI636:AI683,R661,AJ636:AJ683,R657)+COUNTIFS(AK636:AK683,R661,AL636:AL683,R657)+COUNTIFS(AM636:AM683,R661,AN636:AN683,R657)+COUNTIFS(AO636:AO683,R661,AP636:AP683,R657)+COUNTIFS(AQ636:AQ683,R661,AR636:AR683,R657)+COUNTIFS(AS636:AS683,R661,AT636:AT683,R657)+COUNTIFS(AU636:AU683,R661,AV636:AV683,R657))*0.5</f>
        <v>0</v>
      </c>
      <c r="W664" s="90" t="str">
        <f>IF(AH632="","-",IF(V664=0,U664,IFERROR((U664/V664)-1,"-")))</f>
        <v>-</v>
      </c>
      <c r="X664" s="201">
        <f t="shared" si="375"/>
        <v>0</v>
      </c>
      <c r="Y664" s="271"/>
      <c r="Z664" s="272"/>
      <c r="AA664" s="272"/>
      <c r="AB664" s="272"/>
      <c r="AC664" s="272"/>
      <c r="AD664" s="272"/>
      <c r="AE664" s="272"/>
      <c r="AF664" s="273"/>
      <c r="AH664" s="136">
        <v>0.58333333333335202</v>
      </c>
      <c r="AI664" s="136" t="str">
        <f>IF(AH632="","",IF(B664="","",B664))</f>
        <v/>
      </c>
      <c r="AJ664" s="136" t="str">
        <f>IF(AH632="","",IF(C664="","",C664))</f>
        <v/>
      </c>
      <c r="AK664" s="136" t="str">
        <f>IF(AH632="","",IF(D664="","",D664))</f>
        <v/>
      </c>
      <c r="AL664" s="136" t="str">
        <f>IF(AH632="","",IF(E664="","",E664))</f>
        <v/>
      </c>
      <c r="AM664" s="136" t="str">
        <f>IF(AH632="","",IF(F664="","",F664))</f>
        <v/>
      </c>
      <c r="AN664" s="136" t="str">
        <f>IF(AH632="","",IF(G664="","",G664))</f>
        <v/>
      </c>
      <c r="AO664" s="136" t="str">
        <f>IF(AH632="","",IF(H664="","",H664))</f>
        <v/>
      </c>
      <c r="AP664" s="136" t="str">
        <f>IF(AH632="","",IF(I664="","",I664))</f>
        <v/>
      </c>
      <c r="AQ664" s="136" t="str">
        <f>IF(AH632="","",IF(J664="","",J664))</f>
        <v/>
      </c>
      <c r="AR664" s="136" t="str">
        <f>IF(AH632="","",IF(K664="","",K664))</f>
        <v/>
      </c>
      <c r="AS664" s="136" t="str">
        <f>IF(AH632="","",IF(L664="","",L664))</f>
        <v/>
      </c>
      <c r="AT664" s="136" t="str">
        <f>IF(AH632="","",IF(M664="","",M664))</f>
        <v/>
      </c>
      <c r="AU664" s="136" t="str">
        <f>IF(AH632="","",IF(N664="","",N664))</f>
        <v/>
      </c>
      <c r="AV664" s="136" t="str">
        <f>IF(AH632="","",IF(O664="","",O664))</f>
        <v/>
      </c>
      <c r="AX664" s="136" t="str">
        <f>IF(AI632="","",IF(B664="","",B664))</f>
        <v/>
      </c>
      <c r="AY664" s="136" t="str">
        <f>IF(AI632="","",IF(C664="","",C664))</f>
        <v/>
      </c>
      <c r="AZ664" s="136" t="str">
        <f>IF(AI632="","",IF(D664="","",D664))</f>
        <v/>
      </c>
      <c r="BA664" s="136" t="str">
        <f>IF(AI632="","",IF(E664="","",E664))</f>
        <v/>
      </c>
      <c r="BB664" s="136" t="str">
        <f>IF(AI632="","",IF(F664="","",F664))</f>
        <v/>
      </c>
      <c r="BC664" s="136" t="str">
        <f>IF(AI632="","",IF(G664="","",G664))</f>
        <v/>
      </c>
      <c r="BD664" s="136" t="str">
        <f>IF(AI632="","",IF(H664="","",H664))</f>
        <v/>
      </c>
      <c r="BE664" s="136" t="str">
        <f>IF(AI632="","",IF(I664="","",I664))</f>
        <v/>
      </c>
      <c r="BF664" s="136" t="str">
        <f>IF(AI632="","",IF(J664="","",J664))</f>
        <v/>
      </c>
      <c r="BG664" s="136" t="str">
        <f>IF(AI632="","",IF(K664="","",K664))</f>
        <v/>
      </c>
      <c r="BH664" s="136" t="str">
        <f>IF(AI632="","",IF(L664="","",L664))</f>
        <v/>
      </c>
      <c r="BI664" s="136" t="str">
        <f>IF(AI632="","",IF(M664="","",M664))</f>
        <v/>
      </c>
      <c r="BJ664" s="136" t="str">
        <f>IF(AI632="","",IF(N664="","",N664))</f>
        <v/>
      </c>
      <c r="BK664" s="136" t="str">
        <f>IF(AI632="","",IF(O664="","",O664))</f>
        <v/>
      </c>
      <c r="BM664" s="136" t="str">
        <f t="shared" si="382"/>
        <v>TG</v>
      </c>
      <c r="BN664" s="136" t="str">
        <f t="shared" si="370"/>
        <v>Trabalho de Grupo</v>
      </c>
      <c r="BO664" s="136" t="str">
        <f t="shared" si="370"/>
        <v/>
      </c>
      <c r="BP664" s="136">
        <f>(COUNTIFS(AX636:AX683,BM664,AY636:AY683,BO664)+COUNTIFS(AZ636:AZ683,BM664,BA636:BA683,BO664)+COUNTIFS(BB636:BB683,BM664,BC636:BC683,BO664)+COUNTIFS(BD636:BD683,BM664,BE636:BE683,BO664)+COUNTIFS(BF636:BF683,BM664,BG636:BG683,BO664)+COUNTIFS(BH636:BH683,BM664,BI636:BI683,BO664)+COUNTIFS(BJ636:BJ683,BM664,BK636:BK683,BO664))*0.5</f>
        <v>0</v>
      </c>
      <c r="BQ664" s="136" t="str">
        <f t="shared" si="371"/>
        <v>Trabalho de Grupo</v>
      </c>
      <c r="BR664" s="136" t="str">
        <f t="shared" si="371"/>
        <v/>
      </c>
      <c r="BS664" s="136" t="str">
        <f t="shared" si="372"/>
        <v>Trabalho de Grupo</v>
      </c>
      <c r="BT664" s="136">
        <f t="shared" si="378"/>
        <v>0</v>
      </c>
      <c r="BU664" s="136">
        <f t="shared" si="379"/>
        <v>0</v>
      </c>
      <c r="CA664" s="136">
        <f>'INFO BASE'!L743</f>
        <v>0</v>
      </c>
      <c r="CB664" s="136">
        <f>'INFO BASE'!M743</f>
        <v>0</v>
      </c>
      <c r="CR664" s="177">
        <f t="shared" si="360"/>
        <v>1</v>
      </c>
      <c r="CS664" s="177">
        <f t="shared" si="361"/>
        <v>1</v>
      </c>
      <c r="CT664" s="177">
        <f t="shared" si="360"/>
        <v>1</v>
      </c>
      <c r="CU664" s="177">
        <f t="shared" si="362"/>
        <v>1</v>
      </c>
      <c r="CV664" s="177">
        <f t="shared" si="360"/>
        <v>1</v>
      </c>
      <c r="CW664" s="177">
        <f t="shared" si="363"/>
        <v>1</v>
      </c>
      <c r="CX664" s="177">
        <f t="shared" si="360"/>
        <v>1</v>
      </c>
      <c r="CY664" s="177">
        <f t="shared" si="364"/>
        <v>1</v>
      </c>
      <c r="CZ664" s="177">
        <f t="shared" si="360"/>
        <v>1</v>
      </c>
      <c r="DA664" s="177">
        <f t="shared" si="365"/>
        <v>1</v>
      </c>
      <c r="DB664" s="177">
        <f t="shared" si="360"/>
        <v>1</v>
      </c>
      <c r="DC664" s="177">
        <f t="shared" si="366"/>
        <v>1</v>
      </c>
      <c r="DD664" s="177">
        <f t="shared" si="367"/>
        <v>1</v>
      </c>
      <c r="DE664" s="177">
        <f t="shared" si="368"/>
        <v>1</v>
      </c>
    </row>
    <row r="665" spans="1:109" ht="18" customHeight="1" x14ac:dyDescent="0.3">
      <c r="A665" s="81">
        <v>0.60416666666668595</v>
      </c>
      <c r="B665" s="153"/>
      <c r="C665" s="130"/>
      <c r="D665" s="135"/>
      <c r="E665" s="130"/>
      <c r="F665" s="135"/>
      <c r="G665" s="130"/>
      <c r="H665" s="135"/>
      <c r="I665" s="130"/>
      <c r="J665" s="135"/>
      <c r="K665" s="130"/>
      <c r="L665" s="135"/>
      <c r="M665" s="130"/>
      <c r="N665" s="135"/>
      <c r="O665" s="154"/>
      <c r="P665" s="6">
        <v>0</v>
      </c>
      <c r="Q665" s="118" t="str">
        <f t="shared" si="383"/>
        <v>Trabalho de Grupo</v>
      </c>
      <c r="R665" s="105" t="str">
        <f t="shared" si="377"/>
        <v>AL</v>
      </c>
      <c r="S665" s="88">
        <f t="shared" si="374"/>
        <v>-1</v>
      </c>
      <c r="T665" s="89">
        <f>IF(VLOOKUP(Q665,'INFO BASE'!$B$40:$I$54,IF(R665='INFO BASE'!$B$32,3,IF(R665='INFO BASE'!$B$33,4,IF(R665='INFO BASE'!$B$34,5,IF(R665='INFO BASE'!$B$35,6,IF(R665='INFO BASE'!$B$36,7,IF(R665='INFO BASE'!$B$37,8,2)))))),0)=0,"",VLOOKUP(Q665,'INFO BASE'!$B$40:$I$54,IF(R665='INFO BASE'!$B$32,3,IF(R665='INFO BASE'!$B$33,4,IF(R665='INFO BASE'!$B$34,5,IF(R665='INFO BASE'!$B$35,6,IF(R665='INFO BASE'!$B$36,7,IF(R665='INFO BASE'!$B$37,8,2)))))),0))</f>
        <v>3</v>
      </c>
      <c r="U665" s="89">
        <f>(COUNTIFS(C636:C683,R665,B636:B683,R661)+COUNTIFS(E636:E683,R665,D636:D683,R661)+COUNTIFS(G636:G683,R665,F636:F683,R661)+COUNTIFS(I636:I683,R665,H636:H683,R661)+COUNTIFS(K636:K683,R665,J636:J683,R661)+COUNTIFS(M636:M683,R665,L636:L683,R661)+COUNTIFS(O636:O683,R665,N636:N683,R661))*0.5</f>
        <v>0</v>
      </c>
      <c r="V665" s="89">
        <f>(COUNTIFS(AI636:AI683,R661,AJ636:AJ683,R658)+COUNTIFS(AK636:AK683,R661,AL636:AL683,R658)+COUNTIFS(AM636:AM683,R661,AN636:AN683,R658)+COUNTIFS(AO636:AO683,R661,AP636:AP683,R658)+COUNTIFS(AQ636:AQ683,R661,AR636:AR683,R658)+COUNTIFS(AS636:AS683,R661,AT636:AT683,R658)+COUNTIFS(AU636:AU683,R661,AV636:AV683,R658))*0.5</f>
        <v>0</v>
      </c>
      <c r="W665" s="90" t="str">
        <f>IF(AH632="","-",IF(V665=0,U665,IFERROR((U665/V665)-1,"-")))</f>
        <v>-</v>
      </c>
      <c r="X665" s="201">
        <f t="shared" si="375"/>
        <v>0</v>
      </c>
      <c r="Y665" s="271"/>
      <c r="Z665" s="272"/>
      <c r="AA665" s="272"/>
      <c r="AB665" s="272"/>
      <c r="AC665" s="272"/>
      <c r="AD665" s="272"/>
      <c r="AE665" s="272"/>
      <c r="AF665" s="273"/>
      <c r="AH665" s="136">
        <v>0.60416666666668595</v>
      </c>
      <c r="AI665" s="136" t="str">
        <f>IF(AH632="","",IF(B665="","",B665))</f>
        <v/>
      </c>
      <c r="AJ665" s="136" t="str">
        <f>IF(AH632="","",IF(C665="","",C665))</f>
        <v/>
      </c>
      <c r="AK665" s="136" t="str">
        <f>IF(AH632="","",IF(D665="","",D665))</f>
        <v/>
      </c>
      <c r="AL665" s="136" t="str">
        <f>IF(AH632="","",IF(E665="","",E665))</f>
        <v/>
      </c>
      <c r="AM665" s="136" t="str">
        <f>IF(AH632="","",IF(F665="","",F665))</f>
        <v/>
      </c>
      <c r="AN665" s="136" t="str">
        <f>IF(AH632="","",IF(G665="","",G665))</f>
        <v/>
      </c>
      <c r="AO665" s="136" t="str">
        <f>IF(AH632="","",IF(H665="","",H665))</f>
        <v/>
      </c>
      <c r="AP665" s="136" t="str">
        <f>IF(AH632="","",IF(I665="","",I665))</f>
        <v/>
      </c>
      <c r="AQ665" s="136" t="str">
        <f>IF(AH632="","",IF(J665="","",J665))</f>
        <v/>
      </c>
      <c r="AR665" s="136" t="str">
        <f>IF(AH632="","",IF(K665="","",K665))</f>
        <v/>
      </c>
      <c r="AS665" s="136" t="str">
        <f>IF(AH632="","",IF(L665="","",L665))</f>
        <v/>
      </c>
      <c r="AT665" s="136" t="str">
        <f>IF(AH632="","",IF(M665="","",M665))</f>
        <v/>
      </c>
      <c r="AU665" s="136" t="str">
        <f>IF(AH632="","",IF(N665="","",N665))</f>
        <v/>
      </c>
      <c r="AV665" s="136" t="str">
        <f>IF(AH632="","",IF(O665="","",O665))</f>
        <v/>
      </c>
      <c r="AX665" s="136" t="str">
        <f>IF(AI632="","",IF(B665="","",B665))</f>
        <v/>
      </c>
      <c r="AY665" s="136" t="str">
        <f>IF(AI632="","",IF(C665="","",C665))</f>
        <v/>
      </c>
      <c r="AZ665" s="136" t="str">
        <f>IF(AI632="","",IF(D665="","",D665))</f>
        <v/>
      </c>
      <c r="BA665" s="136" t="str">
        <f>IF(AI632="","",IF(E665="","",E665))</f>
        <v/>
      </c>
      <c r="BB665" s="136" t="str">
        <f>IF(AI632="","",IF(F665="","",F665))</f>
        <v/>
      </c>
      <c r="BC665" s="136" t="str">
        <f>IF(AI632="","",IF(G665="","",G665))</f>
        <v/>
      </c>
      <c r="BD665" s="136" t="str">
        <f>IF(AI632="","",IF(H665="","",H665))</f>
        <v/>
      </c>
      <c r="BE665" s="136" t="str">
        <f>IF(AI632="","",IF(I665="","",I665))</f>
        <v/>
      </c>
      <c r="BF665" s="136" t="str">
        <f>IF(AI632="","",IF(J665="","",J665))</f>
        <v/>
      </c>
      <c r="BG665" s="136" t="str">
        <f>IF(AI632="","",IF(K665="","",K665))</f>
        <v/>
      </c>
      <c r="BH665" s="136" t="str">
        <f>IF(AI632="","",IF(L665="","",L665))</f>
        <v/>
      </c>
      <c r="BI665" s="136" t="str">
        <f>IF(AI632="","",IF(M665="","",M665))</f>
        <v/>
      </c>
      <c r="BJ665" s="136" t="str">
        <f>IF(AI632="","",IF(N665="","",N665))</f>
        <v/>
      </c>
      <c r="BK665" s="136" t="str">
        <f>IF(AI632="","",IF(O665="","",O665))</f>
        <v/>
      </c>
      <c r="BM665" s="136" t="str">
        <f>BO665</f>
        <v>AT</v>
      </c>
      <c r="BN665" s="136" t="str">
        <f t="shared" si="370"/>
        <v>Aulas Teóricas</v>
      </c>
      <c r="BO665" s="136" t="str">
        <f t="shared" si="370"/>
        <v>AT</v>
      </c>
      <c r="BP665" s="136">
        <f>COUNTIFS(AX636:BK683,BO665)*0.5</f>
        <v>0</v>
      </c>
      <c r="BQ665" s="136" t="str">
        <f t="shared" si="371"/>
        <v>Aulas Teóricas</v>
      </c>
      <c r="BR665" s="136" t="str">
        <f t="shared" si="371"/>
        <v>AT</v>
      </c>
      <c r="BS665" s="136" t="str">
        <f t="shared" si="372"/>
        <v>Aulas Teóricas</v>
      </c>
      <c r="BT665" s="136">
        <f t="shared" si="378"/>
        <v>120</v>
      </c>
      <c r="BU665" s="136">
        <f t="shared" si="379"/>
        <v>120</v>
      </c>
      <c r="CA665" s="136">
        <f>'INFO BASE'!L744</f>
        <v>0</v>
      </c>
      <c r="CB665" s="136">
        <f>'INFO BASE'!M744</f>
        <v>0</v>
      </c>
      <c r="CR665" s="177">
        <f t="shared" si="360"/>
        <v>1</v>
      </c>
      <c r="CS665" s="177">
        <f t="shared" si="361"/>
        <v>1</v>
      </c>
      <c r="CT665" s="177">
        <f t="shared" si="360"/>
        <v>1</v>
      </c>
      <c r="CU665" s="177">
        <f t="shared" si="362"/>
        <v>1</v>
      </c>
      <c r="CV665" s="177">
        <f t="shared" si="360"/>
        <v>1</v>
      </c>
      <c r="CW665" s="177">
        <f t="shared" si="363"/>
        <v>1</v>
      </c>
      <c r="CX665" s="177">
        <f t="shared" si="360"/>
        <v>1</v>
      </c>
      <c r="CY665" s="177">
        <f t="shared" si="364"/>
        <v>1</v>
      </c>
      <c r="CZ665" s="177">
        <f t="shared" si="360"/>
        <v>1</v>
      </c>
      <c r="DA665" s="177">
        <f t="shared" si="365"/>
        <v>1</v>
      </c>
      <c r="DB665" s="177">
        <f t="shared" si="360"/>
        <v>1</v>
      </c>
      <c r="DC665" s="177">
        <f t="shared" si="366"/>
        <v>1</v>
      </c>
      <c r="DD665" s="177">
        <f t="shared" si="367"/>
        <v>1</v>
      </c>
      <c r="DE665" s="177">
        <f t="shared" si="368"/>
        <v>1</v>
      </c>
    </row>
    <row r="666" spans="1:109" ht="18" customHeight="1" x14ac:dyDescent="0.3">
      <c r="A666" s="81">
        <v>0.62500000000001998</v>
      </c>
      <c r="B666" s="153"/>
      <c r="C666" s="130"/>
      <c r="D666" s="135"/>
      <c r="E666" s="130"/>
      <c r="F666" s="135"/>
      <c r="G666" s="130"/>
      <c r="H666" s="135"/>
      <c r="I666" s="130"/>
      <c r="J666" s="135"/>
      <c r="K666" s="130"/>
      <c r="L666" s="135"/>
      <c r="M666" s="130"/>
      <c r="N666" s="135"/>
      <c r="O666" s="154"/>
      <c r="P666" s="6">
        <v>0</v>
      </c>
      <c r="Q666" s="118" t="str">
        <f t="shared" si="383"/>
        <v>Trabalho de Grupo</v>
      </c>
      <c r="R666" s="105" t="str">
        <f t="shared" si="377"/>
        <v>CDI</v>
      </c>
      <c r="S666" s="88">
        <f t="shared" si="374"/>
        <v>-1</v>
      </c>
      <c r="T666" s="89">
        <f>IF(VLOOKUP(Q666,'INFO BASE'!$B$40:$I$54,IF(R666='INFO BASE'!$B$32,3,IF(R666='INFO BASE'!$B$33,4,IF(R666='INFO BASE'!$B$34,5,IF(R666='INFO BASE'!$B$35,6,IF(R666='INFO BASE'!$B$36,7,IF(R666='INFO BASE'!$B$37,8,2)))))),0)=0,"",VLOOKUP(Q666,'INFO BASE'!$B$40:$I$54,IF(R666='INFO BASE'!$B$32,3,IF(R666='INFO BASE'!$B$33,4,IF(R666='INFO BASE'!$B$34,5,IF(R666='INFO BASE'!$B$35,6,IF(R666='INFO BASE'!$B$36,7,IF(R666='INFO BASE'!$B$37,8,2)))))),0))</f>
        <v>3</v>
      </c>
      <c r="U666" s="89">
        <f>(COUNTIFS(C636:C683,R666,B636:B683,R661)+COUNTIFS(E636:E683,R666,D636:D683,R661)+COUNTIFS(G636:G683,R666,F636:F683,R661)+COUNTIFS(I636:I683,R666,H636:H683,R661)+COUNTIFS(K636:K683,R666,J636:J683,R661)+COUNTIFS(M636:M683,R666,L636:L683,R661)+COUNTIFS(O636:O683,R666,N636:N683,R661))*0.5</f>
        <v>0</v>
      </c>
      <c r="V666" s="89">
        <f>(COUNTIFS(AI636:AI683,R661,AJ636:AJ683,R659)+COUNTIFS(AK636:AK683,R661,AL636:AL683,R659)+COUNTIFS(AM636:AM683,R661,AN636:AN683,R659)+COUNTIFS(AO636:AO683,R661,AP636:AP683,R659)+COUNTIFS(AQ636:AQ683,R661,AR636:AR683,R659)+COUNTIFS(AS636:AS683,R661,AT636:AT683,R659)+COUNTIFS(AU636:AU683,R661,AV636:AV683,R659))*0.5</f>
        <v>0</v>
      </c>
      <c r="W666" s="90" t="str">
        <f>IF(AH632="","-",IF(V666=0,U666,IFERROR((U666/V666)-1,"-")))</f>
        <v>-</v>
      </c>
      <c r="X666" s="201">
        <f t="shared" si="375"/>
        <v>0</v>
      </c>
      <c r="Y666" s="271"/>
      <c r="Z666" s="272"/>
      <c r="AA666" s="272"/>
      <c r="AB666" s="272"/>
      <c r="AC666" s="272"/>
      <c r="AD666" s="272"/>
      <c r="AE666" s="272"/>
      <c r="AF666" s="273"/>
      <c r="AH666" s="136">
        <v>0.62500000000001998</v>
      </c>
      <c r="AI666" s="136" t="str">
        <f>IF(AH632="","",IF(B666="","",B666))</f>
        <v/>
      </c>
      <c r="AJ666" s="136" t="str">
        <f>IF(AH632="","",IF(C666="","",C666))</f>
        <v/>
      </c>
      <c r="AK666" s="136" t="str">
        <f>IF(AH632="","",IF(D666="","",D666))</f>
        <v/>
      </c>
      <c r="AL666" s="136" t="str">
        <f>IF(AH632="","",IF(E666="","",E666))</f>
        <v/>
      </c>
      <c r="AM666" s="136" t="str">
        <f>IF(AH632="","",IF(F666="","",F666))</f>
        <v/>
      </c>
      <c r="AN666" s="136" t="str">
        <f>IF(AH632="","",IF(G666="","",G666))</f>
        <v/>
      </c>
      <c r="AO666" s="136" t="str">
        <f>IF(AH632="","",IF(H666="","",H666))</f>
        <v/>
      </c>
      <c r="AP666" s="136" t="str">
        <f>IF(AH632="","",IF(I666="","",I666))</f>
        <v/>
      </c>
      <c r="AQ666" s="136" t="str">
        <f>IF(AH632="","",IF(J666="","",J666))</f>
        <v/>
      </c>
      <c r="AR666" s="136" t="str">
        <f>IF(AH632="","",IF(K666="","",K666))</f>
        <v/>
      </c>
      <c r="AS666" s="136" t="str">
        <f>IF(AH632="","",IF(L666="","",L666))</f>
        <v/>
      </c>
      <c r="AT666" s="136" t="str">
        <f>IF(AH632="","",IF(M666="","",M666))</f>
        <v/>
      </c>
      <c r="AU666" s="136" t="str">
        <f>IF(AH632="","",IF(N666="","",N666))</f>
        <v/>
      </c>
      <c r="AV666" s="136" t="str">
        <f>IF(AH632="","",IF(O666="","",O666))</f>
        <v/>
      </c>
      <c r="AX666" s="136" t="str">
        <f>IF(AI632="","",IF(B666="","",B666))</f>
        <v/>
      </c>
      <c r="AY666" s="136" t="str">
        <f>IF(AI632="","",IF(C666="","",C666))</f>
        <v/>
      </c>
      <c r="AZ666" s="136" t="str">
        <f>IF(AI632="","",IF(D666="","",D666))</f>
        <v/>
      </c>
      <c r="BA666" s="136" t="str">
        <f>IF(AI632="","",IF(E666="","",E666))</f>
        <v/>
      </c>
      <c r="BB666" s="136" t="str">
        <f>IF(AI632="","",IF(F666="","",F666))</f>
        <v/>
      </c>
      <c r="BC666" s="136" t="str">
        <f>IF(AI632="","",IF(G666="","",G666))</f>
        <v/>
      </c>
      <c r="BD666" s="136" t="str">
        <f>IF(AI632="","",IF(H666="","",H666))</f>
        <v/>
      </c>
      <c r="BE666" s="136" t="str">
        <f>IF(AI632="","",IF(I666="","",I666))</f>
        <v/>
      </c>
      <c r="BF666" s="136" t="str">
        <f>IF(AI632="","",IF(J666="","",J666))</f>
        <v/>
      </c>
      <c r="BG666" s="136" t="str">
        <f>IF(AI632="","",IF(K666="","",K666))</f>
        <v/>
      </c>
      <c r="BH666" s="136" t="str">
        <f>IF(AI632="","",IF(L666="","",L666))</f>
        <v/>
      </c>
      <c r="BI666" s="136" t="str">
        <f>IF(AI632="","",IF(M666="","",M666))</f>
        <v/>
      </c>
      <c r="BJ666" s="136" t="str">
        <f>IF(AI632="","",IF(N666="","",N666))</f>
        <v/>
      </c>
      <c r="BK666" s="136" t="str">
        <f>IF(AI632="","",IF(O666="","",O666))</f>
        <v/>
      </c>
      <c r="BM666" s="136" t="str">
        <f>BM665</f>
        <v>AT</v>
      </c>
      <c r="BN666" s="136" t="str">
        <f t="shared" si="370"/>
        <v>Aulas Teóricas</v>
      </c>
      <c r="BO666" s="136" t="str">
        <f t="shared" si="370"/>
        <v>FP</v>
      </c>
      <c r="BP666" s="136">
        <f>(COUNTIFS(AX636:AX683,BM666,AY636:AY683,BO666)+COUNTIFS(AZ636:AZ683,BM666,BA636:BA683,BO666)+COUNTIFS(BB636:BB683,BM666,BC636:BC683,BO666)+COUNTIFS(BD636:BD683,BM666,BE636:BE683,BO666)+COUNTIFS(BF636:BF683,BM666,BG636:BG683,BO666)+COUNTIFS(BH636:BH683,BM666,BI636:BI683,BO666)+COUNTIFS(BJ636:BJ683,BM666,BK636:BK683,BO666))*0.5</f>
        <v>0</v>
      </c>
      <c r="BQ666" s="136" t="str">
        <f t="shared" si="371"/>
        <v>Aulas Teóricas</v>
      </c>
      <c r="BR666" s="136" t="str">
        <f t="shared" si="371"/>
        <v>FP</v>
      </c>
      <c r="BS666" s="136" t="str">
        <f t="shared" si="372"/>
        <v>Aulas Teóricas</v>
      </c>
      <c r="BT666" s="136">
        <f t="shared" si="378"/>
        <v>24</v>
      </c>
      <c r="BU666" s="136">
        <f t="shared" si="379"/>
        <v>24</v>
      </c>
      <c r="CR666" s="177">
        <f t="shared" si="360"/>
        <v>1</v>
      </c>
      <c r="CS666" s="177">
        <f t="shared" si="361"/>
        <v>1</v>
      </c>
      <c r="CT666" s="177">
        <f t="shared" si="360"/>
        <v>1</v>
      </c>
      <c r="CU666" s="177">
        <f t="shared" si="362"/>
        <v>1</v>
      </c>
      <c r="CV666" s="177">
        <f t="shared" si="360"/>
        <v>1</v>
      </c>
      <c r="CW666" s="177">
        <f t="shared" si="363"/>
        <v>1</v>
      </c>
      <c r="CX666" s="177">
        <f t="shared" si="360"/>
        <v>1</v>
      </c>
      <c r="CY666" s="177">
        <f t="shared" si="364"/>
        <v>1</v>
      </c>
      <c r="CZ666" s="177">
        <f t="shared" si="360"/>
        <v>1</v>
      </c>
      <c r="DA666" s="177">
        <f t="shared" si="365"/>
        <v>1</v>
      </c>
      <c r="DB666" s="177">
        <f t="shared" si="360"/>
        <v>1</v>
      </c>
      <c r="DC666" s="177">
        <f t="shared" si="366"/>
        <v>1</v>
      </c>
      <c r="DD666" s="177">
        <f t="shared" si="367"/>
        <v>1</v>
      </c>
      <c r="DE666" s="177">
        <f t="shared" si="368"/>
        <v>1</v>
      </c>
    </row>
    <row r="667" spans="1:109" ht="18" customHeight="1" thickBot="1" x14ac:dyDescent="0.35">
      <c r="A667" s="81">
        <v>0.64583333333335402</v>
      </c>
      <c r="B667" s="153"/>
      <c r="C667" s="130"/>
      <c r="D667" s="135"/>
      <c r="E667" s="130"/>
      <c r="F667" s="135"/>
      <c r="G667" s="130"/>
      <c r="H667" s="135"/>
      <c r="I667" s="130"/>
      <c r="J667" s="135"/>
      <c r="K667" s="130"/>
      <c r="L667" s="135"/>
      <c r="M667" s="130"/>
      <c r="N667" s="135"/>
      <c r="O667" s="154"/>
      <c r="P667" s="6">
        <v>0</v>
      </c>
      <c r="Q667" s="120" t="str">
        <f t="shared" si="383"/>
        <v>Trabalho de Grupo</v>
      </c>
      <c r="R667" s="107" t="str">
        <f t="shared" si="377"/>
        <v/>
      </c>
      <c r="S667" s="94" t="str">
        <f t="shared" si="374"/>
        <v>-</v>
      </c>
      <c r="T667" s="95" t="str">
        <f>IF(VLOOKUP(Q667,'INFO BASE'!$B$40:$I$54,IF(R667='INFO BASE'!$B$32,3,IF(R667='INFO BASE'!$B$33,4,IF(R667='INFO BASE'!$B$34,5,IF(R667='INFO BASE'!$B$35,6,IF(R667='INFO BASE'!$B$36,7,IF(R667='INFO BASE'!$B$37,8,2)))))),0)=0,"",VLOOKUP(Q667,'INFO BASE'!$B$40:$I$54,IF(R667='INFO BASE'!$B$32,3,IF(R667='INFO BASE'!$B$33,4,IF(R667='INFO BASE'!$B$34,5,IF(R667='INFO BASE'!$B$35,6,IF(R667='INFO BASE'!$B$36,7,IF(R667='INFO BASE'!$B$37,8,2)))))),0))</f>
        <v/>
      </c>
      <c r="U667" s="95">
        <f>(COUNTIFS(C636:C683,R667,B636:B683,R661)+COUNTIFS(E636:E683,R667,D636:D683,R661)+COUNTIFS(G636:G683,R667,F636:F683,R661)+COUNTIFS(I636:I683,R667,H636:H683,R661)+COUNTIFS(K636:K683,R667,J636:J683,R661)+COUNTIFS(M636:M683,R667,L636:L683,R661)+COUNTIFS(O636:O683,R667,N636:N683,R661))*0.5</f>
        <v>0</v>
      </c>
      <c r="V667" s="95">
        <f>(COUNTIFS(AI636:AI683,R661,AJ636:AJ683,R660)+COUNTIFS(AK636:AK683,R661,AL636:AL683,R660)+COUNTIFS(AM636:AM683,R661,AN636:AN683,R660)+COUNTIFS(AO636:AO683,R661,AP636:AP683,R660)+COUNTIFS(AQ636:AQ683,R661,AR636:AR683,R660)+COUNTIFS(AS636:AS683,R661,AT636:AT683,R660)+COUNTIFS(AU636:AU683,R661,AV636:AV683,R660))*0.5</f>
        <v>0</v>
      </c>
      <c r="W667" s="96" t="str">
        <f>IF(AH632="","-",IF(V667=0,U667,IFERROR((U667/V667)-1,"-")))</f>
        <v>-</v>
      </c>
      <c r="X667" s="201">
        <f t="shared" si="375"/>
        <v>0</v>
      </c>
      <c r="Y667" s="274"/>
      <c r="Z667" s="275"/>
      <c r="AA667" s="275"/>
      <c r="AB667" s="275"/>
      <c r="AC667" s="275"/>
      <c r="AD667" s="275"/>
      <c r="AE667" s="275"/>
      <c r="AF667" s="276"/>
      <c r="AH667" s="136">
        <v>0.64583333333335402</v>
      </c>
      <c r="AI667" s="136" t="str">
        <f>IF(AH632="","",IF(B667="","",B667))</f>
        <v/>
      </c>
      <c r="AJ667" s="136" t="str">
        <f>IF(AH632="","",IF(C667="","",C667))</f>
        <v/>
      </c>
      <c r="AK667" s="136" t="str">
        <f>IF(AH632="","",IF(D667="","",D667))</f>
        <v/>
      </c>
      <c r="AL667" s="136" t="str">
        <f>IF(AH632="","",IF(E667="","",E667))</f>
        <v/>
      </c>
      <c r="AM667" s="136" t="str">
        <f>IF(AH632="","",IF(F667="","",F667))</f>
        <v/>
      </c>
      <c r="AN667" s="136" t="str">
        <f>IF(AH632="","",IF(G667="","",G667))</f>
        <v/>
      </c>
      <c r="AO667" s="136" t="str">
        <f>IF(AH632="","",IF(H667="","",H667))</f>
        <v/>
      </c>
      <c r="AP667" s="136" t="str">
        <f>IF(AH632="","",IF(I667="","",I667))</f>
        <v/>
      </c>
      <c r="AQ667" s="136" t="str">
        <f>IF(AH632="","",IF(J667="","",J667))</f>
        <v/>
      </c>
      <c r="AR667" s="136" t="str">
        <f>IF(AH632="","",IF(K667="","",K667))</f>
        <v/>
      </c>
      <c r="AS667" s="136" t="str">
        <f>IF(AH632="","",IF(L667="","",L667))</f>
        <v/>
      </c>
      <c r="AT667" s="136" t="str">
        <f>IF(AH632="","",IF(M667="","",M667))</f>
        <v/>
      </c>
      <c r="AU667" s="136" t="str">
        <f>IF(AH632="","",IF(N667="","",N667))</f>
        <v/>
      </c>
      <c r="AV667" s="136" t="str">
        <f>IF(AH632="","",IF(O667="","",O667))</f>
        <v/>
      </c>
      <c r="AX667" s="136" t="str">
        <f>IF(AI632="","",IF(B667="","",B667))</f>
        <v/>
      </c>
      <c r="AY667" s="136" t="str">
        <f>IF(AI632="","",IF(C667="","",C667))</f>
        <v/>
      </c>
      <c r="AZ667" s="136" t="str">
        <f>IF(AI632="","",IF(D667="","",D667))</f>
        <v/>
      </c>
      <c r="BA667" s="136" t="str">
        <f>IF(AI632="","",IF(E667="","",E667))</f>
        <v/>
      </c>
      <c r="BB667" s="136" t="str">
        <f>IF(AI632="","",IF(F667="","",F667))</f>
        <v/>
      </c>
      <c r="BC667" s="136" t="str">
        <f>IF(AI632="","",IF(G667="","",G667))</f>
        <v/>
      </c>
      <c r="BD667" s="136" t="str">
        <f>IF(AI632="","",IF(H667="","",H667))</f>
        <v/>
      </c>
      <c r="BE667" s="136" t="str">
        <f>IF(AI632="","",IF(I667="","",I667))</f>
        <v/>
      </c>
      <c r="BF667" s="136" t="str">
        <f>IF(AI632="","",IF(J667="","",J667))</f>
        <v/>
      </c>
      <c r="BG667" s="136" t="str">
        <f>IF(AI632="","",IF(K667="","",K667))</f>
        <v/>
      </c>
      <c r="BH667" s="136" t="str">
        <f>IF(AI632="","",IF(L667="","",L667))</f>
        <v/>
      </c>
      <c r="BI667" s="136" t="str">
        <f>IF(AI632="","",IF(M667="","",M667))</f>
        <v/>
      </c>
      <c r="BJ667" s="136" t="str">
        <f>IF(AI632="","",IF(N667="","",N667))</f>
        <v/>
      </c>
      <c r="BK667" s="136" t="str">
        <f>IF(AI632="","",IF(O667="","",O667))</f>
        <v/>
      </c>
      <c r="BM667" s="136" t="str">
        <f t="shared" ref="BM667:BM671" si="384">BM666</f>
        <v>AT</v>
      </c>
      <c r="BN667" s="136" t="str">
        <f t="shared" si="370"/>
        <v>Aulas Teóricas</v>
      </c>
      <c r="BO667" s="136" t="str">
        <f t="shared" si="370"/>
        <v>IEI</v>
      </c>
      <c r="BP667" s="136">
        <f>(COUNTIFS(AX636:AX683,BM667,AY636:AY683,BO667)+COUNTIFS(AZ636:AZ683,BM667,BA636:BA683,BO667)+COUNTIFS(BB636:BB683,BM667,BC636:BC683,BO667)+COUNTIFS(BD636:BD683,BM667,BE636:BE683,BO667)+COUNTIFS(BF636:BF683,BM667,BG636:BG683,BO667)+COUNTIFS(BH636:BH683,BM667,BI636:BI683,BO667)+COUNTIFS(BJ636:BJ683,BM667,BK636:BK683,BO667))*0.5</f>
        <v>0</v>
      </c>
      <c r="BQ667" s="136" t="str">
        <f t="shared" si="371"/>
        <v>Aulas Teóricas</v>
      </c>
      <c r="BR667" s="136" t="str">
        <f t="shared" si="371"/>
        <v>IEI</v>
      </c>
      <c r="BS667" s="136" t="str">
        <f t="shared" si="372"/>
        <v>Aulas Teóricas</v>
      </c>
      <c r="BT667" s="136">
        <f t="shared" si="378"/>
        <v>24</v>
      </c>
      <c r="BU667" s="136">
        <f t="shared" si="379"/>
        <v>24</v>
      </c>
      <c r="CA667" s="136">
        <f>'INFO BASE'!L745</f>
        <v>0</v>
      </c>
      <c r="CB667" s="136">
        <f>'INFO BASE'!M745</f>
        <v>0</v>
      </c>
      <c r="CR667" s="177">
        <f t="shared" si="360"/>
        <v>1</v>
      </c>
      <c r="CS667" s="177">
        <f t="shared" si="361"/>
        <v>1</v>
      </c>
      <c r="CT667" s="177">
        <f t="shared" si="360"/>
        <v>1</v>
      </c>
      <c r="CU667" s="177">
        <f t="shared" si="362"/>
        <v>1</v>
      </c>
      <c r="CV667" s="177">
        <f t="shared" si="360"/>
        <v>1</v>
      </c>
      <c r="CW667" s="177">
        <f t="shared" si="363"/>
        <v>1</v>
      </c>
      <c r="CX667" s="177">
        <f t="shared" si="360"/>
        <v>1</v>
      </c>
      <c r="CY667" s="177">
        <f t="shared" si="364"/>
        <v>1</v>
      </c>
      <c r="CZ667" s="177">
        <f t="shared" si="360"/>
        <v>1</v>
      </c>
      <c r="DA667" s="177">
        <f t="shared" si="365"/>
        <v>1</v>
      </c>
      <c r="DB667" s="177">
        <f t="shared" si="360"/>
        <v>1</v>
      </c>
      <c r="DC667" s="177">
        <f t="shared" si="366"/>
        <v>1</v>
      </c>
      <c r="DD667" s="177">
        <f t="shared" si="367"/>
        <v>1</v>
      </c>
      <c r="DE667" s="177">
        <f t="shared" si="368"/>
        <v>1</v>
      </c>
    </row>
    <row r="668" spans="1:109" ht="18" customHeight="1" x14ac:dyDescent="0.3">
      <c r="A668" s="81">
        <v>0.66666666666668795</v>
      </c>
      <c r="B668" s="153"/>
      <c r="C668" s="130"/>
      <c r="D668" s="135"/>
      <c r="E668" s="130"/>
      <c r="F668" s="135"/>
      <c r="G668" s="130"/>
      <c r="H668" s="135"/>
      <c r="I668" s="130"/>
      <c r="J668" s="135"/>
      <c r="K668" s="130"/>
      <c r="L668" s="135"/>
      <c r="M668" s="130"/>
      <c r="N668" s="135"/>
      <c r="O668" s="154"/>
      <c r="P668" s="6">
        <v>0</v>
      </c>
      <c r="Q668" s="121" t="str">
        <f>IF('INFO BASE'!$C$20="","",'INFO BASE'!$C$20)</f>
        <v>Aulas Teóricas</v>
      </c>
      <c r="R668" s="82" t="str">
        <f t="shared" si="377"/>
        <v>AT</v>
      </c>
      <c r="S668" s="83">
        <f t="shared" si="374"/>
        <v>-1</v>
      </c>
      <c r="T668" s="84">
        <f>IF(VLOOKUP(Q668,'INFO BASE'!$B$40:$I$54,IF(R668='INFO BASE'!$B$32,3,IF(R668='INFO BASE'!$B$33,4,IF(R668='INFO BASE'!$B$34,5,IF(R668='INFO BASE'!$B$35,6,IF(R668='INFO BASE'!$B$36,7,IF(R668='INFO BASE'!$B$37,8,2)))))),0)=0,"",VLOOKUP(Q668,'INFO BASE'!$B$40:$I$54,IF(R668='INFO BASE'!$B$32,3,IF(R668='INFO BASE'!$B$33,4,IF(R668='INFO BASE'!$B$34,5,IF(R668='INFO BASE'!$B$35,6,IF(R668='INFO BASE'!$B$36,7,IF(R668='INFO BASE'!$B$37,8,2)))))),0))</f>
        <v>15</v>
      </c>
      <c r="U668" s="84">
        <f>IF(R668="","",COUNTIFS(SEMANA12,R668)*0.5)</f>
        <v>0</v>
      </c>
      <c r="V668" s="84">
        <f>IF(R668="","",COUNTIFS(AI636:AV683,R668)*0.5)</f>
        <v>0</v>
      </c>
      <c r="W668" s="85" t="str">
        <f>IF(AH632="","-",IF(V668=0,U668,IFERROR((U668/V668)-1,"-")))</f>
        <v>-</v>
      </c>
      <c r="X668" s="201">
        <f t="shared" si="375"/>
        <v>0</v>
      </c>
      <c r="Y668" s="277"/>
      <c r="Z668" s="278"/>
      <c r="AA668" s="278"/>
      <c r="AB668" s="278"/>
      <c r="AC668" s="278"/>
      <c r="AD668" s="278"/>
      <c r="AE668" s="278"/>
      <c r="AF668" s="279"/>
      <c r="AH668" s="136">
        <v>0.66666666666668795</v>
      </c>
      <c r="AI668" s="136" t="str">
        <f>IF(AH632="","",IF(B668="","",B668))</f>
        <v/>
      </c>
      <c r="AJ668" s="136" t="str">
        <f>IF(AH632="","",IF(C668="","",C668))</f>
        <v/>
      </c>
      <c r="AK668" s="136" t="str">
        <f>IF(AH632="","",IF(D668="","",D668))</f>
        <v/>
      </c>
      <c r="AL668" s="136" t="str">
        <f>IF(AH632="","",IF(E668="","",E668))</f>
        <v/>
      </c>
      <c r="AM668" s="136" t="str">
        <f>IF(AH632="","",IF(F668="","",F668))</f>
        <v/>
      </c>
      <c r="AN668" s="136" t="str">
        <f>IF(AH632="","",IF(G668="","",G668))</f>
        <v/>
      </c>
      <c r="AO668" s="136" t="str">
        <f>IF(AH632="","",IF(H668="","",H668))</f>
        <v/>
      </c>
      <c r="AP668" s="136" t="str">
        <f>IF(AH632="","",IF(I668="","",I668))</f>
        <v/>
      </c>
      <c r="AQ668" s="136" t="str">
        <f>IF(AH632="","",IF(J668="","",J668))</f>
        <v/>
      </c>
      <c r="AR668" s="136" t="str">
        <f>IF(AH632="","",IF(K668="","",K668))</f>
        <v/>
      </c>
      <c r="AS668" s="136" t="str">
        <f>IF(AH632="","",IF(L668="","",L668))</f>
        <v/>
      </c>
      <c r="AT668" s="136" t="str">
        <f>IF(AH632="","",IF(M668="","",M668))</f>
        <v/>
      </c>
      <c r="AU668" s="136" t="str">
        <f>IF(AH632="","",IF(N668="","",N668))</f>
        <v/>
      </c>
      <c r="AV668" s="136" t="str">
        <f>IF(AH632="","",IF(O668="","",O668))</f>
        <v/>
      </c>
      <c r="AX668" s="136" t="str">
        <f>IF(AI632="","",IF(B668="","",B668))</f>
        <v/>
      </c>
      <c r="AY668" s="136" t="str">
        <f>IF(AI632="","",IF(C668="","",C668))</f>
        <v/>
      </c>
      <c r="AZ668" s="136" t="str">
        <f>IF(AI632="","",IF(D668="","",D668))</f>
        <v/>
      </c>
      <c r="BA668" s="136" t="str">
        <f>IF(AI632="","",IF(E668="","",E668))</f>
        <v/>
      </c>
      <c r="BB668" s="136" t="str">
        <f>IF(AI632="","",IF(F668="","",F668))</f>
        <v/>
      </c>
      <c r="BC668" s="136" t="str">
        <f>IF(AI632="","",IF(G668="","",G668))</f>
        <v/>
      </c>
      <c r="BD668" s="136" t="str">
        <f>IF(AI632="","",IF(H668="","",H668))</f>
        <v/>
      </c>
      <c r="BE668" s="136" t="str">
        <f>IF(AI632="","",IF(I668="","",I668))</f>
        <v/>
      </c>
      <c r="BF668" s="136" t="str">
        <f>IF(AI632="","",IF(J668="","",J668))</f>
        <v/>
      </c>
      <c r="BG668" s="136" t="str">
        <f>IF(AI632="","",IF(K668="","",K668))</f>
        <v/>
      </c>
      <c r="BH668" s="136" t="str">
        <f>IF(AI632="","",IF(L668="","",L668))</f>
        <v/>
      </c>
      <c r="BI668" s="136" t="str">
        <f>IF(AI632="","",IF(M668="","",M668))</f>
        <v/>
      </c>
      <c r="BJ668" s="136" t="str">
        <f>IF(AI632="","",IF(N668="","",N668))</f>
        <v/>
      </c>
      <c r="BK668" s="136" t="str">
        <f>IF(AI632="","",IF(O668="","",O668))</f>
        <v/>
      </c>
      <c r="BM668" s="136" t="str">
        <f t="shared" si="384"/>
        <v>AT</v>
      </c>
      <c r="BN668" s="136" t="str">
        <f t="shared" si="370"/>
        <v>Aulas Teóricas</v>
      </c>
      <c r="BO668" s="136" t="str">
        <f t="shared" si="370"/>
        <v>IAC</v>
      </c>
      <c r="BP668" s="136">
        <f>(COUNTIFS(AX636:AX683,BM668,AY636:AY683,BO668)+COUNTIFS(AZ636:AZ683,BM668,BA636:BA683,BO668)+COUNTIFS(BB636:BB683,BM668,BC636:BC683,BO668)+COUNTIFS(BD636:BD683,BM668,BE636:BE683,BO668)+COUNTIFS(BF636:BF683,BM668,BG636:BG683,BO668)+COUNTIFS(BH636:BH683,BM668,BI636:BI683,BO668)+COUNTIFS(BJ636:BJ683,BM668,BK636:BK683,BO668))*0.5</f>
        <v>0</v>
      </c>
      <c r="BQ668" s="136" t="str">
        <f t="shared" si="371"/>
        <v>Aulas Teóricas</v>
      </c>
      <c r="BR668" s="136" t="str">
        <f t="shared" si="371"/>
        <v>IAC</v>
      </c>
      <c r="BS668" s="136" t="str">
        <f t="shared" si="372"/>
        <v>Aulas Teóricas</v>
      </c>
      <c r="BT668" s="136">
        <f t="shared" si="378"/>
        <v>24</v>
      </c>
      <c r="BU668" s="136">
        <f t="shared" si="379"/>
        <v>24</v>
      </c>
      <c r="CA668" s="136">
        <f>'INFO BASE'!L746</f>
        <v>0</v>
      </c>
      <c r="CB668" s="136">
        <f>'INFO BASE'!M746</f>
        <v>0</v>
      </c>
      <c r="CR668" s="177">
        <f t="shared" si="360"/>
        <v>1</v>
      </c>
      <c r="CS668" s="177">
        <f t="shared" si="361"/>
        <v>1</v>
      </c>
      <c r="CT668" s="177">
        <f t="shared" si="360"/>
        <v>1</v>
      </c>
      <c r="CU668" s="177">
        <f t="shared" si="362"/>
        <v>1</v>
      </c>
      <c r="CV668" s="177">
        <f t="shared" si="360"/>
        <v>1</v>
      </c>
      <c r="CW668" s="177">
        <f t="shared" si="363"/>
        <v>1</v>
      </c>
      <c r="CX668" s="177">
        <f t="shared" si="360"/>
        <v>1</v>
      </c>
      <c r="CY668" s="177">
        <f t="shared" si="364"/>
        <v>1</v>
      </c>
      <c r="CZ668" s="177">
        <f t="shared" si="360"/>
        <v>1</v>
      </c>
      <c r="DA668" s="177">
        <f t="shared" si="365"/>
        <v>1</v>
      </c>
      <c r="DB668" s="177">
        <f t="shared" si="360"/>
        <v>1</v>
      </c>
      <c r="DC668" s="177">
        <f t="shared" si="366"/>
        <v>1</v>
      </c>
      <c r="DD668" s="177">
        <f t="shared" si="367"/>
        <v>1</v>
      </c>
      <c r="DE668" s="177">
        <f t="shared" si="368"/>
        <v>1</v>
      </c>
    </row>
    <row r="669" spans="1:109" ht="18" customHeight="1" x14ac:dyDescent="0.3">
      <c r="A669" s="81">
        <v>0.68750000000002198</v>
      </c>
      <c r="B669" s="153"/>
      <c r="C669" s="130"/>
      <c r="D669" s="135"/>
      <c r="E669" s="130"/>
      <c r="F669" s="135"/>
      <c r="G669" s="130"/>
      <c r="H669" s="135"/>
      <c r="I669" s="130"/>
      <c r="J669" s="135"/>
      <c r="K669" s="130"/>
      <c r="L669" s="135"/>
      <c r="M669" s="130"/>
      <c r="N669" s="135"/>
      <c r="O669" s="154"/>
      <c r="P669" s="6">
        <v>0</v>
      </c>
      <c r="Q669" s="122" t="str">
        <f t="shared" ref="Q669:Q674" si="385">Q668</f>
        <v>Aulas Teóricas</v>
      </c>
      <c r="R669" s="105" t="str">
        <f t="shared" si="377"/>
        <v>FP</v>
      </c>
      <c r="S669" s="88">
        <f t="shared" si="374"/>
        <v>-1</v>
      </c>
      <c r="T669" s="89">
        <f>IF(VLOOKUP(Q669,'INFO BASE'!$B$40:$I$54,IF(R669='INFO BASE'!$B$32,3,IF(R669='INFO BASE'!$B$33,4,IF(R669='INFO BASE'!$B$34,5,IF(R669='INFO BASE'!$B$35,6,IF(R669='INFO BASE'!$B$36,7,IF(R669='INFO BASE'!$B$37,8,2)))))),0)=0,"",VLOOKUP(Q669,'INFO BASE'!$B$40:$I$54,IF(R669='INFO BASE'!$B$32,3,IF(R669='INFO BASE'!$B$33,4,IF(R669='INFO BASE'!$B$34,5,IF(R669='INFO BASE'!$B$35,6,IF(R669='INFO BASE'!$B$36,7,IF(R669='INFO BASE'!$B$37,8,2)))))),0))</f>
        <v>3</v>
      </c>
      <c r="U669" s="89">
        <f>(COUNTIFS(C636:C683,R669,B636:B683,R668)+COUNTIFS(E636:E683,R669,D636:D683,R668)+COUNTIFS(G636:G683,R669,F636:F683,R668)+COUNTIFS(I636:I683,R669,H636:H683,R668)+COUNTIFS(K636:K683,R669,J636:J683,R668)+COUNTIFS(M636:M683,R669,L636:L683,R668)+COUNTIFS(O636:O683,R669,N636:N683,R668))*0.5</f>
        <v>0</v>
      </c>
      <c r="V669" s="89">
        <f>(COUNTIFS(AI636:AI683,R668,AJ636:AJ683,R662)+COUNTIFS(AK636:AK683,R668,AL636:AL683,R662)+COUNTIFS(AM636:AM683,R668,AN636:AN683,R662)+COUNTIFS(AO636:AO683,R668,AP636:AP683,R662)+COUNTIFS(AQ636:AQ683,R668,AR636:AR683,R662)+COUNTIFS(AS636:AS683,R668,AT636:AT683,R662)+COUNTIFS(AU636:AU683,R668,AV636:AV683,R662))*0.5</f>
        <v>0</v>
      </c>
      <c r="W669" s="90" t="str">
        <f>IF(AH632="","-",IF(V669=0,U669,IFERROR((U669/V669)-1,"-")))</f>
        <v>-</v>
      </c>
      <c r="X669" s="201">
        <f t="shared" si="375"/>
        <v>0</v>
      </c>
      <c r="Y669" s="271"/>
      <c r="Z669" s="272"/>
      <c r="AA669" s="272"/>
      <c r="AB669" s="272"/>
      <c r="AC669" s="272"/>
      <c r="AD669" s="272"/>
      <c r="AE669" s="272"/>
      <c r="AF669" s="273"/>
      <c r="AH669" s="136">
        <v>0.68750000000002198</v>
      </c>
      <c r="AI669" s="136" t="str">
        <f>IF(AH632="","",IF(B669="","",B669))</f>
        <v/>
      </c>
      <c r="AJ669" s="136" t="str">
        <f>IF(AH632="","",IF(C669="","",C669))</f>
        <v/>
      </c>
      <c r="AK669" s="136" t="str">
        <f>IF(AH632="","",IF(D669="","",D669))</f>
        <v/>
      </c>
      <c r="AL669" s="136" t="str">
        <f>IF(AH632="","",IF(E669="","",E669))</f>
        <v/>
      </c>
      <c r="AM669" s="136" t="str">
        <f>IF(AH632="","",IF(F669="","",F669))</f>
        <v/>
      </c>
      <c r="AN669" s="136" t="str">
        <f>IF(AH632="","",IF(G669="","",G669))</f>
        <v/>
      </c>
      <c r="AO669" s="136" t="str">
        <f>IF(AH632="","",IF(H669="","",H669))</f>
        <v/>
      </c>
      <c r="AP669" s="136" t="str">
        <f>IF(AH632="","",IF(I669="","",I669))</f>
        <v/>
      </c>
      <c r="AQ669" s="136" t="str">
        <f>IF(AH632="","",IF(J669="","",J669))</f>
        <v/>
      </c>
      <c r="AR669" s="136" t="str">
        <f>IF(AH632="","",IF(K669="","",K669))</f>
        <v/>
      </c>
      <c r="AS669" s="136" t="str">
        <f>IF(AH632="","",IF(L669="","",L669))</f>
        <v/>
      </c>
      <c r="AT669" s="136" t="str">
        <f>IF(AH632="","",IF(M669="","",M669))</f>
        <v/>
      </c>
      <c r="AU669" s="136" t="str">
        <f>IF(AH632="","",IF(N669="","",N669))</f>
        <v/>
      </c>
      <c r="AV669" s="136" t="str">
        <f>IF(AH632="","",IF(O669="","",O669))</f>
        <v/>
      </c>
      <c r="AX669" s="136" t="str">
        <f>IF(AI632="","",IF(B669="","",B669))</f>
        <v/>
      </c>
      <c r="AY669" s="136" t="str">
        <f>IF(AI632="","",IF(C669="","",C669))</f>
        <v/>
      </c>
      <c r="AZ669" s="136" t="str">
        <f>IF(AI632="","",IF(D669="","",D669))</f>
        <v/>
      </c>
      <c r="BA669" s="136" t="str">
        <f>IF(AI632="","",IF(E669="","",E669))</f>
        <v/>
      </c>
      <c r="BB669" s="136" t="str">
        <f>IF(AI632="","",IF(F669="","",F669))</f>
        <v/>
      </c>
      <c r="BC669" s="136" t="str">
        <f>IF(AI632="","",IF(G669="","",G669))</f>
        <v/>
      </c>
      <c r="BD669" s="136" t="str">
        <f>IF(AI632="","",IF(H669="","",H669))</f>
        <v/>
      </c>
      <c r="BE669" s="136" t="str">
        <f>IF(AI632="","",IF(I669="","",I669))</f>
        <v/>
      </c>
      <c r="BF669" s="136" t="str">
        <f>IF(AI632="","",IF(J669="","",J669))</f>
        <v/>
      </c>
      <c r="BG669" s="136" t="str">
        <f>IF(AI632="","",IF(K669="","",K669))</f>
        <v/>
      </c>
      <c r="BH669" s="136" t="str">
        <f>IF(AI632="","",IF(L669="","",L669))</f>
        <v/>
      </c>
      <c r="BI669" s="136" t="str">
        <f>IF(AI632="","",IF(M669="","",M669))</f>
        <v/>
      </c>
      <c r="BJ669" s="136" t="str">
        <f>IF(AI632="","",IF(N669="","",N669))</f>
        <v/>
      </c>
      <c r="BK669" s="136" t="str">
        <f>IF(AI632="","",IF(O669="","",O669))</f>
        <v/>
      </c>
      <c r="BM669" s="136" t="str">
        <f t="shared" si="384"/>
        <v>AT</v>
      </c>
      <c r="BN669" s="136" t="str">
        <f t="shared" si="370"/>
        <v>Aulas Teóricas</v>
      </c>
      <c r="BO669" s="136" t="str">
        <f t="shared" si="370"/>
        <v>AL</v>
      </c>
      <c r="BP669" s="136">
        <f>(COUNTIFS(AX636:AX683,BM669,AY636:AY683,BO669)+COUNTIFS(AZ636:AZ683,BM669,BA636:BA683,BO669)+COUNTIFS(BB636:BB683,BM669,BC636:BC683,BO669)+COUNTIFS(BD636:BD683,BM669,BE636:BE683,BO669)+COUNTIFS(BF636:BF683,BM669,BG636:BG683,BO669)+COUNTIFS(BH636:BH683,BM669,BI636:BI683,BO669)+COUNTIFS(BJ636:BJ683,BM669,BK636:BK683,BO669))*0.5</f>
        <v>0</v>
      </c>
      <c r="BQ669" s="136" t="str">
        <f t="shared" si="371"/>
        <v>Aulas Teóricas</v>
      </c>
      <c r="BR669" s="136" t="str">
        <f t="shared" si="371"/>
        <v>AL</v>
      </c>
      <c r="BS669" s="136" t="str">
        <f t="shared" si="372"/>
        <v>Aulas Teóricas</v>
      </c>
      <c r="BT669" s="136">
        <f t="shared" si="378"/>
        <v>24</v>
      </c>
      <c r="BU669" s="136">
        <f t="shared" si="379"/>
        <v>24</v>
      </c>
      <c r="CA669" s="136">
        <f>'INFO BASE'!L747</f>
        <v>0</v>
      </c>
      <c r="CB669" s="136">
        <f>'INFO BASE'!M747</f>
        <v>0</v>
      </c>
      <c r="CR669" s="177">
        <f t="shared" si="360"/>
        <v>1</v>
      </c>
      <c r="CS669" s="177">
        <f t="shared" si="361"/>
        <v>1</v>
      </c>
      <c r="CT669" s="177">
        <f t="shared" si="360"/>
        <v>1</v>
      </c>
      <c r="CU669" s="177">
        <f t="shared" si="362"/>
        <v>1</v>
      </c>
      <c r="CV669" s="177">
        <f t="shared" si="360"/>
        <v>1</v>
      </c>
      <c r="CW669" s="177">
        <f t="shared" si="363"/>
        <v>1</v>
      </c>
      <c r="CX669" s="177">
        <f t="shared" si="360"/>
        <v>1</v>
      </c>
      <c r="CY669" s="177">
        <f t="shared" si="364"/>
        <v>1</v>
      </c>
      <c r="CZ669" s="177">
        <f t="shared" si="360"/>
        <v>1</v>
      </c>
      <c r="DA669" s="177">
        <f t="shared" si="365"/>
        <v>1</v>
      </c>
      <c r="DB669" s="177">
        <f t="shared" si="360"/>
        <v>1</v>
      </c>
      <c r="DC669" s="177">
        <f t="shared" si="366"/>
        <v>1</v>
      </c>
      <c r="DD669" s="177">
        <f t="shared" si="367"/>
        <v>1</v>
      </c>
      <c r="DE669" s="177">
        <f t="shared" si="368"/>
        <v>1</v>
      </c>
    </row>
    <row r="670" spans="1:109" ht="18" customHeight="1" x14ac:dyDescent="0.3">
      <c r="A670" s="81">
        <v>0.70833333333335602</v>
      </c>
      <c r="B670" s="153"/>
      <c r="C670" s="130"/>
      <c r="D670" s="135"/>
      <c r="E670" s="130"/>
      <c r="F670" s="135"/>
      <c r="G670" s="130"/>
      <c r="H670" s="135"/>
      <c r="I670" s="130"/>
      <c r="J670" s="135"/>
      <c r="K670" s="130"/>
      <c r="L670" s="135"/>
      <c r="M670" s="130"/>
      <c r="N670" s="135"/>
      <c r="O670" s="154"/>
      <c r="P670" s="6">
        <v>0</v>
      </c>
      <c r="Q670" s="122" t="str">
        <f t="shared" si="385"/>
        <v>Aulas Teóricas</v>
      </c>
      <c r="R670" s="105" t="str">
        <f t="shared" si="377"/>
        <v>IEI</v>
      </c>
      <c r="S670" s="88">
        <f t="shared" si="374"/>
        <v>-1</v>
      </c>
      <c r="T670" s="106">
        <f>IF(VLOOKUP(Q670,'INFO BASE'!$B$40:$I$54,IF(R670='INFO BASE'!$B$32,3,IF(R670='INFO BASE'!$B$33,4,IF(R670='INFO BASE'!$B$34,5,IF(R670='INFO BASE'!$B$35,6,IF(R670='INFO BASE'!$B$36,7,IF(R670='INFO BASE'!$B$37,8,2)))))),0)=0,"",VLOOKUP(Q670,'INFO BASE'!$B$40:$I$54,IF(R670='INFO BASE'!$B$32,3,IF(R670='INFO BASE'!$B$33,4,IF(R670='INFO BASE'!$B$34,5,IF(R670='INFO BASE'!$B$35,6,IF(R670='INFO BASE'!$B$36,7,IF(R670='INFO BASE'!$B$37,8,2)))))),0))</f>
        <v>3</v>
      </c>
      <c r="U670" s="106">
        <f>(COUNTIFS(C636:C683,R670,B636:B683,R668)+COUNTIFS(E636:E683,R670,D636:D683,R668)+COUNTIFS(G636:G683,R670,F636:F683,R668)+COUNTIFS(I636:I683,R670,H636:H683,R668)+COUNTIFS(K636:K683,R670,J636:J683,R668)+COUNTIFS(M636:M683,R670,L636:L683,R668)+COUNTIFS(O636:O683,R670,N636:N683,R668))*0.5</f>
        <v>0</v>
      </c>
      <c r="V670" s="89">
        <f>(COUNTIFS(AI636:AI683,R668,AJ636:AJ683,R663)+COUNTIFS(AK636:AK683,R668,AL636:AL683,R663)+COUNTIFS(AM636:AM683,R668,AN636:AN683,R663)+COUNTIFS(AO636:AO683,R668,AP636:AP683,R663)+COUNTIFS(AQ636:AQ683,R668,AR636:AR683,R663)+COUNTIFS(AS636:AS683,R668,AT636:AT683,R663)+COUNTIFS(AU636:AU683,R668,AV636:AV683,R663))*0.5</f>
        <v>0</v>
      </c>
      <c r="W670" s="90" t="str">
        <f>IF(AH632="","-",IF(V670=0,U670,IFERROR((U670/V670)-1,"-")))</f>
        <v>-</v>
      </c>
      <c r="X670" s="201">
        <f t="shared" si="375"/>
        <v>0</v>
      </c>
      <c r="Y670" s="271"/>
      <c r="Z670" s="272"/>
      <c r="AA670" s="272"/>
      <c r="AB670" s="272"/>
      <c r="AC670" s="272"/>
      <c r="AD670" s="272"/>
      <c r="AE670" s="272"/>
      <c r="AF670" s="273"/>
      <c r="AH670" s="136">
        <v>0.70833333333335602</v>
      </c>
      <c r="AI670" s="136" t="str">
        <f>IF(AH632="","",IF(B670="","",B670))</f>
        <v/>
      </c>
      <c r="AJ670" s="136" t="str">
        <f>IF(AH632="","",IF(C670="","",C670))</f>
        <v/>
      </c>
      <c r="AK670" s="136" t="str">
        <f>IF(AH632="","",IF(D670="","",D670))</f>
        <v/>
      </c>
      <c r="AL670" s="136" t="str">
        <f>IF(AH632="","",IF(E670="","",E670))</f>
        <v/>
      </c>
      <c r="AM670" s="136" t="str">
        <f>IF(AH632="","",IF(F670="","",F670))</f>
        <v/>
      </c>
      <c r="AN670" s="136" t="str">
        <f>IF(AH632="","",IF(G670="","",G670))</f>
        <v/>
      </c>
      <c r="AO670" s="136" t="str">
        <f>IF(AH632="","",IF(H670="","",H670))</f>
        <v/>
      </c>
      <c r="AP670" s="136" t="str">
        <f>IF(AH632="","",IF(I670="","",I670))</f>
        <v/>
      </c>
      <c r="AQ670" s="136" t="str">
        <f>IF(AH632="","",IF(J670="","",J670))</f>
        <v/>
      </c>
      <c r="AR670" s="136" t="str">
        <f>IF(AH632="","",IF(K670="","",K670))</f>
        <v/>
      </c>
      <c r="AS670" s="136" t="str">
        <f>IF(AH632="","",IF(L670="","",L670))</f>
        <v/>
      </c>
      <c r="AT670" s="136" t="str">
        <f>IF(AH632="","",IF(M670="","",M670))</f>
        <v/>
      </c>
      <c r="AU670" s="136" t="str">
        <f>IF(AH632="","",IF(N670="","",N670))</f>
        <v/>
      </c>
      <c r="AV670" s="136" t="str">
        <f>IF(AH632="","",IF(O670="","",O670))</f>
        <v/>
      </c>
      <c r="AX670" s="136" t="str">
        <f>IF(AI632="","",IF(B670="","",B670))</f>
        <v/>
      </c>
      <c r="AY670" s="136" t="str">
        <f>IF(AI632="","",IF(C670="","",C670))</f>
        <v/>
      </c>
      <c r="AZ670" s="136" t="str">
        <f>IF(AI632="","",IF(D670="","",D670))</f>
        <v/>
      </c>
      <c r="BA670" s="136" t="str">
        <f>IF(AI632="","",IF(E670="","",E670))</f>
        <v/>
      </c>
      <c r="BB670" s="136" t="str">
        <f>IF(AI632="","",IF(F670="","",F670))</f>
        <v/>
      </c>
      <c r="BC670" s="136" t="str">
        <f>IF(AI632="","",IF(G670="","",G670))</f>
        <v/>
      </c>
      <c r="BD670" s="136" t="str">
        <f>IF(AI632="","",IF(H670="","",H670))</f>
        <v/>
      </c>
      <c r="BE670" s="136" t="str">
        <f>IF(AI632="","",IF(I670="","",I670))</f>
        <v/>
      </c>
      <c r="BF670" s="136" t="str">
        <f>IF(AI632="","",IF(J670="","",J670))</f>
        <v/>
      </c>
      <c r="BG670" s="136" t="str">
        <f>IF(AI632="","",IF(K670="","",K670))</f>
        <v/>
      </c>
      <c r="BH670" s="136" t="str">
        <f>IF(AI632="","",IF(L670="","",L670))</f>
        <v/>
      </c>
      <c r="BI670" s="136" t="str">
        <f>IF(AI632="","",IF(M670="","",M670))</f>
        <v/>
      </c>
      <c r="BJ670" s="136" t="str">
        <f>IF(AI632="","",IF(N670="","",N670))</f>
        <v/>
      </c>
      <c r="BK670" s="136" t="str">
        <f>IF(AI632="","",IF(O670="","",O670))</f>
        <v/>
      </c>
      <c r="BM670" s="136" t="str">
        <f t="shared" si="384"/>
        <v>AT</v>
      </c>
      <c r="BN670" s="136" t="str">
        <f t="shared" si="370"/>
        <v>Aulas Teóricas</v>
      </c>
      <c r="BO670" s="136" t="str">
        <f t="shared" si="370"/>
        <v>CDI</v>
      </c>
      <c r="BP670" s="136">
        <f>(COUNTIFS(AX636:AX683,BM670,AY636:AY683,BO670)+COUNTIFS(AZ636:AZ683,BM670,BA636:BA683,BO670)+COUNTIFS(BB636:BB683,BM670,BC636:BC683,BO670)+COUNTIFS(BD636:BD683,BM670,BE636:BE683,BO670)+COUNTIFS(BF636:BF683,BM670,BG636:BG683,BO670)+COUNTIFS(BH636:BH683,BM670,BI636:BI683,BO670)+COUNTIFS(BJ636:BJ683,BM670,BK636:BK683,BO670))*0.5</f>
        <v>0</v>
      </c>
      <c r="BQ670" s="136" t="str">
        <f t="shared" si="371"/>
        <v>Aulas Teóricas</v>
      </c>
      <c r="BR670" s="136" t="str">
        <f t="shared" si="371"/>
        <v>CDI</v>
      </c>
      <c r="BS670" s="136" t="str">
        <f t="shared" si="372"/>
        <v>Aulas Teóricas</v>
      </c>
      <c r="BT670" s="136">
        <f t="shared" si="378"/>
        <v>24</v>
      </c>
      <c r="BU670" s="136">
        <f t="shared" si="379"/>
        <v>24</v>
      </c>
      <c r="CA670" s="136">
        <f>'INFO BASE'!L748</f>
        <v>0</v>
      </c>
      <c r="CB670" s="136">
        <f>'INFO BASE'!M748</f>
        <v>0</v>
      </c>
      <c r="CR670" s="177">
        <f t="shared" si="360"/>
        <v>1</v>
      </c>
      <c r="CS670" s="177">
        <f t="shared" si="361"/>
        <v>1</v>
      </c>
      <c r="CT670" s="177">
        <f t="shared" si="360"/>
        <v>1</v>
      </c>
      <c r="CU670" s="177">
        <f t="shared" si="362"/>
        <v>1</v>
      </c>
      <c r="CV670" s="177">
        <f t="shared" si="360"/>
        <v>1</v>
      </c>
      <c r="CW670" s="177">
        <f t="shared" si="363"/>
        <v>1</v>
      </c>
      <c r="CX670" s="177">
        <f t="shared" si="360"/>
        <v>1</v>
      </c>
      <c r="CY670" s="177">
        <f t="shared" si="364"/>
        <v>1</v>
      </c>
      <c r="CZ670" s="177">
        <f t="shared" si="360"/>
        <v>1</v>
      </c>
      <c r="DA670" s="177">
        <f t="shared" si="365"/>
        <v>1</v>
      </c>
      <c r="DB670" s="177">
        <f t="shared" si="360"/>
        <v>1</v>
      </c>
      <c r="DC670" s="177">
        <f t="shared" si="366"/>
        <v>1</v>
      </c>
      <c r="DD670" s="177">
        <f t="shared" si="367"/>
        <v>1</v>
      </c>
      <c r="DE670" s="177">
        <f t="shared" si="368"/>
        <v>1</v>
      </c>
    </row>
    <row r="671" spans="1:109" ht="18" customHeight="1" x14ac:dyDescent="0.3">
      <c r="A671" s="81">
        <v>0.72916666666669006</v>
      </c>
      <c r="B671" s="153"/>
      <c r="C671" s="130"/>
      <c r="D671" s="135"/>
      <c r="E671" s="130"/>
      <c r="F671" s="135"/>
      <c r="G671" s="130"/>
      <c r="H671" s="135"/>
      <c r="I671" s="130"/>
      <c r="J671" s="135"/>
      <c r="K671" s="130"/>
      <c r="L671" s="135"/>
      <c r="M671" s="130"/>
      <c r="N671" s="135"/>
      <c r="O671" s="154"/>
      <c r="P671" s="6">
        <v>0</v>
      </c>
      <c r="Q671" s="123" t="str">
        <f t="shared" si="385"/>
        <v>Aulas Teóricas</v>
      </c>
      <c r="R671" s="105" t="str">
        <f t="shared" si="377"/>
        <v>IAC</v>
      </c>
      <c r="S671" s="88">
        <f t="shared" si="374"/>
        <v>-1</v>
      </c>
      <c r="T671" s="106">
        <f>IF(VLOOKUP(Q671,'INFO BASE'!$B$40:$I$54,IF(R671='INFO BASE'!$B$32,3,IF(R671='INFO BASE'!$B$33,4,IF(R671='INFO BASE'!$B$34,5,IF(R671='INFO BASE'!$B$35,6,IF(R671='INFO BASE'!$B$36,7,IF(R671='INFO BASE'!$B$37,8,2)))))),0)=0,"",VLOOKUP(Q671,'INFO BASE'!$B$40:$I$54,IF(R671='INFO BASE'!$B$32,3,IF(R671='INFO BASE'!$B$33,4,IF(R671='INFO BASE'!$B$34,5,IF(R671='INFO BASE'!$B$35,6,IF(R671='INFO BASE'!$B$36,7,IF(R671='INFO BASE'!$B$37,8,2)))))),0))</f>
        <v>3</v>
      </c>
      <c r="U671" s="106">
        <f>(COUNTIFS(C636:C683,R671,B636:B683,R668)+COUNTIFS(E636:E683,R671,D636:D683,R668)+COUNTIFS(G636:G683,R671,F636:F683,R668)+COUNTIFS(I636:I683,R671,H636:H683,R668)+COUNTIFS(K636:K683,R671,J636:J683,R668)+COUNTIFS(M636:M683,R671,L636:L683,R668)+COUNTIFS(O636:O683,R671,N636:N683,R668))*0.5</f>
        <v>0</v>
      </c>
      <c r="V671" s="89">
        <f>(COUNTIFS(AI636:AI683,R668,AJ636:AJ683,R664)+COUNTIFS(AK636:AK683,R668,AL636:AL683,R664)+COUNTIFS(AM636:AM683,R668,AN636:AN683,R664)+COUNTIFS(AO636:AO683,R668,AP636:AP683,R664)+COUNTIFS(AQ636:AQ683,R668,AR636:AR683,R664)+COUNTIFS(AS636:AS683,R668,AT636:AT683,R664)+COUNTIFS(AU636:AU683,R668,AV636:AV683,R664))*0.5</f>
        <v>0</v>
      </c>
      <c r="W671" s="90" t="str">
        <f>IF(AH632="","-",IF(V671=0,U671,IFERROR((U671/V671)-1,"-")))</f>
        <v>-</v>
      </c>
      <c r="X671" s="201">
        <f t="shared" si="375"/>
        <v>0</v>
      </c>
      <c r="Y671" s="271"/>
      <c r="Z671" s="272"/>
      <c r="AA671" s="272"/>
      <c r="AB671" s="272"/>
      <c r="AC671" s="272"/>
      <c r="AD671" s="272"/>
      <c r="AE671" s="272"/>
      <c r="AF671" s="273"/>
      <c r="AH671" s="136">
        <v>0.72916666666669006</v>
      </c>
      <c r="AI671" s="136" t="str">
        <f>IF(AH632="","",IF(B671="","",B671))</f>
        <v/>
      </c>
      <c r="AJ671" s="136" t="str">
        <f>IF(AH632="","",IF(C671="","",C671))</f>
        <v/>
      </c>
      <c r="AK671" s="136" t="str">
        <f>IF(AH632="","",IF(D671="","",D671))</f>
        <v/>
      </c>
      <c r="AL671" s="136" t="str">
        <f>IF(AH632="","",IF(E671="","",E671))</f>
        <v/>
      </c>
      <c r="AM671" s="136" t="str">
        <f>IF(AH632="","",IF(F671="","",F671))</f>
        <v/>
      </c>
      <c r="AN671" s="136" t="str">
        <f>IF(AH632="","",IF(G671="","",G671))</f>
        <v/>
      </c>
      <c r="AO671" s="136" t="str">
        <f>IF(AH632="","",IF(H671="","",H671))</f>
        <v/>
      </c>
      <c r="AP671" s="136" t="str">
        <f>IF(AH632="","",IF(I671="","",I671))</f>
        <v/>
      </c>
      <c r="AQ671" s="136" t="str">
        <f>IF(AH632="","",IF(J671="","",J671))</f>
        <v/>
      </c>
      <c r="AR671" s="136" t="str">
        <f>IF(AH632="","",IF(K671="","",K671))</f>
        <v/>
      </c>
      <c r="AS671" s="136" t="str">
        <f>IF(AH632="","",IF(L671="","",L671))</f>
        <v/>
      </c>
      <c r="AT671" s="136" t="str">
        <f>IF(AH632="","",IF(M671="","",M671))</f>
        <v/>
      </c>
      <c r="AU671" s="136" t="str">
        <f>IF(AH632="","",IF(N671="","",N671))</f>
        <v/>
      </c>
      <c r="AV671" s="136" t="str">
        <f>IF(AH632="","",IF(O671="","",O671))</f>
        <v/>
      </c>
      <c r="AX671" s="136" t="str">
        <f>IF(AI632="","",IF(B671="","",B671))</f>
        <v/>
      </c>
      <c r="AY671" s="136" t="str">
        <f>IF(AI632="","",IF(C671="","",C671))</f>
        <v/>
      </c>
      <c r="AZ671" s="136" t="str">
        <f>IF(AI632="","",IF(D671="","",D671))</f>
        <v/>
      </c>
      <c r="BA671" s="136" t="str">
        <f>IF(AI632="","",IF(E671="","",E671))</f>
        <v/>
      </c>
      <c r="BB671" s="136" t="str">
        <f>IF(AI632="","",IF(F671="","",F671))</f>
        <v/>
      </c>
      <c r="BC671" s="136" t="str">
        <f>IF(AI632="","",IF(G671="","",G671))</f>
        <v/>
      </c>
      <c r="BD671" s="136" t="str">
        <f>IF(AI632="","",IF(H671="","",H671))</f>
        <v/>
      </c>
      <c r="BE671" s="136" t="str">
        <f>IF(AI632="","",IF(I671="","",I671))</f>
        <v/>
      </c>
      <c r="BF671" s="136" t="str">
        <f>IF(AI632="","",IF(J671="","",J671))</f>
        <v/>
      </c>
      <c r="BG671" s="136" t="str">
        <f>IF(AI632="","",IF(K671="","",K671))</f>
        <v/>
      </c>
      <c r="BH671" s="136" t="str">
        <f>IF(AI632="","",IF(L671="","",L671))</f>
        <v/>
      </c>
      <c r="BI671" s="136" t="str">
        <f>IF(AI632="","",IF(M671="","",M671))</f>
        <v/>
      </c>
      <c r="BJ671" s="136" t="str">
        <f>IF(AI632="","",IF(N671="","",N671))</f>
        <v/>
      </c>
      <c r="BK671" s="136" t="str">
        <f>IF(AI632="","",IF(O671="","",O671))</f>
        <v/>
      </c>
      <c r="BM671" s="136" t="str">
        <f t="shared" si="384"/>
        <v>AT</v>
      </c>
      <c r="BN671" s="136" t="str">
        <f t="shared" si="370"/>
        <v>Aulas Teóricas</v>
      </c>
      <c r="BO671" s="136" t="str">
        <f t="shared" si="370"/>
        <v/>
      </c>
      <c r="BP671" s="136">
        <f>(COUNTIFS(AX636:AX683,BM671,AY636:AY683,BO671)+COUNTIFS(AZ636:AZ683,BM671,BA636:BA683,BO671)+COUNTIFS(BB636:BB683,BM671,BC636:BC683,BO671)+COUNTIFS(BD636:BD683,BM671,BE636:BE683,BO671)+COUNTIFS(BF636:BF683,BM671,BG636:BG683,BO671)+COUNTIFS(BH636:BH683,BM671,BI636:BI683,BO671)+COUNTIFS(BJ636:BJ683,BM671,BK636:BK683,BO671))*0.5</f>
        <v>0</v>
      </c>
      <c r="BQ671" s="136" t="str">
        <f t="shared" si="371"/>
        <v>Aulas Teóricas</v>
      </c>
      <c r="BR671" s="136" t="str">
        <f t="shared" si="371"/>
        <v/>
      </c>
      <c r="BS671" s="136" t="str">
        <f t="shared" si="372"/>
        <v>Aulas Teóricas</v>
      </c>
      <c r="BT671" s="136">
        <f t="shared" si="378"/>
        <v>0</v>
      </c>
      <c r="BU671" s="136">
        <f t="shared" si="379"/>
        <v>0</v>
      </c>
      <c r="CA671" s="136">
        <f>'INFO BASE'!L749</f>
        <v>0</v>
      </c>
      <c r="CB671" s="136">
        <f>'INFO BASE'!M749</f>
        <v>0</v>
      </c>
      <c r="CR671" s="177">
        <f t="shared" si="360"/>
        <v>1</v>
      </c>
      <c r="CS671" s="177">
        <f t="shared" si="361"/>
        <v>1</v>
      </c>
      <c r="CT671" s="177">
        <f t="shared" si="360"/>
        <v>1</v>
      </c>
      <c r="CU671" s="177">
        <f t="shared" si="362"/>
        <v>1</v>
      </c>
      <c r="CV671" s="177">
        <f t="shared" si="360"/>
        <v>1</v>
      </c>
      <c r="CW671" s="177">
        <f t="shared" si="363"/>
        <v>1</v>
      </c>
      <c r="CX671" s="177">
        <f t="shared" si="360"/>
        <v>1</v>
      </c>
      <c r="CY671" s="177">
        <f t="shared" si="364"/>
        <v>1</v>
      </c>
      <c r="CZ671" s="177">
        <f t="shared" si="360"/>
        <v>1</v>
      </c>
      <c r="DA671" s="177">
        <f t="shared" si="365"/>
        <v>1</v>
      </c>
      <c r="DB671" s="177">
        <f t="shared" si="360"/>
        <v>1</v>
      </c>
      <c r="DC671" s="177">
        <f t="shared" si="366"/>
        <v>1</v>
      </c>
      <c r="DD671" s="177">
        <f t="shared" si="367"/>
        <v>1</v>
      </c>
      <c r="DE671" s="177">
        <f t="shared" si="368"/>
        <v>1</v>
      </c>
    </row>
    <row r="672" spans="1:109" ht="18" customHeight="1" x14ac:dyDescent="0.3">
      <c r="A672" s="81">
        <v>0.75000000000002398</v>
      </c>
      <c r="B672" s="153"/>
      <c r="C672" s="130"/>
      <c r="D672" s="135"/>
      <c r="E672" s="130"/>
      <c r="F672" s="135"/>
      <c r="G672" s="130"/>
      <c r="H672" s="135"/>
      <c r="I672" s="130"/>
      <c r="J672" s="135"/>
      <c r="K672" s="130"/>
      <c r="L672" s="135"/>
      <c r="M672" s="130"/>
      <c r="N672" s="135"/>
      <c r="O672" s="154"/>
      <c r="P672" s="6">
        <v>0</v>
      </c>
      <c r="Q672" s="122" t="str">
        <f t="shared" si="385"/>
        <v>Aulas Teóricas</v>
      </c>
      <c r="R672" s="105" t="str">
        <f t="shared" si="377"/>
        <v>AL</v>
      </c>
      <c r="S672" s="88">
        <f t="shared" si="374"/>
        <v>-1</v>
      </c>
      <c r="T672" s="106">
        <f>IF(VLOOKUP(Q672,'INFO BASE'!$B$40:$I$54,IF(R672='INFO BASE'!$B$32,3,IF(R672='INFO BASE'!$B$33,4,IF(R672='INFO BASE'!$B$34,5,IF(R672='INFO BASE'!$B$35,6,IF(R672='INFO BASE'!$B$36,7,IF(R672='INFO BASE'!$B$37,8,2)))))),0)=0,"",VLOOKUP(Q672,'INFO BASE'!$B$40:$I$54,IF(R672='INFO BASE'!$B$32,3,IF(R672='INFO BASE'!$B$33,4,IF(R672='INFO BASE'!$B$34,5,IF(R672='INFO BASE'!$B$35,6,IF(R672='INFO BASE'!$B$36,7,IF(R672='INFO BASE'!$B$37,8,2)))))),0))</f>
        <v>3</v>
      </c>
      <c r="U672" s="106">
        <f>(COUNTIFS(C636:C683,R672,B636:B683,R668)+COUNTIFS(E636:E683,R672,D636:D683,R668)+COUNTIFS(G636:G683,R672,F636:F683,R668)+COUNTIFS(I636:I683,R672,H636:H683,R668)+COUNTIFS(K636:K683,R672,J636:J683,R668)+COUNTIFS(M636:M683,R672,L636:L683,R668)+COUNTIFS(O636:O683,R672,N636:N683,R668))*0.5</f>
        <v>0</v>
      </c>
      <c r="V672" s="89">
        <f>(COUNTIFS(AI636:AI683,R668,AJ636:AJ683,R665)+COUNTIFS(AK636:AK683,R668,AL636:AL683,R665)+COUNTIFS(AM636:AM683,R668,AN636:AN683,R665)+COUNTIFS(AO636:AO683,R668,AP636:AP683,R665)+COUNTIFS(AQ636:AQ683,R668,AR636:AR683,R665)+COUNTIFS(AS636:AS683,R668,AT636:AT683,R665)+COUNTIFS(AU636:AU683,R668,AV636:AV683,R665))*0.5</f>
        <v>0</v>
      </c>
      <c r="W672" s="90" t="str">
        <f>IF(AH632="","-",IF(V672=0,U672,IFERROR((U672/V672)-1,"-")))</f>
        <v>-</v>
      </c>
      <c r="X672" s="201">
        <f t="shared" si="375"/>
        <v>0</v>
      </c>
      <c r="Y672" s="271"/>
      <c r="Z672" s="272"/>
      <c r="AA672" s="272"/>
      <c r="AB672" s="272"/>
      <c r="AC672" s="272"/>
      <c r="AD672" s="272"/>
      <c r="AE672" s="272"/>
      <c r="AF672" s="273"/>
      <c r="AH672" s="136">
        <v>0.75000000000002398</v>
      </c>
      <c r="AI672" s="136" t="str">
        <f>IF(AH632="","",IF(B672="","",B672))</f>
        <v/>
      </c>
      <c r="AJ672" s="136" t="str">
        <f>IF(AH632="","",IF(C672="","",C672))</f>
        <v/>
      </c>
      <c r="AK672" s="136" t="str">
        <f>IF(AH632="","",IF(D672="","",D672))</f>
        <v/>
      </c>
      <c r="AL672" s="136" t="str">
        <f>IF(AH632="","",IF(E672="","",E672))</f>
        <v/>
      </c>
      <c r="AM672" s="136" t="str">
        <f>IF(AH632="","",IF(F672="","",F672))</f>
        <v/>
      </c>
      <c r="AN672" s="136" t="str">
        <f>IF(AH632="","",IF(G672="","",G672))</f>
        <v/>
      </c>
      <c r="AO672" s="136" t="str">
        <f>IF(AH632="","",IF(H672="","",H672))</f>
        <v/>
      </c>
      <c r="AP672" s="136" t="str">
        <f>IF(AH632="","",IF(I672="","",I672))</f>
        <v/>
      </c>
      <c r="AQ672" s="136" t="str">
        <f>IF(AH632="","",IF(J672="","",J672))</f>
        <v/>
      </c>
      <c r="AR672" s="136" t="str">
        <f>IF(AH632="","",IF(K672="","",K672))</f>
        <v/>
      </c>
      <c r="AS672" s="136" t="str">
        <f>IF(AH632="","",IF(L672="","",L672))</f>
        <v/>
      </c>
      <c r="AT672" s="136" t="str">
        <f>IF(AH632="","",IF(M672="","",M672))</f>
        <v/>
      </c>
      <c r="AU672" s="136" t="str">
        <f>IF(AH632="","",IF(N672="","",N672))</f>
        <v/>
      </c>
      <c r="AV672" s="136" t="str">
        <f>IF(AH632="","",IF(O672="","",O672))</f>
        <v/>
      </c>
      <c r="AX672" s="136" t="str">
        <f>IF(AI632="","",IF(B672="","",B672))</f>
        <v/>
      </c>
      <c r="AY672" s="136" t="str">
        <f>IF(AI632="","",IF(C672="","",C672))</f>
        <v/>
      </c>
      <c r="AZ672" s="136" t="str">
        <f>IF(AI632="","",IF(D672="","",D672))</f>
        <v/>
      </c>
      <c r="BA672" s="136" t="str">
        <f>IF(AI632="","",IF(E672="","",E672))</f>
        <v/>
      </c>
      <c r="BB672" s="136" t="str">
        <f>IF(AI632="","",IF(F672="","",F672))</f>
        <v/>
      </c>
      <c r="BC672" s="136" t="str">
        <f>IF(AI632="","",IF(G672="","",G672))</f>
        <v/>
      </c>
      <c r="BD672" s="136" t="str">
        <f>IF(AI632="","",IF(H672="","",H672))</f>
        <v/>
      </c>
      <c r="BE672" s="136" t="str">
        <f>IF(AI632="","",IF(I672="","",I672))</f>
        <v/>
      </c>
      <c r="BF672" s="136" t="str">
        <f>IF(AI632="","",IF(J672="","",J672))</f>
        <v/>
      </c>
      <c r="BG672" s="136" t="str">
        <f>IF(AI632="","",IF(K672="","",K672))</f>
        <v/>
      </c>
      <c r="BH672" s="136" t="str">
        <f>IF(AI632="","",IF(L672="","",L672))</f>
        <v/>
      </c>
      <c r="BI672" s="136" t="str">
        <f>IF(AI632="","",IF(M672="","",M672))</f>
        <v/>
      </c>
      <c r="BJ672" s="136" t="str">
        <f>IF(AI632="","",IF(N672="","",N672))</f>
        <v/>
      </c>
      <c r="BK672" s="136" t="str">
        <f>IF(AI632="","",IF(O672="","",O672))</f>
        <v/>
      </c>
      <c r="BN672" s="136" t="str">
        <f t="shared" si="370"/>
        <v>Aulas Práticas</v>
      </c>
      <c r="BO672" s="136" t="str">
        <f t="shared" si="370"/>
        <v>APA</v>
      </c>
      <c r="BP672" s="136">
        <f>IF(BO672="","",COUNTIFS(AX636:BK683,BO672)*0.5)</f>
        <v>0</v>
      </c>
      <c r="BQ672" s="136" t="str">
        <f t="shared" si="371"/>
        <v>Aulas Práticas</v>
      </c>
      <c r="BR672" s="136" t="str">
        <f t="shared" si="371"/>
        <v>APA</v>
      </c>
      <c r="BS672" s="136" t="str">
        <f t="shared" si="372"/>
        <v>Aulas Práticas</v>
      </c>
      <c r="BT672" s="136">
        <f t="shared" si="378"/>
        <v>0</v>
      </c>
      <c r="BU672" s="136">
        <f t="shared" si="379"/>
        <v>0</v>
      </c>
      <c r="CA672" s="136">
        <f>'INFO BASE'!L750</f>
        <v>0</v>
      </c>
      <c r="CB672" s="136">
        <f>'INFO BASE'!M750</f>
        <v>0</v>
      </c>
      <c r="CR672" s="177">
        <f t="shared" si="360"/>
        <v>1</v>
      </c>
      <c r="CS672" s="177">
        <f t="shared" si="361"/>
        <v>1</v>
      </c>
      <c r="CT672" s="177">
        <f t="shared" si="360"/>
        <v>1</v>
      </c>
      <c r="CU672" s="177">
        <f t="shared" si="362"/>
        <v>1</v>
      </c>
      <c r="CV672" s="177">
        <f t="shared" si="360"/>
        <v>1</v>
      </c>
      <c r="CW672" s="177">
        <f t="shared" si="363"/>
        <v>1</v>
      </c>
      <c r="CX672" s="177">
        <f t="shared" si="360"/>
        <v>1</v>
      </c>
      <c r="CY672" s="177">
        <f t="shared" si="364"/>
        <v>1</v>
      </c>
      <c r="CZ672" s="177">
        <f t="shared" si="360"/>
        <v>1</v>
      </c>
      <c r="DA672" s="177">
        <f t="shared" si="365"/>
        <v>1</v>
      </c>
      <c r="DB672" s="177">
        <f t="shared" si="360"/>
        <v>1</v>
      </c>
      <c r="DC672" s="177">
        <f t="shared" si="366"/>
        <v>1</v>
      </c>
      <c r="DD672" s="177">
        <f t="shared" si="367"/>
        <v>1</v>
      </c>
      <c r="DE672" s="177">
        <f t="shared" si="368"/>
        <v>1</v>
      </c>
    </row>
    <row r="673" spans="1:120" ht="18" customHeight="1" x14ac:dyDescent="0.3">
      <c r="A673" s="81">
        <v>0.77083333333335802</v>
      </c>
      <c r="B673" s="153"/>
      <c r="C673" s="130"/>
      <c r="D673" s="135"/>
      <c r="E673" s="130"/>
      <c r="F673" s="135"/>
      <c r="G673" s="130"/>
      <c r="H673" s="135"/>
      <c r="I673" s="130"/>
      <c r="J673" s="135"/>
      <c r="K673" s="130"/>
      <c r="L673" s="135"/>
      <c r="M673" s="130"/>
      <c r="N673" s="135"/>
      <c r="O673" s="154"/>
      <c r="P673" s="6">
        <v>0</v>
      </c>
      <c r="Q673" s="122" t="str">
        <f t="shared" si="385"/>
        <v>Aulas Teóricas</v>
      </c>
      <c r="R673" s="105" t="str">
        <f t="shared" si="377"/>
        <v>CDI</v>
      </c>
      <c r="S673" s="88">
        <f t="shared" si="374"/>
        <v>-1</v>
      </c>
      <c r="T673" s="106">
        <f>IF(VLOOKUP(Q673,'INFO BASE'!$B$40:$I$54,IF(R673='INFO BASE'!$B$32,3,IF(R673='INFO BASE'!$B$33,4,IF(R673='INFO BASE'!$B$34,5,IF(R673='INFO BASE'!$B$35,6,IF(R673='INFO BASE'!$B$36,7,IF(R673='INFO BASE'!$B$37,8,2)))))),0)=0,"",VLOOKUP(Q673,'INFO BASE'!$B$40:$I$54,IF(R673='INFO BASE'!$B$32,3,IF(R673='INFO BASE'!$B$33,4,IF(R673='INFO BASE'!$B$34,5,IF(R673='INFO BASE'!$B$35,6,IF(R673='INFO BASE'!$B$36,7,IF(R673='INFO BASE'!$B$37,8,2)))))),0))</f>
        <v>3</v>
      </c>
      <c r="U673" s="106">
        <f>(COUNTIFS(C636:C683,R673,B636:B683,R668)+COUNTIFS(E636:E683,R673,D636:D683,R668)+COUNTIFS(G636:G683,R673,F636:F683,R668)+COUNTIFS(I636:I683,R673,H636:H683,R668)+COUNTIFS(K636:K683,R673,J636:J683,R668)+COUNTIFS(M636:M683,R673,L636:L683,R668)+COUNTIFS(O636:O683,R673,N636:N683,R668))*0.5</f>
        <v>0</v>
      </c>
      <c r="V673" s="89">
        <f>(COUNTIFS(AI636:AI683,R668,AJ636:AJ683,R666)+COUNTIFS(AK636:AK683,R668,AL636:AL683,R666)+COUNTIFS(AM636:AM683,R668,AN636:AN683,R666)+COUNTIFS(AO636:AO683,R668,AP636:AP683,R666)+COUNTIFS(AQ636:AQ683,R668,AR636:AR683,R666)+COUNTIFS(AS636:AS683,R668,AT636:AT683,R666)+COUNTIFS(AU636:AU683,R668,AV636:AV683,R666))*0.5</f>
        <v>0</v>
      </c>
      <c r="W673" s="90" t="str">
        <f>IF(AH632="","-",IF(V673=0,U673,IFERROR((U673/V673)-1,"-")))</f>
        <v>-</v>
      </c>
      <c r="X673" s="201">
        <f t="shared" si="375"/>
        <v>0</v>
      </c>
      <c r="Y673" s="271"/>
      <c r="Z673" s="272"/>
      <c r="AA673" s="272"/>
      <c r="AB673" s="272"/>
      <c r="AC673" s="272"/>
      <c r="AD673" s="272"/>
      <c r="AE673" s="272"/>
      <c r="AF673" s="273"/>
      <c r="AH673" s="136">
        <v>0.77083333333335802</v>
      </c>
      <c r="AI673" s="136" t="str">
        <f>IF(AH632="","",IF(B673="","",B673))</f>
        <v/>
      </c>
      <c r="AJ673" s="136" t="str">
        <f>IF(AH632="","",IF(C673="","",C673))</f>
        <v/>
      </c>
      <c r="AK673" s="136" t="str">
        <f>IF(AH632="","",IF(D673="","",D673))</f>
        <v/>
      </c>
      <c r="AL673" s="136" t="str">
        <f>IF(AH632="","",IF(E673="","",E673))</f>
        <v/>
      </c>
      <c r="AM673" s="136" t="str">
        <f>IF(AH632="","",IF(F673="","",F673))</f>
        <v/>
      </c>
      <c r="AN673" s="136" t="str">
        <f>IF(AH632="","",IF(G673="","",G673))</f>
        <v/>
      </c>
      <c r="AO673" s="136" t="str">
        <f>IF(AH632="","",IF(H673="","",H673))</f>
        <v/>
      </c>
      <c r="AP673" s="136" t="str">
        <f>IF(AH632="","",IF(I673="","",I673))</f>
        <v/>
      </c>
      <c r="AQ673" s="136" t="str">
        <f>IF(AH632="","",IF(J673="","",J673))</f>
        <v/>
      </c>
      <c r="AR673" s="136" t="str">
        <f>IF(AH632="","",IF(K673="","",K673))</f>
        <v/>
      </c>
      <c r="AS673" s="136" t="str">
        <f>IF(AH632="","",IF(L673="","",L673))</f>
        <v/>
      </c>
      <c r="AT673" s="136" t="str">
        <f>IF(AH632="","",IF(M673="","",M673))</f>
        <v/>
      </c>
      <c r="AU673" s="136" t="str">
        <f>IF(AH632="","",IF(N673="","",N673))</f>
        <v/>
      </c>
      <c r="AV673" s="136" t="str">
        <f>IF(AH632="","",IF(O673="","",O673))</f>
        <v/>
      </c>
      <c r="AX673" s="136" t="str">
        <f>IF(AI632="","",IF(B673="","",B673))</f>
        <v/>
      </c>
      <c r="AY673" s="136" t="str">
        <f>IF(AI632="","",IF(C673="","",C673))</f>
        <v/>
      </c>
      <c r="AZ673" s="136" t="str">
        <f>IF(AI632="","",IF(D673="","",D673))</f>
        <v/>
      </c>
      <c r="BA673" s="136" t="str">
        <f>IF(AI632="","",IF(E673="","",E673))</f>
        <v/>
      </c>
      <c r="BB673" s="136" t="str">
        <f>IF(AI632="","",IF(F673="","",F673))</f>
        <v/>
      </c>
      <c r="BC673" s="136" t="str">
        <f>IF(AI632="","",IF(G673="","",G673))</f>
        <v/>
      </c>
      <c r="BD673" s="136" t="str">
        <f>IF(AI632="","",IF(H673="","",H673))</f>
        <v/>
      </c>
      <c r="BE673" s="136" t="str">
        <f>IF(AI632="","",IF(I673="","",I673))</f>
        <v/>
      </c>
      <c r="BF673" s="136" t="str">
        <f>IF(AI632="","",IF(J673="","",J673))</f>
        <v/>
      </c>
      <c r="BG673" s="136" t="str">
        <f>IF(AI632="","",IF(K673="","",K673))</f>
        <v/>
      </c>
      <c r="BH673" s="136" t="str">
        <f>IF(AI632="","",IF(L673="","",L673))</f>
        <v/>
      </c>
      <c r="BI673" s="136" t="str">
        <f>IF(AI632="","",IF(M673="","",M673))</f>
        <v/>
      </c>
      <c r="BJ673" s="136" t="str">
        <f>IF(AI632="","",IF(N673="","",N673))</f>
        <v/>
      </c>
      <c r="BK673" s="136" t="str">
        <f>IF(AI632="","",IF(O673="","",O673))</f>
        <v/>
      </c>
      <c r="BN673" s="136" t="str">
        <f t="shared" si="370"/>
        <v>Aulas Problemas</v>
      </c>
      <c r="BO673" s="136" t="str">
        <f t="shared" si="370"/>
        <v>APB</v>
      </c>
      <c r="BP673" s="136">
        <f>IF(BO673="","",COUNTIFS(AX636:BK683,BO673)*0.5)</f>
        <v>0</v>
      </c>
      <c r="BQ673" s="136" t="str">
        <f t="shared" si="371"/>
        <v>Aulas Problemas</v>
      </c>
      <c r="BR673" s="136" t="str">
        <f t="shared" si="371"/>
        <v>APB</v>
      </c>
      <c r="BS673" s="136" t="str">
        <f t="shared" si="372"/>
        <v>Aulas Problemas</v>
      </c>
      <c r="BT673" s="136">
        <f t="shared" si="378"/>
        <v>36</v>
      </c>
      <c r="BU673" s="136">
        <f t="shared" si="379"/>
        <v>36</v>
      </c>
      <c r="CR673" s="177">
        <f t="shared" si="360"/>
        <v>1</v>
      </c>
      <c r="CS673" s="177">
        <f t="shared" si="361"/>
        <v>1</v>
      </c>
      <c r="CT673" s="177">
        <f t="shared" si="360"/>
        <v>1</v>
      </c>
      <c r="CU673" s="177">
        <f t="shared" si="362"/>
        <v>1</v>
      </c>
      <c r="CV673" s="177">
        <f t="shared" si="360"/>
        <v>1</v>
      </c>
      <c r="CW673" s="177">
        <f t="shared" si="363"/>
        <v>1</v>
      </c>
      <c r="CX673" s="177">
        <f t="shared" si="360"/>
        <v>1</v>
      </c>
      <c r="CY673" s="177">
        <f t="shared" si="364"/>
        <v>1</v>
      </c>
      <c r="CZ673" s="177">
        <f t="shared" si="360"/>
        <v>1</v>
      </c>
      <c r="DA673" s="177">
        <f t="shared" si="365"/>
        <v>1</v>
      </c>
      <c r="DB673" s="177">
        <f t="shared" si="360"/>
        <v>1</v>
      </c>
      <c r="DC673" s="177">
        <f t="shared" si="366"/>
        <v>1</v>
      </c>
      <c r="DD673" s="177">
        <f t="shared" si="367"/>
        <v>1</v>
      </c>
      <c r="DE673" s="177">
        <f t="shared" si="368"/>
        <v>1</v>
      </c>
    </row>
    <row r="674" spans="1:120" ht="18" customHeight="1" thickBot="1" x14ac:dyDescent="0.35">
      <c r="A674" s="81">
        <v>0.79166666666669205</v>
      </c>
      <c r="B674" s="153"/>
      <c r="C674" s="130"/>
      <c r="D674" s="135"/>
      <c r="E674" s="130"/>
      <c r="F674" s="135"/>
      <c r="G674" s="130"/>
      <c r="H674" s="135"/>
      <c r="I674" s="130"/>
      <c r="J674" s="135"/>
      <c r="K674" s="130"/>
      <c r="L674" s="135"/>
      <c r="M674" s="130"/>
      <c r="N674" s="135"/>
      <c r="O674" s="154"/>
      <c r="P674" s="6">
        <v>0</v>
      </c>
      <c r="Q674" s="124" t="str">
        <f t="shared" si="385"/>
        <v>Aulas Teóricas</v>
      </c>
      <c r="R674" s="107" t="str">
        <f t="shared" si="377"/>
        <v/>
      </c>
      <c r="S674" s="94" t="str">
        <f t="shared" si="374"/>
        <v>-</v>
      </c>
      <c r="T674" s="108" t="str">
        <f>IF(VLOOKUP(Q674,'INFO BASE'!$B$40:$I$54,IF(R674='INFO BASE'!$B$32,3,IF(R674='INFO BASE'!$B$33,4,IF(R674='INFO BASE'!$B$34,5,IF(R674='INFO BASE'!$B$35,6,IF(R674='INFO BASE'!$B$36,7,IF(R674='INFO BASE'!$B$37,8,2)))))),0)=0,"",VLOOKUP(Q674,'INFO BASE'!$B$40:$I$54,IF(R674='INFO BASE'!$B$32,3,IF(R674='INFO BASE'!$B$33,4,IF(R674='INFO BASE'!$B$34,5,IF(R674='INFO BASE'!$B$35,6,IF(R674='INFO BASE'!$B$36,7,IF(R674='INFO BASE'!$B$37,8,2)))))),0))</f>
        <v/>
      </c>
      <c r="U674" s="108">
        <f>(COUNTIFS(C636:C683,R674,B636:B683,R668)+COUNTIFS(E636:E683,R674,D636:D683,R668)+COUNTIFS(G636:G683,R674,F636:F683,R668)+COUNTIFS(I636:I683,R674,H636:H683,R668)+COUNTIFS(K636:K683,R674,J636:J683,R668)+COUNTIFS(M636:M683,R674,L636:L683,R668)+COUNTIFS(O636:O683,R674,N636:N683,R668))*0.5</f>
        <v>0</v>
      </c>
      <c r="V674" s="95">
        <f>(COUNTIFS(AI636:AI683,R668,AJ636:AJ683,R667)+COUNTIFS(AK636:AK683,R668,AL636:AL683,R667)+COUNTIFS(AM636:AM683,R668,AN636:AN683,R667)+COUNTIFS(AO636:AO683,R668,AP636:AP683,R667)+COUNTIFS(AQ636:AQ683,R668,AR636:AR683,R667)+COUNTIFS(AS636:AS683,R668,AT636:AT683,R667)+COUNTIFS(AU636:AU683,R668,AV636:AV683,R667))*0.5</f>
        <v>0</v>
      </c>
      <c r="W674" s="96" t="str">
        <f>IF(AH632="","-",IF(V674=0,U674,IFERROR((U674/V674)-1,"-")))</f>
        <v>-</v>
      </c>
      <c r="X674" s="201">
        <f t="shared" si="375"/>
        <v>0</v>
      </c>
      <c r="Y674" s="274"/>
      <c r="Z674" s="275"/>
      <c r="AA674" s="275"/>
      <c r="AB674" s="275"/>
      <c r="AC674" s="275"/>
      <c r="AD674" s="275"/>
      <c r="AE674" s="275"/>
      <c r="AF674" s="276"/>
      <c r="AH674" s="136">
        <v>0.79166666666669205</v>
      </c>
      <c r="AI674" s="136" t="str">
        <f>IF(AH632="","",IF(B674="","",B674))</f>
        <v/>
      </c>
      <c r="AJ674" s="136" t="str">
        <f>IF(AH632="","",IF(C674="","",C674))</f>
        <v/>
      </c>
      <c r="AK674" s="136" t="str">
        <f>IF(AH632="","",IF(D674="","",D674))</f>
        <v/>
      </c>
      <c r="AL674" s="136" t="str">
        <f>IF(AH632="","",IF(E674="","",E674))</f>
        <v/>
      </c>
      <c r="AM674" s="136" t="str">
        <f>IF(AH632="","",IF(F674="","",F674))</f>
        <v/>
      </c>
      <c r="AN674" s="136" t="str">
        <f>IF(AH632="","",IF(G674="","",G674))</f>
        <v/>
      </c>
      <c r="AO674" s="136" t="str">
        <f>IF(AH632="","",IF(H674="","",H674))</f>
        <v/>
      </c>
      <c r="AP674" s="136" t="str">
        <f>IF(AH632="","",IF(I674="","",I674))</f>
        <v/>
      </c>
      <c r="AQ674" s="136" t="str">
        <f>IF(AH632="","",IF(J674="","",J674))</f>
        <v/>
      </c>
      <c r="AR674" s="136" t="str">
        <f>IF(AH632="","",IF(K674="","",K674))</f>
        <v/>
      </c>
      <c r="AS674" s="136" t="str">
        <f>IF(AH632="","",IF(L674="","",L674))</f>
        <v/>
      </c>
      <c r="AT674" s="136" t="str">
        <f>IF(AH632="","",IF(M674="","",M674))</f>
        <v/>
      </c>
      <c r="AU674" s="136" t="str">
        <f>IF(AH632="","",IF(N674="","",N674))</f>
        <v/>
      </c>
      <c r="AV674" s="136" t="str">
        <f>IF(AH632="","",IF(O674="","",O674))</f>
        <v/>
      </c>
      <c r="AX674" s="136" t="str">
        <f>IF(AI632="","",IF(B674="","",B674))</f>
        <v/>
      </c>
      <c r="AY674" s="136" t="str">
        <f>IF(AI632="","",IF(C674="","",C674))</f>
        <v/>
      </c>
      <c r="AZ674" s="136" t="str">
        <f>IF(AI632="","",IF(D674="","",D674))</f>
        <v/>
      </c>
      <c r="BA674" s="136" t="str">
        <f>IF(AI632="","",IF(E674="","",E674))</f>
        <v/>
      </c>
      <c r="BB674" s="136" t="str">
        <f>IF(AI632="","",IF(F674="","",F674))</f>
        <v/>
      </c>
      <c r="BC674" s="136" t="str">
        <f>IF(AI632="","",IF(G674="","",G674))</f>
        <v/>
      </c>
      <c r="BD674" s="136" t="str">
        <f>IF(AI632="","",IF(H674="","",H674))</f>
        <v/>
      </c>
      <c r="BE674" s="136" t="str">
        <f>IF(AI632="","",IF(I674="","",I674))</f>
        <v/>
      </c>
      <c r="BF674" s="136" t="str">
        <f>IF(AI632="","",IF(J674="","",J674))</f>
        <v/>
      </c>
      <c r="BG674" s="136" t="str">
        <f>IF(AI632="","",IF(K674="","",K674))</f>
        <v/>
      </c>
      <c r="BH674" s="136" t="str">
        <f>IF(AI632="","",IF(L674="","",L674))</f>
        <v/>
      </c>
      <c r="BI674" s="136" t="str">
        <f>IF(AI632="","",IF(M674="","",M674))</f>
        <v/>
      </c>
      <c r="BJ674" s="136" t="str">
        <f>IF(AI632="","",IF(N674="","",N674))</f>
        <v/>
      </c>
      <c r="BK674" s="136" t="str">
        <f>IF(AI632="","",IF(O674="","",O674))</f>
        <v/>
      </c>
      <c r="BN674" s="136" t="str">
        <f t="shared" si="370"/>
        <v>Laboratórios</v>
      </c>
      <c r="BO674" s="136" t="str">
        <f t="shared" si="370"/>
        <v>LAB</v>
      </c>
      <c r="BP674" s="136">
        <f>IF(BO674="","",COUNTIFS(AX636:BK683,BO674)*0.5)</f>
        <v>0</v>
      </c>
      <c r="BQ674" s="136" t="str">
        <f t="shared" si="371"/>
        <v>Laboratórios</v>
      </c>
      <c r="BR674" s="136" t="str">
        <f t="shared" si="371"/>
        <v>LAB</v>
      </c>
      <c r="BS674" s="136" t="str">
        <f t="shared" si="372"/>
        <v>Laboratórios</v>
      </c>
      <c r="BT674" s="136">
        <f t="shared" si="378"/>
        <v>10.5</v>
      </c>
      <c r="BU674" s="136">
        <f t="shared" si="379"/>
        <v>10.5</v>
      </c>
      <c r="CA674" s="136">
        <f>'INFO BASE'!L751</f>
        <v>0</v>
      </c>
      <c r="CB674" s="136">
        <f>'INFO BASE'!M751</f>
        <v>0</v>
      </c>
      <c r="CR674" s="177">
        <f t="shared" si="360"/>
        <v>1</v>
      </c>
      <c r="CS674" s="177">
        <f t="shared" si="361"/>
        <v>1</v>
      </c>
      <c r="CT674" s="177">
        <f t="shared" si="360"/>
        <v>1</v>
      </c>
      <c r="CU674" s="177">
        <f t="shared" si="362"/>
        <v>1</v>
      </c>
      <c r="CV674" s="177">
        <f t="shared" si="360"/>
        <v>1</v>
      </c>
      <c r="CW674" s="177">
        <f t="shared" si="363"/>
        <v>1</v>
      </c>
      <c r="CX674" s="177">
        <f t="shared" si="360"/>
        <v>1</v>
      </c>
      <c r="CY674" s="177">
        <f t="shared" si="364"/>
        <v>1</v>
      </c>
      <c r="CZ674" s="177">
        <f t="shared" si="360"/>
        <v>1</v>
      </c>
      <c r="DA674" s="177">
        <f t="shared" si="365"/>
        <v>1</v>
      </c>
      <c r="DB674" s="177">
        <f t="shared" si="360"/>
        <v>1</v>
      </c>
      <c r="DC674" s="177">
        <f t="shared" si="366"/>
        <v>1</v>
      </c>
      <c r="DD674" s="177">
        <f t="shared" si="367"/>
        <v>1</v>
      </c>
      <c r="DE674" s="177">
        <f t="shared" si="368"/>
        <v>1</v>
      </c>
    </row>
    <row r="675" spans="1:120" ht="18" customHeight="1" x14ac:dyDescent="0.3">
      <c r="A675" s="81">
        <v>0.81250000000002598</v>
      </c>
      <c r="B675" s="153"/>
      <c r="C675" s="130"/>
      <c r="D675" s="135"/>
      <c r="E675" s="130"/>
      <c r="F675" s="135"/>
      <c r="G675" s="130"/>
      <c r="H675" s="135"/>
      <c r="I675" s="130"/>
      <c r="J675" s="135"/>
      <c r="K675" s="130"/>
      <c r="L675" s="135"/>
      <c r="M675" s="130"/>
      <c r="N675" s="135"/>
      <c r="O675" s="154"/>
      <c r="P675" s="6">
        <v>0</v>
      </c>
      <c r="Q675" s="97" t="str">
        <f>IF('INFO BASE'!$C$21="","",'INFO BASE'!$C$21)</f>
        <v>Aulas Práticas</v>
      </c>
      <c r="R675" s="82" t="str">
        <f t="shared" si="377"/>
        <v>APA</v>
      </c>
      <c r="S675" s="83" t="str">
        <f t="shared" si="374"/>
        <v>-</v>
      </c>
      <c r="T675" s="98" t="str">
        <f>IF(VLOOKUP(Q675,'INFO BASE'!$B$40:$I$54,IF(R675='INFO BASE'!$B$32,3,IF(R675='INFO BASE'!$B$33,4,IF(R675='INFO BASE'!$B$34,5,IF(R675='INFO BASE'!$B$35,6,IF(R675='INFO BASE'!$B$36,7,IF(R675='INFO BASE'!$B$37,8,2)))))),0)=0,"",VLOOKUP(Q675,'INFO BASE'!$B$40:$I$54,IF(R675='INFO BASE'!$B$32,3,IF(R675='INFO BASE'!$B$33,4,IF(R675='INFO BASE'!$B$34,5,IF(R675='INFO BASE'!$B$35,6,IF(R675='INFO BASE'!$B$36,7,IF(R675='INFO BASE'!$B$37,8,2)))))),0))</f>
        <v/>
      </c>
      <c r="U675" s="84">
        <f t="shared" ref="U675:U683" si="386">IF(R675="","",COUNTIFS(SEMANA12,R675)*0.5)</f>
        <v>0</v>
      </c>
      <c r="V675" s="84">
        <f>IF(R675="","",COUNTIFS(AI636:AV683,R675)*0.5)</f>
        <v>0</v>
      </c>
      <c r="W675" s="85" t="str">
        <f>IF(AH632="","-",IF(V675=0,U675,IFERROR((U675/V675)-1,"-")))</f>
        <v>-</v>
      </c>
      <c r="X675" s="201">
        <f t="shared" si="375"/>
        <v>0</v>
      </c>
      <c r="Y675" s="277"/>
      <c r="Z675" s="278"/>
      <c r="AA675" s="278"/>
      <c r="AB675" s="278"/>
      <c r="AC675" s="278"/>
      <c r="AD675" s="278"/>
      <c r="AE675" s="278"/>
      <c r="AF675" s="279"/>
      <c r="AH675" s="136">
        <v>0.81250000000002598</v>
      </c>
      <c r="AI675" s="136" t="str">
        <f>IF(AH632="","",IF(B675="","",B675))</f>
        <v/>
      </c>
      <c r="AJ675" s="136" t="str">
        <f>IF(AH632="","",IF(C675="","",C675))</f>
        <v/>
      </c>
      <c r="AK675" s="136" t="str">
        <f>IF(AH632="","",IF(D675="","",D675))</f>
        <v/>
      </c>
      <c r="AL675" s="136" t="str">
        <f>IF(AH632="","",IF(E675="","",E675))</f>
        <v/>
      </c>
      <c r="AM675" s="136" t="str">
        <f>IF(AH632="","",IF(F675="","",F675))</f>
        <v/>
      </c>
      <c r="AN675" s="136" t="str">
        <f>IF(AH632="","",IF(G675="","",G675))</f>
        <v/>
      </c>
      <c r="AO675" s="136" t="str">
        <f>IF(AH632="","",IF(H675="","",H675))</f>
        <v/>
      </c>
      <c r="AP675" s="136" t="str">
        <f>IF(AH632="","",IF(I675="","",I675))</f>
        <v/>
      </c>
      <c r="AQ675" s="136" t="str">
        <f>IF(AH632="","",IF(J675="","",J675))</f>
        <v/>
      </c>
      <c r="AR675" s="136" t="str">
        <f>IF(AH632="","",IF(K675="","",K675))</f>
        <v/>
      </c>
      <c r="AS675" s="136" t="str">
        <f>IF(AH632="","",IF(L675="","",L675))</f>
        <v/>
      </c>
      <c r="AT675" s="136" t="str">
        <f>IF(AH632="","",IF(M675="","",M675))</f>
        <v/>
      </c>
      <c r="AU675" s="136" t="str">
        <f>IF(AH632="","",IF(N675="","",N675))</f>
        <v/>
      </c>
      <c r="AV675" s="136" t="str">
        <f>IF(AH632="","",IF(O675="","",O675))</f>
        <v/>
      </c>
      <c r="AX675" s="136" t="str">
        <f>IF(AI632="","",IF(B675="","",B675))</f>
        <v/>
      </c>
      <c r="AY675" s="136" t="str">
        <f>IF(AI632="","",IF(C675="","",C675))</f>
        <v/>
      </c>
      <c r="AZ675" s="136" t="str">
        <f>IF(AI632="","",IF(D675="","",D675))</f>
        <v/>
      </c>
      <c r="BA675" s="136" t="str">
        <f>IF(AI632="","",IF(E675="","",E675))</f>
        <v/>
      </c>
      <c r="BB675" s="136" t="str">
        <f>IF(AI632="","",IF(F675="","",F675))</f>
        <v/>
      </c>
      <c r="BC675" s="136" t="str">
        <f>IF(AI632="","",IF(G675="","",G675))</f>
        <v/>
      </c>
      <c r="BD675" s="136" t="str">
        <f>IF(AI632="","",IF(H675="","",H675))</f>
        <v/>
      </c>
      <c r="BE675" s="136" t="str">
        <f>IF(AI632="","",IF(I675="","",I675))</f>
        <v/>
      </c>
      <c r="BF675" s="136" t="str">
        <f>IF(AI632="","",IF(J675="","",J675))</f>
        <v/>
      </c>
      <c r="BG675" s="136" t="str">
        <f>IF(AI632="","",IF(K675="","",K675))</f>
        <v/>
      </c>
      <c r="BH675" s="136" t="str">
        <f>IF(AI632="","",IF(L675="","",L675))</f>
        <v/>
      </c>
      <c r="BI675" s="136" t="str">
        <f>IF(AI632="","",IF(M675="","",M675))</f>
        <v/>
      </c>
      <c r="BJ675" s="136" t="str">
        <f>IF(AI632="","",IF(N675="","",N675))</f>
        <v/>
      </c>
      <c r="BK675" s="136" t="str">
        <f>IF(AI632="","",IF(O675="","",O675))</f>
        <v/>
      </c>
      <c r="BN675" s="136" t="str">
        <f t="shared" si="370"/>
        <v>Momento Avaliativo</v>
      </c>
      <c r="BO675" s="136" t="str">
        <f t="shared" si="370"/>
        <v>MA</v>
      </c>
      <c r="BP675" s="136">
        <f>IF(BO675="","",COUNTIFS(AX636:BK683,BO675)*0.5)</f>
        <v>0</v>
      </c>
      <c r="BQ675" s="136" t="str">
        <f t="shared" si="371"/>
        <v>Momento Avaliativo</v>
      </c>
      <c r="BR675" s="136" t="str">
        <f t="shared" si="371"/>
        <v>MA</v>
      </c>
      <c r="BS675" s="136" t="str">
        <f t="shared" si="372"/>
        <v>Momento Avaliativo</v>
      </c>
      <c r="BT675" s="136">
        <f t="shared" si="378"/>
        <v>1.5</v>
      </c>
      <c r="BU675" s="136">
        <f t="shared" si="379"/>
        <v>1.5</v>
      </c>
      <c r="CA675" s="136">
        <f>'INFO BASE'!L752</f>
        <v>0</v>
      </c>
      <c r="CB675" s="136">
        <f>'INFO BASE'!M752</f>
        <v>0</v>
      </c>
      <c r="CR675" s="177">
        <f t="shared" si="360"/>
        <v>1</v>
      </c>
      <c r="CS675" s="177">
        <f t="shared" si="361"/>
        <v>1</v>
      </c>
      <c r="CT675" s="177">
        <f t="shared" si="360"/>
        <v>1</v>
      </c>
      <c r="CU675" s="177">
        <f t="shared" si="362"/>
        <v>1</v>
      </c>
      <c r="CV675" s="177">
        <f t="shared" si="360"/>
        <v>1</v>
      </c>
      <c r="CW675" s="177">
        <f t="shared" si="363"/>
        <v>1</v>
      </c>
      <c r="CX675" s="177">
        <f t="shared" si="360"/>
        <v>1</v>
      </c>
      <c r="CY675" s="177">
        <f t="shared" si="364"/>
        <v>1</v>
      </c>
      <c r="CZ675" s="177">
        <f t="shared" si="360"/>
        <v>1</v>
      </c>
      <c r="DA675" s="177">
        <f t="shared" si="365"/>
        <v>1</v>
      </c>
      <c r="DB675" s="177">
        <f t="shared" si="360"/>
        <v>1</v>
      </c>
      <c r="DC675" s="177">
        <f t="shared" si="366"/>
        <v>1</v>
      </c>
      <c r="DD675" s="177">
        <f t="shared" si="367"/>
        <v>1</v>
      </c>
      <c r="DE675" s="177">
        <f t="shared" si="368"/>
        <v>1</v>
      </c>
    </row>
    <row r="676" spans="1:120" ht="18" customHeight="1" x14ac:dyDescent="0.3">
      <c r="A676" s="81">
        <v>0.83333333333336002</v>
      </c>
      <c r="B676" s="153"/>
      <c r="C676" s="130"/>
      <c r="D676" s="135"/>
      <c r="E676" s="130"/>
      <c r="F676" s="135"/>
      <c r="G676" s="130"/>
      <c r="H676" s="135"/>
      <c r="I676" s="130"/>
      <c r="J676" s="135"/>
      <c r="K676" s="130"/>
      <c r="L676" s="135"/>
      <c r="M676" s="130"/>
      <c r="N676" s="135"/>
      <c r="O676" s="154"/>
      <c r="P676" s="6">
        <v>0</v>
      </c>
      <c r="Q676" s="99" t="str">
        <f>IF('INFO BASE'!$C$22="","",'INFO BASE'!$C$22)</f>
        <v>Aulas Problemas</v>
      </c>
      <c r="R676" s="87" t="str">
        <f t="shared" si="377"/>
        <v>APB</v>
      </c>
      <c r="S676" s="88">
        <f t="shared" si="374"/>
        <v>-1</v>
      </c>
      <c r="T676" s="100">
        <f>IF(VLOOKUP(Q676,'INFO BASE'!$B$40:$I$54,IF(R676='INFO BASE'!$B$32,3,IF(R676='INFO BASE'!$B$33,4,IF(R676='INFO BASE'!$B$34,5,IF(R676='INFO BASE'!$B$35,6,IF(R676='INFO BASE'!$B$36,7,IF(R676='INFO BASE'!$B$37,8,2)))))),0)=0,"",VLOOKUP(Q676,'INFO BASE'!$B$40:$I$54,IF(R676='INFO BASE'!$B$32,3,IF(R676='INFO BASE'!$B$33,4,IF(R676='INFO BASE'!$B$34,5,IF(R676='INFO BASE'!$B$35,6,IF(R676='INFO BASE'!$B$36,7,IF(R676='INFO BASE'!$B$37,8,2)))))),0))</f>
        <v>6</v>
      </c>
      <c r="U676" s="89">
        <f t="shared" si="386"/>
        <v>0</v>
      </c>
      <c r="V676" s="100">
        <f>IF(R676="","",COUNTIFS(AI636:AV683,R676)*0.5)</f>
        <v>0</v>
      </c>
      <c r="W676" s="90" t="str">
        <f>IF(AH632="","-",IF(V676=0,U676,IFERROR((U676/V676)-1,"-")))</f>
        <v>-</v>
      </c>
      <c r="X676" s="201">
        <f t="shared" si="375"/>
        <v>0</v>
      </c>
      <c r="Y676" s="271"/>
      <c r="Z676" s="272"/>
      <c r="AA676" s="272"/>
      <c r="AB676" s="272"/>
      <c r="AC676" s="272"/>
      <c r="AD676" s="272"/>
      <c r="AE676" s="272"/>
      <c r="AF676" s="273"/>
      <c r="AH676" s="136">
        <v>0.83333333333336002</v>
      </c>
      <c r="AI676" s="136" t="str">
        <f>IF(AH632="","",IF(B676="","",B676))</f>
        <v/>
      </c>
      <c r="AJ676" s="136" t="str">
        <f>IF(AH632="","",IF(C676="","",C676))</f>
        <v/>
      </c>
      <c r="AK676" s="136" t="str">
        <f>IF(AH632="","",IF(D676="","",D676))</f>
        <v/>
      </c>
      <c r="AL676" s="136" t="str">
        <f>IF(AH632="","",IF(E676="","",E676))</f>
        <v/>
      </c>
      <c r="AM676" s="136" t="str">
        <f>IF(AH632="","",IF(F676="","",F676))</f>
        <v/>
      </c>
      <c r="AN676" s="136" t="str">
        <f>IF(AH632="","",IF(G676="","",G676))</f>
        <v/>
      </c>
      <c r="AO676" s="136" t="str">
        <f>IF(AH632="","",IF(H676="","",H676))</f>
        <v/>
      </c>
      <c r="AP676" s="136" t="str">
        <f>IF(AH632="","",IF(I676="","",I676))</f>
        <v/>
      </c>
      <c r="AQ676" s="136" t="str">
        <f>IF(AH632="","",IF(J676="","",J676))</f>
        <v/>
      </c>
      <c r="AR676" s="136" t="str">
        <f>IF(AH632="","",IF(K676="","",K676))</f>
        <v/>
      </c>
      <c r="AS676" s="136" t="str">
        <f>IF(AH632="","",IF(L676="","",L676))</f>
        <v/>
      </c>
      <c r="AT676" s="136" t="str">
        <f>IF(AH632="","",IF(M676="","",M676))</f>
        <v/>
      </c>
      <c r="AU676" s="136" t="str">
        <f>IF(AH632="","",IF(N676="","",N676))</f>
        <v/>
      </c>
      <c r="AV676" s="136" t="str">
        <f>IF(AH632="","",IF(O676="","",O676))</f>
        <v/>
      </c>
      <c r="AX676" s="136" t="str">
        <f>IF(AI632="","",IF(B676="","",B676))</f>
        <v/>
      </c>
      <c r="AY676" s="136" t="str">
        <f>IF(AI632="","",IF(C676="","",C676))</f>
        <v/>
      </c>
      <c r="AZ676" s="136" t="str">
        <f>IF(AI632="","",IF(D676="","",D676))</f>
        <v/>
      </c>
      <c r="BA676" s="136" t="str">
        <f>IF(AI632="","",IF(E676="","",E676))</f>
        <v/>
      </c>
      <c r="BB676" s="136" t="str">
        <f>IF(AI632="","",IF(F676="","",F676))</f>
        <v/>
      </c>
      <c r="BC676" s="136" t="str">
        <f>IF(AI632="","",IF(G676="","",G676))</f>
        <v/>
      </c>
      <c r="BD676" s="136" t="str">
        <f>IF(AI632="","",IF(H676="","",H676))</f>
        <v/>
      </c>
      <c r="BE676" s="136" t="str">
        <f>IF(AI632="","",IF(I676="","",I676))</f>
        <v/>
      </c>
      <c r="BF676" s="136" t="str">
        <f>IF(AI632="","",IF(J676="","",J676))</f>
        <v/>
      </c>
      <c r="BG676" s="136" t="str">
        <f>IF(AI632="","",IF(K676="","",K676))</f>
        <v/>
      </c>
      <c r="BH676" s="136" t="str">
        <f>IF(AI632="","",IF(L676="","",L676))</f>
        <v/>
      </c>
      <c r="BI676" s="136" t="str">
        <f>IF(AI632="","",IF(M676="","",M676))</f>
        <v/>
      </c>
      <c r="BJ676" s="136" t="str">
        <f>IF(AI632="","",IF(N676="","",N676))</f>
        <v/>
      </c>
      <c r="BK676" s="136" t="str">
        <f>IF(AI632="","",IF(O676="","",O676))</f>
        <v/>
      </c>
      <c r="BN676" s="136" t="str">
        <f t="shared" si="370"/>
        <v>Horário de Dúvidas</v>
      </c>
      <c r="BO676" s="136" t="str">
        <f t="shared" si="370"/>
        <v>HDV</v>
      </c>
      <c r="BP676" s="136">
        <f>IF(BO676="","",COUNTIFS(AX636:BK683,BO676)*0.5)</f>
        <v>0</v>
      </c>
      <c r="BQ676" s="136" t="str">
        <f t="shared" si="371"/>
        <v>Horário de Dúvidas</v>
      </c>
      <c r="BR676" s="136" t="str">
        <f t="shared" si="371"/>
        <v>HDV</v>
      </c>
      <c r="BS676" s="136" t="str">
        <f t="shared" si="372"/>
        <v>Horário de Dúvidas</v>
      </c>
      <c r="BT676" s="136">
        <f t="shared" si="378"/>
        <v>0</v>
      </c>
      <c r="BU676" s="136">
        <f t="shared" si="379"/>
        <v>0</v>
      </c>
      <c r="CA676" s="136">
        <f>'INFO BASE'!L753</f>
        <v>0</v>
      </c>
      <c r="CB676" s="136">
        <f>'INFO BASE'!M753</f>
        <v>0</v>
      </c>
      <c r="CR676" s="177">
        <f t="shared" si="360"/>
        <v>1</v>
      </c>
      <c r="CS676" s="177">
        <f t="shared" si="361"/>
        <v>1</v>
      </c>
      <c r="CT676" s="177">
        <f t="shared" si="360"/>
        <v>1</v>
      </c>
      <c r="CU676" s="177">
        <f t="shared" si="362"/>
        <v>1</v>
      </c>
      <c r="CV676" s="177">
        <f t="shared" si="360"/>
        <v>1</v>
      </c>
      <c r="CW676" s="177">
        <f t="shared" si="363"/>
        <v>1</v>
      </c>
      <c r="CX676" s="177">
        <f t="shared" si="360"/>
        <v>1</v>
      </c>
      <c r="CY676" s="177">
        <f t="shared" si="364"/>
        <v>1</v>
      </c>
      <c r="CZ676" s="177">
        <f t="shared" si="360"/>
        <v>1</v>
      </c>
      <c r="DA676" s="177">
        <f t="shared" si="365"/>
        <v>1</v>
      </c>
      <c r="DB676" s="177">
        <f t="shared" si="360"/>
        <v>1</v>
      </c>
      <c r="DC676" s="177">
        <f t="shared" si="366"/>
        <v>1</v>
      </c>
      <c r="DD676" s="177">
        <f t="shared" si="367"/>
        <v>1</v>
      </c>
      <c r="DE676" s="177">
        <f t="shared" si="368"/>
        <v>1</v>
      </c>
    </row>
    <row r="677" spans="1:120" ht="18" customHeight="1" thickBot="1" x14ac:dyDescent="0.35">
      <c r="A677" s="81">
        <v>0.85416666666669405</v>
      </c>
      <c r="B677" s="153"/>
      <c r="C677" s="130"/>
      <c r="D677" s="135"/>
      <c r="E677" s="130"/>
      <c r="F677" s="135"/>
      <c r="G677" s="130"/>
      <c r="H677" s="135"/>
      <c r="I677" s="130"/>
      <c r="J677" s="135"/>
      <c r="K677" s="130"/>
      <c r="L677" s="135"/>
      <c r="M677" s="130"/>
      <c r="N677" s="135"/>
      <c r="O677" s="154"/>
      <c r="P677" s="6">
        <v>0</v>
      </c>
      <c r="Q677" s="101" t="str">
        <f>IF('INFO BASE'!$C$23="","",'INFO BASE'!$C$23)</f>
        <v>Laboratórios</v>
      </c>
      <c r="R677" s="93" t="str">
        <f t="shared" si="377"/>
        <v>LAB</v>
      </c>
      <c r="S677" s="94">
        <f t="shared" si="374"/>
        <v>-1</v>
      </c>
      <c r="T677" s="95">
        <f>IF(VLOOKUP(Q677,'INFO BASE'!$B$40:$I$54,IF(R677='INFO BASE'!$B$32,3,IF(R677='INFO BASE'!$B$33,4,IF(R677='INFO BASE'!$B$34,5,IF(R677='INFO BASE'!$B$35,6,IF(R677='INFO BASE'!$B$36,7,IF(R677='INFO BASE'!$B$37,8,2)))))),0)=0,"",VLOOKUP(Q677,'INFO BASE'!$B$40:$I$54,IF(R677='INFO BASE'!$B$32,3,IF(R677='INFO BASE'!$B$33,4,IF(R677='INFO BASE'!$B$34,5,IF(R677='INFO BASE'!$B$35,6,IF(R677='INFO BASE'!$B$36,7,IF(R677='INFO BASE'!$B$37,8,2)))))),0))</f>
        <v>1.5</v>
      </c>
      <c r="U677" s="95">
        <f t="shared" si="386"/>
        <v>0</v>
      </c>
      <c r="V677" s="95">
        <f>IF(R677="","",COUNTIFS(AI636:AV683,R677)*0.5)</f>
        <v>0</v>
      </c>
      <c r="W677" s="96" t="str">
        <f>IF(AH632="","-",IF(V677=0,U677,IFERROR((U677/V677)-1,"-")))</f>
        <v>-</v>
      </c>
      <c r="X677" s="201">
        <f t="shared" si="375"/>
        <v>0</v>
      </c>
      <c r="Y677" s="271"/>
      <c r="Z677" s="272"/>
      <c r="AA677" s="272"/>
      <c r="AB677" s="272"/>
      <c r="AC677" s="272"/>
      <c r="AD677" s="272"/>
      <c r="AE677" s="272"/>
      <c r="AF677" s="273"/>
      <c r="AH677" s="136">
        <v>0.85416666666669405</v>
      </c>
      <c r="AI677" s="136" t="str">
        <f>IF(AH632="","",IF(B677="","",B677))</f>
        <v/>
      </c>
      <c r="AJ677" s="136" t="str">
        <f>IF(AH632="","",IF(C677="","",C677))</f>
        <v/>
      </c>
      <c r="AK677" s="136" t="str">
        <f>IF(AH632="","",IF(D677="","",D677))</f>
        <v/>
      </c>
      <c r="AL677" s="136" t="str">
        <f>IF(AH632="","",IF(E677="","",E677))</f>
        <v/>
      </c>
      <c r="AM677" s="136" t="str">
        <f>IF(AH632="","",IF(F677="","",F677))</f>
        <v/>
      </c>
      <c r="AN677" s="136" t="str">
        <f>IF(AH632="","",IF(G677="","",G677))</f>
        <v/>
      </c>
      <c r="AO677" s="136" t="str">
        <f>IF(AH632="","",IF(H677="","",H677))</f>
        <v/>
      </c>
      <c r="AP677" s="136" t="str">
        <f>IF(AH632="","",IF(I677="","",I677))</f>
        <v/>
      </c>
      <c r="AQ677" s="136" t="str">
        <f>IF(AH632="","",IF(J677="","",J677))</f>
        <v/>
      </c>
      <c r="AR677" s="136" t="str">
        <f>IF(AH632="","",IF(K677="","",K677))</f>
        <v/>
      </c>
      <c r="AS677" s="136" t="str">
        <f>IF(AH632="","",IF(L677="","",L677))</f>
        <v/>
      </c>
      <c r="AT677" s="136" t="str">
        <f>IF(AH632="","",IF(M677="","",M677))</f>
        <v/>
      </c>
      <c r="AU677" s="136" t="str">
        <f>IF(AH632="","",IF(N677="","",N677))</f>
        <v/>
      </c>
      <c r="AV677" s="136" t="str">
        <f>IF(AH632="","",IF(O677="","",O677))</f>
        <v/>
      </c>
      <c r="AX677" s="136" t="str">
        <f>IF(AI632="","",IF(B677="","",B677))</f>
        <v/>
      </c>
      <c r="AY677" s="136" t="str">
        <f>IF(AI632="","",IF(C677="","",C677))</f>
        <v/>
      </c>
      <c r="AZ677" s="136" t="str">
        <f>IF(AI632="","",IF(D677="","",D677))</f>
        <v/>
      </c>
      <c r="BA677" s="136" t="str">
        <f>IF(AI632="","",IF(E677="","",E677))</f>
        <v/>
      </c>
      <c r="BB677" s="136" t="str">
        <f>IF(AI632="","",IF(F677="","",F677))</f>
        <v/>
      </c>
      <c r="BC677" s="136" t="str">
        <f>IF(AI632="","",IF(G677="","",G677))</f>
        <v/>
      </c>
      <c r="BD677" s="136" t="str">
        <f>IF(AI632="","",IF(H677="","",H677))</f>
        <v/>
      </c>
      <c r="BE677" s="136" t="str">
        <f>IF(AI632="","",IF(I677="","",I677))</f>
        <v/>
      </c>
      <c r="BF677" s="136" t="str">
        <f>IF(AI632="","",IF(J677="","",J677))</f>
        <v/>
      </c>
      <c r="BG677" s="136" t="str">
        <f>IF(AI632="","",IF(K677="","",K677))</f>
        <v/>
      </c>
      <c r="BH677" s="136" t="str">
        <f>IF(AI632="","",IF(L677="","",L677))</f>
        <v/>
      </c>
      <c r="BI677" s="136" t="str">
        <f>IF(AI632="","",IF(M677="","",M677))</f>
        <v/>
      </c>
      <c r="BJ677" s="136" t="str">
        <f>IF(AI632="","",IF(N677="","",N677))</f>
        <v/>
      </c>
      <c r="BK677" s="136" t="str">
        <f>IF(AI632="","",IF(O677="","",O677))</f>
        <v/>
      </c>
      <c r="BN677" s="136" t="str">
        <f t="shared" si="370"/>
        <v>Privado</v>
      </c>
      <c r="BO677" s="136" t="str">
        <f t="shared" si="370"/>
        <v>PV</v>
      </c>
      <c r="BP677" s="136">
        <f>IF(BO677="","",COUNTIFS(AX636:BK683,BO677)*0.5)</f>
        <v>0</v>
      </c>
      <c r="BQ677" s="136" t="str">
        <f t="shared" si="371"/>
        <v>Privado</v>
      </c>
      <c r="BR677" s="136" t="str">
        <f t="shared" si="371"/>
        <v>PV</v>
      </c>
      <c r="BS677" s="136" t="str">
        <f t="shared" si="372"/>
        <v>Privado</v>
      </c>
      <c r="BT677" s="136">
        <f t="shared" si="378"/>
        <v>384</v>
      </c>
      <c r="BU677" s="136">
        <f t="shared" si="379"/>
        <v>369</v>
      </c>
      <c r="CA677" s="136">
        <f>'INFO BASE'!L754</f>
        <v>0</v>
      </c>
      <c r="CB677" s="136">
        <f>'INFO BASE'!M754</f>
        <v>0</v>
      </c>
      <c r="CR677" s="177">
        <f t="shared" si="360"/>
        <v>1</v>
      </c>
      <c r="CS677" s="177">
        <f t="shared" si="361"/>
        <v>1</v>
      </c>
      <c r="CT677" s="177">
        <f t="shared" si="360"/>
        <v>1</v>
      </c>
      <c r="CU677" s="177">
        <f t="shared" si="362"/>
        <v>1</v>
      </c>
      <c r="CV677" s="177">
        <f t="shared" si="360"/>
        <v>1</v>
      </c>
      <c r="CW677" s="177">
        <f t="shared" si="363"/>
        <v>1</v>
      </c>
      <c r="CX677" s="177">
        <f t="shared" si="360"/>
        <v>1</v>
      </c>
      <c r="CY677" s="177">
        <f t="shared" si="364"/>
        <v>1</v>
      </c>
      <c r="CZ677" s="177">
        <f t="shared" si="360"/>
        <v>1</v>
      </c>
      <c r="DA677" s="177">
        <f t="shared" si="365"/>
        <v>1</v>
      </c>
      <c r="DB677" s="177">
        <f t="shared" si="360"/>
        <v>1</v>
      </c>
      <c r="DC677" s="177">
        <f t="shared" si="366"/>
        <v>1</v>
      </c>
      <c r="DD677" s="177">
        <f t="shared" si="367"/>
        <v>1</v>
      </c>
      <c r="DE677" s="177">
        <f t="shared" si="368"/>
        <v>1</v>
      </c>
    </row>
    <row r="678" spans="1:120" ht="18" customHeight="1" x14ac:dyDescent="0.3">
      <c r="A678" s="81">
        <v>0.87500000000002798</v>
      </c>
      <c r="B678" s="153"/>
      <c r="C678" s="130"/>
      <c r="D678" s="135"/>
      <c r="E678" s="130"/>
      <c r="F678" s="135"/>
      <c r="G678" s="130"/>
      <c r="H678" s="135"/>
      <c r="I678" s="130"/>
      <c r="J678" s="135"/>
      <c r="K678" s="130"/>
      <c r="L678" s="135"/>
      <c r="M678" s="130"/>
      <c r="N678" s="135"/>
      <c r="O678" s="154"/>
      <c r="P678" s="6">
        <v>0</v>
      </c>
      <c r="Q678" s="102" t="str">
        <f>IF('INFO BASE'!$C$24="","",'INFO BASE'!$C$24)</f>
        <v>Momento Avaliativo</v>
      </c>
      <c r="R678" s="82" t="str">
        <f t="shared" si="377"/>
        <v>MA</v>
      </c>
      <c r="S678" s="83" t="str">
        <f t="shared" si="374"/>
        <v>-</v>
      </c>
      <c r="T678" s="84" t="str">
        <f>IF(VLOOKUP(Q678,'INFO BASE'!$B$40:$I$54,IF(R678='INFO BASE'!$B$32,3,IF(R678='INFO BASE'!$B$33,4,IF(R678='INFO BASE'!$B$34,5,IF(R678='INFO BASE'!$B$35,6,IF(R678='INFO BASE'!$B$36,7,IF(R678='INFO BASE'!$B$37,8,2)))))),0)=0,"",VLOOKUP(Q678,'INFO BASE'!$B$40:$I$54,IF(R678='INFO BASE'!$B$32,3,IF(R678='INFO BASE'!$B$33,4,IF(R678='INFO BASE'!$B$34,5,IF(R678='INFO BASE'!$B$35,6,IF(R678='INFO BASE'!$B$36,7,IF(R678='INFO BASE'!$B$37,8,2)))))),0))</f>
        <v/>
      </c>
      <c r="U678" s="84">
        <f t="shared" si="386"/>
        <v>0</v>
      </c>
      <c r="V678" s="84">
        <f>IF(R678="","",COUNTIFS(AI636:AV683,R678)*0.5)</f>
        <v>0</v>
      </c>
      <c r="W678" s="85" t="str">
        <f>IF(AH632="","-",IF(V678=0,U678,IFERROR((U678/V678)-1,"-")))</f>
        <v>-</v>
      </c>
      <c r="X678" s="201">
        <f t="shared" si="375"/>
        <v>0</v>
      </c>
      <c r="Y678" s="277"/>
      <c r="Z678" s="278"/>
      <c r="AA678" s="278"/>
      <c r="AB678" s="278"/>
      <c r="AC678" s="278"/>
      <c r="AD678" s="278"/>
      <c r="AE678" s="278"/>
      <c r="AF678" s="279"/>
      <c r="AH678" s="136">
        <v>0.87500000000002798</v>
      </c>
      <c r="AI678" s="136" t="str">
        <f>IF(AH632="","",IF(B678="","",B678))</f>
        <v/>
      </c>
      <c r="AJ678" s="136" t="str">
        <f>IF(AH632="","",IF(C678="","",C678))</f>
        <v/>
      </c>
      <c r="AK678" s="136" t="str">
        <f>IF(AH632="","",IF(D678="","",D678))</f>
        <v/>
      </c>
      <c r="AL678" s="136" t="str">
        <f>IF(AH632="","",IF(E678="","",E678))</f>
        <v/>
      </c>
      <c r="AM678" s="136" t="str">
        <f>IF(AH632="","",IF(F678="","",F678))</f>
        <v/>
      </c>
      <c r="AN678" s="136" t="str">
        <f>IF(AH632="","",IF(G678="","",G678))</f>
        <v/>
      </c>
      <c r="AO678" s="136" t="str">
        <f>IF(AH632="","",IF(H678="","",H678))</f>
        <v/>
      </c>
      <c r="AP678" s="136" t="str">
        <f>IF(AH632="","",IF(I678="","",I678))</f>
        <v/>
      </c>
      <c r="AQ678" s="136" t="str">
        <f>IF(AH632="","",IF(J678="","",J678))</f>
        <v/>
      </c>
      <c r="AR678" s="136" t="str">
        <f>IF(AH632="","",IF(K678="","",K678))</f>
        <v/>
      </c>
      <c r="AS678" s="136" t="str">
        <f>IF(AH632="","",IF(L678="","",L678))</f>
        <v/>
      </c>
      <c r="AT678" s="136" t="str">
        <f>IF(AH632="","",IF(M678="","",M678))</f>
        <v/>
      </c>
      <c r="AU678" s="136" t="str">
        <f>IF(AH632="","",IF(N678="","",N678))</f>
        <v/>
      </c>
      <c r="AV678" s="136" t="str">
        <f>IF(AH632="","",IF(O678="","",O678))</f>
        <v/>
      </c>
      <c r="AX678" s="136" t="str">
        <f>IF(AI632="","",IF(B678="","",B678))</f>
        <v/>
      </c>
      <c r="AY678" s="136" t="str">
        <f>IF(AI632="","",IF(C678="","",C678))</f>
        <v/>
      </c>
      <c r="AZ678" s="136" t="str">
        <f>IF(AI632="","",IF(D678="","",D678))</f>
        <v/>
      </c>
      <c r="BA678" s="136" t="str">
        <f>IF(AI632="","",IF(E678="","",E678))</f>
        <v/>
      </c>
      <c r="BB678" s="136" t="str">
        <f>IF(AI632="","",IF(F678="","",F678))</f>
        <v/>
      </c>
      <c r="BC678" s="136" t="str">
        <f>IF(AI632="","",IF(G678="","",G678))</f>
        <v/>
      </c>
      <c r="BD678" s="136" t="str">
        <f>IF(AI632="","",IF(H678="","",H678))</f>
        <v/>
      </c>
      <c r="BE678" s="136" t="str">
        <f>IF(AI632="","",IF(I678="","",I678))</f>
        <v/>
      </c>
      <c r="BF678" s="136" t="str">
        <f>IF(AI632="","",IF(J678="","",J678))</f>
        <v/>
      </c>
      <c r="BG678" s="136" t="str">
        <f>IF(AI632="","",IF(K678="","",K678))</f>
        <v/>
      </c>
      <c r="BH678" s="136" t="str">
        <f>IF(AI632="","",IF(L678="","",L678))</f>
        <v/>
      </c>
      <c r="BI678" s="136" t="str">
        <f>IF(AI632="","",IF(M678="","",M678))</f>
        <v/>
      </c>
      <c r="BJ678" s="136" t="str">
        <f>IF(AI632="","",IF(N678="","",N678))</f>
        <v/>
      </c>
      <c r="BK678" s="136" t="str">
        <f>IF(AI632="","",IF(O678="","",O678))</f>
        <v/>
      </c>
      <c r="BN678" s="136" t="str">
        <f t="shared" si="370"/>
        <v>Deslocação</v>
      </c>
      <c r="BO678" s="136" t="str">
        <f t="shared" si="370"/>
        <v>HD</v>
      </c>
      <c r="BP678" s="136">
        <f>IF(BO678="","",COUNTIFS(AX636:BK683,BO678)*0.5)</f>
        <v>0</v>
      </c>
      <c r="BQ678" s="136" t="str">
        <f t="shared" si="371"/>
        <v>Deslocação</v>
      </c>
      <c r="BR678" s="136" t="str">
        <f t="shared" si="371"/>
        <v>HD</v>
      </c>
      <c r="BS678" s="136" t="str">
        <f t="shared" si="372"/>
        <v>Deslocação</v>
      </c>
      <c r="BT678" s="136">
        <f t="shared" si="378"/>
        <v>116.5</v>
      </c>
      <c r="BU678" s="136">
        <f t="shared" si="379"/>
        <v>115</v>
      </c>
      <c r="CA678" s="136">
        <f>'INFO BASE'!L755</f>
        <v>0</v>
      </c>
      <c r="CB678" s="136">
        <f>'INFO BASE'!M755</f>
        <v>0</v>
      </c>
      <c r="CR678" s="177">
        <f t="shared" si="360"/>
        <v>1</v>
      </c>
      <c r="CS678" s="177">
        <f t="shared" si="361"/>
        <v>1</v>
      </c>
      <c r="CT678" s="177">
        <f t="shared" si="360"/>
        <v>1</v>
      </c>
      <c r="CU678" s="177">
        <f t="shared" si="362"/>
        <v>1</v>
      </c>
      <c r="CV678" s="177">
        <f t="shared" si="360"/>
        <v>1</v>
      </c>
      <c r="CW678" s="177">
        <f t="shared" si="363"/>
        <v>1</v>
      </c>
      <c r="CX678" s="177">
        <f t="shared" si="360"/>
        <v>1</v>
      </c>
      <c r="CY678" s="177">
        <f t="shared" si="364"/>
        <v>1</v>
      </c>
      <c r="CZ678" s="177">
        <f t="shared" si="360"/>
        <v>1</v>
      </c>
      <c r="DA678" s="177">
        <f t="shared" si="365"/>
        <v>1</v>
      </c>
      <c r="DB678" s="177">
        <f t="shared" si="360"/>
        <v>1</v>
      </c>
      <c r="DC678" s="177">
        <f t="shared" si="366"/>
        <v>1</v>
      </c>
      <c r="DD678" s="177">
        <f t="shared" si="367"/>
        <v>1</v>
      </c>
      <c r="DE678" s="177">
        <f t="shared" si="368"/>
        <v>1</v>
      </c>
    </row>
    <row r="679" spans="1:120" ht="18" customHeight="1" x14ac:dyDescent="0.3">
      <c r="A679" s="81">
        <v>0.89583333333336201</v>
      </c>
      <c r="B679" s="153"/>
      <c r="C679" s="130"/>
      <c r="D679" s="135"/>
      <c r="E679" s="130"/>
      <c r="F679" s="135"/>
      <c r="G679" s="130"/>
      <c r="H679" s="135"/>
      <c r="I679" s="130"/>
      <c r="J679" s="135"/>
      <c r="K679" s="130"/>
      <c r="L679" s="135"/>
      <c r="M679" s="130"/>
      <c r="N679" s="135"/>
      <c r="O679" s="154"/>
      <c r="P679" s="6">
        <v>0</v>
      </c>
      <c r="Q679" s="103" t="str">
        <f>IF('INFO BASE'!$C$25="","",'INFO BASE'!$C$25)</f>
        <v>Horário de Dúvidas</v>
      </c>
      <c r="R679" s="87" t="str">
        <f t="shared" si="377"/>
        <v>HDV</v>
      </c>
      <c r="S679" s="88">
        <f t="shared" si="374"/>
        <v>-1</v>
      </c>
      <c r="T679" s="89">
        <f>IF(VLOOKUP(Q679,'INFO BASE'!$B$40:$I$54,IF(R679='INFO BASE'!$B$32,3,IF(R679='INFO BASE'!$B$33,4,IF(R679='INFO BASE'!$B$34,5,IF(R679='INFO BASE'!$B$35,6,IF(R679='INFO BASE'!$B$36,7,IF(R679='INFO BASE'!$B$37,8,2)))))),0)=0,"",VLOOKUP(Q679,'INFO BASE'!$B$40:$I$54,IF(R679='INFO BASE'!$B$32,3,IF(R679='INFO BASE'!$B$33,4,IF(R679='INFO BASE'!$B$34,5,IF(R679='INFO BASE'!$B$35,6,IF(R679='INFO BASE'!$B$36,7,IF(R679='INFO BASE'!$B$37,8,2)))))),0))</f>
        <v>3</v>
      </c>
      <c r="U679" s="89">
        <f t="shared" si="386"/>
        <v>0</v>
      </c>
      <c r="V679" s="89">
        <f>IF(R679="","",COUNTIFS(AI636:AV683,R679)*0.5)</f>
        <v>0</v>
      </c>
      <c r="W679" s="90" t="str">
        <f>IF(AH632="","-",IF(V679=0,U679,IFERROR((U679/V679)-1,"-")))</f>
        <v>-</v>
      </c>
      <c r="X679" s="201">
        <f t="shared" si="375"/>
        <v>0</v>
      </c>
      <c r="Y679" s="271"/>
      <c r="Z679" s="272"/>
      <c r="AA679" s="272"/>
      <c r="AB679" s="272"/>
      <c r="AC679" s="272"/>
      <c r="AD679" s="272"/>
      <c r="AE679" s="272"/>
      <c r="AF679" s="273"/>
      <c r="AH679" s="136">
        <v>0.89583333333336201</v>
      </c>
      <c r="AI679" s="136" t="str">
        <f>IF(AH632="","",IF(B679="","",B679))</f>
        <v/>
      </c>
      <c r="AJ679" s="136" t="str">
        <f>IF(AH632="","",IF(C679="","",C679))</f>
        <v/>
      </c>
      <c r="AK679" s="136" t="str">
        <f>IF(AH632="","",IF(D679="","",D679))</f>
        <v/>
      </c>
      <c r="AL679" s="136" t="str">
        <f>IF(AH632="","",IF(E679="","",E679))</f>
        <v/>
      </c>
      <c r="AM679" s="136" t="str">
        <f>IF(AH632="","",IF(F679="","",F679))</f>
        <v/>
      </c>
      <c r="AN679" s="136" t="str">
        <f>IF(AH632="","",IF(G679="","",G679))</f>
        <v/>
      </c>
      <c r="AO679" s="136" t="str">
        <f>IF(AH632="","",IF(H679="","",H679))</f>
        <v/>
      </c>
      <c r="AP679" s="136" t="str">
        <f>IF(AH632="","",IF(I679="","",I679))</f>
        <v/>
      </c>
      <c r="AQ679" s="136" t="str">
        <f>IF(AH632="","",IF(J679="","",J679))</f>
        <v/>
      </c>
      <c r="AR679" s="136" t="str">
        <f>IF(AH632="","",IF(K679="","",K679))</f>
        <v/>
      </c>
      <c r="AS679" s="136" t="str">
        <f>IF(AH632="","",IF(L679="","",L679))</f>
        <v/>
      </c>
      <c r="AT679" s="136" t="str">
        <f>IF(AH632="","",IF(M679="","",M679))</f>
        <v/>
      </c>
      <c r="AU679" s="136" t="str">
        <f>IF(AH632="","",IF(N679="","",N679))</f>
        <v/>
      </c>
      <c r="AV679" s="136" t="str">
        <f>IF(AH632="","",IF(O679="","",O679))</f>
        <v/>
      </c>
      <c r="AX679" s="136" t="str">
        <f>IF(AI632="","",IF(B679="","",B679))</f>
        <v/>
      </c>
      <c r="AY679" s="136" t="str">
        <f>IF(AI632="","",IF(C679="","",C679))</f>
        <v/>
      </c>
      <c r="AZ679" s="136" t="str">
        <f>IF(AI632="","",IF(D679="","",D679))</f>
        <v/>
      </c>
      <c r="BA679" s="136" t="str">
        <f>IF(AI632="","",IF(E679="","",E679))</f>
        <v/>
      </c>
      <c r="BB679" s="136" t="str">
        <f>IF(AI632="","",IF(F679="","",F679))</f>
        <v/>
      </c>
      <c r="BC679" s="136" t="str">
        <f>IF(AI632="","",IF(G679="","",G679))</f>
        <v/>
      </c>
      <c r="BD679" s="136" t="str">
        <f>IF(AI632="","",IF(H679="","",H679))</f>
        <v/>
      </c>
      <c r="BE679" s="136" t="str">
        <f>IF(AI632="","",IF(I679="","",I679))</f>
        <v/>
      </c>
      <c r="BF679" s="136" t="str">
        <f>IF(AI632="","",IF(J679="","",J679))</f>
        <v/>
      </c>
      <c r="BG679" s="136" t="str">
        <f>IF(AI632="","",IF(K679="","",K679))</f>
        <v/>
      </c>
      <c r="BH679" s="136" t="str">
        <f>IF(AI632="","",IF(L679="","",L679))</f>
        <v/>
      </c>
      <c r="BI679" s="136" t="str">
        <f>IF(AI632="","",IF(M679="","",M679))</f>
        <v/>
      </c>
      <c r="BJ679" s="136" t="str">
        <f>IF(AI632="","",IF(N679="","",N679))</f>
        <v/>
      </c>
      <c r="BK679" s="136" t="str">
        <f>IF(AI632="","",IF(O679="","",O679))</f>
        <v/>
      </c>
      <c r="BN679" s="136" t="str">
        <f t="shared" si="370"/>
        <v>Refeição</v>
      </c>
      <c r="BO679" s="136" t="str">
        <f t="shared" si="370"/>
        <v>HR</v>
      </c>
      <c r="BP679" s="136">
        <f>IF(BO679="","",COUNTIFS(AX636:BK683,BO679)*0.5)</f>
        <v>0</v>
      </c>
      <c r="BQ679" s="136" t="str">
        <f t="shared" si="371"/>
        <v>Refeição</v>
      </c>
      <c r="BR679" s="136" t="str">
        <f t="shared" si="371"/>
        <v>HR</v>
      </c>
      <c r="BS679" s="136" t="str">
        <f t="shared" si="372"/>
        <v>Refeição</v>
      </c>
      <c r="BT679" s="136">
        <f t="shared" si="378"/>
        <v>126</v>
      </c>
      <c r="BU679" s="136">
        <f t="shared" si="379"/>
        <v>124</v>
      </c>
      <c r="CA679" s="136">
        <f>'INFO BASE'!L756</f>
        <v>0</v>
      </c>
      <c r="CB679" s="136">
        <f>'INFO BASE'!M756</f>
        <v>0</v>
      </c>
      <c r="CR679" s="177">
        <f t="shared" si="360"/>
        <v>1</v>
      </c>
      <c r="CS679" s="177">
        <f t="shared" si="361"/>
        <v>1</v>
      </c>
      <c r="CT679" s="177">
        <f t="shared" si="360"/>
        <v>1</v>
      </c>
      <c r="CU679" s="177">
        <f t="shared" si="362"/>
        <v>1</v>
      </c>
      <c r="CV679" s="177">
        <f t="shared" si="360"/>
        <v>1</v>
      </c>
      <c r="CW679" s="177">
        <f t="shared" si="363"/>
        <v>1</v>
      </c>
      <c r="CX679" s="177">
        <f t="shared" ref="CX679:CX683" si="387">IF(H679="",1,H679)</f>
        <v>1</v>
      </c>
      <c r="CY679" s="177">
        <f t="shared" si="364"/>
        <v>1</v>
      </c>
      <c r="CZ679" s="177">
        <f t="shared" ref="CZ679:CZ683" si="388">IF(J679="",1,J679)</f>
        <v>1</v>
      </c>
      <c r="DA679" s="177">
        <f t="shared" si="365"/>
        <v>1</v>
      </c>
      <c r="DB679" s="177">
        <f t="shared" ref="DB679:DB683" si="389">IF(L679="",1,L679)</f>
        <v>1</v>
      </c>
      <c r="DC679" s="177">
        <f t="shared" si="366"/>
        <v>1</v>
      </c>
      <c r="DD679" s="177">
        <f t="shared" si="367"/>
        <v>1</v>
      </c>
      <c r="DE679" s="177">
        <f t="shared" si="368"/>
        <v>1</v>
      </c>
    </row>
    <row r="680" spans="1:120" ht="18" customHeight="1" x14ac:dyDescent="0.3">
      <c r="A680" s="81">
        <v>0.91666666666669605</v>
      </c>
      <c r="B680" s="153"/>
      <c r="C680" s="130"/>
      <c r="D680" s="135"/>
      <c r="E680" s="130"/>
      <c r="F680" s="135"/>
      <c r="G680" s="130"/>
      <c r="H680" s="135"/>
      <c r="I680" s="130"/>
      <c r="J680" s="135"/>
      <c r="K680" s="130"/>
      <c r="L680" s="135"/>
      <c r="M680" s="130"/>
      <c r="N680" s="135"/>
      <c r="O680" s="154"/>
      <c r="P680" s="6">
        <v>0.2</v>
      </c>
      <c r="Q680" s="104" t="str">
        <f>IF('INFO BASE'!$C$26="","",'INFO BASE'!$C$26)</f>
        <v>Privado</v>
      </c>
      <c r="R680" s="87" t="str">
        <f t="shared" si="377"/>
        <v>PV</v>
      </c>
      <c r="S680" s="88">
        <f t="shared" si="374"/>
        <v>-1</v>
      </c>
      <c r="T680" s="89">
        <f>IF(VLOOKUP(Q680,'INFO BASE'!$B$40:$I$54,IF(R680='INFO BASE'!$B$32,3,IF(R680='INFO BASE'!$B$33,4,IF(R680='INFO BASE'!$B$34,5,IF(R680='INFO BASE'!$B$35,6,IF(R680='INFO BASE'!$B$36,7,IF(R680='INFO BASE'!$B$37,8,2)))))),0)=0,"",VLOOKUP(Q680,'INFO BASE'!$B$40:$I$54,IF(R680='INFO BASE'!$B$32,3,IF(R680='INFO BASE'!$B$33,4,IF(R680='INFO BASE'!$B$34,5,IF(R680='INFO BASE'!$B$35,6,IF(R680='INFO BASE'!$B$36,7,IF(R680='INFO BASE'!$B$37,8,2)))))),0))</f>
        <v>26.5</v>
      </c>
      <c r="U680" s="89">
        <f t="shared" si="386"/>
        <v>0</v>
      </c>
      <c r="V680" s="89">
        <f>IF(R680="","",COUNTIFS(AI636:AV683,R680)*0.5)</f>
        <v>0</v>
      </c>
      <c r="W680" s="90" t="str">
        <f>IF(AH632="","-",IF(V680=0,U680,IFERROR((U680/V680)-1,"-")))</f>
        <v>-</v>
      </c>
      <c r="X680" s="202">
        <f t="shared" si="375"/>
        <v>0</v>
      </c>
      <c r="Y680" s="271"/>
      <c r="Z680" s="272"/>
      <c r="AA680" s="272"/>
      <c r="AB680" s="272"/>
      <c r="AC680" s="272"/>
      <c r="AD680" s="272"/>
      <c r="AE680" s="272"/>
      <c r="AF680" s="273"/>
      <c r="AH680" s="136">
        <v>0.91666666666669605</v>
      </c>
      <c r="AI680" s="136" t="str">
        <f>IF(AH632="","",IF(B680="","",B680))</f>
        <v/>
      </c>
      <c r="AJ680" s="136" t="str">
        <f>IF(AH632="","",IF(C680="","",C680))</f>
        <v/>
      </c>
      <c r="AK680" s="136" t="str">
        <f>IF(AH632="","",IF(D680="","",D680))</f>
        <v/>
      </c>
      <c r="AL680" s="136" t="str">
        <f>IF(AH632="","",IF(E680="","",E680))</f>
        <v/>
      </c>
      <c r="AM680" s="136" t="str">
        <f>IF(AH632="","",IF(F680="","",F680))</f>
        <v/>
      </c>
      <c r="AN680" s="136" t="str">
        <f>IF(AH632="","",IF(G680="","",G680))</f>
        <v/>
      </c>
      <c r="AO680" s="136" t="str">
        <f>IF(AH632="","",IF(H680="","",H680))</f>
        <v/>
      </c>
      <c r="AP680" s="136" t="str">
        <f>IF(AH632="","",IF(I680="","",I680))</f>
        <v/>
      </c>
      <c r="AQ680" s="136" t="str">
        <f>IF(AH632="","",IF(J680="","",J680))</f>
        <v/>
      </c>
      <c r="AR680" s="136" t="str">
        <f>IF(AH632="","",IF(K680="","",K680))</f>
        <v/>
      </c>
      <c r="AS680" s="136" t="str">
        <f>IF(AH632="","",IF(L680="","",L680))</f>
        <v/>
      </c>
      <c r="AT680" s="136" t="str">
        <f>IF(AH632="","",IF(M680="","",M680))</f>
        <v/>
      </c>
      <c r="AU680" s="136" t="str">
        <f>IF(AH632="","",IF(N680="","",N680))</f>
        <v/>
      </c>
      <c r="AV680" s="136" t="str">
        <f>IF(AH632="","",IF(O680="","",O680))</f>
        <v/>
      </c>
      <c r="AX680" s="136" t="str">
        <f>IF(AI632="","",IF(B680="","",B680))</f>
        <v/>
      </c>
      <c r="AY680" s="136" t="str">
        <f>IF(AI632="","",IF(C680="","",C680))</f>
        <v/>
      </c>
      <c r="AZ680" s="136" t="str">
        <f>IF(AI632="","",IF(D680="","",D680))</f>
        <v/>
      </c>
      <c r="BA680" s="136" t="str">
        <f>IF(AI632="","",IF(E680="","",E680))</f>
        <v/>
      </c>
      <c r="BB680" s="136" t="str">
        <f>IF(AI632="","",IF(F680="","",F680))</f>
        <v/>
      </c>
      <c r="BC680" s="136" t="str">
        <f>IF(AI632="","",IF(G680="","",G680))</f>
        <v/>
      </c>
      <c r="BD680" s="136" t="str">
        <f>IF(AI632="","",IF(H680="","",H680))</f>
        <v/>
      </c>
      <c r="BE680" s="136" t="str">
        <f>IF(AI632="","",IF(I680="","",I680))</f>
        <v/>
      </c>
      <c r="BF680" s="136" t="str">
        <f>IF(AI632="","",IF(J680="","",J680))</f>
        <v/>
      </c>
      <c r="BG680" s="136" t="str">
        <f>IF(AI632="","",IF(K680="","",K680))</f>
        <v/>
      </c>
      <c r="BH680" s="136" t="str">
        <f>IF(AI632="","",IF(L680="","",L680))</f>
        <v/>
      </c>
      <c r="BI680" s="136" t="str">
        <f>IF(AI632="","",IF(M680="","",M680))</f>
        <v/>
      </c>
      <c r="BJ680" s="136" t="str">
        <f>IF(AI632="","",IF(N680="","",N680))</f>
        <v/>
      </c>
      <c r="BK680" s="136" t="str">
        <f>IF(AI632="","",IF(O680="","",O680))</f>
        <v/>
      </c>
      <c r="BN680" s="136" t="str">
        <f t="shared" si="370"/>
        <v>Sono</v>
      </c>
      <c r="BO680" s="136" t="str">
        <f t="shared" si="370"/>
        <v>HS</v>
      </c>
      <c r="BP680" s="136">
        <f>IF(BO680="","",COUNTIFS(AX636:BK683,BO680)*0.5)</f>
        <v>0</v>
      </c>
      <c r="BQ680" s="136" t="str">
        <f t="shared" si="371"/>
        <v>Sono</v>
      </c>
      <c r="BR680" s="136" t="str">
        <f t="shared" si="371"/>
        <v>HS</v>
      </c>
      <c r="BS680" s="136" t="str">
        <f t="shared" si="372"/>
        <v>Sono</v>
      </c>
      <c r="BT680" s="136">
        <f t="shared" si="378"/>
        <v>417</v>
      </c>
      <c r="BU680" s="136">
        <f t="shared" si="379"/>
        <v>417.5</v>
      </c>
      <c r="CA680" s="136">
        <f>'INFO BASE'!L757</f>
        <v>0</v>
      </c>
      <c r="CB680" s="136">
        <f>'INFO BASE'!M757</f>
        <v>0</v>
      </c>
      <c r="CR680" s="177">
        <f t="shared" ref="CR680:CR683" si="390">IF(B680="",1,B680)</f>
        <v>1</v>
      </c>
      <c r="CS680" s="177">
        <f t="shared" si="361"/>
        <v>1</v>
      </c>
      <c r="CT680" s="177">
        <f t="shared" ref="CT680:CT683" si="391">IF(D680="",1,D680)</f>
        <v>1</v>
      </c>
      <c r="CU680" s="177">
        <f t="shared" si="362"/>
        <v>1</v>
      </c>
      <c r="CV680" s="177">
        <f t="shared" ref="CV680:CV683" si="392">IF(F680="",1,F680)</f>
        <v>1</v>
      </c>
      <c r="CW680" s="177">
        <f t="shared" si="363"/>
        <v>1</v>
      </c>
      <c r="CX680" s="177">
        <f t="shared" si="387"/>
        <v>1</v>
      </c>
      <c r="CY680" s="177">
        <f t="shared" si="364"/>
        <v>1</v>
      </c>
      <c r="CZ680" s="177">
        <f t="shared" si="388"/>
        <v>1</v>
      </c>
      <c r="DA680" s="177">
        <f t="shared" si="365"/>
        <v>1</v>
      </c>
      <c r="DB680" s="177">
        <f t="shared" si="389"/>
        <v>1</v>
      </c>
      <c r="DC680" s="177">
        <f t="shared" si="366"/>
        <v>1</v>
      </c>
      <c r="DD680" s="177">
        <f t="shared" si="367"/>
        <v>1</v>
      </c>
      <c r="DE680" s="177">
        <f t="shared" si="368"/>
        <v>1</v>
      </c>
    </row>
    <row r="681" spans="1:120" ht="18" customHeight="1" x14ac:dyDescent="0.3">
      <c r="A681" s="81">
        <v>0.93750000000002998</v>
      </c>
      <c r="B681" s="153"/>
      <c r="C681" s="130"/>
      <c r="D681" s="135"/>
      <c r="E681" s="130"/>
      <c r="F681" s="135"/>
      <c r="G681" s="130"/>
      <c r="H681" s="135"/>
      <c r="I681" s="130"/>
      <c r="J681" s="135"/>
      <c r="K681" s="130"/>
      <c r="L681" s="135"/>
      <c r="M681" s="130"/>
      <c r="N681" s="135"/>
      <c r="O681" s="154"/>
      <c r="P681" s="6">
        <v>0.2</v>
      </c>
      <c r="Q681" s="86" t="str">
        <f>IF('INFO BASE'!$C$27="","",'INFO BASE'!$C$27)</f>
        <v>Deslocação</v>
      </c>
      <c r="R681" s="87" t="str">
        <f t="shared" si="377"/>
        <v>HD</v>
      </c>
      <c r="S681" s="88">
        <f t="shared" si="374"/>
        <v>-1</v>
      </c>
      <c r="T681" s="89">
        <f>IF(VLOOKUP(Q681,'INFO BASE'!$B$40:$I$54,IF(R681='INFO BASE'!$B$32,3,IF(R681='INFO BASE'!$B$33,4,IF(R681='INFO BASE'!$B$34,5,IF(R681='INFO BASE'!$B$35,6,IF(R681='INFO BASE'!$B$36,7,IF(R681='INFO BASE'!$B$37,8,2)))))),0)=0,"",VLOOKUP(Q681,'INFO BASE'!$B$40:$I$54,IF(R681='INFO BASE'!$B$32,3,IF(R681='INFO BASE'!$B$33,4,IF(R681='INFO BASE'!$B$34,5,IF(R681='INFO BASE'!$B$35,6,IF(R681='INFO BASE'!$B$36,7,IF(R681='INFO BASE'!$B$37,8,2)))))),0))</f>
        <v>10</v>
      </c>
      <c r="U681" s="89">
        <f t="shared" si="386"/>
        <v>0</v>
      </c>
      <c r="V681" s="89">
        <f>IF(R681="","",COUNTIFS(AI636:AV683,R681)*0.5)</f>
        <v>0</v>
      </c>
      <c r="W681" s="90" t="str">
        <f>IF(AH632="","-",IF(V681=0,U681,IFERROR((U681/V681)-1,"-")))</f>
        <v>-</v>
      </c>
      <c r="X681" s="203">
        <f t="shared" si="375"/>
        <v>0</v>
      </c>
      <c r="Y681" s="271"/>
      <c r="Z681" s="272"/>
      <c r="AA681" s="272"/>
      <c r="AB681" s="272"/>
      <c r="AC681" s="272"/>
      <c r="AD681" s="272"/>
      <c r="AE681" s="272"/>
      <c r="AF681" s="273"/>
      <c r="AH681" s="136">
        <v>0.93750000000002998</v>
      </c>
      <c r="AI681" s="136" t="str">
        <f>IF(AH632="","",IF(B681="","",B681))</f>
        <v/>
      </c>
      <c r="AJ681" s="136" t="str">
        <f>IF(AH632="","",IF(C681="","",C681))</f>
        <v/>
      </c>
      <c r="AK681" s="136" t="str">
        <f>IF(AH632="","",IF(D681="","",D681))</f>
        <v/>
      </c>
      <c r="AL681" s="136" t="str">
        <f>IF(AH632="","",IF(E681="","",E681))</f>
        <v/>
      </c>
      <c r="AM681" s="136" t="str">
        <f>IF(AH632="","",IF(F681="","",F681))</f>
        <v/>
      </c>
      <c r="AN681" s="136" t="str">
        <f>IF(AH632="","",IF(G681="","",G681))</f>
        <v/>
      </c>
      <c r="AO681" s="136" t="str">
        <f>IF(AH632="","",IF(H681="","",H681))</f>
        <v/>
      </c>
      <c r="AP681" s="136" t="str">
        <f>IF(AH632="","",IF(I681="","",I681))</f>
        <v/>
      </c>
      <c r="AQ681" s="136" t="str">
        <f>IF(AH632="","",IF(J681="","",J681))</f>
        <v/>
      </c>
      <c r="AR681" s="136" t="str">
        <f>IF(AH632="","",IF(K681="","",K681))</f>
        <v/>
      </c>
      <c r="AS681" s="136" t="str">
        <f>IF(AH632="","",IF(L681="","",L681))</f>
        <v/>
      </c>
      <c r="AT681" s="136" t="str">
        <f>IF(AH632="","",IF(M681="","",M681))</f>
        <v/>
      </c>
      <c r="AU681" s="136" t="str">
        <f>IF(AH632="","",IF(N681="","",N681))</f>
        <v/>
      </c>
      <c r="AV681" s="136" t="str">
        <f>IF(AH632="","",IF(O681="","",O681))</f>
        <v/>
      </c>
      <c r="AX681" s="136" t="str">
        <f>IF(AI632="","",IF(B681="","",B681))</f>
        <v/>
      </c>
      <c r="AY681" s="136" t="str">
        <f>IF(AI632="","",IF(C681="","",C681))</f>
        <v/>
      </c>
      <c r="AZ681" s="136" t="str">
        <f>IF(AI632="","",IF(D681="","",D681))</f>
        <v/>
      </c>
      <c r="BA681" s="136" t="str">
        <f>IF(AI632="","",IF(E681="","",E681))</f>
        <v/>
      </c>
      <c r="BB681" s="136" t="str">
        <f>IF(AI632="","",IF(F681="","",F681))</f>
        <v/>
      </c>
      <c r="BC681" s="136" t="str">
        <f>IF(AI632="","",IF(G681="","",G681))</f>
        <v/>
      </c>
      <c r="BD681" s="136" t="str">
        <f>IF(AI632="","",IF(H681="","",H681))</f>
        <v/>
      </c>
      <c r="BE681" s="136" t="str">
        <f>IF(AI632="","",IF(I681="","",I681))</f>
        <v/>
      </c>
      <c r="BF681" s="136" t="str">
        <f>IF(AI632="","",IF(J681="","",J681))</f>
        <v/>
      </c>
      <c r="BG681" s="136" t="str">
        <f>IF(AI632="","",IF(K681="","",K681))</f>
        <v/>
      </c>
      <c r="BH681" s="136" t="str">
        <f>IF(AI632="","",IF(L681="","",L681))</f>
        <v/>
      </c>
      <c r="BI681" s="136" t="str">
        <f>IF(AI632="","",IF(M681="","",M681))</f>
        <v/>
      </c>
      <c r="BJ681" s="136" t="str">
        <f>IF(AI632="","",IF(N681="","",N681))</f>
        <v/>
      </c>
      <c r="BK681" s="136" t="str">
        <f>IF(AI632="","",IF(O681="","",O681))</f>
        <v/>
      </c>
      <c r="BP681" s="136" t="str">
        <f>IF(BO681="","",COUNTIFS(AX636:BK683,BO681)*0.5)</f>
        <v/>
      </c>
      <c r="CA681" s="136">
        <f>'INFO BASE'!L758</f>
        <v>0</v>
      </c>
      <c r="CB681" s="136">
        <f>'INFO BASE'!M758</f>
        <v>0</v>
      </c>
      <c r="CR681" s="177">
        <f t="shared" si="390"/>
        <v>1</v>
      </c>
      <c r="CS681" s="177">
        <f t="shared" si="361"/>
        <v>1</v>
      </c>
      <c r="CT681" s="177">
        <f t="shared" si="391"/>
        <v>1</v>
      </c>
      <c r="CU681" s="177">
        <f t="shared" si="362"/>
        <v>1</v>
      </c>
      <c r="CV681" s="177">
        <f t="shared" si="392"/>
        <v>1</v>
      </c>
      <c r="CW681" s="177">
        <f t="shared" si="363"/>
        <v>1</v>
      </c>
      <c r="CX681" s="177">
        <f t="shared" si="387"/>
        <v>1</v>
      </c>
      <c r="CY681" s="177">
        <f t="shared" si="364"/>
        <v>1</v>
      </c>
      <c r="CZ681" s="177">
        <f t="shared" si="388"/>
        <v>1</v>
      </c>
      <c r="DA681" s="177">
        <f t="shared" si="365"/>
        <v>1</v>
      </c>
      <c r="DB681" s="177">
        <f t="shared" si="389"/>
        <v>1</v>
      </c>
      <c r="DC681" s="177">
        <f t="shared" si="366"/>
        <v>1</v>
      </c>
      <c r="DD681" s="177">
        <f t="shared" si="367"/>
        <v>1</v>
      </c>
      <c r="DE681" s="177">
        <f t="shared" si="368"/>
        <v>1</v>
      </c>
    </row>
    <row r="682" spans="1:120" ht="18" customHeight="1" x14ac:dyDescent="0.3">
      <c r="A682" s="81">
        <v>0.95833333333336401</v>
      </c>
      <c r="B682" s="153"/>
      <c r="C682" s="130"/>
      <c r="D682" s="135"/>
      <c r="E682" s="130"/>
      <c r="F682" s="135"/>
      <c r="G682" s="130"/>
      <c r="H682" s="135"/>
      <c r="I682" s="130"/>
      <c r="J682" s="135"/>
      <c r="K682" s="130"/>
      <c r="L682" s="135"/>
      <c r="M682" s="130"/>
      <c r="N682" s="135"/>
      <c r="O682" s="154"/>
      <c r="P682" s="6">
        <v>0.2</v>
      </c>
      <c r="Q682" s="91" t="str">
        <f>IF('INFO BASE'!$C$28="","",'INFO BASE'!$C$28)</f>
        <v>Refeição</v>
      </c>
      <c r="R682" s="87" t="str">
        <f t="shared" si="377"/>
        <v>HR</v>
      </c>
      <c r="S682" s="88">
        <f t="shared" si="374"/>
        <v>-1</v>
      </c>
      <c r="T682" s="89">
        <f>IF(VLOOKUP(Q682,'INFO BASE'!$B$40:$I$54,IF(R682='INFO BASE'!$B$32,3,IF(R682='INFO BASE'!$B$33,4,IF(R682='INFO BASE'!$B$34,5,IF(R682='INFO BASE'!$B$35,6,IF(R682='INFO BASE'!$B$36,7,IF(R682='INFO BASE'!$B$37,8,2)))))),0)=0,"",VLOOKUP(Q682,'INFO BASE'!$B$40:$I$54,IF(R682='INFO BASE'!$B$32,3,IF(R682='INFO BASE'!$B$33,4,IF(R682='INFO BASE'!$B$34,5,IF(R682='INFO BASE'!$B$35,6,IF(R682='INFO BASE'!$B$36,7,IF(R682='INFO BASE'!$B$37,8,2)))))),0))</f>
        <v>15</v>
      </c>
      <c r="U682" s="89">
        <f t="shared" si="386"/>
        <v>0</v>
      </c>
      <c r="V682" s="89">
        <f>IF(R682="","",COUNTIFS(AI636:AV683,R682)*0.5)</f>
        <v>0</v>
      </c>
      <c r="W682" s="90" t="str">
        <f>IF(AH632="","-",IF(V682=0,U682,IFERROR((U682/V682)-1,"-")))</f>
        <v>-</v>
      </c>
      <c r="X682" s="204">
        <f t="shared" si="375"/>
        <v>0</v>
      </c>
      <c r="Y682" s="271"/>
      <c r="Z682" s="272"/>
      <c r="AA682" s="272"/>
      <c r="AB682" s="272"/>
      <c r="AC682" s="272"/>
      <c r="AD682" s="272"/>
      <c r="AE682" s="272"/>
      <c r="AF682" s="273"/>
      <c r="AH682" s="136">
        <v>0.95833333333336401</v>
      </c>
      <c r="AI682" s="136" t="str">
        <f>IF(AH632="","",IF(B682="","",B682))</f>
        <v/>
      </c>
      <c r="AJ682" s="136" t="str">
        <f>IF(AH632="","",IF(C682="","",C682))</f>
        <v/>
      </c>
      <c r="AK682" s="136" t="str">
        <f>IF(AH632="","",IF(D682="","",D682))</f>
        <v/>
      </c>
      <c r="AL682" s="136" t="str">
        <f>IF(AH632="","",IF(E682="","",E682))</f>
        <v/>
      </c>
      <c r="AM682" s="136" t="str">
        <f>IF(AH632="","",IF(F682="","",F682))</f>
        <v/>
      </c>
      <c r="AN682" s="136" t="str">
        <f>IF(AH632="","",IF(G682="","",G682))</f>
        <v/>
      </c>
      <c r="AO682" s="136" t="str">
        <f>IF(AH632="","",IF(H682="","",H682))</f>
        <v/>
      </c>
      <c r="AP682" s="136" t="str">
        <f>IF(AH632="","",IF(I682="","",I682))</f>
        <v/>
      </c>
      <c r="AQ682" s="136" t="str">
        <f>IF(AH632="","",IF(J682="","",J682))</f>
        <v/>
      </c>
      <c r="AR682" s="136" t="str">
        <f>IF(AH632="","",IF(K682="","",K682))</f>
        <v/>
      </c>
      <c r="AS682" s="136" t="str">
        <f>IF(AH632="","",IF(L682="","",L682))</f>
        <v/>
      </c>
      <c r="AT682" s="136" t="str">
        <f>IF(AH632="","",IF(M682="","",M682))</f>
        <v/>
      </c>
      <c r="AU682" s="136" t="str">
        <f>IF(AH632="","",IF(N682="","",N682))</f>
        <v/>
      </c>
      <c r="AV682" s="136" t="str">
        <f>IF(AH632="","",IF(O682="","",O682))</f>
        <v/>
      </c>
      <c r="AX682" s="136" t="str">
        <f>IF(AI632="","",IF(B682="","",B682))</f>
        <v/>
      </c>
      <c r="AY682" s="136" t="str">
        <f>IF(AI632="","",IF(C682="","",C682))</f>
        <v/>
      </c>
      <c r="AZ682" s="136" t="str">
        <f>IF(AI632="","",IF(D682="","",D682))</f>
        <v/>
      </c>
      <c r="BA682" s="136" t="str">
        <f>IF(AI632="","",IF(E682="","",E682))</f>
        <v/>
      </c>
      <c r="BB682" s="136" t="str">
        <f>IF(AI632="","",IF(F682="","",F682))</f>
        <v/>
      </c>
      <c r="BC682" s="136" t="str">
        <f>IF(AI632="","",IF(G682="","",G682))</f>
        <v/>
      </c>
      <c r="BD682" s="136" t="str">
        <f>IF(AI632="","",IF(H682="","",H682))</f>
        <v/>
      </c>
      <c r="BE682" s="136" t="str">
        <f>IF(AI632="","",IF(I682="","",I682))</f>
        <v/>
      </c>
      <c r="BF682" s="136" t="str">
        <f>IF(AI632="","",IF(J682="","",J682))</f>
        <v/>
      </c>
      <c r="BG682" s="136" t="str">
        <f>IF(AI632="","",IF(K682="","",K682))</f>
        <v/>
      </c>
      <c r="BH682" s="136" t="str">
        <f>IF(AI632="","",IF(L682="","",L682))</f>
        <v/>
      </c>
      <c r="BI682" s="136" t="str">
        <f>IF(AI632="","",IF(M682="","",M682))</f>
        <v/>
      </c>
      <c r="BJ682" s="136" t="str">
        <f>IF(AI632="","",IF(N682="","",N682))</f>
        <v/>
      </c>
      <c r="BK682" s="136" t="str">
        <f>IF(AI632="","",IF(O682="","",O682))</f>
        <v/>
      </c>
      <c r="BP682" s="136" t="str">
        <f>IF(BO682="","",COUNTIFS(AX636:BK683,BO682)*0.5)</f>
        <v/>
      </c>
      <c r="CA682" s="136">
        <f>'INFO BASE'!L759</f>
        <v>0</v>
      </c>
      <c r="CB682" s="136">
        <f>'INFO BASE'!M759</f>
        <v>0</v>
      </c>
      <c r="CR682" s="177">
        <f t="shared" si="390"/>
        <v>1</v>
      </c>
      <c r="CS682" s="177">
        <f t="shared" si="361"/>
        <v>1</v>
      </c>
      <c r="CT682" s="177">
        <f t="shared" si="391"/>
        <v>1</v>
      </c>
      <c r="CU682" s="177">
        <f t="shared" si="362"/>
        <v>1</v>
      </c>
      <c r="CV682" s="177">
        <f t="shared" si="392"/>
        <v>1</v>
      </c>
      <c r="CW682" s="177">
        <f t="shared" si="363"/>
        <v>1</v>
      </c>
      <c r="CX682" s="177">
        <f t="shared" si="387"/>
        <v>1</v>
      </c>
      <c r="CY682" s="177">
        <f t="shared" si="364"/>
        <v>1</v>
      </c>
      <c r="CZ682" s="177">
        <f t="shared" si="388"/>
        <v>1</v>
      </c>
      <c r="DA682" s="177">
        <f t="shared" si="365"/>
        <v>1</v>
      </c>
      <c r="DB682" s="177">
        <f t="shared" si="389"/>
        <v>1</v>
      </c>
      <c r="DC682" s="177">
        <f t="shared" si="366"/>
        <v>1</v>
      </c>
      <c r="DD682" s="177">
        <f t="shared" si="367"/>
        <v>1</v>
      </c>
      <c r="DE682" s="177">
        <f t="shared" si="368"/>
        <v>1</v>
      </c>
    </row>
    <row r="683" spans="1:120" ht="18" customHeight="1" thickBot="1" x14ac:dyDescent="0.35">
      <c r="A683" s="180">
        <v>0.97916666666669805</v>
      </c>
      <c r="B683" s="155"/>
      <c r="C683" s="156"/>
      <c r="D683" s="157"/>
      <c r="E683" s="156"/>
      <c r="F683" s="157"/>
      <c r="G683" s="156"/>
      <c r="H683" s="157"/>
      <c r="I683" s="156"/>
      <c r="J683" s="157"/>
      <c r="K683" s="156"/>
      <c r="L683" s="157"/>
      <c r="M683" s="156"/>
      <c r="N683" s="157"/>
      <c r="O683" s="158"/>
      <c r="P683" s="6">
        <v>0.2</v>
      </c>
      <c r="Q683" s="92" t="str">
        <f>IF('INFO BASE'!$C$29="","",'INFO BASE'!$C$29)</f>
        <v>Sono</v>
      </c>
      <c r="R683" s="93" t="str">
        <f t="shared" si="377"/>
        <v>HS</v>
      </c>
      <c r="S683" s="94">
        <f t="shared" si="374"/>
        <v>-1</v>
      </c>
      <c r="T683" s="95">
        <f>IF(VLOOKUP(Q683,'INFO BASE'!$B$40:$I$54,IF(R683='INFO BASE'!$B$32,3,IF(R683='INFO BASE'!$B$33,4,IF(R683='INFO BASE'!$B$34,5,IF(R683='INFO BASE'!$B$35,6,IF(R683='INFO BASE'!$B$36,7,IF(R683='INFO BASE'!$B$37,8,2)))))),0)=0,"",VLOOKUP(Q683,'INFO BASE'!$B$40:$I$54,IF(R683='INFO BASE'!$B$32,3,IF(R683='INFO BASE'!$B$33,4,IF(R683='INFO BASE'!$B$34,5,IF(R683='INFO BASE'!$B$35,6,IF(R683='INFO BASE'!$B$36,7,IF(R683='INFO BASE'!$B$37,8,2)))))),0))</f>
        <v>49</v>
      </c>
      <c r="U683" s="95">
        <f t="shared" si="386"/>
        <v>0</v>
      </c>
      <c r="V683" s="95">
        <f>IF(R683="","",COUNTIFS(AI636:AV683,R683)*0.5)</f>
        <v>0</v>
      </c>
      <c r="W683" s="96" t="str">
        <f>IF(AH632="","-",IF(V683=0,U683,IFERROR((U683/V683)-1,"-")))</f>
        <v>-</v>
      </c>
      <c r="X683" s="204">
        <f t="shared" si="375"/>
        <v>0</v>
      </c>
      <c r="Y683" s="274"/>
      <c r="Z683" s="275"/>
      <c r="AA683" s="275"/>
      <c r="AB683" s="275"/>
      <c r="AC683" s="275"/>
      <c r="AD683" s="275"/>
      <c r="AE683" s="275"/>
      <c r="AF683" s="276"/>
      <c r="AH683" s="136">
        <v>0.97916666666669805</v>
      </c>
      <c r="AI683" s="136" t="str">
        <f>IF(AH632="","",IF(B683="","",B683))</f>
        <v/>
      </c>
      <c r="AJ683" s="136" t="str">
        <f>IF(AH632="","",IF(C683="","",C683))</f>
        <v/>
      </c>
      <c r="AK683" s="136" t="str">
        <f>IF(AH632="","",IF(D683="","",D683))</f>
        <v/>
      </c>
      <c r="AL683" s="136" t="str">
        <f>IF(AH632="","",IF(E683="","",E683))</f>
        <v/>
      </c>
      <c r="AM683" s="136" t="str">
        <f>IF(AH632="","",IF(F683="","",F683))</f>
        <v/>
      </c>
      <c r="AN683" s="136" t="str">
        <f>IF(AH632="","",IF(G683="","",G683))</f>
        <v/>
      </c>
      <c r="AO683" s="136" t="str">
        <f>IF(AH632="","",IF(H683="","",H683))</f>
        <v/>
      </c>
      <c r="AP683" s="136" t="str">
        <f>IF(AH632="","",IF(I683="","",I683))</f>
        <v/>
      </c>
      <c r="AQ683" s="136" t="str">
        <f>IF(AH632="","",IF(J683="","",J683))</f>
        <v/>
      </c>
      <c r="AR683" s="136" t="str">
        <f>IF(AH632="","",IF(K683="","",K683))</f>
        <v/>
      </c>
      <c r="AS683" s="136" t="str">
        <f>IF(AH632="","",IF(L683="","",L683))</f>
        <v/>
      </c>
      <c r="AT683" s="136" t="str">
        <f>IF(AH632="","",IF(M683="","",M683))</f>
        <v/>
      </c>
      <c r="AU683" s="136" t="str">
        <f>IF(AH632="","",IF(N683="","",N683))</f>
        <v/>
      </c>
      <c r="AV683" s="136" t="str">
        <f>IF(AH632="","",IF(O683="","",O683))</f>
        <v/>
      </c>
      <c r="AX683" s="136" t="str">
        <f>IF(AI632="","",IF(B683="","",B683))</f>
        <v/>
      </c>
      <c r="AY683" s="136" t="str">
        <f>IF(AI632="","",IF(C683="","",C683))</f>
        <v/>
      </c>
      <c r="AZ683" s="136" t="str">
        <f>IF(AI632="","",IF(D683="","",D683))</f>
        <v/>
      </c>
      <c r="BA683" s="136" t="str">
        <f>IF(AI632="","",IF(E683="","",E683))</f>
        <v/>
      </c>
      <c r="BB683" s="136" t="str">
        <f>IF(AI632="","",IF(F683="","",F683))</f>
        <v/>
      </c>
      <c r="BC683" s="136" t="str">
        <f>IF(AI632="","",IF(G683="","",G683))</f>
        <v/>
      </c>
      <c r="BD683" s="136" t="str">
        <f>IF(AI632="","",IF(H683="","",H683))</f>
        <v/>
      </c>
      <c r="BE683" s="136" t="str">
        <f>IF(AI632="","",IF(I683="","",I683))</f>
        <v/>
      </c>
      <c r="BF683" s="136" t="str">
        <f>IF(AI632="","",IF(J683="","",J683))</f>
        <v/>
      </c>
      <c r="BG683" s="136" t="str">
        <f>IF(AI632="","",IF(K683="","",K683))</f>
        <v/>
      </c>
      <c r="BH683" s="136" t="str">
        <f>IF(AI632="","",IF(L683="","",L683))</f>
        <v/>
      </c>
      <c r="BI683" s="136" t="str">
        <f>IF(AI632="","",IF(M683="","",M683))</f>
        <v/>
      </c>
      <c r="BJ683" s="136" t="str">
        <f>IF(AI632="","",IF(N683="","",N683))</f>
        <v/>
      </c>
      <c r="BK683" s="136" t="str">
        <f>IF(AI632="","",IF(O683="","",O683))</f>
        <v/>
      </c>
      <c r="BP683" s="136" t="str">
        <f>IF(BO683="","",COUNTIFS(AX636:BK683,BO683)*0.5)</f>
        <v/>
      </c>
      <c r="CA683" s="136">
        <f>'INFO BASE'!L760</f>
        <v>0</v>
      </c>
      <c r="CB683" s="136">
        <f>'INFO BASE'!M760</f>
        <v>0</v>
      </c>
      <c r="CR683" s="177">
        <f t="shared" si="390"/>
        <v>1</v>
      </c>
      <c r="CS683" s="177">
        <f t="shared" si="361"/>
        <v>1</v>
      </c>
      <c r="CT683" s="177">
        <f t="shared" si="391"/>
        <v>1</v>
      </c>
      <c r="CU683" s="177">
        <f t="shared" si="362"/>
        <v>1</v>
      </c>
      <c r="CV683" s="177">
        <f t="shared" si="392"/>
        <v>1</v>
      </c>
      <c r="CW683" s="177">
        <f t="shared" si="363"/>
        <v>1</v>
      </c>
      <c r="CX683" s="177">
        <f t="shared" si="387"/>
        <v>1</v>
      </c>
      <c r="CY683" s="177">
        <f t="shared" si="364"/>
        <v>1</v>
      </c>
      <c r="CZ683" s="177">
        <f t="shared" si="388"/>
        <v>1</v>
      </c>
      <c r="DA683" s="177">
        <f t="shared" si="365"/>
        <v>1</v>
      </c>
      <c r="DB683" s="177">
        <f t="shared" si="389"/>
        <v>1</v>
      </c>
      <c r="DC683" s="177">
        <f t="shared" si="366"/>
        <v>1</v>
      </c>
      <c r="DD683" s="177">
        <f t="shared" si="367"/>
        <v>1</v>
      </c>
      <c r="DE683" s="177">
        <f t="shared" si="368"/>
        <v>1</v>
      </c>
    </row>
    <row r="684" spans="1:120" s="139" customFormat="1" ht="15" thickTop="1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7">
        <v>1</v>
      </c>
      <c r="Y684" s="6">
        <f>COUNTA(Y647:AF683)</f>
        <v>0</v>
      </c>
      <c r="Z684" s="6">
        <f>SUM(X647:X683)</f>
        <v>0</v>
      </c>
      <c r="AA684" s="6">
        <f>IF(Z684&gt;Y684,"ERRO",0)</f>
        <v>0</v>
      </c>
      <c r="AB684" s="6"/>
      <c r="AC684" s="6"/>
      <c r="AD684" s="6"/>
      <c r="AE684" s="6"/>
      <c r="AF684" s="6"/>
      <c r="AG684" s="6"/>
      <c r="BM684" s="136"/>
      <c r="BN684" s="136"/>
      <c r="BO684" s="136"/>
      <c r="BP684" s="136"/>
      <c r="BQ684" s="136"/>
      <c r="BR684" s="136"/>
      <c r="BS684" s="136"/>
      <c r="BT684" s="136"/>
      <c r="BU684" s="136"/>
      <c r="DN684" s="194"/>
      <c r="DO684" s="194"/>
      <c r="DP684" s="194"/>
    </row>
    <row r="685" spans="1:120" s="139" customFormat="1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7">
        <v>1</v>
      </c>
      <c r="Y685" s="6" t="s">
        <v>220</v>
      </c>
      <c r="Z685" s="6" t="s">
        <v>219</v>
      </c>
      <c r="AA685" s="6" t="s">
        <v>221</v>
      </c>
      <c r="AB685" s="6"/>
      <c r="AC685" s="6"/>
      <c r="AD685" s="6"/>
      <c r="AE685" s="6"/>
      <c r="AF685" s="6"/>
      <c r="AG685" s="6"/>
      <c r="BM685" s="136"/>
      <c r="BN685" s="136"/>
      <c r="BO685" s="136"/>
      <c r="BP685" s="136"/>
      <c r="BQ685" s="136"/>
      <c r="BR685" s="136"/>
      <c r="BS685" s="136"/>
      <c r="BT685" s="136"/>
      <c r="BU685" s="136"/>
      <c r="DN685" s="194"/>
      <c r="DO685" s="194"/>
      <c r="DP685" s="194"/>
    </row>
    <row r="686" spans="1:120" s="139" customFormat="1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7">
        <v>1</v>
      </c>
      <c r="Y686" s="6"/>
      <c r="Z686" s="6"/>
      <c r="AA686" s="6"/>
      <c r="AB686" s="6"/>
      <c r="AC686" s="6"/>
      <c r="AD686" s="6"/>
      <c r="AE686" s="6"/>
      <c r="AF686" s="6"/>
      <c r="AG686" s="6"/>
      <c r="BM686" s="136"/>
      <c r="BN686" s="136"/>
      <c r="BO686" s="136"/>
      <c r="BP686" s="136"/>
      <c r="BQ686" s="136"/>
      <c r="BR686" s="136"/>
      <c r="BS686" s="136"/>
      <c r="BT686" s="136"/>
      <c r="BU686" s="136"/>
      <c r="DN686" s="194"/>
      <c r="DO686" s="194"/>
      <c r="DP686" s="194"/>
    </row>
    <row r="687" spans="1:120" ht="15" thickBot="1" x14ac:dyDescent="0.35">
      <c r="X687" s="7">
        <v>1</v>
      </c>
    </row>
    <row r="688" spans="1:120" ht="38.25" customHeight="1" thickTop="1" thickBot="1" x14ac:dyDescent="0.35">
      <c r="A688" s="311" t="str">
        <f>IF(LEN(A631)=8,CONCATENATE("SEMANA ",RIGHT(A631,1)+1),CONCATENATE("SEMANA ",RIGHT(A631,2)+1))</f>
        <v>SEMANA 13</v>
      </c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3"/>
      <c r="AG688" s="12"/>
      <c r="CA688" s="136">
        <f>'INFO BASE'!L769</f>
        <v>0</v>
      </c>
      <c r="CB688" s="136">
        <f>'INFO BASE'!M769</f>
        <v>0</v>
      </c>
    </row>
    <row r="689" spans="1:109" ht="9" customHeight="1" thickTop="1" thickBot="1" x14ac:dyDescent="0.35">
      <c r="A689" s="139"/>
      <c r="B689" s="139"/>
      <c r="C689" s="140"/>
      <c r="D689" s="139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41">
        <v>1</v>
      </c>
      <c r="Y689" s="139"/>
      <c r="Z689" s="139"/>
      <c r="AA689" s="139"/>
      <c r="AB689" s="139"/>
      <c r="AC689" s="139"/>
      <c r="AD689" s="139"/>
      <c r="AE689" s="139"/>
      <c r="AF689" s="139"/>
      <c r="AG689" s="139"/>
      <c r="CA689" s="136">
        <f>'INFO BASE'!L770</f>
        <v>0</v>
      </c>
      <c r="CB689" s="136">
        <f>'INFO BASE'!M770</f>
        <v>0</v>
      </c>
    </row>
    <row r="690" spans="1:109" ht="30.75" customHeight="1" x14ac:dyDescent="0.3">
      <c r="A690" s="145"/>
      <c r="B690" s="314">
        <f>1-(CR690/673)</f>
        <v>0</v>
      </c>
      <c r="C690" s="315"/>
      <c r="D690" s="315"/>
      <c r="E690" s="315"/>
      <c r="F690" s="315"/>
      <c r="G690" s="315"/>
      <c r="H690" s="315"/>
      <c r="I690" s="315"/>
      <c r="J690" s="315"/>
      <c r="K690" s="315"/>
      <c r="L690" s="315"/>
      <c r="M690" s="315"/>
      <c r="N690" s="315"/>
      <c r="O690" s="316"/>
      <c r="Q690" s="205">
        <f>IF(OR(Q693="Registe aqui o que considera serem as suas três principais prioridades para a semana
(Dica - para criar paragráfos Alt+Enter)",LEN(Q693)&lt;10),1,0)</f>
        <v>1</v>
      </c>
      <c r="X690" s="7">
        <v>1</v>
      </c>
      <c r="AM690" s="136" t="str">
        <f>CONCATENATE("PLANEAMENTO ",I690)</f>
        <v xml:space="preserve">PLANEAMENTO </v>
      </c>
      <c r="AX690" s="136" t="str">
        <f>IF(AI689="","",IF(B690="","",B690))</f>
        <v/>
      </c>
      <c r="AY690" s="136" t="str">
        <f>IF(AI689="","",IF(C690="","",C690))</f>
        <v/>
      </c>
      <c r="AZ690" s="136" t="str">
        <f>IF(AI689="","",IF(D690="","",D690))</f>
        <v/>
      </c>
      <c r="BA690" s="136" t="str">
        <f>IF(AI689="","",IF(E690="","",E690))</f>
        <v/>
      </c>
      <c r="BB690" s="136" t="str">
        <f>IF(AI689="","",IF(F690="","",F690))</f>
        <v/>
      </c>
      <c r="BC690" s="136" t="str">
        <f>IF(AI689="","",IF(G690="","",G690))</f>
        <v/>
      </c>
      <c r="BD690" s="136" t="str">
        <f>IF(AI689="","",IF(H690="","",H690))</f>
        <v/>
      </c>
      <c r="BE690" s="136" t="str">
        <f>IF(AI689="","",IF(I690="","",I690))</f>
        <v/>
      </c>
      <c r="BF690" s="136" t="str">
        <f>IF(AI689="","",IF(J690="","",J690))</f>
        <v/>
      </c>
      <c r="BG690" s="136" t="str">
        <f>IF(AI689="","",IF(K690="","",K690))</f>
        <v/>
      </c>
      <c r="BH690" s="136" t="str">
        <f>IF(AI689="","",IF(L690="","",L690))</f>
        <v/>
      </c>
      <c r="BI690" s="136" t="str">
        <f>IF(AI689="","",IF(M690="","",M690))</f>
        <v/>
      </c>
      <c r="BJ690" s="136" t="str">
        <f>IF(AI689="","",IF(N690="","",N690))</f>
        <v/>
      </c>
      <c r="BK690" s="136" t="str">
        <f>IF(AI689="","",IF(O690="","",O690))</f>
        <v/>
      </c>
      <c r="CA690" s="136">
        <f>'INFO BASE'!L756</f>
        <v>0</v>
      </c>
      <c r="CB690" s="136">
        <f>'INFO BASE'!M756</f>
        <v>0</v>
      </c>
      <c r="CR690" s="136">
        <f>SUM(CR693:DE740,Q690)</f>
        <v>673</v>
      </c>
    </row>
    <row r="691" spans="1:109" ht="37.5" customHeight="1" thickBot="1" x14ac:dyDescent="0.35">
      <c r="A691" s="146"/>
      <c r="B691" s="330" t="str">
        <f>CONCATENATE("Segunda ",CHAR(10),TEXT(B692,"dd-mm-aaaa"))</f>
        <v>Segunda 
07-12-2015</v>
      </c>
      <c r="C691" s="317"/>
      <c r="D691" s="317" t="str">
        <f>CONCATENATE("Terça ",CHAR(10),TEXT(D692,"dd-mm-aaaa"))</f>
        <v>Terça 
08-12-2015</v>
      </c>
      <c r="E691" s="317"/>
      <c r="F691" s="317" t="str">
        <f>CONCATENATE("Quarta ",CHAR(10),TEXT(F692,"dd-mm-aaaa"))</f>
        <v>Quarta 
09-12-2015</v>
      </c>
      <c r="G691" s="317"/>
      <c r="H691" s="317" t="str">
        <f>CONCATENATE("Quinta ",CHAR(10),TEXT(H692,"dd-mm-aaaa"))</f>
        <v>Quinta 
10-12-2015</v>
      </c>
      <c r="I691" s="317"/>
      <c r="J691" s="317" t="str">
        <f>CONCATENATE("Sexta ",CHAR(10),TEXT(J692,"dd-mm-aaaa"))</f>
        <v>Sexta 
11-12-2015</v>
      </c>
      <c r="K691" s="317"/>
      <c r="L691" s="317" t="str">
        <f>CONCATENATE("Sábado ",CHAR(10),TEXT(L692,"dd-mm-aaaa"))</f>
        <v>Sábado 
12-12-2015</v>
      </c>
      <c r="M691" s="317"/>
      <c r="N691" s="317" t="str">
        <f>CONCATENATE("Domingo ",CHAR(10),TEXT(N692,"dd-mm-aaaa"))</f>
        <v>Domingo 
13-12-2015</v>
      </c>
      <c r="O691" s="329"/>
      <c r="Q691" s="55" t="str">
        <f>'INFO BASE'!$L$3</f>
        <v>PRIORIDADES PARA ESTA SEMANA</v>
      </c>
      <c r="R691" s="132"/>
      <c r="S691" s="132"/>
      <c r="T691" s="132"/>
      <c r="U691" s="132"/>
      <c r="V691" s="132"/>
      <c r="W691" s="195" t="str">
        <f>CONCATENATE("HORÁRIO ",'INFO BASE'!$C$6,"_",'INFO BASE'!$C$5,": ",UPPER(A688))</f>
        <v>HORÁRIO André Fonseca_84698: SEMANA 13</v>
      </c>
      <c r="X691" s="198">
        <v>1</v>
      </c>
      <c r="Y691" s="261" t="str">
        <f>'INFO BASE'!$L$1</f>
        <v>MOMENTOS AVALIATIVOS</v>
      </c>
      <c r="Z691" s="261"/>
      <c r="AA691" s="261"/>
      <c r="AB691" s="261"/>
      <c r="AC691" s="261" t="s">
        <v>215</v>
      </c>
      <c r="AD691" s="261"/>
      <c r="AE691" s="261"/>
      <c r="AF691" s="261"/>
      <c r="AI691" s="136" t="str">
        <f>B691</f>
        <v>Segunda 
07-12-2015</v>
      </c>
      <c r="AK691" s="136" t="str">
        <f>D691</f>
        <v>Terça 
08-12-2015</v>
      </c>
      <c r="AM691" s="136" t="str">
        <f>F691</f>
        <v>Quarta 
09-12-2015</v>
      </c>
      <c r="AO691" s="136" t="str">
        <f>H691</f>
        <v>Quinta 
10-12-2015</v>
      </c>
      <c r="AQ691" s="136" t="str">
        <f>J691</f>
        <v>Sexta 
11-12-2015</v>
      </c>
      <c r="AS691" s="136" t="str">
        <f>L691</f>
        <v>Sábado 
12-12-2015</v>
      </c>
      <c r="AU691" s="136" t="str">
        <f>N691</f>
        <v>Domingo 
13-12-2015</v>
      </c>
      <c r="AX691" s="136" t="str">
        <f>IF(AI689="","",IF(B691="","",B691))</f>
        <v/>
      </c>
      <c r="AY691" s="136" t="str">
        <f>IF(AI689="","",IF(C691="","",C691))</f>
        <v/>
      </c>
      <c r="AZ691" s="136" t="str">
        <f>IF(AI689="","",IF(D691="","",D691))</f>
        <v/>
      </c>
      <c r="BA691" s="136" t="str">
        <f>IF(AI689="","",IF(E691="","",E691))</f>
        <v/>
      </c>
      <c r="BB691" s="136" t="str">
        <f>IF(AI689="","",IF(F691="","",F691))</f>
        <v/>
      </c>
      <c r="BC691" s="136" t="str">
        <f>IF(AI689="","",IF(G691="","",G691))</f>
        <v/>
      </c>
      <c r="BD691" s="136" t="str">
        <f>IF(AI689="","",IF(H691="","",H691))</f>
        <v/>
      </c>
      <c r="BE691" s="136" t="str">
        <f>IF(AI689="","",IF(I691="","",I691))</f>
        <v/>
      </c>
      <c r="BF691" s="136" t="str">
        <f>IF(AI689="","",IF(J691="","",J691))</f>
        <v/>
      </c>
      <c r="BG691" s="136" t="str">
        <f>IF(AI689="","",IF(K691="","",K691))</f>
        <v/>
      </c>
      <c r="BH691" s="136" t="str">
        <f>IF(AI689="","",IF(L691="","",L691))</f>
        <v/>
      </c>
      <c r="BI691" s="136" t="str">
        <f>IF(AI689="","",IF(M691="","",M691))</f>
        <v/>
      </c>
      <c r="BJ691" s="136" t="str">
        <f>IF(AI689="","",IF(N691="","",N691))</f>
        <v/>
      </c>
      <c r="BK691" s="136" t="str">
        <f>IF(AI689="","",IF(O691="","",O691))</f>
        <v/>
      </c>
      <c r="CA691" s="136">
        <f>'INFO BASE'!L750</f>
        <v>0</v>
      </c>
      <c r="CB691" s="136">
        <f>'INFO BASE'!M750</f>
        <v>0</v>
      </c>
    </row>
    <row r="692" spans="1:109" ht="21" hidden="1" customHeight="1" x14ac:dyDescent="0.3">
      <c r="A692" s="142"/>
      <c r="B692" s="333">
        <f>N635+1</f>
        <v>42345</v>
      </c>
      <c r="C692" s="334"/>
      <c r="D692" s="334">
        <f>B692+1</f>
        <v>42346</v>
      </c>
      <c r="E692" s="334"/>
      <c r="F692" s="334">
        <f>D692+1</f>
        <v>42347</v>
      </c>
      <c r="G692" s="334"/>
      <c r="H692" s="334">
        <f>F692+1</f>
        <v>42348</v>
      </c>
      <c r="I692" s="334"/>
      <c r="J692" s="334">
        <f>H692+1</f>
        <v>42349</v>
      </c>
      <c r="K692" s="334"/>
      <c r="L692" s="334">
        <f>J692+1</f>
        <v>42350</v>
      </c>
      <c r="M692" s="334"/>
      <c r="N692" s="334">
        <f>L692+1</f>
        <v>42351</v>
      </c>
      <c r="O692" s="334"/>
      <c r="Q692" s="132"/>
      <c r="R692" s="132"/>
      <c r="S692" s="132"/>
      <c r="T692" s="132"/>
      <c r="U692" s="132"/>
      <c r="V692" s="132"/>
      <c r="W692" s="132"/>
      <c r="X692" s="198">
        <v>1</v>
      </c>
      <c r="Y692" s="132"/>
      <c r="Z692" s="132"/>
      <c r="AA692" s="132"/>
      <c r="AB692" s="131"/>
      <c r="AC692" s="131"/>
      <c r="AD692" s="131"/>
      <c r="AE692" s="131"/>
      <c r="AF692" s="131"/>
      <c r="AI692" s="136">
        <f>B692</f>
        <v>42345</v>
      </c>
      <c r="AK692" s="136">
        <f>D692</f>
        <v>42346</v>
      </c>
      <c r="AM692" s="136">
        <f>F692</f>
        <v>42347</v>
      </c>
      <c r="AO692" s="136">
        <f>H692</f>
        <v>42348</v>
      </c>
      <c r="AQ692" s="136">
        <f>J692</f>
        <v>42349</v>
      </c>
      <c r="AS692" s="136">
        <f>L692</f>
        <v>42350</v>
      </c>
      <c r="AU692" s="136">
        <f>N692</f>
        <v>42351</v>
      </c>
      <c r="AX692" s="136" t="str">
        <f>IF(AI689="","",IF(B692="","",B692))</f>
        <v/>
      </c>
      <c r="AY692" s="136" t="str">
        <f>IF(AI689="","",IF(C692="","",C692))</f>
        <v/>
      </c>
      <c r="AZ692" s="136" t="str">
        <f>IF(AI689="","",IF(D692="","",D692))</f>
        <v/>
      </c>
      <c r="BA692" s="136" t="str">
        <f>IF(AI689="","",IF(E692="","",E692))</f>
        <v/>
      </c>
      <c r="BB692" s="136" t="str">
        <f>IF(AI689="","",IF(F692="","",F692))</f>
        <v/>
      </c>
      <c r="BC692" s="136" t="str">
        <f>IF(AI689="","",IF(G692="","",G692))</f>
        <v/>
      </c>
      <c r="BD692" s="136" t="str">
        <f>IF(AI689="","",IF(H692="","",H692))</f>
        <v/>
      </c>
      <c r="BE692" s="136" t="str">
        <f>IF(AI689="","",IF(I692="","",I692))</f>
        <v/>
      </c>
      <c r="BF692" s="136" t="str">
        <f>IF(AI689="","",IF(J692="","",J692))</f>
        <v/>
      </c>
      <c r="BG692" s="136" t="str">
        <f>IF(AI689="","",IF(K692="","",K692))</f>
        <v/>
      </c>
      <c r="BH692" s="136" t="str">
        <f>IF(AI689="","",IF(L692="","",L692))</f>
        <v/>
      </c>
      <c r="BI692" s="136" t="str">
        <f>IF(AI689="","",IF(M692="","",M692))</f>
        <v/>
      </c>
      <c r="BJ692" s="136" t="str">
        <f>IF(AI689="","",IF(N692="","",N692))</f>
        <v/>
      </c>
      <c r="BK692" s="136" t="str">
        <f>IF(AI689="","",IF(O692="","",O692))</f>
        <v/>
      </c>
      <c r="CA692" s="136">
        <f>'INFO BASE'!L762</f>
        <v>0</v>
      </c>
      <c r="CB692" s="136">
        <f>'INFO BASE'!M762</f>
        <v>0</v>
      </c>
    </row>
    <row r="693" spans="1:109" ht="18" customHeight="1" thickTop="1" x14ac:dyDescent="0.3">
      <c r="A693" s="81">
        <v>0</v>
      </c>
      <c r="B693" s="149"/>
      <c r="C693" s="150"/>
      <c r="D693" s="151"/>
      <c r="E693" s="150"/>
      <c r="F693" s="151"/>
      <c r="G693" s="150"/>
      <c r="H693" s="151"/>
      <c r="I693" s="150"/>
      <c r="J693" s="151"/>
      <c r="K693" s="150"/>
      <c r="L693" s="151"/>
      <c r="M693" s="150"/>
      <c r="N693" s="151"/>
      <c r="O693" s="152"/>
      <c r="Q693" s="281" t="s">
        <v>216</v>
      </c>
      <c r="R693" s="282"/>
      <c r="S693" s="282"/>
      <c r="T693" s="282"/>
      <c r="U693" s="282"/>
      <c r="V693" s="282"/>
      <c r="W693" s="283"/>
      <c r="X693" s="199">
        <v>1</v>
      </c>
      <c r="Y693" s="268" t="str">
        <f t="array" ref="Y693">IF(ISERROR(INDEX($CA$2:$CB$200,SMALL(IF($CA$2:$CA$200=$A$688,ROW($CA$2:$CA$200)),ROW(1:1))-1,2)),"",INDEX($CA$2:$CB$200,SMALL(IF($CA$2:$CA$200=$A$688,ROW($CA$2:$CA$200)),ROW(1:1))-1,2))</f>
        <v/>
      </c>
      <c r="Z693" s="269"/>
      <c r="AA693" s="269"/>
      <c r="AB693" s="269"/>
      <c r="AC693" s="269"/>
      <c r="AD693" s="269"/>
      <c r="AE693" s="269"/>
      <c r="AF693" s="270"/>
      <c r="AH693" s="136">
        <v>0</v>
      </c>
      <c r="AI693" s="136" t="str">
        <f>IF(AH689="","",IF(B693="","",B693))</f>
        <v/>
      </c>
      <c r="AJ693" s="136" t="str">
        <f>IF(AH689="","",IF(C693="","",C693))</f>
        <v/>
      </c>
      <c r="AK693" s="136" t="str">
        <f>IF(AH689="","",IF(D693="","",D693))</f>
        <v/>
      </c>
      <c r="AL693" s="136" t="str">
        <f>IF(AH689="","",IF(E693="","",E693))</f>
        <v/>
      </c>
      <c r="AM693" s="136" t="str">
        <f>IF(AH689="","",IF(F693="","",F693))</f>
        <v/>
      </c>
      <c r="AN693" s="136" t="str">
        <f>IF(AH689="","",IF(G693="","",G693))</f>
        <v/>
      </c>
      <c r="AO693" s="136" t="str">
        <f>IF(AH689="","",IF(H693="","",H693))</f>
        <v/>
      </c>
      <c r="AP693" s="136" t="str">
        <f>IF(AH689="","",IF(I693="","",I693))</f>
        <v/>
      </c>
      <c r="AQ693" s="136" t="str">
        <f>IF(AH689="","",IF(J693="","",J693))</f>
        <v/>
      </c>
      <c r="AR693" s="136" t="str">
        <f>IF(AH689="","",IF(K693="","",K693))</f>
        <v/>
      </c>
      <c r="AS693" s="136" t="str">
        <f>IF(AH689="","",IF(L693="","",L693))</f>
        <v/>
      </c>
      <c r="AT693" s="136" t="str">
        <f>IF(AH689="","",IF(M693="","",M693))</f>
        <v/>
      </c>
      <c r="AU693" s="136" t="str">
        <f>IF(AH689="","",IF(N693="","",N693))</f>
        <v/>
      </c>
      <c r="AV693" s="136" t="str">
        <f>IF(AH689="","",IF(O693="","",O693))</f>
        <v/>
      </c>
      <c r="AX693" s="136" t="str">
        <f>IF(AI689="","",IF(B693="","",B693))</f>
        <v/>
      </c>
      <c r="AY693" s="136" t="str">
        <f>IF(AI689="","",IF(C693="","",C693))</f>
        <v/>
      </c>
      <c r="AZ693" s="136" t="str">
        <f>IF(AI689="","",IF(D693="","",D693))</f>
        <v/>
      </c>
      <c r="BA693" s="136" t="str">
        <f>IF(AI689="","",IF(E693="","",E693))</f>
        <v/>
      </c>
      <c r="BB693" s="136" t="str">
        <f>IF(AI689="","",IF(F693="","",F693))</f>
        <v/>
      </c>
      <c r="BC693" s="136" t="str">
        <f>IF(AI689="","",IF(G693="","",G693))</f>
        <v/>
      </c>
      <c r="BD693" s="136" t="str">
        <f>IF(AI689="","",IF(H693="","",H693))</f>
        <v/>
      </c>
      <c r="BE693" s="136" t="str">
        <f>IF(AI689="","",IF(I693="","",I693))</f>
        <v/>
      </c>
      <c r="BF693" s="136" t="str">
        <f>IF(AI689="","",IF(J693="","",J693))</f>
        <v/>
      </c>
      <c r="BG693" s="136" t="str">
        <f>IF(AI689="","",IF(K693="","",K693))</f>
        <v/>
      </c>
      <c r="BH693" s="136" t="str">
        <f>IF(AI689="","",IF(L693="","",L693))</f>
        <v/>
      </c>
      <c r="BI693" s="136" t="str">
        <f>IF(AI689="","",IF(M693="","",M693))</f>
        <v/>
      </c>
      <c r="BJ693" s="136" t="str">
        <f>IF(AI689="","",IF(N693="","",N693))</f>
        <v/>
      </c>
      <c r="BK693" s="136" t="str">
        <f>IF(AI689="","",IF(O693="","",O693))</f>
        <v/>
      </c>
      <c r="CA693" s="136">
        <f>'INFO BASE'!L763</f>
        <v>0</v>
      </c>
      <c r="CB693" s="136">
        <f>'INFO BASE'!M763</f>
        <v>0</v>
      </c>
      <c r="CD693" s="136">
        <f>COUNTA('INFO BASE'!E717:E722)+6</f>
        <v>6</v>
      </c>
      <c r="CR693" s="177">
        <f>IF(B693="",1,B693)</f>
        <v>1</v>
      </c>
      <c r="CS693" s="177">
        <f>IF(B693="PV",0,IFERROR(VLOOKUP(CONCATENATE(B693,C693),$DK$9:$DK$72,1,0),1))</f>
        <v>1</v>
      </c>
      <c r="CT693" s="177">
        <f>IF(D693="",1,D693)</f>
        <v>1</v>
      </c>
      <c r="CU693" s="177">
        <f>IF(D693="PV",0,IFERROR(VLOOKUP(CONCATENATE(D693,E693),$DK$9:$DK$72,1,0),1))</f>
        <v>1</v>
      </c>
      <c r="CV693" s="177">
        <f>IF(F693="",1,F693)</f>
        <v>1</v>
      </c>
      <c r="CW693" s="177">
        <f>IF(F693="PV",0,IFERROR(VLOOKUP(CONCATENATE(F693,G693),$DK$9:$DK$72,1,0),1))</f>
        <v>1</v>
      </c>
      <c r="CX693" s="177">
        <f>IF(H693="",1,H693)</f>
        <v>1</v>
      </c>
      <c r="CY693" s="177">
        <f>IF(H693="PV",0,IFERROR(VLOOKUP(CONCATENATE(H693,I693),$DK$9:$DK$72,1,0),1))</f>
        <v>1</v>
      </c>
      <c r="CZ693" s="177">
        <f>IF(J693="",1,J693)</f>
        <v>1</v>
      </c>
      <c r="DA693" s="177">
        <f>IF(J693="PV",0,IFERROR(VLOOKUP(CONCATENATE(J693,K693),$DK$9:$DK$72,1,0),1))</f>
        <v>1</v>
      </c>
      <c r="DB693" s="177">
        <f>IF(L693="",1,L693)</f>
        <v>1</v>
      </c>
      <c r="DC693" s="177">
        <f>IF(L693="PV",0,IFERROR(VLOOKUP(CONCATENATE(L693,M693),$DK$9:$DK$72,1,0),1))</f>
        <v>1</v>
      </c>
      <c r="DD693" s="177">
        <f>IF(N693="",1,N693)</f>
        <v>1</v>
      </c>
      <c r="DE693" s="177">
        <f>IF(N693="PV",0,IFERROR(VLOOKUP(CONCATENATE(N693,O693),$DK$9:$DK$72,1,0),1))</f>
        <v>1</v>
      </c>
    </row>
    <row r="694" spans="1:109" ht="18" customHeight="1" x14ac:dyDescent="0.3">
      <c r="A694" s="81">
        <v>2.0833333333333998E-2</v>
      </c>
      <c r="B694" s="153"/>
      <c r="C694" s="130"/>
      <c r="D694" s="135"/>
      <c r="E694" s="130"/>
      <c r="F694" s="135"/>
      <c r="G694" s="130"/>
      <c r="H694" s="135"/>
      <c r="I694" s="130"/>
      <c r="J694" s="135"/>
      <c r="K694" s="130"/>
      <c r="L694" s="135"/>
      <c r="M694" s="130"/>
      <c r="N694" s="135"/>
      <c r="O694" s="154"/>
      <c r="Q694" s="284"/>
      <c r="R694" s="285"/>
      <c r="S694" s="285"/>
      <c r="T694" s="285"/>
      <c r="U694" s="285"/>
      <c r="V694" s="285"/>
      <c r="W694" s="286"/>
      <c r="X694" s="199">
        <v>1</v>
      </c>
      <c r="Y694" s="262" t="str">
        <f t="array" ref="Y694">IF(ISERROR(INDEX($CA$2:$CB$200,SMALL(IF($CA$2:$CA$200=$A$688,ROW($CA$2:$CA$200)),ROW(2:2))-1,2)),"",INDEX($CA$2:$CB$200,SMALL(IF($CA$2:$CA$200=$A$688,ROW($CA$2:$CA$200)),ROW(2:2))-1,2))</f>
        <v/>
      </c>
      <c r="Z694" s="263"/>
      <c r="AA694" s="263"/>
      <c r="AB694" s="263"/>
      <c r="AC694" s="263"/>
      <c r="AD694" s="263"/>
      <c r="AE694" s="263"/>
      <c r="AF694" s="264"/>
      <c r="AH694" s="136">
        <v>2.0833333333333998E-2</v>
      </c>
      <c r="AI694" s="136" t="str">
        <f>IF(AH689="","",IF(B694="","",B694))</f>
        <v/>
      </c>
      <c r="AJ694" s="136" t="str">
        <f>IF(AH689="","",IF(C694="","",C694))</f>
        <v/>
      </c>
      <c r="AK694" s="136" t="str">
        <f>IF(AH689="","",IF(D694="","",D694))</f>
        <v/>
      </c>
      <c r="AL694" s="136" t="str">
        <f>IF(AH689="","",IF(E694="","",E694))</f>
        <v/>
      </c>
      <c r="AM694" s="136" t="str">
        <f>IF(AH689="","",IF(F694="","",F694))</f>
        <v/>
      </c>
      <c r="AN694" s="136" t="str">
        <f>IF(AH689="","",IF(G694="","",G694))</f>
        <v/>
      </c>
      <c r="AO694" s="136" t="str">
        <f>IF(AH689="","",IF(H694="","",H694))</f>
        <v/>
      </c>
      <c r="AP694" s="136" t="str">
        <f>IF(AH689="","",IF(I694="","",I694))</f>
        <v/>
      </c>
      <c r="AQ694" s="136" t="str">
        <f>IF(AH689="","",IF(J694="","",J694))</f>
        <v/>
      </c>
      <c r="AR694" s="136" t="str">
        <f>IF(AH689="","",IF(K694="","",K694))</f>
        <v/>
      </c>
      <c r="AS694" s="136" t="str">
        <f>IF(AH689="","",IF(L694="","",L694))</f>
        <v/>
      </c>
      <c r="AT694" s="136" t="str">
        <f>IF(AH689="","",IF(M694="","",M694))</f>
        <v/>
      </c>
      <c r="AU694" s="136" t="str">
        <f>IF(AH689="","",IF(N694="","",N694))</f>
        <v/>
      </c>
      <c r="AV694" s="136" t="str">
        <f>IF(AH689="","",IF(O694="","",O694))</f>
        <v/>
      </c>
      <c r="AX694" s="136" t="str">
        <f>IF(AI689="","",IF(B694="","",B694))</f>
        <v/>
      </c>
      <c r="AY694" s="136" t="str">
        <f>IF(AI689="","",IF(C694="","",C694))</f>
        <v/>
      </c>
      <c r="AZ694" s="136" t="str">
        <f>IF(AI689="","",IF(D694="","",D694))</f>
        <v/>
      </c>
      <c r="BA694" s="136" t="str">
        <f>IF(AI689="","",IF(E694="","",E694))</f>
        <v/>
      </c>
      <c r="BB694" s="136" t="str">
        <f>IF(AI689="","",IF(F694="","",F694))</f>
        <v/>
      </c>
      <c r="BC694" s="136" t="str">
        <f>IF(AI689="","",IF(G694="","",G694))</f>
        <v/>
      </c>
      <c r="BD694" s="136" t="str">
        <f>IF(AI689="","",IF(H694="","",H694))</f>
        <v/>
      </c>
      <c r="BE694" s="136" t="str">
        <f>IF(AI689="","",IF(I694="","",I694))</f>
        <v/>
      </c>
      <c r="BF694" s="136" t="str">
        <f>IF(AI689="","",IF(J694="","",J694))</f>
        <v/>
      </c>
      <c r="BG694" s="136" t="str">
        <f>IF(AI689="","",IF(K694="","",K694))</f>
        <v/>
      </c>
      <c r="BH694" s="136" t="str">
        <f>IF(AI689="","",IF(L694="","",L694))</f>
        <v/>
      </c>
      <c r="BI694" s="136" t="str">
        <f>IF(AI689="","",IF(M694="","",M694))</f>
        <v/>
      </c>
      <c r="BJ694" s="136" t="str">
        <f>IF(AI689="","",IF(N694="","",N694))</f>
        <v/>
      </c>
      <c r="BK694" s="136" t="str">
        <f>IF(AI689="","",IF(O694="","",O694))</f>
        <v/>
      </c>
      <c r="CA694" s="136">
        <f>'INFO BASE'!L764</f>
        <v>0</v>
      </c>
      <c r="CB694" s="136">
        <f>'INFO BASE'!M764</f>
        <v>0</v>
      </c>
      <c r="CR694" s="177">
        <f t="shared" ref="CR694:DB736" si="393">IF(B694="",1,B694)</f>
        <v>1</v>
      </c>
      <c r="CS694" s="177">
        <f t="shared" ref="CS694:CS740" si="394">IF(B694="PV",0,IFERROR(VLOOKUP(CONCATENATE(B694,C694),$DK$9:$DK$72,1,0),1))</f>
        <v>1</v>
      </c>
      <c r="CT694" s="177">
        <f t="shared" si="393"/>
        <v>1</v>
      </c>
      <c r="CU694" s="177">
        <f t="shared" ref="CU694:CU740" si="395">IF(D694="PV",0,IFERROR(VLOOKUP(CONCATENATE(D694,E694),$DK$9:$DK$72,1,0),1))</f>
        <v>1</v>
      </c>
      <c r="CV694" s="177">
        <f t="shared" si="393"/>
        <v>1</v>
      </c>
      <c r="CW694" s="177">
        <f t="shared" ref="CW694:CW740" si="396">IF(F694="PV",0,IFERROR(VLOOKUP(CONCATENATE(F694,G694),$DK$9:$DK$72,1,0),1))</f>
        <v>1</v>
      </c>
      <c r="CX694" s="177">
        <f t="shared" si="393"/>
        <v>1</v>
      </c>
      <c r="CY694" s="177">
        <f t="shared" ref="CY694:CY740" si="397">IF(H694="PV",0,IFERROR(VLOOKUP(CONCATENATE(H694,I694),$DK$9:$DK$72,1,0),1))</f>
        <v>1</v>
      </c>
      <c r="CZ694" s="177">
        <f t="shared" si="393"/>
        <v>1</v>
      </c>
      <c r="DA694" s="177">
        <f t="shared" ref="DA694:DA740" si="398">IF(J694="PV",0,IFERROR(VLOOKUP(CONCATENATE(J694,K694),$DK$9:$DK$72,1,0),1))</f>
        <v>1</v>
      </c>
      <c r="DB694" s="177">
        <f t="shared" si="393"/>
        <v>1</v>
      </c>
      <c r="DC694" s="177">
        <f t="shared" ref="DC694:DC740" si="399">IF(L694="PV",0,IFERROR(VLOOKUP(CONCATENATE(L694,M694),$DK$9:$DK$72,1,0),1))</f>
        <v>1</v>
      </c>
      <c r="DD694" s="177">
        <f t="shared" ref="DD694:DD740" si="400">IF(N694="",1,N694)</f>
        <v>1</v>
      </c>
      <c r="DE694" s="177">
        <f t="shared" ref="DE694:DE740" si="401">IF(N694="PV",0,IFERROR(VLOOKUP(CONCATENATE(N694,O694),$DK$9:$DK$72,1,0),1))</f>
        <v>1</v>
      </c>
    </row>
    <row r="695" spans="1:109" ht="18" customHeight="1" x14ac:dyDescent="0.3">
      <c r="A695" s="81">
        <v>4.1666666666667997E-2</v>
      </c>
      <c r="B695" s="153"/>
      <c r="C695" s="130"/>
      <c r="D695" s="135"/>
      <c r="E695" s="130"/>
      <c r="F695" s="135"/>
      <c r="G695" s="130"/>
      <c r="H695" s="135"/>
      <c r="I695" s="130"/>
      <c r="J695" s="135"/>
      <c r="K695" s="130"/>
      <c r="L695" s="135"/>
      <c r="M695" s="130"/>
      <c r="N695" s="135"/>
      <c r="O695" s="154"/>
      <c r="Q695" s="284"/>
      <c r="R695" s="285"/>
      <c r="S695" s="285"/>
      <c r="T695" s="285"/>
      <c r="U695" s="285"/>
      <c r="V695" s="285"/>
      <c r="W695" s="286"/>
      <c r="X695" s="199">
        <v>1</v>
      </c>
      <c r="Y695" s="262" t="str">
        <f t="array" ref="Y695">IF(ISERROR(INDEX($CA$2:$CB$200,SMALL(IF($CA$2:$CA$200=$A$688,ROW($CA$2:$CA$200)),ROW(3:3))-1,2)),"",INDEX($CA$2:$CB$200,SMALL(IF($CA$2:$CA$200=$A$688,ROW($CA$2:$CA$200)),ROW(3:3))-1,2))</f>
        <v/>
      </c>
      <c r="Z695" s="263"/>
      <c r="AA695" s="263"/>
      <c r="AB695" s="263"/>
      <c r="AC695" s="263"/>
      <c r="AD695" s="263"/>
      <c r="AE695" s="263"/>
      <c r="AF695" s="264"/>
      <c r="AH695" s="136">
        <v>4.1666666666667997E-2</v>
      </c>
      <c r="AI695" s="136" t="str">
        <f>IF(AH689="","",IF(B695="","",B695))</f>
        <v/>
      </c>
      <c r="AJ695" s="136" t="str">
        <f>IF(AH689="","",IF(C695="","",C695))</f>
        <v/>
      </c>
      <c r="AK695" s="136" t="str">
        <f>IF(AH689="","",IF(D695="","",D695))</f>
        <v/>
      </c>
      <c r="AL695" s="136" t="str">
        <f>IF(AH689="","",IF(E695="","",E695))</f>
        <v/>
      </c>
      <c r="AM695" s="136" t="str">
        <f>IF(AH689="","",IF(F695="","",F695))</f>
        <v/>
      </c>
      <c r="AN695" s="136" t="str">
        <f>IF(AH689="","",IF(G695="","",G695))</f>
        <v/>
      </c>
      <c r="AO695" s="136" t="str">
        <f>IF(AH689="","",IF(H695="","",H695))</f>
        <v/>
      </c>
      <c r="AP695" s="136" t="str">
        <f>IF(AH689="","",IF(I695="","",I695))</f>
        <v/>
      </c>
      <c r="AQ695" s="136" t="str">
        <f>IF(AH689="","",IF(J695="","",J695))</f>
        <v/>
      </c>
      <c r="AR695" s="136" t="str">
        <f>IF(AH689="","",IF(K695="","",K695))</f>
        <v/>
      </c>
      <c r="AS695" s="136" t="str">
        <f>IF(AH689="","",IF(L695="","",L695))</f>
        <v/>
      </c>
      <c r="AT695" s="136" t="str">
        <f>IF(AH689="","",IF(M695="","",M695))</f>
        <v/>
      </c>
      <c r="AU695" s="136" t="str">
        <f>IF(AH689="","",IF(N695="","",N695))</f>
        <v/>
      </c>
      <c r="AV695" s="136" t="str">
        <f>IF(AH689="","",IF(O695="","",O695))</f>
        <v/>
      </c>
      <c r="AX695" s="136" t="str">
        <f>IF(AI689="","",IF(B695="","",B695))</f>
        <v/>
      </c>
      <c r="AY695" s="136" t="str">
        <f>IF(AI689="","",IF(C695="","",C695))</f>
        <v/>
      </c>
      <c r="AZ695" s="136" t="str">
        <f>IF(AI689="","",IF(D695="","",D695))</f>
        <v/>
      </c>
      <c r="BA695" s="136" t="str">
        <f>IF(AI689="","",IF(E695="","",E695))</f>
        <v/>
      </c>
      <c r="BB695" s="136" t="str">
        <f>IF(AI689="","",IF(F695="","",F695))</f>
        <v/>
      </c>
      <c r="BC695" s="136" t="str">
        <f>IF(AI689="","",IF(G695="","",G695))</f>
        <v/>
      </c>
      <c r="BD695" s="136" t="str">
        <f>IF(AI689="","",IF(H695="","",H695))</f>
        <v/>
      </c>
      <c r="BE695" s="136" t="str">
        <f>IF(AI689="","",IF(I695="","",I695))</f>
        <v/>
      </c>
      <c r="BF695" s="136" t="str">
        <f>IF(AI689="","",IF(J695="","",J695))</f>
        <v/>
      </c>
      <c r="BG695" s="136" t="str">
        <f>IF(AI689="","",IF(K695="","",K695))</f>
        <v/>
      </c>
      <c r="BH695" s="136" t="str">
        <f>IF(AI689="","",IF(L695="","",L695))</f>
        <v/>
      </c>
      <c r="BI695" s="136" t="str">
        <f>IF(AI689="","",IF(M695="","",M695))</f>
        <v/>
      </c>
      <c r="BJ695" s="136" t="str">
        <f>IF(AI689="","",IF(N695="","",N695))</f>
        <v/>
      </c>
      <c r="BK695" s="136" t="str">
        <f>IF(AI689="","",IF(O695="","",O695))</f>
        <v/>
      </c>
      <c r="CA695" s="136">
        <f>'INFO BASE'!L765</f>
        <v>0</v>
      </c>
      <c r="CB695" s="136">
        <f>'INFO BASE'!M765</f>
        <v>0</v>
      </c>
      <c r="CR695" s="177">
        <f t="shared" si="393"/>
        <v>1</v>
      </c>
      <c r="CS695" s="177">
        <f t="shared" si="394"/>
        <v>1</v>
      </c>
      <c r="CT695" s="177">
        <f t="shared" si="393"/>
        <v>1</v>
      </c>
      <c r="CU695" s="177">
        <f t="shared" si="395"/>
        <v>1</v>
      </c>
      <c r="CV695" s="177">
        <f t="shared" si="393"/>
        <v>1</v>
      </c>
      <c r="CW695" s="177">
        <f t="shared" si="396"/>
        <v>1</v>
      </c>
      <c r="CX695" s="177">
        <f t="shared" si="393"/>
        <v>1</v>
      </c>
      <c r="CY695" s="177">
        <f t="shared" si="397"/>
        <v>1</v>
      </c>
      <c r="CZ695" s="177">
        <f t="shared" si="393"/>
        <v>1</v>
      </c>
      <c r="DA695" s="177">
        <f t="shared" si="398"/>
        <v>1</v>
      </c>
      <c r="DB695" s="177">
        <f t="shared" si="393"/>
        <v>1</v>
      </c>
      <c r="DC695" s="177">
        <f t="shared" si="399"/>
        <v>1</v>
      </c>
      <c r="DD695" s="177">
        <f t="shared" si="400"/>
        <v>1</v>
      </c>
      <c r="DE695" s="177">
        <f t="shared" si="401"/>
        <v>1</v>
      </c>
    </row>
    <row r="696" spans="1:109" ht="18" customHeight="1" x14ac:dyDescent="0.3">
      <c r="A696" s="81">
        <v>6.2500000000001998E-2</v>
      </c>
      <c r="B696" s="153"/>
      <c r="C696" s="130"/>
      <c r="D696" s="135"/>
      <c r="E696" s="130"/>
      <c r="F696" s="135"/>
      <c r="G696" s="130"/>
      <c r="H696" s="135"/>
      <c r="I696" s="130"/>
      <c r="J696" s="135"/>
      <c r="K696" s="130"/>
      <c r="L696" s="135"/>
      <c r="M696" s="130"/>
      <c r="N696" s="135"/>
      <c r="O696" s="154"/>
      <c r="Q696" s="284"/>
      <c r="R696" s="285"/>
      <c r="S696" s="285"/>
      <c r="T696" s="285"/>
      <c r="U696" s="285"/>
      <c r="V696" s="285"/>
      <c r="W696" s="286"/>
      <c r="X696" s="199">
        <v>1</v>
      </c>
      <c r="Y696" s="262" t="str">
        <f t="array" ref="Y696">IF(ISERROR(INDEX($CA$2:$CB$200,SMALL(IF($CA$2:$CA$200=$A$688,ROW($CA$2:$CA$200)),ROW(4:4))-1,2)),"",INDEX($CA$2:$CB$200,SMALL(IF($CA$2:$CA$200=$A$688,ROW($CA$2:$CA$200)),ROW(4:4))-1,2))</f>
        <v/>
      </c>
      <c r="Z696" s="263"/>
      <c r="AA696" s="263"/>
      <c r="AB696" s="263"/>
      <c r="AC696" s="263"/>
      <c r="AD696" s="263"/>
      <c r="AE696" s="263"/>
      <c r="AF696" s="264"/>
      <c r="AH696" s="136">
        <v>6.2500000000001998E-2</v>
      </c>
      <c r="AI696" s="136" t="str">
        <f>IF(AH689="","",IF(B696="","",B696))</f>
        <v/>
      </c>
      <c r="AJ696" s="136" t="str">
        <f>IF(AH689="","",IF(C696="","",C696))</f>
        <v/>
      </c>
      <c r="AK696" s="136" t="str">
        <f>IF(AH689="","",IF(D696="","",D696))</f>
        <v/>
      </c>
      <c r="AL696" s="136" t="str">
        <f>IF(AH689="","",IF(E696="","",E696))</f>
        <v/>
      </c>
      <c r="AM696" s="136" t="str">
        <f>IF(AH689="","",IF(F696="","",F696))</f>
        <v/>
      </c>
      <c r="AN696" s="136" t="str">
        <f>IF(AH689="","",IF(G696="","",G696))</f>
        <v/>
      </c>
      <c r="AO696" s="136" t="str">
        <f>IF(AH689="","",IF(H696="","",H696))</f>
        <v/>
      </c>
      <c r="AP696" s="136" t="str">
        <f>IF(AH689="","",IF(I696="","",I696))</f>
        <v/>
      </c>
      <c r="AQ696" s="136" t="str">
        <f>IF(AH689="","",IF(J696="","",J696))</f>
        <v/>
      </c>
      <c r="AR696" s="136" t="str">
        <f>IF(AH689="","",IF(K696="","",K696))</f>
        <v/>
      </c>
      <c r="AS696" s="136" t="str">
        <f>IF(AH689="","",IF(L696="","",L696))</f>
        <v/>
      </c>
      <c r="AT696" s="136" t="str">
        <f>IF(AH689="","",IF(M696="","",M696))</f>
        <v/>
      </c>
      <c r="AU696" s="136" t="str">
        <f>IF(AH689="","",IF(N696="","",N696))</f>
        <v/>
      </c>
      <c r="AV696" s="136" t="str">
        <f>IF(AH689="","",IF(O696="","",O696))</f>
        <v/>
      </c>
      <c r="AX696" s="136" t="str">
        <f>IF(AI689="","",IF(B696="","",B696))</f>
        <v/>
      </c>
      <c r="AY696" s="136" t="str">
        <f>IF(AI689="","",IF(C696="","",C696))</f>
        <v/>
      </c>
      <c r="AZ696" s="136" t="str">
        <f>IF(AI689="","",IF(D696="","",D696))</f>
        <v/>
      </c>
      <c r="BA696" s="136" t="str">
        <f>IF(AI689="","",IF(E696="","",E696))</f>
        <v/>
      </c>
      <c r="BB696" s="136" t="str">
        <f>IF(AI689="","",IF(F696="","",F696))</f>
        <v/>
      </c>
      <c r="BC696" s="136" t="str">
        <f>IF(AI689="","",IF(G696="","",G696))</f>
        <v/>
      </c>
      <c r="BD696" s="136" t="str">
        <f>IF(AI689="","",IF(H696="","",H696))</f>
        <v/>
      </c>
      <c r="BE696" s="136" t="str">
        <f>IF(AI689="","",IF(I696="","",I696))</f>
        <v/>
      </c>
      <c r="BF696" s="136" t="str">
        <f>IF(AI689="","",IF(J696="","",J696))</f>
        <v/>
      </c>
      <c r="BG696" s="136" t="str">
        <f>IF(AI689="","",IF(K696="","",K696))</f>
        <v/>
      </c>
      <c r="BH696" s="136" t="str">
        <f>IF(AI689="","",IF(L696="","",L696))</f>
        <v/>
      </c>
      <c r="BI696" s="136" t="str">
        <f>IF(AI689="","",IF(M696="","",M696))</f>
        <v/>
      </c>
      <c r="BJ696" s="136" t="str">
        <f>IF(AI689="","",IF(N696="","",N696))</f>
        <v/>
      </c>
      <c r="BK696" s="136" t="str">
        <f>IF(AI689="","",IF(O696="","",O696))</f>
        <v/>
      </c>
      <c r="CA696" s="136">
        <f>'INFO BASE'!L766</f>
        <v>0</v>
      </c>
      <c r="CB696" s="136">
        <f>'INFO BASE'!M766</f>
        <v>0</v>
      </c>
      <c r="CR696" s="177">
        <f t="shared" si="393"/>
        <v>1</v>
      </c>
      <c r="CS696" s="177">
        <f t="shared" si="394"/>
        <v>1</v>
      </c>
      <c r="CT696" s="177">
        <f t="shared" si="393"/>
        <v>1</v>
      </c>
      <c r="CU696" s="177">
        <f t="shared" si="395"/>
        <v>1</v>
      </c>
      <c r="CV696" s="177">
        <f t="shared" si="393"/>
        <v>1</v>
      </c>
      <c r="CW696" s="177">
        <f t="shared" si="396"/>
        <v>1</v>
      </c>
      <c r="CX696" s="177">
        <f t="shared" si="393"/>
        <v>1</v>
      </c>
      <c r="CY696" s="177">
        <f t="shared" si="397"/>
        <v>1</v>
      </c>
      <c r="CZ696" s="177">
        <f t="shared" si="393"/>
        <v>1</v>
      </c>
      <c r="DA696" s="177">
        <f t="shared" si="398"/>
        <v>1</v>
      </c>
      <c r="DB696" s="177">
        <f t="shared" si="393"/>
        <v>1</v>
      </c>
      <c r="DC696" s="177">
        <f t="shared" si="399"/>
        <v>1</v>
      </c>
      <c r="DD696" s="177">
        <f t="shared" si="400"/>
        <v>1</v>
      </c>
      <c r="DE696" s="177">
        <f t="shared" si="401"/>
        <v>1</v>
      </c>
    </row>
    <row r="697" spans="1:109" ht="18" customHeight="1" x14ac:dyDescent="0.3">
      <c r="A697" s="81">
        <v>8.3333333333335993E-2</v>
      </c>
      <c r="B697" s="153"/>
      <c r="C697" s="130"/>
      <c r="D697" s="135"/>
      <c r="E697" s="130"/>
      <c r="F697" s="135"/>
      <c r="G697" s="130"/>
      <c r="H697" s="135"/>
      <c r="I697" s="130"/>
      <c r="J697" s="135"/>
      <c r="K697" s="130"/>
      <c r="L697" s="135"/>
      <c r="M697" s="130"/>
      <c r="N697" s="135"/>
      <c r="O697" s="154"/>
      <c r="Q697" s="284"/>
      <c r="R697" s="285"/>
      <c r="S697" s="285"/>
      <c r="T697" s="285"/>
      <c r="U697" s="285"/>
      <c r="V697" s="285"/>
      <c r="W697" s="286"/>
      <c r="X697" s="199">
        <v>1</v>
      </c>
      <c r="Y697" s="262" t="str">
        <f t="array" ref="Y697">IF(ISERROR(INDEX($CA$2:$CB$200,SMALL(IF($CA$2:$CA$200=$A$688,ROW($CA$2:$CA$200)),ROW(5:5))-1,2)),"",INDEX($CA$2:$CB$200,SMALL(IF($CA$2:$CA$200=$A$688,ROW($CA$2:$CA$200)),ROW(5:5))-1,2))</f>
        <v/>
      </c>
      <c r="Z697" s="263"/>
      <c r="AA697" s="263"/>
      <c r="AB697" s="263"/>
      <c r="AC697" s="263"/>
      <c r="AD697" s="263"/>
      <c r="AE697" s="263"/>
      <c r="AF697" s="264"/>
      <c r="AH697" s="136">
        <v>8.3333333333335993E-2</v>
      </c>
      <c r="AI697" s="136" t="str">
        <f>IF(AH689="","",IF(B697="","",B697))</f>
        <v/>
      </c>
      <c r="AJ697" s="136" t="str">
        <f>IF(AH689="","",IF(C697="","",C697))</f>
        <v/>
      </c>
      <c r="AK697" s="136" t="str">
        <f>IF(AH689="","",IF(D697="","",D697))</f>
        <v/>
      </c>
      <c r="AL697" s="136" t="str">
        <f>IF(AH689="","",IF(E697="","",E697))</f>
        <v/>
      </c>
      <c r="AM697" s="136" t="str">
        <f>IF(AH689="","",IF(F697="","",F697))</f>
        <v/>
      </c>
      <c r="AN697" s="136" t="str">
        <f>IF(AH689="","",IF(G697="","",G697))</f>
        <v/>
      </c>
      <c r="AO697" s="136" t="str">
        <f>IF(AH689="","",IF(H697="","",H697))</f>
        <v/>
      </c>
      <c r="AP697" s="136" t="str">
        <f>IF(AH689="","",IF(I697="","",I697))</f>
        <v/>
      </c>
      <c r="AQ697" s="136" t="str">
        <f>IF(AH689="","",IF(J697="","",J697))</f>
        <v/>
      </c>
      <c r="AR697" s="136" t="str">
        <f>IF(AH689="","",IF(K697="","",K697))</f>
        <v/>
      </c>
      <c r="AS697" s="136" t="str">
        <f>IF(AH689="","",IF(L697="","",L697))</f>
        <v/>
      </c>
      <c r="AT697" s="136" t="str">
        <f>IF(AH689="","",IF(M697="","",M697))</f>
        <v/>
      </c>
      <c r="AU697" s="136" t="str">
        <f>IF(AH689="","",IF(N697="","",N697))</f>
        <v/>
      </c>
      <c r="AV697" s="136" t="str">
        <f>IF(AH689="","",IF(O697="","",O697))</f>
        <v/>
      </c>
      <c r="AX697" s="136" t="str">
        <f>IF(AI689="","",IF(B697="","",B697))</f>
        <v/>
      </c>
      <c r="AY697" s="136" t="str">
        <f>IF(AI689="","",IF(C697="","",C697))</f>
        <v/>
      </c>
      <c r="AZ697" s="136" t="str">
        <f>IF(AI689="","",IF(D697="","",D697))</f>
        <v/>
      </c>
      <c r="BA697" s="136" t="str">
        <f>IF(AI689="","",IF(E697="","",E697))</f>
        <v/>
      </c>
      <c r="BB697" s="136" t="str">
        <f>IF(AI689="","",IF(F697="","",F697))</f>
        <v/>
      </c>
      <c r="BC697" s="136" t="str">
        <f>IF(AI689="","",IF(G697="","",G697))</f>
        <v/>
      </c>
      <c r="BD697" s="136" t="str">
        <f>IF(AI689="","",IF(H697="","",H697))</f>
        <v/>
      </c>
      <c r="BE697" s="136" t="str">
        <f>IF(AI689="","",IF(I697="","",I697))</f>
        <v/>
      </c>
      <c r="BF697" s="136" t="str">
        <f>IF(AI689="","",IF(J697="","",J697))</f>
        <v/>
      </c>
      <c r="BG697" s="136" t="str">
        <f>IF(AI689="","",IF(K697="","",K697))</f>
        <v/>
      </c>
      <c r="BH697" s="136" t="str">
        <f>IF(AI689="","",IF(L697="","",L697))</f>
        <v/>
      </c>
      <c r="BI697" s="136" t="str">
        <f>IF(AI689="","",IF(M697="","",M697))</f>
        <v/>
      </c>
      <c r="BJ697" s="136" t="str">
        <f>IF(AI689="","",IF(N697="","",N697))</f>
        <v/>
      </c>
      <c r="BK697" s="136" t="str">
        <f>IF(AI689="","",IF(O697="","",O697))</f>
        <v/>
      </c>
      <c r="CA697" s="136">
        <f>'INFO BASE'!L767</f>
        <v>0</v>
      </c>
      <c r="CB697" s="136">
        <f>'INFO BASE'!M767</f>
        <v>0</v>
      </c>
      <c r="CD697" s="136" t="str">
        <f t="shared" ref="CD697:CD702" si="402">R705</f>
        <v>FP</v>
      </c>
      <c r="CR697" s="177">
        <f t="shared" si="393"/>
        <v>1</v>
      </c>
      <c r="CS697" s="177">
        <f t="shared" si="394"/>
        <v>1</v>
      </c>
      <c r="CT697" s="177">
        <f t="shared" si="393"/>
        <v>1</v>
      </c>
      <c r="CU697" s="177">
        <f t="shared" si="395"/>
        <v>1</v>
      </c>
      <c r="CV697" s="177">
        <f t="shared" si="393"/>
        <v>1</v>
      </c>
      <c r="CW697" s="177">
        <f t="shared" si="396"/>
        <v>1</v>
      </c>
      <c r="CX697" s="177">
        <f t="shared" si="393"/>
        <v>1</v>
      </c>
      <c r="CY697" s="177">
        <f t="shared" si="397"/>
        <v>1</v>
      </c>
      <c r="CZ697" s="177">
        <f t="shared" si="393"/>
        <v>1</v>
      </c>
      <c r="DA697" s="177">
        <f t="shared" si="398"/>
        <v>1</v>
      </c>
      <c r="DB697" s="177">
        <f t="shared" si="393"/>
        <v>1</v>
      </c>
      <c r="DC697" s="177">
        <f t="shared" si="399"/>
        <v>1</v>
      </c>
      <c r="DD697" s="177">
        <f t="shared" si="400"/>
        <v>1</v>
      </c>
      <c r="DE697" s="177">
        <f t="shared" si="401"/>
        <v>1</v>
      </c>
    </row>
    <row r="698" spans="1:109" ht="18" customHeight="1" x14ac:dyDescent="0.3">
      <c r="A698" s="81">
        <v>0.10416666666667</v>
      </c>
      <c r="B698" s="153"/>
      <c r="C698" s="130"/>
      <c r="D698" s="135"/>
      <c r="E698" s="130"/>
      <c r="F698" s="135"/>
      <c r="G698" s="130"/>
      <c r="H698" s="135"/>
      <c r="I698" s="130"/>
      <c r="J698" s="135"/>
      <c r="K698" s="130"/>
      <c r="L698" s="135"/>
      <c r="M698" s="130"/>
      <c r="N698" s="135"/>
      <c r="O698" s="154"/>
      <c r="Q698" s="284"/>
      <c r="R698" s="285"/>
      <c r="S698" s="285"/>
      <c r="T698" s="285"/>
      <c r="U698" s="285"/>
      <c r="V698" s="285"/>
      <c r="W698" s="286"/>
      <c r="X698" s="199">
        <v>1</v>
      </c>
      <c r="Y698" s="262" t="str">
        <f t="array" ref="Y698">IF(ISERROR(INDEX($CA$2:$CB$200,SMALL(IF($CA$2:$CA$200=$A$688,ROW($CA$2:$CA$200)),ROW(6:6))-1,2)),"",INDEX($CA$2:$CB$200,SMALL(IF($CA$2:$CA$200=$A$688,ROW($CA$2:$CA$200)),ROW(6:6))-1,2))</f>
        <v/>
      </c>
      <c r="Z698" s="263"/>
      <c r="AA698" s="263"/>
      <c r="AB698" s="263"/>
      <c r="AC698" s="263"/>
      <c r="AD698" s="263"/>
      <c r="AE698" s="263"/>
      <c r="AF698" s="264"/>
      <c r="AH698" s="136">
        <v>0.10416666666667</v>
      </c>
      <c r="AI698" s="136" t="str">
        <f>IF(AH689="","",IF(B698="","",B698))</f>
        <v/>
      </c>
      <c r="AJ698" s="136" t="str">
        <f>IF(AH689="","",IF(C698="","",C698))</f>
        <v/>
      </c>
      <c r="AK698" s="136" t="str">
        <f>IF(AH689="","",IF(D698="","",D698))</f>
        <v/>
      </c>
      <c r="AL698" s="136" t="str">
        <f>IF(AH689="","",IF(E698="","",E698))</f>
        <v/>
      </c>
      <c r="AM698" s="136" t="str">
        <f>IF(AH689="","",IF(F698="","",F698))</f>
        <v/>
      </c>
      <c r="AN698" s="136" t="str">
        <f>IF(AH689="","",IF(G698="","",G698))</f>
        <v/>
      </c>
      <c r="AO698" s="136" t="str">
        <f>IF(AH689="","",IF(H698="","",H698))</f>
        <v/>
      </c>
      <c r="AP698" s="136" t="str">
        <f>IF(AH689="","",IF(I698="","",I698))</f>
        <v/>
      </c>
      <c r="AQ698" s="136" t="str">
        <f>IF(AH689="","",IF(J698="","",J698))</f>
        <v/>
      </c>
      <c r="AR698" s="136" t="str">
        <f>IF(AH689="","",IF(K698="","",K698))</f>
        <v/>
      </c>
      <c r="AS698" s="136" t="str">
        <f>IF(AH689="","",IF(L698="","",L698))</f>
        <v/>
      </c>
      <c r="AT698" s="136" t="str">
        <f>IF(AH689="","",IF(M698="","",M698))</f>
        <v/>
      </c>
      <c r="AU698" s="136" t="str">
        <f>IF(AH689="","",IF(N698="","",N698))</f>
        <v/>
      </c>
      <c r="AV698" s="136" t="str">
        <f>IF(AH689="","",IF(O698="","",O698))</f>
        <v/>
      </c>
      <c r="AX698" s="136" t="str">
        <f>IF(AI689="","",IF(B698="","",B698))</f>
        <v/>
      </c>
      <c r="AY698" s="136" t="str">
        <f>IF(AI689="","",IF(C698="","",C698))</f>
        <v/>
      </c>
      <c r="AZ698" s="136" t="str">
        <f>IF(AI689="","",IF(D698="","",D698))</f>
        <v/>
      </c>
      <c r="BA698" s="136" t="str">
        <f>IF(AI689="","",IF(E698="","",E698))</f>
        <v/>
      </c>
      <c r="BB698" s="136" t="str">
        <f>IF(AI689="","",IF(F698="","",F698))</f>
        <v/>
      </c>
      <c r="BC698" s="136" t="str">
        <f>IF(AI689="","",IF(G698="","",G698))</f>
        <v/>
      </c>
      <c r="BD698" s="136" t="str">
        <f>IF(AI689="","",IF(H698="","",H698))</f>
        <v/>
      </c>
      <c r="BE698" s="136" t="str">
        <f>IF(AI689="","",IF(I698="","",I698))</f>
        <v/>
      </c>
      <c r="BF698" s="136" t="str">
        <f>IF(AI689="","",IF(J698="","",J698))</f>
        <v/>
      </c>
      <c r="BG698" s="136" t="str">
        <f>IF(AI689="","",IF(K698="","",K698))</f>
        <v/>
      </c>
      <c r="BH698" s="136" t="str">
        <f>IF(AI689="","",IF(L698="","",L698))</f>
        <v/>
      </c>
      <c r="BI698" s="136" t="str">
        <f>IF(AI689="","",IF(M698="","",M698))</f>
        <v/>
      </c>
      <c r="BJ698" s="136" t="str">
        <f>IF(AI689="","",IF(N698="","",N698))</f>
        <v/>
      </c>
      <c r="BK698" s="136" t="str">
        <f>IF(AI689="","",IF(O698="","",O698))</f>
        <v/>
      </c>
      <c r="CA698" s="136">
        <f>'INFO BASE'!L778</f>
        <v>0</v>
      </c>
      <c r="CB698" s="136">
        <f>'INFO BASE'!M778</f>
        <v>0</v>
      </c>
      <c r="CD698" s="136" t="str">
        <f t="shared" si="402"/>
        <v>IEI</v>
      </c>
      <c r="CR698" s="177">
        <f t="shared" si="393"/>
        <v>1</v>
      </c>
      <c r="CS698" s="177">
        <f t="shared" si="394"/>
        <v>1</v>
      </c>
      <c r="CT698" s="177">
        <f t="shared" si="393"/>
        <v>1</v>
      </c>
      <c r="CU698" s="177">
        <f t="shared" si="395"/>
        <v>1</v>
      </c>
      <c r="CV698" s="177">
        <f t="shared" si="393"/>
        <v>1</v>
      </c>
      <c r="CW698" s="177">
        <f t="shared" si="396"/>
        <v>1</v>
      </c>
      <c r="CX698" s="177">
        <f t="shared" si="393"/>
        <v>1</v>
      </c>
      <c r="CY698" s="177">
        <f t="shared" si="397"/>
        <v>1</v>
      </c>
      <c r="CZ698" s="177">
        <f t="shared" si="393"/>
        <v>1</v>
      </c>
      <c r="DA698" s="177">
        <f t="shared" si="398"/>
        <v>1</v>
      </c>
      <c r="DB698" s="177">
        <f t="shared" si="393"/>
        <v>1</v>
      </c>
      <c r="DC698" s="177">
        <f t="shared" si="399"/>
        <v>1</v>
      </c>
      <c r="DD698" s="177">
        <f t="shared" si="400"/>
        <v>1</v>
      </c>
      <c r="DE698" s="177">
        <f t="shared" si="401"/>
        <v>1</v>
      </c>
    </row>
    <row r="699" spans="1:109" ht="18" customHeight="1" x14ac:dyDescent="0.3">
      <c r="A699" s="81">
        <v>0.125000000000004</v>
      </c>
      <c r="B699" s="153"/>
      <c r="C699" s="130"/>
      <c r="D699" s="135"/>
      <c r="E699" s="130"/>
      <c r="F699" s="135"/>
      <c r="G699" s="130"/>
      <c r="H699" s="135"/>
      <c r="I699" s="130"/>
      <c r="J699" s="135"/>
      <c r="K699" s="130"/>
      <c r="L699" s="135"/>
      <c r="M699" s="130"/>
      <c r="N699" s="135"/>
      <c r="O699" s="154"/>
      <c r="Q699" s="284"/>
      <c r="R699" s="285"/>
      <c r="S699" s="285"/>
      <c r="T699" s="285"/>
      <c r="U699" s="285"/>
      <c r="V699" s="285"/>
      <c r="W699" s="286"/>
      <c r="X699" s="199">
        <v>1</v>
      </c>
      <c r="Y699" s="262" t="str">
        <f t="array" ref="Y699">IF(ISERROR(INDEX($CA$2:$CB$200,SMALL(IF($CA$2:$CA$200=$A$688,ROW($CA$2:$CA$200)),ROW(7:7))-1,2)),"",INDEX($CA$2:$CB$200,SMALL(IF($CA$2:$CA$200=$A$688,ROW($CA$2:$CA$200)),ROW(7:7))-1,2))</f>
        <v/>
      </c>
      <c r="Z699" s="263"/>
      <c r="AA699" s="263"/>
      <c r="AB699" s="263"/>
      <c r="AC699" s="263"/>
      <c r="AD699" s="263"/>
      <c r="AE699" s="263"/>
      <c r="AF699" s="264"/>
      <c r="AH699" s="136">
        <v>0.125000000000004</v>
      </c>
      <c r="AI699" s="136" t="str">
        <f>IF(AH689="","",IF(B699="","",B699))</f>
        <v/>
      </c>
      <c r="AJ699" s="136" t="str">
        <f>IF(AH689="","",IF(C699="","",C699))</f>
        <v/>
      </c>
      <c r="AK699" s="136" t="str">
        <f>IF(AH689="","",IF(D699="","",D699))</f>
        <v/>
      </c>
      <c r="AL699" s="136" t="str">
        <f>IF(AH689="","",IF(E699="","",E699))</f>
        <v/>
      </c>
      <c r="AM699" s="136" t="str">
        <f>IF(AH689="","",IF(F699="","",F699))</f>
        <v/>
      </c>
      <c r="AN699" s="136" t="str">
        <f>IF(AH689="","",IF(G699="","",G699))</f>
        <v/>
      </c>
      <c r="AO699" s="136" t="str">
        <f>IF(AH689="","",IF(H699="","",H699))</f>
        <v/>
      </c>
      <c r="AP699" s="136" t="str">
        <f>IF(AH689="","",IF(I699="","",I699))</f>
        <v/>
      </c>
      <c r="AQ699" s="136" t="str">
        <f>IF(AH689="","",IF(J699="","",J699))</f>
        <v/>
      </c>
      <c r="AR699" s="136" t="str">
        <f>IF(AH689="","",IF(K699="","",K699))</f>
        <v/>
      </c>
      <c r="AS699" s="136" t="str">
        <f>IF(AH689="","",IF(L699="","",L699))</f>
        <v/>
      </c>
      <c r="AT699" s="136" t="str">
        <f>IF(AH689="","",IF(M699="","",M699))</f>
        <v/>
      </c>
      <c r="AU699" s="136" t="str">
        <f>IF(AH689="","",IF(N699="","",N699))</f>
        <v/>
      </c>
      <c r="AV699" s="136" t="str">
        <f>IF(AH689="","",IF(O699="","",O699))</f>
        <v/>
      </c>
      <c r="AX699" s="136" t="str">
        <f>IF(AI689="","",IF(B699="","",B699))</f>
        <v/>
      </c>
      <c r="AY699" s="136" t="str">
        <f>IF(AI689="","",IF(C699="","",C699))</f>
        <v/>
      </c>
      <c r="AZ699" s="136" t="str">
        <f>IF(AI689="","",IF(D699="","",D699))</f>
        <v/>
      </c>
      <c r="BA699" s="136" t="str">
        <f>IF(AI689="","",IF(E699="","",E699))</f>
        <v/>
      </c>
      <c r="BB699" s="136" t="str">
        <f>IF(AI689="","",IF(F699="","",F699))</f>
        <v/>
      </c>
      <c r="BC699" s="136" t="str">
        <f>IF(AI689="","",IF(G699="","",G699))</f>
        <v/>
      </c>
      <c r="BD699" s="136" t="str">
        <f>IF(AI689="","",IF(H699="","",H699))</f>
        <v/>
      </c>
      <c r="BE699" s="136" t="str">
        <f>IF(AI689="","",IF(I699="","",I699))</f>
        <v/>
      </c>
      <c r="BF699" s="136" t="str">
        <f>IF(AI689="","",IF(J699="","",J699))</f>
        <v/>
      </c>
      <c r="BG699" s="136" t="str">
        <f>IF(AI689="","",IF(K699="","",K699))</f>
        <v/>
      </c>
      <c r="BH699" s="136" t="str">
        <f>IF(AI689="","",IF(L699="","",L699))</f>
        <v/>
      </c>
      <c r="BI699" s="136" t="str">
        <f>IF(AI689="","",IF(M699="","",M699))</f>
        <v/>
      </c>
      <c r="BJ699" s="136" t="str">
        <f>IF(AI689="","",IF(N699="","",N699))</f>
        <v/>
      </c>
      <c r="BK699" s="136" t="str">
        <f>IF(AI689="","",IF(O699="","",O699))</f>
        <v/>
      </c>
      <c r="CA699" s="136">
        <f>'INFO BASE'!L779</f>
        <v>0</v>
      </c>
      <c r="CB699" s="136">
        <f>'INFO BASE'!M779</f>
        <v>0</v>
      </c>
      <c r="CD699" s="136" t="str">
        <f t="shared" si="402"/>
        <v>IAC</v>
      </c>
      <c r="CR699" s="177">
        <f t="shared" si="393"/>
        <v>1</v>
      </c>
      <c r="CS699" s="177">
        <f t="shared" si="394"/>
        <v>1</v>
      </c>
      <c r="CT699" s="177">
        <f t="shared" si="393"/>
        <v>1</v>
      </c>
      <c r="CU699" s="177">
        <f t="shared" si="395"/>
        <v>1</v>
      </c>
      <c r="CV699" s="177">
        <f t="shared" si="393"/>
        <v>1</v>
      </c>
      <c r="CW699" s="177">
        <f t="shared" si="396"/>
        <v>1</v>
      </c>
      <c r="CX699" s="177">
        <f t="shared" si="393"/>
        <v>1</v>
      </c>
      <c r="CY699" s="177">
        <f t="shared" si="397"/>
        <v>1</v>
      </c>
      <c r="CZ699" s="177">
        <f t="shared" si="393"/>
        <v>1</v>
      </c>
      <c r="DA699" s="177">
        <f t="shared" si="398"/>
        <v>1</v>
      </c>
      <c r="DB699" s="177">
        <f t="shared" si="393"/>
        <v>1</v>
      </c>
      <c r="DC699" s="177">
        <f t="shared" si="399"/>
        <v>1</v>
      </c>
      <c r="DD699" s="177">
        <f t="shared" si="400"/>
        <v>1</v>
      </c>
      <c r="DE699" s="177">
        <f t="shared" si="401"/>
        <v>1</v>
      </c>
    </row>
    <row r="700" spans="1:109" ht="18" customHeight="1" thickBot="1" x14ac:dyDescent="0.35">
      <c r="A700" s="81">
        <v>0.14583333333333801</v>
      </c>
      <c r="B700" s="153"/>
      <c r="C700" s="130"/>
      <c r="D700" s="135"/>
      <c r="E700" s="130"/>
      <c r="F700" s="135"/>
      <c r="G700" s="130"/>
      <c r="H700" s="135"/>
      <c r="I700" s="130"/>
      <c r="J700" s="135"/>
      <c r="K700" s="130"/>
      <c r="L700" s="135"/>
      <c r="M700" s="130"/>
      <c r="N700" s="135"/>
      <c r="O700" s="154"/>
      <c r="Q700" s="287"/>
      <c r="R700" s="288"/>
      <c r="S700" s="288"/>
      <c r="T700" s="288"/>
      <c r="U700" s="288"/>
      <c r="V700" s="288"/>
      <c r="W700" s="289"/>
      <c r="X700" s="199">
        <v>1</v>
      </c>
      <c r="Y700" s="265" t="str">
        <f t="array" ref="Y700">IF(ISERROR(INDEX($CA$2:$CB$200,SMALL(IF($CA$2:$CA$200=$A$688,ROW($CA$2:$CA$200)),ROW(8:8))-1,2)),"",INDEX($CA$2:$CB$200,SMALL(IF($CA$2:$CA$200=$A$688,ROW($CA$2:$CA$200)),ROW(8:8))-1,2))</f>
        <v/>
      </c>
      <c r="Z700" s="266"/>
      <c r="AA700" s="266"/>
      <c r="AB700" s="266"/>
      <c r="AC700" s="266"/>
      <c r="AD700" s="266"/>
      <c r="AE700" s="266"/>
      <c r="AF700" s="267"/>
      <c r="AH700" s="136">
        <v>0.14583333333333801</v>
      </c>
      <c r="AI700" s="136" t="str">
        <f>IF(AH689="","",IF(B700="","",B700))</f>
        <v/>
      </c>
      <c r="AJ700" s="136" t="str">
        <f>IF(AH689="","",IF(C700="","",C700))</f>
        <v/>
      </c>
      <c r="AK700" s="136" t="str">
        <f>IF(AH689="","",IF(D700="","",D700))</f>
        <v/>
      </c>
      <c r="AL700" s="136" t="str">
        <f>IF(AH689="","",IF(E700="","",E700))</f>
        <v/>
      </c>
      <c r="AM700" s="136" t="str">
        <f>IF(AH689="","",IF(F700="","",F700))</f>
        <v/>
      </c>
      <c r="AN700" s="136" t="str">
        <f>IF(AH689="","",IF(G700="","",G700))</f>
        <v/>
      </c>
      <c r="AO700" s="136" t="str">
        <f>IF(AH689="","",IF(H700="","",H700))</f>
        <v/>
      </c>
      <c r="AP700" s="136" t="str">
        <f>IF(AH689="","",IF(I700="","",I700))</f>
        <v/>
      </c>
      <c r="AQ700" s="136" t="str">
        <f>IF(AH689="","",IF(J700="","",J700))</f>
        <v/>
      </c>
      <c r="AR700" s="136" t="str">
        <f>IF(AH689="","",IF(K700="","",K700))</f>
        <v/>
      </c>
      <c r="AS700" s="136" t="str">
        <f>IF(AH689="","",IF(L700="","",L700))</f>
        <v/>
      </c>
      <c r="AT700" s="136" t="str">
        <f>IF(AH689="","",IF(M700="","",M700))</f>
        <v/>
      </c>
      <c r="AU700" s="136" t="str">
        <f>IF(AH689="","",IF(N700="","",N700))</f>
        <v/>
      </c>
      <c r="AV700" s="136" t="str">
        <f>IF(AH689="","",IF(O700="","",O700))</f>
        <v/>
      </c>
      <c r="AX700" s="136" t="str">
        <f>IF(AI689="","",IF(B700="","",B700))</f>
        <v/>
      </c>
      <c r="AY700" s="136" t="str">
        <f>IF(AI689="","",IF(C700="","",C700))</f>
        <v/>
      </c>
      <c r="AZ700" s="136" t="str">
        <f>IF(AI689="","",IF(D700="","",D700))</f>
        <v/>
      </c>
      <c r="BA700" s="136" t="str">
        <f>IF(AI689="","",IF(E700="","",E700))</f>
        <v/>
      </c>
      <c r="BB700" s="136" t="str">
        <f>IF(AI689="","",IF(F700="","",F700))</f>
        <v/>
      </c>
      <c r="BC700" s="136" t="str">
        <f>IF(AI689="","",IF(G700="","",G700))</f>
        <v/>
      </c>
      <c r="BD700" s="136" t="str">
        <f>IF(AI689="","",IF(H700="","",H700))</f>
        <v/>
      </c>
      <c r="BE700" s="136" t="str">
        <f>IF(AI689="","",IF(I700="","",I700))</f>
        <v/>
      </c>
      <c r="BF700" s="136" t="str">
        <f>IF(AI689="","",IF(J700="","",J700))</f>
        <v/>
      </c>
      <c r="BG700" s="136" t="str">
        <f>IF(AI689="","",IF(K700="","",K700))</f>
        <v/>
      </c>
      <c r="BH700" s="136" t="str">
        <f>IF(AI689="","",IF(L700="","",L700))</f>
        <v/>
      </c>
      <c r="BI700" s="136" t="str">
        <f>IF(AI689="","",IF(M700="","",M700))</f>
        <v/>
      </c>
      <c r="BJ700" s="136" t="str">
        <f>IF(AI689="","",IF(N700="","",N700))</f>
        <v/>
      </c>
      <c r="BK700" s="136" t="str">
        <f>IF(AI689="","",IF(O700="","",O700))</f>
        <v/>
      </c>
      <c r="CA700" s="136">
        <f>'INFO BASE'!L780</f>
        <v>0</v>
      </c>
      <c r="CB700" s="136">
        <f>'INFO BASE'!M780</f>
        <v>0</v>
      </c>
      <c r="CD700" s="136" t="str">
        <f t="shared" si="402"/>
        <v>AL</v>
      </c>
      <c r="CR700" s="177">
        <f t="shared" si="393"/>
        <v>1</v>
      </c>
      <c r="CS700" s="177">
        <f t="shared" si="394"/>
        <v>1</v>
      </c>
      <c r="CT700" s="177">
        <f t="shared" si="393"/>
        <v>1</v>
      </c>
      <c r="CU700" s="177">
        <f t="shared" si="395"/>
        <v>1</v>
      </c>
      <c r="CV700" s="177">
        <f t="shared" si="393"/>
        <v>1</v>
      </c>
      <c r="CW700" s="177">
        <f t="shared" si="396"/>
        <v>1</v>
      </c>
      <c r="CX700" s="177">
        <f t="shared" si="393"/>
        <v>1</v>
      </c>
      <c r="CY700" s="177">
        <f t="shared" si="397"/>
        <v>1</v>
      </c>
      <c r="CZ700" s="177">
        <f t="shared" si="393"/>
        <v>1</v>
      </c>
      <c r="DA700" s="177">
        <f t="shared" si="398"/>
        <v>1</v>
      </c>
      <c r="DB700" s="177">
        <f t="shared" si="393"/>
        <v>1</v>
      </c>
      <c r="DC700" s="177">
        <f t="shared" si="399"/>
        <v>1</v>
      </c>
      <c r="DD700" s="177">
        <f t="shared" si="400"/>
        <v>1</v>
      </c>
      <c r="DE700" s="177">
        <f t="shared" si="401"/>
        <v>1</v>
      </c>
    </row>
    <row r="701" spans="1:109" ht="18" customHeight="1" thickBot="1" x14ac:dyDescent="0.35">
      <c r="A701" s="81">
        <v>0.16666666666667199</v>
      </c>
      <c r="B701" s="153"/>
      <c r="C701" s="130"/>
      <c r="D701" s="135"/>
      <c r="E701" s="130"/>
      <c r="F701" s="135"/>
      <c r="G701" s="130"/>
      <c r="H701" s="135"/>
      <c r="I701" s="130"/>
      <c r="J701" s="135"/>
      <c r="K701" s="130"/>
      <c r="L701" s="135"/>
      <c r="M701" s="130"/>
      <c r="N701" s="135"/>
      <c r="O701" s="154"/>
      <c r="Q701" s="63"/>
      <c r="R701" s="64"/>
      <c r="S701" s="65"/>
      <c r="T701" s="65"/>
      <c r="U701" s="65"/>
      <c r="V701" s="65"/>
      <c r="W701" s="65"/>
      <c r="X701" s="199">
        <v>1</v>
      </c>
      <c r="Y701" s="59"/>
      <c r="Z701" s="59"/>
      <c r="AA701" s="59"/>
      <c r="AB701" s="59"/>
      <c r="AC701" s="59"/>
      <c r="AD701" s="59"/>
      <c r="AE701" s="59"/>
      <c r="AF701" s="59"/>
      <c r="AH701" s="136">
        <v>0.16666666666667199</v>
      </c>
      <c r="AI701" s="136" t="str">
        <f>IF(AH689="","",IF(B701="","",B701))</f>
        <v/>
      </c>
      <c r="AJ701" s="136" t="str">
        <f>IF(AH689="","",IF(C701="","",C701))</f>
        <v/>
      </c>
      <c r="AK701" s="136" t="str">
        <f>IF(AH689="","",IF(D701="","",D701))</f>
        <v/>
      </c>
      <c r="AL701" s="136" t="str">
        <f>IF(AH689="","",IF(E701="","",E701))</f>
        <v/>
      </c>
      <c r="AM701" s="136" t="str">
        <f>IF(AH689="","",IF(F701="","",F701))</f>
        <v/>
      </c>
      <c r="AN701" s="136" t="str">
        <f>IF(AH689="","",IF(G701="","",G701))</f>
        <v/>
      </c>
      <c r="AO701" s="136" t="str">
        <f>IF(AH689="","",IF(H701="","",H701))</f>
        <v/>
      </c>
      <c r="AP701" s="136" t="str">
        <f>IF(AH689="","",IF(I701="","",I701))</f>
        <v/>
      </c>
      <c r="AQ701" s="136" t="str">
        <f>IF(AH689="","",IF(J701="","",J701))</f>
        <v/>
      </c>
      <c r="AR701" s="136" t="str">
        <f>IF(AH689="","",IF(K701="","",K701))</f>
        <v/>
      </c>
      <c r="AS701" s="136" t="str">
        <f>IF(AH689="","",IF(L701="","",L701))</f>
        <v/>
      </c>
      <c r="AT701" s="136" t="str">
        <f>IF(AH689="","",IF(M701="","",M701))</f>
        <v/>
      </c>
      <c r="AU701" s="136" t="str">
        <f>IF(AH689="","",IF(N701="","",N701))</f>
        <v/>
      </c>
      <c r="AV701" s="136" t="str">
        <f>IF(AH689="","",IF(O701="","",O701))</f>
        <v/>
      </c>
      <c r="AX701" s="136" t="str">
        <f>IF(AI689="","",IF(B701="","",B701))</f>
        <v/>
      </c>
      <c r="AY701" s="136" t="str">
        <f>IF(AI689="","",IF(C701="","",C701))</f>
        <v/>
      </c>
      <c r="AZ701" s="136" t="str">
        <f>IF(AI689="","",IF(D701="","",D701))</f>
        <v/>
      </c>
      <c r="BA701" s="136" t="str">
        <f>IF(AI689="","",IF(E701="","",E701))</f>
        <v/>
      </c>
      <c r="BB701" s="136" t="str">
        <f>IF(AI689="","",IF(F701="","",F701))</f>
        <v/>
      </c>
      <c r="BC701" s="136" t="str">
        <f>IF(AI689="","",IF(G701="","",G701))</f>
        <v/>
      </c>
      <c r="BD701" s="136" t="str">
        <f>IF(AI689="","",IF(H701="","",H701))</f>
        <v/>
      </c>
      <c r="BE701" s="136" t="str">
        <f>IF(AI689="","",IF(I701="","",I701))</f>
        <v/>
      </c>
      <c r="BF701" s="136" t="str">
        <f>IF(AI689="","",IF(J701="","",J701))</f>
        <v/>
      </c>
      <c r="BG701" s="136" t="str">
        <f>IF(AI689="","",IF(K701="","",K701))</f>
        <v/>
      </c>
      <c r="BH701" s="136" t="str">
        <f>IF(AI689="","",IF(L701="","",L701))</f>
        <v/>
      </c>
      <c r="BI701" s="136" t="str">
        <f>IF(AI689="","",IF(M701="","",M701))</f>
        <v/>
      </c>
      <c r="BJ701" s="136" t="str">
        <f>IF(AI689="","",IF(N701="","",N701))</f>
        <v/>
      </c>
      <c r="BK701" s="136" t="str">
        <f>IF(AI689="","",IF(O701="","",O701))</f>
        <v/>
      </c>
      <c r="BM701" s="136" t="str">
        <f>BO701</f>
        <v>EA</v>
      </c>
      <c r="BN701" s="136" t="str">
        <f t="shared" ref="BN701:BO737" si="403">Q704</f>
        <v>Estudo Autónomo</v>
      </c>
      <c r="BO701" s="136" t="str">
        <f t="shared" si="403"/>
        <v>EA</v>
      </c>
      <c r="BP701" s="136">
        <f>COUNTIFS(AX693:BK740,BO701)*0.5</f>
        <v>0</v>
      </c>
      <c r="BQ701" s="136" t="str">
        <f t="shared" ref="BQ701:BR737" si="404">BN701</f>
        <v>Estudo Autónomo</v>
      </c>
      <c r="BR701" s="136" t="str">
        <f t="shared" si="404"/>
        <v>EA</v>
      </c>
      <c r="BS701" s="136" t="str">
        <f>BQ701</f>
        <v>Estudo Autónomo</v>
      </c>
      <c r="BT701" s="136">
        <f>SUMIFS(V:V,Q:Q,BQ701,R:R,BR701)</f>
        <v>86.5</v>
      </c>
      <c r="BU701" s="136">
        <f>SUMIFS(BP:BP,BN:BN,BQ701,BO:BO,BR701)</f>
        <v>95.5</v>
      </c>
      <c r="CA701" s="136">
        <f>'INFO BASE'!L781</f>
        <v>0</v>
      </c>
      <c r="CB701" s="136">
        <f>'INFO BASE'!M781</f>
        <v>0</v>
      </c>
      <c r="CD701" s="136" t="str">
        <f t="shared" si="402"/>
        <v>CDI</v>
      </c>
      <c r="CR701" s="177">
        <f t="shared" si="393"/>
        <v>1</v>
      </c>
      <c r="CS701" s="177">
        <f t="shared" si="394"/>
        <v>1</v>
      </c>
      <c r="CT701" s="177">
        <f t="shared" si="393"/>
        <v>1</v>
      </c>
      <c r="CU701" s="177">
        <f t="shared" si="395"/>
        <v>1</v>
      </c>
      <c r="CV701" s="177">
        <f t="shared" si="393"/>
        <v>1</v>
      </c>
      <c r="CW701" s="177">
        <f t="shared" si="396"/>
        <v>1</v>
      </c>
      <c r="CX701" s="177">
        <f t="shared" si="393"/>
        <v>1</v>
      </c>
      <c r="CY701" s="177">
        <f t="shared" si="397"/>
        <v>1</v>
      </c>
      <c r="CZ701" s="177">
        <f t="shared" si="393"/>
        <v>1</v>
      </c>
      <c r="DA701" s="177">
        <f t="shared" si="398"/>
        <v>1</v>
      </c>
      <c r="DB701" s="177">
        <f t="shared" si="393"/>
        <v>1</v>
      </c>
      <c r="DC701" s="177">
        <f t="shared" si="399"/>
        <v>1</v>
      </c>
      <c r="DD701" s="177">
        <f t="shared" si="400"/>
        <v>1</v>
      </c>
      <c r="DE701" s="177">
        <f t="shared" si="401"/>
        <v>1</v>
      </c>
    </row>
    <row r="702" spans="1:109" ht="18" customHeight="1" x14ac:dyDescent="0.3">
      <c r="A702" s="81">
        <v>0.187500000000006</v>
      </c>
      <c r="B702" s="153"/>
      <c r="C702" s="130"/>
      <c r="D702" s="135"/>
      <c r="E702" s="130"/>
      <c r="F702" s="135"/>
      <c r="G702" s="130"/>
      <c r="H702" s="135"/>
      <c r="I702" s="130"/>
      <c r="J702" s="135"/>
      <c r="K702" s="130"/>
      <c r="L702" s="135"/>
      <c r="M702" s="130"/>
      <c r="N702" s="135"/>
      <c r="O702" s="154"/>
      <c r="Q702" s="294" t="s">
        <v>14</v>
      </c>
      <c r="R702" s="290" t="s">
        <v>88</v>
      </c>
      <c r="S702" s="290" t="s">
        <v>87</v>
      </c>
      <c r="T702" s="290" t="s">
        <v>89</v>
      </c>
      <c r="U702" s="290" t="s">
        <v>41</v>
      </c>
      <c r="V702" s="290" t="s">
        <v>91</v>
      </c>
      <c r="W702" s="292" t="s">
        <v>90</v>
      </c>
      <c r="X702" s="199">
        <v>1</v>
      </c>
      <c r="Y702" s="302" t="s">
        <v>21</v>
      </c>
      <c r="Z702" s="303"/>
      <c r="AA702" s="303"/>
      <c r="AB702" s="303"/>
      <c r="AC702" s="303"/>
      <c r="AD702" s="303"/>
      <c r="AE702" s="303"/>
      <c r="AF702" s="304"/>
      <c r="AH702" s="136">
        <v>0.187500000000006</v>
      </c>
      <c r="AI702" s="136" t="str">
        <f>IF(AH689="","",IF(B702="","",B702))</f>
        <v/>
      </c>
      <c r="AJ702" s="136" t="str">
        <f>IF(AH689="","",IF(C702="","",C702))</f>
        <v/>
      </c>
      <c r="AK702" s="136" t="str">
        <f>IF(AH689="","",IF(D702="","",D702))</f>
        <v/>
      </c>
      <c r="AL702" s="136" t="str">
        <f>IF(AH689="","",IF(E702="","",E702))</f>
        <v/>
      </c>
      <c r="AM702" s="136" t="str">
        <f>IF(AH689="","",IF(F702="","",F702))</f>
        <v/>
      </c>
      <c r="AN702" s="136" t="str">
        <f>IF(AH689="","",IF(G702="","",G702))</f>
        <v/>
      </c>
      <c r="AO702" s="136" t="str">
        <f>IF(AH689="","",IF(H702="","",H702))</f>
        <v/>
      </c>
      <c r="AP702" s="136" t="str">
        <f>IF(AH689="","",IF(I702="","",I702))</f>
        <v/>
      </c>
      <c r="AQ702" s="136" t="str">
        <f>IF(AH689="","",IF(J702="","",J702))</f>
        <v/>
      </c>
      <c r="AR702" s="136" t="str">
        <f>IF(AH689="","",IF(K702="","",K702))</f>
        <v/>
      </c>
      <c r="AS702" s="136" t="str">
        <f>IF(AH689="","",IF(L702="","",L702))</f>
        <v/>
      </c>
      <c r="AT702" s="136" t="str">
        <f>IF(AH689="","",IF(M702="","",M702))</f>
        <v/>
      </c>
      <c r="AU702" s="136" t="str">
        <f>IF(AH689="","",IF(N702="","",N702))</f>
        <v/>
      </c>
      <c r="AV702" s="136" t="str">
        <f>IF(AH689="","",IF(O702="","",O702))</f>
        <v/>
      </c>
      <c r="AX702" s="136" t="str">
        <f>IF(AI689="","",IF(B702="","",B702))</f>
        <v/>
      </c>
      <c r="AY702" s="136" t="str">
        <f>IF(AI689="","",IF(C702="","",C702))</f>
        <v/>
      </c>
      <c r="AZ702" s="136" t="str">
        <f>IF(AI689="","",IF(D702="","",D702))</f>
        <v/>
      </c>
      <c r="BA702" s="136" t="str">
        <f>IF(AI689="","",IF(E702="","",E702))</f>
        <v/>
      </c>
      <c r="BB702" s="136" t="str">
        <f>IF(AI689="","",IF(F702="","",F702))</f>
        <v/>
      </c>
      <c r="BC702" s="136" t="str">
        <f>IF(AI689="","",IF(G702="","",G702))</f>
        <v/>
      </c>
      <c r="BD702" s="136" t="str">
        <f>IF(AI689="","",IF(H702="","",H702))</f>
        <v/>
      </c>
      <c r="BE702" s="136" t="str">
        <f>IF(AI689="","",IF(I702="","",I702))</f>
        <v/>
      </c>
      <c r="BF702" s="136" t="str">
        <f>IF(AI689="","",IF(J702="","",J702))</f>
        <v/>
      </c>
      <c r="BG702" s="136" t="str">
        <f>IF(AI689="","",IF(K702="","",K702))</f>
        <v/>
      </c>
      <c r="BH702" s="136" t="str">
        <f>IF(AI689="","",IF(L702="","",L702))</f>
        <v/>
      </c>
      <c r="BI702" s="136" t="str">
        <f>IF(AI689="","",IF(M702="","",M702))</f>
        <v/>
      </c>
      <c r="BJ702" s="136" t="str">
        <f>IF(AI689="","",IF(N702="","",N702))</f>
        <v/>
      </c>
      <c r="BK702" s="136" t="str">
        <f>IF(AI689="","",IF(O702="","",O702))</f>
        <v/>
      </c>
      <c r="BM702" s="136" t="str">
        <f>BM701</f>
        <v>EA</v>
      </c>
      <c r="BN702" s="136" t="str">
        <f t="shared" si="403"/>
        <v>Estudo Autónomo</v>
      </c>
      <c r="BO702" s="136" t="str">
        <f t="shared" si="403"/>
        <v>FP</v>
      </c>
      <c r="BP702" s="136">
        <f>(COUNTIFS(AX693:AX740,BM702,AY693:AY740,BO702)+COUNTIFS(AZ693:AZ740,BM702,BA693:BA740,BO702)+COUNTIFS(BB693:BB740,BM702,BC693:BC740,BO702)+COUNTIFS(BD693:BD740,BM702,BE693:BE740,BO702)+COUNTIFS(BF693:BF740,BM702,BG693:BG740,BO702)+COUNTIFS(BH693:BH740,BM702,BI693:BI740,BO702)+COUNTIFS(BJ693:BJ740,BM702,BK693:BK740,BO702))*0.5</f>
        <v>0</v>
      </c>
      <c r="BQ702" s="136" t="str">
        <f t="shared" si="404"/>
        <v>Estudo Autónomo</v>
      </c>
      <c r="BR702" s="136" t="str">
        <f>$R$20</f>
        <v>EA</v>
      </c>
      <c r="BS702" s="136" t="str">
        <f t="shared" ref="BS702:BS737" si="405">BQ702</f>
        <v>Estudo Autónomo</v>
      </c>
      <c r="BT702" s="136">
        <f>SUMIFS(V:V,Q:Q,BQ702,R:R,BR702)</f>
        <v>86.5</v>
      </c>
      <c r="BU702" s="136">
        <f>SUMIFS(BP:BP,BN:BN,BQ702,BO:BO,BR702)</f>
        <v>95.5</v>
      </c>
      <c r="CA702" s="136">
        <f>'INFO BASE'!L782</f>
        <v>0</v>
      </c>
      <c r="CB702" s="136">
        <f>'INFO BASE'!M782</f>
        <v>0</v>
      </c>
      <c r="CD702" s="136" t="str">
        <f t="shared" si="402"/>
        <v/>
      </c>
      <c r="CR702" s="177">
        <f t="shared" si="393"/>
        <v>1</v>
      </c>
      <c r="CS702" s="177">
        <f t="shared" si="394"/>
        <v>1</v>
      </c>
      <c r="CT702" s="177">
        <f t="shared" si="393"/>
        <v>1</v>
      </c>
      <c r="CU702" s="177">
        <f t="shared" si="395"/>
        <v>1</v>
      </c>
      <c r="CV702" s="177">
        <f t="shared" si="393"/>
        <v>1</v>
      </c>
      <c r="CW702" s="177">
        <f t="shared" si="396"/>
        <v>1</v>
      </c>
      <c r="CX702" s="177">
        <f t="shared" si="393"/>
        <v>1</v>
      </c>
      <c r="CY702" s="177">
        <f t="shared" si="397"/>
        <v>1</v>
      </c>
      <c r="CZ702" s="177">
        <f t="shared" si="393"/>
        <v>1</v>
      </c>
      <c r="DA702" s="177">
        <f t="shared" si="398"/>
        <v>1</v>
      </c>
      <c r="DB702" s="177">
        <f t="shared" si="393"/>
        <v>1</v>
      </c>
      <c r="DC702" s="177">
        <f t="shared" si="399"/>
        <v>1</v>
      </c>
      <c r="DD702" s="177">
        <f t="shared" si="400"/>
        <v>1</v>
      </c>
      <c r="DE702" s="177">
        <f t="shared" si="401"/>
        <v>1</v>
      </c>
    </row>
    <row r="703" spans="1:109" ht="18" customHeight="1" thickBot="1" x14ac:dyDescent="0.35">
      <c r="A703" s="81">
        <v>0.20833333333334</v>
      </c>
      <c r="B703" s="153"/>
      <c r="C703" s="130"/>
      <c r="D703" s="135"/>
      <c r="E703" s="130"/>
      <c r="F703" s="135"/>
      <c r="G703" s="130"/>
      <c r="H703" s="135"/>
      <c r="I703" s="130"/>
      <c r="J703" s="135"/>
      <c r="K703" s="130"/>
      <c r="L703" s="135"/>
      <c r="M703" s="130"/>
      <c r="N703" s="135"/>
      <c r="O703" s="154"/>
      <c r="Q703" s="295"/>
      <c r="R703" s="291"/>
      <c r="S703" s="291"/>
      <c r="T703" s="291"/>
      <c r="U703" s="291"/>
      <c r="V703" s="291"/>
      <c r="W703" s="293"/>
      <c r="X703" s="199">
        <v>1</v>
      </c>
      <c r="Y703" s="305"/>
      <c r="Z703" s="306"/>
      <c r="AA703" s="306"/>
      <c r="AB703" s="306"/>
      <c r="AC703" s="306"/>
      <c r="AD703" s="306"/>
      <c r="AE703" s="306"/>
      <c r="AF703" s="307"/>
      <c r="AH703" s="136">
        <v>0.20833333333334</v>
      </c>
      <c r="AI703" s="136" t="str">
        <f>IF(AH689="","",IF(B703="","",B703))</f>
        <v/>
      </c>
      <c r="AJ703" s="136" t="str">
        <f>IF(AH689="","",IF(C703="","",C703))</f>
        <v/>
      </c>
      <c r="AK703" s="136" t="str">
        <f>IF(AH689="","",IF(D703="","",D703))</f>
        <v/>
      </c>
      <c r="AL703" s="136" t="str">
        <f>IF(AH689="","",IF(E703="","",E703))</f>
        <v/>
      </c>
      <c r="AM703" s="136" t="str">
        <f>IF(AH689="","",IF(F703="","",F703))</f>
        <v/>
      </c>
      <c r="AN703" s="136" t="str">
        <f>IF(AH689="","",IF(G703="","",G703))</f>
        <v/>
      </c>
      <c r="AO703" s="136" t="str">
        <f>IF(AH689="","",IF(H703="","",H703))</f>
        <v/>
      </c>
      <c r="AP703" s="136" t="str">
        <f>IF(AH689="","",IF(I703="","",I703))</f>
        <v/>
      </c>
      <c r="AQ703" s="136" t="str">
        <f>IF(AH689="","",IF(J703="","",J703))</f>
        <v/>
      </c>
      <c r="AR703" s="136" t="str">
        <f>IF(AH689="","",IF(K703="","",K703))</f>
        <v/>
      </c>
      <c r="AS703" s="136" t="str">
        <f>IF(AH689="","",IF(L703="","",L703))</f>
        <v/>
      </c>
      <c r="AT703" s="136" t="str">
        <f>IF(AH689="","",IF(M703="","",M703))</f>
        <v/>
      </c>
      <c r="AU703" s="136" t="str">
        <f>IF(AH689="","",IF(N703="","",N703))</f>
        <v/>
      </c>
      <c r="AV703" s="136" t="str">
        <f>IF(AH689="","",IF(O703="","",O703))</f>
        <v/>
      </c>
      <c r="AX703" s="136" t="str">
        <f>IF(AI689="","",IF(B703="","",B703))</f>
        <v/>
      </c>
      <c r="AY703" s="136" t="str">
        <f>IF(AI689="","",IF(C703="","",C703))</f>
        <v/>
      </c>
      <c r="AZ703" s="136" t="str">
        <f>IF(AI689="","",IF(D703="","",D703))</f>
        <v/>
      </c>
      <c r="BA703" s="136" t="str">
        <f>IF(AI689="","",IF(E703="","",E703))</f>
        <v/>
      </c>
      <c r="BB703" s="136" t="str">
        <f>IF(AI689="","",IF(F703="","",F703))</f>
        <v/>
      </c>
      <c r="BC703" s="136" t="str">
        <f>IF(AI689="","",IF(G703="","",G703))</f>
        <v/>
      </c>
      <c r="BD703" s="136" t="str">
        <f>IF(AI689="","",IF(H703="","",H703))</f>
        <v/>
      </c>
      <c r="BE703" s="136" t="str">
        <f>IF(AI689="","",IF(I703="","",I703))</f>
        <v/>
      </c>
      <c r="BF703" s="136" t="str">
        <f>IF(AI689="","",IF(J703="","",J703))</f>
        <v/>
      </c>
      <c r="BG703" s="136" t="str">
        <f>IF(AI689="","",IF(K703="","",K703))</f>
        <v/>
      </c>
      <c r="BH703" s="136" t="str">
        <f>IF(AI689="","",IF(L703="","",L703))</f>
        <v/>
      </c>
      <c r="BI703" s="136" t="str">
        <f>IF(AI689="","",IF(M703="","",M703))</f>
        <v/>
      </c>
      <c r="BJ703" s="136" t="str">
        <f>IF(AI689="","",IF(N703="","",N703))</f>
        <v/>
      </c>
      <c r="BK703" s="136" t="str">
        <f>IF(AI689="","",IF(O703="","",O703))</f>
        <v/>
      </c>
      <c r="BM703" s="136" t="str">
        <f t="shared" ref="BM703:BM707" si="406">BM702</f>
        <v>EA</v>
      </c>
      <c r="BN703" s="136" t="str">
        <f t="shared" si="403"/>
        <v>Estudo Autónomo</v>
      </c>
      <c r="BO703" s="136" t="str">
        <f t="shared" si="403"/>
        <v>IEI</v>
      </c>
      <c r="BP703" s="136">
        <f>(COUNTIFS(AX693:AX740,BM703,AY693:AY740,BO703)+COUNTIFS(AZ693:AZ740,BM703,BA693:BA740,BO703)+COUNTIFS(BB693:BB740,BM703,BC693:BC740,BO703)+COUNTIFS(BD693:BD740,BM703,BE693:BE740,BO703)+COUNTIFS(BF693:BF740,BM703,BG693:BG740,BO703)+COUNTIFS(BH693:BH740,BM703,BI693:BI740,BO703)+COUNTIFS(BJ693:BJ740,BM703,BK693:BK740,BO703))*0.5</f>
        <v>0</v>
      </c>
      <c r="BQ703" s="136" t="str">
        <f t="shared" si="404"/>
        <v>Estudo Autónomo</v>
      </c>
      <c r="BR703" s="136" t="str">
        <f t="shared" si="404"/>
        <v>IEI</v>
      </c>
      <c r="BS703" s="136" t="str">
        <f t="shared" si="405"/>
        <v>Estudo Autónomo</v>
      </c>
      <c r="BT703" s="136">
        <f>SUMIFS(V:V,Q:Q,BQ703,R:R,BR703)</f>
        <v>20</v>
      </c>
      <c r="BU703" s="136">
        <f>SUMIFS(BP:BP,BN:BN,BQ703,BO:BO,BR703)</f>
        <v>36.5</v>
      </c>
      <c r="CA703" s="136">
        <f>'INFO BASE'!L783</f>
        <v>0</v>
      </c>
      <c r="CB703" s="136">
        <f>'INFO BASE'!M783</f>
        <v>0</v>
      </c>
      <c r="CD703" s="136" t="str">
        <f>IF('INFO BASE'!E717="","",'INFO BASE'!E717)</f>
        <v/>
      </c>
      <c r="CR703" s="177">
        <f t="shared" si="393"/>
        <v>1</v>
      </c>
      <c r="CS703" s="177">
        <f t="shared" si="394"/>
        <v>1</v>
      </c>
      <c r="CT703" s="177">
        <f t="shared" si="393"/>
        <v>1</v>
      </c>
      <c r="CU703" s="177">
        <f t="shared" si="395"/>
        <v>1</v>
      </c>
      <c r="CV703" s="177">
        <f t="shared" si="393"/>
        <v>1</v>
      </c>
      <c r="CW703" s="177">
        <f t="shared" si="396"/>
        <v>1</v>
      </c>
      <c r="CX703" s="177">
        <f t="shared" si="393"/>
        <v>1</v>
      </c>
      <c r="CY703" s="177">
        <f t="shared" si="397"/>
        <v>1</v>
      </c>
      <c r="CZ703" s="177">
        <f t="shared" si="393"/>
        <v>1</v>
      </c>
      <c r="DA703" s="177">
        <f t="shared" si="398"/>
        <v>1</v>
      </c>
      <c r="DB703" s="177">
        <f t="shared" si="393"/>
        <v>1</v>
      </c>
      <c r="DC703" s="177">
        <f t="shared" si="399"/>
        <v>1</v>
      </c>
      <c r="DD703" s="177">
        <f t="shared" si="400"/>
        <v>1</v>
      </c>
      <c r="DE703" s="177">
        <f t="shared" si="401"/>
        <v>1</v>
      </c>
    </row>
    <row r="704" spans="1:109" ht="18" customHeight="1" x14ac:dyDescent="0.3">
      <c r="A704" s="81">
        <v>0.22916666666667401</v>
      </c>
      <c r="B704" s="153"/>
      <c r="C704" s="130"/>
      <c r="D704" s="135"/>
      <c r="E704" s="130"/>
      <c r="F704" s="135"/>
      <c r="G704" s="130"/>
      <c r="H704" s="135"/>
      <c r="I704" s="130"/>
      <c r="J704" s="135"/>
      <c r="K704" s="130"/>
      <c r="L704" s="135"/>
      <c r="M704" s="130"/>
      <c r="N704" s="135"/>
      <c r="O704" s="154"/>
      <c r="P704" s="6">
        <v>0</v>
      </c>
      <c r="Q704" s="109" t="str">
        <f>IF('INFO BASE'!$C$17="","",'INFO BASE'!$C$17)</f>
        <v>Estudo Autónomo</v>
      </c>
      <c r="R704" s="82" t="str">
        <f>R647</f>
        <v>EA</v>
      </c>
      <c r="S704" s="83">
        <f t="shared" ref="S704:S740" si="407">IFERROR((U704/T704)-1,"-")</f>
        <v>-1</v>
      </c>
      <c r="T704" s="84">
        <f>IF(VLOOKUP(Q704,'INFO BASE'!$B$40:$I$54,IF(R704='INFO BASE'!$B$32,3,IF(R704='INFO BASE'!$B$33,4,IF(R704='INFO BASE'!$B$34,5,IF(R704='INFO BASE'!$B$35,6,IF(R704='INFO BASE'!$B$36,7,IF(R704='INFO BASE'!$B$37,8,2)))))),0)=0,"",VLOOKUP(Q704,'INFO BASE'!$B$40:$I$54,IF(R704='INFO BASE'!$B$32,3,IF(R704='INFO BASE'!$B$33,4,IF(R704='INFO BASE'!$B$34,5,IF(R704='INFO BASE'!$B$35,6,IF(R704='INFO BASE'!$B$36,7,IF(R704='INFO BASE'!$B$37,8,2)))))),0))</f>
        <v>19</v>
      </c>
      <c r="U704" s="84">
        <f>IF(R704="","",COUNTIFS(SEMANA13,R704)*0.5)</f>
        <v>0</v>
      </c>
      <c r="V704" s="84">
        <f>IF(R704="","",COUNTIFS(AI693:AV740,R704)*0.5)</f>
        <v>0</v>
      </c>
      <c r="W704" s="85" t="str">
        <f>IF(AH689="","-",IF(V704=0,U704,IFERROR((U704/V704)-1,"-")))</f>
        <v>-</v>
      </c>
      <c r="X704" s="200">
        <f t="shared" ref="X704:X740" si="408">IFERROR(IF(ABS(W704)&gt;P704,1,0),0)</f>
        <v>0</v>
      </c>
      <c r="Y704" s="296"/>
      <c r="Z704" s="297"/>
      <c r="AA704" s="297"/>
      <c r="AB704" s="297"/>
      <c r="AC704" s="297"/>
      <c r="AD704" s="297"/>
      <c r="AE704" s="297"/>
      <c r="AF704" s="298"/>
      <c r="AH704" s="136">
        <v>0.22916666666667401</v>
      </c>
      <c r="AI704" s="136" t="str">
        <f>IF(AH689="","",IF(B704="","",B704))</f>
        <v/>
      </c>
      <c r="AJ704" s="136" t="str">
        <f>IF(AH689="","",IF(C704="","",C704))</f>
        <v/>
      </c>
      <c r="AK704" s="136" t="str">
        <f>IF(AH689="","",IF(D704="","",D704))</f>
        <v/>
      </c>
      <c r="AL704" s="136" t="str">
        <f>IF(AH689="","",IF(E704="","",E704))</f>
        <v/>
      </c>
      <c r="AM704" s="136" t="str">
        <f>IF(AH689="","",IF(F704="","",F704))</f>
        <v/>
      </c>
      <c r="AN704" s="136" t="str">
        <f>IF(AH689="","",IF(G704="","",G704))</f>
        <v/>
      </c>
      <c r="AO704" s="136" t="str">
        <f>IF(AH689="","",IF(H704="","",H704))</f>
        <v/>
      </c>
      <c r="AP704" s="136" t="str">
        <f>IF(AH689="","",IF(I704="","",I704))</f>
        <v/>
      </c>
      <c r="AQ704" s="136" t="str">
        <f>IF(AH689="","",IF(J704="","",J704))</f>
        <v/>
      </c>
      <c r="AR704" s="136" t="str">
        <f>IF(AH689="","",IF(K704="","",K704))</f>
        <v/>
      </c>
      <c r="AS704" s="136" t="str">
        <f>IF(AH689="","",IF(L704="","",L704))</f>
        <v/>
      </c>
      <c r="AT704" s="136" t="str">
        <f>IF(AH689="","",IF(M704="","",M704))</f>
        <v/>
      </c>
      <c r="AU704" s="136" t="str">
        <f>IF(AH689="","",IF(N704="","",N704))</f>
        <v/>
      </c>
      <c r="AV704" s="136" t="str">
        <f>IF(AH689="","",IF(O704="","",O704))</f>
        <v/>
      </c>
      <c r="AX704" s="136" t="str">
        <f>IF(AI689="","",IF(B704="","",B704))</f>
        <v/>
      </c>
      <c r="AY704" s="136" t="str">
        <f>IF(AI689="","",IF(C704="","",C704))</f>
        <v/>
      </c>
      <c r="AZ704" s="136" t="str">
        <f>IF(AI689="","",IF(D704="","",D704))</f>
        <v/>
      </c>
      <c r="BA704" s="136" t="str">
        <f>IF(AI689="","",IF(E704="","",E704))</f>
        <v/>
      </c>
      <c r="BB704" s="136" t="str">
        <f>IF(AI689="","",IF(F704="","",F704))</f>
        <v/>
      </c>
      <c r="BC704" s="136" t="str">
        <f>IF(AI689="","",IF(G704="","",G704))</f>
        <v/>
      </c>
      <c r="BD704" s="136" t="str">
        <f>IF(AI689="","",IF(H704="","",H704))</f>
        <v/>
      </c>
      <c r="BE704" s="136" t="str">
        <f>IF(AI689="","",IF(I704="","",I704))</f>
        <v/>
      </c>
      <c r="BF704" s="136" t="str">
        <f>IF(AI689="","",IF(J704="","",J704))</f>
        <v/>
      </c>
      <c r="BG704" s="136" t="str">
        <f>IF(AI689="","",IF(K704="","",K704))</f>
        <v/>
      </c>
      <c r="BH704" s="136" t="str">
        <f>IF(AI689="","",IF(L704="","",L704))</f>
        <v/>
      </c>
      <c r="BI704" s="136" t="str">
        <f>IF(AI689="","",IF(M704="","",M704))</f>
        <v/>
      </c>
      <c r="BJ704" s="136" t="str">
        <f>IF(AI689="","",IF(N704="","",N704))</f>
        <v/>
      </c>
      <c r="BK704" s="136" t="str">
        <f>IF(AI689="","",IF(O704="","",O704))</f>
        <v/>
      </c>
      <c r="BM704" s="136" t="str">
        <f t="shared" si="406"/>
        <v>EA</v>
      </c>
      <c r="BN704" s="136" t="str">
        <f t="shared" si="403"/>
        <v>Estudo Autónomo</v>
      </c>
      <c r="BO704" s="136" t="str">
        <f t="shared" si="403"/>
        <v>IAC</v>
      </c>
      <c r="BP704" s="136">
        <f>(COUNTIFS(AX693:AX740,BM704,AY693:AY740,BO704)+COUNTIFS(AZ693:AZ740,BM704,BA693:BA740,BO704)+COUNTIFS(BB693:BB740,BM704,BC693:BC740,BO704)+COUNTIFS(BD693:BD740,BM704,BE693:BE740,BO704)+COUNTIFS(BF693:BF740,BM704,BG693:BG740,BO704)+COUNTIFS(BH693:BH740,BM704,BI693:BI740,BO704)+COUNTIFS(BJ693:BJ740,BM704,BK693:BK740,BO704))*0.5</f>
        <v>0</v>
      </c>
      <c r="BQ704" s="136" t="str">
        <f t="shared" si="404"/>
        <v>Estudo Autónomo</v>
      </c>
      <c r="BR704" s="136" t="str">
        <f t="shared" si="404"/>
        <v>IAC</v>
      </c>
      <c r="BS704" s="136" t="str">
        <f t="shared" si="405"/>
        <v>Estudo Autónomo</v>
      </c>
      <c r="BT704" s="136">
        <f>SUMIFS(V:V,Q:Q,BQ704,R:R,BBO702)</f>
        <v>0</v>
      </c>
      <c r="BU704" s="136">
        <f>SUMIFS(BP:BP,BN:BN,BQ704,BO:BO,BBO702)</f>
        <v>0</v>
      </c>
      <c r="CA704" s="136">
        <f>'INFO BASE'!L784</f>
        <v>0</v>
      </c>
      <c r="CB704" s="136">
        <f>'INFO BASE'!M784</f>
        <v>0</v>
      </c>
      <c r="CD704" s="136" t="str">
        <f>IF('INFO BASE'!E718="","",'INFO BASE'!E718)</f>
        <v/>
      </c>
      <c r="CR704" s="177">
        <f t="shared" si="393"/>
        <v>1</v>
      </c>
      <c r="CS704" s="177">
        <f t="shared" si="394"/>
        <v>1</v>
      </c>
      <c r="CT704" s="177">
        <f t="shared" si="393"/>
        <v>1</v>
      </c>
      <c r="CU704" s="177">
        <f t="shared" si="395"/>
        <v>1</v>
      </c>
      <c r="CV704" s="177">
        <f t="shared" si="393"/>
        <v>1</v>
      </c>
      <c r="CW704" s="177">
        <f t="shared" si="396"/>
        <v>1</v>
      </c>
      <c r="CX704" s="177">
        <f t="shared" si="393"/>
        <v>1</v>
      </c>
      <c r="CY704" s="177">
        <f t="shared" si="397"/>
        <v>1</v>
      </c>
      <c r="CZ704" s="177">
        <f t="shared" si="393"/>
        <v>1</v>
      </c>
      <c r="DA704" s="177">
        <f t="shared" si="398"/>
        <v>1</v>
      </c>
      <c r="DB704" s="177">
        <f t="shared" si="393"/>
        <v>1</v>
      </c>
      <c r="DC704" s="177">
        <f t="shared" si="399"/>
        <v>1</v>
      </c>
      <c r="DD704" s="177">
        <f t="shared" si="400"/>
        <v>1</v>
      </c>
      <c r="DE704" s="177">
        <f t="shared" si="401"/>
        <v>1</v>
      </c>
    </row>
    <row r="705" spans="1:109" ht="18" customHeight="1" x14ac:dyDescent="0.3">
      <c r="A705" s="81">
        <v>0.25000000000000799</v>
      </c>
      <c r="B705" s="153"/>
      <c r="C705" s="130"/>
      <c r="D705" s="135"/>
      <c r="E705" s="130"/>
      <c r="F705" s="135"/>
      <c r="G705" s="130"/>
      <c r="H705" s="135"/>
      <c r="I705" s="130"/>
      <c r="J705" s="135"/>
      <c r="K705" s="130"/>
      <c r="L705" s="135"/>
      <c r="M705" s="130"/>
      <c r="N705" s="135"/>
      <c r="O705" s="154"/>
      <c r="P705" s="6">
        <v>0</v>
      </c>
      <c r="Q705" s="110" t="str">
        <f t="shared" ref="Q705:Q710" si="409">Q704</f>
        <v>Estudo Autónomo</v>
      </c>
      <c r="R705" s="105" t="str">
        <f t="shared" ref="R705:R740" si="410">R648</f>
        <v>FP</v>
      </c>
      <c r="S705" s="88">
        <f t="shared" si="407"/>
        <v>-1</v>
      </c>
      <c r="T705" s="89">
        <f>IF(VLOOKUP(Q705,'INFO BASE'!$B$40:$I$54,IF(R705='INFO BASE'!$B$32,3,IF(R705='INFO BASE'!$B$33,4,IF(R705='INFO BASE'!$B$34,5,IF(R705='INFO BASE'!$B$35,6,IF(R705='INFO BASE'!$B$36,7,IF(R705='INFO BASE'!$B$37,8,2)))))),0)=0,"",VLOOKUP(Q705,'INFO BASE'!$B$40:$I$54,IF(R705='INFO BASE'!$B$32,3,IF(R705='INFO BASE'!$B$33,4,IF(R705='INFO BASE'!$B$34,5,IF(R705='INFO BASE'!$B$35,6,IF(R705='INFO BASE'!$B$36,7,IF(R705='INFO BASE'!$B$37,8,2)))))),0))</f>
        <v>5</v>
      </c>
      <c r="U705" s="89">
        <f>(COUNTIFS(C693:C740,R705,B693:B740,R704)+COUNTIFS(E693:E740,R705,D693:D740,R704)+COUNTIFS(G693:G740,R705,F693:F740,R704)+COUNTIFS(I693:I740,R705,H693:H740,R704)+COUNTIFS(K693:K740,R705,J693:J740,R704)+COUNTIFS(M693:M740,R705,L693:L740,R704)+COUNTIFS(O693:O740,R705,N693:N740,R704))*0.5</f>
        <v>0</v>
      </c>
      <c r="V705" s="89">
        <f>(COUNTIFS(AI693:AI740,R704,AJ693:AJ740,R705)+COUNTIFS(AK693:AK740,R704,AL693:AL740,R705)+COUNTIFS(AM693:AM740,R704,AN693:AN740,R705)+COUNTIFS(AO693:AO740,R704,AP693:AP740,R705)+COUNTIFS(AQ693:AQ740,R704,AR693:AR740,R705)+COUNTIFS(AS693:AS740,R704,AT693:AT740,R705)+COUNTIFS(AU693:AU740,R704,AV693:AV740,R705))*0.5</f>
        <v>0</v>
      </c>
      <c r="W705" s="90" t="str">
        <f>IF(AH689="","-",IF(V705=0,U705,IFERROR((U705/V705)-1,"-")))</f>
        <v>-</v>
      </c>
      <c r="X705" s="200">
        <f t="shared" si="408"/>
        <v>0</v>
      </c>
      <c r="Y705" s="299"/>
      <c r="Z705" s="300"/>
      <c r="AA705" s="300"/>
      <c r="AB705" s="300"/>
      <c r="AC705" s="300"/>
      <c r="AD705" s="300"/>
      <c r="AE705" s="300"/>
      <c r="AF705" s="301"/>
      <c r="AH705" s="136">
        <v>0.25000000000000799</v>
      </c>
      <c r="AI705" s="136" t="str">
        <f>IF(AH689="","",IF(B705="","",B705))</f>
        <v/>
      </c>
      <c r="AJ705" s="136" t="str">
        <f>IF(AH689="","",IF(C705="","",C705))</f>
        <v/>
      </c>
      <c r="AK705" s="136" t="str">
        <f>IF(AH689="","",IF(D705="","",D705))</f>
        <v/>
      </c>
      <c r="AL705" s="136" t="str">
        <f>IF(AH689="","",IF(E705="","",E705))</f>
        <v/>
      </c>
      <c r="AM705" s="136" t="str">
        <f>IF(AH689="","",IF(F705="","",F705))</f>
        <v/>
      </c>
      <c r="AN705" s="136" t="str">
        <f>IF(AH689="","",IF(G705="","",G705))</f>
        <v/>
      </c>
      <c r="AO705" s="136" t="str">
        <f>IF(AH689="","",IF(H705="","",H705))</f>
        <v/>
      </c>
      <c r="AP705" s="136" t="str">
        <f>IF(AH689="","",IF(I705="","",I705))</f>
        <v/>
      </c>
      <c r="AQ705" s="136" t="str">
        <f>IF(AH689="","",IF(J705="","",J705))</f>
        <v/>
      </c>
      <c r="AR705" s="136" t="str">
        <f>IF(AH689="","",IF(K705="","",K705))</f>
        <v/>
      </c>
      <c r="AS705" s="136" t="str">
        <f>IF(AH689="","",IF(L705="","",L705))</f>
        <v/>
      </c>
      <c r="AT705" s="136" t="str">
        <f>IF(AH689="","",IF(M705="","",M705))</f>
        <v/>
      </c>
      <c r="AU705" s="136" t="str">
        <f>IF(AH689="","",IF(N705="","",N705))</f>
        <v/>
      </c>
      <c r="AV705" s="136" t="str">
        <f>IF(AH689="","",IF(O705="","",O705))</f>
        <v/>
      </c>
      <c r="AX705" s="136" t="str">
        <f>IF(AI689="","",IF(B705="","",B705))</f>
        <v/>
      </c>
      <c r="AY705" s="136" t="str">
        <f>IF(AI689="","",IF(C705="","",C705))</f>
        <v/>
      </c>
      <c r="AZ705" s="136" t="str">
        <f>IF(AI689="","",IF(D705="","",D705))</f>
        <v/>
      </c>
      <c r="BA705" s="136" t="str">
        <f>IF(AI689="","",IF(E705="","",E705))</f>
        <v/>
      </c>
      <c r="BB705" s="136" t="str">
        <f>IF(AI689="","",IF(F705="","",F705))</f>
        <v/>
      </c>
      <c r="BC705" s="136" t="str">
        <f>IF(AI689="","",IF(G705="","",G705))</f>
        <v/>
      </c>
      <c r="BD705" s="136" t="str">
        <f>IF(AI689="","",IF(H705="","",H705))</f>
        <v/>
      </c>
      <c r="BE705" s="136" t="str">
        <f>IF(AI689="","",IF(I705="","",I705))</f>
        <v/>
      </c>
      <c r="BF705" s="136" t="str">
        <f>IF(AI689="","",IF(J705="","",J705))</f>
        <v/>
      </c>
      <c r="BG705" s="136" t="str">
        <f>IF(AI689="","",IF(K705="","",K705))</f>
        <v/>
      </c>
      <c r="BH705" s="136" t="str">
        <f>IF(AI689="","",IF(L705="","",L705))</f>
        <v/>
      </c>
      <c r="BI705" s="136" t="str">
        <f>IF(AI689="","",IF(M705="","",M705))</f>
        <v/>
      </c>
      <c r="BJ705" s="136" t="str">
        <f>IF(AI689="","",IF(N705="","",N705))</f>
        <v/>
      </c>
      <c r="BK705" s="136" t="str">
        <f>IF(AI689="","",IF(O705="","",O705))</f>
        <v/>
      </c>
      <c r="BM705" s="136" t="str">
        <f t="shared" si="406"/>
        <v>EA</v>
      </c>
      <c r="BN705" s="136" t="str">
        <f t="shared" si="403"/>
        <v>Estudo Autónomo</v>
      </c>
      <c r="BO705" s="136" t="str">
        <f t="shared" si="403"/>
        <v>AL</v>
      </c>
      <c r="BP705" s="136">
        <f>(COUNTIFS(AX693:AX740,BM705,AY693:AY740,BO705)+COUNTIFS(AZ693:AZ740,BM705,BA693:BA740,BO705)+COUNTIFS(BB693:BB740,BM705,BC693:BC740,BO705)+COUNTIFS(BD693:BD740,BM705,BE693:BE740,BO705)+COUNTIFS(BF693:BF740,BM705,BG693:BG740,BO705)+COUNTIFS(BH693:BH740,BM705,BI693:BI740,BO705)+COUNTIFS(BJ693:BJ740,BM705,BK693:BK740,BO705))*0.5</f>
        <v>0</v>
      </c>
      <c r="BQ705" s="136" t="str">
        <f t="shared" si="404"/>
        <v>Estudo Autónomo</v>
      </c>
      <c r="BR705" s="136" t="str">
        <f t="shared" si="404"/>
        <v>AL</v>
      </c>
      <c r="BS705" s="136" t="str">
        <f t="shared" si="405"/>
        <v>Estudo Autónomo</v>
      </c>
      <c r="BT705" s="136">
        <f t="shared" ref="BT705:BT737" si="411">SUMIFS(V:V,Q:Q,BQ705,R:R,BR705)</f>
        <v>24</v>
      </c>
      <c r="BU705" s="136">
        <f t="shared" ref="BU705:BU737" si="412">SUMIFS(BP:BP,BN:BN,BQ705,BO:BO,BR705)</f>
        <v>25.5</v>
      </c>
      <c r="CA705" s="136">
        <f>'INFO BASE'!L785</f>
        <v>0</v>
      </c>
      <c r="CB705" s="136">
        <f>'INFO BASE'!M785</f>
        <v>0</v>
      </c>
      <c r="CD705" s="136" t="str">
        <f>IF('INFO BASE'!E719="","",'INFO BASE'!E719)</f>
        <v/>
      </c>
      <c r="CR705" s="177">
        <f t="shared" si="393"/>
        <v>1</v>
      </c>
      <c r="CS705" s="177">
        <f t="shared" si="394"/>
        <v>1</v>
      </c>
      <c r="CT705" s="177">
        <f t="shared" si="393"/>
        <v>1</v>
      </c>
      <c r="CU705" s="177">
        <f t="shared" si="395"/>
        <v>1</v>
      </c>
      <c r="CV705" s="177">
        <f t="shared" si="393"/>
        <v>1</v>
      </c>
      <c r="CW705" s="177">
        <f t="shared" si="396"/>
        <v>1</v>
      </c>
      <c r="CX705" s="177">
        <f t="shared" si="393"/>
        <v>1</v>
      </c>
      <c r="CY705" s="177">
        <f t="shared" si="397"/>
        <v>1</v>
      </c>
      <c r="CZ705" s="177">
        <f t="shared" si="393"/>
        <v>1</v>
      </c>
      <c r="DA705" s="177">
        <f t="shared" si="398"/>
        <v>1</v>
      </c>
      <c r="DB705" s="177">
        <f t="shared" si="393"/>
        <v>1</v>
      </c>
      <c r="DC705" s="177">
        <f t="shared" si="399"/>
        <v>1</v>
      </c>
      <c r="DD705" s="177">
        <f t="shared" si="400"/>
        <v>1</v>
      </c>
      <c r="DE705" s="177">
        <f t="shared" si="401"/>
        <v>1</v>
      </c>
    </row>
    <row r="706" spans="1:109" ht="18" customHeight="1" x14ac:dyDescent="0.3">
      <c r="A706" s="81">
        <v>0.27083333333334197</v>
      </c>
      <c r="B706" s="153"/>
      <c r="C706" s="130"/>
      <c r="D706" s="135"/>
      <c r="E706" s="130"/>
      <c r="F706" s="135"/>
      <c r="G706" s="130"/>
      <c r="H706" s="135"/>
      <c r="I706" s="130"/>
      <c r="J706" s="135"/>
      <c r="K706" s="130"/>
      <c r="L706" s="135"/>
      <c r="M706" s="130"/>
      <c r="N706" s="135"/>
      <c r="O706" s="154"/>
      <c r="P706" s="6">
        <v>0</v>
      </c>
      <c r="Q706" s="110" t="str">
        <f t="shared" si="409"/>
        <v>Estudo Autónomo</v>
      </c>
      <c r="R706" s="105" t="str">
        <f t="shared" si="410"/>
        <v>IEI</v>
      </c>
      <c r="S706" s="88">
        <f t="shared" si="407"/>
        <v>-1</v>
      </c>
      <c r="T706" s="89">
        <f>IF(VLOOKUP(Q706,'INFO BASE'!$B$40:$I$54,IF(R706='INFO BASE'!$B$32,3,IF(R706='INFO BASE'!$B$33,4,IF(R706='INFO BASE'!$B$34,5,IF(R706='INFO BASE'!$B$35,6,IF(R706='INFO BASE'!$B$36,7,IF(R706='INFO BASE'!$B$37,8,2)))))),0)=0,"",VLOOKUP(Q706,'INFO BASE'!$B$40:$I$54,IF(R706='INFO BASE'!$B$32,3,IF(R706='INFO BASE'!$B$33,4,IF(R706='INFO BASE'!$B$34,5,IF(R706='INFO BASE'!$B$35,6,IF(R706='INFO BASE'!$B$36,7,IF(R706='INFO BASE'!$B$37,8,2)))))),0))</f>
        <v>2</v>
      </c>
      <c r="U706" s="89">
        <f>(COUNTIFS(C693:C740,R706,B693:B740,R704)+COUNTIFS(E693:E740,R706,D693:D740,R704)+COUNTIFS(G693:G740,R706,F693:F740,R704)+COUNTIFS(I693:I740,R706,H693:H740,R704)+COUNTIFS(K693:K740,R706,J693:J740,R704)+COUNTIFS(M693:M740,R706,L693:L740,R704)+COUNTIFS(O693:O740,R706,N693:N740,R704))*0.5</f>
        <v>0</v>
      </c>
      <c r="V706" s="89">
        <f>(COUNTIFS(AI693:AI740,R704,AJ693:AJ740,R706)+COUNTIFS(AK693:AK740,R704,AL693:AL740,R706)+COUNTIFS(AM693:AM740,R704,AN693:AN740,R706)+COUNTIFS(AO693:AO740,R704,AP693:AP740,R706)+COUNTIFS(AQ693:AQ740,R704,AR693:AR740,R706)+COUNTIFS(AS693:AS740,R704,AT693:AT740,R706)+COUNTIFS(AU693:AU740,R704,AV693:AV740,R706))*0.5</f>
        <v>0</v>
      </c>
      <c r="W706" s="90" t="str">
        <f>IF(AH689="","-",IF(V706=0,U706,IFERROR((U706/V706)-1,"-")))</f>
        <v>-</v>
      </c>
      <c r="X706" s="200">
        <f t="shared" si="408"/>
        <v>0</v>
      </c>
      <c r="Y706" s="299"/>
      <c r="Z706" s="300"/>
      <c r="AA706" s="300"/>
      <c r="AB706" s="300"/>
      <c r="AC706" s="300"/>
      <c r="AD706" s="300"/>
      <c r="AE706" s="300"/>
      <c r="AF706" s="301"/>
      <c r="AH706" s="136">
        <v>0.27083333333334197</v>
      </c>
      <c r="AI706" s="136" t="str">
        <f>IF(AH689="","",IF(B706="","",B706))</f>
        <v/>
      </c>
      <c r="AJ706" s="136" t="str">
        <f>IF(AH689="","",IF(C706="","",C706))</f>
        <v/>
      </c>
      <c r="AK706" s="136" t="str">
        <f>IF(AH689="","",IF(D706="","",D706))</f>
        <v/>
      </c>
      <c r="AL706" s="136" t="str">
        <f>IF(AH689="","",IF(E706="","",E706))</f>
        <v/>
      </c>
      <c r="AM706" s="136" t="str">
        <f>IF(AH689="","",IF(F706="","",F706))</f>
        <v/>
      </c>
      <c r="AN706" s="136" t="str">
        <f>IF(AH689="","",IF(G706="","",G706))</f>
        <v/>
      </c>
      <c r="AO706" s="136" t="str">
        <f>IF(AH689="","",IF(H706="","",H706))</f>
        <v/>
      </c>
      <c r="AP706" s="136" t="str">
        <f>IF(AH689="","",IF(I706="","",I706))</f>
        <v/>
      </c>
      <c r="AQ706" s="136" t="str">
        <f>IF(AH689="","",IF(J706="","",J706))</f>
        <v/>
      </c>
      <c r="AR706" s="136" t="str">
        <f>IF(AH689="","",IF(K706="","",K706))</f>
        <v/>
      </c>
      <c r="AS706" s="136" t="str">
        <f>IF(AH689="","",IF(L706="","",L706))</f>
        <v/>
      </c>
      <c r="AT706" s="136" t="str">
        <f>IF(AH689="","",IF(M706="","",M706))</f>
        <v/>
      </c>
      <c r="AU706" s="136" t="str">
        <f>IF(AH689="","",IF(N706="","",N706))</f>
        <v/>
      </c>
      <c r="AV706" s="136" t="str">
        <f>IF(AH689="","",IF(O706="","",O706))</f>
        <v/>
      </c>
      <c r="AX706" s="136" t="str">
        <f>IF(AI689="","",IF(B706="","",B706))</f>
        <v/>
      </c>
      <c r="AY706" s="136" t="str">
        <f>IF(AI689="","",IF(C706="","",C706))</f>
        <v/>
      </c>
      <c r="AZ706" s="136" t="str">
        <f>IF(AI689="","",IF(D706="","",D706))</f>
        <v/>
      </c>
      <c r="BA706" s="136" t="str">
        <f>IF(AI689="","",IF(E706="","",E706))</f>
        <v/>
      </c>
      <c r="BB706" s="136" t="str">
        <f>IF(AI689="","",IF(F706="","",F706))</f>
        <v/>
      </c>
      <c r="BC706" s="136" t="str">
        <f>IF(AI689="","",IF(G706="","",G706))</f>
        <v/>
      </c>
      <c r="BD706" s="136" t="str">
        <f>IF(AI689="","",IF(H706="","",H706))</f>
        <v/>
      </c>
      <c r="BE706" s="136" t="str">
        <f>IF(AI689="","",IF(I706="","",I706))</f>
        <v/>
      </c>
      <c r="BF706" s="136" t="str">
        <f>IF(AI689="","",IF(J706="","",J706))</f>
        <v/>
      </c>
      <c r="BG706" s="136" t="str">
        <f>IF(AI689="","",IF(K706="","",K706))</f>
        <v/>
      </c>
      <c r="BH706" s="136" t="str">
        <f>IF(AI689="","",IF(L706="","",L706))</f>
        <v/>
      </c>
      <c r="BI706" s="136" t="str">
        <f>IF(AI689="","",IF(M706="","",M706))</f>
        <v/>
      </c>
      <c r="BJ706" s="136" t="str">
        <f>IF(AI689="","",IF(N706="","",N706))</f>
        <v/>
      </c>
      <c r="BK706" s="136" t="str">
        <f>IF(AI689="","",IF(O706="","",O706))</f>
        <v/>
      </c>
      <c r="BM706" s="136" t="str">
        <f t="shared" si="406"/>
        <v>EA</v>
      </c>
      <c r="BN706" s="136" t="str">
        <f t="shared" si="403"/>
        <v>Estudo Autónomo</v>
      </c>
      <c r="BO706" s="136" t="str">
        <f t="shared" si="403"/>
        <v>CDI</v>
      </c>
      <c r="BP706" s="136">
        <f>(COUNTIFS(AX693:AX740,BM706,AY693:AY740,BO706)+COUNTIFS(AZ693:AZ740,BM706,BA693:BA740,BO706)+COUNTIFS(BB693:BB740,BM706,BC693:BC740,BO706)+COUNTIFS(BD693:BD740,BM706,BE693:BE740,BO706)+COUNTIFS(BF693:BF740,BM706,BG693:BG740,BO706)+COUNTIFS(BH693:BH740,BM706,BI693:BI740,BO706)+COUNTIFS(BJ693:BJ740,BM706,BK693:BK740,BO706))*0.5</f>
        <v>0</v>
      </c>
      <c r="BQ706" s="136" t="str">
        <f t="shared" si="404"/>
        <v>Estudo Autónomo</v>
      </c>
      <c r="BR706" s="136" t="str">
        <f t="shared" si="404"/>
        <v>CDI</v>
      </c>
      <c r="BS706" s="136" t="str">
        <f t="shared" si="405"/>
        <v>Estudo Autónomo</v>
      </c>
      <c r="BT706" s="136">
        <f t="shared" si="411"/>
        <v>9.5</v>
      </c>
      <c r="BU706" s="136">
        <f t="shared" si="412"/>
        <v>7.5</v>
      </c>
      <c r="CA706" s="136">
        <f>'INFO BASE'!L786</f>
        <v>0</v>
      </c>
      <c r="CB706" s="136">
        <f>'INFO BASE'!M786</f>
        <v>0</v>
      </c>
      <c r="CD706" s="136" t="str">
        <f>IF('INFO BASE'!E720="","",'INFO BASE'!E720)</f>
        <v/>
      </c>
      <c r="CR706" s="177">
        <f t="shared" si="393"/>
        <v>1</v>
      </c>
      <c r="CS706" s="177">
        <f t="shared" si="394"/>
        <v>1</v>
      </c>
      <c r="CT706" s="177">
        <f t="shared" si="393"/>
        <v>1</v>
      </c>
      <c r="CU706" s="177">
        <f t="shared" si="395"/>
        <v>1</v>
      </c>
      <c r="CV706" s="177">
        <f t="shared" si="393"/>
        <v>1</v>
      </c>
      <c r="CW706" s="177">
        <f t="shared" si="396"/>
        <v>1</v>
      </c>
      <c r="CX706" s="177">
        <f t="shared" si="393"/>
        <v>1</v>
      </c>
      <c r="CY706" s="177">
        <f t="shared" si="397"/>
        <v>1</v>
      </c>
      <c r="CZ706" s="177">
        <f t="shared" si="393"/>
        <v>1</v>
      </c>
      <c r="DA706" s="177">
        <f t="shared" si="398"/>
        <v>1</v>
      </c>
      <c r="DB706" s="177">
        <f t="shared" si="393"/>
        <v>1</v>
      </c>
      <c r="DC706" s="177">
        <f t="shared" si="399"/>
        <v>1</v>
      </c>
      <c r="DD706" s="177">
        <f t="shared" si="400"/>
        <v>1</v>
      </c>
      <c r="DE706" s="177">
        <f t="shared" si="401"/>
        <v>1</v>
      </c>
    </row>
    <row r="707" spans="1:109" ht="18" customHeight="1" x14ac:dyDescent="0.3">
      <c r="A707" s="81">
        <v>0.29166666666667601</v>
      </c>
      <c r="B707" s="153"/>
      <c r="C707" s="130"/>
      <c r="D707" s="135"/>
      <c r="E707" s="130"/>
      <c r="F707" s="135"/>
      <c r="G707" s="130"/>
      <c r="H707" s="135"/>
      <c r="I707" s="130"/>
      <c r="J707" s="135"/>
      <c r="K707" s="130"/>
      <c r="L707" s="135"/>
      <c r="M707" s="130"/>
      <c r="N707" s="135"/>
      <c r="O707" s="154"/>
      <c r="P707" s="6">
        <v>0</v>
      </c>
      <c r="Q707" s="111" t="str">
        <f t="shared" si="409"/>
        <v>Estudo Autónomo</v>
      </c>
      <c r="R707" s="105" t="str">
        <f t="shared" si="410"/>
        <v>IAC</v>
      </c>
      <c r="S707" s="88">
        <f t="shared" si="407"/>
        <v>-1</v>
      </c>
      <c r="T707" s="89">
        <f>IF(VLOOKUP(Q707,'INFO BASE'!$B$40:$I$54,IF(R707='INFO BASE'!$B$32,3,IF(R707='INFO BASE'!$B$33,4,IF(R707='INFO BASE'!$B$34,5,IF(R707='INFO BASE'!$B$35,6,IF(R707='INFO BASE'!$B$36,7,IF(R707='INFO BASE'!$B$37,8,2)))))),0)=0,"",VLOOKUP(Q707,'INFO BASE'!$B$40:$I$54,IF(R707='INFO BASE'!$B$32,3,IF(R707='INFO BASE'!$B$33,4,IF(R707='INFO BASE'!$B$34,5,IF(R707='INFO BASE'!$B$35,6,IF(R707='INFO BASE'!$B$36,7,IF(R707='INFO BASE'!$B$37,8,2)))))),0))</f>
        <v>2</v>
      </c>
      <c r="U707" s="89">
        <f>(COUNTIFS(C693:C740,R707,B693:B740,R704)+COUNTIFS(E693:E740,R707,D693:D740,R704)+COUNTIFS(G693:G740,R707,F693:F740,R704)+COUNTIFS(I693:I740,R707,H693:H740,R704)+COUNTIFS(K693:K740,R707,J693:J740,R704)+COUNTIFS(M693:M740,R707,L693:L740,R704)+COUNTIFS(O693:O740,R707,N693:N740,R704))*0.5</f>
        <v>0</v>
      </c>
      <c r="V707" s="89">
        <f>(COUNTIFS(AI693:AI740,R704,AJ693:AJ740,R707)+COUNTIFS(AK693:AK740,R704,AL693:AL740,R707)+COUNTIFS(AM693:AM740,R704,AN693:AN740,R707)+COUNTIFS(AO693:AO740,R704,AP693:AP740,R707)+COUNTIFS(AQ693:AQ740,R704,AR693:AR740,R707)+COUNTIFS(AS693:AS740,R704,AT693:AT740,R707)+COUNTIFS(AU693:AU740,R704,AV693:AV740,R707))*0.5</f>
        <v>0</v>
      </c>
      <c r="W707" s="90" t="str">
        <f>IF(AH689="","-",IF(V707=0,U707,IFERROR((U707/V707)-1,"-")))</f>
        <v>-</v>
      </c>
      <c r="X707" s="200">
        <f t="shared" si="408"/>
        <v>0</v>
      </c>
      <c r="Y707" s="299"/>
      <c r="Z707" s="300"/>
      <c r="AA707" s="300"/>
      <c r="AB707" s="300"/>
      <c r="AC707" s="300"/>
      <c r="AD707" s="300"/>
      <c r="AE707" s="300"/>
      <c r="AF707" s="301"/>
      <c r="AH707" s="136">
        <v>0.29166666666667601</v>
      </c>
      <c r="AI707" s="136" t="str">
        <f>IF(AH689="","",IF(B707="","",B707))</f>
        <v/>
      </c>
      <c r="AJ707" s="136" t="str">
        <f>IF(AH689="","",IF(C707="","",C707))</f>
        <v/>
      </c>
      <c r="AK707" s="136" t="str">
        <f>IF(AH689="","",IF(D707="","",D707))</f>
        <v/>
      </c>
      <c r="AL707" s="136" t="str">
        <f>IF(AH689="","",IF(E707="","",E707))</f>
        <v/>
      </c>
      <c r="AM707" s="136" t="str">
        <f>IF(AH689="","",IF(F707="","",F707))</f>
        <v/>
      </c>
      <c r="AN707" s="136" t="str">
        <f>IF(AH689="","",IF(G707="","",G707))</f>
        <v/>
      </c>
      <c r="AO707" s="136" t="str">
        <f>IF(AH689="","",IF(H707="","",H707))</f>
        <v/>
      </c>
      <c r="AP707" s="136" t="str">
        <f>IF(AH689="","",IF(I707="","",I707))</f>
        <v/>
      </c>
      <c r="AQ707" s="136" t="str">
        <f>IF(AH689="","",IF(J707="","",J707))</f>
        <v/>
      </c>
      <c r="AR707" s="136" t="str">
        <f>IF(AH689="","",IF(K707="","",K707))</f>
        <v/>
      </c>
      <c r="AS707" s="136" t="str">
        <f>IF(AH689="","",IF(L707="","",L707))</f>
        <v/>
      </c>
      <c r="AT707" s="136" t="str">
        <f>IF(AH689="","",IF(M707="","",M707))</f>
        <v/>
      </c>
      <c r="AU707" s="136" t="str">
        <f>IF(AH689="","",IF(N707="","",N707))</f>
        <v/>
      </c>
      <c r="AV707" s="136" t="str">
        <f>IF(AH689="","",IF(O707="","",O707))</f>
        <v/>
      </c>
      <c r="AX707" s="136" t="str">
        <f>IF(AI689="","",IF(B707="","",B707))</f>
        <v/>
      </c>
      <c r="AY707" s="136" t="str">
        <f>IF(AI689="","",IF(C707="","",C707))</f>
        <v/>
      </c>
      <c r="AZ707" s="136" t="str">
        <f>IF(AI689="","",IF(D707="","",D707))</f>
        <v/>
      </c>
      <c r="BA707" s="136" t="str">
        <f>IF(AI689="","",IF(E707="","",E707))</f>
        <v/>
      </c>
      <c r="BB707" s="136" t="str">
        <f>IF(AI689="","",IF(F707="","",F707))</f>
        <v/>
      </c>
      <c r="BC707" s="136" t="str">
        <f>IF(AI689="","",IF(G707="","",G707))</f>
        <v/>
      </c>
      <c r="BD707" s="136" t="str">
        <f>IF(AI689="","",IF(H707="","",H707))</f>
        <v/>
      </c>
      <c r="BE707" s="136" t="str">
        <f>IF(AI689="","",IF(I707="","",I707))</f>
        <v/>
      </c>
      <c r="BF707" s="136" t="str">
        <f>IF(AI689="","",IF(J707="","",J707))</f>
        <v/>
      </c>
      <c r="BG707" s="136" t="str">
        <f>IF(AI689="","",IF(K707="","",K707))</f>
        <v/>
      </c>
      <c r="BH707" s="136" t="str">
        <f>IF(AI689="","",IF(L707="","",L707))</f>
        <v/>
      </c>
      <c r="BI707" s="136" t="str">
        <f>IF(AI689="","",IF(M707="","",M707))</f>
        <v/>
      </c>
      <c r="BJ707" s="136" t="str">
        <f>IF(AI689="","",IF(N707="","",N707))</f>
        <v/>
      </c>
      <c r="BK707" s="136" t="str">
        <f>IF(AI689="","",IF(O707="","",O707))</f>
        <v/>
      </c>
      <c r="BM707" s="136" t="str">
        <f t="shared" si="406"/>
        <v>EA</v>
      </c>
      <c r="BN707" s="136" t="str">
        <f t="shared" si="403"/>
        <v>Estudo Autónomo</v>
      </c>
      <c r="BO707" s="136" t="str">
        <f t="shared" si="403"/>
        <v/>
      </c>
      <c r="BP707" s="136">
        <f>(COUNTIFS(AX693:AX740,BM707,AY693:AY740,BO707)+COUNTIFS(AZ693:AZ740,BM707,BA693:BA740,BO707)+COUNTIFS(BB693:BB740,BM707,BC693:BC740,BO707)+COUNTIFS(BD693:BD740,BM707,BE693:BE740,BO707)+COUNTIFS(BF693:BF740,BM707,BG693:BG740,BO707)+COUNTIFS(BH693:BH740,BM707,BI693:BI740,BO707)+COUNTIFS(BJ693:BJ740,BM707,BK693:BK740,BO707))*0.5</f>
        <v>0</v>
      </c>
      <c r="BQ707" s="136" t="str">
        <f t="shared" si="404"/>
        <v>Estudo Autónomo</v>
      </c>
      <c r="BR707" s="136" t="str">
        <f t="shared" si="404"/>
        <v/>
      </c>
      <c r="BS707" s="136" t="str">
        <f t="shared" si="405"/>
        <v>Estudo Autónomo</v>
      </c>
      <c r="BT707" s="136">
        <f t="shared" si="411"/>
        <v>0</v>
      </c>
      <c r="BU707" s="136">
        <f t="shared" si="412"/>
        <v>0</v>
      </c>
      <c r="CA707" s="136">
        <f>'INFO BASE'!L787</f>
        <v>0</v>
      </c>
      <c r="CB707" s="136">
        <f>'INFO BASE'!M787</f>
        <v>0</v>
      </c>
      <c r="CD707" s="136" t="str">
        <f>IF('INFO BASE'!E721="","",'INFO BASE'!E721)</f>
        <v/>
      </c>
      <c r="CR707" s="177">
        <f t="shared" si="393"/>
        <v>1</v>
      </c>
      <c r="CS707" s="177">
        <f t="shared" si="394"/>
        <v>1</v>
      </c>
      <c r="CT707" s="177">
        <f t="shared" si="393"/>
        <v>1</v>
      </c>
      <c r="CU707" s="177">
        <f t="shared" si="395"/>
        <v>1</v>
      </c>
      <c r="CV707" s="177">
        <f t="shared" si="393"/>
        <v>1</v>
      </c>
      <c r="CW707" s="177">
        <f t="shared" si="396"/>
        <v>1</v>
      </c>
      <c r="CX707" s="177">
        <f t="shared" si="393"/>
        <v>1</v>
      </c>
      <c r="CY707" s="177">
        <f t="shared" si="397"/>
        <v>1</v>
      </c>
      <c r="CZ707" s="177">
        <f t="shared" si="393"/>
        <v>1</v>
      </c>
      <c r="DA707" s="177">
        <f t="shared" si="398"/>
        <v>1</v>
      </c>
      <c r="DB707" s="177">
        <f t="shared" si="393"/>
        <v>1</v>
      </c>
      <c r="DC707" s="177">
        <f t="shared" si="399"/>
        <v>1</v>
      </c>
      <c r="DD707" s="177">
        <f t="shared" si="400"/>
        <v>1</v>
      </c>
      <c r="DE707" s="177">
        <f t="shared" si="401"/>
        <v>1</v>
      </c>
    </row>
    <row r="708" spans="1:109" ht="18" customHeight="1" x14ac:dyDescent="0.3">
      <c r="A708" s="81">
        <v>0.31250000000000999</v>
      </c>
      <c r="B708" s="153"/>
      <c r="C708" s="130"/>
      <c r="D708" s="135"/>
      <c r="E708" s="130"/>
      <c r="F708" s="135"/>
      <c r="G708" s="130"/>
      <c r="H708" s="135"/>
      <c r="I708" s="130"/>
      <c r="J708" s="135"/>
      <c r="K708" s="130"/>
      <c r="L708" s="135"/>
      <c r="M708" s="130"/>
      <c r="N708" s="135"/>
      <c r="O708" s="154"/>
      <c r="P708" s="6">
        <v>0</v>
      </c>
      <c r="Q708" s="110" t="str">
        <f t="shared" si="409"/>
        <v>Estudo Autónomo</v>
      </c>
      <c r="R708" s="105" t="str">
        <f t="shared" si="410"/>
        <v>AL</v>
      </c>
      <c r="S708" s="88">
        <f t="shared" si="407"/>
        <v>-1</v>
      </c>
      <c r="T708" s="89">
        <f>IF(VLOOKUP(Q708,'INFO BASE'!$B$40:$I$54,IF(R708='INFO BASE'!$B$32,3,IF(R708='INFO BASE'!$B$33,4,IF(R708='INFO BASE'!$B$34,5,IF(R708='INFO BASE'!$B$35,6,IF(R708='INFO BASE'!$B$36,7,IF(R708='INFO BASE'!$B$37,8,2)))))),0)=0,"",VLOOKUP(Q708,'INFO BASE'!$B$40:$I$54,IF(R708='INFO BASE'!$B$32,3,IF(R708='INFO BASE'!$B$33,4,IF(R708='INFO BASE'!$B$34,5,IF(R708='INFO BASE'!$B$35,6,IF(R708='INFO BASE'!$B$36,7,IF(R708='INFO BASE'!$B$37,8,2)))))),0))</f>
        <v>5</v>
      </c>
      <c r="U708" s="89">
        <f>(COUNTIFS(C693:C740,R708,B693:B740,R704)+COUNTIFS(E693:E740,R708,D693:D740,R704)+COUNTIFS(G693:G740,R708,F693:F740,R704)+COUNTIFS(I693:I740,R708,H693:H740,R704)+COUNTIFS(K693:K740,R708,J693:J740,R704)+COUNTIFS(M693:M740,R708,L693:L740,R704)+COUNTIFS(O693:O740,R708,N693:N740,R704))*0.5</f>
        <v>0</v>
      </c>
      <c r="V708" s="89">
        <f>(COUNTIFS(AI693:AI740,R704,AJ693:AJ740,R708)+COUNTIFS(AK693:AK740,R704,AL693:AL740,R708)+COUNTIFS(AM693:AM740,R704,AN693:AN740,R708)+COUNTIFS(AO693:AO740,R704,AP693:AP740,R708)+COUNTIFS(AQ693:AQ740,R704,AR693:AR740,R708)+COUNTIFS(AS693:AS740,R704,AT693:AT740,R708)+COUNTIFS(AU693:AU740,R704,AV693:AV740,R708))*0.5</f>
        <v>0</v>
      </c>
      <c r="W708" s="90" t="str">
        <f>IF(AH689="","-",IF(V708=0,U708,IFERROR((U708/V708)-1,"-")))</f>
        <v>-</v>
      </c>
      <c r="X708" s="200">
        <f t="shared" si="408"/>
        <v>0</v>
      </c>
      <c r="Y708" s="299"/>
      <c r="Z708" s="300"/>
      <c r="AA708" s="300"/>
      <c r="AB708" s="300"/>
      <c r="AC708" s="300"/>
      <c r="AD708" s="300"/>
      <c r="AE708" s="300"/>
      <c r="AF708" s="301"/>
      <c r="AH708" s="136">
        <v>0.31250000000000999</v>
      </c>
      <c r="AI708" s="136" t="str">
        <f>IF(AH689="","",IF(B708="","",B708))</f>
        <v/>
      </c>
      <c r="AJ708" s="136" t="str">
        <f>IF(AH689="","",IF(C708="","",C708))</f>
        <v/>
      </c>
      <c r="AK708" s="136" t="str">
        <f>IF(AH689="","",IF(D708="","",D708))</f>
        <v/>
      </c>
      <c r="AL708" s="136" t="str">
        <f>IF(AH689="","",IF(E708="","",E708))</f>
        <v/>
      </c>
      <c r="AM708" s="136" t="str">
        <f>IF(AH689="","",IF(F708="","",F708))</f>
        <v/>
      </c>
      <c r="AN708" s="136" t="str">
        <f>IF(AH689="","",IF(G708="","",G708))</f>
        <v/>
      </c>
      <c r="AO708" s="136" t="str">
        <f>IF(AH689="","",IF(H708="","",H708))</f>
        <v/>
      </c>
      <c r="AP708" s="136" t="str">
        <f>IF(AH689="","",IF(I708="","",I708))</f>
        <v/>
      </c>
      <c r="AQ708" s="136" t="str">
        <f>IF(AH689="","",IF(J708="","",J708))</f>
        <v/>
      </c>
      <c r="AR708" s="136" t="str">
        <f>IF(AH689="","",IF(K708="","",K708))</f>
        <v/>
      </c>
      <c r="AS708" s="136" t="str">
        <f>IF(AH689="","",IF(L708="","",L708))</f>
        <v/>
      </c>
      <c r="AT708" s="136" t="str">
        <f>IF(AH689="","",IF(M708="","",M708))</f>
        <v/>
      </c>
      <c r="AU708" s="136" t="str">
        <f>IF(AH689="","",IF(N708="","",N708))</f>
        <v/>
      </c>
      <c r="AV708" s="136" t="str">
        <f>IF(AH689="","",IF(O708="","",O708))</f>
        <v/>
      </c>
      <c r="AX708" s="136" t="str">
        <f>IF(AI689="","",IF(B708="","",B708))</f>
        <v/>
      </c>
      <c r="AY708" s="136" t="str">
        <f>IF(AI689="","",IF(C708="","",C708))</f>
        <v/>
      </c>
      <c r="AZ708" s="136" t="str">
        <f>IF(AI689="","",IF(D708="","",D708))</f>
        <v/>
      </c>
      <c r="BA708" s="136" t="str">
        <f>IF(AI689="","",IF(E708="","",E708))</f>
        <v/>
      </c>
      <c r="BB708" s="136" t="str">
        <f>IF(AI689="","",IF(F708="","",F708))</f>
        <v/>
      </c>
      <c r="BC708" s="136" t="str">
        <f>IF(AI689="","",IF(G708="","",G708))</f>
        <v/>
      </c>
      <c r="BD708" s="136" t="str">
        <f>IF(AI689="","",IF(H708="","",H708))</f>
        <v/>
      </c>
      <c r="BE708" s="136" t="str">
        <f>IF(AI689="","",IF(I708="","",I708))</f>
        <v/>
      </c>
      <c r="BF708" s="136" t="str">
        <f>IF(AI689="","",IF(J708="","",J708))</f>
        <v/>
      </c>
      <c r="BG708" s="136" t="str">
        <f>IF(AI689="","",IF(K708="","",K708))</f>
        <v/>
      </c>
      <c r="BH708" s="136" t="str">
        <f>IF(AI689="","",IF(L708="","",L708))</f>
        <v/>
      </c>
      <c r="BI708" s="136" t="str">
        <f>IF(AI689="","",IF(M708="","",M708))</f>
        <v/>
      </c>
      <c r="BJ708" s="136" t="str">
        <f>IF(AI689="","",IF(N708="","",N708))</f>
        <v/>
      </c>
      <c r="BK708" s="136" t="str">
        <f>IF(AI689="","",IF(O708="","",O708))</f>
        <v/>
      </c>
      <c r="BM708" s="136" t="str">
        <f>BO708</f>
        <v>EG</v>
      </c>
      <c r="BN708" s="136" t="str">
        <f t="shared" si="403"/>
        <v>Estudo em Grupo</v>
      </c>
      <c r="BO708" s="136" t="str">
        <f t="shared" si="403"/>
        <v>EG</v>
      </c>
      <c r="BP708" s="136">
        <f>COUNTIFS(AX693:BK740,BO708)*0.5</f>
        <v>0</v>
      </c>
      <c r="BQ708" s="136" t="str">
        <f t="shared" si="404"/>
        <v>Estudo em Grupo</v>
      </c>
      <c r="BR708" s="136" t="str">
        <f t="shared" si="404"/>
        <v>EG</v>
      </c>
      <c r="BS708" s="136" t="str">
        <f t="shared" si="405"/>
        <v>Estudo em Grupo</v>
      </c>
      <c r="BT708" s="136">
        <f t="shared" si="411"/>
        <v>46.5</v>
      </c>
      <c r="BU708" s="136">
        <f t="shared" si="412"/>
        <v>55.5</v>
      </c>
      <c r="CA708" s="136">
        <f>'INFO BASE'!L788</f>
        <v>0</v>
      </c>
      <c r="CB708" s="136">
        <f>'INFO BASE'!M788</f>
        <v>0</v>
      </c>
      <c r="CD708" s="136" t="str">
        <f>IF('INFO BASE'!E722="","",'INFO BASE'!E722)</f>
        <v/>
      </c>
      <c r="CR708" s="177">
        <f t="shared" si="393"/>
        <v>1</v>
      </c>
      <c r="CS708" s="177">
        <f t="shared" si="394"/>
        <v>1</v>
      </c>
      <c r="CT708" s="177">
        <f t="shared" si="393"/>
        <v>1</v>
      </c>
      <c r="CU708" s="177">
        <f t="shared" si="395"/>
        <v>1</v>
      </c>
      <c r="CV708" s="177">
        <f t="shared" si="393"/>
        <v>1</v>
      </c>
      <c r="CW708" s="177">
        <f t="shared" si="396"/>
        <v>1</v>
      </c>
      <c r="CX708" s="177">
        <f t="shared" si="393"/>
        <v>1</v>
      </c>
      <c r="CY708" s="177">
        <f t="shared" si="397"/>
        <v>1</v>
      </c>
      <c r="CZ708" s="177">
        <f t="shared" si="393"/>
        <v>1</v>
      </c>
      <c r="DA708" s="177">
        <f t="shared" si="398"/>
        <v>1</v>
      </c>
      <c r="DB708" s="177">
        <f t="shared" si="393"/>
        <v>1</v>
      </c>
      <c r="DC708" s="177">
        <f t="shared" si="399"/>
        <v>1</v>
      </c>
      <c r="DD708" s="177">
        <f t="shared" si="400"/>
        <v>1</v>
      </c>
      <c r="DE708" s="177">
        <f t="shared" si="401"/>
        <v>1</v>
      </c>
    </row>
    <row r="709" spans="1:109" ht="18" customHeight="1" x14ac:dyDescent="0.3">
      <c r="A709" s="81">
        <v>0.33333333333334397</v>
      </c>
      <c r="B709" s="153"/>
      <c r="C709" s="130"/>
      <c r="D709" s="135"/>
      <c r="E709" s="130"/>
      <c r="F709" s="135"/>
      <c r="G709" s="130"/>
      <c r="H709" s="135"/>
      <c r="I709" s="130"/>
      <c r="J709" s="135"/>
      <c r="K709" s="130"/>
      <c r="L709" s="135"/>
      <c r="M709" s="130"/>
      <c r="N709" s="135"/>
      <c r="O709" s="154"/>
      <c r="P709" s="6">
        <v>0</v>
      </c>
      <c r="Q709" s="110" t="str">
        <f t="shared" si="409"/>
        <v>Estudo Autónomo</v>
      </c>
      <c r="R709" s="105" t="str">
        <f t="shared" si="410"/>
        <v>CDI</v>
      </c>
      <c r="S709" s="88">
        <f t="shared" si="407"/>
        <v>-1</v>
      </c>
      <c r="T709" s="89">
        <f>IF(VLOOKUP(Q709,'INFO BASE'!$B$40:$I$54,IF(R709='INFO BASE'!$B$32,3,IF(R709='INFO BASE'!$B$33,4,IF(R709='INFO BASE'!$B$34,5,IF(R709='INFO BASE'!$B$35,6,IF(R709='INFO BASE'!$B$36,7,IF(R709='INFO BASE'!$B$37,8,2)))))),0)=0,"",VLOOKUP(Q709,'INFO BASE'!$B$40:$I$54,IF(R709='INFO BASE'!$B$32,3,IF(R709='INFO BASE'!$B$33,4,IF(R709='INFO BASE'!$B$34,5,IF(R709='INFO BASE'!$B$35,6,IF(R709='INFO BASE'!$B$36,7,IF(R709='INFO BASE'!$B$37,8,2)))))),0))</f>
        <v>5</v>
      </c>
      <c r="U709" s="89">
        <f>(COUNTIFS(C693:C740,R709,B693:B740,R704)+COUNTIFS(E693:E740,R709,D693:D740,R704)+COUNTIFS(G693:G740,R709,F693:F740,R704)+COUNTIFS(I693:I740,R709,H693:H740,R704)+COUNTIFS(K693:K740,R709,J693:J740,R704)+COUNTIFS(M693:M740,R709,L693:L740,R704)+COUNTIFS(O693:O740,R709,N693:N740,R704))*0.5</f>
        <v>0</v>
      </c>
      <c r="V709" s="89">
        <f>(COUNTIFS(AI693:AI740,R704,AJ693:AJ740,R709)+COUNTIFS(AK693:AK740,R704,AL693:AL740,R709)+COUNTIFS(AM693:AM740,R704,AN693:AN740,R709)+COUNTIFS(AO693:AO740,R704,AP693:AP740,R709)+COUNTIFS(AQ693:AQ740,R704,AR693:AR740,R709)+COUNTIFS(AS693:AS740,R704,AT693:AT740,R709)+COUNTIFS(AU693:AU740,R704,AV693:AV740,R709))*0.5</f>
        <v>0</v>
      </c>
      <c r="W709" s="90" t="str">
        <f>IF(AH689="","-",IF(V709=0,U709,IFERROR((U709/V709)-1,"-")))</f>
        <v>-</v>
      </c>
      <c r="X709" s="200">
        <f t="shared" si="408"/>
        <v>0</v>
      </c>
      <c r="Y709" s="299"/>
      <c r="Z709" s="300"/>
      <c r="AA709" s="300"/>
      <c r="AB709" s="300"/>
      <c r="AC709" s="300"/>
      <c r="AD709" s="300"/>
      <c r="AE709" s="300"/>
      <c r="AF709" s="301"/>
      <c r="AH709" s="136">
        <v>0.33333333333334397</v>
      </c>
      <c r="AI709" s="136" t="str">
        <f>IF(AH689="","",IF(B709="","",B709))</f>
        <v/>
      </c>
      <c r="AJ709" s="136" t="str">
        <f>IF(AH689="","",IF(C709="","",C709))</f>
        <v/>
      </c>
      <c r="AK709" s="136" t="str">
        <f>IF(AH689="","",IF(D709="","",D709))</f>
        <v/>
      </c>
      <c r="AL709" s="136" t="str">
        <f>IF(AH689="","",IF(E709="","",E709))</f>
        <v/>
      </c>
      <c r="AM709" s="136" t="str">
        <f>IF(AH689="","",IF(F709="","",F709))</f>
        <v/>
      </c>
      <c r="AN709" s="136" t="str">
        <f>IF(AH689="","",IF(G709="","",G709))</f>
        <v/>
      </c>
      <c r="AO709" s="136" t="str">
        <f>IF(AH689="","",IF(H709="","",H709))</f>
        <v/>
      </c>
      <c r="AP709" s="136" t="str">
        <f>IF(AH689="","",IF(I709="","",I709))</f>
        <v/>
      </c>
      <c r="AQ709" s="136" t="str">
        <f>IF(AH689="","",IF(J709="","",J709))</f>
        <v/>
      </c>
      <c r="AR709" s="136" t="str">
        <f>IF(AH689="","",IF(K709="","",K709))</f>
        <v/>
      </c>
      <c r="AS709" s="136" t="str">
        <f>IF(AH689="","",IF(L709="","",L709))</f>
        <v/>
      </c>
      <c r="AT709" s="136" t="str">
        <f>IF(AH689="","",IF(M709="","",M709))</f>
        <v/>
      </c>
      <c r="AU709" s="136" t="str">
        <f>IF(AH689="","",IF(N709="","",N709))</f>
        <v/>
      </c>
      <c r="AV709" s="136" t="str">
        <f>IF(AH689="","",IF(O709="","",O709))</f>
        <v/>
      </c>
      <c r="AX709" s="136" t="str">
        <f>IF(AI689="","",IF(B709="","",B709))</f>
        <v/>
      </c>
      <c r="AY709" s="136" t="str">
        <f>IF(AI689="","",IF(C709="","",C709))</f>
        <v/>
      </c>
      <c r="AZ709" s="136" t="str">
        <f>IF(AI689="","",IF(D709="","",D709))</f>
        <v/>
      </c>
      <c r="BA709" s="136" t="str">
        <f>IF(AI689="","",IF(E709="","",E709))</f>
        <v/>
      </c>
      <c r="BB709" s="136" t="str">
        <f>IF(AI689="","",IF(F709="","",F709))</f>
        <v/>
      </c>
      <c r="BC709" s="136" t="str">
        <f>IF(AI689="","",IF(G709="","",G709))</f>
        <v/>
      </c>
      <c r="BD709" s="136" t="str">
        <f>IF(AI689="","",IF(H709="","",H709))</f>
        <v/>
      </c>
      <c r="BE709" s="136" t="str">
        <f>IF(AI689="","",IF(I709="","",I709))</f>
        <v/>
      </c>
      <c r="BF709" s="136" t="str">
        <f>IF(AI689="","",IF(J709="","",J709))</f>
        <v/>
      </c>
      <c r="BG709" s="136" t="str">
        <f>IF(AI689="","",IF(K709="","",K709))</f>
        <v/>
      </c>
      <c r="BH709" s="136" t="str">
        <f>IF(AI689="","",IF(L709="","",L709))</f>
        <v/>
      </c>
      <c r="BI709" s="136" t="str">
        <f>IF(AI689="","",IF(M709="","",M709))</f>
        <v/>
      </c>
      <c r="BJ709" s="136" t="str">
        <f>IF(AI689="","",IF(N709="","",N709))</f>
        <v/>
      </c>
      <c r="BK709" s="136" t="str">
        <f>IF(AI689="","",IF(O709="","",O709))</f>
        <v/>
      </c>
      <c r="BM709" s="136" t="str">
        <f>BM708</f>
        <v>EG</v>
      </c>
      <c r="BN709" s="136" t="str">
        <f t="shared" si="403"/>
        <v>Estudo em Grupo</v>
      </c>
      <c r="BO709" s="136" t="str">
        <f t="shared" si="403"/>
        <v>FP</v>
      </c>
      <c r="BP709" s="136">
        <f>(COUNTIFS(AX693:AX740,BM709,AY693:AY740,BO709)+COUNTIFS(AZ693:AZ740,BM709,BA693:BA740,BO709)+COUNTIFS(BB693:BB740,BM709,BC693:BC740,BO709)+COUNTIFS(BD693:BD740,BM709,BE693:BE740,BO709)+COUNTIFS(BF693:BF740,BM709,BG693:BG740,BO709)+COUNTIFS(BH693:BH740,BM709,BI693:BI740,BO709)+COUNTIFS(BJ693:BJ740,BM709,BK693:BK740,BO709))*0.5</f>
        <v>0</v>
      </c>
      <c r="BQ709" s="136" t="str">
        <f t="shared" si="404"/>
        <v>Estudo em Grupo</v>
      </c>
      <c r="BR709" s="136" t="str">
        <f t="shared" si="404"/>
        <v>FP</v>
      </c>
      <c r="BS709" s="136" t="str">
        <f t="shared" si="405"/>
        <v>Estudo em Grupo</v>
      </c>
      <c r="BT709" s="136">
        <f t="shared" si="411"/>
        <v>11</v>
      </c>
      <c r="BU709" s="136">
        <f t="shared" si="412"/>
        <v>12</v>
      </c>
      <c r="CA709" s="136">
        <f>'INFO BASE'!L789</f>
        <v>0</v>
      </c>
      <c r="CB709" s="136">
        <f>'INFO BASE'!M789</f>
        <v>0</v>
      </c>
      <c r="CD709" s="136" t="str">
        <f>IF('INFO BASE'!F723="","",'INFO BASE'!F723)</f>
        <v/>
      </c>
      <c r="CR709" s="177">
        <f t="shared" si="393"/>
        <v>1</v>
      </c>
      <c r="CS709" s="177">
        <f t="shared" si="394"/>
        <v>1</v>
      </c>
      <c r="CT709" s="177">
        <f t="shared" si="393"/>
        <v>1</v>
      </c>
      <c r="CU709" s="177">
        <f t="shared" si="395"/>
        <v>1</v>
      </c>
      <c r="CV709" s="177">
        <f t="shared" si="393"/>
        <v>1</v>
      </c>
      <c r="CW709" s="177">
        <f t="shared" si="396"/>
        <v>1</v>
      </c>
      <c r="CX709" s="177">
        <f t="shared" si="393"/>
        <v>1</v>
      </c>
      <c r="CY709" s="177">
        <f t="shared" si="397"/>
        <v>1</v>
      </c>
      <c r="CZ709" s="177">
        <f t="shared" si="393"/>
        <v>1</v>
      </c>
      <c r="DA709" s="177">
        <f t="shared" si="398"/>
        <v>1</v>
      </c>
      <c r="DB709" s="177">
        <f t="shared" si="393"/>
        <v>1</v>
      </c>
      <c r="DC709" s="177">
        <f t="shared" si="399"/>
        <v>1</v>
      </c>
      <c r="DD709" s="177">
        <f t="shared" si="400"/>
        <v>1</v>
      </c>
      <c r="DE709" s="177">
        <f t="shared" si="401"/>
        <v>1</v>
      </c>
    </row>
    <row r="710" spans="1:109" ht="18" customHeight="1" thickBot="1" x14ac:dyDescent="0.35">
      <c r="A710" s="81">
        <v>0.35416666666667801</v>
      </c>
      <c r="B710" s="153"/>
      <c r="C710" s="130"/>
      <c r="D710" s="135"/>
      <c r="E710" s="130"/>
      <c r="F710" s="135"/>
      <c r="G710" s="130"/>
      <c r="H710" s="135"/>
      <c r="I710" s="130"/>
      <c r="J710" s="135"/>
      <c r="K710" s="130"/>
      <c r="L710" s="135"/>
      <c r="M710" s="130"/>
      <c r="N710" s="135"/>
      <c r="O710" s="154"/>
      <c r="P710" s="6">
        <v>0</v>
      </c>
      <c r="Q710" s="112" t="str">
        <f t="shared" si="409"/>
        <v>Estudo Autónomo</v>
      </c>
      <c r="R710" s="107" t="str">
        <f t="shared" si="410"/>
        <v/>
      </c>
      <c r="S710" s="94" t="str">
        <f t="shared" si="407"/>
        <v>-</v>
      </c>
      <c r="T710" s="95" t="str">
        <f>IF(VLOOKUP(Q710,'INFO BASE'!$B$40:$I$54,IF(R710='INFO BASE'!$B$32,3,IF(R710='INFO BASE'!$B$33,4,IF(R710='INFO BASE'!$B$34,5,IF(R710='INFO BASE'!$B$35,6,IF(R710='INFO BASE'!$B$36,7,IF(R710='INFO BASE'!$B$37,8,2)))))),0)=0,"",VLOOKUP(Q710,'INFO BASE'!$B$40:$I$54,IF(R710='INFO BASE'!$B$32,3,IF(R710='INFO BASE'!$B$33,4,IF(R710='INFO BASE'!$B$34,5,IF(R710='INFO BASE'!$B$35,6,IF(R710='INFO BASE'!$B$36,7,IF(R710='INFO BASE'!$B$37,8,2)))))),0))</f>
        <v/>
      </c>
      <c r="U710" s="95">
        <f>(COUNTIFS(C693:C740,R710,B693:B740,R704)+COUNTIFS(E693:E740,R710,D693:D740,R704)+COUNTIFS(G693:G740,R710,F693:F740,R704)+COUNTIFS(I693:I740,R710,H693:H740,R704)+COUNTIFS(K693:K740,R710,J693:J740,R704)+COUNTIFS(M693:M740,R710,L693:L740,R704)+COUNTIFS(O693:O740,R710,N693:N740,R704))*0.5</f>
        <v>0</v>
      </c>
      <c r="V710" s="95">
        <f>(COUNTIFS(AI693:AI740,R704,AJ693:AJ740,R710)+COUNTIFS(AK693:AK740,R704,AL693:AL740,R710)+COUNTIFS(AM693:AM740,R704,AN693:AN740,R710)+COUNTIFS(AO693:AO740,R704,AP693:AP740,R710)+COUNTIFS(AQ693:AQ740,R704,AR693:AR740,R710)+COUNTIFS(AS693:AS740,R704,AT693:AT740,R710)+COUNTIFS(AU693:AU740,R704,AV693:AV740,R710))*0.5</f>
        <v>0</v>
      </c>
      <c r="W710" s="96" t="str">
        <f>IF(AH689="","-",IF(V710=0,U710,IFERROR((U710/V710)-1,"-")))</f>
        <v>-</v>
      </c>
      <c r="X710" s="201">
        <f t="shared" si="408"/>
        <v>0</v>
      </c>
      <c r="Y710" s="274"/>
      <c r="Z710" s="275"/>
      <c r="AA710" s="275"/>
      <c r="AB710" s="275"/>
      <c r="AC710" s="275"/>
      <c r="AD710" s="275"/>
      <c r="AE710" s="275"/>
      <c r="AF710" s="276"/>
      <c r="AH710" s="136">
        <v>0.35416666666667801</v>
      </c>
      <c r="AI710" s="136" t="str">
        <f>IF(AH689="","",IF(B710="","",B710))</f>
        <v/>
      </c>
      <c r="AJ710" s="136" t="str">
        <f>IF(AH689="","",IF(C710="","",C710))</f>
        <v/>
      </c>
      <c r="AK710" s="136" t="str">
        <f>IF(AH689="","",IF(D710="","",D710))</f>
        <v/>
      </c>
      <c r="AL710" s="136" t="str">
        <f>IF(AH689="","",IF(E710="","",E710))</f>
        <v/>
      </c>
      <c r="AM710" s="136" t="str">
        <f>IF(AH689="","",IF(F710="","",F710))</f>
        <v/>
      </c>
      <c r="AN710" s="136" t="str">
        <f>IF(AH689="","",IF(G710="","",G710))</f>
        <v/>
      </c>
      <c r="AO710" s="136" t="str">
        <f>IF(AH689="","",IF(H710="","",H710))</f>
        <v/>
      </c>
      <c r="AP710" s="136" t="str">
        <f>IF(AH689="","",IF(I710="","",I710))</f>
        <v/>
      </c>
      <c r="AQ710" s="136" t="str">
        <f>IF(AH689="","",IF(J710="","",J710))</f>
        <v/>
      </c>
      <c r="AR710" s="136" t="str">
        <f>IF(AH689="","",IF(K710="","",K710))</f>
        <v/>
      </c>
      <c r="AS710" s="136" t="str">
        <f>IF(AH689="","",IF(L710="","",L710))</f>
        <v/>
      </c>
      <c r="AT710" s="136" t="str">
        <f>IF(AH689="","",IF(M710="","",M710))</f>
        <v/>
      </c>
      <c r="AU710" s="136" t="str">
        <f>IF(AH689="","",IF(N710="","",N710))</f>
        <v/>
      </c>
      <c r="AV710" s="136" t="str">
        <f>IF(AH689="","",IF(O710="","",O710))</f>
        <v/>
      </c>
      <c r="AX710" s="136" t="str">
        <f>IF(AI689="","",IF(B710="","",B710))</f>
        <v/>
      </c>
      <c r="AY710" s="136" t="str">
        <f>IF(AI689="","",IF(C710="","",C710))</f>
        <v/>
      </c>
      <c r="AZ710" s="136" t="str">
        <f>IF(AI689="","",IF(D710="","",D710))</f>
        <v/>
      </c>
      <c r="BA710" s="136" t="str">
        <f>IF(AI689="","",IF(E710="","",E710))</f>
        <v/>
      </c>
      <c r="BB710" s="136" t="str">
        <f>IF(AI689="","",IF(F710="","",F710))</f>
        <v/>
      </c>
      <c r="BC710" s="136" t="str">
        <f>IF(AI689="","",IF(G710="","",G710))</f>
        <v/>
      </c>
      <c r="BD710" s="136" t="str">
        <f>IF(AI689="","",IF(H710="","",H710))</f>
        <v/>
      </c>
      <c r="BE710" s="136" t="str">
        <f>IF(AI689="","",IF(I710="","",I710))</f>
        <v/>
      </c>
      <c r="BF710" s="136" t="str">
        <f>IF(AI689="","",IF(J710="","",J710))</f>
        <v/>
      </c>
      <c r="BG710" s="136" t="str">
        <f>IF(AI689="","",IF(K710="","",K710))</f>
        <v/>
      </c>
      <c r="BH710" s="136" t="str">
        <f>IF(AI689="","",IF(L710="","",L710))</f>
        <v/>
      </c>
      <c r="BI710" s="136" t="str">
        <f>IF(AI689="","",IF(M710="","",M710))</f>
        <v/>
      </c>
      <c r="BJ710" s="136" t="str">
        <f>IF(AI689="","",IF(N710="","",N710))</f>
        <v/>
      </c>
      <c r="BK710" s="136" t="str">
        <f>IF(AI689="","",IF(O710="","",O710))</f>
        <v/>
      </c>
      <c r="BM710" s="136" t="str">
        <f t="shared" ref="BM710:BM714" si="413">BM709</f>
        <v>EG</v>
      </c>
      <c r="BN710" s="136" t="str">
        <f t="shared" si="403"/>
        <v>Estudo em Grupo</v>
      </c>
      <c r="BO710" s="136" t="str">
        <f t="shared" si="403"/>
        <v>IEI</v>
      </c>
      <c r="BP710" s="136">
        <f>(COUNTIFS(AX693:AX740,BM710,AY693:AY740,BO710)+COUNTIFS(AZ693:AZ740,BM710,BA693:BA740,BO710)+COUNTIFS(BB693:BB740,BM710,BC693:BC740,BO710)+COUNTIFS(BD693:BD740,BM710,BE693:BE740,BO710)+COUNTIFS(BF693:BF740,BM710,BG693:BG740,BO710)+COUNTIFS(BH693:BH740,BM710,BI693:BI740,BO710)+COUNTIFS(BJ693:BJ740,BM710,BK693:BK740,BO710))*0.5</f>
        <v>0</v>
      </c>
      <c r="BQ710" s="136" t="str">
        <f t="shared" si="404"/>
        <v>Estudo em Grupo</v>
      </c>
      <c r="BR710" s="136" t="str">
        <f t="shared" si="404"/>
        <v>IEI</v>
      </c>
      <c r="BS710" s="136" t="str">
        <f t="shared" si="405"/>
        <v>Estudo em Grupo</v>
      </c>
      <c r="BT710" s="136">
        <f t="shared" si="411"/>
        <v>2.5</v>
      </c>
      <c r="BU710" s="136">
        <f t="shared" si="412"/>
        <v>7</v>
      </c>
      <c r="CA710" s="136">
        <f>'INFO BASE'!L790</f>
        <v>0</v>
      </c>
      <c r="CB710" s="136">
        <f>'INFO BASE'!M790</f>
        <v>0</v>
      </c>
      <c r="CR710" s="177">
        <f t="shared" si="393"/>
        <v>1</v>
      </c>
      <c r="CS710" s="177">
        <f t="shared" si="394"/>
        <v>1</v>
      </c>
      <c r="CT710" s="177">
        <f t="shared" si="393"/>
        <v>1</v>
      </c>
      <c r="CU710" s="177">
        <f t="shared" si="395"/>
        <v>1</v>
      </c>
      <c r="CV710" s="177">
        <f t="shared" si="393"/>
        <v>1</v>
      </c>
      <c r="CW710" s="177">
        <f t="shared" si="396"/>
        <v>1</v>
      </c>
      <c r="CX710" s="177">
        <f t="shared" si="393"/>
        <v>1</v>
      </c>
      <c r="CY710" s="177">
        <f t="shared" si="397"/>
        <v>1</v>
      </c>
      <c r="CZ710" s="177">
        <f t="shared" si="393"/>
        <v>1</v>
      </c>
      <c r="DA710" s="177">
        <f t="shared" si="398"/>
        <v>1</v>
      </c>
      <c r="DB710" s="177">
        <f t="shared" si="393"/>
        <v>1</v>
      </c>
      <c r="DC710" s="177">
        <f t="shared" si="399"/>
        <v>1</v>
      </c>
      <c r="DD710" s="177">
        <f t="shared" si="400"/>
        <v>1</v>
      </c>
      <c r="DE710" s="177">
        <f t="shared" si="401"/>
        <v>1</v>
      </c>
    </row>
    <row r="711" spans="1:109" ht="18" customHeight="1" x14ac:dyDescent="0.3">
      <c r="A711" s="81">
        <v>0.37500000000001199</v>
      </c>
      <c r="B711" s="153"/>
      <c r="C711" s="130"/>
      <c r="D711" s="135"/>
      <c r="E711" s="130"/>
      <c r="F711" s="135"/>
      <c r="G711" s="130"/>
      <c r="H711" s="135"/>
      <c r="I711" s="130"/>
      <c r="J711" s="135"/>
      <c r="K711" s="130"/>
      <c r="L711" s="135"/>
      <c r="M711" s="130"/>
      <c r="N711" s="135"/>
      <c r="O711" s="154"/>
      <c r="P711" s="6">
        <v>0</v>
      </c>
      <c r="Q711" s="113" t="str">
        <f>IF('INFO BASE'!$C$18="","",'INFO BASE'!$C$18)</f>
        <v>Estudo em Grupo</v>
      </c>
      <c r="R711" s="82" t="str">
        <f t="shared" si="410"/>
        <v>EG</v>
      </c>
      <c r="S711" s="83">
        <f t="shared" si="407"/>
        <v>-1</v>
      </c>
      <c r="T711" s="84">
        <f>IF(VLOOKUP(Q711,'INFO BASE'!$B$40:$I$54,IF(R711='INFO BASE'!$B$32,3,IF(R711='INFO BASE'!$B$33,4,IF(R711='INFO BASE'!$B$34,5,IF(R711='INFO BASE'!$B$35,6,IF(R711='INFO BASE'!$B$36,7,IF(R711='INFO BASE'!$B$37,8,2)))))),0)=0,"",VLOOKUP(Q711,'INFO BASE'!$B$40:$I$54,IF(R711='INFO BASE'!$B$32,3,IF(R711='INFO BASE'!$B$33,4,IF(R711='INFO BASE'!$B$34,5,IF(R711='INFO BASE'!$B$35,6,IF(R711='INFO BASE'!$B$36,7,IF(R711='INFO BASE'!$B$37,8,2)))))),0))</f>
        <v>8</v>
      </c>
      <c r="U711" s="84">
        <f>IF(R711="","",COUNTIFS(SEMANA13,R711)*0.5)</f>
        <v>0</v>
      </c>
      <c r="V711" s="84">
        <f>IF(R711="","",COUNTIFS(AI693:AV740,R711)*0.5)</f>
        <v>0</v>
      </c>
      <c r="W711" s="85" t="str">
        <f>IF(AH689="","-",IF(V711=0,U711,IFERROR((U711/V711)-1,"-")))</f>
        <v>-</v>
      </c>
      <c r="X711" s="201">
        <f t="shared" si="408"/>
        <v>0</v>
      </c>
      <c r="Y711" s="277"/>
      <c r="Z711" s="278"/>
      <c r="AA711" s="278"/>
      <c r="AB711" s="278"/>
      <c r="AC711" s="278"/>
      <c r="AD711" s="278"/>
      <c r="AE711" s="278"/>
      <c r="AF711" s="279"/>
      <c r="AH711" s="136">
        <v>0.37500000000001199</v>
      </c>
      <c r="AI711" s="136" t="str">
        <f>IF(AH689="","",IF(B711="","",B711))</f>
        <v/>
      </c>
      <c r="AJ711" s="136" t="str">
        <f>IF(AH689="","",IF(C711="","",C711))</f>
        <v/>
      </c>
      <c r="AK711" s="136" t="str">
        <f>IF(AH689="","",IF(D711="","",D711))</f>
        <v/>
      </c>
      <c r="AL711" s="136" t="str">
        <f>IF(AH689="","",IF(E711="","",E711))</f>
        <v/>
      </c>
      <c r="AM711" s="136" t="str">
        <f>IF(AH689="","",IF(F711="","",F711))</f>
        <v/>
      </c>
      <c r="AN711" s="136" t="str">
        <f>IF(AH689="","",IF(G711="","",G711))</f>
        <v/>
      </c>
      <c r="AO711" s="136" t="str">
        <f>IF(AH689="","",IF(H711="","",H711))</f>
        <v/>
      </c>
      <c r="AP711" s="136" t="str">
        <f>IF(AH689="","",IF(I711="","",I711))</f>
        <v/>
      </c>
      <c r="AQ711" s="136" t="str">
        <f>IF(AH689="","",IF(J711="","",J711))</f>
        <v/>
      </c>
      <c r="AR711" s="136" t="str">
        <f>IF(AH689="","",IF(K711="","",K711))</f>
        <v/>
      </c>
      <c r="AS711" s="136" t="str">
        <f>IF(AH689="","",IF(L711="","",L711))</f>
        <v/>
      </c>
      <c r="AT711" s="136" t="str">
        <f>IF(AH689="","",IF(M711="","",M711))</f>
        <v/>
      </c>
      <c r="AU711" s="136" t="str">
        <f>IF(AH689="","",IF(N711="","",N711))</f>
        <v/>
      </c>
      <c r="AV711" s="136" t="str">
        <f>IF(AH689="","",IF(O711="","",O711))</f>
        <v/>
      </c>
      <c r="AX711" s="136" t="str">
        <f>IF(AI689="","",IF(B711="","",B711))</f>
        <v/>
      </c>
      <c r="AY711" s="136" t="str">
        <f>IF(AI689="","",IF(C711="","",C711))</f>
        <v/>
      </c>
      <c r="AZ711" s="136" t="str">
        <f>IF(AI689="","",IF(D711="","",D711))</f>
        <v/>
      </c>
      <c r="BA711" s="136" t="str">
        <f>IF(AI689="","",IF(E711="","",E711))</f>
        <v/>
      </c>
      <c r="BB711" s="136" t="str">
        <f>IF(AI689="","",IF(F711="","",F711))</f>
        <v/>
      </c>
      <c r="BC711" s="136" t="str">
        <f>IF(AI689="","",IF(G711="","",G711))</f>
        <v/>
      </c>
      <c r="BD711" s="136" t="str">
        <f>IF(AI689="","",IF(H711="","",H711))</f>
        <v/>
      </c>
      <c r="BE711" s="136" t="str">
        <f>IF(AI689="","",IF(I711="","",I711))</f>
        <v/>
      </c>
      <c r="BF711" s="136" t="str">
        <f>IF(AI689="","",IF(J711="","",J711))</f>
        <v/>
      </c>
      <c r="BG711" s="136" t="str">
        <f>IF(AI689="","",IF(K711="","",K711))</f>
        <v/>
      </c>
      <c r="BH711" s="136" t="str">
        <f>IF(AI689="","",IF(L711="","",L711))</f>
        <v/>
      </c>
      <c r="BI711" s="136" t="str">
        <f>IF(AI689="","",IF(M711="","",M711))</f>
        <v/>
      </c>
      <c r="BJ711" s="136" t="str">
        <f>IF(AI689="","",IF(N711="","",N711))</f>
        <v/>
      </c>
      <c r="BK711" s="136" t="str">
        <f>IF(AI689="","",IF(O711="","",O711))</f>
        <v/>
      </c>
      <c r="BM711" s="136" t="str">
        <f t="shared" si="413"/>
        <v>EG</v>
      </c>
      <c r="BN711" s="136" t="str">
        <f t="shared" si="403"/>
        <v>Estudo em Grupo</v>
      </c>
      <c r="BO711" s="136" t="str">
        <f t="shared" si="403"/>
        <v>IAC</v>
      </c>
      <c r="BP711" s="136">
        <f>(COUNTIFS(AX693:AX740,BM711,AY693:AY740,BO711)+COUNTIFS(AZ693:AZ740,BM711,BA693:BA740,BO711)+COUNTIFS(BB693:BB740,BM711,BC693:BC740,BO711)+COUNTIFS(BD693:BD740,BM711,BE693:BE740,BO711)+COUNTIFS(BF693:BF740,BM711,BG693:BG740,BO711)+COUNTIFS(BH693:BH740,BM711,BI693:BI740,BO711)+COUNTIFS(BJ693:BJ740,BM711,BK693:BK740,BO711))*0.5</f>
        <v>0</v>
      </c>
      <c r="BQ711" s="136" t="str">
        <f t="shared" si="404"/>
        <v>Estudo em Grupo</v>
      </c>
      <c r="BR711" s="136" t="str">
        <f t="shared" si="404"/>
        <v>IAC</v>
      </c>
      <c r="BS711" s="136" t="str">
        <f t="shared" si="405"/>
        <v>Estudo em Grupo</v>
      </c>
      <c r="BT711" s="136">
        <f t="shared" si="411"/>
        <v>6</v>
      </c>
      <c r="BU711" s="136">
        <f t="shared" si="412"/>
        <v>10.5</v>
      </c>
      <c r="CA711" s="136">
        <f>'INFO BASE'!L791</f>
        <v>0</v>
      </c>
      <c r="CB711" s="136">
        <f>'INFO BASE'!M791</f>
        <v>0</v>
      </c>
      <c r="CR711" s="177">
        <f t="shared" si="393"/>
        <v>1</v>
      </c>
      <c r="CS711" s="177">
        <f t="shared" si="394"/>
        <v>1</v>
      </c>
      <c r="CT711" s="177">
        <f t="shared" si="393"/>
        <v>1</v>
      </c>
      <c r="CU711" s="177">
        <f t="shared" si="395"/>
        <v>1</v>
      </c>
      <c r="CV711" s="177">
        <f t="shared" si="393"/>
        <v>1</v>
      </c>
      <c r="CW711" s="177">
        <f t="shared" si="396"/>
        <v>1</v>
      </c>
      <c r="CX711" s="177">
        <f t="shared" si="393"/>
        <v>1</v>
      </c>
      <c r="CY711" s="177">
        <f t="shared" si="397"/>
        <v>1</v>
      </c>
      <c r="CZ711" s="177">
        <f t="shared" si="393"/>
        <v>1</v>
      </c>
      <c r="DA711" s="177">
        <f t="shared" si="398"/>
        <v>1</v>
      </c>
      <c r="DB711" s="177">
        <f t="shared" si="393"/>
        <v>1</v>
      </c>
      <c r="DC711" s="177">
        <f t="shared" si="399"/>
        <v>1</v>
      </c>
      <c r="DD711" s="177">
        <f t="shared" si="400"/>
        <v>1</v>
      </c>
      <c r="DE711" s="177">
        <f t="shared" si="401"/>
        <v>1</v>
      </c>
    </row>
    <row r="712" spans="1:109" ht="18" customHeight="1" x14ac:dyDescent="0.3">
      <c r="A712" s="81">
        <v>0.39583333333334603</v>
      </c>
      <c r="B712" s="153"/>
      <c r="C712" s="130"/>
      <c r="D712" s="135"/>
      <c r="E712" s="130"/>
      <c r="F712" s="135"/>
      <c r="G712" s="130"/>
      <c r="H712" s="135"/>
      <c r="I712" s="130"/>
      <c r="J712" s="135"/>
      <c r="K712" s="130"/>
      <c r="L712" s="135"/>
      <c r="M712" s="130"/>
      <c r="N712" s="135"/>
      <c r="O712" s="154"/>
      <c r="P712" s="6">
        <v>0</v>
      </c>
      <c r="Q712" s="114" t="str">
        <f t="shared" ref="Q712:Q717" si="414">Q711</f>
        <v>Estudo em Grupo</v>
      </c>
      <c r="R712" s="105" t="str">
        <f t="shared" si="410"/>
        <v>FP</v>
      </c>
      <c r="S712" s="88">
        <f t="shared" si="407"/>
        <v>-1</v>
      </c>
      <c r="T712" s="89">
        <f>IF(VLOOKUP(Q712,'INFO BASE'!$B$40:$I$54,IF(R712='INFO BASE'!$B$32,3,IF(R712='INFO BASE'!$B$33,4,IF(R712='INFO BASE'!$B$34,5,IF(R712='INFO BASE'!$B$35,6,IF(R712='INFO BASE'!$B$36,7,IF(R712='INFO BASE'!$B$37,8,2)))))),0)=0,"",VLOOKUP(Q712,'INFO BASE'!$B$40:$I$54,IF(R712='INFO BASE'!$B$32,3,IF(R712='INFO BASE'!$B$33,4,IF(R712='INFO BASE'!$B$34,5,IF(R712='INFO BASE'!$B$35,6,IF(R712='INFO BASE'!$B$36,7,IF(R712='INFO BASE'!$B$37,8,2)))))),0))</f>
        <v>2</v>
      </c>
      <c r="U712" s="89">
        <f>(COUNTIFS(C693:C740,R712,B693:B740,R711)+COUNTIFS(E693:E740,R712,D693:D740,R711)+COUNTIFS(G693:G740,R712,F693:F740,R711)+COUNTIFS(I693:I740,R712,H693:H740,R711)+COUNTIFS(K693:K740,R712,J693:J740,R711)+COUNTIFS(M693:M740,R712,L693:L740,R711)+COUNTIFS(O693:O740,R712,N693:N740,R711))*0.5</f>
        <v>0</v>
      </c>
      <c r="V712" s="89">
        <f>(COUNTIFS(AI693:AI740,R711,AJ693:AJ740,R705)+COUNTIFS(AK693:AK740,R711,AL693:AL740,R705)+COUNTIFS(AM693:AM740,R711,AN693:AN740,R705)+COUNTIFS(AO693:AO740,R711,AP693:AP740,R705)+COUNTIFS(AQ693:AQ740,R711,AR693:AR740,R705)+COUNTIFS(AS693:AS740,R711,AT693:AT740,R705)+COUNTIFS(AU693:AU740,R711,AV693:AV740,R705))*0.5</f>
        <v>0</v>
      </c>
      <c r="W712" s="90" t="str">
        <f>IF(AH689="","-",IF(V712=0,U712,IFERROR((U712/V712)-1,"-")))</f>
        <v>-</v>
      </c>
      <c r="X712" s="201">
        <f t="shared" si="408"/>
        <v>0</v>
      </c>
      <c r="Y712" s="271"/>
      <c r="Z712" s="272"/>
      <c r="AA712" s="272"/>
      <c r="AB712" s="272"/>
      <c r="AC712" s="272"/>
      <c r="AD712" s="272"/>
      <c r="AE712" s="272"/>
      <c r="AF712" s="273"/>
      <c r="AH712" s="136">
        <v>0.39583333333334603</v>
      </c>
      <c r="AI712" s="136" t="str">
        <f>IF(AH689="","",IF(B712="","",B712))</f>
        <v/>
      </c>
      <c r="AJ712" s="136" t="str">
        <f>IF(AH689="","",IF(C712="","",C712))</f>
        <v/>
      </c>
      <c r="AK712" s="136" t="str">
        <f>IF(AH689="","",IF(D712="","",D712))</f>
        <v/>
      </c>
      <c r="AL712" s="136" t="str">
        <f>IF(AH689="","",IF(E712="","",E712))</f>
        <v/>
      </c>
      <c r="AM712" s="136" t="str">
        <f>IF(AH689="","",IF(F712="","",F712))</f>
        <v/>
      </c>
      <c r="AN712" s="136" t="str">
        <f>IF(AH689="","",IF(G712="","",G712))</f>
        <v/>
      </c>
      <c r="AO712" s="136" t="str">
        <f>IF(AH689="","",IF(H712="","",H712))</f>
        <v/>
      </c>
      <c r="AP712" s="136" t="str">
        <f>IF(AH689="","",IF(I712="","",I712))</f>
        <v/>
      </c>
      <c r="AQ712" s="136" t="str">
        <f>IF(AH689="","",IF(J712="","",J712))</f>
        <v/>
      </c>
      <c r="AR712" s="136" t="str">
        <f>IF(AH689="","",IF(K712="","",K712))</f>
        <v/>
      </c>
      <c r="AS712" s="136" t="str">
        <f>IF(AH689="","",IF(L712="","",L712))</f>
        <v/>
      </c>
      <c r="AT712" s="136" t="str">
        <f>IF(AH689="","",IF(M712="","",M712))</f>
        <v/>
      </c>
      <c r="AU712" s="136" t="str">
        <f>IF(AH689="","",IF(N712="","",N712))</f>
        <v/>
      </c>
      <c r="AV712" s="136" t="str">
        <f>IF(AH689="","",IF(O712="","",O712))</f>
        <v/>
      </c>
      <c r="AX712" s="136" t="str">
        <f>IF(AI689="","",IF(B712="","",B712))</f>
        <v/>
      </c>
      <c r="AY712" s="136" t="str">
        <f>IF(AI689="","",IF(C712="","",C712))</f>
        <v/>
      </c>
      <c r="AZ712" s="136" t="str">
        <f>IF(AI689="","",IF(D712="","",D712))</f>
        <v/>
      </c>
      <c r="BA712" s="136" t="str">
        <f>IF(AI689="","",IF(E712="","",E712))</f>
        <v/>
      </c>
      <c r="BB712" s="136" t="str">
        <f>IF(AI689="","",IF(F712="","",F712))</f>
        <v/>
      </c>
      <c r="BC712" s="136" t="str">
        <f>IF(AI689="","",IF(G712="","",G712))</f>
        <v/>
      </c>
      <c r="BD712" s="136" t="str">
        <f>IF(AI689="","",IF(H712="","",H712))</f>
        <v/>
      </c>
      <c r="BE712" s="136" t="str">
        <f>IF(AI689="","",IF(I712="","",I712))</f>
        <v/>
      </c>
      <c r="BF712" s="136" t="str">
        <f>IF(AI689="","",IF(J712="","",J712))</f>
        <v/>
      </c>
      <c r="BG712" s="136" t="str">
        <f>IF(AI689="","",IF(K712="","",K712))</f>
        <v/>
      </c>
      <c r="BH712" s="136" t="str">
        <f>IF(AI689="","",IF(L712="","",L712))</f>
        <v/>
      </c>
      <c r="BI712" s="136" t="str">
        <f>IF(AI689="","",IF(M712="","",M712))</f>
        <v/>
      </c>
      <c r="BJ712" s="136" t="str">
        <f>IF(AI689="","",IF(N712="","",N712))</f>
        <v/>
      </c>
      <c r="BK712" s="136" t="str">
        <f>IF(AI689="","",IF(O712="","",O712))</f>
        <v/>
      </c>
      <c r="BM712" s="136" t="str">
        <f t="shared" si="413"/>
        <v>EG</v>
      </c>
      <c r="BN712" s="136" t="str">
        <f t="shared" si="403"/>
        <v>Estudo em Grupo</v>
      </c>
      <c r="BO712" s="136" t="str">
        <f t="shared" si="403"/>
        <v>AL</v>
      </c>
      <c r="BP712" s="136">
        <f>(COUNTIFS(AX693:AX740,BM712,AY693:AY740,BO712)+COUNTIFS(AZ693:AZ740,BM712,BA693:BA740,BO712)+COUNTIFS(BB693:BB740,BM712,BC693:BC740,BO712)+COUNTIFS(BD693:BD740,BM712,BE693:BE740,BO712)+COUNTIFS(BF693:BF740,BM712,BG693:BG740,BO712)+COUNTIFS(BH693:BH740,BM712,BI693:BI740,BO712)+COUNTIFS(BJ693:BJ740,BM712,BK693:BK740,BO712))*0.5</f>
        <v>0</v>
      </c>
      <c r="BQ712" s="136" t="str">
        <f t="shared" si="404"/>
        <v>Estudo em Grupo</v>
      </c>
      <c r="BR712" s="136" t="str">
        <f t="shared" si="404"/>
        <v>AL</v>
      </c>
      <c r="BS712" s="136" t="str">
        <f t="shared" si="405"/>
        <v>Estudo em Grupo</v>
      </c>
      <c r="BT712" s="136">
        <f t="shared" si="411"/>
        <v>16.5</v>
      </c>
      <c r="BU712" s="136">
        <f t="shared" si="412"/>
        <v>17.5</v>
      </c>
      <c r="CA712" s="136">
        <f>'INFO BASE'!L792</f>
        <v>0</v>
      </c>
      <c r="CB712" s="136">
        <f>'INFO BASE'!M792</f>
        <v>0</v>
      </c>
      <c r="CR712" s="177">
        <f t="shared" si="393"/>
        <v>1</v>
      </c>
      <c r="CS712" s="177">
        <f t="shared" si="394"/>
        <v>1</v>
      </c>
      <c r="CT712" s="177">
        <f t="shared" si="393"/>
        <v>1</v>
      </c>
      <c r="CU712" s="177">
        <f t="shared" si="395"/>
        <v>1</v>
      </c>
      <c r="CV712" s="177">
        <f t="shared" si="393"/>
        <v>1</v>
      </c>
      <c r="CW712" s="177">
        <f t="shared" si="396"/>
        <v>1</v>
      </c>
      <c r="CX712" s="177">
        <f t="shared" si="393"/>
        <v>1</v>
      </c>
      <c r="CY712" s="177">
        <f t="shared" si="397"/>
        <v>1</v>
      </c>
      <c r="CZ712" s="177">
        <f t="shared" si="393"/>
        <v>1</v>
      </c>
      <c r="DA712" s="177">
        <f t="shared" si="398"/>
        <v>1</v>
      </c>
      <c r="DB712" s="177">
        <f t="shared" si="393"/>
        <v>1</v>
      </c>
      <c r="DC712" s="177">
        <f t="shared" si="399"/>
        <v>1</v>
      </c>
      <c r="DD712" s="177">
        <f t="shared" si="400"/>
        <v>1</v>
      </c>
      <c r="DE712" s="177">
        <f t="shared" si="401"/>
        <v>1</v>
      </c>
    </row>
    <row r="713" spans="1:109" ht="18" customHeight="1" x14ac:dyDescent="0.3">
      <c r="A713" s="81">
        <v>0.41666666666668001</v>
      </c>
      <c r="B713" s="153"/>
      <c r="C713" s="130"/>
      <c r="D713" s="135"/>
      <c r="E713" s="130"/>
      <c r="F713" s="135"/>
      <c r="G713" s="130"/>
      <c r="H713" s="135"/>
      <c r="I713" s="130"/>
      <c r="J713" s="135"/>
      <c r="K713" s="130"/>
      <c r="L713" s="135"/>
      <c r="M713" s="130"/>
      <c r="N713" s="135"/>
      <c r="O713" s="154"/>
      <c r="P713" s="6">
        <v>0</v>
      </c>
      <c r="Q713" s="114" t="str">
        <f t="shared" si="414"/>
        <v>Estudo em Grupo</v>
      </c>
      <c r="R713" s="105" t="str">
        <f t="shared" si="410"/>
        <v>IEI</v>
      </c>
      <c r="S713" s="88" t="str">
        <f t="shared" si="407"/>
        <v>-</v>
      </c>
      <c r="T713" s="89" t="str">
        <f>IF(VLOOKUP(Q713,'INFO BASE'!$B$40:$I$54,IF(R713='INFO BASE'!$B$32,3,IF(R713='INFO BASE'!$B$33,4,IF(R713='INFO BASE'!$B$34,5,IF(R713='INFO BASE'!$B$35,6,IF(R713='INFO BASE'!$B$36,7,IF(R713='INFO BASE'!$B$37,8,2)))))),0)=0,"",VLOOKUP(Q713,'INFO BASE'!$B$40:$I$54,IF(R713='INFO BASE'!$B$32,3,IF(R713='INFO BASE'!$B$33,4,IF(R713='INFO BASE'!$B$34,5,IF(R713='INFO BASE'!$B$35,6,IF(R713='INFO BASE'!$B$36,7,IF(R713='INFO BASE'!$B$37,8,2)))))),0))</f>
        <v/>
      </c>
      <c r="U713" s="89">
        <f>(COUNTIFS(C693:C740,R713,B693:B740,R711)+COUNTIFS(E693:E740,R713,D693:D740,R711)+COUNTIFS(G693:G740,R713,F693:F740,R711)+COUNTIFS(I693:I740,R713,H693:H740,R711)+COUNTIFS(K693:K740,R713,J693:J740,R711)+COUNTIFS(M693:M740,R713,L693:L740,R711)+COUNTIFS(O693:O740,R713,N693:N740,R711))*0.5</f>
        <v>0</v>
      </c>
      <c r="V713" s="89">
        <f>(COUNTIFS(AI693:AI740,R711,AJ693:AJ740,R706)+COUNTIFS(AK693:AK740,R711,AL693:AL740,R706)+COUNTIFS(AM693:AM740,R711,AN693:AN740,R706)+COUNTIFS(AO693:AO740,R711,AP693:AP740,R706)+COUNTIFS(AQ693:AQ740,R711,AR693:AR740,R706)+COUNTIFS(AS693:AS740,R711,AT693:AT740,R706)+COUNTIFS(AU693:AU740,R711,AV693:AV740,R706))*0.5</f>
        <v>0</v>
      </c>
      <c r="W713" s="90" t="str">
        <f>IF(AH689="","-",IF(V713=0,U713,IFERROR((U713/V713)-1,"-")))</f>
        <v>-</v>
      </c>
      <c r="X713" s="201">
        <f t="shared" si="408"/>
        <v>0</v>
      </c>
      <c r="Y713" s="271"/>
      <c r="Z713" s="272"/>
      <c r="AA713" s="272"/>
      <c r="AB713" s="272"/>
      <c r="AC713" s="272"/>
      <c r="AD713" s="272"/>
      <c r="AE713" s="272"/>
      <c r="AF713" s="273"/>
      <c r="AH713" s="136">
        <v>0.41666666666668001</v>
      </c>
      <c r="AI713" s="136" t="str">
        <f>IF(AH689="","",IF(B713="","",B713))</f>
        <v/>
      </c>
      <c r="AJ713" s="136" t="str">
        <f>IF(AH689="","",IF(C713="","",C713))</f>
        <v/>
      </c>
      <c r="AK713" s="136" t="str">
        <f>IF(AH689="","",IF(D713="","",D713))</f>
        <v/>
      </c>
      <c r="AL713" s="136" t="str">
        <f>IF(AH689="","",IF(E713="","",E713))</f>
        <v/>
      </c>
      <c r="AM713" s="136" t="str">
        <f>IF(AH689="","",IF(F713="","",F713))</f>
        <v/>
      </c>
      <c r="AN713" s="136" t="str">
        <f>IF(AH689="","",IF(G713="","",G713))</f>
        <v/>
      </c>
      <c r="AO713" s="136" t="str">
        <f>IF(AH689="","",IF(H713="","",H713))</f>
        <v/>
      </c>
      <c r="AP713" s="136" t="str">
        <f>IF(AH689="","",IF(I713="","",I713))</f>
        <v/>
      </c>
      <c r="AQ713" s="136" t="str">
        <f>IF(AH689="","",IF(J713="","",J713))</f>
        <v/>
      </c>
      <c r="AR713" s="136" t="str">
        <f>IF(AH689="","",IF(K713="","",K713))</f>
        <v/>
      </c>
      <c r="AS713" s="136" t="str">
        <f>IF(AH689="","",IF(L713="","",L713))</f>
        <v/>
      </c>
      <c r="AT713" s="136" t="str">
        <f>IF(AH689="","",IF(M713="","",M713))</f>
        <v/>
      </c>
      <c r="AU713" s="136" t="str">
        <f>IF(AH689="","",IF(N713="","",N713))</f>
        <v/>
      </c>
      <c r="AV713" s="136" t="str">
        <f>IF(AH689="","",IF(O713="","",O713))</f>
        <v/>
      </c>
      <c r="AX713" s="136" t="str">
        <f>IF(AI689="","",IF(B713="","",B713))</f>
        <v/>
      </c>
      <c r="AY713" s="136" t="str">
        <f>IF(AI689="","",IF(C713="","",C713))</f>
        <v/>
      </c>
      <c r="AZ713" s="136" t="str">
        <f>IF(AI689="","",IF(D713="","",D713))</f>
        <v/>
      </c>
      <c r="BA713" s="136" t="str">
        <f>IF(AI689="","",IF(E713="","",E713))</f>
        <v/>
      </c>
      <c r="BB713" s="136" t="str">
        <f>IF(AI689="","",IF(F713="","",F713))</f>
        <v/>
      </c>
      <c r="BC713" s="136" t="str">
        <f>IF(AI689="","",IF(G713="","",G713))</f>
        <v/>
      </c>
      <c r="BD713" s="136" t="str">
        <f>IF(AI689="","",IF(H713="","",H713))</f>
        <v/>
      </c>
      <c r="BE713" s="136" t="str">
        <f>IF(AI689="","",IF(I713="","",I713))</f>
        <v/>
      </c>
      <c r="BF713" s="136" t="str">
        <f>IF(AI689="","",IF(J713="","",J713))</f>
        <v/>
      </c>
      <c r="BG713" s="136" t="str">
        <f>IF(AI689="","",IF(K713="","",K713))</f>
        <v/>
      </c>
      <c r="BH713" s="136" t="str">
        <f>IF(AI689="","",IF(L713="","",L713))</f>
        <v/>
      </c>
      <c r="BI713" s="136" t="str">
        <f>IF(AI689="","",IF(M713="","",M713))</f>
        <v/>
      </c>
      <c r="BJ713" s="136" t="str">
        <f>IF(AI689="","",IF(N713="","",N713))</f>
        <v/>
      </c>
      <c r="BK713" s="136" t="str">
        <f>IF(AI689="","",IF(O713="","",O713))</f>
        <v/>
      </c>
      <c r="BM713" s="136" t="str">
        <f t="shared" si="413"/>
        <v>EG</v>
      </c>
      <c r="BN713" s="136" t="str">
        <f t="shared" si="403"/>
        <v>Estudo em Grupo</v>
      </c>
      <c r="BO713" s="136" t="str">
        <f t="shared" si="403"/>
        <v>CDI</v>
      </c>
      <c r="BP713" s="136">
        <f>(COUNTIFS(AX693:AX740,BM713,AY693:AY740,BO713)+COUNTIFS(AZ693:AZ740,BM713,BA693:BA740,BO713)+COUNTIFS(BB693:BB740,BM713,BC693:BC740,BO713)+COUNTIFS(BD693:BD740,BM713,BE693:BE740,BO713)+COUNTIFS(BF693:BF740,BM713,BG693:BG740,BO713)+COUNTIFS(BH693:BH740,BM713,BI693:BI740,BO713)+COUNTIFS(BJ693:BJ740,BM713,BK693:BK740,BO713))*0.5</f>
        <v>0</v>
      </c>
      <c r="BQ713" s="136" t="str">
        <f t="shared" si="404"/>
        <v>Estudo em Grupo</v>
      </c>
      <c r="BR713" s="136" t="str">
        <f t="shared" si="404"/>
        <v>CDI</v>
      </c>
      <c r="BS713" s="136" t="str">
        <f t="shared" si="405"/>
        <v>Estudo em Grupo</v>
      </c>
      <c r="BT713" s="136">
        <f t="shared" si="411"/>
        <v>10.5</v>
      </c>
      <c r="BU713" s="136">
        <f t="shared" si="412"/>
        <v>8.5</v>
      </c>
      <c r="CA713" s="136">
        <f>'INFO BASE'!L793</f>
        <v>0</v>
      </c>
      <c r="CB713" s="136">
        <f>'INFO BASE'!M793</f>
        <v>0</v>
      </c>
      <c r="CR713" s="177">
        <f t="shared" si="393"/>
        <v>1</v>
      </c>
      <c r="CS713" s="177">
        <f t="shared" si="394"/>
        <v>1</v>
      </c>
      <c r="CT713" s="177">
        <f t="shared" si="393"/>
        <v>1</v>
      </c>
      <c r="CU713" s="177">
        <f t="shared" si="395"/>
        <v>1</v>
      </c>
      <c r="CV713" s="177">
        <f t="shared" si="393"/>
        <v>1</v>
      </c>
      <c r="CW713" s="177">
        <f t="shared" si="396"/>
        <v>1</v>
      </c>
      <c r="CX713" s="177">
        <f t="shared" si="393"/>
        <v>1</v>
      </c>
      <c r="CY713" s="177">
        <f t="shared" si="397"/>
        <v>1</v>
      </c>
      <c r="CZ713" s="177">
        <f t="shared" si="393"/>
        <v>1</v>
      </c>
      <c r="DA713" s="177">
        <f t="shared" si="398"/>
        <v>1</v>
      </c>
      <c r="DB713" s="177">
        <f t="shared" si="393"/>
        <v>1</v>
      </c>
      <c r="DC713" s="177">
        <f t="shared" si="399"/>
        <v>1</v>
      </c>
      <c r="DD713" s="177">
        <f t="shared" si="400"/>
        <v>1</v>
      </c>
      <c r="DE713" s="177">
        <f t="shared" si="401"/>
        <v>1</v>
      </c>
    </row>
    <row r="714" spans="1:109" ht="18" customHeight="1" x14ac:dyDescent="0.3">
      <c r="A714" s="81">
        <v>0.43750000000001399</v>
      </c>
      <c r="B714" s="153"/>
      <c r="C714" s="130"/>
      <c r="D714" s="135"/>
      <c r="E714" s="130"/>
      <c r="F714" s="135"/>
      <c r="G714" s="130"/>
      <c r="H714" s="135"/>
      <c r="I714" s="130"/>
      <c r="J714" s="135"/>
      <c r="K714" s="130"/>
      <c r="L714" s="135"/>
      <c r="M714" s="130"/>
      <c r="N714" s="135"/>
      <c r="O714" s="154"/>
      <c r="P714" s="6">
        <v>0</v>
      </c>
      <c r="Q714" s="115" t="str">
        <f t="shared" si="414"/>
        <v>Estudo em Grupo</v>
      </c>
      <c r="R714" s="105" t="str">
        <f t="shared" si="410"/>
        <v>IAC</v>
      </c>
      <c r="S714" s="88">
        <f t="shared" si="407"/>
        <v>-1</v>
      </c>
      <c r="T714" s="89">
        <f>IF(VLOOKUP(Q714,'INFO BASE'!$B$40:$I$54,IF(R714='INFO BASE'!$B$32,3,IF(R714='INFO BASE'!$B$33,4,IF(R714='INFO BASE'!$B$34,5,IF(R714='INFO BASE'!$B$35,6,IF(R714='INFO BASE'!$B$36,7,IF(R714='INFO BASE'!$B$37,8,2)))))),0)=0,"",VLOOKUP(Q714,'INFO BASE'!$B$40:$I$54,IF(R714='INFO BASE'!$B$32,3,IF(R714='INFO BASE'!$B$33,4,IF(R714='INFO BASE'!$B$34,5,IF(R714='INFO BASE'!$B$35,6,IF(R714='INFO BASE'!$B$36,7,IF(R714='INFO BASE'!$B$37,8,2)))))),0))</f>
        <v>2</v>
      </c>
      <c r="U714" s="89">
        <f>(COUNTIFS(C693:C740,R714,B693:B740,R711)+COUNTIFS(E693:E740,R714,D693:D740,R711)+COUNTIFS(G693:G740,R714,F693:F740,R711)+COUNTIFS(I693:I740,R714,H693:H740,R711)+COUNTIFS(K693:K740,R714,J693:J740,R711)+COUNTIFS(M693:M740,R714,L693:L740,R711)+COUNTIFS(O693:O740,R714,N693:N740,R711))*0.5</f>
        <v>0</v>
      </c>
      <c r="V714" s="89">
        <f>(COUNTIFS(AI693:AI740,R711,AJ693:AJ740,R707)+COUNTIFS(AK693:AK740,R711,AL693:AL740,R707)+COUNTIFS(AM693:AM740,R711,AN693:AN740,R707)+COUNTIFS(AO693:AO740,R711,AP693:AP740,R707)+COUNTIFS(AQ693:AQ740,R711,AR693:AR740,R707)+COUNTIFS(AS693:AS740,R711,AT693:AT740,R707)+COUNTIFS(AU693:AU740,R711,AV693:AV740,R707))*0.5</f>
        <v>0</v>
      </c>
      <c r="W714" s="90" t="str">
        <f>IF(AH689="","-",IF(V714=0,U714,IFERROR((U714/V714)-1,"-")))</f>
        <v>-</v>
      </c>
      <c r="X714" s="201">
        <f t="shared" si="408"/>
        <v>0</v>
      </c>
      <c r="Y714" s="271"/>
      <c r="Z714" s="272"/>
      <c r="AA714" s="272"/>
      <c r="AB714" s="272"/>
      <c r="AC714" s="272"/>
      <c r="AD714" s="272"/>
      <c r="AE714" s="272"/>
      <c r="AF714" s="273"/>
      <c r="AH714" s="136">
        <v>0.43750000000001399</v>
      </c>
      <c r="AI714" s="136" t="str">
        <f>IF(AH689="","",IF(B714="","",B714))</f>
        <v/>
      </c>
      <c r="AJ714" s="136" t="str">
        <f>IF(AH689="","",IF(C714="","",C714))</f>
        <v/>
      </c>
      <c r="AK714" s="136" t="str">
        <f>IF(AH689="","",IF(D714="","",D714))</f>
        <v/>
      </c>
      <c r="AL714" s="136" t="str">
        <f>IF(AH689="","",IF(E714="","",E714))</f>
        <v/>
      </c>
      <c r="AM714" s="136" t="str">
        <f>IF(AH689="","",IF(F714="","",F714))</f>
        <v/>
      </c>
      <c r="AN714" s="136" t="str">
        <f>IF(AH689="","",IF(G714="","",G714))</f>
        <v/>
      </c>
      <c r="AO714" s="136" t="str">
        <f>IF(AH689="","",IF(H714="","",H714))</f>
        <v/>
      </c>
      <c r="AP714" s="136" t="str">
        <f>IF(AH689="","",IF(I714="","",I714))</f>
        <v/>
      </c>
      <c r="AQ714" s="136" t="str">
        <f>IF(AH689="","",IF(J714="","",J714))</f>
        <v/>
      </c>
      <c r="AR714" s="136" t="str">
        <f>IF(AH689="","",IF(K714="","",K714))</f>
        <v/>
      </c>
      <c r="AS714" s="136" t="str">
        <f>IF(AH689="","",IF(L714="","",L714))</f>
        <v/>
      </c>
      <c r="AT714" s="136" t="str">
        <f>IF(AH689="","",IF(M714="","",M714))</f>
        <v/>
      </c>
      <c r="AU714" s="136" t="str">
        <f>IF(AH689="","",IF(N714="","",N714))</f>
        <v/>
      </c>
      <c r="AV714" s="136" t="str">
        <f>IF(AH689="","",IF(O714="","",O714))</f>
        <v/>
      </c>
      <c r="AX714" s="136" t="str">
        <f>IF(AI689="","",IF(B714="","",B714))</f>
        <v/>
      </c>
      <c r="AY714" s="136" t="str">
        <f>IF(AI689="","",IF(C714="","",C714))</f>
        <v/>
      </c>
      <c r="AZ714" s="136" t="str">
        <f>IF(AI689="","",IF(D714="","",D714))</f>
        <v/>
      </c>
      <c r="BA714" s="136" t="str">
        <f>IF(AI689="","",IF(E714="","",E714))</f>
        <v/>
      </c>
      <c r="BB714" s="136" t="str">
        <f>IF(AI689="","",IF(F714="","",F714))</f>
        <v/>
      </c>
      <c r="BC714" s="136" t="str">
        <f>IF(AI689="","",IF(G714="","",G714))</f>
        <v/>
      </c>
      <c r="BD714" s="136" t="str">
        <f>IF(AI689="","",IF(H714="","",H714))</f>
        <v/>
      </c>
      <c r="BE714" s="136" t="str">
        <f>IF(AI689="","",IF(I714="","",I714))</f>
        <v/>
      </c>
      <c r="BF714" s="136" t="str">
        <f>IF(AI689="","",IF(J714="","",J714))</f>
        <v/>
      </c>
      <c r="BG714" s="136" t="str">
        <f>IF(AI689="","",IF(K714="","",K714))</f>
        <v/>
      </c>
      <c r="BH714" s="136" t="str">
        <f>IF(AI689="","",IF(L714="","",L714))</f>
        <v/>
      </c>
      <c r="BI714" s="136" t="str">
        <f>IF(AI689="","",IF(M714="","",M714))</f>
        <v/>
      </c>
      <c r="BJ714" s="136" t="str">
        <f>IF(AI689="","",IF(N714="","",N714))</f>
        <v/>
      </c>
      <c r="BK714" s="136" t="str">
        <f>IF(AI689="","",IF(O714="","",O714))</f>
        <v/>
      </c>
      <c r="BM714" s="136" t="str">
        <f t="shared" si="413"/>
        <v>EG</v>
      </c>
      <c r="BN714" s="136" t="str">
        <f t="shared" si="403"/>
        <v>Estudo em Grupo</v>
      </c>
      <c r="BO714" s="136" t="str">
        <f t="shared" si="403"/>
        <v/>
      </c>
      <c r="BP714" s="136">
        <f>(COUNTIFS(AX693:AX740,BM714,AY693:AY740,BO714)+COUNTIFS(AZ693:AZ740,BM714,BA693:BA740,BO714)+COUNTIFS(BB693:BB740,BM714,BC693:BC740,BO714)+COUNTIFS(BD693:BD740,BM714,BE693:BE740,BO714)+COUNTIFS(BF693:BF740,BM714,BG693:BG740,BO714)+COUNTIFS(BH693:BH740,BM714,BI693:BI740,BO714)+COUNTIFS(BJ693:BJ740,BM714,BK693:BK740,BO714))*0.5</f>
        <v>0</v>
      </c>
      <c r="BQ714" s="136" t="str">
        <f t="shared" si="404"/>
        <v>Estudo em Grupo</v>
      </c>
      <c r="BR714" s="136" t="str">
        <f t="shared" si="404"/>
        <v/>
      </c>
      <c r="BS714" s="136" t="str">
        <f t="shared" si="405"/>
        <v>Estudo em Grupo</v>
      </c>
      <c r="BT714" s="136">
        <f t="shared" si="411"/>
        <v>0</v>
      </c>
      <c r="BU714" s="136">
        <f t="shared" si="412"/>
        <v>0</v>
      </c>
      <c r="CA714" s="136">
        <f>'INFO BASE'!L794</f>
        <v>0</v>
      </c>
      <c r="CB714" s="136">
        <f>'INFO BASE'!M794</f>
        <v>0</v>
      </c>
      <c r="CR714" s="177">
        <f t="shared" si="393"/>
        <v>1</v>
      </c>
      <c r="CS714" s="177">
        <f t="shared" si="394"/>
        <v>1</v>
      </c>
      <c r="CT714" s="177">
        <f t="shared" si="393"/>
        <v>1</v>
      </c>
      <c r="CU714" s="177">
        <f t="shared" si="395"/>
        <v>1</v>
      </c>
      <c r="CV714" s="177">
        <f t="shared" si="393"/>
        <v>1</v>
      </c>
      <c r="CW714" s="177">
        <f t="shared" si="396"/>
        <v>1</v>
      </c>
      <c r="CX714" s="177">
        <f t="shared" si="393"/>
        <v>1</v>
      </c>
      <c r="CY714" s="177">
        <f t="shared" si="397"/>
        <v>1</v>
      </c>
      <c r="CZ714" s="177">
        <f t="shared" si="393"/>
        <v>1</v>
      </c>
      <c r="DA714" s="177">
        <f t="shared" si="398"/>
        <v>1</v>
      </c>
      <c r="DB714" s="177">
        <f t="shared" si="393"/>
        <v>1</v>
      </c>
      <c r="DC714" s="177">
        <f t="shared" si="399"/>
        <v>1</v>
      </c>
      <c r="DD714" s="177">
        <f t="shared" si="400"/>
        <v>1</v>
      </c>
      <c r="DE714" s="177">
        <f t="shared" si="401"/>
        <v>1</v>
      </c>
    </row>
    <row r="715" spans="1:109" ht="18" customHeight="1" x14ac:dyDescent="0.3">
      <c r="A715" s="81">
        <v>0.45833333333334803</v>
      </c>
      <c r="B715" s="153"/>
      <c r="C715" s="130"/>
      <c r="D715" s="135"/>
      <c r="E715" s="130"/>
      <c r="F715" s="135"/>
      <c r="G715" s="130"/>
      <c r="H715" s="135"/>
      <c r="I715" s="130"/>
      <c r="J715" s="135"/>
      <c r="K715" s="130"/>
      <c r="L715" s="135"/>
      <c r="M715" s="130"/>
      <c r="N715" s="135"/>
      <c r="O715" s="154"/>
      <c r="P715" s="6">
        <v>0</v>
      </c>
      <c r="Q715" s="114" t="str">
        <f t="shared" si="414"/>
        <v>Estudo em Grupo</v>
      </c>
      <c r="R715" s="105" t="str">
        <f t="shared" si="410"/>
        <v>AL</v>
      </c>
      <c r="S715" s="88">
        <f t="shared" si="407"/>
        <v>-1</v>
      </c>
      <c r="T715" s="89">
        <f>IF(VLOOKUP(Q715,'INFO BASE'!$B$40:$I$54,IF(R715='INFO BASE'!$B$32,3,IF(R715='INFO BASE'!$B$33,4,IF(R715='INFO BASE'!$B$34,5,IF(R715='INFO BASE'!$B$35,6,IF(R715='INFO BASE'!$B$36,7,IF(R715='INFO BASE'!$B$37,8,2)))))),0)=0,"",VLOOKUP(Q715,'INFO BASE'!$B$40:$I$54,IF(R715='INFO BASE'!$B$32,3,IF(R715='INFO BASE'!$B$33,4,IF(R715='INFO BASE'!$B$34,5,IF(R715='INFO BASE'!$B$35,6,IF(R715='INFO BASE'!$B$36,7,IF(R715='INFO BASE'!$B$37,8,2)))))),0))</f>
        <v>2</v>
      </c>
      <c r="U715" s="89">
        <f>(COUNTIFS(C693:C740,R715,B693:B740,R711)+COUNTIFS(E693:E740,R715,D693:D740,R711)+COUNTIFS(G693:G740,R715,F693:F740,R711)+COUNTIFS(I693:I740,R715,H693:H740,R711)+COUNTIFS(K693:K740,R715,J693:J740,R711)+COUNTIFS(M693:M740,R715,L693:L740,R711)+COUNTIFS(O693:O740,R715,N693:N740,R711))*0.5</f>
        <v>0</v>
      </c>
      <c r="V715" s="89">
        <f>(COUNTIFS(AI693:AI740,R711,AJ693:AJ740,R708)+COUNTIFS(AK693:AK740,R711,AL693:AL740,R708)+COUNTIFS(AM693:AM740,R711,AN693:AN740,R708)+COUNTIFS(AO693:AO740,R711,AP693:AP740,R708)+COUNTIFS(AQ693:AQ740,R711,AR693:AR740,R708)+COUNTIFS(AS693:AS740,R711,AT693:AT740,R708)+COUNTIFS(AU693:AU740,R711,AV693:AV740,R708))*0.5</f>
        <v>0</v>
      </c>
      <c r="W715" s="90" t="str">
        <f>IF(AH689="","-",IF(V715=0,U715,IFERROR((U715/V715)-1,"-")))</f>
        <v>-</v>
      </c>
      <c r="X715" s="201">
        <f t="shared" si="408"/>
        <v>0</v>
      </c>
      <c r="Y715" s="271"/>
      <c r="Z715" s="272"/>
      <c r="AA715" s="272"/>
      <c r="AB715" s="272"/>
      <c r="AC715" s="272"/>
      <c r="AD715" s="272"/>
      <c r="AE715" s="272"/>
      <c r="AF715" s="273"/>
      <c r="AH715" s="136">
        <v>0.45833333333334803</v>
      </c>
      <c r="AI715" s="136" t="str">
        <f>IF(AH689="","",IF(B715="","",B715))</f>
        <v/>
      </c>
      <c r="AJ715" s="136" t="str">
        <f>IF(AH689="","",IF(C715="","",C715))</f>
        <v/>
      </c>
      <c r="AK715" s="136" t="str">
        <f>IF(AH689="","",IF(D715="","",D715))</f>
        <v/>
      </c>
      <c r="AL715" s="136" t="str">
        <f>IF(AH689="","",IF(E715="","",E715))</f>
        <v/>
      </c>
      <c r="AM715" s="136" t="str">
        <f>IF(AH689="","",IF(F715="","",F715))</f>
        <v/>
      </c>
      <c r="AN715" s="136" t="str">
        <f>IF(AH689="","",IF(G715="","",G715))</f>
        <v/>
      </c>
      <c r="AO715" s="136" t="str">
        <f>IF(AH689="","",IF(H715="","",H715))</f>
        <v/>
      </c>
      <c r="AP715" s="136" t="str">
        <f>IF(AH689="","",IF(I715="","",I715))</f>
        <v/>
      </c>
      <c r="AQ715" s="136" t="str">
        <f>IF(AH689="","",IF(J715="","",J715))</f>
        <v/>
      </c>
      <c r="AR715" s="136" t="str">
        <f>IF(AH689="","",IF(K715="","",K715))</f>
        <v/>
      </c>
      <c r="AS715" s="136" t="str">
        <f>IF(AH689="","",IF(L715="","",L715))</f>
        <v/>
      </c>
      <c r="AT715" s="136" t="str">
        <f>IF(AH689="","",IF(M715="","",M715))</f>
        <v/>
      </c>
      <c r="AU715" s="136" t="str">
        <f>IF(AH689="","",IF(N715="","",N715))</f>
        <v/>
      </c>
      <c r="AV715" s="136" t="str">
        <f>IF(AH689="","",IF(O715="","",O715))</f>
        <v/>
      </c>
      <c r="AX715" s="136" t="str">
        <f>IF(AI689="","",IF(B715="","",B715))</f>
        <v/>
      </c>
      <c r="AY715" s="136" t="str">
        <f>IF(AI689="","",IF(C715="","",C715))</f>
        <v/>
      </c>
      <c r="AZ715" s="136" t="str">
        <f>IF(AI689="","",IF(D715="","",D715))</f>
        <v/>
      </c>
      <c r="BA715" s="136" t="str">
        <f>IF(AI689="","",IF(E715="","",E715))</f>
        <v/>
      </c>
      <c r="BB715" s="136" t="str">
        <f>IF(AI689="","",IF(F715="","",F715))</f>
        <v/>
      </c>
      <c r="BC715" s="136" t="str">
        <f>IF(AI689="","",IF(G715="","",G715))</f>
        <v/>
      </c>
      <c r="BD715" s="136" t="str">
        <f>IF(AI689="","",IF(H715="","",H715))</f>
        <v/>
      </c>
      <c r="BE715" s="136" t="str">
        <f>IF(AI689="","",IF(I715="","",I715))</f>
        <v/>
      </c>
      <c r="BF715" s="136" t="str">
        <f>IF(AI689="","",IF(J715="","",J715))</f>
        <v/>
      </c>
      <c r="BG715" s="136" t="str">
        <f>IF(AI689="","",IF(K715="","",K715))</f>
        <v/>
      </c>
      <c r="BH715" s="136" t="str">
        <f>IF(AI689="","",IF(L715="","",L715))</f>
        <v/>
      </c>
      <c r="BI715" s="136" t="str">
        <f>IF(AI689="","",IF(M715="","",M715))</f>
        <v/>
      </c>
      <c r="BJ715" s="136" t="str">
        <f>IF(AI689="","",IF(N715="","",N715))</f>
        <v/>
      </c>
      <c r="BK715" s="136" t="str">
        <f>IF(AI689="","",IF(O715="","",O715))</f>
        <v/>
      </c>
      <c r="BM715" s="136" t="str">
        <f>BO715</f>
        <v>TG</v>
      </c>
      <c r="BN715" s="136" t="str">
        <f t="shared" si="403"/>
        <v>Trabalho de Grupo</v>
      </c>
      <c r="BO715" s="136" t="str">
        <f t="shared" si="403"/>
        <v>TG</v>
      </c>
      <c r="BP715" s="136">
        <f>COUNTIFS(AX693:BK740,BO715)*0.5</f>
        <v>0</v>
      </c>
      <c r="BQ715" s="136" t="str">
        <f t="shared" si="404"/>
        <v>Trabalho de Grupo</v>
      </c>
      <c r="BR715" s="136" t="str">
        <f t="shared" si="404"/>
        <v>TG</v>
      </c>
      <c r="BS715" s="136" t="str">
        <f t="shared" si="405"/>
        <v>Trabalho de Grupo</v>
      </c>
      <c r="BT715" s="136">
        <f t="shared" si="411"/>
        <v>0</v>
      </c>
      <c r="BU715" s="136">
        <f t="shared" si="412"/>
        <v>0</v>
      </c>
      <c r="CA715" s="136">
        <f>'INFO BASE'!L795</f>
        <v>0</v>
      </c>
      <c r="CB715" s="136">
        <f>'INFO BASE'!M795</f>
        <v>0</v>
      </c>
      <c r="CR715" s="177">
        <f t="shared" si="393"/>
        <v>1</v>
      </c>
      <c r="CS715" s="177">
        <f t="shared" si="394"/>
        <v>1</v>
      </c>
      <c r="CT715" s="177">
        <f t="shared" si="393"/>
        <v>1</v>
      </c>
      <c r="CU715" s="177">
        <f t="shared" si="395"/>
        <v>1</v>
      </c>
      <c r="CV715" s="177">
        <f t="shared" si="393"/>
        <v>1</v>
      </c>
      <c r="CW715" s="177">
        <f t="shared" si="396"/>
        <v>1</v>
      </c>
      <c r="CX715" s="177">
        <f t="shared" si="393"/>
        <v>1</v>
      </c>
      <c r="CY715" s="177">
        <f t="shared" si="397"/>
        <v>1</v>
      </c>
      <c r="CZ715" s="177">
        <f t="shared" si="393"/>
        <v>1</v>
      </c>
      <c r="DA715" s="177">
        <f t="shared" si="398"/>
        <v>1</v>
      </c>
      <c r="DB715" s="177">
        <f t="shared" si="393"/>
        <v>1</v>
      </c>
      <c r="DC715" s="177">
        <f t="shared" si="399"/>
        <v>1</v>
      </c>
      <c r="DD715" s="177">
        <f t="shared" si="400"/>
        <v>1</v>
      </c>
      <c r="DE715" s="177">
        <f t="shared" si="401"/>
        <v>1</v>
      </c>
    </row>
    <row r="716" spans="1:109" ht="18" customHeight="1" x14ac:dyDescent="0.3">
      <c r="A716" s="81">
        <v>0.47916666666668201</v>
      </c>
      <c r="B716" s="153"/>
      <c r="C716" s="130"/>
      <c r="D716" s="135"/>
      <c r="E716" s="130"/>
      <c r="F716" s="135"/>
      <c r="G716" s="130"/>
      <c r="H716" s="135"/>
      <c r="I716" s="130"/>
      <c r="J716" s="135"/>
      <c r="K716" s="130"/>
      <c r="L716" s="135"/>
      <c r="M716" s="130"/>
      <c r="N716" s="135"/>
      <c r="O716" s="154"/>
      <c r="P716" s="6">
        <v>0</v>
      </c>
      <c r="Q716" s="114" t="str">
        <f t="shared" si="414"/>
        <v>Estudo em Grupo</v>
      </c>
      <c r="R716" s="105" t="str">
        <f t="shared" si="410"/>
        <v>CDI</v>
      </c>
      <c r="S716" s="88">
        <f t="shared" si="407"/>
        <v>-1</v>
      </c>
      <c r="T716" s="89">
        <f>IF(VLOOKUP(Q716,'INFO BASE'!$B$40:$I$54,IF(R716='INFO BASE'!$B$32,3,IF(R716='INFO BASE'!$B$33,4,IF(R716='INFO BASE'!$B$34,5,IF(R716='INFO BASE'!$B$35,6,IF(R716='INFO BASE'!$B$36,7,IF(R716='INFO BASE'!$B$37,8,2)))))),0)=0,"",VLOOKUP(Q716,'INFO BASE'!$B$40:$I$54,IF(R716='INFO BASE'!$B$32,3,IF(R716='INFO BASE'!$B$33,4,IF(R716='INFO BASE'!$B$34,5,IF(R716='INFO BASE'!$B$35,6,IF(R716='INFO BASE'!$B$36,7,IF(R716='INFO BASE'!$B$37,8,2)))))),0))</f>
        <v>2</v>
      </c>
      <c r="U716" s="89">
        <f>(COUNTIFS(C693:C740,R716,B693:B740,R711)+COUNTIFS(E693:E740,R716,D693:D740,R711)+COUNTIFS(G693:G740,R716,F693:F740,R711)+COUNTIFS(I693:I740,R716,H693:H740,R711)+COUNTIFS(K693:K740,R716,J693:J740,R711)+COUNTIFS(M693:M740,R716,L693:L740,R711)+COUNTIFS(O693:O740,R716,N693:N740,R711))*0.5</f>
        <v>0</v>
      </c>
      <c r="V716" s="89">
        <f>(COUNTIFS(AI693:AI740,R711,AJ693:AJ740,R709)+COUNTIFS(AK693:AK740,R711,AL693:AL740,R709)+COUNTIFS(AM693:AM740,R711,AN693:AN740,R709)+COUNTIFS(AO693:AO740,R711,AP693:AP740,R709)+COUNTIFS(AQ693:AQ740,R711,AR693:AR740,R709)+COUNTIFS(AS693:AS740,R711,AT693:AT740,R709)+COUNTIFS(AU693:AU740,R711,AV693:AV740,R709))*0.5</f>
        <v>0</v>
      </c>
      <c r="W716" s="90" t="str">
        <f>IF(AH689="","-",IF(V716=0,U716,IFERROR((U716/V716)-1,"-")))</f>
        <v>-</v>
      </c>
      <c r="X716" s="201">
        <f t="shared" si="408"/>
        <v>0</v>
      </c>
      <c r="Y716" s="271"/>
      <c r="Z716" s="272"/>
      <c r="AA716" s="272"/>
      <c r="AB716" s="272"/>
      <c r="AC716" s="272"/>
      <c r="AD716" s="272"/>
      <c r="AE716" s="272"/>
      <c r="AF716" s="273"/>
      <c r="AH716" s="136">
        <v>0.47916666666668201</v>
      </c>
      <c r="AI716" s="136" t="str">
        <f>IF(AH689="","",IF(B716="","",B716))</f>
        <v/>
      </c>
      <c r="AJ716" s="136" t="str">
        <f>IF(AH689="","",IF(C716="","",C716))</f>
        <v/>
      </c>
      <c r="AK716" s="136" t="str">
        <f>IF(AH689="","",IF(D716="","",D716))</f>
        <v/>
      </c>
      <c r="AL716" s="136" t="str">
        <f>IF(AH689="","",IF(E716="","",E716))</f>
        <v/>
      </c>
      <c r="AM716" s="136" t="str">
        <f>IF(AH689="","",IF(F716="","",F716))</f>
        <v/>
      </c>
      <c r="AN716" s="136" t="str">
        <f>IF(AH689="","",IF(G716="","",G716))</f>
        <v/>
      </c>
      <c r="AO716" s="136" t="str">
        <f>IF(AH689="","",IF(H716="","",H716))</f>
        <v/>
      </c>
      <c r="AP716" s="136" t="str">
        <f>IF(AH689="","",IF(I716="","",I716))</f>
        <v/>
      </c>
      <c r="AQ716" s="136" t="str">
        <f>IF(AH689="","",IF(J716="","",J716))</f>
        <v/>
      </c>
      <c r="AR716" s="136" t="str">
        <f>IF(AH689="","",IF(K716="","",K716))</f>
        <v/>
      </c>
      <c r="AS716" s="136" t="str">
        <f>IF(AH689="","",IF(L716="","",L716))</f>
        <v/>
      </c>
      <c r="AT716" s="136" t="str">
        <f>IF(AH689="","",IF(M716="","",M716))</f>
        <v/>
      </c>
      <c r="AU716" s="136" t="str">
        <f>IF(AH689="","",IF(N716="","",N716))</f>
        <v/>
      </c>
      <c r="AV716" s="136" t="str">
        <f>IF(AH689="","",IF(O716="","",O716))</f>
        <v/>
      </c>
      <c r="AX716" s="136" t="str">
        <f>IF(AI689="","",IF(B716="","",B716))</f>
        <v/>
      </c>
      <c r="AY716" s="136" t="str">
        <f>IF(AI689="","",IF(C716="","",C716))</f>
        <v/>
      </c>
      <c r="AZ716" s="136" t="str">
        <f>IF(AI689="","",IF(D716="","",D716))</f>
        <v/>
      </c>
      <c r="BA716" s="136" t="str">
        <f>IF(AI689="","",IF(E716="","",E716))</f>
        <v/>
      </c>
      <c r="BB716" s="136" t="str">
        <f>IF(AI689="","",IF(F716="","",F716))</f>
        <v/>
      </c>
      <c r="BC716" s="136" t="str">
        <f>IF(AI689="","",IF(G716="","",G716))</f>
        <v/>
      </c>
      <c r="BD716" s="136" t="str">
        <f>IF(AI689="","",IF(H716="","",H716))</f>
        <v/>
      </c>
      <c r="BE716" s="136" t="str">
        <f>IF(AI689="","",IF(I716="","",I716))</f>
        <v/>
      </c>
      <c r="BF716" s="136" t="str">
        <f>IF(AI689="","",IF(J716="","",J716))</f>
        <v/>
      </c>
      <c r="BG716" s="136" t="str">
        <f>IF(AI689="","",IF(K716="","",K716))</f>
        <v/>
      </c>
      <c r="BH716" s="136" t="str">
        <f>IF(AI689="","",IF(L716="","",L716))</f>
        <v/>
      </c>
      <c r="BI716" s="136" t="str">
        <f>IF(AI689="","",IF(M716="","",M716))</f>
        <v/>
      </c>
      <c r="BJ716" s="136" t="str">
        <f>IF(AI689="","",IF(N716="","",N716))</f>
        <v/>
      </c>
      <c r="BK716" s="136" t="str">
        <f>IF(AI689="","",IF(O716="","",O716))</f>
        <v/>
      </c>
      <c r="BM716" s="136" t="str">
        <f>BM715</f>
        <v>TG</v>
      </c>
      <c r="BN716" s="136" t="str">
        <f t="shared" si="403"/>
        <v>Trabalho de Grupo</v>
      </c>
      <c r="BO716" s="136" t="str">
        <f t="shared" si="403"/>
        <v>FP</v>
      </c>
      <c r="BP716" s="136">
        <f>(COUNTIFS(AX693:AX740,BM716,AY693:AY740,BO716)+COUNTIFS(AZ693:AZ740,BM716,BA693:BA740,BO716)+COUNTIFS(BB693:BB740,BM716,BC693:BC740,BO716)+COUNTIFS(BD693:BD740,BM716,BE693:BE740,BO716)+COUNTIFS(BF693:BF740,BM716,BG693:BG740,BO716)+COUNTIFS(BH693:BH740,BM716,BI693:BI740,BO716)+COUNTIFS(BJ693:BJ740,BM716,BK693:BK740,BO716))*0.5</f>
        <v>0</v>
      </c>
      <c r="BQ716" s="136" t="str">
        <f t="shared" si="404"/>
        <v>Trabalho de Grupo</v>
      </c>
      <c r="BR716" s="136" t="str">
        <f t="shared" si="404"/>
        <v>FP</v>
      </c>
      <c r="BS716" s="136" t="str">
        <f t="shared" si="405"/>
        <v>Trabalho de Grupo</v>
      </c>
      <c r="BT716" s="136">
        <f t="shared" si="411"/>
        <v>0</v>
      </c>
      <c r="BU716" s="136">
        <f t="shared" si="412"/>
        <v>0</v>
      </c>
      <c r="CR716" s="177">
        <f t="shared" si="393"/>
        <v>1</v>
      </c>
      <c r="CS716" s="177">
        <f t="shared" si="394"/>
        <v>1</v>
      </c>
      <c r="CT716" s="177">
        <f t="shared" si="393"/>
        <v>1</v>
      </c>
      <c r="CU716" s="177">
        <f t="shared" si="395"/>
        <v>1</v>
      </c>
      <c r="CV716" s="177">
        <f t="shared" si="393"/>
        <v>1</v>
      </c>
      <c r="CW716" s="177">
        <f t="shared" si="396"/>
        <v>1</v>
      </c>
      <c r="CX716" s="177">
        <f t="shared" si="393"/>
        <v>1</v>
      </c>
      <c r="CY716" s="177">
        <f t="shared" si="397"/>
        <v>1</v>
      </c>
      <c r="CZ716" s="177">
        <f t="shared" si="393"/>
        <v>1</v>
      </c>
      <c r="DA716" s="177">
        <f t="shared" si="398"/>
        <v>1</v>
      </c>
      <c r="DB716" s="177">
        <f t="shared" si="393"/>
        <v>1</v>
      </c>
      <c r="DC716" s="177">
        <f t="shared" si="399"/>
        <v>1</v>
      </c>
      <c r="DD716" s="177">
        <f t="shared" si="400"/>
        <v>1</v>
      </c>
      <c r="DE716" s="177">
        <f t="shared" si="401"/>
        <v>1</v>
      </c>
    </row>
    <row r="717" spans="1:109" ht="18" customHeight="1" thickBot="1" x14ac:dyDescent="0.35">
      <c r="A717" s="81">
        <v>0.50000000000001599</v>
      </c>
      <c r="B717" s="153"/>
      <c r="C717" s="130"/>
      <c r="D717" s="135"/>
      <c r="E717" s="130"/>
      <c r="F717" s="135"/>
      <c r="G717" s="130"/>
      <c r="H717" s="135"/>
      <c r="I717" s="130"/>
      <c r="J717" s="135"/>
      <c r="K717" s="130"/>
      <c r="L717" s="135"/>
      <c r="M717" s="130"/>
      <c r="N717" s="135"/>
      <c r="O717" s="154"/>
      <c r="P717" s="6">
        <v>0</v>
      </c>
      <c r="Q717" s="116" t="str">
        <f t="shared" si="414"/>
        <v>Estudo em Grupo</v>
      </c>
      <c r="R717" s="107" t="str">
        <f t="shared" si="410"/>
        <v/>
      </c>
      <c r="S717" s="94" t="str">
        <f t="shared" si="407"/>
        <v>-</v>
      </c>
      <c r="T717" s="95" t="str">
        <f>IF(VLOOKUP(Q717,'INFO BASE'!$B$40:$I$54,IF(R717='INFO BASE'!$B$32,3,IF(R717='INFO BASE'!$B$33,4,IF(R717='INFO BASE'!$B$34,5,IF(R717='INFO BASE'!$B$35,6,IF(R717='INFO BASE'!$B$36,7,IF(R717='INFO BASE'!$B$37,8,2)))))),0)=0,"",VLOOKUP(Q717,'INFO BASE'!$B$40:$I$54,IF(R717='INFO BASE'!$B$32,3,IF(R717='INFO BASE'!$B$33,4,IF(R717='INFO BASE'!$B$34,5,IF(R717='INFO BASE'!$B$35,6,IF(R717='INFO BASE'!$B$36,7,IF(R717='INFO BASE'!$B$37,8,2)))))),0))</f>
        <v/>
      </c>
      <c r="U717" s="95">
        <f>(COUNTIFS(C693:C740,R717,B693:B740,R711)+COUNTIFS(E693:E740,R717,D693:D740,R711)+COUNTIFS(G693:G740,R717,F693:F740,R711)+COUNTIFS(I693:I740,R717,H693:H740,R711)+COUNTIFS(K693:K740,R717,J693:J740,R711)+COUNTIFS(M693:M740,R717,L693:L740,R711)+COUNTIFS(O693:O740,R717,N693:N740,R711))*0.5</f>
        <v>0</v>
      </c>
      <c r="V717" s="95">
        <f>(COUNTIFS(AI693:AI740,R711,AJ693:AJ740,R710)+COUNTIFS(AK693:AK740,R711,AL693:AL740,R710)+COUNTIFS(AM693:AM740,R711,AN693:AN740,R710)+COUNTIFS(AO693:AO740,R711,AP693:AP740,R710)+COUNTIFS(AQ693:AQ740,R711,AR693:AR740,R710)+COUNTIFS(AS693:AS740,R711,AT693:AT740,R710)+COUNTIFS(AU693:AU740,R711,AV693:AV740,R710))*0.5</f>
        <v>0</v>
      </c>
      <c r="W717" s="96" t="str">
        <f>IF(AH689="","-",IF(V717=0,U717,IFERROR((U717/V717)-1,"-")))</f>
        <v>-</v>
      </c>
      <c r="X717" s="201">
        <f t="shared" si="408"/>
        <v>0</v>
      </c>
      <c r="Y717" s="274"/>
      <c r="Z717" s="275"/>
      <c r="AA717" s="275"/>
      <c r="AB717" s="275"/>
      <c r="AC717" s="275"/>
      <c r="AD717" s="275"/>
      <c r="AE717" s="275"/>
      <c r="AF717" s="276"/>
      <c r="AH717" s="136">
        <v>0.50000000000001599</v>
      </c>
      <c r="AI717" s="136" t="str">
        <f>IF(AH689="","",IF(B717="","",B717))</f>
        <v/>
      </c>
      <c r="AJ717" s="136" t="str">
        <f>IF(AH689="","",IF(C717="","",C717))</f>
        <v/>
      </c>
      <c r="AK717" s="136" t="str">
        <f>IF(AH689="","",IF(D717="","",D717))</f>
        <v/>
      </c>
      <c r="AL717" s="136" t="str">
        <f>IF(AH689="","",IF(E717="","",E717))</f>
        <v/>
      </c>
      <c r="AM717" s="136" t="str">
        <f>IF(AH689="","",IF(F717="","",F717))</f>
        <v/>
      </c>
      <c r="AN717" s="136" t="str">
        <f>IF(AH689="","",IF(G717="","",G717))</f>
        <v/>
      </c>
      <c r="AO717" s="136" t="str">
        <f>IF(AH689="","",IF(H717="","",H717))</f>
        <v/>
      </c>
      <c r="AP717" s="136" t="str">
        <f>IF(AH689="","",IF(I717="","",I717))</f>
        <v/>
      </c>
      <c r="AQ717" s="136" t="str">
        <f>IF(AH689="","",IF(J717="","",J717))</f>
        <v/>
      </c>
      <c r="AR717" s="136" t="str">
        <f>IF(AH689="","",IF(K717="","",K717))</f>
        <v/>
      </c>
      <c r="AS717" s="136" t="str">
        <f>IF(AH689="","",IF(L717="","",L717))</f>
        <v/>
      </c>
      <c r="AT717" s="136" t="str">
        <f>IF(AH689="","",IF(M717="","",M717))</f>
        <v/>
      </c>
      <c r="AU717" s="136" t="str">
        <f>IF(AH689="","",IF(N717="","",N717))</f>
        <v/>
      </c>
      <c r="AV717" s="136" t="str">
        <f>IF(AH689="","",IF(O717="","",O717))</f>
        <v/>
      </c>
      <c r="AX717" s="136" t="str">
        <f>IF(AI689="","",IF(B717="","",B717))</f>
        <v/>
      </c>
      <c r="AY717" s="136" t="str">
        <f>IF(AI689="","",IF(C717="","",C717))</f>
        <v/>
      </c>
      <c r="AZ717" s="136" t="str">
        <f>IF(AI689="","",IF(D717="","",D717))</f>
        <v/>
      </c>
      <c r="BA717" s="136" t="str">
        <f>IF(AI689="","",IF(E717="","",E717))</f>
        <v/>
      </c>
      <c r="BB717" s="136" t="str">
        <f>IF(AI689="","",IF(F717="","",F717))</f>
        <v/>
      </c>
      <c r="BC717" s="136" t="str">
        <f>IF(AI689="","",IF(G717="","",G717))</f>
        <v/>
      </c>
      <c r="BD717" s="136" t="str">
        <f>IF(AI689="","",IF(H717="","",H717))</f>
        <v/>
      </c>
      <c r="BE717" s="136" t="str">
        <f>IF(AI689="","",IF(I717="","",I717))</f>
        <v/>
      </c>
      <c r="BF717" s="136" t="str">
        <f>IF(AI689="","",IF(J717="","",J717))</f>
        <v/>
      </c>
      <c r="BG717" s="136" t="str">
        <f>IF(AI689="","",IF(K717="","",K717))</f>
        <v/>
      </c>
      <c r="BH717" s="136" t="str">
        <f>IF(AI689="","",IF(L717="","",L717))</f>
        <v/>
      </c>
      <c r="BI717" s="136" t="str">
        <f>IF(AI689="","",IF(M717="","",M717))</f>
        <v/>
      </c>
      <c r="BJ717" s="136" t="str">
        <f>IF(AI689="","",IF(N717="","",N717))</f>
        <v/>
      </c>
      <c r="BK717" s="136" t="str">
        <f>IF(AI689="","",IF(O717="","",O717))</f>
        <v/>
      </c>
      <c r="BM717" s="136" t="str">
        <f t="shared" ref="BM717:BM721" si="415">BM716</f>
        <v>TG</v>
      </c>
      <c r="BN717" s="136" t="str">
        <f t="shared" si="403"/>
        <v>Trabalho de Grupo</v>
      </c>
      <c r="BO717" s="136" t="str">
        <f t="shared" si="403"/>
        <v>IEI</v>
      </c>
      <c r="BP717" s="136">
        <f>(COUNTIFS(AX693:AX740,BM717,AY693:AY740,BO717)+COUNTIFS(AZ693:AZ740,BM717,BA693:BA740,BO717)+COUNTIFS(BB693:BB740,BM717,BC693:BC740,BO717)+COUNTIFS(BD693:BD740,BM717,BE693:BE740,BO717)+COUNTIFS(BF693:BF740,BM717,BG693:BG740,BO717)+COUNTIFS(BH693:BH740,BM717,BI693:BI740,BO717)+COUNTIFS(BJ693:BJ740,BM717,BK693:BK740,BO717))*0.5</f>
        <v>0</v>
      </c>
      <c r="BQ717" s="136" t="str">
        <f t="shared" si="404"/>
        <v>Trabalho de Grupo</v>
      </c>
      <c r="BR717" s="136" t="str">
        <f t="shared" si="404"/>
        <v>IEI</v>
      </c>
      <c r="BS717" s="136" t="str">
        <f t="shared" si="405"/>
        <v>Trabalho de Grupo</v>
      </c>
      <c r="BT717" s="136">
        <f t="shared" si="411"/>
        <v>0</v>
      </c>
      <c r="BU717" s="136">
        <f t="shared" si="412"/>
        <v>0</v>
      </c>
      <c r="CA717" s="136">
        <f>'INFO BASE'!L796</f>
        <v>0</v>
      </c>
      <c r="CB717" s="136">
        <f>'INFO BASE'!M796</f>
        <v>0</v>
      </c>
      <c r="CR717" s="177">
        <f t="shared" si="393"/>
        <v>1</v>
      </c>
      <c r="CS717" s="177">
        <f t="shared" si="394"/>
        <v>1</v>
      </c>
      <c r="CT717" s="177">
        <f t="shared" si="393"/>
        <v>1</v>
      </c>
      <c r="CU717" s="177">
        <f t="shared" si="395"/>
        <v>1</v>
      </c>
      <c r="CV717" s="177">
        <f t="shared" si="393"/>
        <v>1</v>
      </c>
      <c r="CW717" s="177">
        <f t="shared" si="396"/>
        <v>1</v>
      </c>
      <c r="CX717" s="177">
        <f t="shared" si="393"/>
        <v>1</v>
      </c>
      <c r="CY717" s="177">
        <f t="shared" si="397"/>
        <v>1</v>
      </c>
      <c r="CZ717" s="177">
        <f t="shared" si="393"/>
        <v>1</v>
      </c>
      <c r="DA717" s="177">
        <f t="shared" si="398"/>
        <v>1</v>
      </c>
      <c r="DB717" s="177">
        <f t="shared" si="393"/>
        <v>1</v>
      </c>
      <c r="DC717" s="177">
        <f t="shared" si="399"/>
        <v>1</v>
      </c>
      <c r="DD717" s="177">
        <f t="shared" si="400"/>
        <v>1</v>
      </c>
      <c r="DE717" s="177">
        <f t="shared" si="401"/>
        <v>1</v>
      </c>
    </row>
    <row r="718" spans="1:109" ht="18" customHeight="1" x14ac:dyDescent="0.3">
      <c r="A718" s="81">
        <v>0.52083333333335002</v>
      </c>
      <c r="B718" s="153"/>
      <c r="C718" s="130"/>
      <c r="D718" s="135"/>
      <c r="E718" s="130"/>
      <c r="F718" s="135"/>
      <c r="G718" s="130"/>
      <c r="H718" s="135"/>
      <c r="I718" s="130"/>
      <c r="J718" s="135"/>
      <c r="K718" s="130"/>
      <c r="L718" s="135"/>
      <c r="M718" s="130"/>
      <c r="N718" s="135"/>
      <c r="O718" s="154"/>
      <c r="P718" s="6">
        <v>0</v>
      </c>
      <c r="Q718" s="117" t="str">
        <f>IF('INFO BASE'!$C$19="","",'INFO BASE'!$C$19)</f>
        <v>Trabalho de Grupo</v>
      </c>
      <c r="R718" s="82" t="str">
        <f t="shared" si="410"/>
        <v>TG</v>
      </c>
      <c r="S718" s="83">
        <f t="shared" si="407"/>
        <v>-1</v>
      </c>
      <c r="T718" s="84">
        <f>IF(VLOOKUP(Q718,'INFO BASE'!$B$40:$I$54,IF(R718='INFO BASE'!$B$32,3,IF(R718='INFO BASE'!$B$33,4,IF(R718='INFO BASE'!$B$34,5,IF(R718='INFO BASE'!$B$35,6,IF(R718='INFO BASE'!$B$36,7,IF(R718='INFO BASE'!$B$37,8,2)))))),0)=0,"",VLOOKUP(Q718,'INFO BASE'!$B$40:$I$54,IF(R718='INFO BASE'!$B$32,3,IF(R718='INFO BASE'!$B$33,4,IF(R718='INFO BASE'!$B$34,5,IF(R718='INFO BASE'!$B$35,6,IF(R718='INFO BASE'!$B$36,7,IF(R718='INFO BASE'!$B$37,8,2)))))),0))</f>
        <v>15</v>
      </c>
      <c r="U718" s="84">
        <f>IF(R718="","",COUNTIFS(SEMANA13,R718)*0.5)</f>
        <v>0</v>
      </c>
      <c r="V718" s="84">
        <f>IF(R718="","",COUNTIFS(AI693:AV740,R718)*0.5)</f>
        <v>0</v>
      </c>
      <c r="W718" s="85" t="str">
        <f>IF(AH689="","-",IF(V718=0,U718,IFERROR((U718/V718)-1,"-")))</f>
        <v>-</v>
      </c>
      <c r="X718" s="201">
        <f t="shared" si="408"/>
        <v>0</v>
      </c>
      <c r="Y718" s="277"/>
      <c r="Z718" s="278"/>
      <c r="AA718" s="278"/>
      <c r="AB718" s="278"/>
      <c r="AC718" s="278"/>
      <c r="AD718" s="278"/>
      <c r="AE718" s="278"/>
      <c r="AF718" s="279"/>
      <c r="AH718" s="136">
        <v>0.52083333333335002</v>
      </c>
      <c r="AI718" s="136" t="str">
        <f>IF(AH689="","",IF(B718="","",B718))</f>
        <v/>
      </c>
      <c r="AJ718" s="136" t="str">
        <f>IF(AH689="","",IF(C718="","",C718))</f>
        <v/>
      </c>
      <c r="AK718" s="136" t="str">
        <f>IF(AH689="","",IF(D718="","",D718))</f>
        <v/>
      </c>
      <c r="AL718" s="136" t="str">
        <f>IF(AH689="","",IF(E718="","",E718))</f>
        <v/>
      </c>
      <c r="AM718" s="136" t="str">
        <f>IF(AH689="","",IF(F718="","",F718))</f>
        <v/>
      </c>
      <c r="AN718" s="136" t="str">
        <f>IF(AH689="","",IF(G718="","",G718))</f>
        <v/>
      </c>
      <c r="AO718" s="136" t="str">
        <f>IF(AH689="","",IF(H718="","",H718))</f>
        <v/>
      </c>
      <c r="AP718" s="136" t="str">
        <f>IF(AH689="","",IF(I718="","",I718))</f>
        <v/>
      </c>
      <c r="AQ718" s="136" t="str">
        <f>IF(AH689="","",IF(J718="","",J718))</f>
        <v/>
      </c>
      <c r="AR718" s="136" t="str">
        <f>IF(AH689="","",IF(K718="","",K718))</f>
        <v/>
      </c>
      <c r="AS718" s="136" t="str">
        <f>IF(AH689="","",IF(L718="","",L718))</f>
        <v/>
      </c>
      <c r="AT718" s="136" t="str">
        <f>IF(AH689="","",IF(M718="","",M718))</f>
        <v/>
      </c>
      <c r="AU718" s="136" t="str">
        <f>IF(AH689="","",IF(N718="","",N718))</f>
        <v/>
      </c>
      <c r="AV718" s="136" t="str">
        <f>IF(AH689="","",IF(O718="","",O718))</f>
        <v/>
      </c>
      <c r="AX718" s="136" t="str">
        <f>IF(AI689="","",IF(B718="","",B718))</f>
        <v/>
      </c>
      <c r="AY718" s="136" t="str">
        <f>IF(AI689="","",IF(C718="","",C718))</f>
        <v/>
      </c>
      <c r="AZ718" s="136" t="str">
        <f>IF(AI689="","",IF(D718="","",D718))</f>
        <v/>
      </c>
      <c r="BA718" s="136" t="str">
        <f>IF(AI689="","",IF(E718="","",E718))</f>
        <v/>
      </c>
      <c r="BB718" s="136" t="str">
        <f>IF(AI689="","",IF(F718="","",F718))</f>
        <v/>
      </c>
      <c r="BC718" s="136" t="str">
        <f>IF(AI689="","",IF(G718="","",G718))</f>
        <v/>
      </c>
      <c r="BD718" s="136" t="str">
        <f>IF(AI689="","",IF(H718="","",H718))</f>
        <v/>
      </c>
      <c r="BE718" s="136" t="str">
        <f>IF(AI689="","",IF(I718="","",I718))</f>
        <v/>
      </c>
      <c r="BF718" s="136" t="str">
        <f>IF(AI689="","",IF(J718="","",J718))</f>
        <v/>
      </c>
      <c r="BG718" s="136" t="str">
        <f>IF(AI689="","",IF(K718="","",K718))</f>
        <v/>
      </c>
      <c r="BH718" s="136" t="str">
        <f>IF(AI689="","",IF(L718="","",L718))</f>
        <v/>
      </c>
      <c r="BI718" s="136" t="str">
        <f>IF(AI689="","",IF(M718="","",M718))</f>
        <v/>
      </c>
      <c r="BJ718" s="136" t="str">
        <f>IF(AI689="","",IF(N718="","",N718))</f>
        <v/>
      </c>
      <c r="BK718" s="136" t="str">
        <f>IF(AI689="","",IF(O718="","",O718))</f>
        <v/>
      </c>
      <c r="BM718" s="136" t="str">
        <f t="shared" si="415"/>
        <v>TG</v>
      </c>
      <c r="BN718" s="136" t="str">
        <f t="shared" si="403"/>
        <v>Trabalho de Grupo</v>
      </c>
      <c r="BO718" s="136" t="str">
        <f t="shared" si="403"/>
        <v>IAC</v>
      </c>
      <c r="BP718" s="136">
        <f>(COUNTIFS(AX693:AX740,BM718,AY693:AY740,BO718)+COUNTIFS(AZ693:AZ740,BM718,BA693:BA740,BO718)+COUNTIFS(BB693:BB740,BM718,BC693:BC740,BO718)+COUNTIFS(BD693:BD740,BM718,BE693:BE740,BO718)+COUNTIFS(BF693:BF740,BM718,BG693:BG740,BO718)+COUNTIFS(BH693:BH740,BM718,BI693:BI740,BO718)+COUNTIFS(BJ693:BJ740,BM718,BK693:BK740,BO718))*0.5</f>
        <v>0</v>
      </c>
      <c r="BQ718" s="136" t="str">
        <f t="shared" si="404"/>
        <v>Trabalho de Grupo</v>
      </c>
      <c r="BR718" s="136" t="str">
        <f t="shared" si="404"/>
        <v>IAC</v>
      </c>
      <c r="BS718" s="136" t="str">
        <f t="shared" si="405"/>
        <v>Trabalho de Grupo</v>
      </c>
      <c r="BT718" s="136">
        <f t="shared" si="411"/>
        <v>0</v>
      </c>
      <c r="BU718" s="136">
        <f t="shared" si="412"/>
        <v>0</v>
      </c>
      <c r="CA718" s="136">
        <f>'INFO BASE'!L797</f>
        <v>0</v>
      </c>
      <c r="CB718" s="136">
        <f>'INFO BASE'!M797</f>
        <v>0</v>
      </c>
      <c r="CR718" s="177">
        <f t="shared" si="393"/>
        <v>1</v>
      </c>
      <c r="CS718" s="177">
        <f t="shared" si="394"/>
        <v>1</v>
      </c>
      <c r="CT718" s="177">
        <f t="shared" si="393"/>
        <v>1</v>
      </c>
      <c r="CU718" s="177">
        <f t="shared" si="395"/>
        <v>1</v>
      </c>
      <c r="CV718" s="177">
        <f t="shared" si="393"/>
        <v>1</v>
      </c>
      <c r="CW718" s="177">
        <f t="shared" si="396"/>
        <v>1</v>
      </c>
      <c r="CX718" s="177">
        <f t="shared" si="393"/>
        <v>1</v>
      </c>
      <c r="CY718" s="177">
        <f t="shared" si="397"/>
        <v>1</v>
      </c>
      <c r="CZ718" s="177">
        <f t="shared" si="393"/>
        <v>1</v>
      </c>
      <c r="DA718" s="177">
        <f t="shared" si="398"/>
        <v>1</v>
      </c>
      <c r="DB718" s="177">
        <f t="shared" si="393"/>
        <v>1</v>
      </c>
      <c r="DC718" s="177">
        <f t="shared" si="399"/>
        <v>1</v>
      </c>
      <c r="DD718" s="177">
        <f t="shared" si="400"/>
        <v>1</v>
      </c>
      <c r="DE718" s="177">
        <f t="shared" si="401"/>
        <v>1</v>
      </c>
    </row>
    <row r="719" spans="1:109" ht="18" customHeight="1" x14ac:dyDescent="0.3">
      <c r="A719" s="81">
        <v>0.54166666666668395</v>
      </c>
      <c r="B719" s="153"/>
      <c r="C719" s="130"/>
      <c r="D719" s="135"/>
      <c r="E719" s="130"/>
      <c r="F719" s="135"/>
      <c r="G719" s="130"/>
      <c r="H719" s="135"/>
      <c r="I719" s="130"/>
      <c r="J719" s="135"/>
      <c r="K719" s="130"/>
      <c r="L719" s="135"/>
      <c r="M719" s="130"/>
      <c r="N719" s="135"/>
      <c r="O719" s="154"/>
      <c r="P719" s="6">
        <v>0</v>
      </c>
      <c r="Q719" s="118" t="str">
        <f t="shared" ref="Q719:Q724" si="416">Q718</f>
        <v>Trabalho de Grupo</v>
      </c>
      <c r="R719" s="105" t="str">
        <f t="shared" si="410"/>
        <v>FP</v>
      </c>
      <c r="S719" s="88">
        <f t="shared" si="407"/>
        <v>-1</v>
      </c>
      <c r="T719" s="89">
        <f>IF(VLOOKUP(Q719,'INFO BASE'!$B$40:$I$54,IF(R719='INFO BASE'!$B$32,3,IF(R719='INFO BASE'!$B$33,4,IF(R719='INFO BASE'!$B$34,5,IF(R719='INFO BASE'!$B$35,6,IF(R719='INFO BASE'!$B$36,7,IF(R719='INFO BASE'!$B$37,8,2)))))),0)=0,"",VLOOKUP(Q719,'INFO BASE'!$B$40:$I$54,IF(R719='INFO BASE'!$B$32,3,IF(R719='INFO BASE'!$B$33,4,IF(R719='INFO BASE'!$B$34,5,IF(R719='INFO BASE'!$B$35,6,IF(R719='INFO BASE'!$B$36,7,IF(R719='INFO BASE'!$B$37,8,2)))))),0))</f>
        <v>3</v>
      </c>
      <c r="U719" s="89">
        <f>(COUNTIFS(C693:C740,R719,B693:B740,R718)+COUNTIFS(E693:E740,R719,D693:D740,R718)+COUNTIFS(G693:G740,R719,F693:F740,R718)+COUNTIFS(I693:I740,R719,H693:H740,R718)+COUNTIFS(K693:K740,R719,J693:J740,R718)+COUNTIFS(M693:M740,R719,L693:L740,R718)+COUNTIFS(O693:O740,R719,N693:N740,R718))*0.5</f>
        <v>0</v>
      </c>
      <c r="V719" s="89">
        <f>(COUNTIFS(AI693:AI740,R718,AJ693:AJ740,R712)+COUNTIFS(AK693:AK740,R718,AL693:AL740,R712)+COUNTIFS(AM693:AM740,R718,AN693:AN740,R712)+COUNTIFS(AO693:AO740,R718,AP693:AP740,R712)+COUNTIFS(AQ693:AQ740,R718,AR693:AR740,R712)+COUNTIFS(AS693:AS740,R718,AT693:AT740,R712)+COUNTIFS(AU693:AU740,R718,AV693:AV740,R712))*0.5</f>
        <v>0</v>
      </c>
      <c r="W719" s="90" t="str">
        <f>IF(AH689="","-",IF(V719=0,U719,IFERROR((U719/V719)-1,"-")))</f>
        <v>-</v>
      </c>
      <c r="X719" s="201">
        <f t="shared" si="408"/>
        <v>0</v>
      </c>
      <c r="Y719" s="271"/>
      <c r="Z719" s="272"/>
      <c r="AA719" s="272"/>
      <c r="AB719" s="272"/>
      <c r="AC719" s="272"/>
      <c r="AD719" s="272"/>
      <c r="AE719" s="272"/>
      <c r="AF719" s="273"/>
      <c r="AH719" s="136">
        <v>0.54166666666668395</v>
      </c>
      <c r="AI719" s="136" t="str">
        <f>IF(AH689="","",IF(B719="","",B719))</f>
        <v/>
      </c>
      <c r="AJ719" s="136" t="str">
        <f>IF(AH689="","",IF(C719="","",C719))</f>
        <v/>
      </c>
      <c r="AK719" s="136" t="str">
        <f>IF(AH689="","",IF(D719="","",D719))</f>
        <v/>
      </c>
      <c r="AL719" s="136" t="str">
        <f>IF(AH689="","",IF(E719="","",E719))</f>
        <v/>
      </c>
      <c r="AM719" s="136" t="str">
        <f>IF(AH689="","",IF(F719="","",F719))</f>
        <v/>
      </c>
      <c r="AN719" s="136" t="str">
        <f>IF(AH689="","",IF(G719="","",G719))</f>
        <v/>
      </c>
      <c r="AO719" s="136" t="str">
        <f>IF(AH689="","",IF(H719="","",H719))</f>
        <v/>
      </c>
      <c r="AP719" s="136" t="str">
        <f>IF(AH689="","",IF(I719="","",I719))</f>
        <v/>
      </c>
      <c r="AQ719" s="136" t="str">
        <f>IF(AH689="","",IF(J719="","",J719))</f>
        <v/>
      </c>
      <c r="AR719" s="136" t="str">
        <f>IF(AH689="","",IF(K719="","",K719))</f>
        <v/>
      </c>
      <c r="AS719" s="136" t="str">
        <f>IF(AH689="","",IF(L719="","",L719))</f>
        <v/>
      </c>
      <c r="AT719" s="136" t="str">
        <f>IF(AH689="","",IF(M719="","",M719))</f>
        <v/>
      </c>
      <c r="AU719" s="136" t="str">
        <f>IF(AH689="","",IF(N719="","",N719))</f>
        <v/>
      </c>
      <c r="AV719" s="136" t="str">
        <f>IF(AH689="","",IF(O719="","",O719))</f>
        <v/>
      </c>
      <c r="AX719" s="136" t="str">
        <f>IF(AI689="","",IF(B719="","",B719))</f>
        <v/>
      </c>
      <c r="AY719" s="136" t="str">
        <f>IF(AI689="","",IF(C719="","",C719))</f>
        <v/>
      </c>
      <c r="AZ719" s="136" t="str">
        <f>IF(AI689="","",IF(D719="","",D719))</f>
        <v/>
      </c>
      <c r="BA719" s="136" t="str">
        <f>IF(AI689="","",IF(E719="","",E719))</f>
        <v/>
      </c>
      <c r="BB719" s="136" t="str">
        <f>IF(AI689="","",IF(F719="","",F719))</f>
        <v/>
      </c>
      <c r="BC719" s="136" t="str">
        <f>IF(AI689="","",IF(G719="","",G719))</f>
        <v/>
      </c>
      <c r="BD719" s="136" t="str">
        <f>IF(AI689="","",IF(H719="","",H719))</f>
        <v/>
      </c>
      <c r="BE719" s="136" t="str">
        <f>IF(AI689="","",IF(I719="","",I719))</f>
        <v/>
      </c>
      <c r="BF719" s="136" t="str">
        <f>IF(AI689="","",IF(J719="","",J719))</f>
        <v/>
      </c>
      <c r="BG719" s="136" t="str">
        <f>IF(AI689="","",IF(K719="","",K719))</f>
        <v/>
      </c>
      <c r="BH719" s="136" t="str">
        <f>IF(AI689="","",IF(L719="","",L719))</f>
        <v/>
      </c>
      <c r="BI719" s="136" t="str">
        <f>IF(AI689="","",IF(M719="","",M719))</f>
        <v/>
      </c>
      <c r="BJ719" s="136" t="str">
        <f>IF(AI689="","",IF(N719="","",N719))</f>
        <v/>
      </c>
      <c r="BK719" s="136" t="str">
        <f>IF(AI689="","",IF(O719="","",O719))</f>
        <v/>
      </c>
      <c r="BM719" s="136" t="str">
        <f t="shared" si="415"/>
        <v>TG</v>
      </c>
      <c r="BN719" s="136" t="str">
        <f t="shared" si="403"/>
        <v>Trabalho de Grupo</v>
      </c>
      <c r="BO719" s="136" t="str">
        <f t="shared" si="403"/>
        <v>AL</v>
      </c>
      <c r="BP719" s="136">
        <f>(COUNTIFS(AX693:AX740,BM719,AY693:AY740,BO719)+COUNTIFS(AZ693:AZ740,BM719,BA693:BA740,BO719)+COUNTIFS(BB693:BB740,BM719,BC693:BC740,BO719)+COUNTIFS(BD693:BD740,BM719,BE693:BE740,BO719)+COUNTIFS(BF693:BF740,BM719,BG693:BG740,BO719)+COUNTIFS(BH693:BH740,BM719,BI693:BI740,BO719)+COUNTIFS(BJ693:BJ740,BM719,BK693:BK740,BO719))*0.5</f>
        <v>0</v>
      </c>
      <c r="BQ719" s="136" t="str">
        <f t="shared" si="404"/>
        <v>Trabalho de Grupo</v>
      </c>
      <c r="BR719" s="136" t="str">
        <f t="shared" si="404"/>
        <v>AL</v>
      </c>
      <c r="BS719" s="136" t="str">
        <f t="shared" si="405"/>
        <v>Trabalho de Grupo</v>
      </c>
      <c r="BT719" s="136">
        <f t="shared" si="411"/>
        <v>0</v>
      </c>
      <c r="BU719" s="136">
        <f t="shared" si="412"/>
        <v>0</v>
      </c>
      <c r="CA719" s="136">
        <f>'INFO BASE'!L798</f>
        <v>0</v>
      </c>
      <c r="CB719" s="136">
        <f>'INFO BASE'!M798</f>
        <v>0</v>
      </c>
      <c r="CR719" s="177">
        <f t="shared" si="393"/>
        <v>1</v>
      </c>
      <c r="CS719" s="177">
        <f t="shared" si="394"/>
        <v>1</v>
      </c>
      <c r="CT719" s="177">
        <f t="shared" si="393"/>
        <v>1</v>
      </c>
      <c r="CU719" s="177">
        <f t="shared" si="395"/>
        <v>1</v>
      </c>
      <c r="CV719" s="177">
        <f t="shared" si="393"/>
        <v>1</v>
      </c>
      <c r="CW719" s="177">
        <f t="shared" si="396"/>
        <v>1</v>
      </c>
      <c r="CX719" s="177">
        <f t="shared" si="393"/>
        <v>1</v>
      </c>
      <c r="CY719" s="177">
        <f t="shared" si="397"/>
        <v>1</v>
      </c>
      <c r="CZ719" s="177">
        <f t="shared" si="393"/>
        <v>1</v>
      </c>
      <c r="DA719" s="177">
        <f t="shared" si="398"/>
        <v>1</v>
      </c>
      <c r="DB719" s="177">
        <f t="shared" si="393"/>
        <v>1</v>
      </c>
      <c r="DC719" s="177">
        <f t="shared" si="399"/>
        <v>1</v>
      </c>
      <c r="DD719" s="177">
        <f t="shared" si="400"/>
        <v>1</v>
      </c>
      <c r="DE719" s="177">
        <f t="shared" si="401"/>
        <v>1</v>
      </c>
    </row>
    <row r="720" spans="1:109" ht="18" customHeight="1" x14ac:dyDescent="0.3">
      <c r="A720" s="81">
        <v>0.56250000000001799</v>
      </c>
      <c r="B720" s="153"/>
      <c r="C720" s="130"/>
      <c r="D720" s="135"/>
      <c r="E720" s="130"/>
      <c r="F720" s="135"/>
      <c r="G720" s="130"/>
      <c r="H720" s="135"/>
      <c r="I720" s="130"/>
      <c r="J720" s="135"/>
      <c r="K720" s="130"/>
      <c r="L720" s="135"/>
      <c r="M720" s="130"/>
      <c r="N720" s="135"/>
      <c r="O720" s="154"/>
      <c r="P720" s="6">
        <v>0</v>
      </c>
      <c r="Q720" s="118" t="str">
        <f t="shared" si="416"/>
        <v>Trabalho de Grupo</v>
      </c>
      <c r="R720" s="105" t="str">
        <f t="shared" si="410"/>
        <v>IEI</v>
      </c>
      <c r="S720" s="88">
        <f t="shared" si="407"/>
        <v>-1</v>
      </c>
      <c r="T720" s="89">
        <f>IF(VLOOKUP(Q720,'INFO BASE'!$B$40:$I$54,IF(R720='INFO BASE'!$B$32,3,IF(R720='INFO BASE'!$B$33,4,IF(R720='INFO BASE'!$B$34,5,IF(R720='INFO BASE'!$B$35,6,IF(R720='INFO BASE'!$B$36,7,IF(R720='INFO BASE'!$B$37,8,2)))))),0)=0,"",VLOOKUP(Q720,'INFO BASE'!$B$40:$I$54,IF(R720='INFO BASE'!$B$32,3,IF(R720='INFO BASE'!$B$33,4,IF(R720='INFO BASE'!$B$34,5,IF(R720='INFO BASE'!$B$35,6,IF(R720='INFO BASE'!$B$36,7,IF(R720='INFO BASE'!$B$37,8,2)))))),0))</f>
        <v>3</v>
      </c>
      <c r="U720" s="89">
        <f>(COUNTIFS(C693:C740,R720,B693:B740,R718)+COUNTIFS(E693:E740,R720,D693:D740,R718)+COUNTIFS(G693:G740,R720,F693:F740,R718)+COUNTIFS(I693:I740,R720,H693:H740,R718)+COUNTIFS(K693:K740,R720,J693:J740,R718)+COUNTIFS(M693:M740,R720,L693:L740,R718)+COUNTIFS(O693:O740,R720,N693:N740,R718))*0.5</f>
        <v>0</v>
      </c>
      <c r="V720" s="89">
        <f>(COUNTIFS(AI693:AI740,R718,AJ693:AJ740,R713)+COUNTIFS(AK693:AK740,R718,AL693:AL740,R713)+COUNTIFS(AM693:AM740,R718,AN693:AN740,R713)+COUNTIFS(AO693:AO740,R718,AP693:AP740,R713)+COUNTIFS(AQ693:AQ740,R718,AR693:AR740,R713)+COUNTIFS(AS693:AS740,R718,AT693:AT740,R713)+COUNTIFS(AU693:AU740,R718,AV693:AV740,R713))*0.5</f>
        <v>0</v>
      </c>
      <c r="W720" s="90" t="str">
        <f>IF(AH689="","-",IF(V720=0,U720,IFERROR((U720/V720)-1,"-")))</f>
        <v>-</v>
      </c>
      <c r="X720" s="201">
        <f t="shared" si="408"/>
        <v>0</v>
      </c>
      <c r="Y720" s="271"/>
      <c r="Z720" s="272"/>
      <c r="AA720" s="272"/>
      <c r="AB720" s="272"/>
      <c r="AC720" s="272"/>
      <c r="AD720" s="272"/>
      <c r="AE720" s="272"/>
      <c r="AF720" s="273"/>
      <c r="AH720" s="136">
        <v>0.56250000000001799</v>
      </c>
      <c r="AI720" s="136" t="str">
        <f>IF(AH689="","",IF(B720="","",B720))</f>
        <v/>
      </c>
      <c r="AJ720" s="136" t="str">
        <f>IF(AH689="","",IF(C720="","",C720))</f>
        <v/>
      </c>
      <c r="AK720" s="136" t="str">
        <f>IF(AH689="","",IF(D720="","",D720))</f>
        <v/>
      </c>
      <c r="AL720" s="136" t="str">
        <f>IF(AH689="","",IF(E720="","",E720))</f>
        <v/>
      </c>
      <c r="AM720" s="136" t="str">
        <f>IF(AH689="","",IF(F720="","",F720))</f>
        <v/>
      </c>
      <c r="AN720" s="136" t="str">
        <f>IF(AH689="","",IF(G720="","",G720))</f>
        <v/>
      </c>
      <c r="AO720" s="136" t="str">
        <f>IF(AH689="","",IF(H720="","",H720))</f>
        <v/>
      </c>
      <c r="AP720" s="136" t="str">
        <f>IF(AH689="","",IF(I720="","",I720))</f>
        <v/>
      </c>
      <c r="AQ720" s="136" t="str">
        <f>IF(AH689="","",IF(J720="","",J720))</f>
        <v/>
      </c>
      <c r="AR720" s="136" t="str">
        <f>IF(AH689="","",IF(K720="","",K720))</f>
        <v/>
      </c>
      <c r="AS720" s="136" t="str">
        <f>IF(AH689="","",IF(L720="","",L720))</f>
        <v/>
      </c>
      <c r="AT720" s="136" t="str">
        <f>IF(AH689="","",IF(M720="","",M720))</f>
        <v/>
      </c>
      <c r="AU720" s="136" t="str">
        <f>IF(AH689="","",IF(N720="","",N720))</f>
        <v/>
      </c>
      <c r="AV720" s="136" t="str">
        <f>IF(AH689="","",IF(O720="","",O720))</f>
        <v/>
      </c>
      <c r="AX720" s="136" t="str">
        <f>IF(AI689="","",IF(B720="","",B720))</f>
        <v/>
      </c>
      <c r="AY720" s="136" t="str">
        <f>IF(AI689="","",IF(C720="","",C720))</f>
        <v/>
      </c>
      <c r="AZ720" s="136" t="str">
        <f>IF(AI689="","",IF(D720="","",D720))</f>
        <v/>
      </c>
      <c r="BA720" s="136" t="str">
        <f>IF(AI689="","",IF(E720="","",E720))</f>
        <v/>
      </c>
      <c r="BB720" s="136" t="str">
        <f>IF(AI689="","",IF(F720="","",F720))</f>
        <v/>
      </c>
      <c r="BC720" s="136" t="str">
        <f>IF(AI689="","",IF(G720="","",G720))</f>
        <v/>
      </c>
      <c r="BD720" s="136" t="str">
        <f>IF(AI689="","",IF(H720="","",H720))</f>
        <v/>
      </c>
      <c r="BE720" s="136" t="str">
        <f>IF(AI689="","",IF(I720="","",I720))</f>
        <v/>
      </c>
      <c r="BF720" s="136" t="str">
        <f>IF(AI689="","",IF(J720="","",J720))</f>
        <v/>
      </c>
      <c r="BG720" s="136" t="str">
        <f>IF(AI689="","",IF(K720="","",K720))</f>
        <v/>
      </c>
      <c r="BH720" s="136" t="str">
        <f>IF(AI689="","",IF(L720="","",L720))</f>
        <v/>
      </c>
      <c r="BI720" s="136" t="str">
        <f>IF(AI689="","",IF(M720="","",M720))</f>
        <v/>
      </c>
      <c r="BJ720" s="136" t="str">
        <f>IF(AI689="","",IF(N720="","",N720))</f>
        <v/>
      </c>
      <c r="BK720" s="136" t="str">
        <f>IF(AI689="","",IF(O720="","",O720))</f>
        <v/>
      </c>
      <c r="BM720" s="136" t="str">
        <f t="shared" si="415"/>
        <v>TG</v>
      </c>
      <c r="BN720" s="136" t="str">
        <f t="shared" si="403"/>
        <v>Trabalho de Grupo</v>
      </c>
      <c r="BO720" s="136" t="str">
        <f t="shared" si="403"/>
        <v>CDI</v>
      </c>
      <c r="BP720" s="136">
        <f>(COUNTIFS(AX693:AX740,BM720,AY693:AY740,BO720)+COUNTIFS(AZ693:AZ740,BM720,BA693:BA740,BO720)+COUNTIFS(BB693:BB740,BM720,BC693:BC740,BO720)+COUNTIFS(BD693:BD740,BM720,BE693:BE740,BO720)+COUNTIFS(BF693:BF740,BM720,BG693:BG740,BO720)+COUNTIFS(BH693:BH740,BM720,BI693:BI740,BO720)+COUNTIFS(BJ693:BJ740,BM720,BK693:BK740,BO720))*0.5</f>
        <v>0</v>
      </c>
      <c r="BQ720" s="136" t="str">
        <f t="shared" si="404"/>
        <v>Trabalho de Grupo</v>
      </c>
      <c r="BR720" s="136" t="str">
        <f t="shared" si="404"/>
        <v>CDI</v>
      </c>
      <c r="BS720" s="136" t="str">
        <f t="shared" si="405"/>
        <v>Trabalho de Grupo</v>
      </c>
      <c r="BT720" s="136">
        <f t="shared" si="411"/>
        <v>0</v>
      </c>
      <c r="BU720" s="136">
        <f t="shared" si="412"/>
        <v>0</v>
      </c>
      <c r="CA720" s="136">
        <f>'INFO BASE'!L799</f>
        <v>0</v>
      </c>
      <c r="CB720" s="136">
        <f>'INFO BASE'!M799</f>
        <v>0</v>
      </c>
      <c r="CR720" s="177">
        <f t="shared" si="393"/>
        <v>1</v>
      </c>
      <c r="CS720" s="177">
        <f t="shared" si="394"/>
        <v>1</v>
      </c>
      <c r="CT720" s="177">
        <f t="shared" si="393"/>
        <v>1</v>
      </c>
      <c r="CU720" s="177">
        <f t="shared" si="395"/>
        <v>1</v>
      </c>
      <c r="CV720" s="177">
        <f t="shared" si="393"/>
        <v>1</v>
      </c>
      <c r="CW720" s="177">
        <f t="shared" si="396"/>
        <v>1</v>
      </c>
      <c r="CX720" s="177">
        <f t="shared" si="393"/>
        <v>1</v>
      </c>
      <c r="CY720" s="177">
        <f t="shared" si="397"/>
        <v>1</v>
      </c>
      <c r="CZ720" s="177">
        <f t="shared" si="393"/>
        <v>1</v>
      </c>
      <c r="DA720" s="177">
        <f t="shared" si="398"/>
        <v>1</v>
      </c>
      <c r="DB720" s="177">
        <f t="shared" si="393"/>
        <v>1</v>
      </c>
      <c r="DC720" s="177">
        <f t="shared" si="399"/>
        <v>1</v>
      </c>
      <c r="DD720" s="177">
        <f t="shared" si="400"/>
        <v>1</v>
      </c>
      <c r="DE720" s="177">
        <f t="shared" si="401"/>
        <v>1</v>
      </c>
    </row>
    <row r="721" spans="1:109" ht="18" customHeight="1" x14ac:dyDescent="0.3">
      <c r="A721" s="81">
        <v>0.58333333333335202</v>
      </c>
      <c r="B721" s="153"/>
      <c r="C721" s="130"/>
      <c r="D721" s="135"/>
      <c r="E721" s="130"/>
      <c r="F721" s="135"/>
      <c r="G721" s="130"/>
      <c r="H721" s="135"/>
      <c r="I721" s="130"/>
      <c r="J721" s="135"/>
      <c r="K721" s="130"/>
      <c r="L721" s="135"/>
      <c r="M721" s="130"/>
      <c r="N721" s="135"/>
      <c r="O721" s="154"/>
      <c r="P721" s="6">
        <v>0</v>
      </c>
      <c r="Q721" s="119" t="str">
        <f t="shared" si="416"/>
        <v>Trabalho de Grupo</v>
      </c>
      <c r="R721" s="105" t="str">
        <f t="shared" si="410"/>
        <v>IAC</v>
      </c>
      <c r="S721" s="88">
        <f t="shared" si="407"/>
        <v>-1</v>
      </c>
      <c r="T721" s="89">
        <f>IF(VLOOKUP(Q721,'INFO BASE'!$B$40:$I$54,IF(R721='INFO BASE'!$B$32,3,IF(R721='INFO BASE'!$B$33,4,IF(R721='INFO BASE'!$B$34,5,IF(R721='INFO BASE'!$B$35,6,IF(R721='INFO BASE'!$B$36,7,IF(R721='INFO BASE'!$B$37,8,2)))))),0)=0,"",VLOOKUP(Q721,'INFO BASE'!$B$40:$I$54,IF(R721='INFO BASE'!$B$32,3,IF(R721='INFO BASE'!$B$33,4,IF(R721='INFO BASE'!$B$34,5,IF(R721='INFO BASE'!$B$35,6,IF(R721='INFO BASE'!$B$36,7,IF(R721='INFO BASE'!$B$37,8,2)))))),0))</f>
        <v>3</v>
      </c>
      <c r="U721" s="89">
        <f>(COUNTIFS(C693:C740,R721,B693:B740,R718)+COUNTIFS(E693:E740,R721,D693:D740,R718)+COUNTIFS(G693:G740,R721,F693:F740,R718)+COUNTIFS(I693:I740,R721,H693:H740,R718)+COUNTIFS(K693:K740,R721,J693:J740,R718)+COUNTIFS(M693:M740,R721,L693:L740,R718)+COUNTIFS(O693:O740,R721,N693:N740,R718))*0.5</f>
        <v>0</v>
      </c>
      <c r="V721" s="89">
        <f>(COUNTIFS(AI693:AI740,R718,AJ693:AJ740,R714)+COUNTIFS(AK693:AK740,R718,AL693:AL740,R714)+COUNTIFS(AM693:AM740,R718,AN693:AN740,R714)+COUNTIFS(AO693:AO740,R718,AP693:AP740,R714)+COUNTIFS(AQ693:AQ740,R718,AR693:AR740,R714)+COUNTIFS(AS693:AS740,R718,AT693:AT740,R714)+COUNTIFS(AU693:AU740,R718,AV693:AV740,R714))*0.5</f>
        <v>0</v>
      </c>
      <c r="W721" s="90" t="str">
        <f>IF(AH689="","-",IF(V721=0,U721,IFERROR((U721/V721)-1,"-")))</f>
        <v>-</v>
      </c>
      <c r="X721" s="201">
        <f t="shared" si="408"/>
        <v>0</v>
      </c>
      <c r="Y721" s="271"/>
      <c r="Z721" s="272"/>
      <c r="AA721" s="272"/>
      <c r="AB721" s="272"/>
      <c r="AC721" s="272"/>
      <c r="AD721" s="272"/>
      <c r="AE721" s="272"/>
      <c r="AF721" s="273"/>
      <c r="AH721" s="136">
        <v>0.58333333333335202</v>
      </c>
      <c r="AI721" s="136" t="str">
        <f>IF(AH689="","",IF(B721="","",B721))</f>
        <v/>
      </c>
      <c r="AJ721" s="136" t="str">
        <f>IF(AH689="","",IF(C721="","",C721))</f>
        <v/>
      </c>
      <c r="AK721" s="136" t="str">
        <f>IF(AH689="","",IF(D721="","",D721))</f>
        <v/>
      </c>
      <c r="AL721" s="136" t="str">
        <f>IF(AH689="","",IF(E721="","",E721))</f>
        <v/>
      </c>
      <c r="AM721" s="136" t="str">
        <f>IF(AH689="","",IF(F721="","",F721))</f>
        <v/>
      </c>
      <c r="AN721" s="136" t="str">
        <f>IF(AH689="","",IF(G721="","",G721))</f>
        <v/>
      </c>
      <c r="AO721" s="136" t="str">
        <f>IF(AH689="","",IF(H721="","",H721))</f>
        <v/>
      </c>
      <c r="AP721" s="136" t="str">
        <f>IF(AH689="","",IF(I721="","",I721))</f>
        <v/>
      </c>
      <c r="AQ721" s="136" t="str">
        <f>IF(AH689="","",IF(J721="","",J721))</f>
        <v/>
      </c>
      <c r="AR721" s="136" t="str">
        <f>IF(AH689="","",IF(K721="","",K721))</f>
        <v/>
      </c>
      <c r="AS721" s="136" t="str">
        <f>IF(AH689="","",IF(L721="","",L721))</f>
        <v/>
      </c>
      <c r="AT721" s="136" t="str">
        <f>IF(AH689="","",IF(M721="","",M721))</f>
        <v/>
      </c>
      <c r="AU721" s="136" t="str">
        <f>IF(AH689="","",IF(N721="","",N721))</f>
        <v/>
      </c>
      <c r="AV721" s="136" t="str">
        <f>IF(AH689="","",IF(O721="","",O721))</f>
        <v/>
      </c>
      <c r="AX721" s="136" t="str">
        <f>IF(AI689="","",IF(B721="","",B721))</f>
        <v/>
      </c>
      <c r="AY721" s="136" t="str">
        <f>IF(AI689="","",IF(C721="","",C721))</f>
        <v/>
      </c>
      <c r="AZ721" s="136" t="str">
        <f>IF(AI689="","",IF(D721="","",D721))</f>
        <v/>
      </c>
      <c r="BA721" s="136" t="str">
        <f>IF(AI689="","",IF(E721="","",E721))</f>
        <v/>
      </c>
      <c r="BB721" s="136" t="str">
        <f>IF(AI689="","",IF(F721="","",F721))</f>
        <v/>
      </c>
      <c r="BC721" s="136" t="str">
        <f>IF(AI689="","",IF(G721="","",G721))</f>
        <v/>
      </c>
      <c r="BD721" s="136" t="str">
        <f>IF(AI689="","",IF(H721="","",H721))</f>
        <v/>
      </c>
      <c r="BE721" s="136" t="str">
        <f>IF(AI689="","",IF(I721="","",I721))</f>
        <v/>
      </c>
      <c r="BF721" s="136" t="str">
        <f>IF(AI689="","",IF(J721="","",J721))</f>
        <v/>
      </c>
      <c r="BG721" s="136" t="str">
        <f>IF(AI689="","",IF(K721="","",K721))</f>
        <v/>
      </c>
      <c r="BH721" s="136" t="str">
        <f>IF(AI689="","",IF(L721="","",L721))</f>
        <v/>
      </c>
      <c r="BI721" s="136" t="str">
        <f>IF(AI689="","",IF(M721="","",M721))</f>
        <v/>
      </c>
      <c r="BJ721" s="136" t="str">
        <f>IF(AI689="","",IF(N721="","",N721))</f>
        <v/>
      </c>
      <c r="BK721" s="136" t="str">
        <f>IF(AI689="","",IF(O721="","",O721))</f>
        <v/>
      </c>
      <c r="BM721" s="136" t="str">
        <f t="shared" si="415"/>
        <v>TG</v>
      </c>
      <c r="BN721" s="136" t="str">
        <f t="shared" si="403"/>
        <v>Trabalho de Grupo</v>
      </c>
      <c r="BO721" s="136" t="str">
        <f t="shared" si="403"/>
        <v/>
      </c>
      <c r="BP721" s="136">
        <f>(COUNTIFS(AX693:AX740,BM721,AY693:AY740,BO721)+COUNTIFS(AZ693:AZ740,BM721,BA693:BA740,BO721)+COUNTIFS(BB693:BB740,BM721,BC693:BC740,BO721)+COUNTIFS(BD693:BD740,BM721,BE693:BE740,BO721)+COUNTIFS(BF693:BF740,BM721,BG693:BG740,BO721)+COUNTIFS(BH693:BH740,BM721,BI693:BI740,BO721)+COUNTIFS(BJ693:BJ740,BM721,BK693:BK740,BO721))*0.5</f>
        <v>0</v>
      </c>
      <c r="BQ721" s="136" t="str">
        <f t="shared" si="404"/>
        <v>Trabalho de Grupo</v>
      </c>
      <c r="BR721" s="136" t="str">
        <f t="shared" si="404"/>
        <v/>
      </c>
      <c r="BS721" s="136" t="str">
        <f t="shared" si="405"/>
        <v>Trabalho de Grupo</v>
      </c>
      <c r="BT721" s="136">
        <f t="shared" si="411"/>
        <v>0</v>
      </c>
      <c r="BU721" s="136">
        <f t="shared" si="412"/>
        <v>0</v>
      </c>
      <c r="CA721" s="136">
        <f>'INFO BASE'!L800</f>
        <v>0</v>
      </c>
      <c r="CB721" s="136">
        <f>'INFO BASE'!M800</f>
        <v>0</v>
      </c>
      <c r="CR721" s="177">
        <f t="shared" si="393"/>
        <v>1</v>
      </c>
      <c r="CS721" s="177">
        <f t="shared" si="394"/>
        <v>1</v>
      </c>
      <c r="CT721" s="177">
        <f t="shared" si="393"/>
        <v>1</v>
      </c>
      <c r="CU721" s="177">
        <f t="shared" si="395"/>
        <v>1</v>
      </c>
      <c r="CV721" s="177">
        <f t="shared" si="393"/>
        <v>1</v>
      </c>
      <c r="CW721" s="177">
        <f t="shared" si="396"/>
        <v>1</v>
      </c>
      <c r="CX721" s="177">
        <f t="shared" si="393"/>
        <v>1</v>
      </c>
      <c r="CY721" s="177">
        <f t="shared" si="397"/>
        <v>1</v>
      </c>
      <c r="CZ721" s="177">
        <f t="shared" si="393"/>
        <v>1</v>
      </c>
      <c r="DA721" s="177">
        <f t="shared" si="398"/>
        <v>1</v>
      </c>
      <c r="DB721" s="177">
        <f t="shared" si="393"/>
        <v>1</v>
      </c>
      <c r="DC721" s="177">
        <f t="shared" si="399"/>
        <v>1</v>
      </c>
      <c r="DD721" s="177">
        <f t="shared" si="400"/>
        <v>1</v>
      </c>
      <c r="DE721" s="177">
        <f t="shared" si="401"/>
        <v>1</v>
      </c>
    </row>
    <row r="722" spans="1:109" ht="18" customHeight="1" x14ac:dyDescent="0.3">
      <c r="A722" s="81">
        <v>0.60416666666668595</v>
      </c>
      <c r="B722" s="153"/>
      <c r="C722" s="130"/>
      <c r="D722" s="135"/>
      <c r="E722" s="130"/>
      <c r="F722" s="135"/>
      <c r="G722" s="130"/>
      <c r="H722" s="135"/>
      <c r="I722" s="130"/>
      <c r="J722" s="135"/>
      <c r="K722" s="130"/>
      <c r="L722" s="135"/>
      <c r="M722" s="130"/>
      <c r="N722" s="135"/>
      <c r="O722" s="154"/>
      <c r="P722" s="6">
        <v>0</v>
      </c>
      <c r="Q722" s="118" t="str">
        <f t="shared" si="416"/>
        <v>Trabalho de Grupo</v>
      </c>
      <c r="R722" s="105" t="str">
        <f t="shared" si="410"/>
        <v>AL</v>
      </c>
      <c r="S722" s="88">
        <f t="shared" si="407"/>
        <v>-1</v>
      </c>
      <c r="T722" s="89">
        <f>IF(VLOOKUP(Q722,'INFO BASE'!$B$40:$I$54,IF(R722='INFO BASE'!$B$32,3,IF(R722='INFO BASE'!$B$33,4,IF(R722='INFO BASE'!$B$34,5,IF(R722='INFO BASE'!$B$35,6,IF(R722='INFO BASE'!$B$36,7,IF(R722='INFO BASE'!$B$37,8,2)))))),0)=0,"",VLOOKUP(Q722,'INFO BASE'!$B$40:$I$54,IF(R722='INFO BASE'!$B$32,3,IF(R722='INFO BASE'!$B$33,4,IF(R722='INFO BASE'!$B$34,5,IF(R722='INFO BASE'!$B$35,6,IF(R722='INFO BASE'!$B$36,7,IF(R722='INFO BASE'!$B$37,8,2)))))),0))</f>
        <v>3</v>
      </c>
      <c r="U722" s="89">
        <f>(COUNTIFS(C693:C740,R722,B693:B740,R718)+COUNTIFS(E693:E740,R722,D693:D740,R718)+COUNTIFS(G693:G740,R722,F693:F740,R718)+COUNTIFS(I693:I740,R722,H693:H740,R718)+COUNTIFS(K693:K740,R722,J693:J740,R718)+COUNTIFS(M693:M740,R722,L693:L740,R718)+COUNTIFS(O693:O740,R722,N693:N740,R718))*0.5</f>
        <v>0</v>
      </c>
      <c r="V722" s="89">
        <f>(COUNTIFS(AI693:AI740,R718,AJ693:AJ740,R715)+COUNTIFS(AK693:AK740,R718,AL693:AL740,R715)+COUNTIFS(AM693:AM740,R718,AN693:AN740,R715)+COUNTIFS(AO693:AO740,R718,AP693:AP740,R715)+COUNTIFS(AQ693:AQ740,R718,AR693:AR740,R715)+COUNTIFS(AS693:AS740,R718,AT693:AT740,R715)+COUNTIFS(AU693:AU740,R718,AV693:AV740,R715))*0.5</f>
        <v>0</v>
      </c>
      <c r="W722" s="90" t="str">
        <f>IF(AH689="","-",IF(V722=0,U722,IFERROR((U722/V722)-1,"-")))</f>
        <v>-</v>
      </c>
      <c r="X722" s="201">
        <f t="shared" si="408"/>
        <v>0</v>
      </c>
      <c r="Y722" s="271"/>
      <c r="Z722" s="272"/>
      <c r="AA722" s="272"/>
      <c r="AB722" s="272"/>
      <c r="AC722" s="272"/>
      <c r="AD722" s="272"/>
      <c r="AE722" s="272"/>
      <c r="AF722" s="273"/>
      <c r="AH722" s="136">
        <v>0.60416666666668595</v>
      </c>
      <c r="AI722" s="136" t="str">
        <f>IF(AH689="","",IF(B722="","",B722))</f>
        <v/>
      </c>
      <c r="AJ722" s="136" t="str">
        <f>IF(AH689="","",IF(C722="","",C722))</f>
        <v/>
      </c>
      <c r="AK722" s="136" t="str">
        <f>IF(AH689="","",IF(D722="","",D722))</f>
        <v/>
      </c>
      <c r="AL722" s="136" t="str">
        <f>IF(AH689="","",IF(E722="","",E722))</f>
        <v/>
      </c>
      <c r="AM722" s="136" t="str">
        <f>IF(AH689="","",IF(F722="","",F722))</f>
        <v/>
      </c>
      <c r="AN722" s="136" t="str">
        <f>IF(AH689="","",IF(G722="","",G722))</f>
        <v/>
      </c>
      <c r="AO722" s="136" t="str">
        <f>IF(AH689="","",IF(H722="","",H722))</f>
        <v/>
      </c>
      <c r="AP722" s="136" t="str">
        <f>IF(AH689="","",IF(I722="","",I722))</f>
        <v/>
      </c>
      <c r="AQ722" s="136" t="str">
        <f>IF(AH689="","",IF(J722="","",J722))</f>
        <v/>
      </c>
      <c r="AR722" s="136" t="str">
        <f>IF(AH689="","",IF(K722="","",K722))</f>
        <v/>
      </c>
      <c r="AS722" s="136" t="str">
        <f>IF(AH689="","",IF(L722="","",L722))</f>
        <v/>
      </c>
      <c r="AT722" s="136" t="str">
        <f>IF(AH689="","",IF(M722="","",M722))</f>
        <v/>
      </c>
      <c r="AU722" s="136" t="str">
        <f>IF(AH689="","",IF(N722="","",N722))</f>
        <v/>
      </c>
      <c r="AV722" s="136" t="str">
        <f>IF(AH689="","",IF(O722="","",O722))</f>
        <v/>
      </c>
      <c r="AX722" s="136" t="str">
        <f>IF(AI689="","",IF(B722="","",B722))</f>
        <v/>
      </c>
      <c r="AY722" s="136" t="str">
        <f>IF(AI689="","",IF(C722="","",C722))</f>
        <v/>
      </c>
      <c r="AZ722" s="136" t="str">
        <f>IF(AI689="","",IF(D722="","",D722))</f>
        <v/>
      </c>
      <c r="BA722" s="136" t="str">
        <f>IF(AI689="","",IF(E722="","",E722))</f>
        <v/>
      </c>
      <c r="BB722" s="136" t="str">
        <f>IF(AI689="","",IF(F722="","",F722))</f>
        <v/>
      </c>
      <c r="BC722" s="136" t="str">
        <f>IF(AI689="","",IF(G722="","",G722))</f>
        <v/>
      </c>
      <c r="BD722" s="136" t="str">
        <f>IF(AI689="","",IF(H722="","",H722))</f>
        <v/>
      </c>
      <c r="BE722" s="136" t="str">
        <f>IF(AI689="","",IF(I722="","",I722))</f>
        <v/>
      </c>
      <c r="BF722" s="136" t="str">
        <f>IF(AI689="","",IF(J722="","",J722))</f>
        <v/>
      </c>
      <c r="BG722" s="136" t="str">
        <f>IF(AI689="","",IF(K722="","",K722))</f>
        <v/>
      </c>
      <c r="BH722" s="136" t="str">
        <f>IF(AI689="","",IF(L722="","",L722))</f>
        <v/>
      </c>
      <c r="BI722" s="136" t="str">
        <f>IF(AI689="","",IF(M722="","",M722))</f>
        <v/>
      </c>
      <c r="BJ722" s="136" t="str">
        <f>IF(AI689="","",IF(N722="","",N722))</f>
        <v/>
      </c>
      <c r="BK722" s="136" t="str">
        <f>IF(AI689="","",IF(O722="","",O722))</f>
        <v/>
      </c>
      <c r="BM722" s="136" t="str">
        <f>BO722</f>
        <v>AT</v>
      </c>
      <c r="BN722" s="136" t="str">
        <f t="shared" si="403"/>
        <v>Aulas Teóricas</v>
      </c>
      <c r="BO722" s="136" t="str">
        <f t="shared" si="403"/>
        <v>AT</v>
      </c>
      <c r="BP722" s="136">
        <f>COUNTIFS(AX693:BK740,BO722)*0.5</f>
        <v>0</v>
      </c>
      <c r="BQ722" s="136" t="str">
        <f t="shared" si="404"/>
        <v>Aulas Teóricas</v>
      </c>
      <c r="BR722" s="136" t="str">
        <f t="shared" si="404"/>
        <v>AT</v>
      </c>
      <c r="BS722" s="136" t="str">
        <f t="shared" si="405"/>
        <v>Aulas Teóricas</v>
      </c>
      <c r="BT722" s="136">
        <f t="shared" si="411"/>
        <v>120</v>
      </c>
      <c r="BU722" s="136">
        <f t="shared" si="412"/>
        <v>120</v>
      </c>
      <c r="CA722" s="136">
        <f>'INFO BASE'!L801</f>
        <v>0</v>
      </c>
      <c r="CB722" s="136">
        <f>'INFO BASE'!M801</f>
        <v>0</v>
      </c>
      <c r="CR722" s="177">
        <f t="shared" si="393"/>
        <v>1</v>
      </c>
      <c r="CS722" s="177">
        <f t="shared" si="394"/>
        <v>1</v>
      </c>
      <c r="CT722" s="177">
        <f t="shared" si="393"/>
        <v>1</v>
      </c>
      <c r="CU722" s="177">
        <f t="shared" si="395"/>
        <v>1</v>
      </c>
      <c r="CV722" s="177">
        <f t="shared" si="393"/>
        <v>1</v>
      </c>
      <c r="CW722" s="177">
        <f t="shared" si="396"/>
        <v>1</v>
      </c>
      <c r="CX722" s="177">
        <f t="shared" si="393"/>
        <v>1</v>
      </c>
      <c r="CY722" s="177">
        <f t="shared" si="397"/>
        <v>1</v>
      </c>
      <c r="CZ722" s="177">
        <f t="shared" si="393"/>
        <v>1</v>
      </c>
      <c r="DA722" s="177">
        <f t="shared" si="398"/>
        <v>1</v>
      </c>
      <c r="DB722" s="177">
        <f t="shared" si="393"/>
        <v>1</v>
      </c>
      <c r="DC722" s="177">
        <f t="shared" si="399"/>
        <v>1</v>
      </c>
      <c r="DD722" s="177">
        <f t="shared" si="400"/>
        <v>1</v>
      </c>
      <c r="DE722" s="177">
        <f t="shared" si="401"/>
        <v>1</v>
      </c>
    </row>
    <row r="723" spans="1:109" ht="18" customHeight="1" x14ac:dyDescent="0.3">
      <c r="A723" s="81">
        <v>0.62500000000001998</v>
      </c>
      <c r="B723" s="153"/>
      <c r="C723" s="130"/>
      <c r="D723" s="135"/>
      <c r="E723" s="130"/>
      <c r="F723" s="135"/>
      <c r="G723" s="130"/>
      <c r="H723" s="135"/>
      <c r="I723" s="130"/>
      <c r="J723" s="135"/>
      <c r="K723" s="130"/>
      <c r="L723" s="135"/>
      <c r="M723" s="130"/>
      <c r="N723" s="135"/>
      <c r="O723" s="154"/>
      <c r="P723" s="6">
        <v>0</v>
      </c>
      <c r="Q723" s="118" t="str">
        <f t="shared" si="416"/>
        <v>Trabalho de Grupo</v>
      </c>
      <c r="R723" s="105" t="str">
        <f t="shared" si="410"/>
        <v>CDI</v>
      </c>
      <c r="S723" s="88">
        <f t="shared" si="407"/>
        <v>-1</v>
      </c>
      <c r="T723" s="89">
        <f>IF(VLOOKUP(Q723,'INFO BASE'!$B$40:$I$54,IF(R723='INFO BASE'!$B$32,3,IF(R723='INFO BASE'!$B$33,4,IF(R723='INFO BASE'!$B$34,5,IF(R723='INFO BASE'!$B$35,6,IF(R723='INFO BASE'!$B$36,7,IF(R723='INFO BASE'!$B$37,8,2)))))),0)=0,"",VLOOKUP(Q723,'INFO BASE'!$B$40:$I$54,IF(R723='INFO BASE'!$B$32,3,IF(R723='INFO BASE'!$B$33,4,IF(R723='INFO BASE'!$B$34,5,IF(R723='INFO BASE'!$B$35,6,IF(R723='INFO BASE'!$B$36,7,IF(R723='INFO BASE'!$B$37,8,2)))))),0))</f>
        <v>3</v>
      </c>
      <c r="U723" s="89">
        <f>(COUNTIFS(C693:C740,R723,B693:B740,R718)+COUNTIFS(E693:E740,R723,D693:D740,R718)+COUNTIFS(G693:G740,R723,F693:F740,R718)+COUNTIFS(I693:I740,R723,H693:H740,R718)+COUNTIFS(K693:K740,R723,J693:J740,R718)+COUNTIFS(M693:M740,R723,L693:L740,R718)+COUNTIFS(O693:O740,R723,N693:N740,R718))*0.5</f>
        <v>0</v>
      </c>
      <c r="V723" s="89">
        <f>(COUNTIFS(AI693:AI740,R718,AJ693:AJ740,R716)+COUNTIFS(AK693:AK740,R718,AL693:AL740,R716)+COUNTIFS(AM693:AM740,R718,AN693:AN740,R716)+COUNTIFS(AO693:AO740,R718,AP693:AP740,R716)+COUNTIFS(AQ693:AQ740,R718,AR693:AR740,R716)+COUNTIFS(AS693:AS740,R718,AT693:AT740,R716)+COUNTIFS(AU693:AU740,R718,AV693:AV740,R716))*0.5</f>
        <v>0</v>
      </c>
      <c r="W723" s="90" t="str">
        <f>IF(AH689="","-",IF(V723=0,U723,IFERROR((U723/V723)-1,"-")))</f>
        <v>-</v>
      </c>
      <c r="X723" s="201">
        <f t="shared" si="408"/>
        <v>0</v>
      </c>
      <c r="Y723" s="271"/>
      <c r="Z723" s="272"/>
      <c r="AA723" s="272"/>
      <c r="AB723" s="272"/>
      <c r="AC723" s="272"/>
      <c r="AD723" s="272"/>
      <c r="AE723" s="272"/>
      <c r="AF723" s="273"/>
      <c r="AH723" s="136">
        <v>0.62500000000001998</v>
      </c>
      <c r="AI723" s="136" t="str">
        <f>IF(AH689="","",IF(B723="","",B723))</f>
        <v/>
      </c>
      <c r="AJ723" s="136" t="str">
        <f>IF(AH689="","",IF(C723="","",C723))</f>
        <v/>
      </c>
      <c r="AK723" s="136" t="str">
        <f>IF(AH689="","",IF(D723="","",D723))</f>
        <v/>
      </c>
      <c r="AL723" s="136" t="str">
        <f>IF(AH689="","",IF(E723="","",E723))</f>
        <v/>
      </c>
      <c r="AM723" s="136" t="str">
        <f>IF(AH689="","",IF(F723="","",F723))</f>
        <v/>
      </c>
      <c r="AN723" s="136" t="str">
        <f>IF(AH689="","",IF(G723="","",G723))</f>
        <v/>
      </c>
      <c r="AO723" s="136" t="str">
        <f>IF(AH689="","",IF(H723="","",H723))</f>
        <v/>
      </c>
      <c r="AP723" s="136" t="str">
        <f>IF(AH689="","",IF(I723="","",I723))</f>
        <v/>
      </c>
      <c r="AQ723" s="136" t="str">
        <f>IF(AH689="","",IF(J723="","",J723))</f>
        <v/>
      </c>
      <c r="AR723" s="136" t="str">
        <f>IF(AH689="","",IF(K723="","",K723))</f>
        <v/>
      </c>
      <c r="AS723" s="136" t="str">
        <f>IF(AH689="","",IF(L723="","",L723))</f>
        <v/>
      </c>
      <c r="AT723" s="136" t="str">
        <f>IF(AH689="","",IF(M723="","",M723))</f>
        <v/>
      </c>
      <c r="AU723" s="136" t="str">
        <f>IF(AH689="","",IF(N723="","",N723))</f>
        <v/>
      </c>
      <c r="AV723" s="136" t="str">
        <f>IF(AH689="","",IF(O723="","",O723))</f>
        <v/>
      </c>
      <c r="AX723" s="136" t="str">
        <f>IF(AI689="","",IF(B723="","",B723))</f>
        <v/>
      </c>
      <c r="AY723" s="136" t="str">
        <f>IF(AI689="","",IF(C723="","",C723))</f>
        <v/>
      </c>
      <c r="AZ723" s="136" t="str">
        <f>IF(AI689="","",IF(D723="","",D723))</f>
        <v/>
      </c>
      <c r="BA723" s="136" t="str">
        <f>IF(AI689="","",IF(E723="","",E723))</f>
        <v/>
      </c>
      <c r="BB723" s="136" t="str">
        <f>IF(AI689="","",IF(F723="","",F723))</f>
        <v/>
      </c>
      <c r="BC723" s="136" t="str">
        <f>IF(AI689="","",IF(G723="","",G723))</f>
        <v/>
      </c>
      <c r="BD723" s="136" t="str">
        <f>IF(AI689="","",IF(H723="","",H723))</f>
        <v/>
      </c>
      <c r="BE723" s="136" t="str">
        <f>IF(AI689="","",IF(I723="","",I723))</f>
        <v/>
      </c>
      <c r="BF723" s="136" t="str">
        <f>IF(AI689="","",IF(J723="","",J723))</f>
        <v/>
      </c>
      <c r="BG723" s="136" t="str">
        <f>IF(AI689="","",IF(K723="","",K723))</f>
        <v/>
      </c>
      <c r="BH723" s="136" t="str">
        <f>IF(AI689="","",IF(L723="","",L723))</f>
        <v/>
      </c>
      <c r="BI723" s="136" t="str">
        <f>IF(AI689="","",IF(M723="","",M723))</f>
        <v/>
      </c>
      <c r="BJ723" s="136" t="str">
        <f>IF(AI689="","",IF(N723="","",N723))</f>
        <v/>
      </c>
      <c r="BK723" s="136" t="str">
        <f>IF(AI689="","",IF(O723="","",O723))</f>
        <v/>
      </c>
      <c r="BM723" s="136" t="str">
        <f>BM722</f>
        <v>AT</v>
      </c>
      <c r="BN723" s="136" t="str">
        <f t="shared" si="403"/>
        <v>Aulas Teóricas</v>
      </c>
      <c r="BO723" s="136" t="str">
        <f t="shared" si="403"/>
        <v>FP</v>
      </c>
      <c r="BP723" s="136">
        <f>(COUNTIFS(AX693:AX740,BM723,AY693:AY740,BO723)+COUNTIFS(AZ693:AZ740,BM723,BA693:BA740,BO723)+COUNTIFS(BB693:BB740,BM723,BC693:BC740,BO723)+COUNTIFS(BD693:BD740,BM723,BE693:BE740,BO723)+COUNTIFS(BF693:BF740,BM723,BG693:BG740,BO723)+COUNTIFS(BH693:BH740,BM723,BI693:BI740,BO723)+COUNTIFS(BJ693:BJ740,BM723,BK693:BK740,BO723))*0.5</f>
        <v>0</v>
      </c>
      <c r="BQ723" s="136" t="str">
        <f t="shared" si="404"/>
        <v>Aulas Teóricas</v>
      </c>
      <c r="BR723" s="136" t="str">
        <f t="shared" si="404"/>
        <v>FP</v>
      </c>
      <c r="BS723" s="136" t="str">
        <f t="shared" si="405"/>
        <v>Aulas Teóricas</v>
      </c>
      <c r="BT723" s="136">
        <f t="shared" si="411"/>
        <v>24</v>
      </c>
      <c r="BU723" s="136">
        <f t="shared" si="412"/>
        <v>24</v>
      </c>
      <c r="CR723" s="177">
        <f t="shared" si="393"/>
        <v>1</v>
      </c>
      <c r="CS723" s="177">
        <f t="shared" si="394"/>
        <v>1</v>
      </c>
      <c r="CT723" s="177">
        <f t="shared" si="393"/>
        <v>1</v>
      </c>
      <c r="CU723" s="177">
        <f t="shared" si="395"/>
        <v>1</v>
      </c>
      <c r="CV723" s="177">
        <f t="shared" si="393"/>
        <v>1</v>
      </c>
      <c r="CW723" s="177">
        <f t="shared" si="396"/>
        <v>1</v>
      </c>
      <c r="CX723" s="177">
        <f t="shared" si="393"/>
        <v>1</v>
      </c>
      <c r="CY723" s="177">
        <f t="shared" si="397"/>
        <v>1</v>
      </c>
      <c r="CZ723" s="177">
        <f t="shared" si="393"/>
        <v>1</v>
      </c>
      <c r="DA723" s="177">
        <f t="shared" si="398"/>
        <v>1</v>
      </c>
      <c r="DB723" s="177">
        <f t="shared" si="393"/>
        <v>1</v>
      </c>
      <c r="DC723" s="177">
        <f t="shared" si="399"/>
        <v>1</v>
      </c>
      <c r="DD723" s="177">
        <f t="shared" si="400"/>
        <v>1</v>
      </c>
      <c r="DE723" s="177">
        <f t="shared" si="401"/>
        <v>1</v>
      </c>
    </row>
    <row r="724" spans="1:109" ht="18" customHeight="1" thickBot="1" x14ac:dyDescent="0.35">
      <c r="A724" s="81">
        <v>0.64583333333335402</v>
      </c>
      <c r="B724" s="153"/>
      <c r="C724" s="130"/>
      <c r="D724" s="135"/>
      <c r="E724" s="130"/>
      <c r="F724" s="135"/>
      <c r="G724" s="130"/>
      <c r="H724" s="135"/>
      <c r="I724" s="130"/>
      <c r="J724" s="135"/>
      <c r="K724" s="130"/>
      <c r="L724" s="135"/>
      <c r="M724" s="130"/>
      <c r="N724" s="135"/>
      <c r="O724" s="154"/>
      <c r="P724" s="6">
        <v>0</v>
      </c>
      <c r="Q724" s="120" t="str">
        <f t="shared" si="416"/>
        <v>Trabalho de Grupo</v>
      </c>
      <c r="R724" s="107" t="str">
        <f t="shared" si="410"/>
        <v/>
      </c>
      <c r="S724" s="94" t="str">
        <f t="shared" si="407"/>
        <v>-</v>
      </c>
      <c r="T724" s="95" t="str">
        <f>IF(VLOOKUP(Q724,'INFO BASE'!$B$40:$I$54,IF(R724='INFO BASE'!$B$32,3,IF(R724='INFO BASE'!$B$33,4,IF(R724='INFO BASE'!$B$34,5,IF(R724='INFO BASE'!$B$35,6,IF(R724='INFO BASE'!$B$36,7,IF(R724='INFO BASE'!$B$37,8,2)))))),0)=0,"",VLOOKUP(Q724,'INFO BASE'!$B$40:$I$54,IF(R724='INFO BASE'!$B$32,3,IF(R724='INFO BASE'!$B$33,4,IF(R724='INFO BASE'!$B$34,5,IF(R724='INFO BASE'!$B$35,6,IF(R724='INFO BASE'!$B$36,7,IF(R724='INFO BASE'!$B$37,8,2)))))),0))</f>
        <v/>
      </c>
      <c r="U724" s="95">
        <f>(COUNTIFS(C693:C740,R724,B693:B740,R718)+COUNTIFS(E693:E740,R724,D693:D740,R718)+COUNTIFS(G693:G740,R724,F693:F740,R718)+COUNTIFS(I693:I740,R724,H693:H740,R718)+COUNTIFS(K693:K740,R724,J693:J740,R718)+COUNTIFS(M693:M740,R724,L693:L740,R718)+COUNTIFS(O693:O740,R724,N693:N740,R718))*0.5</f>
        <v>0</v>
      </c>
      <c r="V724" s="95">
        <f>(COUNTIFS(AI693:AI740,R718,AJ693:AJ740,R717)+COUNTIFS(AK693:AK740,R718,AL693:AL740,R717)+COUNTIFS(AM693:AM740,R718,AN693:AN740,R717)+COUNTIFS(AO693:AO740,R718,AP693:AP740,R717)+COUNTIFS(AQ693:AQ740,R718,AR693:AR740,R717)+COUNTIFS(AS693:AS740,R718,AT693:AT740,R717)+COUNTIFS(AU693:AU740,R718,AV693:AV740,R717))*0.5</f>
        <v>0</v>
      </c>
      <c r="W724" s="96" t="str">
        <f>IF(AH689="","-",IF(V724=0,U724,IFERROR((U724/V724)-1,"-")))</f>
        <v>-</v>
      </c>
      <c r="X724" s="201">
        <f t="shared" si="408"/>
        <v>0</v>
      </c>
      <c r="Y724" s="274"/>
      <c r="Z724" s="275"/>
      <c r="AA724" s="275"/>
      <c r="AB724" s="275"/>
      <c r="AC724" s="275"/>
      <c r="AD724" s="275"/>
      <c r="AE724" s="275"/>
      <c r="AF724" s="276"/>
      <c r="AH724" s="136">
        <v>0.64583333333335402</v>
      </c>
      <c r="AI724" s="136" t="str">
        <f>IF(AH689="","",IF(B724="","",B724))</f>
        <v/>
      </c>
      <c r="AJ724" s="136" t="str">
        <f>IF(AH689="","",IF(C724="","",C724))</f>
        <v/>
      </c>
      <c r="AK724" s="136" t="str">
        <f>IF(AH689="","",IF(D724="","",D724))</f>
        <v/>
      </c>
      <c r="AL724" s="136" t="str">
        <f>IF(AH689="","",IF(E724="","",E724))</f>
        <v/>
      </c>
      <c r="AM724" s="136" t="str">
        <f>IF(AH689="","",IF(F724="","",F724))</f>
        <v/>
      </c>
      <c r="AN724" s="136" t="str">
        <f>IF(AH689="","",IF(G724="","",G724))</f>
        <v/>
      </c>
      <c r="AO724" s="136" t="str">
        <f>IF(AH689="","",IF(H724="","",H724))</f>
        <v/>
      </c>
      <c r="AP724" s="136" t="str">
        <f>IF(AH689="","",IF(I724="","",I724))</f>
        <v/>
      </c>
      <c r="AQ724" s="136" t="str">
        <f>IF(AH689="","",IF(J724="","",J724))</f>
        <v/>
      </c>
      <c r="AR724" s="136" t="str">
        <f>IF(AH689="","",IF(K724="","",K724))</f>
        <v/>
      </c>
      <c r="AS724" s="136" t="str">
        <f>IF(AH689="","",IF(L724="","",L724))</f>
        <v/>
      </c>
      <c r="AT724" s="136" t="str">
        <f>IF(AH689="","",IF(M724="","",M724))</f>
        <v/>
      </c>
      <c r="AU724" s="136" t="str">
        <f>IF(AH689="","",IF(N724="","",N724))</f>
        <v/>
      </c>
      <c r="AV724" s="136" t="str">
        <f>IF(AH689="","",IF(O724="","",O724))</f>
        <v/>
      </c>
      <c r="AX724" s="136" t="str">
        <f>IF(AI689="","",IF(B724="","",B724))</f>
        <v/>
      </c>
      <c r="AY724" s="136" t="str">
        <f>IF(AI689="","",IF(C724="","",C724))</f>
        <v/>
      </c>
      <c r="AZ724" s="136" t="str">
        <f>IF(AI689="","",IF(D724="","",D724))</f>
        <v/>
      </c>
      <c r="BA724" s="136" t="str">
        <f>IF(AI689="","",IF(E724="","",E724))</f>
        <v/>
      </c>
      <c r="BB724" s="136" t="str">
        <f>IF(AI689="","",IF(F724="","",F724))</f>
        <v/>
      </c>
      <c r="BC724" s="136" t="str">
        <f>IF(AI689="","",IF(G724="","",G724))</f>
        <v/>
      </c>
      <c r="BD724" s="136" t="str">
        <f>IF(AI689="","",IF(H724="","",H724))</f>
        <v/>
      </c>
      <c r="BE724" s="136" t="str">
        <f>IF(AI689="","",IF(I724="","",I724))</f>
        <v/>
      </c>
      <c r="BF724" s="136" t="str">
        <f>IF(AI689="","",IF(J724="","",J724))</f>
        <v/>
      </c>
      <c r="BG724" s="136" t="str">
        <f>IF(AI689="","",IF(K724="","",K724))</f>
        <v/>
      </c>
      <c r="BH724" s="136" t="str">
        <f>IF(AI689="","",IF(L724="","",L724))</f>
        <v/>
      </c>
      <c r="BI724" s="136" t="str">
        <f>IF(AI689="","",IF(M724="","",M724))</f>
        <v/>
      </c>
      <c r="BJ724" s="136" t="str">
        <f>IF(AI689="","",IF(N724="","",N724))</f>
        <v/>
      </c>
      <c r="BK724" s="136" t="str">
        <f>IF(AI689="","",IF(O724="","",O724))</f>
        <v/>
      </c>
      <c r="BM724" s="136" t="str">
        <f t="shared" ref="BM724:BM728" si="417">BM723</f>
        <v>AT</v>
      </c>
      <c r="BN724" s="136" t="str">
        <f t="shared" si="403"/>
        <v>Aulas Teóricas</v>
      </c>
      <c r="BO724" s="136" t="str">
        <f t="shared" si="403"/>
        <v>IEI</v>
      </c>
      <c r="BP724" s="136">
        <f>(COUNTIFS(AX693:AX740,BM724,AY693:AY740,BO724)+COUNTIFS(AZ693:AZ740,BM724,BA693:BA740,BO724)+COUNTIFS(BB693:BB740,BM724,BC693:BC740,BO724)+COUNTIFS(BD693:BD740,BM724,BE693:BE740,BO724)+COUNTIFS(BF693:BF740,BM724,BG693:BG740,BO724)+COUNTIFS(BH693:BH740,BM724,BI693:BI740,BO724)+COUNTIFS(BJ693:BJ740,BM724,BK693:BK740,BO724))*0.5</f>
        <v>0</v>
      </c>
      <c r="BQ724" s="136" t="str">
        <f t="shared" si="404"/>
        <v>Aulas Teóricas</v>
      </c>
      <c r="BR724" s="136" t="str">
        <f t="shared" si="404"/>
        <v>IEI</v>
      </c>
      <c r="BS724" s="136" t="str">
        <f t="shared" si="405"/>
        <v>Aulas Teóricas</v>
      </c>
      <c r="BT724" s="136">
        <f t="shared" si="411"/>
        <v>24</v>
      </c>
      <c r="BU724" s="136">
        <f t="shared" si="412"/>
        <v>24</v>
      </c>
      <c r="CA724" s="136">
        <f>'INFO BASE'!L802</f>
        <v>0</v>
      </c>
      <c r="CB724" s="136">
        <f>'INFO BASE'!M802</f>
        <v>0</v>
      </c>
      <c r="CR724" s="177">
        <f t="shared" si="393"/>
        <v>1</v>
      </c>
      <c r="CS724" s="177">
        <f t="shared" si="394"/>
        <v>1</v>
      </c>
      <c r="CT724" s="177">
        <f t="shared" si="393"/>
        <v>1</v>
      </c>
      <c r="CU724" s="177">
        <f t="shared" si="395"/>
        <v>1</v>
      </c>
      <c r="CV724" s="177">
        <f t="shared" si="393"/>
        <v>1</v>
      </c>
      <c r="CW724" s="177">
        <f t="shared" si="396"/>
        <v>1</v>
      </c>
      <c r="CX724" s="177">
        <f t="shared" si="393"/>
        <v>1</v>
      </c>
      <c r="CY724" s="177">
        <f t="shared" si="397"/>
        <v>1</v>
      </c>
      <c r="CZ724" s="177">
        <f t="shared" si="393"/>
        <v>1</v>
      </c>
      <c r="DA724" s="177">
        <f t="shared" si="398"/>
        <v>1</v>
      </c>
      <c r="DB724" s="177">
        <f t="shared" si="393"/>
        <v>1</v>
      </c>
      <c r="DC724" s="177">
        <f t="shared" si="399"/>
        <v>1</v>
      </c>
      <c r="DD724" s="177">
        <f t="shared" si="400"/>
        <v>1</v>
      </c>
      <c r="DE724" s="177">
        <f t="shared" si="401"/>
        <v>1</v>
      </c>
    </row>
    <row r="725" spans="1:109" ht="18" customHeight="1" x14ac:dyDescent="0.3">
      <c r="A725" s="81">
        <v>0.66666666666668795</v>
      </c>
      <c r="B725" s="153"/>
      <c r="C725" s="130"/>
      <c r="D725" s="135"/>
      <c r="E725" s="130"/>
      <c r="F725" s="135"/>
      <c r="G725" s="130"/>
      <c r="H725" s="135"/>
      <c r="I725" s="130"/>
      <c r="J725" s="135"/>
      <c r="K725" s="130"/>
      <c r="L725" s="135"/>
      <c r="M725" s="130"/>
      <c r="N725" s="135"/>
      <c r="O725" s="154"/>
      <c r="P725" s="6">
        <v>0</v>
      </c>
      <c r="Q725" s="121" t="str">
        <f>IF('INFO BASE'!$C$20="","",'INFO BASE'!$C$20)</f>
        <v>Aulas Teóricas</v>
      </c>
      <c r="R725" s="82" t="str">
        <f t="shared" si="410"/>
        <v>AT</v>
      </c>
      <c r="S725" s="83">
        <f t="shared" si="407"/>
        <v>-1</v>
      </c>
      <c r="T725" s="84">
        <f>IF(VLOOKUP(Q725,'INFO BASE'!$B$40:$I$54,IF(R725='INFO BASE'!$B$32,3,IF(R725='INFO BASE'!$B$33,4,IF(R725='INFO BASE'!$B$34,5,IF(R725='INFO BASE'!$B$35,6,IF(R725='INFO BASE'!$B$36,7,IF(R725='INFO BASE'!$B$37,8,2)))))),0)=0,"",VLOOKUP(Q725,'INFO BASE'!$B$40:$I$54,IF(R725='INFO BASE'!$B$32,3,IF(R725='INFO BASE'!$B$33,4,IF(R725='INFO BASE'!$B$34,5,IF(R725='INFO BASE'!$B$35,6,IF(R725='INFO BASE'!$B$36,7,IF(R725='INFO BASE'!$B$37,8,2)))))),0))</f>
        <v>15</v>
      </c>
      <c r="U725" s="84">
        <f>IF(R725="","",COUNTIFS(SEMANA13,R725)*0.5)</f>
        <v>0</v>
      </c>
      <c r="V725" s="84">
        <f>IF(R725="","",COUNTIFS(AI693:AV740,R725)*0.5)</f>
        <v>0</v>
      </c>
      <c r="W725" s="85" t="str">
        <f>IF(AH689="","-",IF(V725=0,U725,IFERROR((U725/V725)-1,"-")))</f>
        <v>-</v>
      </c>
      <c r="X725" s="201">
        <f t="shared" si="408"/>
        <v>0</v>
      </c>
      <c r="Y725" s="277"/>
      <c r="Z725" s="278"/>
      <c r="AA725" s="278"/>
      <c r="AB725" s="278"/>
      <c r="AC725" s="278"/>
      <c r="AD725" s="278"/>
      <c r="AE725" s="278"/>
      <c r="AF725" s="279"/>
      <c r="AH725" s="136">
        <v>0.66666666666668795</v>
      </c>
      <c r="AI725" s="136" t="str">
        <f>IF(AH689="","",IF(B725="","",B725))</f>
        <v/>
      </c>
      <c r="AJ725" s="136" t="str">
        <f>IF(AH689="","",IF(C725="","",C725))</f>
        <v/>
      </c>
      <c r="AK725" s="136" t="str">
        <f>IF(AH689="","",IF(D725="","",D725))</f>
        <v/>
      </c>
      <c r="AL725" s="136" t="str">
        <f>IF(AH689="","",IF(E725="","",E725))</f>
        <v/>
      </c>
      <c r="AM725" s="136" t="str">
        <f>IF(AH689="","",IF(F725="","",F725))</f>
        <v/>
      </c>
      <c r="AN725" s="136" t="str">
        <f>IF(AH689="","",IF(G725="","",G725))</f>
        <v/>
      </c>
      <c r="AO725" s="136" t="str">
        <f>IF(AH689="","",IF(H725="","",H725))</f>
        <v/>
      </c>
      <c r="AP725" s="136" t="str">
        <f>IF(AH689="","",IF(I725="","",I725))</f>
        <v/>
      </c>
      <c r="AQ725" s="136" t="str">
        <f>IF(AH689="","",IF(J725="","",J725))</f>
        <v/>
      </c>
      <c r="AR725" s="136" t="str">
        <f>IF(AH689="","",IF(K725="","",K725))</f>
        <v/>
      </c>
      <c r="AS725" s="136" t="str">
        <f>IF(AH689="","",IF(L725="","",L725))</f>
        <v/>
      </c>
      <c r="AT725" s="136" t="str">
        <f>IF(AH689="","",IF(M725="","",M725))</f>
        <v/>
      </c>
      <c r="AU725" s="136" t="str">
        <f>IF(AH689="","",IF(N725="","",N725))</f>
        <v/>
      </c>
      <c r="AV725" s="136" t="str">
        <f>IF(AH689="","",IF(O725="","",O725))</f>
        <v/>
      </c>
      <c r="AX725" s="136" t="str">
        <f>IF(AI689="","",IF(B725="","",B725))</f>
        <v/>
      </c>
      <c r="AY725" s="136" t="str">
        <f>IF(AI689="","",IF(C725="","",C725))</f>
        <v/>
      </c>
      <c r="AZ725" s="136" t="str">
        <f>IF(AI689="","",IF(D725="","",D725))</f>
        <v/>
      </c>
      <c r="BA725" s="136" t="str">
        <f>IF(AI689="","",IF(E725="","",E725))</f>
        <v/>
      </c>
      <c r="BB725" s="136" t="str">
        <f>IF(AI689="","",IF(F725="","",F725))</f>
        <v/>
      </c>
      <c r="BC725" s="136" t="str">
        <f>IF(AI689="","",IF(G725="","",G725))</f>
        <v/>
      </c>
      <c r="BD725" s="136" t="str">
        <f>IF(AI689="","",IF(H725="","",H725))</f>
        <v/>
      </c>
      <c r="BE725" s="136" t="str">
        <f>IF(AI689="","",IF(I725="","",I725))</f>
        <v/>
      </c>
      <c r="BF725" s="136" t="str">
        <f>IF(AI689="","",IF(J725="","",J725))</f>
        <v/>
      </c>
      <c r="BG725" s="136" t="str">
        <f>IF(AI689="","",IF(K725="","",K725))</f>
        <v/>
      </c>
      <c r="BH725" s="136" t="str">
        <f>IF(AI689="","",IF(L725="","",L725))</f>
        <v/>
      </c>
      <c r="BI725" s="136" t="str">
        <f>IF(AI689="","",IF(M725="","",M725))</f>
        <v/>
      </c>
      <c r="BJ725" s="136" t="str">
        <f>IF(AI689="","",IF(N725="","",N725))</f>
        <v/>
      </c>
      <c r="BK725" s="136" t="str">
        <f>IF(AI689="","",IF(O725="","",O725))</f>
        <v/>
      </c>
      <c r="BM725" s="136" t="str">
        <f t="shared" si="417"/>
        <v>AT</v>
      </c>
      <c r="BN725" s="136" t="str">
        <f t="shared" si="403"/>
        <v>Aulas Teóricas</v>
      </c>
      <c r="BO725" s="136" t="str">
        <f t="shared" si="403"/>
        <v>IAC</v>
      </c>
      <c r="BP725" s="136">
        <f>(COUNTIFS(AX693:AX740,BM725,AY693:AY740,BO725)+COUNTIFS(AZ693:AZ740,BM725,BA693:BA740,BO725)+COUNTIFS(BB693:BB740,BM725,BC693:BC740,BO725)+COUNTIFS(BD693:BD740,BM725,BE693:BE740,BO725)+COUNTIFS(BF693:BF740,BM725,BG693:BG740,BO725)+COUNTIFS(BH693:BH740,BM725,BI693:BI740,BO725)+COUNTIFS(BJ693:BJ740,BM725,BK693:BK740,BO725))*0.5</f>
        <v>0</v>
      </c>
      <c r="BQ725" s="136" t="str">
        <f t="shared" si="404"/>
        <v>Aulas Teóricas</v>
      </c>
      <c r="BR725" s="136" t="str">
        <f t="shared" si="404"/>
        <v>IAC</v>
      </c>
      <c r="BS725" s="136" t="str">
        <f t="shared" si="405"/>
        <v>Aulas Teóricas</v>
      </c>
      <c r="BT725" s="136">
        <f t="shared" si="411"/>
        <v>24</v>
      </c>
      <c r="BU725" s="136">
        <f t="shared" si="412"/>
        <v>24</v>
      </c>
      <c r="CA725" s="136">
        <f>'INFO BASE'!L803</f>
        <v>0</v>
      </c>
      <c r="CB725" s="136">
        <f>'INFO BASE'!M803</f>
        <v>0</v>
      </c>
      <c r="CR725" s="177">
        <f t="shared" si="393"/>
        <v>1</v>
      </c>
      <c r="CS725" s="177">
        <f t="shared" si="394"/>
        <v>1</v>
      </c>
      <c r="CT725" s="177">
        <f t="shared" si="393"/>
        <v>1</v>
      </c>
      <c r="CU725" s="177">
        <f t="shared" si="395"/>
        <v>1</v>
      </c>
      <c r="CV725" s="177">
        <f t="shared" si="393"/>
        <v>1</v>
      </c>
      <c r="CW725" s="177">
        <f t="shared" si="396"/>
        <v>1</v>
      </c>
      <c r="CX725" s="177">
        <f t="shared" si="393"/>
        <v>1</v>
      </c>
      <c r="CY725" s="177">
        <f t="shared" si="397"/>
        <v>1</v>
      </c>
      <c r="CZ725" s="177">
        <f t="shared" si="393"/>
        <v>1</v>
      </c>
      <c r="DA725" s="177">
        <f t="shared" si="398"/>
        <v>1</v>
      </c>
      <c r="DB725" s="177">
        <f t="shared" si="393"/>
        <v>1</v>
      </c>
      <c r="DC725" s="177">
        <f t="shared" si="399"/>
        <v>1</v>
      </c>
      <c r="DD725" s="177">
        <f t="shared" si="400"/>
        <v>1</v>
      </c>
      <c r="DE725" s="177">
        <f t="shared" si="401"/>
        <v>1</v>
      </c>
    </row>
    <row r="726" spans="1:109" ht="18" customHeight="1" x14ac:dyDescent="0.3">
      <c r="A726" s="81">
        <v>0.68750000000002198</v>
      </c>
      <c r="B726" s="153"/>
      <c r="C726" s="130"/>
      <c r="D726" s="135"/>
      <c r="E726" s="130"/>
      <c r="F726" s="135"/>
      <c r="G726" s="130"/>
      <c r="H726" s="135"/>
      <c r="I726" s="130"/>
      <c r="J726" s="135"/>
      <c r="K726" s="130"/>
      <c r="L726" s="135"/>
      <c r="M726" s="130"/>
      <c r="N726" s="135"/>
      <c r="O726" s="154"/>
      <c r="P726" s="6">
        <v>0</v>
      </c>
      <c r="Q726" s="122" t="str">
        <f t="shared" ref="Q726:Q731" si="418">Q725</f>
        <v>Aulas Teóricas</v>
      </c>
      <c r="R726" s="105" t="str">
        <f t="shared" si="410"/>
        <v>FP</v>
      </c>
      <c r="S726" s="88">
        <f t="shared" si="407"/>
        <v>-1</v>
      </c>
      <c r="T726" s="89">
        <f>IF(VLOOKUP(Q726,'INFO BASE'!$B$40:$I$54,IF(R726='INFO BASE'!$B$32,3,IF(R726='INFO BASE'!$B$33,4,IF(R726='INFO BASE'!$B$34,5,IF(R726='INFO BASE'!$B$35,6,IF(R726='INFO BASE'!$B$36,7,IF(R726='INFO BASE'!$B$37,8,2)))))),0)=0,"",VLOOKUP(Q726,'INFO BASE'!$B$40:$I$54,IF(R726='INFO BASE'!$B$32,3,IF(R726='INFO BASE'!$B$33,4,IF(R726='INFO BASE'!$B$34,5,IF(R726='INFO BASE'!$B$35,6,IF(R726='INFO BASE'!$B$36,7,IF(R726='INFO BASE'!$B$37,8,2)))))),0))</f>
        <v>3</v>
      </c>
      <c r="U726" s="89">
        <f>(COUNTIFS(C693:C740,R726,B693:B740,R725)+COUNTIFS(E693:E740,R726,D693:D740,R725)+COUNTIFS(G693:G740,R726,F693:F740,R725)+COUNTIFS(I693:I740,R726,H693:H740,R725)+COUNTIFS(K693:K740,R726,J693:J740,R725)+COUNTIFS(M693:M740,R726,L693:L740,R725)+COUNTIFS(O693:O740,R726,N693:N740,R725))*0.5</f>
        <v>0</v>
      </c>
      <c r="V726" s="89">
        <f>(COUNTIFS(AI693:AI740,R725,AJ693:AJ740,R719)+COUNTIFS(AK693:AK740,R725,AL693:AL740,R719)+COUNTIFS(AM693:AM740,R725,AN693:AN740,R719)+COUNTIFS(AO693:AO740,R725,AP693:AP740,R719)+COUNTIFS(AQ693:AQ740,R725,AR693:AR740,R719)+COUNTIFS(AS693:AS740,R725,AT693:AT740,R719)+COUNTIFS(AU693:AU740,R725,AV693:AV740,R719))*0.5</f>
        <v>0</v>
      </c>
      <c r="W726" s="90" t="str">
        <f>IF(AH689="","-",IF(V726=0,U726,IFERROR((U726/V726)-1,"-")))</f>
        <v>-</v>
      </c>
      <c r="X726" s="201">
        <f t="shared" si="408"/>
        <v>0</v>
      </c>
      <c r="Y726" s="271"/>
      <c r="Z726" s="272"/>
      <c r="AA726" s="272"/>
      <c r="AB726" s="272"/>
      <c r="AC726" s="272"/>
      <c r="AD726" s="272"/>
      <c r="AE726" s="272"/>
      <c r="AF726" s="273"/>
      <c r="AH726" s="136">
        <v>0.68750000000002198</v>
      </c>
      <c r="AI726" s="136" t="str">
        <f>IF(AH689="","",IF(B726="","",B726))</f>
        <v/>
      </c>
      <c r="AJ726" s="136" t="str">
        <f>IF(AH689="","",IF(C726="","",C726))</f>
        <v/>
      </c>
      <c r="AK726" s="136" t="str">
        <f>IF(AH689="","",IF(D726="","",D726))</f>
        <v/>
      </c>
      <c r="AL726" s="136" t="str">
        <f>IF(AH689="","",IF(E726="","",E726))</f>
        <v/>
      </c>
      <c r="AM726" s="136" t="str">
        <f>IF(AH689="","",IF(F726="","",F726))</f>
        <v/>
      </c>
      <c r="AN726" s="136" t="str">
        <f>IF(AH689="","",IF(G726="","",G726))</f>
        <v/>
      </c>
      <c r="AO726" s="136" t="str">
        <f>IF(AH689="","",IF(H726="","",H726))</f>
        <v/>
      </c>
      <c r="AP726" s="136" t="str">
        <f>IF(AH689="","",IF(I726="","",I726))</f>
        <v/>
      </c>
      <c r="AQ726" s="136" t="str">
        <f>IF(AH689="","",IF(J726="","",J726))</f>
        <v/>
      </c>
      <c r="AR726" s="136" t="str">
        <f>IF(AH689="","",IF(K726="","",K726))</f>
        <v/>
      </c>
      <c r="AS726" s="136" t="str">
        <f>IF(AH689="","",IF(L726="","",L726))</f>
        <v/>
      </c>
      <c r="AT726" s="136" t="str">
        <f>IF(AH689="","",IF(M726="","",M726))</f>
        <v/>
      </c>
      <c r="AU726" s="136" t="str">
        <f>IF(AH689="","",IF(N726="","",N726))</f>
        <v/>
      </c>
      <c r="AV726" s="136" t="str">
        <f>IF(AH689="","",IF(O726="","",O726))</f>
        <v/>
      </c>
      <c r="AX726" s="136" t="str">
        <f>IF(AI689="","",IF(B726="","",B726))</f>
        <v/>
      </c>
      <c r="AY726" s="136" t="str">
        <f>IF(AI689="","",IF(C726="","",C726))</f>
        <v/>
      </c>
      <c r="AZ726" s="136" t="str">
        <f>IF(AI689="","",IF(D726="","",D726))</f>
        <v/>
      </c>
      <c r="BA726" s="136" t="str">
        <f>IF(AI689="","",IF(E726="","",E726))</f>
        <v/>
      </c>
      <c r="BB726" s="136" t="str">
        <f>IF(AI689="","",IF(F726="","",F726))</f>
        <v/>
      </c>
      <c r="BC726" s="136" t="str">
        <f>IF(AI689="","",IF(G726="","",G726))</f>
        <v/>
      </c>
      <c r="BD726" s="136" t="str">
        <f>IF(AI689="","",IF(H726="","",H726))</f>
        <v/>
      </c>
      <c r="BE726" s="136" t="str">
        <f>IF(AI689="","",IF(I726="","",I726))</f>
        <v/>
      </c>
      <c r="BF726" s="136" t="str">
        <f>IF(AI689="","",IF(J726="","",J726))</f>
        <v/>
      </c>
      <c r="BG726" s="136" t="str">
        <f>IF(AI689="","",IF(K726="","",K726))</f>
        <v/>
      </c>
      <c r="BH726" s="136" t="str">
        <f>IF(AI689="","",IF(L726="","",L726))</f>
        <v/>
      </c>
      <c r="BI726" s="136" t="str">
        <f>IF(AI689="","",IF(M726="","",M726))</f>
        <v/>
      </c>
      <c r="BJ726" s="136" t="str">
        <f>IF(AI689="","",IF(N726="","",N726))</f>
        <v/>
      </c>
      <c r="BK726" s="136" t="str">
        <f>IF(AI689="","",IF(O726="","",O726))</f>
        <v/>
      </c>
      <c r="BM726" s="136" t="str">
        <f t="shared" si="417"/>
        <v>AT</v>
      </c>
      <c r="BN726" s="136" t="str">
        <f t="shared" si="403"/>
        <v>Aulas Teóricas</v>
      </c>
      <c r="BO726" s="136" t="str">
        <f t="shared" si="403"/>
        <v>AL</v>
      </c>
      <c r="BP726" s="136">
        <f>(COUNTIFS(AX693:AX740,BM726,AY693:AY740,BO726)+COUNTIFS(AZ693:AZ740,BM726,BA693:BA740,BO726)+COUNTIFS(BB693:BB740,BM726,BC693:BC740,BO726)+COUNTIFS(BD693:BD740,BM726,BE693:BE740,BO726)+COUNTIFS(BF693:BF740,BM726,BG693:BG740,BO726)+COUNTIFS(BH693:BH740,BM726,BI693:BI740,BO726)+COUNTIFS(BJ693:BJ740,BM726,BK693:BK740,BO726))*0.5</f>
        <v>0</v>
      </c>
      <c r="BQ726" s="136" t="str">
        <f t="shared" si="404"/>
        <v>Aulas Teóricas</v>
      </c>
      <c r="BR726" s="136" t="str">
        <f t="shared" si="404"/>
        <v>AL</v>
      </c>
      <c r="BS726" s="136" t="str">
        <f t="shared" si="405"/>
        <v>Aulas Teóricas</v>
      </c>
      <c r="BT726" s="136">
        <f t="shared" si="411"/>
        <v>24</v>
      </c>
      <c r="BU726" s="136">
        <f t="shared" si="412"/>
        <v>24</v>
      </c>
      <c r="CA726" s="136">
        <f>'INFO BASE'!L804</f>
        <v>0</v>
      </c>
      <c r="CB726" s="136">
        <f>'INFO BASE'!M804</f>
        <v>0</v>
      </c>
      <c r="CR726" s="177">
        <f t="shared" si="393"/>
        <v>1</v>
      </c>
      <c r="CS726" s="177">
        <f t="shared" si="394"/>
        <v>1</v>
      </c>
      <c r="CT726" s="177">
        <f t="shared" si="393"/>
        <v>1</v>
      </c>
      <c r="CU726" s="177">
        <f t="shared" si="395"/>
        <v>1</v>
      </c>
      <c r="CV726" s="177">
        <f t="shared" si="393"/>
        <v>1</v>
      </c>
      <c r="CW726" s="177">
        <f t="shared" si="396"/>
        <v>1</v>
      </c>
      <c r="CX726" s="177">
        <f t="shared" si="393"/>
        <v>1</v>
      </c>
      <c r="CY726" s="177">
        <f t="shared" si="397"/>
        <v>1</v>
      </c>
      <c r="CZ726" s="177">
        <f t="shared" si="393"/>
        <v>1</v>
      </c>
      <c r="DA726" s="177">
        <f t="shared" si="398"/>
        <v>1</v>
      </c>
      <c r="DB726" s="177">
        <f t="shared" si="393"/>
        <v>1</v>
      </c>
      <c r="DC726" s="177">
        <f t="shared" si="399"/>
        <v>1</v>
      </c>
      <c r="DD726" s="177">
        <f t="shared" si="400"/>
        <v>1</v>
      </c>
      <c r="DE726" s="177">
        <f t="shared" si="401"/>
        <v>1</v>
      </c>
    </row>
    <row r="727" spans="1:109" ht="18" customHeight="1" x14ac:dyDescent="0.3">
      <c r="A727" s="81">
        <v>0.70833333333335602</v>
      </c>
      <c r="B727" s="153"/>
      <c r="C727" s="130"/>
      <c r="D727" s="135"/>
      <c r="E727" s="130"/>
      <c r="F727" s="135"/>
      <c r="G727" s="130"/>
      <c r="H727" s="135"/>
      <c r="I727" s="130"/>
      <c r="J727" s="135"/>
      <c r="K727" s="130"/>
      <c r="L727" s="135"/>
      <c r="M727" s="130"/>
      <c r="N727" s="135"/>
      <c r="O727" s="154"/>
      <c r="P727" s="6">
        <v>0</v>
      </c>
      <c r="Q727" s="122" t="str">
        <f t="shared" si="418"/>
        <v>Aulas Teóricas</v>
      </c>
      <c r="R727" s="105" t="str">
        <f t="shared" si="410"/>
        <v>IEI</v>
      </c>
      <c r="S727" s="88">
        <f t="shared" si="407"/>
        <v>-1</v>
      </c>
      <c r="T727" s="106">
        <f>IF(VLOOKUP(Q727,'INFO BASE'!$B$40:$I$54,IF(R727='INFO BASE'!$B$32,3,IF(R727='INFO BASE'!$B$33,4,IF(R727='INFO BASE'!$B$34,5,IF(R727='INFO BASE'!$B$35,6,IF(R727='INFO BASE'!$B$36,7,IF(R727='INFO BASE'!$B$37,8,2)))))),0)=0,"",VLOOKUP(Q727,'INFO BASE'!$B$40:$I$54,IF(R727='INFO BASE'!$B$32,3,IF(R727='INFO BASE'!$B$33,4,IF(R727='INFO BASE'!$B$34,5,IF(R727='INFO BASE'!$B$35,6,IF(R727='INFO BASE'!$B$36,7,IF(R727='INFO BASE'!$B$37,8,2)))))),0))</f>
        <v>3</v>
      </c>
      <c r="U727" s="106">
        <f>(COUNTIFS(C693:C740,R727,B693:B740,R725)+COUNTIFS(E693:E740,R727,D693:D740,R725)+COUNTIFS(G693:G740,R727,F693:F740,R725)+COUNTIFS(I693:I740,R727,H693:H740,R725)+COUNTIFS(K693:K740,R727,J693:J740,R725)+COUNTIFS(M693:M740,R727,L693:L740,R725)+COUNTIFS(O693:O740,R727,N693:N740,R725))*0.5</f>
        <v>0</v>
      </c>
      <c r="V727" s="89">
        <f>(COUNTIFS(AI693:AI740,R725,AJ693:AJ740,R720)+COUNTIFS(AK693:AK740,R725,AL693:AL740,R720)+COUNTIFS(AM693:AM740,R725,AN693:AN740,R720)+COUNTIFS(AO693:AO740,R725,AP693:AP740,R720)+COUNTIFS(AQ693:AQ740,R725,AR693:AR740,R720)+COUNTIFS(AS693:AS740,R725,AT693:AT740,R720)+COUNTIFS(AU693:AU740,R725,AV693:AV740,R720))*0.5</f>
        <v>0</v>
      </c>
      <c r="W727" s="90" t="str">
        <f>IF(AH689="","-",IF(V727=0,U727,IFERROR((U727/V727)-1,"-")))</f>
        <v>-</v>
      </c>
      <c r="X727" s="201">
        <f t="shared" si="408"/>
        <v>0</v>
      </c>
      <c r="Y727" s="271"/>
      <c r="Z727" s="272"/>
      <c r="AA727" s="272"/>
      <c r="AB727" s="272"/>
      <c r="AC727" s="272"/>
      <c r="AD727" s="272"/>
      <c r="AE727" s="272"/>
      <c r="AF727" s="273"/>
      <c r="AH727" s="136">
        <v>0.70833333333335602</v>
      </c>
      <c r="AI727" s="136" t="str">
        <f>IF(AH689="","",IF(B727="","",B727))</f>
        <v/>
      </c>
      <c r="AJ727" s="136" t="str">
        <f>IF(AH689="","",IF(C727="","",C727))</f>
        <v/>
      </c>
      <c r="AK727" s="136" t="str">
        <f>IF(AH689="","",IF(D727="","",D727))</f>
        <v/>
      </c>
      <c r="AL727" s="136" t="str">
        <f>IF(AH689="","",IF(E727="","",E727))</f>
        <v/>
      </c>
      <c r="AM727" s="136" t="str">
        <f>IF(AH689="","",IF(F727="","",F727))</f>
        <v/>
      </c>
      <c r="AN727" s="136" t="str">
        <f>IF(AH689="","",IF(G727="","",G727))</f>
        <v/>
      </c>
      <c r="AO727" s="136" t="str">
        <f>IF(AH689="","",IF(H727="","",H727))</f>
        <v/>
      </c>
      <c r="AP727" s="136" t="str">
        <f>IF(AH689="","",IF(I727="","",I727))</f>
        <v/>
      </c>
      <c r="AQ727" s="136" t="str">
        <f>IF(AH689="","",IF(J727="","",J727))</f>
        <v/>
      </c>
      <c r="AR727" s="136" t="str">
        <f>IF(AH689="","",IF(K727="","",K727))</f>
        <v/>
      </c>
      <c r="AS727" s="136" t="str">
        <f>IF(AH689="","",IF(L727="","",L727))</f>
        <v/>
      </c>
      <c r="AT727" s="136" t="str">
        <f>IF(AH689="","",IF(M727="","",M727))</f>
        <v/>
      </c>
      <c r="AU727" s="136" t="str">
        <f>IF(AH689="","",IF(N727="","",N727))</f>
        <v/>
      </c>
      <c r="AV727" s="136" t="str">
        <f>IF(AH689="","",IF(O727="","",O727))</f>
        <v/>
      </c>
      <c r="AX727" s="136" t="str">
        <f>IF(AI689="","",IF(B727="","",B727))</f>
        <v/>
      </c>
      <c r="AY727" s="136" t="str">
        <f>IF(AI689="","",IF(C727="","",C727))</f>
        <v/>
      </c>
      <c r="AZ727" s="136" t="str">
        <f>IF(AI689="","",IF(D727="","",D727))</f>
        <v/>
      </c>
      <c r="BA727" s="136" t="str">
        <f>IF(AI689="","",IF(E727="","",E727))</f>
        <v/>
      </c>
      <c r="BB727" s="136" t="str">
        <f>IF(AI689="","",IF(F727="","",F727))</f>
        <v/>
      </c>
      <c r="BC727" s="136" t="str">
        <f>IF(AI689="","",IF(G727="","",G727))</f>
        <v/>
      </c>
      <c r="BD727" s="136" t="str">
        <f>IF(AI689="","",IF(H727="","",H727))</f>
        <v/>
      </c>
      <c r="BE727" s="136" t="str">
        <f>IF(AI689="","",IF(I727="","",I727))</f>
        <v/>
      </c>
      <c r="BF727" s="136" t="str">
        <f>IF(AI689="","",IF(J727="","",J727))</f>
        <v/>
      </c>
      <c r="BG727" s="136" t="str">
        <f>IF(AI689="","",IF(K727="","",K727))</f>
        <v/>
      </c>
      <c r="BH727" s="136" t="str">
        <f>IF(AI689="","",IF(L727="","",L727))</f>
        <v/>
      </c>
      <c r="BI727" s="136" t="str">
        <f>IF(AI689="","",IF(M727="","",M727))</f>
        <v/>
      </c>
      <c r="BJ727" s="136" t="str">
        <f>IF(AI689="","",IF(N727="","",N727))</f>
        <v/>
      </c>
      <c r="BK727" s="136" t="str">
        <f>IF(AI689="","",IF(O727="","",O727))</f>
        <v/>
      </c>
      <c r="BM727" s="136" t="str">
        <f t="shared" si="417"/>
        <v>AT</v>
      </c>
      <c r="BN727" s="136" t="str">
        <f t="shared" si="403"/>
        <v>Aulas Teóricas</v>
      </c>
      <c r="BO727" s="136" t="str">
        <f t="shared" si="403"/>
        <v>CDI</v>
      </c>
      <c r="BP727" s="136">
        <f>(COUNTIFS(AX693:AX740,BM727,AY693:AY740,BO727)+COUNTIFS(AZ693:AZ740,BM727,BA693:BA740,BO727)+COUNTIFS(BB693:BB740,BM727,BC693:BC740,BO727)+COUNTIFS(BD693:BD740,BM727,BE693:BE740,BO727)+COUNTIFS(BF693:BF740,BM727,BG693:BG740,BO727)+COUNTIFS(BH693:BH740,BM727,BI693:BI740,BO727)+COUNTIFS(BJ693:BJ740,BM727,BK693:BK740,BO727))*0.5</f>
        <v>0</v>
      </c>
      <c r="BQ727" s="136" t="str">
        <f t="shared" si="404"/>
        <v>Aulas Teóricas</v>
      </c>
      <c r="BR727" s="136" t="str">
        <f t="shared" si="404"/>
        <v>CDI</v>
      </c>
      <c r="BS727" s="136" t="str">
        <f t="shared" si="405"/>
        <v>Aulas Teóricas</v>
      </c>
      <c r="BT727" s="136">
        <f t="shared" si="411"/>
        <v>24</v>
      </c>
      <c r="BU727" s="136">
        <f t="shared" si="412"/>
        <v>24</v>
      </c>
      <c r="CA727" s="136">
        <f>'INFO BASE'!L805</f>
        <v>0</v>
      </c>
      <c r="CB727" s="136">
        <f>'INFO BASE'!M805</f>
        <v>0</v>
      </c>
      <c r="CR727" s="177">
        <f t="shared" si="393"/>
        <v>1</v>
      </c>
      <c r="CS727" s="177">
        <f t="shared" si="394"/>
        <v>1</v>
      </c>
      <c r="CT727" s="177">
        <f t="shared" si="393"/>
        <v>1</v>
      </c>
      <c r="CU727" s="177">
        <f t="shared" si="395"/>
        <v>1</v>
      </c>
      <c r="CV727" s="177">
        <f t="shared" si="393"/>
        <v>1</v>
      </c>
      <c r="CW727" s="177">
        <f t="shared" si="396"/>
        <v>1</v>
      </c>
      <c r="CX727" s="177">
        <f t="shared" si="393"/>
        <v>1</v>
      </c>
      <c r="CY727" s="177">
        <f t="shared" si="397"/>
        <v>1</v>
      </c>
      <c r="CZ727" s="177">
        <f t="shared" si="393"/>
        <v>1</v>
      </c>
      <c r="DA727" s="177">
        <f t="shared" si="398"/>
        <v>1</v>
      </c>
      <c r="DB727" s="177">
        <f t="shared" si="393"/>
        <v>1</v>
      </c>
      <c r="DC727" s="177">
        <f t="shared" si="399"/>
        <v>1</v>
      </c>
      <c r="DD727" s="177">
        <f t="shared" si="400"/>
        <v>1</v>
      </c>
      <c r="DE727" s="177">
        <f t="shared" si="401"/>
        <v>1</v>
      </c>
    </row>
    <row r="728" spans="1:109" ht="18" customHeight="1" x14ac:dyDescent="0.3">
      <c r="A728" s="81">
        <v>0.72916666666669006</v>
      </c>
      <c r="B728" s="153"/>
      <c r="C728" s="130"/>
      <c r="D728" s="135"/>
      <c r="E728" s="130"/>
      <c r="F728" s="135"/>
      <c r="G728" s="130"/>
      <c r="H728" s="135"/>
      <c r="I728" s="130"/>
      <c r="J728" s="135"/>
      <c r="K728" s="130"/>
      <c r="L728" s="135"/>
      <c r="M728" s="130"/>
      <c r="N728" s="135"/>
      <c r="O728" s="154"/>
      <c r="P728" s="6">
        <v>0</v>
      </c>
      <c r="Q728" s="123" t="str">
        <f t="shared" si="418"/>
        <v>Aulas Teóricas</v>
      </c>
      <c r="R728" s="105" t="str">
        <f t="shared" si="410"/>
        <v>IAC</v>
      </c>
      <c r="S728" s="88">
        <f t="shared" si="407"/>
        <v>-1</v>
      </c>
      <c r="T728" s="106">
        <f>IF(VLOOKUP(Q728,'INFO BASE'!$B$40:$I$54,IF(R728='INFO BASE'!$B$32,3,IF(R728='INFO BASE'!$B$33,4,IF(R728='INFO BASE'!$B$34,5,IF(R728='INFO BASE'!$B$35,6,IF(R728='INFO BASE'!$B$36,7,IF(R728='INFO BASE'!$B$37,8,2)))))),0)=0,"",VLOOKUP(Q728,'INFO BASE'!$B$40:$I$54,IF(R728='INFO BASE'!$B$32,3,IF(R728='INFO BASE'!$B$33,4,IF(R728='INFO BASE'!$B$34,5,IF(R728='INFO BASE'!$B$35,6,IF(R728='INFO BASE'!$B$36,7,IF(R728='INFO BASE'!$B$37,8,2)))))),0))</f>
        <v>3</v>
      </c>
      <c r="U728" s="106">
        <f>(COUNTIFS(C693:C740,R728,B693:B740,R725)+COUNTIFS(E693:E740,R728,D693:D740,R725)+COUNTIFS(G693:G740,R728,F693:F740,R725)+COUNTIFS(I693:I740,R728,H693:H740,R725)+COUNTIFS(K693:K740,R728,J693:J740,R725)+COUNTIFS(M693:M740,R728,L693:L740,R725)+COUNTIFS(O693:O740,R728,N693:N740,R725))*0.5</f>
        <v>0</v>
      </c>
      <c r="V728" s="89">
        <f>(COUNTIFS(AI693:AI740,R725,AJ693:AJ740,R721)+COUNTIFS(AK693:AK740,R725,AL693:AL740,R721)+COUNTIFS(AM693:AM740,R725,AN693:AN740,R721)+COUNTIFS(AO693:AO740,R725,AP693:AP740,R721)+COUNTIFS(AQ693:AQ740,R725,AR693:AR740,R721)+COUNTIFS(AS693:AS740,R725,AT693:AT740,R721)+COUNTIFS(AU693:AU740,R725,AV693:AV740,R721))*0.5</f>
        <v>0</v>
      </c>
      <c r="W728" s="90" t="str">
        <f>IF(AH689="","-",IF(V728=0,U728,IFERROR((U728/V728)-1,"-")))</f>
        <v>-</v>
      </c>
      <c r="X728" s="201">
        <f t="shared" si="408"/>
        <v>0</v>
      </c>
      <c r="Y728" s="271"/>
      <c r="Z728" s="272"/>
      <c r="AA728" s="272"/>
      <c r="AB728" s="272"/>
      <c r="AC728" s="272"/>
      <c r="AD728" s="272"/>
      <c r="AE728" s="272"/>
      <c r="AF728" s="273"/>
      <c r="AH728" s="136">
        <v>0.72916666666669006</v>
      </c>
      <c r="AI728" s="136" t="str">
        <f>IF(AH689="","",IF(B728="","",B728))</f>
        <v/>
      </c>
      <c r="AJ728" s="136" t="str">
        <f>IF(AH689="","",IF(C728="","",C728))</f>
        <v/>
      </c>
      <c r="AK728" s="136" t="str">
        <f>IF(AH689="","",IF(D728="","",D728))</f>
        <v/>
      </c>
      <c r="AL728" s="136" t="str">
        <f>IF(AH689="","",IF(E728="","",E728))</f>
        <v/>
      </c>
      <c r="AM728" s="136" t="str">
        <f>IF(AH689="","",IF(F728="","",F728))</f>
        <v/>
      </c>
      <c r="AN728" s="136" t="str">
        <f>IF(AH689="","",IF(G728="","",G728))</f>
        <v/>
      </c>
      <c r="AO728" s="136" t="str">
        <f>IF(AH689="","",IF(H728="","",H728))</f>
        <v/>
      </c>
      <c r="AP728" s="136" t="str">
        <f>IF(AH689="","",IF(I728="","",I728))</f>
        <v/>
      </c>
      <c r="AQ728" s="136" t="str">
        <f>IF(AH689="","",IF(J728="","",J728))</f>
        <v/>
      </c>
      <c r="AR728" s="136" t="str">
        <f>IF(AH689="","",IF(K728="","",K728))</f>
        <v/>
      </c>
      <c r="AS728" s="136" t="str">
        <f>IF(AH689="","",IF(L728="","",L728))</f>
        <v/>
      </c>
      <c r="AT728" s="136" t="str">
        <f>IF(AH689="","",IF(M728="","",M728))</f>
        <v/>
      </c>
      <c r="AU728" s="136" t="str">
        <f>IF(AH689="","",IF(N728="","",N728))</f>
        <v/>
      </c>
      <c r="AV728" s="136" t="str">
        <f>IF(AH689="","",IF(O728="","",O728))</f>
        <v/>
      </c>
      <c r="AX728" s="136" t="str">
        <f>IF(AI689="","",IF(B728="","",B728))</f>
        <v/>
      </c>
      <c r="AY728" s="136" t="str">
        <f>IF(AI689="","",IF(C728="","",C728))</f>
        <v/>
      </c>
      <c r="AZ728" s="136" t="str">
        <f>IF(AI689="","",IF(D728="","",D728))</f>
        <v/>
      </c>
      <c r="BA728" s="136" t="str">
        <f>IF(AI689="","",IF(E728="","",E728))</f>
        <v/>
      </c>
      <c r="BB728" s="136" t="str">
        <f>IF(AI689="","",IF(F728="","",F728))</f>
        <v/>
      </c>
      <c r="BC728" s="136" t="str">
        <f>IF(AI689="","",IF(G728="","",G728))</f>
        <v/>
      </c>
      <c r="BD728" s="136" t="str">
        <f>IF(AI689="","",IF(H728="","",H728))</f>
        <v/>
      </c>
      <c r="BE728" s="136" t="str">
        <f>IF(AI689="","",IF(I728="","",I728))</f>
        <v/>
      </c>
      <c r="BF728" s="136" t="str">
        <f>IF(AI689="","",IF(J728="","",J728))</f>
        <v/>
      </c>
      <c r="BG728" s="136" t="str">
        <f>IF(AI689="","",IF(K728="","",K728))</f>
        <v/>
      </c>
      <c r="BH728" s="136" t="str">
        <f>IF(AI689="","",IF(L728="","",L728))</f>
        <v/>
      </c>
      <c r="BI728" s="136" t="str">
        <f>IF(AI689="","",IF(M728="","",M728))</f>
        <v/>
      </c>
      <c r="BJ728" s="136" t="str">
        <f>IF(AI689="","",IF(N728="","",N728))</f>
        <v/>
      </c>
      <c r="BK728" s="136" t="str">
        <f>IF(AI689="","",IF(O728="","",O728))</f>
        <v/>
      </c>
      <c r="BM728" s="136" t="str">
        <f t="shared" si="417"/>
        <v>AT</v>
      </c>
      <c r="BN728" s="136" t="str">
        <f t="shared" si="403"/>
        <v>Aulas Teóricas</v>
      </c>
      <c r="BO728" s="136" t="str">
        <f t="shared" si="403"/>
        <v/>
      </c>
      <c r="BP728" s="136">
        <f>(COUNTIFS(AX693:AX740,BM728,AY693:AY740,BO728)+COUNTIFS(AZ693:AZ740,BM728,BA693:BA740,BO728)+COUNTIFS(BB693:BB740,BM728,BC693:BC740,BO728)+COUNTIFS(BD693:BD740,BM728,BE693:BE740,BO728)+COUNTIFS(BF693:BF740,BM728,BG693:BG740,BO728)+COUNTIFS(BH693:BH740,BM728,BI693:BI740,BO728)+COUNTIFS(BJ693:BJ740,BM728,BK693:BK740,BO728))*0.5</f>
        <v>0</v>
      </c>
      <c r="BQ728" s="136" t="str">
        <f t="shared" si="404"/>
        <v>Aulas Teóricas</v>
      </c>
      <c r="BR728" s="136" t="str">
        <f t="shared" si="404"/>
        <v/>
      </c>
      <c r="BS728" s="136" t="str">
        <f t="shared" si="405"/>
        <v>Aulas Teóricas</v>
      </c>
      <c r="BT728" s="136">
        <f t="shared" si="411"/>
        <v>0</v>
      </c>
      <c r="BU728" s="136">
        <f t="shared" si="412"/>
        <v>0</v>
      </c>
      <c r="CA728" s="136">
        <f>'INFO BASE'!L806</f>
        <v>0</v>
      </c>
      <c r="CB728" s="136">
        <f>'INFO BASE'!M806</f>
        <v>0</v>
      </c>
      <c r="CR728" s="177">
        <f t="shared" si="393"/>
        <v>1</v>
      </c>
      <c r="CS728" s="177">
        <f t="shared" si="394"/>
        <v>1</v>
      </c>
      <c r="CT728" s="177">
        <f t="shared" si="393"/>
        <v>1</v>
      </c>
      <c r="CU728" s="177">
        <f t="shared" si="395"/>
        <v>1</v>
      </c>
      <c r="CV728" s="177">
        <f t="shared" si="393"/>
        <v>1</v>
      </c>
      <c r="CW728" s="177">
        <f t="shared" si="396"/>
        <v>1</v>
      </c>
      <c r="CX728" s="177">
        <f t="shared" si="393"/>
        <v>1</v>
      </c>
      <c r="CY728" s="177">
        <f t="shared" si="397"/>
        <v>1</v>
      </c>
      <c r="CZ728" s="177">
        <f t="shared" si="393"/>
        <v>1</v>
      </c>
      <c r="DA728" s="177">
        <f t="shared" si="398"/>
        <v>1</v>
      </c>
      <c r="DB728" s="177">
        <f t="shared" si="393"/>
        <v>1</v>
      </c>
      <c r="DC728" s="177">
        <f t="shared" si="399"/>
        <v>1</v>
      </c>
      <c r="DD728" s="177">
        <f t="shared" si="400"/>
        <v>1</v>
      </c>
      <c r="DE728" s="177">
        <f t="shared" si="401"/>
        <v>1</v>
      </c>
    </row>
    <row r="729" spans="1:109" ht="18" customHeight="1" x14ac:dyDescent="0.3">
      <c r="A729" s="81">
        <v>0.75000000000002398</v>
      </c>
      <c r="B729" s="153"/>
      <c r="C729" s="130"/>
      <c r="D729" s="135"/>
      <c r="E729" s="130"/>
      <c r="F729" s="135"/>
      <c r="G729" s="130"/>
      <c r="H729" s="135"/>
      <c r="I729" s="130"/>
      <c r="J729" s="135"/>
      <c r="K729" s="130"/>
      <c r="L729" s="135"/>
      <c r="M729" s="130"/>
      <c r="N729" s="135"/>
      <c r="O729" s="154"/>
      <c r="P729" s="6">
        <v>0</v>
      </c>
      <c r="Q729" s="122" t="str">
        <f t="shared" si="418"/>
        <v>Aulas Teóricas</v>
      </c>
      <c r="R729" s="105" t="str">
        <f t="shared" si="410"/>
        <v>AL</v>
      </c>
      <c r="S729" s="88">
        <f t="shared" si="407"/>
        <v>-1</v>
      </c>
      <c r="T729" s="106">
        <f>IF(VLOOKUP(Q729,'INFO BASE'!$B$40:$I$54,IF(R729='INFO BASE'!$B$32,3,IF(R729='INFO BASE'!$B$33,4,IF(R729='INFO BASE'!$B$34,5,IF(R729='INFO BASE'!$B$35,6,IF(R729='INFO BASE'!$B$36,7,IF(R729='INFO BASE'!$B$37,8,2)))))),0)=0,"",VLOOKUP(Q729,'INFO BASE'!$B$40:$I$54,IF(R729='INFO BASE'!$B$32,3,IF(R729='INFO BASE'!$B$33,4,IF(R729='INFO BASE'!$B$34,5,IF(R729='INFO BASE'!$B$35,6,IF(R729='INFO BASE'!$B$36,7,IF(R729='INFO BASE'!$B$37,8,2)))))),0))</f>
        <v>3</v>
      </c>
      <c r="U729" s="106">
        <f>(COUNTIFS(C693:C740,R729,B693:B740,R725)+COUNTIFS(E693:E740,R729,D693:D740,R725)+COUNTIFS(G693:G740,R729,F693:F740,R725)+COUNTIFS(I693:I740,R729,H693:H740,R725)+COUNTIFS(K693:K740,R729,J693:J740,R725)+COUNTIFS(M693:M740,R729,L693:L740,R725)+COUNTIFS(O693:O740,R729,N693:N740,R725))*0.5</f>
        <v>0</v>
      </c>
      <c r="V729" s="89">
        <f>(COUNTIFS(AI693:AI740,R725,AJ693:AJ740,R722)+COUNTIFS(AK693:AK740,R725,AL693:AL740,R722)+COUNTIFS(AM693:AM740,R725,AN693:AN740,R722)+COUNTIFS(AO693:AO740,R725,AP693:AP740,R722)+COUNTIFS(AQ693:AQ740,R725,AR693:AR740,R722)+COUNTIFS(AS693:AS740,R725,AT693:AT740,R722)+COUNTIFS(AU693:AU740,R725,AV693:AV740,R722))*0.5</f>
        <v>0</v>
      </c>
      <c r="W729" s="90" t="str">
        <f>IF(AH689="","-",IF(V729=0,U729,IFERROR((U729/V729)-1,"-")))</f>
        <v>-</v>
      </c>
      <c r="X729" s="201">
        <f t="shared" si="408"/>
        <v>0</v>
      </c>
      <c r="Y729" s="271"/>
      <c r="Z729" s="272"/>
      <c r="AA729" s="272"/>
      <c r="AB729" s="272"/>
      <c r="AC729" s="272"/>
      <c r="AD729" s="272"/>
      <c r="AE729" s="272"/>
      <c r="AF729" s="273"/>
      <c r="AH729" s="136">
        <v>0.75000000000002398</v>
      </c>
      <c r="AI729" s="136" t="str">
        <f>IF(AH689="","",IF(B729="","",B729))</f>
        <v/>
      </c>
      <c r="AJ729" s="136" t="str">
        <f>IF(AH689="","",IF(C729="","",C729))</f>
        <v/>
      </c>
      <c r="AK729" s="136" t="str">
        <f>IF(AH689="","",IF(D729="","",D729))</f>
        <v/>
      </c>
      <c r="AL729" s="136" t="str">
        <f>IF(AH689="","",IF(E729="","",E729))</f>
        <v/>
      </c>
      <c r="AM729" s="136" t="str">
        <f>IF(AH689="","",IF(F729="","",F729))</f>
        <v/>
      </c>
      <c r="AN729" s="136" t="str">
        <f>IF(AH689="","",IF(G729="","",G729))</f>
        <v/>
      </c>
      <c r="AO729" s="136" t="str">
        <f>IF(AH689="","",IF(H729="","",H729))</f>
        <v/>
      </c>
      <c r="AP729" s="136" t="str">
        <f>IF(AH689="","",IF(I729="","",I729))</f>
        <v/>
      </c>
      <c r="AQ729" s="136" t="str">
        <f>IF(AH689="","",IF(J729="","",J729))</f>
        <v/>
      </c>
      <c r="AR729" s="136" t="str">
        <f>IF(AH689="","",IF(K729="","",K729))</f>
        <v/>
      </c>
      <c r="AS729" s="136" t="str">
        <f>IF(AH689="","",IF(L729="","",L729))</f>
        <v/>
      </c>
      <c r="AT729" s="136" t="str">
        <f>IF(AH689="","",IF(M729="","",M729))</f>
        <v/>
      </c>
      <c r="AU729" s="136" t="str">
        <f>IF(AH689="","",IF(N729="","",N729))</f>
        <v/>
      </c>
      <c r="AV729" s="136" t="str">
        <f>IF(AH689="","",IF(O729="","",O729))</f>
        <v/>
      </c>
      <c r="AX729" s="136" t="str">
        <f>IF(AI689="","",IF(B729="","",B729))</f>
        <v/>
      </c>
      <c r="AY729" s="136" t="str">
        <f>IF(AI689="","",IF(C729="","",C729))</f>
        <v/>
      </c>
      <c r="AZ729" s="136" t="str">
        <f>IF(AI689="","",IF(D729="","",D729))</f>
        <v/>
      </c>
      <c r="BA729" s="136" t="str">
        <f>IF(AI689="","",IF(E729="","",E729))</f>
        <v/>
      </c>
      <c r="BB729" s="136" t="str">
        <f>IF(AI689="","",IF(F729="","",F729))</f>
        <v/>
      </c>
      <c r="BC729" s="136" t="str">
        <f>IF(AI689="","",IF(G729="","",G729))</f>
        <v/>
      </c>
      <c r="BD729" s="136" t="str">
        <f>IF(AI689="","",IF(H729="","",H729))</f>
        <v/>
      </c>
      <c r="BE729" s="136" t="str">
        <f>IF(AI689="","",IF(I729="","",I729))</f>
        <v/>
      </c>
      <c r="BF729" s="136" t="str">
        <f>IF(AI689="","",IF(J729="","",J729))</f>
        <v/>
      </c>
      <c r="BG729" s="136" t="str">
        <f>IF(AI689="","",IF(K729="","",K729))</f>
        <v/>
      </c>
      <c r="BH729" s="136" t="str">
        <f>IF(AI689="","",IF(L729="","",L729))</f>
        <v/>
      </c>
      <c r="BI729" s="136" t="str">
        <f>IF(AI689="","",IF(M729="","",M729))</f>
        <v/>
      </c>
      <c r="BJ729" s="136" t="str">
        <f>IF(AI689="","",IF(N729="","",N729))</f>
        <v/>
      </c>
      <c r="BK729" s="136" t="str">
        <f>IF(AI689="","",IF(O729="","",O729))</f>
        <v/>
      </c>
      <c r="BN729" s="136" t="str">
        <f t="shared" si="403"/>
        <v>Aulas Práticas</v>
      </c>
      <c r="BO729" s="136" t="str">
        <f t="shared" si="403"/>
        <v>APA</v>
      </c>
      <c r="BP729" s="136">
        <f>IF(BO729="","",COUNTIFS(AX693:BK740,BO729)*0.5)</f>
        <v>0</v>
      </c>
      <c r="BQ729" s="136" t="str">
        <f t="shared" si="404"/>
        <v>Aulas Práticas</v>
      </c>
      <c r="BR729" s="136" t="str">
        <f t="shared" si="404"/>
        <v>APA</v>
      </c>
      <c r="BS729" s="136" t="str">
        <f t="shared" si="405"/>
        <v>Aulas Práticas</v>
      </c>
      <c r="BT729" s="136">
        <f t="shared" si="411"/>
        <v>0</v>
      </c>
      <c r="BU729" s="136">
        <f t="shared" si="412"/>
        <v>0</v>
      </c>
      <c r="CA729" s="136">
        <f>'INFO BASE'!L807</f>
        <v>0</v>
      </c>
      <c r="CB729" s="136">
        <f>'INFO BASE'!M807</f>
        <v>0</v>
      </c>
      <c r="CR729" s="177">
        <f t="shared" si="393"/>
        <v>1</v>
      </c>
      <c r="CS729" s="177">
        <f t="shared" si="394"/>
        <v>1</v>
      </c>
      <c r="CT729" s="177">
        <f t="shared" si="393"/>
        <v>1</v>
      </c>
      <c r="CU729" s="177">
        <f t="shared" si="395"/>
        <v>1</v>
      </c>
      <c r="CV729" s="177">
        <f t="shared" si="393"/>
        <v>1</v>
      </c>
      <c r="CW729" s="177">
        <f t="shared" si="396"/>
        <v>1</v>
      </c>
      <c r="CX729" s="177">
        <f t="shared" si="393"/>
        <v>1</v>
      </c>
      <c r="CY729" s="177">
        <f t="shared" si="397"/>
        <v>1</v>
      </c>
      <c r="CZ729" s="177">
        <f t="shared" si="393"/>
        <v>1</v>
      </c>
      <c r="DA729" s="177">
        <f t="shared" si="398"/>
        <v>1</v>
      </c>
      <c r="DB729" s="177">
        <f t="shared" si="393"/>
        <v>1</v>
      </c>
      <c r="DC729" s="177">
        <f t="shared" si="399"/>
        <v>1</v>
      </c>
      <c r="DD729" s="177">
        <f t="shared" si="400"/>
        <v>1</v>
      </c>
      <c r="DE729" s="177">
        <f t="shared" si="401"/>
        <v>1</v>
      </c>
    </row>
    <row r="730" spans="1:109" ht="18" customHeight="1" x14ac:dyDescent="0.3">
      <c r="A730" s="81">
        <v>0.77083333333335802</v>
      </c>
      <c r="B730" s="153"/>
      <c r="C730" s="130"/>
      <c r="D730" s="135"/>
      <c r="E730" s="130"/>
      <c r="F730" s="135"/>
      <c r="G730" s="130"/>
      <c r="H730" s="135"/>
      <c r="I730" s="130"/>
      <c r="J730" s="135"/>
      <c r="K730" s="130"/>
      <c r="L730" s="135"/>
      <c r="M730" s="130"/>
      <c r="N730" s="135"/>
      <c r="O730" s="154"/>
      <c r="P730" s="6">
        <v>0</v>
      </c>
      <c r="Q730" s="122" t="str">
        <f t="shared" si="418"/>
        <v>Aulas Teóricas</v>
      </c>
      <c r="R730" s="105" t="str">
        <f t="shared" si="410"/>
        <v>CDI</v>
      </c>
      <c r="S730" s="88">
        <f t="shared" si="407"/>
        <v>-1</v>
      </c>
      <c r="T730" s="106">
        <f>IF(VLOOKUP(Q730,'INFO BASE'!$B$40:$I$54,IF(R730='INFO BASE'!$B$32,3,IF(R730='INFO BASE'!$B$33,4,IF(R730='INFO BASE'!$B$34,5,IF(R730='INFO BASE'!$B$35,6,IF(R730='INFO BASE'!$B$36,7,IF(R730='INFO BASE'!$B$37,8,2)))))),0)=0,"",VLOOKUP(Q730,'INFO BASE'!$B$40:$I$54,IF(R730='INFO BASE'!$B$32,3,IF(R730='INFO BASE'!$B$33,4,IF(R730='INFO BASE'!$B$34,5,IF(R730='INFO BASE'!$B$35,6,IF(R730='INFO BASE'!$B$36,7,IF(R730='INFO BASE'!$B$37,8,2)))))),0))</f>
        <v>3</v>
      </c>
      <c r="U730" s="106">
        <f>(COUNTIFS(C693:C740,R730,B693:B740,R725)+COUNTIFS(E693:E740,R730,D693:D740,R725)+COUNTIFS(G693:G740,R730,F693:F740,R725)+COUNTIFS(I693:I740,R730,H693:H740,R725)+COUNTIFS(K693:K740,R730,J693:J740,R725)+COUNTIFS(M693:M740,R730,L693:L740,R725)+COUNTIFS(O693:O740,R730,N693:N740,R725))*0.5</f>
        <v>0</v>
      </c>
      <c r="V730" s="89">
        <f>(COUNTIFS(AI693:AI740,R725,AJ693:AJ740,R723)+COUNTIFS(AK693:AK740,R725,AL693:AL740,R723)+COUNTIFS(AM693:AM740,R725,AN693:AN740,R723)+COUNTIFS(AO693:AO740,R725,AP693:AP740,R723)+COUNTIFS(AQ693:AQ740,R725,AR693:AR740,R723)+COUNTIFS(AS693:AS740,R725,AT693:AT740,R723)+COUNTIFS(AU693:AU740,R725,AV693:AV740,R723))*0.5</f>
        <v>0</v>
      </c>
      <c r="W730" s="90" t="str">
        <f>IF(AH689="","-",IF(V730=0,U730,IFERROR((U730/V730)-1,"-")))</f>
        <v>-</v>
      </c>
      <c r="X730" s="201">
        <f t="shared" si="408"/>
        <v>0</v>
      </c>
      <c r="Y730" s="271"/>
      <c r="Z730" s="272"/>
      <c r="AA730" s="272"/>
      <c r="AB730" s="272"/>
      <c r="AC730" s="272"/>
      <c r="AD730" s="272"/>
      <c r="AE730" s="272"/>
      <c r="AF730" s="273"/>
      <c r="AH730" s="136">
        <v>0.77083333333335802</v>
      </c>
      <c r="AI730" s="136" t="str">
        <f>IF(AH689="","",IF(B730="","",B730))</f>
        <v/>
      </c>
      <c r="AJ730" s="136" t="str">
        <f>IF(AH689="","",IF(C730="","",C730))</f>
        <v/>
      </c>
      <c r="AK730" s="136" t="str">
        <f>IF(AH689="","",IF(D730="","",D730))</f>
        <v/>
      </c>
      <c r="AL730" s="136" t="str">
        <f>IF(AH689="","",IF(E730="","",E730))</f>
        <v/>
      </c>
      <c r="AM730" s="136" t="str">
        <f>IF(AH689="","",IF(F730="","",F730))</f>
        <v/>
      </c>
      <c r="AN730" s="136" t="str">
        <f>IF(AH689="","",IF(G730="","",G730))</f>
        <v/>
      </c>
      <c r="AO730" s="136" t="str">
        <f>IF(AH689="","",IF(H730="","",H730))</f>
        <v/>
      </c>
      <c r="AP730" s="136" t="str">
        <f>IF(AH689="","",IF(I730="","",I730))</f>
        <v/>
      </c>
      <c r="AQ730" s="136" t="str">
        <f>IF(AH689="","",IF(J730="","",J730))</f>
        <v/>
      </c>
      <c r="AR730" s="136" t="str">
        <f>IF(AH689="","",IF(K730="","",K730))</f>
        <v/>
      </c>
      <c r="AS730" s="136" t="str">
        <f>IF(AH689="","",IF(L730="","",L730))</f>
        <v/>
      </c>
      <c r="AT730" s="136" t="str">
        <f>IF(AH689="","",IF(M730="","",M730))</f>
        <v/>
      </c>
      <c r="AU730" s="136" t="str">
        <f>IF(AH689="","",IF(N730="","",N730))</f>
        <v/>
      </c>
      <c r="AV730" s="136" t="str">
        <f>IF(AH689="","",IF(O730="","",O730))</f>
        <v/>
      </c>
      <c r="AX730" s="136" t="str">
        <f>IF(AI689="","",IF(B730="","",B730))</f>
        <v/>
      </c>
      <c r="AY730" s="136" t="str">
        <f>IF(AI689="","",IF(C730="","",C730))</f>
        <v/>
      </c>
      <c r="AZ730" s="136" t="str">
        <f>IF(AI689="","",IF(D730="","",D730))</f>
        <v/>
      </c>
      <c r="BA730" s="136" t="str">
        <f>IF(AI689="","",IF(E730="","",E730))</f>
        <v/>
      </c>
      <c r="BB730" s="136" t="str">
        <f>IF(AI689="","",IF(F730="","",F730))</f>
        <v/>
      </c>
      <c r="BC730" s="136" t="str">
        <f>IF(AI689="","",IF(G730="","",G730))</f>
        <v/>
      </c>
      <c r="BD730" s="136" t="str">
        <f>IF(AI689="","",IF(H730="","",H730))</f>
        <v/>
      </c>
      <c r="BE730" s="136" t="str">
        <f>IF(AI689="","",IF(I730="","",I730))</f>
        <v/>
      </c>
      <c r="BF730" s="136" t="str">
        <f>IF(AI689="","",IF(J730="","",J730))</f>
        <v/>
      </c>
      <c r="BG730" s="136" t="str">
        <f>IF(AI689="","",IF(K730="","",K730))</f>
        <v/>
      </c>
      <c r="BH730" s="136" t="str">
        <f>IF(AI689="","",IF(L730="","",L730))</f>
        <v/>
      </c>
      <c r="BI730" s="136" t="str">
        <f>IF(AI689="","",IF(M730="","",M730))</f>
        <v/>
      </c>
      <c r="BJ730" s="136" t="str">
        <f>IF(AI689="","",IF(N730="","",N730))</f>
        <v/>
      </c>
      <c r="BK730" s="136" t="str">
        <f>IF(AI689="","",IF(O730="","",O730))</f>
        <v/>
      </c>
      <c r="BN730" s="136" t="str">
        <f t="shared" si="403"/>
        <v>Aulas Problemas</v>
      </c>
      <c r="BO730" s="136" t="str">
        <f t="shared" si="403"/>
        <v>APB</v>
      </c>
      <c r="BP730" s="136">
        <f>IF(BO730="","",COUNTIFS(AX693:BK740,BO730)*0.5)</f>
        <v>0</v>
      </c>
      <c r="BQ730" s="136" t="str">
        <f t="shared" si="404"/>
        <v>Aulas Problemas</v>
      </c>
      <c r="BR730" s="136" t="str">
        <f t="shared" si="404"/>
        <v>APB</v>
      </c>
      <c r="BS730" s="136" t="str">
        <f t="shared" si="405"/>
        <v>Aulas Problemas</v>
      </c>
      <c r="BT730" s="136">
        <f t="shared" si="411"/>
        <v>36</v>
      </c>
      <c r="BU730" s="136">
        <f t="shared" si="412"/>
        <v>36</v>
      </c>
      <c r="CR730" s="177">
        <f t="shared" si="393"/>
        <v>1</v>
      </c>
      <c r="CS730" s="177">
        <f t="shared" si="394"/>
        <v>1</v>
      </c>
      <c r="CT730" s="177">
        <f t="shared" si="393"/>
        <v>1</v>
      </c>
      <c r="CU730" s="177">
        <f t="shared" si="395"/>
        <v>1</v>
      </c>
      <c r="CV730" s="177">
        <f t="shared" si="393"/>
        <v>1</v>
      </c>
      <c r="CW730" s="177">
        <f t="shared" si="396"/>
        <v>1</v>
      </c>
      <c r="CX730" s="177">
        <f t="shared" si="393"/>
        <v>1</v>
      </c>
      <c r="CY730" s="177">
        <f t="shared" si="397"/>
        <v>1</v>
      </c>
      <c r="CZ730" s="177">
        <f t="shared" si="393"/>
        <v>1</v>
      </c>
      <c r="DA730" s="177">
        <f t="shared" si="398"/>
        <v>1</v>
      </c>
      <c r="DB730" s="177">
        <f t="shared" si="393"/>
        <v>1</v>
      </c>
      <c r="DC730" s="177">
        <f t="shared" si="399"/>
        <v>1</v>
      </c>
      <c r="DD730" s="177">
        <f t="shared" si="400"/>
        <v>1</v>
      </c>
      <c r="DE730" s="177">
        <f t="shared" si="401"/>
        <v>1</v>
      </c>
    </row>
    <row r="731" spans="1:109" ht="18" customHeight="1" thickBot="1" x14ac:dyDescent="0.35">
      <c r="A731" s="81">
        <v>0.79166666666669205</v>
      </c>
      <c r="B731" s="153"/>
      <c r="C731" s="130"/>
      <c r="D731" s="135"/>
      <c r="E731" s="130"/>
      <c r="F731" s="135"/>
      <c r="G731" s="130"/>
      <c r="H731" s="135"/>
      <c r="I731" s="130"/>
      <c r="J731" s="135"/>
      <c r="K731" s="130"/>
      <c r="L731" s="135"/>
      <c r="M731" s="130"/>
      <c r="N731" s="135"/>
      <c r="O731" s="154"/>
      <c r="P731" s="6">
        <v>0</v>
      </c>
      <c r="Q731" s="124" t="str">
        <f t="shared" si="418"/>
        <v>Aulas Teóricas</v>
      </c>
      <c r="R731" s="107" t="str">
        <f t="shared" si="410"/>
        <v/>
      </c>
      <c r="S731" s="94" t="str">
        <f t="shared" si="407"/>
        <v>-</v>
      </c>
      <c r="T731" s="108" t="str">
        <f>IF(VLOOKUP(Q731,'INFO BASE'!$B$40:$I$54,IF(R731='INFO BASE'!$B$32,3,IF(R731='INFO BASE'!$B$33,4,IF(R731='INFO BASE'!$B$34,5,IF(R731='INFO BASE'!$B$35,6,IF(R731='INFO BASE'!$B$36,7,IF(R731='INFO BASE'!$B$37,8,2)))))),0)=0,"",VLOOKUP(Q731,'INFO BASE'!$B$40:$I$54,IF(R731='INFO BASE'!$B$32,3,IF(R731='INFO BASE'!$B$33,4,IF(R731='INFO BASE'!$B$34,5,IF(R731='INFO BASE'!$B$35,6,IF(R731='INFO BASE'!$B$36,7,IF(R731='INFO BASE'!$B$37,8,2)))))),0))</f>
        <v/>
      </c>
      <c r="U731" s="108">
        <f>(COUNTIFS(C693:C740,R731,B693:B740,R725)+COUNTIFS(E693:E740,R731,D693:D740,R725)+COUNTIFS(G693:G740,R731,F693:F740,R725)+COUNTIFS(I693:I740,R731,H693:H740,R725)+COUNTIFS(K693:K740,R731,J693:J740,R725)+COUNTIFS(M693:M740,R731,L693:L740,R725)+COUNTIFS(O693:O740,R731,N693:N740,R725))*0.5</f>
        <v>0</v>
      </c>
      <c r="V731" s="95">
        <f>(COUNTIFS(AI693:AI740,R725,AJ693:AJ740,R724)+COUNTIFS(AK693:AK740,R725,AL693:AL740,R724)+COUNTIFS(AM693:AM740,R725,AN693:AN740,R724)+COUNTIFS(AO693:AO740,R725,AP693:AP740,R724)+COUNTIFS(AQ693:AQ740,R725,AR693:AR740,R724)+COUNTIFS(AS693:AS740,R725,AT693:AT740,R724)+COUNTIFS(AU693:AU740,R725,AV693:AV740,R724))*0.5</f>
        <v>0</v>
      </c>
      <c r="W731" s="96" t="str">
        <f>IF(AH689="","-",IF(V731=0,U731,IFERROR((U731/V731)-1,"-")))</f>
        <v>-</v>
      </c>
      <c r="X731" s="201">
        <f t="shared" si="408"/>
        <v>0</v>
      </c>
      <c r="Y731" s="274"/>
      <c r="Z731" s="275"/>
      <c r="AA731" s="275"/>
      <c r="AB731" s="275"/>
      <c r="AC731" s="275"/>
      <c r="AD731" s="275"/>
      <c r="AE731" s="275"/>
      <c r="AF731" s="276"/>
      <c r="AH731" s="136">
        <v>0.79166666666669205</v>
      </c>
      <c r="AI731" s="136" t="str">
        <f>IF(AH689="","",IF(B731="","",B731))</f>
        <v/>
      </c>
      <c r="AJ731" s="136" t="str">
        <f>IF(AH689="","",IF(C731="","",C731))</f>
        <v/>
      </c>
      <c r="AK731" s="136" t="str">
        <f>IF(AH689="","",IF(D731="","",D731))</f>
        <v/>
      </c>
      <c r="AL731" s="136" t="str">
        <f>IF(AH689="","",IF(E731="","",E731))</f>
        <v/>
      </c>
      <c r="AM731" s="136" t="str">
        <f>IF(AH689="","",IF(F731="","",F731))</f>
        <v/>
      </c>
      <c r="AN731" s="136" t="str">
        <f>IF(AH689="","",IF(G731="","",G731))</f>
        <v/>
      </c>
      <c r="AO731" s="136" t="str">
        <f>IF(AH689="","",IF(H731="","",H731))</f>
        <v/>
      </c>
      <c r="AP731" s="136" t="str">
        <f>IF(AH689="","",IF(I731="","",I731))</f>
        <v/>
      </c>
      <c r="AQ731" s="136" t="str">
        <f>IF(AH689="","",IF(J731="","",J731))</f>
        <v/>
      </c>
      <c r="AR731" s="136" t="str">
        <f>IF(AH689="","",IF(K731="","",K731))</f>
        <v/>
      </c>
      <c r="AS731" s="136" t="str">
        <f>IF(AH689="","",IF(L731="","",L731))</f>
        <v/>
      </c>
      <c r="AT731" s="136" t="str">
        <f>IF(AH689="","",IF(M731="","",M731))</f>
        <v/>
      </c>
      <c r="AU731" s="136" t="str">
        <f>IF(AH689="","",IF(N731="","",N731))</f>
        <v/>
      </c>
      <c r="AV731" s="136" t="str">
        <f>IF(AH689="","",IF(O731="","",O731))</f>
        <v/>
      </c>
      <c r="AX731" s="136" t="str">
        <f>IF(AI689="","",IF(B731="","",B731))</f>
        <v/>
      </c>
      <c r="AY731" s="136" t="str">
        <f>IF(AI689="","",IF(C731="","",C731))</f>
        <v/>
      </c>
      <c r="AZ731" s="136" t="str">
        <f>IF(AI689="","",IF(D731="","",D731))</f>
        <v/>
      </c>
      <c r="BA731" s="136" t="str">
        <f>IF(AI689="","",IF(E731="","",E731))</f>
        <v/>
      </c>
      <c r="BB731" s="136" t="str">
        <f>IF(AI689="","",IF(F731="","",F731))</f>
        <v/>
      </c>
      <c r="BC731" s="136" t="str">
        <f>IF(AI689="","",IF(G731="","",G731))</f>
        <v/>
      </c>
      <c r="BD731" s="136" t="str">
        <f>IF(AI689="","",IF(H731="","",H731))</f>
        <v/>
      </c>
      <c r="BE731" s="136" t="str">
        <f>IF(AI689="","",IF(I731="","",I731))</f>
        <v/>
      </c>
      <c r="BF731" s="136" t="str">
        <f>IF(AI689="","",IF(J731="","",J731))</f>
        <v/>
      </c>
      <c r="BG731" s="136" t="str">
        <f>IF(AI689="","",IF(K731="","",K731))</f>
        <v/>
      </c>
      <c r="BH731" s="136" t="str">
        <f>IF(AI689="","",IF(L731="","",L731))</f>
        <v/>
      </c>
      <c r="BI731" s="136" t="str">
        <f>IF(AI689="","",IF(M731="","",M731))</f>
        <v/>
      </c>
      <c r="BJ731" s="136" t="str">
        <f>IF(AI689="","",IF(N731="","",N731))</f>
        <v/>
      </c>
      <c r="BK731" s="136" t="str">
        <f>IF(AI689="","",IF(O731="","",O731))</f>
        <v/>
      </c>
      <c r="BN731" s="136" t="str">
        <f t="shared" si="403"/>
        <v>Laboratórios</v>
      </c>
      <c r="BO731" s="136" t="str">
        <f t="shared" si="403"/>
        <v>LAB</v>
      </c>
      <c r="BP731" s="136">
        <f>IF(BO731="","",COUNTIFS(AX693:BK740,BO731)*0.5)</f>
        <v>0</v>
      </c>
      <c r="BQ731" s="136" t="str">
        <f t="shared" si="404"/>
        <v>Laboratórios</v>
      </c>
      <c r="BR731" s="136" t="str">
        <f t="shared" si="404"/>
        <v>LAB</v>
      </c>
      <c r="BS731" s="136" t="str">
        <f t="shared" si="405"/>
        <v>Laboratórios</v>
      </c>
      <c r="BT731" s="136">
        <f t="shared" si="411"/>
        <v>10.5</v>
      </c>
      <c r="BU731" s="136">
        <f t="shared" si="412"/>
        <v>10.5</v>
      </c>
      <c r="CA731" s="136">
        <f>'INFO BASE'!L808</f>
        <v>0</v>
      </c>
      <c r="CB731" s="136">
        <f>'INFO BASE'!M808</f>
        <v>0</v>
      </c>
      <c r="CR731" s="177">
        <f t="shared" si="393"/>
        <v>1</v>
      </c>
      <c r="CS731" s="177">
        <f t="shared" si="394"/>
        <v>1</v>
      </c>
      <c r="CT731" s="177">
        <f t="shared" si="393"/>
        <v>1</v>
      </c>
      <c r="CU731" s="177">
        <f t="shared" si="395"/>
        <v>1</v>
      </c>
      <c r="CV731" s="177">
        <f t="shared" si="393"/>
        <v>1</v>
      </c>
      <c r="CW731" s="177">
        <f t="shared" si="396"/>
        <v>1</v>
      </c>
      <c r="CX731" s="177">
        <f t="shared" si="393"/>
        <v>1</v>
      </c>
      <c r="CY731" s="177">
        <f t="shared" si="397"/>
        <v>1</v>
      </c>
      <c r="CZ731" s="177">
        <f t="shared" si="393"/>
        <v>1</v>
      </c>
      <c r="DA731" s="177">
        <f t="shared" si="398"/>
        <v>1</v>
      </c>
      <c r="DB731" s="177">
        <f t="shared" si="393"/>
        <v>1</v>
      </c>
      <c r="DC731" s="177">
        <f t="shared" si="399"/>
        <v>1</v>
      </c>
      <c r="DD731" s="177">
        <f t="shared" si="400"/>
        <v>1</v>
      </c>
      <c r="DE731" s="177">
        <f t="shared" si="401"/>
        <v>1</v>
      </c>
    </row>
    <row r="732" spans="1:109" ht="18" customHeight="1" x14ac:dyDescent="0.3">
      <c r="A732" s="81">
        <v>0.81250000000002598</v>
      </c>
      <c r="B732" s="153"/>
      <c r="C732" s="130"/>
      <c r="D732" s="135"/>
      <c r="E732" s="130"/>
      <c r="F732" s="135"/>
      <c r="G732" s="130"/>
      <c r="H732" s="135"/>
      <c r="I732" s="130"/>
      <c r="J732" s="135"/>
      <c r="K732" s="130"/>
      <c r="L732" s="135"/>
      <c r="M732" s="130"/>
      <c r="N732" s="135"/>
      <c r="O732" s="154"/>
      <c r="P732" s="6">
        <v>0</v>
      </c>
      <c r="Q732" s="97" t="str">
        <f>IF('INFO BASE'!$C$21="","",'INFO BASE'!$C$21)</f>
        <v>Aulas Práticas</v>
      </c>
      <c r="R732" s="82" t="str">
        <f t="shared" si="410"/>
        <v>APA</v>
      </c>
      <c r="S732" s="83" t="str">
        <f t="shared" si="407"/>
        <v>-</v>
      </c>
      <c r="T732" s="98" t="str">
        <f>IF(VLOOKUP(Q732,'INFO BASE'!$B$40:$I$54,IF(R732='INFO BASE'!$B$32,3,IF(R732='INFO BASE'!$B$33,4,IF(R732='INFO BASE'!$B$34,5,IF(R732='INFO BASE'!$B$35,6,IF(R732='INFO BASE'!$B$36,7,IF(R732='INFO BASE'!$B$37,8,2)))))),0)=0,"",VLOOKUP(Q732,'INFO BASE'!$B$40:$I$54,IF(R732='INFO BASE'!$B$32,3,IF(R732='INFO BASE'!$B$33,4,IF(R732='INFO BASE'!$B$34,5,IF(R732='INFO BASE'!$B$35,6,IF(R732='INFO BASE'!$B$36,7,IF(R732='INFO BASE'!$B$37,8,2)))))),0))</f>
        <v/>
      </c>
      <c r="U732" s="84">
        <f t="shared" ref="U732:U740" si="419">IF(R732="","",COUNTIFS(SEMANA13,R732)*0.5)</f>
        <v>0</v>
      </c>
      <c r="V732" s="84">
        <f>IF(R732="","",COUNTIFS(AI693:AV740,R732)*0.5)</f>
        <v>0</v>
      </c>
      <c r="W732" s="85" t="str">
        <f>IF(AH689="","-",IF(V732=0,U732,IFERROR((U732/V732)-1,"-")))</f>
        <v>-</v>
      </c>
      <c r="X732" s="201">
        <f t="shared" si="408"/>
        <v>0</v>
      </c>
      <c r="Y732" s="277"/>
      <c r="Z732" s="278"/>
      <c r="AA732" s="278"/>
      <c r="AB732" s="278"/>
      <c r="AC732" s="278"/>
      <c r="AD732" s="278"/>
      <c r="AE732" s="278"/>
      <c r="AF732" s="279"/>
      <c r="AH732" s="136">
        <v>0.81250000000002598</v>
      </c>
      <c r="AI732" s="136" t="str">
        <f>IF(AH689="","",IF(B732="","",B732))</f>
        <v/>
      </c>
      <c r="AJ732" s="136" t="str">
        <f>IF(AH689="","",IF(C732="","",C732))</f>
        <v/>
      </c>
      <c r="AK732" s="136" t="str">
        <f>IF(AH689="","",IF(D732="","",D732))</f>
        <v/>
      </c>
      <c r="AL732" s="136" t="str">
        <f>IF(AH689="","",IF(E732="","",E732))</f>
        <v/>
      </c>
      <c r="AM732" s="136" t="str">
        <f>IF(AH689="","",IF(F732="","",F732))</f>
        <v/>
      </c>
      <c r="AN732" s="136" t="str">
        <f>IF(AH689="","",IF(G732="","",G732))</f>
        <v/>
      </c>
      <c r="AO732" s="136" t="str">
        <f>IF(AH689="","",IF(H732="","",H732))</f>
        <v/>
      </c>
      <c r="AP732" s="136" t="str">
        <f>IF(AH689="","",IF(I732="","",I732))</f>
        <v/>
      </c>
      <c r="AQ732" s="136" t="str">
        <f>IF(AH689="","",IF(J732="","",J732))</f>
        <v/>
      </c>
      <c r="AR732" s="136" t="str">
        <f>IF(AH689="","",IF(K732="","",K732))</f>
        <v/>
      </c>
      <c r="AS732" s="136" t="str">
        <f>IF(AH689="","",IF(L732="","",L732))</f>
        <v/>
      </c>
      <c r="AT732" s="136" t="str">
        <f>IF(AH689="","",IF(M732="","",M732))</f>
        <v/>
      </c>
      <c r="AU732" s="136" t="str">
        <f>IF(AH689="","",IF(N732="","",N732))</f>
        <v/>
      </c>
      <c r="AV732" s="136" t="str">
        <f>IF(AH689="","",IF(O732="","",O732))</f>
        <v/>
      </c>
      <c r="AX732" s="136" t="str">
        <f>IF(AI689="","",IF(B732="","",B732))</f>
        <v/>
      </c>
      <c r="AY732" s="136" t="str">
        <f>IF(AI689="","",IF(C732="","",C732))</f>
        <v/>
      </c>
      <c r="AZ732" s="136" t="str">
        <f>IF(AI689="","",IF(D732="","",D732))</f>
        <v/>
      </c>
      <c r="BA732" s="136" t="str">
        <f>IF(AI689="","",IF(E732="","",E732))</f>
        <v/>
      </c>
      <c r="BB732" s="136" t="str">
        <f>IF(AI689="","",IF(F732="","",F732))</f>
        <v/>
      </c>
      <c r="BC732" s="136" t="str">
        <f>IF(AI689="","",IF(G732="","",G732))</f>
        <v/>
      </c>
      <c r="BD732" s="136" t="str">
        <f>IF(AI689="","",IF(H732="","",H732))</f>
        <v/>
      </c>
      <c r="BE732" s="136" t="str">
        <f>IF(AI689="","",IF(I732="","",I732))</f>
        <v/>
      </c>
      <c r="BF732" s="136" t="str">
        <f>IF(AI689="","",IF(J732="","",J732))</f>
        <v/>
      </c>
      <c r="BG732" s="136" t="str">
        <f>IF(AI689="","",IF(K732="","",K732))</f>
        <v/>
      </c>
      <c r="BH732" s="136" t="str">
        <f>IF(AI689="","",IF(L732="","",L732))</f>
        <v/>
      </c>
      <c r="BI732" s="136" t="str">
        <f>IF(AI689="","",IF(M732="","",M732))</f>
        <v/>
      </c>
      <c r="BJ732" s="136" t="str">
        <f>IF(AI689="","",IF(N732="","",N732))</f>
        <v/>
      </c>
      <c r="BK732" s="136" t="str">
        <f>IF(AI689="","",IF(O732="","",O732))</f>
        <v/>
      </c>
      <c r="BN732" s="136" t="str">
        <f t="shared" si="403"/>
        <v>Momento Avaliativo</v>
      </c>
      <c r="BO732" s="136" t="str">
        <f t="shared" si="403"/>
        <v>MA</v>
      </c>
      <c r="BP732" s="136">
        <f>IF(BO732="","",COUNTIFS(AX693:BK740,BO732)*0.5)</f>
        <v>0</v>
      </c>
      <c r="BQ732" s="136" t="str">
        <f t="shared" si="404"/>
        <v>Momento Avaliativo</v>
      </c>
      <c r="BR732" s="136" t="str">
        <f t="shared" si="404"/>
        <v>MA</v>
      </c>
      <c r="BS732" s="136" t="str">
        <f t="shared" si="405"/>
        <v>Momento Avaliativo</v>
      </c>
      <c r="BT732" s="136">
        <f t="shared" si="411"/>
        <v>1.5</v>
      </c>
      <c r="BU732" s="136">
        <f t="shared" si="412"/>
        <v>1.5</v>
      </c>
      <c r="CA732" s="136">
        <f>'INFO BASE'!L809</f>
        <v>0</v>
      </c>
      <c r="CB732" s="136">
        <f>'INFO BASE'!M809</f>
        <v>0</v>
      </c>
      <c r="CR732" s="177">
        <f t="shared" si="393"/>
        <v>1</v>
      </c>
      <c r="CS732" s="177">
        <f t="shared" si="394"/>
        <v>1</v>
      </c>
      <c r="CT732" s="177">
        <f t="shared" si="393"/>
        <v>1</v>
      </c>
      <c r="CU732" s="177">
        <f t="shared" si="395"/>
        <v>1</v>
      </c>
      <c r="CV732" s="177">
        <f t="shared" si="393"/>
        <v>1</v>
      </c>
      <c r="CW732" s="177">
        <f t="shared" si="396"/>
        <v>1</v>
      </c>
      <c r="CX732" s="177">
        <f t="shared" si="393"/>
        <v>1</v>
      </c>
      <c r="CY732" s="177">
        <f t="shared" si="397"/>
        <v>1</v>
      </c>
      <c r="CZ732" s="177">
        <f t="shared" si="393"/>
        <v>1</v>
      </c>
      <c r="DA732" s="177">
        <f t="shared" si="398"/>
        <v>1</v>
      </c>
      <c r="DB732" s="177">
        <f t="shared" si="393"/>
        <v>1</v>
      </c>
      <c r="DC732" s="177">
        <f t="shared" si="399"/>
        <v>1</v>
      </c>
      <c r="DD732" s="177">
        <f t="shared" si="400"/>
        <v>1</v>
      </c>
      <c r="DE732" s="177">
        <f t="shared" si="401"/>
        <v>1</v>
      </c>
    </row>
    <row r="733" spans="1:109" ht="18" customHeight="1" x14ac:dyDescent="0.3">
      <c r="A733" s="81">
        <v>0.83333333333336002</v>
      </c>
      <c r="B733" s="153"/>
      <c r="C733" s="130"/>
      <c r="D733" s="135"/>
      <c r="E733" s="130"/>
      <c r="F733" s="135"/>
      <c r="G733" s="130"/>
      <c r="H733" s="135"/>
      <c r="I733" s="130"/>
      <c r="J733" s="135"/>
      <c r="K733" s="130"/>
      <c r="L733" s="135"/>
      <c r="M733" s="130"/>
      <c r="N733" s="135"/>
      <c r="O733" s="154"/>
      <c r="P733" s="6">
        <v>0</v>
      </c>
      <c r="Q733" s="99" t="str">
        <f>IF('INFO BASE'!$C$22="","",'INFO BASE'!$C$22)</f>
        <v>Aulas Problemas</v>
      </c>
      <c r="R733" s="87" t="str">
        <f t="shared" si="410"/>
        <v>APB</v>
      </c>
      <c r="S733" s="88">
        <f t="shared" si="407"/>
        <v>-1</v>
      </c>
      <c r="T733" s="100">
        <f>IF(VLOOKUP(Q733,'INFO BASE'!$B$40:$I$54,IF(R733='INFO BASE'!$B$32,3,IF(R733='INFO BASE'!$B$33,4,IF(R733='INFO BASE'!$B$34,5,IF(R733='INFO BASE'!$B$35,6,IF(R733='INFO BASE'!$B$36,7,IF(R733='INFO BASE'!$B$37,8,2)))))),0)=0,"",VLOOKUP(Q733,'INFO BASE'!$B$40:$I$54,IF(R733='INFO BASE'!$B$32,3,IF(R733='INFO BASE'!$B$33,4,IF(R733='INFO BASE'!$B$34,5,IF(R733='INFO BASE'!$B$35,6,IF(R733='INFO BASE'!$B$36,7,IF(R733='INFO BASE'!$B$37,8,2)))))),0))</f>
        <v>6</v>
      </c>
      <c r="U733" s="89">
        <f t="shared" si="419"/>
        <v>0</v>
      </c>
      <c r="V733" s="100">
        <f>IF(R733="","",COUNTIFS(AI693:AV740,R733)*0.5)</f>
        <v>0</v>
      </c>
      <c r="W733" s="90" t="str">
        <f>IF(AH689="","-",IF(V733=0,U733,IFERROR((U733/V733)-1,"-")))</f>
        <v>-</v>
      </c>
      <c r="X733" s="201">
        <f t="shared" si="408"/>
        <v>0</v>
      </c>
      <c r="Y733" s="271"/>
      <c r="Z733" s="272"/>
      <c r="AA733" s="272"/>
      <c r="AB733" s="272"/>
      <c r="AC733" s="272"/>
      <c r="AD733" s="272"/>
      <c r="AE733" s="272"/>
      <c r="AF733" s="273"/>
      <c r="AH733" s="136">
        <v>0.83333333333336002</v>
      </c>
      <c r="AI733" s="136" t="str">
        <f>IF(AH689="","",IF(B733="","",B733))</f>
        <v/>
      </c>
      <c r="AJ733" s="136" t="str">
        <f>IF(AH689="","",IF(C733="","",C733))</f>
        <v/>
      </c>
      <c r="AK733" s="136" t="str">
        <f>IF(AH689="","",IF(D733="","",D733))</f>
        <v/>
      </c>
      <c r="AL733" s="136" t="str">
        <f>IF(AH689="","",IF(E733="","",E733))</f>
        <v/>
      </c>
      <c r="AM733" s="136" t="str">
        <f>IF(AH689="","",IF(F733="","",F733))</f>
        <v/>
      </c>
      <c r="AN733" s="136" t="str">
        <f>IF(AH689="","",IF(G733="","",G733))</f>
        <v/>
      </c>
      <c r="AO733" s="136" t="str">
        <f>IF(AH689="","",IF(H733="","",H733))</f>
        <v/>
      </c>
      <c r="AP733" s="136" t="str">
        <f>IF(AH689="","",IF(I733="","",I733))</f>
        <v/>
      </c>
      <c r="AQ733" s="136" t="str">
        <f>IF(AH689="","",IF(J733="","",J733))</f>
        <v/>
      </c>
      <c r="AR733" s="136" t="str">
        <f>IF(AH689="","",IF(K733="","",K733))</f>
        <v/>
      </c>
      <c r="AS733" s="136" t="str">
        <f>IF(AH689="","",IF(L733="","",L733))</f>
        <v/>
      </c>
      <c r="AT733" s="136" t="str">
        <f>IF(AH689="","",IF(M733="","",M733))</f>
        <v/>
      </c>
      <c r="AU733" s="136" t="str">
        <f>IF(AH689="","",IF(N733="","",N733))</f>
        <v/>
      </c>
      <c r="AV733" s="136" t="str">
        <f>IF(AH689="","",IF(O733="","",O733))</f>
        <v/>
      </c>
      <c r="AX733" s="136" t="str">
        <f>IF(AI689="","",IF(B733="","",B733))</f>
        <v/>
      </c>
      <c r="AY733" s="136" t="str">
        <f>IF(AI689="","",IF(C733="","",C733))</f>
        <v/>
      </c>
      <c r="AZ733" s="136" t="str">
        <f>IF(AI689="","",IF(D733="","",D733))</f>
        <v/>
      </c>
      <c r="BA733" s="136" t="str">
        <f>IF(AI689="","",IF(E733="","",E733))</f>
        <v/>
      </c>
      <c r="BB733" s="136" t="str">
        <f>IF(AI689="","",IF(F733="","",F733))</f>
        <v/>
      </c>
      <c r="BC733" s="136" t="str">
        <f>IF(AI689="","",IF(G733="","",G733))</f>
        <v/>
      </c>
      <c r="BD733" s="136" t="str">
        <f>IF(AI689="","",IF(H733="","",H733))</f>
        <v/>
      </c>
      <c r="BE733" s="136" t="str">
        <f>IF(AI689="","",IF(I733="","",I733))</f>
        <v/>
      </c>
      <c r="BF733" s="136" t="str">
        <f>IF(AI689="","",IF(J733="","",J733))</f>
        <v/>
      </c>
      <c r="BG733" s="136" t="str">
        <f>IF(AI689="","",IF(K733="","",K733))</f>
        <v/>
      </c>
      <c r="BH733" s="136" t="str">
        <f>IF(AI689="","",IF(L733="","",L733))</f>
        <v/>
      </c>
      <c r="BI733" s="136" t="str">
        <f>IF(AI689="","",IF(M733="","",M733))</f>
        <v/>
      </c>
      <c r="BJ733" s="136" t="str">
        <f>IF(AI689="","",IF(N733="","",N733))</f>
        <v/>
      </c>
      <c r="BK733" s="136" t="str">
        <f>IF(AI689="","",IF(O733="","",O733))</f>
        <v/>
      </c>
      <c r="BN733" s="136" t="str">
        <f t="shared" si="403"/>
        <v>Horário de Dúvidas</v>
      </c>
      <c r="BO733" s="136" t="str">
        <f t="shared" si="403"/>
        <v>HDV</v>
      </c>
      <c r="BP733" s="136">
        <f>IF(BO733="","",COUNTIFS(AX693:BK740,BO733)*0.5)</f>
        <v>0</v>
      </c>
      <c r="BQ733" s="136" t="str">
        <f t="shared" si="404"/>
        <v>Horário de Dúvidas</v>
      </c>
      <c r="BR733" s="136" t="str">
        <f t="shared" si="404"/>
        <v>HDV</v>
      </c>
      <c r="BS733" s="136" t="str">
        <f t="shared" si="405"/>
        <v>Horário de Dúvidas</v>
      </c>
      <c r="BT733" s="136">
        <f t="shared" si="411"/>
        <v>0</v>
      </c>
      <c r="BU733" s="136">
        <f t="shared" si="412"/>
        <v>0</v>
      </c>
      <c r="CA733" s="136">
        <f>'INFO BASE'!L810</f>
        <v>0</v>
      </c>
      <c r="CB733" s="136">
        <f>'INFO BASE'!M810</f>
        <v>0</v>
      </c>
      <c r="CR733" s="177">
        <f t="shared" si="393"/>
        <v>1</v>
      </c>
      <c r="CS733" s="177">
        <f t="shared" si="394"/>
        <v>1</v>
      </c>
      <c r="CT733" s="177">
        <f t="shared" si="393"/>
        <v>1</v>
      </c>
      <c r="CU733" s="177">
        <f t="shared" si="395"/>
        <v>1</v>
      </c>
      <c r="CV733" s="177">
        <f t="shared" si="393"/>
        <v>1</v>
      </c>
      <c r="CW733" s="177">
        <f t="shared" si="396"/>
        <v>1</v>
      </c>
      <c r="CX733" s="177">
        <f t="shared" si="393"/>
        <v>1</v>
      </c>
      <c r="CY733" s="177">
        <f t="shared" si="397"/>
        <v>1</v>
      </c>
      <c r="CZ733" s="177">
        <f t="shared" si="393"/>
        <v>1</v>
      </c>
      <c r="DA733" s="177">
        <f t="shared" si="398"/>
        <v>1</v>
      </c>
      <c r="DB733" s="177">
        <f t="shared" si="393"/>
        <v>1</v>
      </c>
      <c r="DC733" s="177">
        <f t="shared" si="399"/>
        <v>1</v>
      </c>
      <c r="DD733" s="177">
        <f t="shared" si="400"/>
        <v>1</v>
      </c>
      <c r="DE733" s="177">
        <f t="shared" si="401"/>
        <v>1</v>
      </c>
    </row>
    <row r="734" spans="1:109" ht="18" customHeight="1" thickBot="1" x14ac:dyDescent="0.35">
      <c r="A734" s="81">
        <v>0.85416666666669405</v>
      </c>
      <c r="B734" s="153"/>
      <c r="C734" s="130"/>
      <c r="D734" s="135"/>
      <c r="E734" s="130"/>
      <c r="F734" s="135"/>
      <c r="G734" s="130"/>
      <c r="H734" s="135"/>
      <c r="I734" s="130"/>
      <c r="J734" s="135"/>
      <c r="K734" s="130"/>
      <c r="L734" s="135"/>
      <c r="M734" s="130"/>
      <c r="N734" s="135"/>
      <c r="O734" s="154"/>
      <c r="P734" s="6">
        <v>0</v>
      </c>
      <c r="Q734" s="101" t="str">
        <f>IF('INFO BASE'!$C$23="","",'INFO BASE'!$C$23)</f>
        <v>Laboratórios</v>
      </c>
      <c r="R734" s="93" t="str">
        <f t="shared" si="410"/>
        <v>LAB</v>
      </c>
      <c r="S734" s="94">
        <f t="shared" si="407"/>
        <v>-1</v>
      </c>
      <c r="T734" s="95">
        <f>IF(VLOOKUP(Q734,'INFO BASE'!$B$40:$I$54,IF(R734='INFO BASE'!$B$32,3,IF(R734='INFO BASE'!$B$33,4,IF(R734='INFO BASE'!$B$34,5,IF(R734='INFO BASE'!$B$35,6,IF(R734='INFO BASE'!$B$36,7,IF(R734='INFO BASE'!$B$37,8,2)))))),0)=0,"",VLOOKUP(Q734,'INFO BASE'!$B$40:$I$54,IF(R734='INFO BASE'!$B$32,3,IF(R734='INFO BASE'!$B$33,4,IF(R734='INFO BASE'!$B$34,5,IF(R734='INFO BASE'!$B$35,6,IF(R734='INFO BASE'!$B$36,7,IF(R734='INFO BASE'!$B$37,8,2)))))),0))</f>
        <v>1.5</v>
      </c>
      <c r="U734" s="95">
        <f t="shared" si="419"/>
        <v>0</v>
      </c>
      <c r="V734" s="95">
        <f>IF(R734="","",COUNTIFS(AI693:AV740,R734)*0.5)</f>
        <v>0</v>
      </c>
      <c r="W734" s="96" t="str">
        <f>IF(AH689="","-",IF(V734=0,U734,IFERROR((U734/V734)-1,"-")))</f>
        <v>-</v>
      </c>
      <c r="X734" s="201">
        <f t="shared" si="408"/>
        <v>0</v>
      </c>
      <c r="Y734" s="271"/>
      <c r="Z734" s="272"/>
      <c r="AA734" s="272"/>
      <c r="AB734" s="272"/>
      <c r="AC734" s="272"/>
      <c r="AD734" s="272"/>
      <c r="AE734" s="272"/>
      <c r="AF734" s="273"/>
      <c r="AH734" s="136">
        <v>0.85416666666669405</v>
      </c>
      <c r="AI734" s="136" t="str">
        <f>IF(AH689="","",IF(B734="","",B734))</f>
        <v/>
      </c>
      <c r="AJ734" s="136" t="str">
        <f>IF(AH689="","",IF(C734="","",C734))</f>
        <v/>
      </c>
      <c r="AK734" s="136" t="str">
        <f>IF(AH689="","",IF(D734="","",D734))</f>
        <v/>
      </c>
      <c r="AL734" s="136" t="str">
        <f>IF(AH689="","",IF(E734="","",E734))</f>
        <v/>
      </c>
      <c r="AM734" s="136" t="str">
        <f>IF(AH689="","",IF(F734="","",F734))</f>
        <v/>
      </c>
      <c r="AN734" s="136" t="str">
        <f>IF(AH689="","",IF(G734="","",G734))</f>
        <v/>
      </c>
      <c r="AO734" s="136" t="str">
        <f>IF(AH689="","",IF(H734="","",H734))</f>
        <v/>
      </c>
      <c r="AP734" s="136" t="str">
        <f>IF(AH689="","",IF(I734="","",I734))</f>
        <v/>
      </c>
      <c r="AQ734" s="136" t="str">
        <f>IF(AH689="","",IF(J734="","",J734))</f>
        <v/>
      </c>
      <c r="AR734" s="136" t="str">
        <f>IF(AH689="","",IF(K734="","",K734))</f>
        <v/>
      </c>
      <c r="AS734" s="136" t="str">
        <f>IF(AH689="","",IF(L734="","",L734))</f>
        <v/>
      </c>
      <c r="AT734" s="136" t="str">
        <f>IF(AH689="","",IF(M734="","",M734))</f>
        <v/>
      </c>
      <c r="AU734" s="136" t="str">
        <f>IF(AH689="","",IF(N734="","",N734))</f>
        <v/>
      </c>
      <c r="AV734" s="136" t="str">
        <f>IF(AH689="","",IF(O734="","",O734))</f>
        <v/>
      </c>
      <c r="AX734" s="136" t="str">
        <f>IF(AI689="","",IF(B734="","",B734))</f>
        <v/>
      </c>
      <c r="AY734" s="136" t="str">
        <f>IF(AI689="","",IF(C734="","",C734))</f>
        <v/>
      </c>
      <c r="AZ734" s="136" t="str">
        <f>IF(AI689="","",IF(D734="","",D734))</f>
        <v/>
      </c>
      <c r="BA734" s="136" t="str">
        <f>IF(AI689="","",IF(E734="","",E734))</f>
        <v/>
      </c>
      <c r="BB734" s="136" t="str">
        <f>IF(AI689="","",IF(F734="","",F734))</f>
        <v/>
      </c>
      <c r="BC734" s="136" t="str">
        <f>IF(AI689="","",IF(G734="","",G734))</f>
        <v/>
      </c>
      <c r="BD734" s="136" t="str">
        <f>IF(AI689="","",IF(H734="","",H734))</f>
        <v/>
      </c>
      <c r="BE734" s="136" t="str">
        <f>IF(AI689="","",IF(I734="","",I734))</f>
        <v/>
      </c>
      <c r="BF734" s="136" t="str">
        <f>IF(AI689="","",IF(J734="","",J734))</f>
        <v/>
      </c>
      <c r="BG734" s="136" t="str">
        <f>IF(AI689="","",IF(K734="","",K734))</f>
        <v/>
      </c>
      <c r="BH734" s="136" t="str">
        <f>IF(AI689="","",IF(L734="","",L734))</f>
        <v/>
      </c>
      <c r="BI734" s="136" t="str">
        <f>IF(AI689="","",IF(M734="","",M734))</f>
        <v/>
      </c>
      <c r="BJ734" s="136" t="str">
        <f>IF(AI689="","",IF(N734="","",N734))</f>
        <v/>
      </c>
      <c r="BK734" s="136" t="str">
        <f>IF(AI689="","",IF(O734="","",O734))</f>
        <v/>
      </c>
      <c r="BN734" s="136" t="str">
        <f t="shared" si="403"/>
        <v>Privado</v>
      </c>
      <c r="BO734" s="136" t="str">
        <f t="shared" si="403"/>
        <v>PV</v>
      </c>
      <c r="BP734" s="136">
        <f>IF(BO734="","",COUNTIFS(AX693:BK740,BO734)*0.5)</f>
        <v>0</v>
      </c>
      <c r="BQ734" s="136" t="str">
        <f t="shared" si="404"/>
        <v>Privado</v>
      </c>
      <c r="BR734" s="136" t="str">
        <f t="shared" si="404"/>
        <v>PV</v>
      </c>
      <c r="BS734" s="136" t="str">
        <f t="shared" si="405"/>
        <v>Privado</v>
      </c>
      <c r="BT734" s="136">
        <f t="shared" si="411"/>
        <v>384</v>
      </c>
      <c r="BU734" s="136">
        <f t="shared" si="412"/>
        <v>369</v>
      </c>
      <c r="CA734" s="136">
        <f>'INFO BASE'!L811</f>
        <v>0</v>
      </c>
      <c r="CB734" s="136">
        <f>'INFO BASE'!M811</f>
        <v>0</v>
      </c>
      <c r="CR734" s="177">
        <f t="shared" si="393"/>
        <v>1</v>
      </c>
      <c r="CS734" s="177">
        <f t="shared" si="394"/>
        <v>1</v>
      </c>
      <c r="CT734" s="177">
        <f t="shared" si="393"/>
        <v>1</v>
      </c>
      <c r="CU734" s="177">
        <f t="shared" si="395"/>
        <v>1</v>
      </c>
      <c r="CV734" s="177">
        <f t="shared" si="393"/>
        <v>1</v>
      </c>
      <c r="CW734" s="177">
        <f t="shared" si="396"/>
        <v>1</v>
      </c>
      <c r="CX734" s="177">
        <f t="shared" si="393"/>
        <v>1</v>
      </c>
      <c r="CY734" s="177">
        <f t="shared" si="397"/>
        <v>1</v>
      </c>
      <c r="CZ734" s="177">
        <f t="shared" si="393"/>
        <v>1</v>
      </c>
      <c r="DA734" s="177">
        <f t="shared" si="398"/>
        <v>1</v>
      </c>
      <c r="DB734" s="177">
        <f t="shared" si="393"/>
        <v>1</v>
      </c>
      <c r="DC734" s="177">
        <f t="shared" si="399"/>
        <v>1</v>
      </c>
      <c r="DD734" s="177">
        <f t="shared" si="400"/>
        <v>1</v>
      </c>
      <c r="DE734" s="177">
        <f t="shared" si="401"/>
        <v>1</v>
      </c>
    </row>
    <row r="735" spans="1:109" ht="18" customHeight="1" x14ac:dyDescent="0.3">
      <c r="A735" s="81">
        <v>0.87500000000002798</v>
      </c>
      <c r="B735" s="153"/>
      <c r="C735" s="130"/>
      <c r="D735" s="135"/>
      <c r="E735" s="130"/>
      <c r="F735" s="135"/>
      <c r="G735" s="130"/>
      <c r="H735" s="135"/>
      <c r="I735" s="130"/>
      <c r="J735" s="135"/>
      <c r="K735" s="130"/>
      <c r="L735" s="135"/>
      <c r="M735" s="130"/>
      <c r="N735" s="135"/>
      <c r="O735" s="154"/>
      <c r="P735" s="6">
        <v>0</v>
      </c>
      <c r="Q735" s="102" t="str">
        <f>IF('INFO BASE'!$C$24="","",'INFO BASE'!$C$24)</f>
        <v>Momento Avaliativo</v>
      </c>
      <c r="R735" s="82" t="str">
        <f t="shared" si="410"/>
        <v>MA</v>
      </c>
      <c r="S735" s="83" t="str">
        <f t="shared" si="407"/>
        <v>-</v>
      </c>
      <c r="T735" s="84" t="str">
        <f>IF(VLOOKUP(Q735,'INFO BASE'!$B$40:$I$54,IF(R735='INFO BASE'!$B$32,3,IF(R735='INFO BASE'!$B$33,4,IF(R735='INFO BASE'!$B$34,5,IF(R735='INFO BASE'!$B$35,6,IF(R735='INFO BASE'!$B$36,7,IF(R735='INFO BASE'!$B$37,8,2)))))),0)=0,"",VLOOKUP(Q735,'INFO BASE'!$B$40:$I$54,IF(R735='INFO BASE'!$B$32,3,IF(R735='INFO BASE'!$B$33,4,IF(R735='INFO BASE'!$B$34,5,IF(R735='INFO BASE'!$B$35,6,IF(R735='INFO BASE'!$B$36,7,IF(R735='INFO BASE'!$B$37,8,2)))))),0))</f>
        <v/>
      </c>
      <c r="U735" s="84">
        <f t="shared" si="419"/>
        <v>0</v>
      </c>
      <c r="V735" s="84">
        <f>IF(R735="","",COUNTIFS(AI693:AV740,R735)*0.5)</f>
        <v>0</v>
      </c>
      <c r="W735" s="85" t="str">
        <f>IF(AH689="","-",IF(V735=0,U735,IFERROR((U735/V735)-1,"-")))</f>
        <v>-</v>
      </c>
      <c r="X735" s="201">
        <f t="shared" si="408"/>
        <v>0</v>
      </c>
      <c r="Y735" s="277"/>
      <c r="Z735" s="278"/>
      <c r="AA735" s="278"/>
      <c r="AB735" s="278"/>
      <c r="AC735" s="278"/>
      <c r="AD735" s="278"/>
      <c r="AE735" s="278"/>
      <c r="AF735" s="279"/>
      <c r="AH735" s="136">
        <v>0.87500000000002798</v>
      </c>
      <c r="AI735" s="136" t="str">
        <f>IF(AH689="","",IF(B735="","",B735))</f>
        <v/>
      </c>
      <c r="AJ735" s="136" t="str">
        <f>IF(AH689="","",IF(C735="","",C735))</f>
        <v/>
      </c>
      <c r="AK735" s="136" t="str">
        <f>IF(AH689="","",IF(D735="","",D735))</f>
        <v/>
      </c>
      <c r="AL735" s="136" t="str">
        <f>IF(AH689="","",IF(E735="","",E735))</f>
        <v/>
      </c>
      <c r="AM735" s="136" t="str">
        <f>IF(AH689="","",IF(F735="","",F735))</f>
        <v/>
      </c>
      <c r="AN735" s="136" t="str">
        <f>IF(AH689="","",IF(G735="","",G735))</f>
        <v/>
      </c>
      <c r="AO735" s="136" t="str">
        <f>IF(AH689="","",IF(H735="","",H735))</f>
        <v/>
      </c>
      <c r="AP735" s="136" t="str">
        <f>IF(AH689="","",IF(I735="","",I735))</f>
        <v/>
      </c>
      <c r="AQ735" s="136" t="str">
        <f>IF(AH689="","",IF(J735="","",J735))</f>
        <v/>
      </c>
      <c r="AR735" s="136" t="str">
        <f>IF(AH689="","",IF(K735="","",K735))</f>
        <v/>
      </c>
      <c r="AS735" s="136" t="str">
        <f>IF(AH689="","",IF(L735="","",L735))</f>
        <v/>
      </c>
      <c r="AT735" s="136" t="str">
        <f>IF(AH689="","",IF(M735="","",M735))</f>
        <v/>
      </c>
      <c r="AU735" s="136" t="str">
        <f>IF(AH689="","",IF(N735="","",N735))</f>
        <v/>
      </c>
      <c r="AV735" s="136" t="str">
        <f>IF(AH689="","",IF(O735="","",O735))</f>
        <v/>
      </c>
      <c r="AX735" s="136" t="str">
        <f>IF(AI689="","",IF(B735="","",B735))</f>
        <v/>
      </c>
      <c r="AY735" s="136" t="str">
        <f>IF(AI689="","",IF(C735="","",C735))</f>
        <v/>
      </c>
      <c r="AZ735" s="136" t="str">
        <f>IF(AI689="","",IF(D735="","",D735))</f>
        <v/>
      </c>
      <c r="BA735" s="136" t="str">
        <f>IF(AI689="","",IF(E735="","",E735))</f>
        <v/>
      </c>
      <c r="BB735" s="136" t="str">
        <f>IF(AI689="","",IF(F735="","",F735))</f>
        <v/>
      </c>
      <c r="BC735" s="136" t="str">
        <f>IF(AI689="","",IF(G735="","",G735))</f>
        <v/>
      </c>
      <c r="BD735" s="136" t="str">
        <f>IF(AI689="","",IF(H735="","",H735))</f>
        <v/>
      </c>
      <c r="BE735" s="136" t="str">
        <f>IF(AI689="","",IF(I735="","",I735))</f>
        <v/>
      </c>
      <c r="BF735" s="136" t="str">
        <f>IF(AI689="","",IF(J735="","",J735))</f>
        <v/>
      </c>
      <c r="BG735" s="136" t="str">
        <f>IF(AI689="","",IF(K735="","",K735))</f>
        <v/>
      </c>
      <c r="BH735" s="136" t="str">
        <f>IF(AI689="","",IF(L735="","",L735))</f>
        <v/>
      </c>
      <c r="BI735" s="136" t="str">
        <f>IF(AI689="","",IF(M735="","",M735))</f>
        <v/>
      </c>
      <c r="BJ735" s="136" t="str">
        <f>IF(AI689="","",IF(N735="","",N735))</f>
        <v/>
      </c>
      <c r="BK735" s="136" t="str">
        <f>IF(AI689="","",IF(O735="","",O735))</f>
        <v/>
      </c>
      <c r="BN735" s="136" t="str">
        <f t="shared" si="403"/>
        <v>Deslocação</v>
      </c>
      <c r="BO735" s="136" t="str">
        <f t="shared" si="403"/>
        <v>HD</v>
      </c>
      <c r="BP735" s="136">
        <f>IF(BO735="","",COUNTIFS(AX693:BK740,BO735)*0.5)</f>
        <v>0</v>
      </c>
      <c r="BQ735" s="136" t="str">
        <f t="shared" si="404"/>
        <v>Deslocação</v>
      </c>
      <c r="BR735" s="136" t="str">
        <f t="shared" si="404"/>
        <v>HD</v>
      </c>
      <c r="BS735" s="136" t="str">
        <f t="shared" si="405"/>
        <v>Deslocação</v>
      </c>
      <c r="BT735" s="136">
        <f t="shared" si="411"/>
        <v>116.5</v>
      </c>
      <c r="BU735" s="136">
        <f t="shared" si="412"/>
        <v>115</v>
      </c>
      <c r="CA735" s="136">
        <f>'INFO BASE'!L812</f>
        <v>0</v>
      </c>
      <c r="CB735" s="136">
        <f>'INFO BASE'!M812</f>
        <v>0</v>
      </c>
      <c r="CR735" s="177">
        <f t="shared" si="393"/>
        <v>1</v>
      </c>
      <c r="CS735" s="177">
        <f t="shared" si="394"/>
        <v>1</v>
      </c>
      <c r="CT735" s="177">
        <f t="shared" si="393"/>
        <v>1</v>
      </c>
      <c r="CU735" s="177">
        <f t="shared" si="395"/>
        <v>1</v>
      </c>
      <c r="CV735" s="177">
        <f t="shared" si="393"/>
        <v>1</v>
      </c>
      <c r="CW735" s="177">
        <f t="shared" si="396"/>
        <v>1</v>
      </c>
      <c r="CX735" s="177">
        <f t="shared" si="393"/>
        <v>1</v>
      </c>
      <c r="CY735" s="177">
        <f t="shared" si="397"/>
        <v>1</v>
      </c>
      <c r="CZ735" s="177">
        <f t="shared" si="393"/>
        <v>1</v>
      </c>
      <c r="DA735" s="177">
        <f t="shared" si="398"/>
        <v>1</v>
      </c>
      <c r="DB735" s="177">
        <f t="shared" si="393"/>
        <v>1</v>
      </c>
      <c r="DC735" s="177">
        <f t="shared" si="399"/>
        <v>1</v>
      </c>
      <c r="DD735" s="177">
        <f t="shared" si="400"/>
        <v>1</v>
      </c>
      <c r="DE735" s="177">
        <f t="shared" si="401"/>
        <v>1</v>
      </c>
    </row>
    <row r="736" spans="1:109" ht="18" customHeight="1" x14ac:dyDescent="0.3">
      <c r="A736" s="81">
        <v>0.89583333333336201</v>
      </c>
      <c r="B736" s="153"/>
      <c r="C736" s="130"/>
      <c r="D736" s="135"/>
      <c r="E736" s="130"/>
      <c r="F736" s="135"/>
      <c r="G736" s="130"/>
      <c r="H736" s="135"/>
      <c r="I736" s="130"/>
      <c r="J736" s="135"/>
      <c r="K736" s="130"/>
      <c r="L736" s="135"/>
      <c r="M736" s="130"/>
      <c r="N736" s="135"/>
      <c r="O736" s="154"/>
      <c r="P736" s="6">
        <v>0</v>
      </c>
      <c r="Q736" s="103" t="str">
        <f>IF('INFO BASE'!$C$25="","",'INFO BASE'!$C$25)</f>
        <v>Horário de Dúvidas</v>
      </c>
      <c r="R736" s="87" t="str">
        <f t="shared" si="410"/>
        <v>HDV</v>
      </c>
      <c r="S736" s="88">
        <f t="shared" si="407"/>
        <v>-1</v>
      </c>
      <c r="T736" s="89">
        <f>IF(VLOOKUP(Q736,'INFO BASE'!$B$40:$I$54,IF(R736='INFO BASE'!$B$32,3,IF(R736='INFO BASE'!$B$33,4,IF(R736='INFO BASE'!$B$34,5,IF(R736='INFO BASE'!$B$35,6,IF(R736='INFO BASE'!$B$36,7,IF(R736='INFO BASE'!$B$37,8,2)))))),0)=0,"",VLOOKUP(Q736,'INFO BASE'!$B$40:$I$54,IF(R736='INFO BASE'!$B$32,3,IF(R736='INFO BASE'!$B$33,4,IF(R736='INFO BASE'!$B$34,5,IF(R736='INFO BASE'!$B$35,6,IF(R736='INFO BASE'!$B$36,7,IF(R736='INFO BASE'!$B$37,8,2)))))),0))</f>
        <v>3</v>
      </c>
      <c r="U736" s="89">
        <f t="shared" si="419"/>
        <v>0</v>
      </c>
      <c r="V736" s="89">
        <f>IF(R736="","",COUNTIFS(AI693:AV740,R736)*0.5)</f>
        <v>0</v>
      </c>
      <c r="W736" s="90" t="str">
        <f>IF(AH689="","-",IF(V736=0,U736,IFERROR((U736/V736)-1,"-")))</f>
        <v>-</v>
      </c>
      <c r="X736" s="201">
        <f t="shared" si="408"/>
        <v>0</v>
      </c>
      <c r="Y736" s="271"/>
      <c r="Z736" s="272"/>
      <c r="AA736" s="272"/>
      <c r="AB736" s="272"/>
      <c r="AC736" s="272"/>
      <c r="AD736" s="272"/>
      <c r="AE736" s="272"/>
      <c r="AF736" s="273"/>
      <c r="AH736" s="136">
        <v>0.89583333333336201</v>
      </c>
      <c r="AI736" s="136" t="str">
        <f>IF(AH689="","",IF(B736="","",B736))</f>
        <v/>
      </c>
      <c r="AJ736" s="136" t="str">
        <f>IF(AH689="","",IF(C736="","",C736))</f>
        <v/>
      </c>
      <c r="AK736" s="136" t="str">
        <f>IF(AH689="","",IF(D736="","",D736))</f>
        <v/>
      </c>
      <c r="AL736" s="136" t="str">
        <f>IF(AH689="","",IF(E736="","",E736))</f>
        <v/>
      </c>
      <c r="AM736" s="136" t="str">
        <f>IF(AH689="","",IF(F736="","",F736))</f>
        <v/>
      </c>
      <c r="AN736" s="136" t="str">
        <f>IF(AH689="","",IF(G736="","",G736))</f>
        <v/>
      </c>
      <c r="AO736" s="136" t="str">
        <f>IF(AH689="","",IF(H736="","",H736))</f>
        <v/>
      </c>
      <c r="AP736" s="136" t="str">
        <f>IF(AH689="","",IF(I736="","",I736))</f>
        <v/>
      </c>
      <c r="AQ736" s="136" t="str">
        <f>IF(AH689="","",IF(J736="","",J736))</f>
        <v/>
      </c>
      <c r="AR736" s="136" t="str">
        <f>IF(AH689="","",IF(K736="","",K736))</f>
        <v/>
      </c>
      <c r="AS736" s="136" t="str">
        <f>IF(AH689="","",IF(L736="","",L736))</f>
        <v/>
      </c>
      <c r="AT736" s="136" t="str">
        <f>IF(AH689="","",IF(M736="","",M736))</f>
        <v/>
      </c>
      <c r="AU736" s="136" t="str">
        <f>IF(AH689="","",IF(N736="","",N736))</f>
        <v/>
      </c>
      <c r="AV736" s="136" t="str">
        <f>IF(AH689="","",IF(O736="","",O736))</f>
        <v/>
      </c>
      <c r="AX736" s="136" t="str">
        <f>IF(AI689="","",IF(B736="","",B736))</f>
        <v/>
      </c>
      <c r="AY736" s="136" t="str">
        <f>IF(AI689="","",IF(C736="","",C736))</f>
        <v/>
      </c>
      <c r="AZ736" s="136" t="str">
        <f>IF(AI689="","",IF(D736="","",D736))</f>
        <v/>
      </c>
      <c r="BA736" s="136" t="str">
        <f>IF(AI689="","",IF(E736="","",E736))</f>
        <v/>
      </c>
      <c r="BB736" s="136" t="str">
        <f>IF(AI689="","",IF(F736="","",F736))</f>
        <v/>
      </c>
      <c r="BC736" s="136" t="str">
        <f>IF(AI689="","",IF(G736="","",G736))</f>
        <v/>
      </c>
      <c r="BD736" s="136" t="str">
        <f>IF(AI689="","",IF(H736="","",H736))</f>
        <v/>
      </c>
      <c r="BE736" s="136" t="str">
        <f>IF(AI689="","",IF(I736="","",I736))</f>
        <v/>
      </c>
      <c r="BF736" s="136" t="str">
        <f>IF(AI689="","",IF(J736="","",J736))</f>
        <v/>
      </c>
      <c r="BG736" s="136" t="str">
        <f>IF(AI689="","",IF(K736="","",K736))</f>
        <v/>
      </c>
      <c r="BH736" s="136" t="str">
        <f>IF(AI689="","",IF(L736="","",L736))</f>
        <v/>
      </c>
      <c r="BI736" s="136" t="str">
        <f>IF(AI689="","",IF(M736="","",M736))</f>
        <v/>
      </c>
      <c r="BJ736" s="136" t="str">
        <f>IF(AI689="","",IF(N736="","",N736))</f>
        <v/>
      </c>
      <c r="BK736" s="136" t="str">
        <f>IF(AI689="","",IF(O736="","",O736))</f>
        <v/>
      </c>
      <c r="BN736" s="136" t="str">
        <f t="shared" si="403"/>
        <v>Refeição</v>
      </c>
      <c r="BO736" s="136" t="str">
        <f t="shared" si="403"/>
        <v>HR</v>
      </c>
      <c r="BP736" s="136">
        <f>IF(BO736="","",COUNTIFS(AX693:BK740,BO736)*0.5)</f>
        <v>0</v>
      </c>
      <c r="BQ736" s="136" t="str">
        <f t="shared" si="404"/>
        <v>Refeição</v>
      </c>
      <c r="BR736" s="136" t="str">
        <f t="shared" si="404"/>
        <v>HR</v>
      </c>
      <c r="BS736" s="136" t="str">
        <f t="shared" si="405"/>
        <v>Refeição</v>
      </c>
      <c r="BT736" s="136">
        <f t="shared" si="411"/>
        <v>126</v>
      </c>
      <c r="BU736" s="136">
        <f t="shared" si="412"/>
        <v>124</v>
      </c>
      <c r="CA736" s="136">
        <f>'INFO BASE'!L813</f>
        <v>0</v>
      </c>
      <c r="CB736" s="136">
        <f>'INFO BASE'!M813</f>
        <v>0</v>
      </c>
      <c r="CR736" s="177">
        <f t="shared" si="393"/>
        <v>1</v>
      </c>
      <c r="CS736" s="177">
        <f t="shared" si="394"/>
        <v>1</v>
      </c>
      <c r="CT736" s="177">
        <f t="shared" si="393"/>
        <v>1</v>
      </c>
      <c r="CU736" s="177">
        <f t="shared" si="395"/>
        <v>1</v>
      </c>
      <c r="CV736" s="177">
        <f t="shared" si="393"/>
        <v>1</v>
      </c>
      <c r="CW736" s="177">
        <f t="shared" si="396"/>
        <v>1</v>
      </c>
      <c r="CX736" s="177">
        <f t="shared" ref="CR736:CZ740" si="420">IF(H736="",1,H736)</f>
        <v>1</v>
      </c>
      <c r="CY736" s="177">
        <f t="shared" si="397"/>
        <v>1</v>
      </c>
      <c r="CZ736" s="177">
        <f t="shared" si="420"/>
        <v>1</v>
      </c>
      <c r="DA736" s="177">
        <f t="shared" si="398"/>
        <v>1</v>
      </c>
      <c r="DB736" s="177">
        <f t="shared" ref="DB736:DB740" si="421">IF(L736="",1,L736)</f>
        <v>1</v>
      </c>
      <c r="DC736" s="177">
        <f t="shared" si="399"/>
        <v>1</v>
      </c>
      <c r="DD736" s="177">
        <f t="shared" si="400"/>
        <v>1</v>
      </c>
      <c r="DE736" s="177">
        <f t="shared" si="401"/>
        <v>1</v>
      </c>
    </row>
    <row r="737" spans="1:120" ht="18" customHeight="1" x14ac:dyDescent="0.3">
      <c r="A737" s="81">
        <v>0.91666666666669605</v>
      </c>
      <c r="B737" s="153"/>
      <c r="C737" s="130"/>
      <c r="D737" s="135"/>
      <c r="E737" s="130"/>
      <c r="F737" s="135"/>
      <c r="G737" s="130"/>
      <c r="H737" s="135"/>
      <c r="I737" s="130"/>
      <c r="J737" s="135"/>
      <c r="K737" s="130"/>
      <c r="L737" s="135"/>
      <c r="M737" s="130"/>
      <c r="N737" s="135"/>
      <c r="O737" s="154"/>
      <c r="P737" s="6">
        <v>0.2</v>
      </c>
      <c r="Q737" s="104" t="str">
        <f>IF('INFO BASE'!$C$26="","",'INFO BASE'!$C$26)</f>
        <v>Privado</v>
      </c>
      <c r="R737" s="87" t="str">
        <f t="shared" si="410"/>
        <v>PV</v>
      </c>
      <c r="S737" s="88">
        <f t="shared" si="407"/>
        <v>-1</v>
      </c>
      <c r="T737" s="89">
        <f>IF(VLOOKUP(Q737,'INFO BASE'!$B$40:$I$54,IF(R737='INFO BASE'!$B$32,3,IF(R737='INFO BASE'!$B$33,4,IF(R737='INFO BASE'!$B$34,5,IF(R737='INFO BASE'!$B$35,6,IF(R737='INFO BASE'!$B$36,7,IF(R737='INFO BASE'!$B$37,8,2)))))),0)=0,"",VLOOKUP(Q737,'INFO BASE'!$B$40:$I$54,IF(R737='INFO BASE'!$B$32,3,IF(R737='INFO BASE'!$B$33,4,IF(R737='INFO BASE'!$B$34,5,IF(R737='INFO BASE'!$B$35,6,IF(R737='INFO BASE'!$B$36,7,IF(R737='INFO BASE'!$B$37,8,2)))))),0))</f>
        <v>26.5</v>
      </c>
      <c r="U737" s="89">
        <f t="shared" si="419"/>
        <v>0</v>
      </c>
      <c r="V737" s="89">
        <f>IF(R737="","",COUNTIFS(AI693:AV740,R737)*0.5)</f>
        <v>0</v>
      </c>
      <c r="W737" s="90" t="str">
        <f>IF(AH689="","-",IF(V737=0,U737,IFERROR((U737/V737)-1,"-")))</f>
        <v>-</v>
      </c>
      <c r="X737" s="202">
        <f t="shared" si="408"/>
        <v>0</v>
      </c>
      <c r="Y737" s="271"/>
      <c r="Z737" s="272"/>
      <c r="AA737" s="272"/>
      <c r="AB737" s="272"/>
      <c r="AC737" s="272"/>
      <c r="AD737" s="272"/>
      <c r="AE737" s="272"/>
      <c r="AF737" s="273"/>
      <c r="AH737" s="136">
        <v>0.91666666666669605</v>
      </c>
      <c r="AI737" s="136" t="str">
        <f>IF(AH689="","",IF(B737="","",B737))</f>
        <v/>
      </c>
      <c r="AJ737" s="136" t="str">
        <f>IF(AH689="","",IF(C737="","",C737))</f>
        <v/>
      </c>
      <c r="AK737" s="136" t="str">
        <f>IF(AH689="","",IF(D737="","",D737))</f>
        <v/>
      </c>
      <c r="AL737" s="136" t="str">
        <f>IF(AH689="","",IF(E737="","",E737))</f>
        <v/>
      </c>
      <c r="AM737" s="136" t="str">
        <f>IF(AH689="","",IF(F737="","",F737))</f>
        <v/>
      </c>
      <c r="AN737" s="136" t="str">
        <f>IF(AH689="","",IF(G737="","",G737))</f>
        <v/>
      </c>
      <c r="AO737" s="136" t="str">
        <f>IF(AH689="","",IF(H737="","",H737))</f>
        <v/>
      </c>
      <c r="AP737" s="136" t="str">
        <f>IF(AH689="","",IF(I737="","",I737))</f>
        <v/>
      </c>
      <c r="AQ737" s="136" t="str">
        <f>IF(AH689="","",IF(J737="","",J737))</f>
        <v/>
      </c>
      <c r="AR737" s="136" t="str">
        <f>IF(AH689="","",IF(K737="","",K737))</f>
        <v/>
      </c>
      <c r="AS737" s="136" t="str">
        <f>IF(AH689="","",IF(L737="","",L737))</f>
        <v/>
      </c>
      <c r="AT737" s="136" t="str">
        <f>IF(AH689="","",IF(M737="","",M737))</f>
        <v/>
      </c>
      <c r="AU737" s="136" t="str">
        <f>IF(AH689="","",IF(N737="","",N737))</f>
        <v/>
      </c>
      <c r="AV737" s="136" t="str">
        <f>IF(AH689="","",IF(O737="","",O737))</f>
        <v/>
      </c>
      <c r="AX737" s="136" t="str">
        <f>IF(AI689="","",IF(B737="","",B737))</f>
        <v/>
      </c>
      <c r="AY737" s="136" t="str">
        <f>IF(AI689="","",IF(C737="","",C737))</f>
        <v/>
      </c>
      <c r="AZ737" s="136" t="str">
        <f>IF(AI689="","",IF(D737="","",D737))</f>
        <v/>
      </c>
      <c r="BA737" s="136" t="str">
        <f>IF(AI689="","",IF(E737="","",E737))</f>
        <v/>
      </c>
      <c r="BB737" s="136" t="str">
        <f>IF(AI689="","",IF(F737="","",F737))</f>
        <v/>
      </c>
      <c r="BC737" s="136" t="str">
        <f>IF(AI689="","",IF(G737="","",G737))</f>
        <v/>
      </c>
      <c r="BD737" s="136" t="str">
        <f>IF(AI689="","",IF(H737="","",H737))</f>
        <v/>
      </c>
      <c r="BE737" s="136" t="str">
        <f>IF(AI689="","",IF(I737="","",I737))</f>
        <v/>
      </c>
      <c r="BF737" s="136" t="str">
        <f>IF(AI689="","",IF(J737="","",J737))</f>
        <v/>
      </c>
      <c r="BG737" s="136" t="str">
        <f>IF(AI689="","",IF(K737="","",K737))</f>
        <v/>
      </c>
      <c r="BH737" s="136" t="str">
        <f>IF(AI689="","",IF(L737="","",L737))</f>
        <v/>
      </c>
      <c r="BI737" s="136" t="str">
        <f>IF(AI689="","",IF(M737="","",M737))</f>
        <v/>
      </c>
      <c r="BJ737" s="136" t="str">
        <f>IF(AI689="","",IF(N737="","",N737))</f>
        <v/>
      </c>
      <c r="BK737" s="136" t="str">
        <f>IF(AI689="","",IF(O737="","",O737))</f>
        <v/>
      </c>
      <c r="BN737" s="136" t="str">
        <f t="shared" si="403"/>
        <v>Sono</v>
      </c>
      <c r="BO737" s="136" t="str">
        <f t="shared" si="403"/>
        <v>HS</v>
      </c>
      <c r="BP737" s="136">
        <f>IF(BO737="","",COUNTIFS(AX693:BK740,BO737)*0.5)</f>
        <v>0</v>
      </c>
      <c r="BQ737" s="136" t="str">
        <f t="shared" si="404"/>
        <v>Sono</v>
      </c>
      <c r="BR737" s="136" t="str">
        <f t="shared" si="404"/>
        <v>HS</v>
      </c>
      <c r="BS737" s="136" t="str">
        <f t="shared" si="405"/>
        <v>Sono</v>
      </c>
      <c r="BT737" s="136">
        <f t="shared" si="411"/>
        <v>417</v>
      </c>
      <c r="BU737" s="136">
        <f t="shared" si="412"/>
        <v>417.5</v>
      </c>
      <c r="CA737" s="136">
        <f>'INFO BASE'!L814</f>
        <v>0</v>
      </c>
      <c r="CB737" s="136">
        <f>'INFO BASE'!M814</f>
        <v>0</v>
      </c>
      <c r="CR737" s="177">
        <f t="shared" si="420"/>
        <v>1</v>
      </c>
      <c r="CS737" s="177">
        <f t="shared" si="394"/>
        <v>1</v>
      </c>
      <c r="CT737" s="177">
        <f t="shared" si="420"/>
        <v>1</v>
      </c>
      <c r="CU737" s="177">
        <f t="shared" si="395"/>
        <v>1</v>
      </c>
      <c r="CV737" s="177">
        <f t="shared" si="420"/>
        <v>1</v>
      </c>
      <c r="CW737" s="177">
        <f t="shared" si="396"/>
        <v>1</v>
      </c>
      <c r="CX737" s="177">
        <f t="shared" si="420"/>
        <v>1</v>
      </c>
      <c r="CY737" s="177">
        <f t="shared" si="397"/>
        <v>1</v>
      </c>
      <c r="CZ737" s="177">
        <f t="shared" si="420"/>
        <v>1</v>
      </c>
      <c r="DA737" s="177">
        <f t="shared" si="398"/>
        <v>1</v>
      </c>
      <c r="DB737" s="177">
        <f t="shared" si="421"/>
        <v>1</v>
      </c>
      <c r="DC737" s="177">
        <f t="shared" si="399"/>
        <v>1</v>
      </c>
      <c r="DD737" s="177">
        <f t="shared" si="400"/>
        <v>1</v>
      </c>
      <c r="DE737" s="177">
        <f t="shared" si="401"/>
        <v>1</v>
      </c>
    </row>
    <row r="738" spans="1:120" ht="18" customHeight="1" x14ac:dyDescent="0.3">
      <c r="A738" s="81">
        <v>0.93750000000002998</v>
      </c>
      <c r="B738" s="153"/>
      <c r="C738" s="130"/>
      <c r="D738" s="135"/>
      <c r="E738" s="130"/>
      <c r="F738" s="135"/>
      <c r="G738" s="130"/>
      <c r="H738" s="135"/>
      <c r="I738" s="130"/>
      <c r="J738" s="135"/>
      <c r="K738" s="130"/>
      <c r="L738" s="135"/>
      <c r="M738" s="130"/>
      <c r="N738" s="135"/>
      <c r="O738" s="154"/>
      <c r="P738" s="6">
        <v>0.2</v>
      </c>
      <c r="Q738" s="86" t="str">
        <f>IF('INFO BASE'!$C$27="","",'INFO BASE'!$C$27)</f>
        <v>Deslocação</v>
      </c>
      <c r="R738" s="87" t="str">
        <f t="shared" si="410"/>
        <v>HD</v>
      </c>
      <c r="S738" s="88">
        <f t="shared" si="407"/>
        <v>-1</v>
      </c>
      <c r="T738" s="89">
        <f>IF(VLOOKUP(Q738,'INFO BASE'!$B$40:$I$54,IF(R738='INFO BASE'!$B$32,3,IF(R738='INFO BASE'!$B$33,4,IF(R738='INFO BASE'!$B$34,5,IF(R738='INFO BASE'!$B$35,6,IF(R738='INFO BASE'!$B$36,7,IF(R738='INFO BASE'!$B$37,8,2)))))),0)=0,"",VLOOKUP(Q738,'INFO BASE'!$B$40:$I$54,IF(R738='INFO BASE'!$B$32,3,IF(R738='INFO BASE'!$B$33,4,IF(R738='INFO BASE'!$B$34,5,IF(R738='INFO BASE'!$B$35,6,IF(R738='INFO BASE'!$B$36,7,IF(R738='INFO BASE'!$B$37,8,2)))))),0))</f>
        <v>10</v>
      </c>
      <c r="U738" s="89">
        <f t="shared" si="419"/>
        <v>0</v>
      </c>
      <c r="V738" s="89">
        <f>IF(R738="","",COUNTIFS(AI693:AV740,R738)*0.5)</f>
        <v>0</v>
      </c>
      <c r="W738" s="90" t="str">
        <f>IF(AH689="","-",IF(V738=0,U738,IFERROR((U738/V738)-1,"-")))</f>
        <v>-</v>
      </c>
      <c r="X738" s="203">
        <f t="shared" si="408"/>
        <v>0</v>
      </c>
      <c r="Y738" s="271"/>
      <c r="Z738" s="272"/>
      <c r="AA738" s="272"/>
      <c r="AB738" s="272"/>
      <c r="AC738" s="272"/>
      <c r="AD738" s="272"/>
      <c r="AE738" s="272"/>
      <c r="AF738" s="273"/>
      <c r="AH738" s="136">
        <v>0.93750000000002998</v>
      </c>
      <c r="AI738" s="136" t="str">
        <f>IF(AH689="","",IF(B738="","",B738))</f>
        <v/>
      </c>
      <c r="AJ738" s="136" t="str">
        <f>IF(AH689="","",IF(C738="","",C738))</f>
        <v/>
      </c>
      <c r="AK738" s="136" t="str">
        <f>IF(AH689="","",IF(D738="","",D738))</f>
        <v/>
      </c>
      <c r="AL738" s="136" t="str">
        <f>IF(AH689="","",IF(E738="","",E738))</f>
        <v/>
      </c>
      <c r="AM738" s="136" t="str">
        <f>IF(AH689="","",IF(F738="","",F738))</f>
        <v/>
      </c>
      <c r="AN738" s="136" t="str">
        <f>IF(AH689="","",IF(G738="","",G738))</f>
        <v/>
      </c>
      <c r="AO738" s="136" t="str">
        <f>IF(AH689="","",IF(H738="","",H738))</f>
        <v/>
      </c>
      <c r="AP738" s="136" t="str">
        <f>IF(AH689="","",IF(I738="","",I738))</f>
        <v/>
      </c>
      <c r="AQ738" s="136" t="str">
        <f>IF(AH689="","",IF(J738="","",J738))</f>
        <v/>
      </c>
      <c r="AR738" s="136" t="str">
        <f>IF(AH689="","",IF(K738="","",K738))</f>
        <v/>
      </c>
      <c r="AS738" s="136" t="str">
        <f>IF(AH689="","",IF(L738="","",L738))</f>
        <v/>
      </c>
      <c r="AT738" s="136" t="str">
        <f>IF(AH689="","",IF(M738="","",M738))</f>
        <v/>
      </c>
      <c r="AU738" s="136" t="str">
        <f>IF(AH689="","",IF(N738="","",N738))</f>
        <v/>
      </c>
      <c r="AV738" s="136" t="str">
        <f>IF(AH689="","",IF(O738="","",O738))</f>
        <v/>
      </c>
      <c r="AX738" s="136" t="str">
        <f>IF(AI689="","",IF(B738="","",B738))</f>
        <v/>
      </c>
      <c r="AY738" s="136" t="str">
        <f>IF(AI689="","",IF(C738="","",C738))</f>
        <v/>
      </c>
      <c r="AZ738" s="136" t="str">
        <f>IF(AI689="","",IF(D738="","",D738))</f>
        <v/>
      </c>
      <c r="BA738" s="136" t="str">
        <f>IF(AI689="","",IF(E738="","",E738))</f>
        <v/>
      </c>
      <c r="BB738" s="136" t="str">
        <f>IF(AI689="","",IF(F738="","",F738))</f>
        <v/>
      </c>
      <c r="BC738" s="136" t="str">
        <f>IF(AI689="","",IF(G738="","",G738))</f>
        <v/>
      </c>
      <c r="BD738" s="136" t="str">
        <f>IF(AI689="","",IF(H738="","",H738))</f>
        <v/>
      </c>
      <c r="BE738" s="136" t="str">
        <f>IF(AI689="","",IF(I738="","",I738))</f>
        <v/>
      </c>
      <c r="BF738" s="136" t="str">
        <f>IF(AI689="","",IF(J738="","",J738))</f>
        <v/>
      </c>
      <c r="BG738" s="136" t="str">
        <f>IF(AI689="","",IF(K738="","",K738))</f>
        <v/>
      </c>
      <c r="BH738" s="136" t="str">
        <f>IF(AI689="","",IF(L738="","",L738))</f>
        <v/>
      </c>
      <c r="BI738" s="136" t="str">
        <f>IF(AI689="","",IF(M738="","",M738))</f>
        <v/>
      </c>
      <c r="BJ738" s="136" t="str">
        <f>IF(AI689="","",IF(N738="","",N738))</f>
        <v/>
      </c>
      <c r="BK738" s="136" t="str">
        <f>IF(AI689="","",IF(O738="","",O738))</f>
        <v/>
      </c>
      <c r="BP738" s="136" t="str">
        <f>IF(BO738="","",COUNTIFS(AX693:BK740,BO738)*0.5)</f>
        <v/>
      </c>
      <c r="CA738" s="136">
        <f>'INFO BASE'!L815</f>
        <v>0</v>
      </c>
      <c r="CB738" s="136">
        <f>'INFO BASE'!M815</f>
        <v>0</v>
      </c>
      <c r="CR738" s="177">
        <f t="shared" si="420"/>
        <v>1</v>
      </c>
      <c r="CS738" s="177">
        <f t="shared" si="394"/>
        <v>1</v>
      </c>
      <c r="CT738" s="177">
        <f t="shared" si="420"/>
        <v>1</v>
      </c>
      <c r="CU738" s="177">
        <f t="shared" si="395"/>
        <v>1</v>
      </c>
      <c r="CV738" s="177">
        <f t="shared" si="420"/>
        <v>1</v>
      </c>
      <c r="CW738" s="177">
        <f t="shared" si="396"/>
        <v>1</v>
      </c>
      <c r="CX738" s="177">
        <f t="shared" si="420"/>
        <v>1</v>
      </c>
      <c r="CY738" s="177">
        <f t="shared" si="397"/>
        <v>1</v>
      </c>
      <c r="CZ738" s="177">
        <f t="shared" si="420"/>
        <v>1</v>
      </c>
      <c r="DA738" s="177">
        <f t="shared" si="398"/>
        <v>1</v>
      </c>
      <c r="DB738" s="177">
        <f t="shared" si="421"/>
        <v>1</v>
      </c>
      <c r="DC738" s="177">
        <f t="shared" si="399"/>
        <v>1</v>
      </c>
      <c r="DD738" s="177">
        <f t="shared" si="400"/>
        <v>1</v>
      </c>
      <c r="DE738" s="177">
        <f t="shared" si="401"/>
        <v>1</v>
      </c>
    </row>
    <row r="739" spans="1:120" ht="18" customHeight="1" x14ac:dyDescent="0.3">
      <c r="A739" s="81">
        <v>0.95833333333336401</v>
      </c>
      <c r="B739" s="153"/>
      <c r="C739" s="130"/>
      <c r="D739" s="135"/>
      <c r="E739" s="130"/>
      <c r="F739" s="135"/>
      <c r="G739" s="130"/>
      <c r="H739" s="135"/>
      <c r="I739" s="130"/>
      <c r="J739" s="135"/>
      <c r="K739" s="130"/>
      <c r="L739" s="135"/>
      <c r="M739" s="130"/>
      <c r="N739" s="135"/>
      <c r="O739" s="154"/>
      <c r="P739" s="6">
        <v>0.2</v>
      </c>
      <c r="Q739" s="91" t="str">
        <f>IF('INFO BASE'!$C$28="","",'INFO BASE'!$C$28)</f>
        <v>Refeição</v>
      </c>
      <c r="R739" s="87" t="str">
        <f t="shared" si="410"/>
        <v>HR</v>
      </c>
      <c r="S739" s="88">
        <f t="shared" si="407"/>
        <v>-1</v>
      </c>
      <c r="T739" s="89">
        <f>IF(VLOOKUP(Q739,'INFO BASE'!$B$40:$I$54,IF(R739='INFO BASE'!$B$32,3,IF(R739='INFO BASE'!$B$33,4,IF(R739='INFO BASE'!$B$34,5,IF(R739='INFO BASE'!$B$35,6,IF(R739='INFO BASE'!$B$36,7,IF(R739='INFO BASE'!$B$37,8,2)))))),0)=0,"",VLOOKUP(Q739,'INFO BASE'!$B$40:$I$54,IF(R739='INFO BASE'!$B$32,3,IF(R739='INFO BASE'!$B$33,4,IF(R739='INFO BASE'!$B$34,5,IF(R739='INFO BASE'!$B$35,6,IF(R739='INFO BASE'!$B$36,7,IF(R739='INFO BASE'!$B$37,8,2)))))),0))</f>
        <v>15</v>
      </c>
      <c r="U739" s="89">
        <f t="shared" si="419"/>
        <v>0</v>
      </c>
      <c r="V739" s="89">
        <f>IF(R739="","",COUNTIFS(AI693:AV740,R739)*0.5)</f>
        <v>0</v>
      </c>
      <c r="W739" s="90" t="str">
        <f>IF(AH689="","-",IF(V739=0,U739,IFERROR((U739/V739)-1,"-")))</f>
        <v>-</v>
      </c>
      <c r="X739" s="204">
        <f t="shared" si="408"/>
        <v>0</v>
      </c>
      <c r="Y739" s="271"/>
      <c r="Z739" s="272"/>
      <c r="AA739" s="272"/>
      <c r="AB739" s="272"/>
      <c r="AC739" s="272"/>
      <c r="AD739" s="272"/>
      <c r="AE739" s="272"/>
      <c r="AF739" s="273"/>
      <c r="AH739" s="136">
        <v>0.95833333333336401</v>
      </c>
      <c r="AI739" s="136" t="str">
        <f>IF(AH689="","",IF(B739="","",B739))</f>
        <v/>
      </c>
      <c r="AJ739" s="136" t="str">
        <f>IF(AH689="","",IF(C739="","",C739))</f>
        <v/>
      </c>
      <c r="AK739" s="136" t="str">
        <f>IF(AH689="","",IF(D739="","",D739))</f>
        <v/>
      </c>
      <c r="AL739" s="136" t="str">
        <f>IF(AH689="","",IF(E739="","",E739))</f>
        <v/>
      </c>
      <c r="AM739" s="136" t="str">
        <f>IF(AH689="","",IF(F739="","",F739))</f>
        <v/>
      </c>
      <c r="AN739" s="136" t="str">
        <f>IF(AH689="","",IF(G739="","",G739))</f>
        <v/>
      </c>
      <c r="AO739" s="136" t="str">
        <f>IF(AH689="","",IF(H739="","",H739))</f>
        <v/>
      </c>
      <c r="AP739" s="136" t="str">
        <f>IF(AH689="","",IF(I739="","",I739))</f>
        <v/>
      </c>
      <c r="AQ739" s="136" t="str">
        <f>IF(AH689="","",IF(J739="","",J739))</f>
        <v/>
      </c>
      <c r="AR739" s="136" t="str">
        <f>IF(AH689="","",IF(K739="","",K739))</f>
        <v/>
      </c>
      <c r="AS739" s="136" t="str">
        <f>IF(AH689="","",IF(L739="","",L739))</f>
        <v/>
      </c>
      <c r="AT739" s="136" t="str">
        <f>IF(AH689="","",IF(M739="","",M739))</f>
        <v/>
      </c>
      <c r="AU739" s="136" t="str">
        <f>IF(AH689="","",IF(N739="","",N739))</f>
        <v/>
      </c>
      <c r="AV739" s="136" t="str">
        <f>IF(AH689="","",IF(O739="","",O739))</f>
        <v/>
      </c>
      <c r="AX739" s="136" t="str">
        <f>IF(AI689="","",IF(B739="","",B739))</f>
        <v/>
      </c>
      <c r="AY739" s="136" t="str">
        <f>IF(AI689="","",IF(C739="","",C739))</f>
        <v/>
      </c>
      <c r="AZ739" s="136" t="str">
        <f>IF(AI689="","",IF(D739="","",D739))</f>
        <v/>
      </c>
      <c r="BA739" s="136" t="str">
        <f>IF(AI689="","",IF(E739="","",E739))</f>
        <v/>
      </c>
      <c r="BB739" s="136" t="str">
        <f>IF(AI689="","",IF(F739="","",F739))</f>
        <v/>
      </c>
      <c r="BC739" s="136" t="str">
        <f>IF(AI689="","",IF(G739="","",G739))</f>
        <v/>
      </c>
      <c r="BD739" s="136" t="str">
        <f>IF(AI689="","",IF(H739="","",H739))</f>
        <v/>
      </c>
      <c r="BE739" s="136" t="str">
        <f>IF(AI689="","",IF(I739="","",I739))</f>
        <v/>
      </c>
      <c r="BF739" s="136" t="str">
        <f>IF(AI689="","",IF(J739="","",J739))</f>
        <v/>
      </c>
      <c r="BG739" s="136" t="str">
        <f>IF(AI689="","",IF(K739="","",K739))</f>
        <v/>
      </c>
      <c r="BH739" s="136" t="str">
        <f>IF(AI689="","",IF(L739="","",L739))</f>
        <v/>
      </c>
      <c r="BI739" s="136" t="str">
        <f>IF(AI689="","",IF(M739="","",M739))</f>
        <v/>
      </c>
      <c r="BJ739" s="136" t="str">
        <f>IF(AI689="","",IF(N739="","",N739))</f>
        <v/>
      </c>
      <c r="BK739" s="136" t="str">
        <f>IF(AI689="","",IF(O739="","",O739))</f>
        <v/>
      </c>
      <c r="BP739" s="136" t="str">
        <f>IF(BO739="","",COUNTIFS(AX693:BK740,BO739)*0.5)</f>
        <v/>
      </c>
      <c r="CA739" s="136">
        <f>'INFO BASE'!L816</f>
        <v>0</v>
      </c>
      <c r="CB739" s="136">
        <f>'INFO BASE'!M816</f>
        <v>0</v>
      </c>
      <c r="CR739" s="177">
        <f t="shared" si="420"/>
        <v>1</v>
      </c>
      <c r="CS739" s="177">
        <f t="shared" si="394"/>
        <v>1</v>
      </c>
      <c r="CT739" s="177">
        <f t="shared" si="420"/>
        <v>1</v>
      </c>
      <c r="CU739" s="177">
        <f t="shared" si="395"/>
        <v>1</v>
      </c>
      <c r="CV739" s="177">
        <f t="shared" si="420"/>
        <v>1</v>
      </c>
      <c r="CW739" s="177">
        <f t="shared" si="396"/>
        <v>1</v>
      </c>
      <c r="CX739" s="177">
        <f t="shared" si="420"/>
        <v>1</v>
      </c>
      <c r="CY739" s="177">
        <f t="shared" si="397"/>
        <v>1</v>
      </c>
      <c r="CZ739" s="177">
        <f t="shared" si="420"/>
        <v>1</v>
      </c>
      <c r="DA739" s="177">
        <f t="shared" si="398"/>
        <v>1</v>
      </c>
      <c r="DB739" s="177">
        <f t="shared" si="421"/>
        <v>1</v>
      </c>
      <c r="DC739" s="177">
        <f t="shared" si="399"/>
        <v>1</v>
      </c>
      <c r="DD739" s="177">
        <f t="shared" si="400"/>
        <v>1</v>
      </c>
      <c r="DE739" s="177">
        <f t="shared" si="401"/>
        <v>1</v>
      </c>
    </row>
    <row r="740" spans="1:120" ht="18" customHeight="1" thickBot="1" x14ac:dyDescent="0.35">
      <c r="A740" s="180">
        <v>0.97916666666669805</v>
      </c>
      <c r="B740" s="155"/>
      <c r="C740" s="156"/>
      <c r="D740" s="157"/>
      <c r="E740" s="156"/>
      <c r="F740" s="157"/>
      <c r="G740" s="156"/>
      <c r="H740" s="157"/>
      <c r="I740" s="156"/>
      <c r="J740" s="157"/>
      <c r="K740" s="156"/>
      <c r="L740" s="157"/>
      <c r="M740" s="156"/>
      <c r="N740" s="157"/>
      <c r="O740" s="158"/>
      <c r="P740" s="6">
        <v>0.2</v>
      </c>
      <c r="Q740" s="92" t="str">
        <f>IF('INFO BASE'!$C$29="","",'INFO BASE'!$C$29)</f>
        <v>Sono</v>
      </c>
      <c r="R740" s="93" t="str">
        <f t="shared" si="410"/>
        <v>HS</v>
      </c>
      <c r="S740" s="94">
        <f t="shared" si="407"/>
        <v>-1</v>
      </c>
      <c r="T740" s="95">
        <f>IF(VLOOKUP(Q740,'INFO BASE'!$B$40:$I$54,IF(R740='INFO BASE'!$B$32,3,IF(R740='INFO BASE'!$B$33,4,IF(R740='INFO BASE'!$B$34,5,IF(R740='INFO BASE'!$B$35,6,IF(R740='INFO BASE'!$B$36,7,IF(R740='INFO BASE'!$B$37,8,2)))))),0)=0,"",VLOOKUP(Q740,'INFO BASE'!$B$40:$I$54,IF(R740='INFO BASE'!$B$32,3,IF(R740='INFO BASE'!$B$33,4,IF(R740='INFO BASE'!$B$34,5,IF(R740='INFO BASE'!$B$35,6,IF(R740='INFO BASE'!$B$36,7,IF(R740='INFO BASE'!$B$37,8,2)))))),0))</f>
        <v>49</v>
      </c>
      <c r="U740" s="95">
        <f t="shared" si="419"/>
        <v>0</v>
      </c>
      <c r="V740" s="95">
        <f>IF(R740="","",COUNTIFS(AI693:AV740,R740)*0.5)</f>
        <v>0</v>
      </c>
      <c r="W740" s="96" t="str">
        <f>IF(AH689="","-",IF(V740=0,U740,IFERROR((U740/V740)-1,"-")))</f>
        <v>-</v>
      </c>
      <c r="X740" s="204">
        <f t="shared" si="408"/>
        <v>0</v>
      </c>
      <c r="Y740" s="274"/>
      <c r="Z740" s="275"/>
      <c r="AA740" s="275"/>
      <c r="AB740" s="275"/>
      <c r="AC740" s="275"/>
      <c r="AD740" s="275"/>
      <c r="AE740" s="275"/>
      <c r="AF740" s="276"/>
      <c r="AH740" s="136">
        <v>0.97916666666669805</v>
      </c>
      <c r="AI740" s="136" t="str">
        <f>IF(AH689="","",IF(B740="","",B740))</f>
        <v/>
      </c>
      <c r="AJ740" s="136" t="str">
        <f>IF(AH689="","",IF(C740="","",C740))</f>
        <v/>
      </c>
      <c r="AK740" s="136" t="str">
        <f>IF(AH689="","",IF(D740="","",D740))</f>
        <v/>
      </c>
      <c r="AL740" s="136" t="str">
        <f>IF(AH689="","",IF(E740="","",E740))</f>
        <v/>
      </c>
      <c r="AM740" s="136" t="str">
        <f>IF(AH689="","",IF(F740="","",F740))</f>
        <v/>
      </c>
      <c r="AN740" s="136" t="str">
        <f>IF(AH689="","",IF(G740="","",G740))</f>
        <v/>
      </c>
      <c r="AO740" s="136" t="str">
        <f>IF(AH689="","",IF(H740="","",H740))</f>
        <v/>
      </c>
      <c r="AP740" s="136" t="str">
        <f>IF(AH689="","",IF(I740="","",I740))</f>
        <v/>
      </c>
      <c r="AQ740" s="136" t="str">
        <f>IF(AH689="","",IF(J740="","",J740))</f>
        <v/>
      </c>
      <c r="AR740" s="136" t="str">
        <f>IF(AH689="","",IF(K740="","",K740))</f>
        <v/>
      </c>
      <c r="AS740" s="136" t="str">
        <f>IF(AH689="","",IF(L740="","",L740))</f>
        <v/>
      </c>
      <c r="AT740" s="136" t="str">
        <f>IF(AH689="","",IF(M740="","",M740))</f>
        <v/>
      </c>
      <c r="AU740" s="136" t="str">
        <f>IF(AH689="","",IF(N740="","",N740))</f>
        <v/>
      </c>
      <c r="AV740" s="136" t="str">
        <f>IF(AH689="","",IF(O740="","",O740))</f>
        <v/>
      </c>
      <c r="AX740" s="136" t="str">
        <f>IF(AI689="","",IF(B740="","",B740))</f>
        <v/>
      </c>
      <c r="AY740" s="136" t="str">
        <f>IF(AI689="","",IF(C740="","",C740))</f>
        <v/>
      </c>
      <c r="AZ740" s="136" t="str">
        <f>IF(AI689="","",IF(D740="","",D740))</f>
        <v/>
      </c>
      <c r="BA740" s="136" t="str">
        <f>IF(AI689="","",IF(E740="","",E740))</f>
        <v/>
      </c>
      <c r="BB740" s="136" t="str">
        <f>IF(AI689="","",IF(F740="","",F740))</f>
        <v/>
      </c>
      <c r="BC740" s="136" t="str">
        <f>IF(AI689="","",IF(G740="","",G740))</f>
        <v/>
      </c>
      <c r="BD740" s="136" t="str">
        <f>IF(AI689="","",IF(H740="","",H740))</f>
        <v/>
      </c>
      <c r="BE740" s="136" t="str">
        <f>IF(AI689="","",IF(I740="","",I740))</f>
        <v/>
      </c>
      <c r="BF740" s="136" t="str">
        <f>IF(AI689="","",IF(J740="","",J740))</f>
        <v/>
      </c>
      <c r="BG740" s="136" t="str">
        <f>IF(AI689="","",IF(K740="","",K740))</f>
        <v/>
      </c>
      <c r="BH740" s="136" t="str">
        <f>IF(AI689="","",IF(L740="","",L740))</f>
        <v/>
      </c>
      <c r="BI740" s="136" t="str">
        <f>IF(AI689="","",IF(M740="","",M740))</f>
        <v/>
      </c>
      <c r="BJ740" s="136" t="str">
        <f>IF(AI689="","",IF(N740="","",N740))</f>
        <v/>
      </c>
      <c r="BK740" s="136" t="str">
        <f>IF(AI689="","",IF(O740="","",O740))</f>
        <v/>
      </c>
      <c r="BP740" s="136" t="str">
        <f>IF(BO740="","",COUNTIFS(AX693:BK740,BO740)*0.5)</f>
        <v/>
      </c>
      <c r="CA740" s="136">
        <f>'INFO BASE'!L817</f>
        <v>0</v>
      </c>
      <c r="CB740" s="136">
        <f>'INFO BASE'!M817</f>
        <v>0</v>
      </c>
      <c r="CR740" s="177">
        <f t="shared" si="420"/>
        <v>1</v>
      </c>
      <c r="CS740" s="177">
        <f t="shared" si="394"/>
        <v>1</v>
      </c>
      <c r="CT740" s="177">
        <f t="shared" si="420"/>
        <v>1</v>
      </c>
      <c r="CU740" s="177">
        <f t="shared" si="395"/>
        <v>1</v>
      </c>
      <c r="CV740" s="177">
        <f t="shared" si="420"/>
        <v>1</v>
      </c>
      <c r="CW740" s="177">
        <f t="shared" si="396"/>
        <v>1</v>
      </c>
      <c r="CX740" s="177">
        <f t="shared" si="420"/>
        <v>1</v>
      </c>
      <c r="CY740" s="177">
        <f t="shared" si="397"/>
        <v>1</v>
      </c>
      <c r="CZ740" s="177">
        <f t="shared" si="420"/>
        <v>1</v>
      </c>
      <c r="DA740" s="177">
        <f t="shared" si="398"/>
        <v>1</v>
      </c>
      <c r="DB740" s="177">
        <f t="shared" si="421"/>
        <v>1</v>
      </c>
      <c r="DC740" s="177">
        <f t="shared" si="399"/>
        <v>1</v>
      </c>
      <c r="DD740" s="177">
        <f t="shared" si="400"/>
        <v>1</v>
      </c>
      <c r="DE740" s="177">
        <f t="shared" si="401"/>
        <v>1</v>
      </c>
    </row>
    <row r="741" spans="1:120" s="139" customFormat="1" ht="15" thickTop="1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7">
        <v>1</v>
      </c>
      <c r="Y741" s="6">
        <f>COUNTA(Y704:AF740)</f>
        <v>0</v>
      </c>
      <c r="Z741" s="6">
        <f>SUM(X704:X740)</f>
        <v>0</v>
      </c>
      <c r="AA741" s="6">
        <f>IF(Z741&gt;Y741,"ERRO",0)</f>
        <v>0</v>
      </c>
      <c r="AB741" s="6"/>
      <c r="AC741" s="6"/>
      <c r="AD741" s="6"/>
      <c r="AE741" s="6"/>
      <c r="AF741" s="6"/>
      <c r="AG741" s="6"/>
      <c r="BM741" s="136"/>
      <c r="BN741" s="136"/>
      <c r="BO741" s="136"/>
      <c r="BP741" s="136"/>
      <c r="BQ741" s="136"/>
      <c r="BR741" s="136"/>
      <c r="BS741" s="136"/>
      <c r="BT741" s="136"/>
      <c r="BU741" s="136"/>
      <c r="DN741" s="194"/>
      <c r="DO741" s="194"/>
      <c r="DP741" s="194"/>
    </row>
    <row r="742" spans="1:120" s="139" customFormat="1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7">
        <v>1</v>
      </c>
      <c r="Y742" s="6" t="s">
        <v>220</v>
      </c>
      <c r="Z742" s="6" t="s">
        <v>219</v>
      </c>
      <c r="AA742" s="6" t="s">
        <v>221</v>
      </c>
      <c r="AB742" s="6"/>
      <c r="AC742" s="6"/>
      <c r="AD742" s="6"/>
      <c r="AE742" s="6"/>
      <c r="AF742" s="6"/>
      <c r="AG742" s="6"/>
      <c r="BM742" s="136"/>
      <c r="BN742" s="136"/>
      <c r="BO742" s="136"/>
      <c r="BP742" s="136"/>
      <c r="BQ742" s="136"/>
      <c r="BR742" s="136"/>
      <c r="BS742" s="136"/>
      <c r="BT742" s="136"/>
      <c r="BU742" s="136"/>
      <c r="DN742" s="194"/>
      <c r="DO742" s="194"/>
      <c r="DP742" s="194"/>
    </row>
    <row r="743" spans="1:120" s="139" customFormat="1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7">
        <v>1</v>
      </c>
      <c r="Y743" s="6"/>
      <c r="Z743" s="6"/>
      <c r="AA743" s="6"/>
      <c r="AB743" s="6"/>
      <c r="AC743" s="6"/>
      <c r="AD743" s="6"/>
      <c r="AE743" s="6"/>
      <c r="AF743" s="6"/>
      <c r="AG743" s="6"/>
      <c r="BM743" s="136"/>
      <c r="BN743" s="136"/>
      <c r="BO743" s="136"/>
      <c r="BP743" s="136"/>
      <c r="BQ743" s="136"/>
      <c r="BR743" s="136"/>
      <c r="BS743" s="136"/>
      <c r="BT743" s="136"/>
      <c r="BU743" s="136"/>
      <c r="DN743" s="194"/>
      <c r="DO743" s="194"/>
      <c r="DP743" s="194"/>
    </row>
    <row r="744" spans="1:120" ht="15" thickBot="1" x14ac:dyDescent="0.35">
      <c r="X744" s="7">
        <v>1</v>
      </c>
    </row>
    <row r="745" spans="1:120" ht="38.25" customHeight="1" thickTop="1" thickBot="1" x14ac:dyDescent="0.35">
      <c r="A745" s="311" t="str">
        <f>IF(LEN(A688)=8,CONCATENATE("SEMANA ",RIGHT(A688,1)+1),CONCATENATE("SEMANA ",RIGHT(A688,2)+1))</f>
        <v>SEMANA 14</v>
      </c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3"/>
      <c r="AG745" s="12"/>
      <c r="CA745" s="136">
        <f>'INFO BASE'!L826</f>
        <v>0</v>
      </c>
      <c r="CB745" s="136">
        <f>'INFO BASE'!M826</f>
        <v>0</v>
      </c>
    </row>
    <row r="746" spans="1:120" ht="9" customHeight="1" thickTop="1" thickBot="1" x14ac:dyDescent="0.35">
      <c r="A746" s="139"/>
      <c r="B746" s="139"/>
      <c r="C746" s="140"/>
      <c r="D746" s="139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41">
        <v>1</v>
      </c>
      <c r="Y746" s="139"/>
      <c r="Z746" s="139"/>
      <c r="AA746" s="139"/>
      <c r="AB746" s="139"/>
      <c r="AC746" s="139"/>
      <c r="AD746" s="139"/>
      <c r="AE746" s="139"/>
      <c r="AF746" s="139"/>
      <c r="AG746" s="139"/>
      <c r="CA746" s="136">
        <f>'INFO BASE'!L827</f>
        <v>0</v>
      </c>
      <c r="CB746" s="136">
        <f>'INFO BASE'!M827</f>
        <v>0</v>
      </c>
    </row>
    <row r="747" spans="1:120" ht="30.75" customHeight="1" x14ac:dyDescent="0.3">
      <c r="A747" s="145"/>
      <c r="B747" s="314">
        <f>1-(CR747/673)</f>
        <v>0</v>
      </c>
      <c r="C747" s="315"/>
      <c r="D747" s="315"/>
      <c r="E747" s="315"/>
      <c r="F747" s="315"/>
      <c r="G747" s="315"/>
      <c r="H747" s="315"/>
      <c r="I747" s="315"/>
      <c r="J747" s="315"/>
      <c r="K747" s="315"/>
      <c r="L747" s="315"/>
      <c r="M747" s="315"/>
      <c r="N747" s="315"/>
      <c r="O747" s="316"/>
      <c r="Q747" s="205">
        <f>IF(OR(Q750="Registe aqui o que considera serem as suas três principais prioridades para a semana
(Dica - para criar paragráfos Alt+Enter)",LEN(Q750)&lt;10),1,0)</f>
        <v>1</v>
      </c>
      <c r="X747" s="7">
        <v>1</v>
      </c>
      <c r="AM747" s="136" t="str">
        <f>CONCATENATE("PLANEAMENTO ",I747)</f>
        <v xml:space="preserve">PLANEAMENTO </v>
      </c>
      <c r="AX747" s="136" t="str">
        <f>IF(AI746="","",IF(B747="","",B747))</f>
        <v/>
      </c>
      <c r="AY747" s="136" t="str">
        <f>IF(AI746="","",IF(C747="","",C747))</f>
        <v/>
      </c>
      <c r="AZ747" s="136" t="str">
        <f>IF(AI746="","",IF(D747="","",D747))</f>
        <v/>
      </c>
      <c r="BA747" s="136" t="str">
        <f>IF(AI746="","",IF(E747="","",E747))</f>
        <v/>
      </c>
      <c r="BB747" s="136" t="str">
        <f>IF(AI746="","",IF(F747="","",F747))</f>
        <v/>
      </c>
      <c r="BC747" s="136" t="str">
        <f>IF(AI746="","",IF(G747="","",G747))</f>
        <v/>
      </c>
      <c r="BD747" s="136" t="str">
        <f>IF(AI746="","",IF(H747="","",H747))</f>
        <v/>
      </c>
      <c r="BE747" s="136" t="str">
        <f>IF(AI746="","",IF(I747="","",I747))</f>
        <v/>
      </c>
      <c r="BF747" s="136" t="str">
        <f>IF(AI746="","",IF(J747="","",J747))</f>
        <v/>
      </c>
      <c r="BG747" s="136" t="str">
        <f>IF(AI746="","",IF(K747="","",K747))</f>
        <v/>
      </c>
      <c r="BH747" s="136" t="str">
        <f>IF(AI746="","",IF(L747="","",L747))</f>
        <v/>
      </c>
      <c r="BI747" s="136" t="str">
        <f>IF(AI746="","",IF(M747="","",M747))</f>
        <v/>
      </c>
      <c r="BJ747" s="136" t="str">
        <f>IF(AI746="","",IF(N747="","",N747))</f>
        <v/>
      </c>
      <c r="BK747" s="136" t="str">
        <f>IF(AI746="","",IF(O747="","",O747))</f>
        <v/>
      </c>
      <c r="CA747" s="136">
        <f>'INFO BASE'!L813</f>
        <v>0</v>
      </c>
      <c r="CB747" s="136">
        <f>'INFO BASE'!M813</f>
        <v>0</v>
      </c>
      <c r="CR747" s="136">
        <f>SUM(CR750:DE797,Q747)</f>
        <v>673</v>
      </c>
    </row>
    <row r="748" spans="1:120" ht="37.5" customHeight="1" thickBot="1" x14ac:dyDescent="0.35">
      <c r="A748" s="146"/>
      <c r="B748" s="330" t="str">
        <f>CONCATENATE("Segunda ",CHAR(10),TEXT(B749,"dd-mm-aaaa"))</f>
        <v>Segunda 
14-12-2015</v>
      </c>
      <c r="C748" s="317"/>
      <c r="D748" s="317" t="str">
        <f>CONCATENATE("Terça ",CHAR(10),TEXT(D749,"dd-mm-aaaa"))</f>
        <v>Terça 
15-12-2015</v>
      </c>
      <c r="E748" s="317"/>
      <c r="F748" s="317" t="str">
        <f>CONCATENATE("Quarta ",CHAR(10),TEXT(F749,"dd-mm-aaaa"))</f>
        <v>Quarta 
16-12-2015</v>
      </c>
      <c r="G748" s="317"/>
      <c r="H748" s="317" t="str">
        <f>CONCATENATE("Quinta ",CHAR(10),TEXT(H749,"dd-mm-aaaa"))</f>
        <v>Quinta 
17-12-2015</v>
      </c>
      <c r="I748" s="317"/>
      <c r="J748" s="317" t="str">
        <f>CONCATENATE("Sexta ",CHAR(10),TEXT(J749,"dd-mm-aaaa"))</f>
        <v>Sexta 
18-12-2015</v>
      </c>
      <c r="K748" s="317"/>
      <c r="L748" s="317" t="str">
        <f>CONCATENATE("Sábado ",CHAR(10),TEXT(L749,"dd-mm-aaaa"))</f>
        <v>Sábado 
19-12-2015</v>
      </c>
      <c r="M748" s="317"/>
      <c r="N748" s="317" t="str">
        <f>CONCATENATE("Domingo ",CHAR(10),TEXT(N749,"dd-mm-aaaa"))</f>
        <v>Domingo 
20-12-2015</v>
      </c>
      <c r="O748" s="329"/>
      <c r="Q748" s="55" t="str">
        <f>'INFO BASE'!$L$3</f>
        <v>PRIORIDADES PARA ESTA SEMANA</v>
      </c>
      <c r="R748" s="132"/>
      <c r="S748" s="132"/>
      <c r="T748" s="132"/>
      <c r="U748" s="132"/>
      <c r="V748" s="132"/>
      <c r="W748" s="195" t="str">
        <f>CONCATENATE("HORÁRIO ",'INFO BASE'!$C$6,"_",'INFO BASE'!$C$5,": ",UPPER(A745))</f>
        <v>HORÁRIO André Fonseca_84698: SEMANA 14</v>
      </c>
      <c r="X748" s="198">
        <v>1</v>
      </c>
      <c r="Y748" s="261" t="str">
        <f>'INFO BASE'!$L$1</f>
        <v>MOMENTOS AVALIATIVOS</v>
      </c>
      <c r="Z748" s="261"/>
      <c r="AA748" s="261"/>
      <c r="AB748" s="261"/>
      <c r="AC748" s="261" t="s">
        <v>215</v>
      </c>
      <c r="AD748" s="261"/>
      <c r="AE748" s="261"/>
      <c r="AF748" s="261"/>
      <c r="AI748" s="136" t="str">
        <f>B748</f>
        <v>Segunda 
14-12-2015</v>
      </c>
      <c r="AK748" s="136" t="str">
        <f>D748</f>
        <v>Terça 
15-12-2015</v>
      </c>
      <c r="AM748" s="136" t="str">
        <f>F748</f>
        <v>Quarta 
16-12-2015</v>
      </c>
      <c r="AO748" s="136" t="str">
        <f>H748</f>
        <v>Quinta 
17-12-2015</v>
      </c>
      <c r="AQ748" s="136" t="str">
        <f>J748</f>
        <v>Sexta 
18-12-2015</v>
      </c>
      <c r="AS748" s="136" t="str">
        <f>L748</f>
        <v>Sábado 
19-12-2015</v>
      </c>
      <c r="AU748" s="136" t="str">
        <f>N748</f>
        <v>Domingo 
20-12-2015</v>
      </c>
      <c r="AX748" s="136" t="str">
        <f>IF(AI746="","",IF(B748="","",B748))</f>
        <v/>
      </c>
      <c r="AY748" s="136" t="str">
        <f>IF(AI746="","",IF(C748="","",C748))</f>
        <v/>
      </c>
      <c r="AZ748" s="136" t="str">
        <f>IF(AI746="","",IF(D748="","",D748))</f>
        <v/>
      </c>
      <c r="BA748" s="136" t="str">
        <f>IF(AI746="","",IF(E748="","",E748))</f>
        <v/>
      </c>
      <c r="BB748" s="136" t="str">
        <f>IF(AI746="","",IF(F748="","",F748))</f>
        <v/>
      </c>
      <c r="BC748" s="136" t="str">
        <f>IF(AI746="","",IF(G748="","",G748))</f>
        <v/>
      </c>
      <c r="BD748" s="136" t="str">
        <f>IF(AI746="","",IF(H748="","",H748))</f>
        <v/>
      </c>
      <c r="BE748" s="136" t="str">
        <f>IF(AI746="","",IF(I748="","",I748))</f>
        <v/>
      </c>
      <c r="BF748" s="136" t="str">
        <f>IF(AI746="","",IF(J748="","",J748))</f>
        <v/>
      </c>
      <c r="BG748" s="136" t="str">
        <f>IF(AI746="","",IF(K748="","",K748))</f>
        <v/>
      </c>
      <c r="BH748" s="136" t="str">
        <f>IF(AI746="","",IF(L748="","",L748))</f>
        <v/>
      </c>
      <c r="BI748" s="136" t="str">
        <f>IF(AI746="","",IF(M748="","",M748))</f>
        <v/>
      </c>
      <c r="BJ748" s="136" t="str">
        <f>IF(AI746="","",IF(N748="","",N748))</f>
        <v/>
      </c>
      <c r="BK748" s="136" t="str">
        <f>IF(AI746="","",IF(O748="","",O748))</f>
        <v/>
      </c>
      <c r="CA748" s="136">
        <f>'INFO BASE'!L807</f>
        <v>0</v>
      </c>
      <c r="CB748" s="136">
        <f>'INFO BASE'!M807</f>
        <v>0</v>
      </c>
    </row>
    <row r="749" spans="1:120" ht="21" hidden="1" customHeight="1" x14ac:dyDescent="0.3">
      <c r="A749" s="142"/>
      <c r="B749" s="333">
        <f>N692+1</f>
        <v>42352</v>
      </c>
      <c r="C749" s="334"/>
      <c r="D749" s="334">
        <f>B749+1</f>
        <v>42353</v>
      </c>
      <c r="E749" s="334"/>
      <c r="F749" s="334">
        <f>D749+1</f>
        <v>42354</v>
      </c>
      <c r="G749" s="334"/>
      <c r="H749" s="334">
        <f>F749+1</f>
        <v>42355</v>
      </c>
      <c r="I749" s="334"/>
      <c r="J749" s="334">
        <f>H749+1</f>
        <v>42356</v>
      </c>
      <c r="K749" s="334"/>
      <c r="L749" s="334">
        <f>J749+1</f>
        <v>42357</v>
      </c>
      <c r="M749" s="334"/>
      <c r="N749" s="334">
        <f>L749+1</f>
        <v>42358</v>
      </c>
      <c r="O749" s="334"/>
      <c r="Q749" s="132"/>
      <c r="R749" s="132"/>
      <c r="S749" s="132"/>
      <c r="T749" s="132"/>
      <c r="U749" s="132"/>
      <c r="V749" s="132"/>
      <c r="W749" s="132"/>
      <c r="X749" s="198">
        <v>1</v>
      </c>
      <c r="Y749" s="132"/>
      <c r="Z749" s="132"/>
      <c r="AA749" s="132"/>
      <c r="AB749" s="131"/>
      <c r="AC749" s="131"/>
      <c r="AD749" s="131"/>
      <c r="AE749" s="131"/>
      <c r="AF749" s="131"/>
      <c r="AI749" s="136">
        <f>B749</f>
        <v>42352</v>
      </c>
      <c r="AK749" s="136">
        <f>D749</f>
        <v>42353</v>
      </c>
      <c r="AM749" s="136">
        <f>F749</f>
        <v>42354</v>
      </c>
      <c r="AO749" s="136">
        <f>H749</f>
        <v>42355</v>
      </c>
      <c r="AQ749" s="136">
        <f>J749</f>
        <v>42356</v>
      </c>
      <c r="AS749" s="136">
        <f>L749</f>
        <v>42357</v>
      </c>
      <c r="AU749" s="136">
        <f>N749</f>
        <v>42358</v>
      </c>
      <c r="AX749" s="136" t="str">
        <f>IF(AI746="","",IF(B749="","",B749))</f>
        <v/>
      </c>
      <c r="AY749" s="136" t="str">
        <f>IF(AI746="","",IF(C749="","",C749))</f>
        <v/>
      </c>
      <c r="AZ749" s="136" t="str">
        <f>IF(AI746="","",IF(D749="","",D749))</f>
        <v/>
      </c>
      <c r="BA749" s="136" t="str">
        <f>IF(AI746="","",IF(E749="","",E749))</f>
        <v/>
      </c>
      <c r="BB749" s="136" t="str">
        <f>IF(AI746="","",IF(F749="","",F749))</f>
        <v/>
      </c>
      <c r="BC749" s="136" t="str">
        <f>IF(AI746="","",IF(G749="","",G749))</f>
        <v/>
      </c>
      <c r="BD749" s="136" t="str">
        <f>IF(AI746="","",IF(H749="","",H749))</f>
        <v/>
      </c>
      <c r="BE749" s="136" t="str">
        <f>IF(AI746="","",IF(I749="","",I749))</f>
        <v/>
      </c>
      <c r="BF749" s="136" t="str">
        <f>IF(AI746="","",IF(J749="","",J749))</f>
        <v/>
      </c>
      <c r="BG749" s="136" t="str">
        <f>IF(AI746="","",IF(K749="","",K749))</f>
        <v/>
      </c>
      <c r="BH749" s="136" t="str">
        <f>IF(AI746="","",IF(L749="","",L749))</f>
        <v/>
      </c>
      <c r="BI749" s="136" t="str">
        <f>IF(AI746="","",IF(M749="","",M749))</f>
        <v/>
      </c>
      <c r="BJ749" s="136" t="str">
        <f>IF(AI746="","",IF(N749="","",N749))</f>
        <v/>
      </c>
      <c r="BK749" s="136" t="str">
        <f>IF(AI746="","",IF(O749="","",O749))</f>
        <v/>
      </c>
      <c r="CA749" s="136">
        <f>'INFO BASE'!L819</f>
        <v>0</v>
      </c>
      <c r="CB749" s="136">
        <f>'INFO BASE'!M819</f>
        <v>0</v>
      </c>
    </row>
    <row r="750" spans="1:120" ht="18" customHeight="1" thickTop="1" x14ac:dyDescent="0.3">
      <c r="A750" s="81">
        <v>0</v>
      </c>
      <c r="B750" s="149"/>
      <c r="C750" s="150"/>
      <c r="D750" s="151"/>
      <c r="E750" s="150"/>
      <c r="F750" s="151"/>
      <c r="G750" s="150"/>
      <c r="H750" s="151"/>
      <c r="I750" s="150"/>
      <c r="J750" s="151"/>
      <c r="K750" s="150"/>
      <c r="L750" s="151"/>
      <c r="M750" s="150"/>
      <c r="N750" s="151"/>
      <c r="O750" s="152"/>
      <c r="Q750" s="281" t="s">
        <v>216</v>
      </c>
      <c r="R750" s="282"/>
      <c r="S750" s="282"/>
      <c r="T750" s="282"/>
      <c r="U750" s="282"/>
      <c r="V750" s="282"/>
      <c r="W750" s="283"/>
      <c r="X750" s="199">
        <v>1</v>
      </c>
      <c r="Y750" s="268" t="str">
        <f t="array" ref="Y750">IF(ISERROR(INDEX($CA$2:$CB$200,SMALL(IF($CA$2:$CA$200=$A$745,ROW($CA$2:$CA$200)),ROW(1:1))-1,2)),"",INDEX($CA$2:$CB$200,SMALL(IF($CA$2:$CA$200=$A$745,ROW($CA$2:$CA$200)),ROW(1:1))-1,2))</f>
        <v/>
      </c>
      <c r="Z750" s="269"/>
      <c r="AA750" s="269"/>
      <c r="AB750" s="269"/>
      <c r="AC750" s="269"/>
      <c r="AD750" s="269"/>
      <c r="AE750" s="269"/>
      <c r="AF750" s="270"/>
      <c r="AH750" s="136">
        <v>0</v>
      </c>
      <c r="AI750" s="136" t="str">
        <f>IF(AH746="","",IF(B750="","",B750))</f>
        <v/>
      </c>
      <c r="AJ750" s="136" t="str">
        <f>IF(AH746="","",IF(C750="","",C750))</f>
        <v/>
      </c>
      <c r="AK750" s="136" t="str">
        <f>IF(AH746="","",IF(D750="","",D750))</f>
        <v/>
      </c>
      <c r="AL750" s="136" t="str">
        <f>IF(AH746="","",IF(E750="","",E750))</f>
        <v/>
      </c>
      <c r="AM750" s="136" t="str">
        <f>IF(AH746="","",IF(F750="","",F750))</f>
        <v/>
      </c>
      <c r="AN750" s="136" t="str">
        <f>IF(AH746="","",IF(G750="","",G750))</f>
        <v/>
      </c>
      <c r="AO750" s="136" t="str">
        <f>IF(AH746="","",IF(H750="","",H750))</f>
        <v/>
      </c>
      <c r="AP750" s="136" t="str">
        <f>IF(AH746="","",IF(I750="","",I750))</f>
        <v/>
      </c>
      <c r="AQ750" s="136" t="str">
        <f>IF(AH746="","",IF(J750="","",J750))</f>
        <v/>
      </c>
      <c r="AR750" s="136" t="str">
        <f>IF(AH746="","",IF(K750="","",K750))</f>
        <v/>
      </c>
      <c r="AS750" s="136" t="str">
        <f>IF(AH746="","",IF(L750="","",L750))</f>
        <v/>
      </c>
      <c r="AT750" s="136" t="str">
        <f>IF(AH746="","",IF(M750="","",M750))</f>
        <v/>
      </c>
      <c r="AU750" s="136" t="str">
        <f>IF(AH746="","",IF(N750="","",N750))</f>
        <v/>
      </c>
      <c r="AV750" s="136" t="str">
        <f>IF(AH746="","",IF(O750="","",O750))</f>
        <v/>
      </c>
      <c r="AX750" s="136" t="str">
        <f>IF(AI746="","",IF(B750="","",B750))</f>
        <v/>
      </c>
      <c r="AY750" s="136" t="str">
        <f>IF(AI746="","",IF(C750="","",C750))</f>
        <v/>
      </c>
      <c r="AZ750" s="136" t="str">
        <f>IF(AI746="","",IF(D750="","",D750))</f>
        <v/>
      </c>
      <c r="BA750" s="136" t="str">
        <f>IF(AI746="","",IF(E750="","",E750))</f>
        <v/>
      </c>
      <c r="BB750" s="136" t="str">
        <f>IF(AI746="","",IF(F750="","",F750))</f>
        <v/>
      </c>
      <c r="BC750" s="136" t="str">
        <f>IF(AI746="","",IF(G750="","",G750))</f>
        <v/>
      </c>
      <c r="BD750" s="136" t="str">
        <f>IF(AI746="","",IF(H750="","",H750))</f>
        <v/>
      </c>
      <c r="BE750" s="136" t="str">
        <f>IF(AI746="","",IF(I750="","",I750))</f>
        <v/>
      </c>
      <c r="BF750" s="136" t="str">
        <f>IF(AI746="","",IF(J750="","",J750))</f>
        <v/>
      </c>
      <c r="BG750" s="136" t="str">
        <f>IF(AI746="","",IF(K750="","",K750))</f>
        <v/>
      </c>
      <c r="BH750" s="136" t="str">
        <f>IF(AI746="","",IF(L750="","",L750))</f>
        <v/>
      </c>
      <c r="BI750" s="136" t="str">
        <f>IF(AI746="","",IF(M750="","",M750))</f>
        <v/>
      </c>
      <c r="BJ750" s="136" t="str">
        <f>IF(AI746="","",IF(N750="","",N750))</f>
        <v/>
      </c>
      <c r="BK750" s="136" t="str">
        <f>IF(AI746="","",IF(O750="","",O750))</f>
        <v/>
      </c>
      <c r="CA750" s="136">
        <f>'INFO BASE'!L820</f>
        <v>0</v>
      </c>
      <c r="CB750" s="136">
        <f>'INFO BASE'!M820</f>
        <v>0</v>
      </c>
      <c r="CD750" s="136">
        <f>COUNTA('INFO BASE'!E774:E779)+6</f>
        <v>6</v>
      </c>
      <c r="CR750" s="177">
        <f>IF(B750="",1,B750)</f>
        <v>1</v>
      </c>
      <c r="CS750" s="177">
        <f>IF(B750="PV",0,IFERROR(VLOOKUP(CONCATENATE(B750,C750),$DK$9:$DK$72,1,0),1))</f>
        <v>1</v>
      </c>
      <c r="CT750" s="177">
        <f>IF(D750="",1,D750)</f>
        <v>1</v>
      </c>
      <c r="CU750" s="177">
        <f>IF(D750="PV",0,IFERROR(VLOOKUP(CONCATENATE(D750,E750),$DK$9:$DK$72,1,0),1))</f>
        <v>1</v>
      </c>
      <c r="CV750" s="177">
        <f>IF(F750="",1,F750)</f>
        <v>1</v>
      </c>
      <c r="CW750" s="177">
        <f>IF(F750="PV",0,IFERROR(VLOOKUP(CONCATENATE(F750,G750),$DK$9:$DK$72,1,0),1))</f>
        <v>1</v>
      </c>
      <c r="CX750" s="177">
        <f>IF(H750="",1,H750)</f>
        <v>1</v>
      </c>
      <c r="CY750" s="177">
        <f>IF(H750="PV",0,IFERROR(VLOOKUP(CONCATENATE(H750,I750),$DK$9:$DK$72,1,0),1))</f>
        <v>1</v>
      </c>
      <c r="CZ750" s="177">
        <f>IF(J750="",1,J750)</f>
        <v>1</v>
      </c>
      <c r="DA750" s="177">
        <f>IF(J750="PV",0,IFERROR(VLOOKUP(CONCATENATE(J750,K750),$DK$9:$DK$72,1,0),1))</f>
        <v>1</v>
      </c>
      <c r="DB750" s="177">
        <f>IF(L750="",1,L750)</f>
        <v>1</v>
      </c>
      <c r="DC750" s="177">
        <f>IF(L750="PV",0,IFERROR(VLOOKUP(CONCATENATE(L750,M750),$DK$9:$DK$72,1,0),1))</f>
        <v>1</v>
      </c>
      <c r="DD750" s="177">
        <f>IF(N750="",1,N750)</f>
        <v>1</v>
      </c>
      <c r="DE750" s="177">
        <f>IF(N750="PV",0,IFERROR(VLOOKUP(CONCATENATE(N750,O750),$DK$9:$DK$72,1,0),1))</f>
        <v>1</v>
      </c>
    </row>
    <row r="751" spans="1:120" ht="18" customHeight="1" x14ac:dyDescent="0.3">
      <c r="A751" s="81">
        <v>2.0833333333333998E-2</v>
      </c>
      <c r="B751" s="153"/>
      <c r="C751" s="130"/>
      <c r="D751" s="135"/>
      <c r="E751" s="130"/>
      <c r="F751" s="135"/>
      <c r="G751" s="130"/>
      <c r="H751" s="135"/>
      <c r="I751" s="130"/>
      <c r="J751" s="135"/>
      <c r="K751" s="130"/>
      <c r="L751" s="135"/>
      <c r="M751" s="130"/>
      <c r="N751" s="135"/>
      <c r="O751" s="154"/>
      <c r="Q751" s="284"/>
      <c r="R751" s="285"/>
      <c r="S751" s="285"/>
      <c r="T751" s="285"/>
      <c r="U751" s="285"/>
      <c r="V751" s="285"/>
      <c r="W751" s="286"/>
      <c r="X751" s="199">
        <v>1</v>
      </c>
      <c r="Y751" s="262" t="str">
        <f t="array" ref="Y751">IF(ISERROR(INDEX($CA$2:$CB$200,SMALL(IF($CA$2:$CA$200=$A$745,ROW($CA$2:$CA$200)),ROW(2:2))-1,2)),"",INDEX($CA$2:$CB$200,SMALL(IF($CA$2:$CA$200=$A$745,ROW($CA$2:$CA$200)),ROW(2:2))-1,2))</f>
        <v/>
      </c>
      <c r="Z751" s="263"/>
      <c r="AA751" s="263"/>
      <c r="AB751" s="263"/>
      <c r="AC751" s="263"/>
      <c r="AD751" s="263"/>
      <c r="AE751" s="263"/>
      <c r="AF751" s="264"/>
      <c r="AH751" s="136">
        <v>2.0833333333333998E-2</v>
      </c>
      <c r="AI751" s="136" t="str">
        <f>IF(AH746="","",IF(B751="","",B751))</f>
        <v/>
      </c>
      <c r="AJ751" s="136" t="str">
        <f>IF(AH746="","",IF(C751="","",C751))</f>
        <v/>
      </c>
      <c r="AK751" s="136" t="str">
        <f>IF(AH746="","",IF(D751="","",D751))</f>
        <v/>
      </c>
      <c r="AL751" s="136" t="str">
        <f>IF(AH746="","",IF(E751="","",E751))</f>
        <v/>
      </c>
      <c r="AM751" s="136" t="str">
        <f>IF(AH746="","",IF(F751="","",F751))</f>
        <v/>
      </c>
      <c r="AN751" s="136" t="str">
        <f>IF(AH746="","",IF(G751="","",G751))</f>
        <v/>
      </c>
      <c r="AO751" s="136" t="str">
        <f>IF(AH746="","",IF(H751="","",H751))</f>
        <v/>
      </c>
      <c r="AP751" s="136" t="str">
        <f>IF(AH746="","",IF(I751="","",I751))</f>
        <v/>
      </c>
      <c r="AQ751" s="136" t="str">
        <f>IF(AH746="","",IF(J751="","",J751))</f>
        <v/>
      </c>
      <c r="AR751" s="136" t="str">
        <f>IF(AH746="","",IF(K751="","",K751))</f>
        <v/>
      </c>
      <c r="AS751" s="136" t="str">
        <f>IF(AH746="","",IF(L751="","",L751))</f>
        <v/>
      </c>
      <c r="AT751" s="136" t="str">
        <f>IF(AH746="","",IF(M751="","",M751))</f>
        <v/>
      </c>
      <c r="AU751" s="136" t="str">
        <f>IF(AH746="","",IF(N751="","",N751))</f>
        <v/>
      </c>
      <c r="AV751" s="136" t="str">
        <f>IF(AH746="","",IF(O751="","",O751))</f>
        <v/>
      </c>
      <c r="AX751" s="136" t="str">
        <f>IF(AI746="","",IF(B751="","",B751))</f>
        <v/>
      </c>
      <c r="AY751" s="136" t="str">
        <f>IF(AI746="","",IF(C751="","",C751))</f>
        <v/>
      </c>
      <c r="AZ751" s="136" t="str">
        <f>IF(AI746="","",IF(D751="","",D751))</f>
        <v/>
      </c>
      <c r="BA751" s="136" t="str">
        <f>IF(AI746="","",IF(E751="","",E751))</f>
        <v/>
      </c>
      <c r="BB751" s="136" t="str">
        <f>IF(AI746="","",IF(F751="","",F751))</f>
        <v/>
      </c>
      <c r="BC751" s="136" t="str">
        <f>IF(AI746="","",IF(G751="","",G751))</f>
        <v/>
      </c>
      <c r="BD751" s="136" t="str">
        <f>IF(AI746="","",IF(H751="","",H751))</f>
        <v/>
      </c>
      <c r="BE751" s="136" t="str">
        <f>IF(AI746="","",IF(I751="","",I751))</f>
        <v/>
      </c>
      <c r="BF751" s="136" t="str">
        <f>IF(AI746="","",IF(J751="","",J751))</f>
        <v/>
      </c>
      <c r="BG751" s="136" t="str">
        <f>IF(AI746="","",IF(K751="","",K751))</f>
        <v/>
      </c>
      <c r="BH751" s="136" t="str">
        <f>IF(AI746="","",IF(L751="","",L751))</f>
        <v/>
      </c>
      <c r="BI751" s="136" t="str">
        <f>IF(AI746="","",IF(M751="","",M751))</f>
        <v/>
      </c>
      <c r="BJ751" s="136" t="str">
        <f>IF(AI746="","",IF(N751="","",N751))</f>
        <v/>
      </c>
      <c r="BK751" s="136" t="str">
        <f>IF(AI746="","",IF(O751="","",O751))</f>
        <v/>
      </c>
      <c r="CA751" s="136">
        <f>'INFO BASE'!L821</f>
        <v>0</v>
      </c>
      <c r="CB751" s="136">
        <f>'INFO BASE'!M821</f>
        <v>0</v>
      </c>
      <c r="CR751" s="177">
        <f t="shared" ref="CR751:DB793" si="422">IF(B751="",1,B751)</f>
        <v>1</v>
      </c>
      <c r="CS751" s="177">
        <f t="shared" ref="CS751:CS797" si="423">IF(B751="PV",0,IFERROR(VLOOKUP(CONCATENATE(B751,C751),$DK$9:$DK$72,1,0),1))</f>
        <v>1</v>
      </c>
      <c r="CT751" s="177">
        <f t="shared" si="422"/>
        <v>1</v>
      </c>
      <c r="CU751" s="177">
        <f t="shared" ref="CU751:CU797" si="424">IF(D751="PV",0,IFERROR(VLOOKUP(CONCATENATE(D751,E751),$DK$9:$DK$72,1,0),1))</f>
        <v>1</v>
      </c>
      <c r="CV751" s="177">
        <f t="shared" si="422"/>
        <v>1</v>
      </c>
      <c r="CW751" s="177">
        <f t="shared" ref="CW751:CW797" si="425">IF(F751="PV",0,IFERROR(VLOOKUP(CONCATENATE(F751,G751),$DK$9:$DK$72,1,0),1))</f>
        <v>1</v>
      </c>
      <c r="CX751" s="177">
        <f t="shared" si="422"/>
        <v>1</v>
      </c>
      <c r="CY751" s="177">
        <f t="shared" ref="CY751:CY797" si="426">IF(H751="PV",0,IFERROR(VLOOKUP(CONCATENATE(H751,I751),$DK$9:$DK$72,1,0),1))</f>
        <v>1</v>
      </c>
      <c r="CZ751" s="177">
        <f t="shared" si="422"/>
        <v>1</v>
      </c>
      <c r="DA751" s="177">
        <f t="shared" ref="DA751:DA797" si="427">IF(J751="PV",0,IFERROR(VLOOKUP(CONCATENATE(J751,K751),$DK$9:$DK$72,1,0),1))</f>
        <v>1</v>
      </c>
      <c r="DB751" s="177">
        <f t="shared" si="422"/>
        <v>1</v>
      </c>
      <c r="DC751" s="177">
        <f t="shared" ref="DC751:DC797" si="428">IF(L751="PV",0,IFERROR(VLOOKUP(CONCATENATE(L751,M751),$DK$9:$DK$72,1,0),1))</f>
        <v>1</v>
      </c>
      <c r="DD751" s="177">
        <f t="shared" ref="DD751:DD797" si="429">IF(N751="",1,N751)</f>
        <v>1</v>
      </c>
      <c r="DE751" s="177">
        <f t="shared" ref="DE751:DE797" si="430">IF(N751="PV",0,IFERROR(VLOOKUP(CONCATENATE(N751,O751),$DK$9:$DK$72,1,0),1))</f>
        <v>1</v>
      </c>
    </row>
    <row r="752" spans="1:120" ht="18" customHeight="1" x14ac:dyDescent="0.3">
      <c r="A752" s="81">
        <v>4.1666666666667997E-2</v>
      </c>
      <c r="B752" s="153"/>
      <c r="C752" s="130"/>
      <c r="D752" s="135"/>
      <c r="E752" s="130"/>
      <c r="F752" s="135"/>
      <c r="G752" s="130"/>
      <c r="H752" s="135"/>
      <c r="I752" s="130"/>
      <c r="J752" s="135"/>
      <c r="K752" s="130"/>
      <c r="L752" s="135"/>
      <c r="M752" s="130"/>
      <c r="N752" s="135"/>
      <c r="O752" s="154"/>
      <c r="Q752" s="284"/>
      <c r="R752" s="285"/>
      <c r="S752" s="285"/>
      <c r="T752" s="285"/>
      <c r="U752" s="285"/>
      <c r="V752" s="285"/>
      <c r="W752" s="286"/>
      <c r="X752" s="199">
        <v>1</v>
      </c>
      <c r="Y752" s="262" t="str">
        <f t="array" ref="Y752">IF(ISERROR(INDEX($CA$2:$CB$200,SMALL(IF($CA$2:$CA$200=$A$745,ROW($CA$2:$CA$200)),ROW(3:3))-1,2)),"",INDEX($CA$2:$CB$200,SMALL(IF($CA$2:$CA$200=$A$745,ROW($CA$2:$CA$200)),ROW(3:3))-1,2))</f>
        <v/>
      </c>
      <c r="Z752" s="263"/>
      <c r="AA752" s="263"/>
      <c r="AB752" s="263"/>
      <c r="AC752" s="263"/>
      <c r="AD752" s="263"/>
      <c r="AE752" s="263"/>
      <c r="AF752" s="264"/>
      <c r="AH752" s="136">
        <v>4.1666666666667997E-2</v>
      </c>
      <c r="AI752" s="136" t="str">
        <f>IF(AH746="","",IF(B752="","",B752))</f>
        <v/>
      </c>
      <c r="AJ752" s="136" t="str">
        <f>IF(AH746="","",IF(C752="","",C752))</f>
        <v/>
      </c>
      <c r="AK752" s="136" t="str">
        <f>IF(AH746="","",IF(D752="","",D752))</f>
        <v/>
      </c>
      <c r="AL752" s="136" t="str">
        <f>IF(AH746="","",IF(E752="","",E752))</f>
        <v/>
      </c>
      <c r="AM752" s="136" t="str">
        <f>IF(AH746="","",IF(F752="","",F752))</f>
        <v/>
      </c>
      <c r="AN752" s="136" t="str">
        <f>IF(AH746="","",IF(G752="","",G752))</f>
        <v/>
      </c>
      <c r="AO752" s="136" t="str">
        <f>IF(AH746="","",IF(H752="","",H752))</f>
        <v/>
      </c>
      <c r="AP752" s="136" t="str">
        <f>IF(AH746="","",IF(I752="","",I752))</f>
        <v/>
      </c>
      <c r="AQ752" s="136" t="str">
        <f>IF(AH746="","",IF(J752="","",J752))</f>
        <v/>
      </c>
      <c r="AR752" s="136" t="str">
        <f>IF(AH746="","",IF(K752="","",K752))</f>
        <v/>
      </c>
      <c r="AS752" s="136" t="str">
        <f>IF(AH746="","",IF(L752="","",L752))</f>
        <v/>
      </c>
      <c r="AT752" s="136" t="str">
        <f>IF(AH746="","",IF(M752="","",M752))</f>
        <v/>
      </c>
      <c r="AU752" s="136" t="str">
        <f>IF(AH746="","",IF(N752="","",N752))</f>
        <v/>
      </c>
      <c r="AV752" s="136" t="str">
        <f>IF(AH746="","",IF(O752="","",O752))</f>
        <v/>
      </c>
      <c r="AX752" s="136" t="str">
        <f>IF(AI746="","",IF(B752="","",B752))</f>
        <v/>
      </c>
      <c r="AY752" s="136" t="str">
        <f>IF(AI746="","",IF(C752="","",C752))</f>
        <v/>
      </c>
      <c r="AZ752" s="136" t="str">
        <f>IF(AI746="","",IF(D752="","",D752))</f>
        <v/>
      </c>
      <c r="BA752" s="136" t="str">
        <f>IF(AI746="","",IF(E752="","",E752))</f>
        <v/>
      </c>
      <c r="BB752" s="136" t="str">
        <f>IF(AI746="","",IF(F752="","",F752))</f>
        <v/>
      </c>
      <c r="BC752" s="136" t="str">
        <f>IF(AI746="","",IF(G752="","",G752))</f>
        <v/>
      </c>
      <c r="BD752" s="136" t="str">
        <f>IF(AI746="","",IF(H752="","",H752))</f>
        <v/>
      </c>
      <c r="BE752" s="136" t="str">
        <f>IF(AI746="","",IF(I752="","",I752))</f>
        <v/>
      </c>
      <c r="BF752" s="136" t="str">
        <f>IF(AI746="","",IF(J752="","",J752))</f>
        <v/>
      </c>
      <c r="BG752" s="136" t="str">
        <f>IF(AI746="","",IF(K752="","",K752))</f>
        <v/>
      </c>
      <c r="BH752" s="136" t="str">
        <f>IF(AI746="","",IF(L752="","",L752))</f>
        <v/>
      </c>
      <c r="BI752" s="136" t="str">
        <f>IF(AI746="","",IF(M752="","",M752))</f>
        <v/>
      </c>
      <c r="BJ752" s="136" t="str">
        <f>IF(AI746="","",IF(N752="","",N752))</f>
        <v/>
      </c>
      <c r="BK752" s="136" t="str">
        <f>IF(AI746="","",IF(O752="","",O752))</f>
        <v/>
      </c>
      <c r="CA752" s="136">
        <f>'INFO BASE'!L822</f>
        <v>0</v>
      </c>
      <c r="CB752" s="136">
        <f>'INFO BASE'!M822</f>
        <v>0</v>
      </c>
      <c r="CR752" s="177">
        <f t="shared" si="422"/>
        <v>1</v>
      </c>
      <c r="CS752" s="177">
        <f t="shared" si="423"/>
        <v>1</v>
      </c>
      <c r="CT752" s="177">
        <f t="shared" si="422"/>
        <v>1</v>
      </c>
      <c r="CU752" s="177">
        <f t="shared" si="424"/>
        <v>1</v>
      </c>
      <c r="CV752" s="177">
        <f t="shared" si="422"/>
        <v>1</v>
      </c>
      <c r="CW752" s="177">
        <f t="shared" si="425"/>
        <v>1</v>
      </c>
      <c r="CX752" s="177">
        <f t="shared" si="422"/>
        <v>1</v>
      </c>
      <c r="CY752" s="177">
        <f t="shared" si="426"/>
        <v>1</v>
      </c>
      <c r="CZ752" s="177">
        <f t="shared" si="422"/>
        <v>1</v>
      </c>
      <c r="DA752" s="177">
        <f t="shared" si="427"/>
        <v>1</v>
      </c>
      <c r="DB752" s="177">
        <f t="shared" si="422"/>
        <v>1</v>
      </c>
      <c r="DC752" s="177">
        <f t="shared" si="428"/>
        <v>1</v>
      </c>
      <c r="DD752" s="177">
        <f t="shared" si="429"/>
        <v>1</v>
      </c>
      <c r="DE752" s="177">
        <f t="shared" si="430"/>
        <v>1</v>
      </c>
    </row>
    <row r="753" spans="1:109" ht="18" customHeight="1" x14ac:dyDescent="0.3">
      <c r="A753" s="81">
        <v>6.2500000000001998E-2</v>
      </c>
      <c r="B753" s="153"/>
      <c r="C753" s="130"/>
      <c r="D753" s="135"/>
      <c r="E753" s="130"/>
      <c r="F753" s="135"/>
      <c r="G753" s="130"/>
      <c r="H753" s="135"/>
      <c r="I753" s="130"/>
      <c r="J753" s="135"/>
      <c r="K753" s="130"/>
      <c r="L753" s="135"/>
      <c r="M753" s="130"/>
      <c r="N753" s="135"/>
      <c r="O753" s="154"/>
      <c r="Q753" s="284"/>
      <c r="R753" s="285"/>
      <c r="S753" s="285"/>
      <c r="T753" s="285"/>
      <c r="U753" s="285"/>
      <c r="V753" s="285"/>
      <c r="W753" s="286"/>
      <c r="X753" s="199">
        <v>1</v>
      </c>
      <c r="Y753" s="262" t="str">
        <f t="array" ref="Y753">IF(ISERROR(INDEX($CA$2:$CB$200,SMALL(IF($CA$2:$CA$200=$A$745,ROW($CA$2:$CA$200)),ROW(4:4))-1,2)),"",INDEX($CA$2:$CB$200,SMALL(IF($CA$2:$CA$200=$A$745,ROW($CA$2:$CA$200)),ROW(4:4))-1,2))</f>
        <v/>
      </c>
      <c r="Z753" s="263"/>
      <c r="AA753" s="263"/>
      <c r="AB753" s="263"/>
      <c r="AC753" s="263"/>
      <c r="AD753" s="263"/>
      <c r="AE753" s="263"/>
      <c r="AF753" s="264"/>
      <c r="AH753" s="136">
        <v>6.2500000000001998E-2</v>
      </c>
      <c r="AI753" s="136" t="str">
        <f>IF(AH746="","",IF(B753="","",B753))</f>
        <v/>
      </c>
      <c r="AJ753" s="136" t="str">
        <f>IF(AH746="","",IF(C753="","",C753))</f>
        <v/>
      </c>
      <c r="AK753" s="136" t="str">
        <f>IF(AH746="","",IF(D753="","",D753))</f>
        <v/>
      </c>
      <c r="AL753" s="136" t="str">
        <f>IF(AH746="","",IF(E753="","",E753))</f>
        <v/>
      </c>
      <c r="AM753" s="136" t="str">
        <f>IF(AH746="","",IF(F753="","",F753))</f>
        <v/>
      </c>
      <c r="AN753" s="136" t="str">
        <f>IF(AH746="","",IF(G753="","",G753))</f>
        <v/>
      </c>
      <c r="AO753" s="136" t="str">
        <f>IF(AH746="","",IF(H753="","",H753))</f>
        <v/>
      </c>
      <c r="AP753" s="136" t="str">
        <f>IF(AH746="","",IF(I753="","",I753))</f>
        <v/>
      </c>
      <c r="AQ753" s="136" t="str">
        <f>IF(AH746="","",IF(J753="","",J753))</f>
        <v/>
      </c>
      <c r="AR753" s="136" t="str">
        <f>IF(AH746="","",IF(K753="","",K753))</f>
        <v/>
      </c>
      <c r="AS753" s="136" t="str">
        <f>IF(AH746="","",IF(L753="","",L753))</f>
        <v/>
      </c>
      <c r="AT753" s="136" t="str">
        <f>IF(AH746="","",IF(M753="","",M753))</f>
        <v/>
      </c>
      <c r="AU753" s="136" t="str">
        <f>IF(AH746="","",IF(N753="","",N753))</f>
        <v/>
      </c>
      <c r="AV753" s="136" t="str">
        <f>IF(AH746="","",IF(O753="","",O753))</f>
        <v/>
      </c>
      <c r="AX753" s="136" t="str">
        <f>IF(AI746="","",IF(B753="","",B753))</f>
        <v/>
      </c>
      <c r="AY753" s="136" t="str">
        <f>IF(AI746="","",IF(C753="","",C753))</f>
        <v/>
      </c>
      <c r="AZ753" s="136" t="str">
        <f>IF(AI746="","",IF(D753="","",D753))</f>
        <v/>
      </c>
      <c r="BA753" s="136" t="str">
        <f>IF(AI746="","",IF(E753="","",E753))</f>
        <v/>
      </c>
      <c r="BB753" s="136" t="str">
        <f>IF(AI746="","",IF(F753="","",F753))</f>
        <v/>
      </c>
      <c r="BC753" s="136" t="str">
        <f>IF(AI746="","",IF(G753="","",G753))</f>
        <v/>
      </c>
      <c r="BD753" s="136" t="str">
        <f>IF(AI746="","",IF(H753="","",H753))</f>
        <v/>
      </c>
      <c r="BE753" s="136" t="str">
        <f>IF(AI746="","",IF(I753="","",I753))</f>
        <v/>
      </c>
      <c r="BF753" s="136" t="str">
        <f>IF(AI746="","",IF(J753="","",J753))</f>
        <v/>
      </c>
      <c r="BG753" s="136" t="str">
        <f>IF(AI746="","",IF(K753="","",K753))</f>
        <v/>
      </c>
      <c r="BH753" s="136" t="str">
        <f>IF(AI746="","",IF(L753="","",L753))</f>
        <v/>
      </c>
      <c r="BI753" s="136" t="str">
        <f>IF(AI746="","",IF(M753="","",M753))</f>
        <v/>
      </c>
      <c r="BJ753" s="136" t="str">
        <f>IF(AI746="","",IF(N753="","",N753))</f>
        <v/>
      </c>
      <c r="BK753" s="136" t="str">
        <f>IF(AI746="","",IF(O753="","",O753))</f>
        <v/>
      </c>
      <c r="CA753" s="136">
        <f>'INFO BASE'!L823</f>
        <v>0</v>
      </c>
      <c r="CB753" s="136">
        <f>'INFO BASE'!M823</f>
        <v>0</v>
      </c>
      <c r="CR753" s="177">
        <f t="shared" si="422"/>
        <v>1</v>
      </c>
      <c r="CS753" s="177">
        <f t="shared" si="423"/>
        <v>1</v>
      </c>
      <c r="CT753" s="177">
        <f t="shared" si="422"/>
        <v>1</v>
      </c>
      <c r="CU753" s="177">
        <f t="shared" si="424"/>
        <v>1</v>
      </c>
      <c r="CV753" s="177">
        <f t="shared" si="422"/>
        <v>1</v>
      </c>
      <c r="CW753" s="177">
        <f t="shared" si="425"/>
        <v>1</v>
      </c>
      <c r="CX753" s="177">
        <f t="shared" si="422"/>
        <v>1</v>
      </c>
      <c r="CY753" s="177">
        <f t="shared" si="426"/>
        <v>1</v>
      </c>
      <c r="CZ753" s="177">
        <f t="shared" si="422"/>
        <v>1</v>
      </c>
      <c r="DA753" s="177">
        <f t="shared" si="427"/>
        <v>1</v>
      </c>
      <c r="DB753" s="177">
        <f t="shared" si="422"/>
        <v>1</v>
      </c>
      <c r="DC753" s="177">
        <f t="shared" si="428"/>
        <v>1</v>
      </c>
      <c r="DD753" s="177">
        <f t="shared" si="429"/>
        <v>1</v>
      </c>
      <c r="DE753" s="177">
        <f t="shared" si="430"/>
        <v>1</v>
      </c>
    </row>
    <row r="754" spans="1:109" ht="18" customHeight="1" x14ac:dyDescent="0.3">
      <c r="A754" s="81">
        <v>8.3333333333335993E-2</v>
      </c>
      <c r="B754" s="153"/>
      <c r="C754" s="130"/>
      <c r="D754" s="135"/>
      <c r="E754" s="130"/>
      <c r="F754" s="135"/>
      <c r="G754" s="130"/>
      <c r="H754" s="135"/>
      <c r="I754" s="130"/>
      <c r="J754" s="135"/>
      <c r="K754" s="130"/>
      <c r="L754" s="135"/>
      <c r="M754" s="130"/>
      <c r="N754" s="135"/>
      <c r="O754" s="154"/>
      <c r="Q754" s="284"/>
      <c r="R754" s="285"/>
      <c r="S754" s="285"/>
      <c r="T754" s="285"/>
      <c r="U754" s="285"/>
      <c r="V754" s="285"/>
      <c r="W754" s="286"/>
      <c r="X754" s="199">
        <v>1</v>
      </c>
      <c r="Y754" s="262" t="str">
        <f t="array" ref="Y754">IF(ISERROR(INDEX($CA$2:$CB$200,SMALL(IF($CA$2:$CA$200=$A$745,ROW($CA$2:$CA$200)),ROW(5:5))-1,2)),"",INDEX($CA$2:$CB$200,SMALL(IF($CA$2:$CA$200=$A$745,ROW($CA$2:$CA$200)),ROW(5:5))-1,2))</f>
        <v/>
      </c>
      <c r="Z754" s="263"/>
      <c r="AA754" s="263"/>
      <c r="AB754" s="263"/>
      <c r="AC754" s="263"/>
      <c r="AD754" s="263"/>
      <c r="AE754" s="263"/>
      <c r="AF754" s="264"/>
      <c r="AH754" s="136">
        <v>8.3333333333335993E-2</v>
      </c>
      <c r="AI754" s="136" t="str">
        <f>IF(AH746="","",IF(B754="","",B754))</f>
        <v/>
      </c>
      <c r="AJ754" s="136" t="str">
        <f>IF(AH746="","",IF(C754="","",C754))</f>
        <v/>
      </c>
      <c r="AK754" s="136" t="str">
        <f>IF(AH746="","",IF(D754="","",D754))</f>
        <v/>
      </c>
      <c r="AL754" s="136" t="str">
        <f>IF(AH746="","",IF(E754="","",E754))</f>
        <v/>
      </c>
      <c r="AM754" s="136" t="str">
        <f>IF(AH746="","",IF(F754="","",F754))</f>
        <v/>
      </c>
      <c r="AN754" s="136" t="str">
        <f>IF(AH746="","",IF(G754="","",G754))</f>
        <v/>
      </c>
      <c r="AO754" s="136" t="str">
        <f>IF(AH746="","",IF(H754="","",H754))</f>
        <v/>
      </c>
      <c r="AP754" s="136" t="str">
        <f>IF(AH746="","",IF(I754="","",I754))</f>
        <v/>
      </c>
      <c r="AQ754" s="136" t="str">
        <f>IF(AH746="","",IF(J754="","",J754))</f>
        <v/>
      </c>
      <c r="AR754" s="136" t="str">
        <f>IF(AH746="","",IF(K754="","",K754))</f>
        <v/>
      </c>
      <c r="AS754" s="136" t="str">
        <f>IF(AH746="","",IF(L754="","",L754))</f>
        <v/>
      </c>
      <c r="AT754" s="136" t="str">
        <f>IF(AH746="","",IF(M754="","",M754))</f>
        <v/>
      </c>
      <c r="AU754" s="136" t="str">
        <f>IF(AH746="","",IF(N754="","",N754))</f>
        <v/>
      </c>
      <c r="AV754" s="136" t="str">
        <f>IF(AH746="","",IF(O754="","",O754))</f>
        <v/>
      </c>
      <c r="AX754" s="136" t="str">
        <f>IF(AI746="","",IF(B754="","",B754))</f>
        <v/>
      </c>
      <c r="AY754" s="136" t="str">
        <f>IF(AI746="","",IF(C754="","",C754))</f>
        <v/>
      </c>
      <c r="AZ754" s="136" t="str">
        <f>IF(AI746="","",IF(D754="","",D754))</f>
        <v/>
      </c>
      <c r="BA754" s="136" t="str">
        <f>IF(AI746="","",IF(E754="","",E754))</f>
        <v/>
      </c>
      <c r="BB754" s="136" t="str">
        <f>IF(AI746="","",IF(F754="","",F754))</f>
        <v/>
      </c>
      <c r="BC754" s="136" t="str">
        <f>IF(AI746="","",IF(G754="","",G754))</f>
        <v/>
      </c>
      <c r="BD754" s="136" t="str">
        <f>IF(AI746="","",IF(H754="","",H754))</f>
        <v/>
      </c>
      <c r="BE754" s="136" t="str">
        <f>IF(AI746="","",IF(I754="","",I754))</f>
        <v/>
      </c>
      <c r="BF754" s="136" t="str">
        <f>IF(AI746="","",IF(J754="","",J754))</f>
        <v/>
      </c>
      <c r="BG754" s="136" t="str">
        <f>IF(AI746="","",IF(K754="","",K754))</f>
        <v/>
      </c>
      <c r="BH754" s="136" t="str">
        <f>IF(AI746="","",IF(L754="","",L754))</f>
        <v/>
      </c>
      <c r="BI754" s="136" t="str">
        <f>IF(AI746="","",IF(M754="","",M754))</f>
        <v/>
      </c>
      <c r="BJ754" s="136" t="str">
        <f>IF(AI746="","",IF(N754="","",N754))</f>
        <v/>
      </c>
      <c r="BK754" s="136" t="str">
        <f>IF(AI746="","",IF(O754="","",O754))</f>
        <v/>
      </c>
      <c r="CA754" s="136">
        <f>'INFO BASE'!L824</f>
        <v>0</v>
      </c>
      <c r="CB754" s="136">
        <f>'INFO BASE'!M824</f>
        <v>0</v>
      </c>
      <c r="CD754" s="136" t="str">
        <f t="shared" ref="CD754:CD759" si="431">R762</f>
        <v>FP</v>
      </c>
      <c r="CR754" s="177">
        <f t="shared" si="422"/>
        <v>1</v>
      </c>
      <c r="CS754" s="177">
        <f t="shared" si="423"/>
        <v>1</v>
      </c>
      <c r="CT754" s="177">
        <f t="shared" si="422"/>
        <v>1</v>
      </c>
      <c r="CU754" s="177">
        <f t="shared" si="424"/>
        <v>1</v>
      </c>
      <c r="CV754" s="177">
        <f t="shared" si="422"/>
        <v>1</v>
      </c>
      <c r="CW754" s="177">
        <f t="shared" si="425"/>
        <v>1</v>
      </c>
      <c r="CX754" s="177">
        <f t="shared" si="422"/>
        <v>1</v>
      </c>
      <c r="CY754" s="177">
        <f t="shared" si="426"/>
        <v>1</v>
      </c>
      <c r="CZ754" s="177">
        <f t="shared" si="422"/>
        <v>1</v>
      </c>
      <c r="DA754" s="177">
        <f t="shared" si="427"/>
        <v>1</v>
      </c>
      <c r="DB754" s="177">
        <f t="shared" si="422"/>
        <v>1</v>
      </c>
      <c r="DC754" s="177">
        <f t="shared" si="428"/>
        <v>1</v>
      </c>
      <c r="DD754" s="177">
        <f t="shared" si="429"/>
        <v>1</v>
      </c>
      <c r="DE754" s="177">
        <f t="shared" si="430"/>
        <v>1</v>
      </c>
    </row>
    <row r="755" spans="1:109" ht="18" customHeight="1" x14ac:dyDescent="0.3">
      <c r="A755" s="81">
        <v>0.10416666666667</v>
      </c>
      <c r="B755" s="153"/>
      <c r="C755" s="130"/>
      <c r="D755" s="135"/>
      <c r="E755" s="130"/>
      <c r="F755" s="135"/>
      <c r="G755" s="130"/>
      <c r="H755" s="135"/>
      <c r="I755" s="130"/>
      <c r="J755" s="135"/>
      <c r="K755" s="130"/>
      <c r="L755" s="135"/>
      <c r="M755" s="130"/>
      <c r="N755" s="135"/>
      <c r="O755" s="154"/>
      <c r="Q755" s="284"/>
      <c r="R755" s="285"/>
      <c r="S755" s="285"/>
      <c r="T755" s="285"/>
      <c r="U755" s="285"/>
      <c r="V755" s="285"/>
      <c r="W755" s="286"/>
      <c r="X755" s="199">
        <v>1</v>
      </c>
      <c r="Y755" s="262" t="str">
        <f t="array" ref="Y755">IF(ISERROR(INDEX($CA$2:$CB$200,SMALL(IF($CA$2:$CA$200=$A$745,ROW($CA$2:$CA$200)),ROW(6:6))-1,2)),"",INDEX($CA$2:$CB$200,SMALL(IF($CA$2:$CA$200=$A$745,ROW($CA$2:$CA$200)),ROW(6:6))-1,2))</f>
        <v/>
      </c>
      <c r="Z755" s="263"/>
      <c r="AA755" s="263"/>
      <c r="AB755" s="263"/>
      <c r="AC755" s="263"/>
      <c r="AD755" s="263"/>
      <c r="AE755" s="263"/>
      <c r="AF755" s="264"/>
      <c r="AH755" s="136">
        <v>0.10416666666667</v>
      </c>
      <c r="AI755" s="136" t="str">
        <f>IF(AH746="","",IF(B755="","",B755))</f>
        <v/>
      </c>
      <c r="AJ755" s="136" t="str">
        <f>IF(AH746="","",IF(C755="","",C755))</f>
        <v/>
      </c>
      <c r="AK755" s="136" t="str">
        <f>IF(AH746="","",IF(D755="","",D755))</f>
        <v/>
      </c>
      <c r="AL755" s="136" t="str">
        <f>IF(AH746="","",IF(E755="","",E755))</f>
        <v/>
      </c>
      <c r="AM755" s="136" t="str">
        <f>IF(AH746="","",IF(F755="","",F755))</f>
        <v/>
      </c>
      <c r="AN755" s="136" t="str">
        <f>IF(AH746="","",IF(G755="","",G755))</f>
        <v/>
      </c>
      <c r="AO755" s="136" t="str">
        <f>IF(AH746="","",IF(H755="","",H755))</f>
        <v/>
      </c>
      <c r="AP755" s="136" t="str">
        <f>IF(AH746="","",IF(I755="","",I755))</f>
        <v/>
      </c>
      <c r="AQ755" s="136" t="str">
        <f>IF(AH746="","",IF(J755="","",J755))</f>
        <v/>
      </c>
      <c r="AR755" s="136" t="str">
        <f>IF(AH746="","",IF(K755="","",K755))</f>
        <v/>
      </c>
      <c r="AS755" s="136" t="str">
        <f>IF(AH746="","",IF(L755="","",L755))</f>
        <v/>
      </c>
      <c r="AT755" s="136" t="str">
        <f>IF(AH746="","",IF(M755="","",M755))</f>
        <v/>
      </c>
      <c r="AU755" s="136" t="str">
        <f>IF(AH746="","",IF(N755="","",N755))</f>
        <v/>
      </c>
      <c r="AV755" s="136" t="str">
        <f>IF(AH746="","",IF(O755="","",O755))</f>
        <v/>
      </c>
      <c r="AX755" s="136" t="str">
        <f>IF(AI746="","",IF(B755="","",B755))</f>
        <v/>
      </c>
      <c r="AY755" s="136" t="str">
        <f>IF(AI746="","",IF(C755="","",C755))</f>
        <v/>
      </c>
      <c r="AZ755" s="136" t="str">
        <f>IF(AI746="","",IF(D755="","",D755))</f>
        <v/>
      </c>
      <c r="BA755" s="136" t="str">
        <f>IF(AI746="","",IF(E755="","",E755))</f>
        <v/>
      </c>
      <c r="BB755" s="136" t="str">
        <f>IF(AI746="","",IF(F755="","",F755))</f>
        <v/>
      </c>
      <c r="BC755" s="136" t="str">
        <f>IF(AI746="","",IF(G755="","",G755))</f>
        <v/>
      </c>
      <c r="BD755" s="136" t="str">
        <f>IF(AI746="","",IF(H755="","",H755))</f>
        <v/>
      </c>
      <c r="BE755" s="136" t="str">
        <f>IF(AI746="","",IF(I755="","",I755))</f>
        <v/>
      </c>
      <c r="BF755" s="136" t="str">
        <f>IF(AI746="","",IF(J755="","",J755))</f>
        <v/>
      </c>
      <c r="BG755" s="136" t="str">
        <f>IF(AI746="","",IF(K755="","",K755))</f>
        <v/>
      </c>
      <c r="BH755" s="136" t="str">
        <f>IF(AI746="","",IF(L755="","",L755))</f>
        <v/>
      </c>
      <c r="BI755" s="136" t="str">
        <f>IF(AI746="","",IF(M755="","",M755))</f>
        <v/>
      </c>
      <c r="BJ755" s="136" t="str">
        <f>IF(AI746="","",IF(N755="","",N755))</f>
        <v/>
      </c>
      <c r="BK755" s="136" t="str">
        <f>IF(AI746="","",IF(O755="","",O755))</f>
        <v/>
      </c>
      <c r="CA755" s="136">
        <f>'INFO BASE'!L835</f>
        <v>0</v>
      </c>
      <c r="CB755" s="136">
        <f>'INFO BASE'!M835</f>
        <v>0</v>
      </c>
      <c r="CD755" s="136" t="str">
        <f t="shared" si="431"/>
        <v>IEI</v>
      </c>
      <c r="CR755" s="177">
        <f t="shared" si="422"/>
        <v>1</v>
      </c>
      <c r="CS755" s="177">
        <f t="shared" si="423"/>
        <v>1</v>
      </c>
      <c r="CT755" s="177">
        <f t="shared" si="422"/>
        <v>1</v>
      </c>
      <c r="CU755" s="177">
        <f t="shared" si="424"/>
        <v>1</v>
      </c>
      <c r="CV755" s="177">
        <f t="shared" si="422"/>
        <v>1</v>
      </c>
      <c r="CW755" s="177">
        <f t="shared" si="425"/>
        <v>1</v>
      </c>
      <c r="CX755" s="177">
        <f t="shared" si="422"/>
        <v>1</v>
      </c>
      <c r="CY755" s="177">
        <f t="shared" si="426"/>
        <v>1</v>
      </c>
      <c r="CZ755" s="177">
        <f t="shared" si="422"/>
        <v>1</v>
      </c>
      <c r="DA755" s="177">
        <f t="shared" si="427"/>
        <v>1</v>
      </c>
      <c r="DB755" s="177">
        <f t="shared" si="422"/>
        <v>1</v>
      </c>
      <c r="DC755" s="177">
        <f t="shared" si="428"/>
        <v>1</v>
      </c>
      <c r="DD755" s="177">
        <f t="shared" si="429"/>
        <v>1</v>
      </c>
      <c r="DE755" s="177">
        <f t="shared" si="430"/>
        <v>1</v>
      </c>
    </row>
    <row r="756" spans="1:109" ht="18" customHeight="1" x14ac:dyDescent="0.3">
      <c r="A756" s="81">
        <v>0.125000000000004</v>
      </c>
      <c r="B756" s="153"/>
      <c r="C756" s="130"/>
      <c r="D756" s="135"/>
      <c r="E756" s="130"/>
      <c r="F756" s="135"/>
      <c r="G756" s="130"/>
      <c r="H756" s="135"/>
      <c r="I756" s="130"/>
      <c r="J756" s="135"/>
      <c r="K756" s="130"/>
      <c r="L756" s="135"/>
      <c r="M756" s="130"/>
      <c r="N756" s="135"/>
      <c r="O756" s="154"/>
      <c r="Q756" s="284"/>
      <c r="R756" s="285"/>
      <c r="S756" s="285"/>
      <c r="T756" s="285"/>
      <c r="U756" s="285"/>
      <c r="V756" s="285"/>
      <c r="W756" s="286"/>
      <c r="X756" s="199">
        <v>1</v>
      </c>
      <c r="Y756" s="262" t="str">
        <f t="array" ref="Y756">IF(ISERROR(INDEX($CA$2:$CB$200,SMALL(IF($CA$2:$CA$200=$A$745,ROW($CA$2:$CA$200)),ROW(7:7))-1,2)),"",INDEX($CA$2:$CB$200,SMALL(IF($CA$2:$CA$200=$A$745,ROW($CA$2:$CA$200)),ROW(7:7))-1,2))</f>
        <v/>
      </c>
      <c r="Z756" s="263"/>
      <c r="AA756" s="263"/>
      <c r="AB756" s="263"/>
      <c r="AC756" s="263"/>
      <c r="AD756" s="263"/>
      <c r="AE756" s="263"/>
      <c r="AF756" s="264"/>
      <c r="AH756" s="136">
        <v>0.125000000000004</v>
      </c>
      <c r="AI756" s="136" t="str">
        <f>IF(AH746="","",IF(B756="","",B756))</f>
        <v/>
      </c>
      <c r="AJ756" s="136" t="str">
        <f>IF(AH746="","",IF(C756="","",C756))</f>
        <v/>
      </c>
      <c r="AK756" s="136" t="str">
        <f>IF(AH746="","",IF(D756="","",D756))</f>
        <v/>
      </c>
      <c r="AL756" s="136" t="str">
        <f>IF(AH746="","",IF(E756="","",E756))</f>
        <v/>
      </c>
      <c r="AM756" s="136" t="str">
        <f>IF(AH746="","",IF(F756="","",F756))</f>
        <v/>
      </c>
      <c r="AN756" s="136" t="str">
        <f>IF(AH746="","",IF(G756="","",G756))</f>
        <v/>
      </c>
      <c r="AO756" s="136" t="str">
        <f>IF(AH746="","",IF(H756="","",H756))</f>
        <v/>
      </c>
      <c r="AP756" s="136" t="str">
        <f>IF(AH746="","",IF(I756="","",I756))</f>
        <v/>
      </c>
      <c r="AQ756" s="136" t="str">
        <f>IF(AH746="","",IF(J756="","",J756))</f>
        <v/>
      </c>
      <c r="AR756" s="136" t="str">
        <f>IF(AH746="","",IF(K756="","",K756))</f>
        <v/>
      </c>
      <c r="AS756" s="136" t="str">
        <f>IF(AH746="","",IF(L756="","",L756))</f>
        <v/>
      </c>
      <c r="AT756" s="136" t="str">
        <f>IF(AH746="","",IF(M756="","",M756))</f>
        <v/>
      </c>
      <c r="AU756" s="136" t="str">
        <f>IF(AH746="","",IF(N756="","",N756))</f>
        <v/>
      </c>
      <c r="AV756" s="136" t="str">
        <f>IF(AH746="","",IF(O756="","",O756))</f>
        <v/>
      </c>
      <c r="AX756" s="136" t="str">
        <f>IF(AI746="","",IF(B756="","",B756))</f>
        <v/>
      </c>
      <c r="AY756" s="136" t="str">
        <f>IF(AI746="","",IF(C756="","",C756))</f>
        <v/>
      </c>
      <c r="AZ756" s="136" t="str">
        <f>IF(AI746="","",IF(D756="","",D756))</f>
        <v/>
      </c>
      <c r="BA756" s="136" t="str">
        <f>IF(AI746="","",IF(E756="","",E756))</f>
        <v/>
      </c>
      <c r="BB756" s="136" t="str">
        <f>IF(AI746="","",IF(F756="","",F756))</f>
        <v/>
      </c>
      <c r="BC756" s="136" t="str">
        <f>IF(AI746="","",IF(G756="","",G756))</f>
        <v/>
      </c>
      <c r="BD756" s="136" t="str">
        <f>IF(AI746="","",IF(H756="","",H756))</f>
        <v/>
      </c>
      <c r="BE756" s="136" t="str">
        <f>IF(AI746="","",IF(I756="","",I756))</f>
        <v/>
      </c>
      <c r="BF756" s="136" t="str">
        <f>IF(AI746="","",IF(J756="","",J756))</f>
        <v/>
      </c>
      <c r="BG756" s="136" t="str">
        <f>IF(AI746="","",IF(K756="","",K756))</f>
        <v/>
      </c>
      <c r="BH756" s="136" t="str">
        <f>IF(AI746="","",IF(L756="","",L756))</f>
        <v/>
      </c>
      <c r="BI756" s="136" t="str">
        <f>IF(AI746="","",IF(M756="","",M756))</f>
        <v/>
      </c>
      <c r="BJ756" s="136" t="str">
        <f>IF(AI746="","",IF(N756="","",N756))</f>
        <v/>
      </c>
      <c r="BK756" s="136" t="str">
        <f>IF(AI746="","",IF(O756="","",O756))</f>
        <v/>
      </c>
      <c r="CA756" s="136">
        <f>'INFO BASE'!L836</f>
        <v>0</v>
      </c>
      <c r="CB756" s="136">
        <f>'INFO BASE'!M836</f>
        <v>0</v>
      </c>
      <c r="CD756" s="136" t="str">
        <f t="shared" si="431"/>
        <v>IAC</v>
      </c>
      <c r="CR756" s="177">
        <f t="shared" si="422"/>
        <v>1</v>
      </c>
      <c r="CS756" s="177">
        <f t="shared" si="423"/>
        <v>1</v>
      </c>
      <c r="CT756" s="177">
        <f t="shared" si="422"/>
        <v>1</v>
      </c>
      <c r="CU756" s="177">
        <f t="shared" si="424"/>
        <v>1</v>
      </c>
      <c r="CV756" s="177">
        <f t="shared" si="422"/>
        <v>1</v>
      </c>
      <c r="CW756" s="177">
        <f t="shared" si="425"/>
        <v>1</v>
      </c>
      <c r="CX756" s="177">
        <f t="shared" si="422"/>
        <v>1</v>
      </c>
      <c r="CY756" s="177">
        <f t="shared" si="426"/>
        <v>1</v>
      </c>
      <c r="CZ756" s="177">
        <f t="shared" si="422"/>
        <v>1</v>
      </c>
      <c r="DA756" s="177">
        <f t="shared" si="427"/>
        <v>1</v>
      </c>
      <c r="DB756" s="177">
        <f t="shared" si="422"/>
        <v>1</v>
      </c>
      <c r="DC756" s="177">
        <f t="shared" si="428"/>
        <v>1</v>
      </c>
      <c r="DD756" s="177">
        <f t="shared" si="429"/>
        <v>1</v>
      </c>
      <c r="DE756" s="177">
        <f t="shared" si="430"/>
        <v>1</v>
      </c>
    </row>
    <row r="757" spans="1:109" ht="18" customHeight="1" thickBot="1" x14ac:dyDescent="0.35">
      <c r="A757" s="81">
        <v>0.14583333333333801</v>
      </c>
      <c r="B757" s="153"/>
      <c r="C757" s="130"/>
      <c r="D757" s="135"/>
      <c r="E757" s="130"/>
      <c r="F757" s="135"/>
      <c r="G757" s="130"/>
      <c r="H757" s="135"/>
      <c r="I757" s="130"/>
      <c r="J757" s="135"/>
      <c r="K757" s="130"/>
      <c r="L757" s="135"/>
      <c r="M757" s="130"/>
      <c r="N757" s="135"/>
      <c r="O757" s="154"/>
      <c r="Q757" s="287"/>
      <c r="R757" s="288"/>
      <c r="S757" s="288"/>
      <c r="T757" s="288"/>
      <c r="U757" s="288"/>
      <c r="V757" s="288"/>
      <c r="W757" s="289"/>
      <c r="X757" s="199">
        <v>1</v>
      </c>
      <c r="Y757" s="265" t="str">
        <f t="array" ref="Y757">IF(ISERROR(INDEX($CA$2:$CB$200,SMALL(IF($CA$2:$CA$200=$A$745,ROW($CA$2:$CA$200)),ROW(8:8))-1,2)),"",INDEX($CA$2:$CB$200,SMALL(IF($CA$2:$CA$200=$A$745,ROW($CA$2:$CA$200)),ROW(8:8))-1,2))</f>
        <v/>
      </c>
      <c r="Z757" s="266"/>
      <c r="AA757" s="266"/>
      <c r="AB757" s="266"/>
      <c r="AC757" s="266"/>
      <c r="AD757" s="266"/>
      <c r="AE757" s="266"/>
      <c r="AF757" s="267"/>
      <c r="AH757" s="136">
        <v>0.14583333333333801</v>
      </c>
      <c r="AI757" s="136" t="str">
        <f>IF(AH746="","",IF(B757="","",B757))</f>
        <v/>
      </c>
      <c r="AJ757" s="136" t="str">
        <f>IF(AH746="","",IF(C757="","",C757))</f>
        <v/>
      </c>
      <c r="AK757" s="136" t="str">
        <f>IF(AH746="","",IF(D757="","",D757))</f>
        <v/>
      </c>
      <c r="AL757" s="136" t="str">
        <f>IF(AH746="","",IF(E757="","",E757))</f>
        <v/>
      </c>
      <c r="AM757" s="136" t="str">
        <f>IF(AH746="","",IF(F757="","",F757))</f>
        <v/>
      </c>
      <c r="AN757" s="136" t="str">
        <f>IF(AH746="","",IF(G757="","",G757))</f>
        <v/>
      </c>
      <c r="AO757" s="136" t="str">
        <f>IF(AH746="","",IF(H757="","",H757))</f>
        <v/>
      </c>
      <c r="AP757" s="136" t="str">
        <f>IF(AH746="","",IF(I757="","",I757))</f>
        <v/>
      </c>
      <c r="AQ757" s="136" t="str">
        <f>IF(AH746="","",IF(J757="","",J757))</f>
        <v/>
      </c>
      <c r="AR757" s="136" t="str">
        <f>IF(AH746="","",IF(K757="","",K757))</f>
        <v/>
      </c>
      <c r="AS757" s="136" t="str">
        <f>IF(AH746="","",IF(L757="","",L757))</f>
        <v/>
      </c>
      <c r="AT757" s="136" t="str">
        <f>IF(AH746="","",IF(M757="","",M757))</f>
        <v/>
      </c>
      <c r="AU757" s="136" t="str">
        <f>IF(AH746="","",IF(N757="","",N757))</f>
        <v/>
      </c>
      <c r="AV757" s="136" t="str">
        <f>IF(AH746="","",IF(O757="","",O757))</f>
        <v/>
      </c>
      <c r="AX757" s="136" t="str">
        <f>IF(AI746="","",IF(B757="","",B757))</f>
        <v/>
      </c>
      <c r="AY757" s="136" t="str">
        <f>IF(AI746="","",IF(C757="","",C757))</f>
        <v/>
      </c>
      <c r="AZ757" s="136" t="str">
        <f>IF(AI746="","",IF(D757="","",D757))</f>
        <v/>
      </c>
      <c r="BA757" s="136" t="str">
        <f>IF(AI746="","",IF(E757="","",E757))</f>
        <v/>
      </c>
      <c r="BB757" s="136" t="str">
        <f>IF(AI746="","",IF(F757="","",F757))</f>
        <v/>
      </c>
      <c r="BC757" s="136" t="str">
        <f>IF(AI746="","",IF(G757="","",G757))</f>
        <v/>
      </c>
      <c r="BD757" s="136" t="str">
        <f>IF(AI746="","",IF(H757="","",H757))</f>
        <v/>
      </c>
      <c r="BE757" s="136" t="str">
        <f>IF(AI746="","",IF(I757="","",I757))</f>
        <v/>
      </c>
      <c r="BF757" s="136" t="str">
        <f>IF(AI746="","",IF(J757="","",J757))</f>
        <v/>
      </c>
      <c r="BG757" s="136" t="str">
        <f>IF(AI746="","",IF(K757="","",K757))</f>
        <v/>
      </c>
      <c r="BH757" s="136" t="str">
        <f>IF(AI746="","",IF(L757="","",L757))</f>
        <v/>
      </c>
      <c r="BI757" s="136" t="str">
        <f>IF(AI746="","",IF(M757="","",M757))</f>
        <v/>
      </c>
      <c r="BJ757" s="136" t="str">
        <f>IF(AI746="","",IF(N757="","",N757))</f>
        <v/>
      </c>
      <c r="BK757" s="136" t="str">
        <f>IF(AI746="","",IF(O757="","",O757))</f>
        <v/>
      </c>
      <c r="CA757" s="136">
        <f>'INFO BASE'!L837</f>
        <v>0</v>
      </c>
      <c r="CB757" s="136">
        <f>'INFO BASE'!M837</f>
        <v>0</v>
      </c>
      <c r="CD757" s="136" t="str">
        <f t="shared" si="431"/>
        <v>AL</v>
      </c>
      <c r="CR757" s="177">
        <f t="shared" si="422"/>
        <v>1</v>
      </c>
      <c r="CS757" s="177">
        <f t="shared" si="423"/>
        <v>1</v>
      </c>
      <c r="CT757" s="177">
        <f t="shared" si="422"/>
        <v>1</v>
      </c>
      <c r="CU757" s="177">
        <f t="shared" si="424"/>
        <v>1</v>
      </c>
      <c r="CV757" s="177">
        <f t="shared" si="422"/>
        <v>1</v>
      </c>
      <c r="CW757" s="177">
        <f t="shared" si="425"/>
        <v>1</v>
      </c>
      <c r="CX757" s="177">
        <f t="shared" si="422"/>
        <v>1</v>
      </c>
      <c r="CY757" s="177">
        <f t="shared" si="426"/>
        <v>1</v>
      </c>
      <c r="CZ757" s="177">
        <f t="shared" si="422"/>
        <v>1</v>
      </c>
      <c r="DA757" s="177">
        <f t="shared" si="427"/>
        <v>1</v>
      </c>
      <c r="DB757" s="177">
        <f t="shared" si="422"/>
        <v>1</v>
      </c>
      <c r="DC757" s="177">
        <f t="shared" si="428"/>
        <v>1</v>
      </c>
      <c r="DD757" s="177">
        <f t="shared" si="429"/>
        <v>1</v>
      </c>
      <c r="DE757" s="177">
        <f t="shared" si="430"/>
        <v>1</v>
      </c>
    </row>
    <row r="758" spans="1:109" ht="18" customHeight="1" thickBot="1" x14ac:dyDescent="0.35">
      <c r="A758" s="81">
        <v>0.16666666666667199</v>
      </c>
      <c r="B758" s="153"/>
      <c r="C758" s="130"/>
      <c r="D758" s="135"/>
      <c r="E758" s="130"/>
      <c r="F758" s="135"/>
      <c r="G758" s="130"/>
      <c r="H758" s="135"/>
      <c r="I758" s="130"/>
      <c r="J758" s="135"/>
      <c r="K758" s="130"/>
      <c r="L758" s="135"/>
      <c r="M758" s="130"/>
      <c r="N758" s="135"/>
      <c r="O758" s="154"/>
      <c r="Q758" s="63"/>
      <c r="R758" s="64"/>
      <c r="S758" s="65"/>
      <c r="T758" s="65"/>
      <c r="U758" s="65"/>
      <c r="V758" s="65"/>
      <c r="W758" s="65"/>
      <c r="X758" s="199">
        <v>1</v>
      </c>
      <c r="Y758" s="59"/>
      <c r="Z758" s="59"/>
      <c r="AA758" s="59"/>
      <c r="AB758" s="59"/>
      <c r="AC758" s="59"/>
      <c r="AD758" s="59"/>
      <c r="AE758" s="59"/>
      <c r="AF758" s="59"/>
      <c r="AH758" s="136">
        <v>0.16666666666667199</v>
      </c>
      <c r="AI758" s="136" t="str">
        <f>IF(AH746="","",IF(B758="","",B758))</f>
        <v/>
      </c>
      <c r="AJ758" s="136" t="str">
        <f>IF(AH746="","",IF(C758="","",C758))</f>
        <v/>
      </c>
      <c r="AK758" s="136" t="str">
        <f>IF(AH746="","",IF(D758="","",D758))</f>
        <v/>
      </c>
      <c r="AL758" s="136" t="str">
        <f>IF(AH746="","",IF(E758="","",E758))</f>
        <v/>
      </c>
      <c r="AM758" s="136" t="str">
        <f>IF(AH746="","",IF(F758="","",F758))</f>
        <v/>
      </c>
      <c r="AN758" s="136" t="str">
        <f>IF(AH746="","",IF(G758="","",G758))</f>
        <v/>
      </c>
      <c r="AO758" s="136" t="str">
        <f>IF(AH746="","",IF(H758="","",H758))</f>
        <v/>
      </c>
      <c r="AP758" s="136" t="str">
        <f>IF(AH746="","",IF(I758="","",I758))</f>
        <v/>
      </c>
      <c r="AQ758" s="136" t="str">
        <f>IF(AH746="","",IF(J758="","",J758))</f>
        <v/>
      </c>
      <c r="AR758" s="136" t="str">
        <f>IF(AH746="","",IF(K758="","",K758))</f>
        <v/>
      </c>
      <c r="AS758" s="136" t="str">
        <f>IF(AH746="","",IF(L758="","",L758))</f>
        <v/>
      </c>
      <c r="AT758" s="136" t="str">
        <f>IF(AH746="","",IF(M758="","",M758))</f>
        <v/>
      </c>
      <c r="AU758" s="136" t="str">
        <f>IF(AH746="","",IF(N758="","",N758))</f>
        <v/>
      </c>
      <c r="AV758" s="136" t="str">
        <f>IF(AH746="","",IF(O758="","",O758))</f>
        <v/>
      </c>
      <c r="AX758" s="136" t="str">
        <f>IF(AI746="","",IF(B758="","",B758))</f>
        <v/>
      </c>
      <c r="AY758" s="136" t="str">
        <f>IF(AI746="","",IF(C758="","",C758))</f>
        <v/>
      </c>
      <c r="AZ758" s="136" t="str">
        <f>IF(AI746="","",IF(D758="","",D758))</f>
        <v/>
      </c>
      <c r="BA758" s="136" t="str">
        <f>IF(AI746="","",IF(E758="","",E758))</f>
        <v/>
      </c>
      <c r="BB758" s="136" t="str">
        <f>IF(AI746="","",IF(F758="","",F758))</f>
        <v/>
      </c>
      <c r="BC758" s="136" t="str">
        <f>IF(AI746="","",IF(G758="","",G758))</f>
        <v/>
      </c>
      <c r="BD758" s="136" t="str">
        <f>IF(AI746="","",IF(H758="","",H758))</f>
        <v/>
      </c>
      <c r="BE758" s="136" t="str">
        <f>IF(AI746="","",IF(I758="","",I758))</f>
        <v/>
      </c>
      <c r="BF758" s="136" t="str">
        <f>IF(AI746="","",IF(J758="","",J758))</f>
        <v/>
      </c>
      <c r="BG758" s="136" t="str">
        <f>IF(AI746="","",IF(K758="","",K758))</f>
        <v/>
      </c>
      <c r="BH758" s="136" t="str">
        <f>IF(AI746="","",IF(L758="","",L758))</f>
        <v/>
      </c>
      <c r="BI758" s="136" t="str">
        <f>IF(AI746="","",IF(M758="","",M758))</f>
        <v/>
      </c>
      <c r="BJ758" s="136" t="str">
        <f>IF(AI746="","",IF(N758="","",N758))</f>
        <v/>
      </c>
      <c r="BK758" s="136" t="str">
        <f>IF(AI746="","",IF(O758="","",O758))</f>
        <v/>
      </c>
      <c r="BM758" s="136" t="str">
        <f>BO758</f>
        <v>EA</v>
      </c>
      <c r="BN758" s="136" t="str">
        <f t="shared" ref="BN758:BO794" si="432">Q761</f>
        <v>Estudo Autónomo</v>
      </c>
      <c r="BO758" s="136" t="str">
        <f t="shared" si="432"/>
        <v>EA</v>
      </c>
      <c r="BP758" s="136">
        <f>COUNTIFS(AX750:BK797,BO758)*0.5</f>
        <v>0</v>
      </c>
      <c r="BQ758" s="136" t="str">
        <f t="shared" ref="BQ758:BR794" si="433">BN758</f>
        <v>Estudo Autónomo</v>
      </c>
      <c r="BR758" s="136" t="str">
        <f t="shared" si="433"/>
        <v>EA</v>
      </c>
      <c r="BS758" s="136" t="str">
        <f>BQ758</f>
        <v>Estudo Autónomo</v>
      </c>
      <c r="BT758" s="136">
        <f>SUMIFS(V:V,Q:Q,BQ758,R:R,BR758)</f>
        <v>86.5</v>
      </c>
      <c r="BU758" s="136">
        <f>SUMIFS(BP:BP,BN:BN,BQ758,BO:BO,BR758)</f>
        <v>95.5</v>
      </c>
      <c r="CA758" s="136">
        <f>'INFO BASE'!L838</f>
        <v>0</v>
      </c>
      <c r="CB758" s="136">
        <f>'INFO BASE'!M838</f>
        <v>0</v>
      </c>
      <c r="CD758" s="136" t="str">
        <f t="shared" si="431"/>
        <v>CDI</v>
      </c>
      <c r="CR758" s="177">
        <f t="shared" si="422"/>
        <v>1</v>
      </c>
      <c r="CS758" s="177">
        <f t="shared" si="423"/>
        <v>1</v>
      </c>
      <c r="CT758" s="177">
        <f t="shared" si="422"/>
        <v>1</v>
      </c>
      <c r="CU758" s="177">
        <f t="shared" si="424"/>
        <v>1</v>
      </c>
      <c r="CV758" s="177">
        <f t="shared" si="422"/>
        <v>1</v>
      </c>
      <c r="CW758" s="177">
        <f t="shared" si="425"/>
        <v>1</v>
      </c>
      <c r="CX758" s="177">
        <f t="shared" si="422"/>
        <v>1</v>
      </c>
      <c r="CY758" s="177">
        <f t="shared" si="426"/>
        <v>1</v>
      </c>
      <c r="CZ758" s="177">
        <f t="shared" si="422"/>
        <v>1</v>
      </c>
      <c r="DA758" s="177">
        <f t="shared" si="427"/>
        <v>1</v>
      </c>
      <c r="DB758" s="177">
        <f t="shared" si="422"/>
        <v>1</v>
      </c>
      <c r="DC758" s="177">
        <f t="shared" si="428"/>
        <v>1</v>
      </c>
      <c r="DD758" s="177">
        <f t="shared" si="429"/>
        <v>1</v>
      </c>
      <c r="DE758" s="177">
        <f t="shared" si="430"/>
        <v>1</v>
      </c>
    </row>
    <row r="759" spans="1:109" ht="18" customHeight="1" x14ac:dyDescent="0.3">
      <c r="A759" s="81">
        <v>0.187500000000006</v>
      </c>
      <c r="B759" s="153"/>
      <c r="C759" s="130"/>
      <c r="D759" s="135"/>
      <c r="E759" s="130"/>
      <c r="F759" s="135"/>
      <c r="G759" s="130"/>
      <c r="H759" s="135"/>
      <c r="I759" s="130"/>
      <c r="J759" s="135"/>
      <c r="K759" s="130"/>
      <c r="L759" s="135"/>
      <c r="M759" s="130"/>
      <c r="N759" s="135"/>
      <c r="O759" s="154"/>
      <c r="Q759" s="294" t="s">
        <v>14</v>
      </c>
      <c r="R759" s="290" t="s">
        <v>88</v>
      </c>
      <c r="S759" s="290" t="s">
        <v>87</v>
      </c>
      <c r="T759" s="290" t="s">
        <v>89</v>
      </c>
      <c r="U759" s="290" t="s">
        <v>41</v>
      </c>
      <c r="V759" s="290" t="s">
        <v>91</v>
      </c>
      <c r="W759" s="292" t="s">
        <v>90</v>
      </c>
      <c r="X759" s="199">
        <v>1</v>
      </c>
      <c r="Y759" s="302" t="s">
        <v>21</v>
      </c>
      <c r="Z759" s="303"/>
      <c r="AA759" s="303"/>
      <c r="AB759" s="303"/>
      <c r="AC759" s="303"/>
      <c r="AD759" s="303"/>
      <c r="AE759" s="303"/>
      <c r="AF759" s="304"/>
      <c r="AH759" s="136">
        <v>0.187500000000006</v>
      </c>
      <c r="AI759" s="136" t="str">
        <f>IF(AH746="","",IF(B759="","",B759))</f>
        <v/>
      </c>
      <c r="AJ759" s="136" t="str">
        <f>IF(AH746="","",IF(C759="","",C759))</f>
        <v/>
      </c>
      <c r="AK759" s="136" t="str">
        <f>IF(AH746="","",IF(D759="","",D759))</f>
        <v/>
      </c>
      <c r="AL759" s="136" t="str">
        <f>IF(AH746="","",IF(E759="","",E759))</f>
        <v/>
      </c>
      <c r="AM759" s="136" t="str">
        <f>IF(AH746="","",IF(F759="","",F759))</f>
        <v/>
      </c>
      <c r="AN759" s="136" t="str">
        <f>IF(AH746="","",IF(G759="","",G759))</f>
        <v/>
      </c>
      <c r="AO759" s="136" t="str">
        <f>IF(AH746="","",IF(H759="","",H759))</f>
        <v/>
      </c>
      <c r="AP759" s="136" t="str">
        <f>IF(AH746="","",IF(I759="","",I759))</f>
        <v/>
      </c>
      <c r="AQ759" s="136" t="str">
        <f>IF(AH746="","",IF(J759="","",J759))</f>
        <v/>
      </c>
      <c r="AR759" s="136" t="str">
        <f>IF(AH746="","",IF(K759="","",K759))</f>
        <v/>
      </c>
      <c r="AS759" s="136" t="str">
        <f>IF(AH746="","",IF(L759="","",L759))</f>
        <v/>
      </c>
      <c r="AT759" s="136" t="str">
        <f>IF(AH746="","",IF(M759="","",M759))</f>
        <v/>
      </c>
      <c r="AU759" s="136" t="str">
        <f>IF(AH746="","",IF(N759="","",N759))</f>
        <v/>
      </c>
      <c r="AV759" s="136" t="str">
        <f>IF(AH746="","",IF(O759="","",O759))</f>
        <v/>
      </c>
      <c r="AX759" s="136" t="str">
        <f>IF(AI746="","",IF(B759="","",B759))</f>
        <v/>
      </c>
      <c r="AY759" s="136" t="str">
        <f>IF(AI746="","",IF(C759="","",C759))</f>
        <v/>
      </c>
      <c r="AZ759" s="136" t="str">
        <f>IF(AI746="","",IF(D759="","",D759))</f>
        <v/>
      </c>
      <c r="BA759" s="136" t="str">
        <f>IF(AI746="","",IF(E759="","",E759))</f>
        <v/>
      </c>
      <c r="BB759" s="136" t="str">
        <f>IF(AI746="","",IF(F759="","",F759))</f>
        <v/>
      </c>
      <c r="BC759" s="136" t="str">
        <f>IF(AI746="","",IF(G759="","",G759))</f>
        <v/>
      </c>
      <c r="BD759" s="136" t="str">
        <f>IF(AI746="","",IF(H759="","",H759))</f>
        <v/>
      </c>
      <c r="BE759" s="136" t="str">
        <f>IF(AI746="","",IF(I759="","",I759))</f>
        <v/>
      </c>
      <c r="BF759" s="136" t="str">
        <f>IF(AI746="","",IF(J759="","",J759))</f>
        <v/>
      </c>
      <c r="BG759" s="136" t="str">
        <f>IF(AI746="","",IF(K759="","",K759))</f>
        <v/>
      </c>
      <c r="BH759" s="136" t="str">
        <f>IF(AI746="","",IF(L759="","",L759))</f>
        <v/>
      </c>
      <c r="BI759" s="136" t="str">
        <f>IF(AI746="","",IF(M759="","",M759))</f>
        <v/>
      </c>
      <c r="BJ759" s="136" t="str">
        <f>IF(AI746="","",IF(N759="","",N759))</f>
        <v/>
      </c>
      <c r="BK759" s="136" t="str">
        <f>IF(AI746="","",IF(O759="","",O759))</f>
        <v/>
      </c>
      <c r="BM759" s="136" t="str">
        <f>BM758</f>
        <v>EA</v>
      </c>
      <c r="BN759" s="136" t="str">
        <f t="shared" si="432"/>
        <v>Estudo Autónomo</v>
      </c>
      <c r="BO759" s="136" t="str">
        <f t="shared" si="432"/>
        <v>FP</v>
      </c>
      <c r="BP759" s="136">
        <f>(COUNTIFS(AX750:AX797,BM759,AY750:AY797,BO759)+COUNTIFS(AZ750:AZ797,BM759,BA750:BA797,BO759)+COUNTIFS(BB750:BB797,BM759,BC750:BC797,BO759)+COUNTIFS(BD750:BD797,BM759,BE750:BE797,BO759)+COUNTIFS(BF750:BF797,BM759,BG750:BG797,BO759)+COUNTIFS(BH750:BH797,BM759,BI750:BI797,BO759)+COUNTIFS(BJ750:BJ797,BM759,BK750:BK797,BO759))*0.5</f>
        <v>0</v>
      </c>
      <c r="BQ759" s="136" t="str">
        <f t="shared" si="433"/>
        <v>Estudo Autónomo</v>
      </c>
      <c r="BR759" s="136" t="str">
        <f>$R$20</f>
        <v>EA</v>
      </c>
      <c r="BS759" s="136" t="str">
        <f t="shared" ref="BS759:BS794" si="434">BQ759</f>
        <v>Estudo Autónomo</v>
      </c>
      <c r="BT759" s="136">
        <f>SUMIFS(V:V,Q:Q,BQ759,R:R,BR759)</f>
        <v>86.5</v>
      </c>
      <c r="BU759" s="136">
        <f>SUMIFS(BP:BP,BN:BN,BQ759,BO:BO,BR759)</f>
        <v>95.5</v>
      </c>
      <c r="CA759" s="136">
        <f>'INFO BASE'!L839</f>
        <v>0</v>
      </c>
      <c r="CB759" s="136">
        <f>'INFO BASE'!M839</f>
        <v>0</v>
      </c>
      <c r="CD759" s="136" t="str">
        <f t="shared" si="431"/>
        <v/>
      </c>
      <c r="CR759" s="177">
        <f t="shared" si="422"/>
        <v>1</v>
      </c>
      <c r="CS759" s="177">
        <f t="shared" si="423"/>
        <v>1</v>
      </c>
      <c r="CT759" s="177">
        <f t="shared" si="422"/>
        <v>1</v>
      </c>
      <c r="CU759" s="177">
        <f t="shared" si="424"/>
        <v>1</v>
      </c>
      <c r="CV759" s="177">
        <f t="shared" si="422"/>
        <v>1</v>
      </c>
      <c r="CW759" s="177">
        <f t="shared" si="425"/>
        <v>1</v>
      </c>
      <c r="CX759" s="177">
        <f t="shared" si="422"/>
        <v>1</v>
      </c>
      <c r="CY759" s="177">
        <f t="shared" si="426"/>
        <v>1</v>
      </c>
      <c r="CZ759" s="177">
        <f t="shared" si="422"/>
        <v>1</v>
      </c>
      <c r="DA759" s="177">
        <f t="shared" si="427"/>
        <v>1</v>
      </c>
      <c r="DB759" s="177">
        <f t="shared" si="422"/>
        <v>1</v>
      </c>
      <c r="DC759" s="177">
        <f t="shared" si="428"/>
        <v>1</v>
      </c>
      <c r="DD759" s="177">
        <f t="shared" si="429"/>
        <v>1</v>
      </c>
      <c r="DE759" s="177">
        <f t="shared" si="430"/>
        <v>1</v>
      </c>
    </row>
    <row r="760" spans="1:109" ht="18" customHeight="1" thickBot="1" x14ac:dyDescent="0.35">
      <c r="A760" s="81">
        <v>0.20833333333334</v>
      </c>
      <c r="B760" s="153"/>
      <c r="C760" s="130"/>
      <c r="D760" s="135"/>
      <c r="E760" s="130"/>
      <c r="F760" s="135"/>
      <c r="G760" s="130"/>
      <c r="H760" s="135"/>
      <c r="I760" s="130"/>
      <c r="J760" s="135"/>
      <c r="K760" s="130"/>
      <c r="L760" s="135"/>
      <c r="M760" s="130"/>
      <c r="N760" s="135"/>
      <c r="O760" s="154"/>
      <c r="Q760" s="295"/>
      <c r="R760" s="291"/>
      <c r="S760" s="291"/>
      <c r="T760" s="291"/>
      <c r="U760" s="291"/>
      <c r="V760" s="291"/>
      <c r="W760" s="293"/>
      <c r="X760" s="199">
        <v>1</v>
      </c>
      <c r="Y760" s="305"/>
      <c r="Z760" s="306"/>
      <c r="AA760" s="306"/>
      <c r="AB760" s="306"/>
      <c r="AC760" s="306"/>
      <c r="AD760" s="306"/>
      <c r="AE760" s="306"/>
      <c r="AF760" s="307"/>
      <c r="AH760" s="136">
        <v>0.20833333333334</v>
      </c>
      <c r="AI760" s="136" t="str">
        <f>IF(AH746="","",IF(B760="","",B760))</f>
        <v/>
      </c>
      <c r="AJ760" s="136" t="str">
        <f>IF(AH746="","",IF(C760="","",C760))</f>
        <v/>
      </c>
      <c r="AK760" s="136" t="str">
        <f>IF(AH746="","",IF(D760="","",D760))</f>
        <v/>
      </c>
      <c r="AL760" s="136" t="str">
        <f>IF(AH746="","",IF(E760="","",E760))</f>
        <v/>
      </c>
      <c r="AM760" s="136" t="str">
        <f>IF(AH746="","",IF(F760="","",F760))</f>
        <v/>
      </c>
      <c r="AN760" s="136" t="str">
        <f>IF(AH746="","",IF(G760="","",G760))</f>
        <v/>
      </c>
      <c r="AO760" s="136" t="str">
        <f>IF(AH746="","",IF(H760="","",H760))</f>
        <v/>
      </c>
      <c r="AP760" s="136" t="str">
        <f>IF(AH746="","",IF(I760="","",I760))</f>
        <v/>
      </c>
      <c r="AQ760" s="136" t="str">
        <f>IF(AH746="","",IF(J760="","",J760))</f>
        <v/>
      </c>
      <c r="AR760" s="136" t="str">
        <f>IF(AH746="","",IF(K760="","",K760))</f>
        <v/>
      </c>
      <c r="AS760" s="136" t="str">
        <f>IF(AH746="","",IF(L760="","",L760))</f>
        <v/>
      </c>
      <c r="AT760" s="136" t="str">
        <f>IF(AH746="","",IF(M760="","",M760))</f>
        <v/>
      </c>
      <c r="AU760" s="136" t="str">
        <f>IF(AH746="","",IF(N760="","",N760))</f>
        <v/>
      </c>
      <c r="AV760" s="136" t="str">
        <f>IF(AH746="","",IF(O760="","",O760))</f>
        <v/>
      </c>
      <c r="AX760" s="136" t="str">
        <f>IF(AI746="","",IF(B760="","",B760))</f>
        <v/>
      </c>
      <c r="AY760" s="136" t="str">
        <f>IF(AI746="","",IF(C760="","",C760))</f>
        <v/>
      </c>
      <c r="AZ760" s="136" t="str">
        <f>IF(AI746="","",IF(D760="","",D760))</f>
        <v/>
      </c>
      <c r="BA760" s="136" t="str">
        <f>IF(AI746="","",IF(E760="","",E760))</f>
        <v/>
      </c>
      <c r="BB760" s="136" t="str">
        <f>IF(AI746="","",IF(F760="","",F760))</f>
        <v/>
      </c>
      <c r="BC760" s="136" t="str">
        <f>IF(AI746="","",IF(G760="","",G760))</f>
        <v/>
      </c>
      <c r="BD760" s="136" t="str">
        <f>IF(AI746="","",IF(H760="","",H760))</f>
        <v/>
      </c>
      <c r="BE760" s="136" t="str">
        <f>IF(AI746="","",IF(I760="","",I760))</f>
        <v/>
      </c>
      <c r="BF760" s="136" t="str">
        <f>IF(AI746="","",IF(J760="","",J760))</f>
        <v/>
      </c>
      <c r="BG760" s="136" t="str">
        <f>IF(AI746="","",IF(K760="","",K760))</f>
        <v/>
      </c>
      <c r="BH760" s="136" t="str">
        <f>IF(AI746="","",IF(L760="","",L760))</f>
        <v/>
      </c>
      <c r="BI760" s="136" t="str">
        <f>IF(AI746="","",IF(M760="","",M760))</f>
        <v/>
      </c>
      <c r="BJ760" s="136" t="str">
        <f>IF(AI746="","",IF(N760="","",N760))</f>
        <v/>
      </c>
      <c r="BK760" s="136" t="str">
        <f>IF(AI746="","",IF(O760="","",O760))</f>
        <v/>
      </c>
      <c r="BM760" s="136" t="str">
        <f t="shared" ref="BM760:BM764" si="435">BM759</f>
        <v>EA</v>
      </c>
      <c r="BN760" s="136" t="str">
        <f t="shared" si="432"/>
        <v>Estudo Autónomo</v>
      </c>
      <c r="BO760" s="136" t="str">
        <f t="shared" si="432"/>
        <v>IEI</v>
      </c>
      <c r="BP760" s="136">
        <f>(COUNTIFS(AX750:AX797,BM760,AY750:AY797,BO760)+COUNTIFS(AZ750:AZ797,BM760,BA750:BA797,BO760)+COUNTIFS(BB750:BB797,BM760,BC750:BC797,BO760)+COUNTIFS(BD750:BD797,BM760,BE750:BE797,BO760)+COUNTIFS(BF750:BF797,BM760,BG750:BG797,BO760)+COUNTIFS(BH750:BH797,BM760,BI750:BI797,BO760)+COUNTIFS(BJ750:BJ797,BM760,BK750:BK797,BO760))*0.5</f>
        <v>0</v>
      </c>
      <c r="BQ760" s="136" t="str">
        <f t="shared" si="433"/>
        <v>Estudo Autónomo</v>
      </c>
      <c r="BR760" s="136" t="str">
        <f t="shared" si="433"/>
        <v>IEI</v>
      </c>
      <c r="BS760" s="136" t="str">
        <f t="shared" si="434"/>
        <v>Estudo Autónomo</v>
      </c>
      <c r="BT760" s="136">
        <f>SUMIFS(V:V,Q:Q,BQ760,R:R,BR760)</f>
        <v>20</v>
      </c>
      <c r="BU760" s="136">
        <f>SUMIFS(BP:BP,BN:BN,BQ760,BO:BO,BR760)</f>
        <v>36.5</v>
      </c>
      <c r="CA760" s="136">
        <f>'INFO BASE'!L840</f>
        <v>0</v>
      </c>
      <c r="CB760" s="136">
        <f>'INFO BASE'!M840</f>
        <v>0</v>
      </c>
      <c r="CD760" s="136" t="str">
        <f>IF('INFO BASE'!E774="","",'INFO BASE'!E774)</f>
        <v/>
      </c>
      <c r="CR760" s="177">
        <f t="shared" si="422"/>
        <v>1</v>
      </c>
      <c r="CS760" s="177">
        <f t="shared" si="423"/>
        <v>1</v>
      </c>
      <c r="CT760" s="177">
        <f t="shared" si="422"/>
        <v>1</v>
      </c>
      <c r="CU760" s="177">
        <f t="shared" si="424"/>
        <v>1</v>
      </c>
      <c r="CV760" s="177">
        <f t="shared" si="422"/>
        <v>1</v>
      </c>
      <c r="CW760" s="177">
        <f t="shared" si="425"/>
        <v>1</v>
      </c>
      <c r="CX760" s="177">
        <f t="shared" si="422"/>
        <v>1</v>
      </c>
      <c r="CY760" s="177">
        <f t="shared" si="426"/>
        <v>1</v>
      </c>
      <c r="CZ760" s="177">
        <f t="shared" si="422"/>
        <v>1</v>
      </c>
      <c r="DA760" s="177">
        <f t="shared" si="427"/>
        <v>1</v>
      </c>
      <c r="DB760" s="177">
        <f t="shared" si="422"/>
        <v>1</v>
      </c>
      <c r="DC760" s="177">
        <f t="shared" si="428"/>
        <v>1</v>
      </c>
      <c r="DD760" s="177">
        <f t="shared" si="429"/>
        <v>1</v>
      </c>
      <c r="DE760" s="177">
        <f t="shared" si="430"/>
        <v>1</v>
      </c>
    </row>
    <row r="761" spans="1:109" ht="18" customHeight="1" x14ac:dyDescent="0.3">
      <c r="A761" s="81">
        <v>0.22916666666667401</v>
      </c>
      <c r="B761" s="153"/>
      <c r="C761" s="130"/>
      <c r="D761" s="135"/>
      <c r="E761" s="130"/>
      <c r="F761" s="135"/>
      <c r="G761" s="130"/>
      <c r="H761" s="135"/>
      <c r="I761" s="130"/>
      <c r="J761" s="135"/>
      <c r="K761" s="130"/>
      <c r="L761" s="135"/>
      <c r="M761" s="130"/>
      <c r="N761" s="135"/>
      <c r="O761" s="154"/>
      <c r="P761" s="6">
        <v>0</v>
      </c>
      <c r="Q761" s="109" t="str">
        <f>IF('INFO BASE'!$C$17="","",'INFO BASE'!$C$17)</f>
        <v>Estudo Autónomo</v>
      </c>
      <c r="R761" s="82" t="str">
        <f>R704</f>
        <v>EA</v>
      </c>
      <c r="S761" s="83">
        <f t="shared" ref="S761:S797" si="436">IFERROR((U761/T761)-1,"-")</f>
        <v>-1</v>
      </c>
      <c r="T761" s="84">
        <f>IF(VLOOKUP(Q761,'INFO BASE'!$B$40:$I$54,IF(R761='INFO BASE'!$B$32,3,IF(R761='INFO BASE'!$B$33,4,IF(R761='INFO BASE'!$B$34,5,IF(R761='INFO BASE'!$B$35,6,IF(R761='INFO BASE'!$B$36,7,IF(R761='INFO BASE'!$B$37,8,2)))))),0)=0,"",VLOOKUP(Q761,'INFO BASE'!$B$40:$I$54,IF(R761='INFO BASE'!$B$32,3,IF(R761='INFO BASE'!$B$33,4,IF(R761='INFO BASE'!$B$34,5,IF(R761='INFO BASE'!$B$35,6,IF(R761='INFO BASE'!$B$36,7,IF(R761='INFO BASE'!$B$37,8,2)))))),0))</f>
        <v>19</v>
      </c>
      <c r="U761" s="84">
        <f>IF(R761="","",COUNTIFS(SEMANA14,R761)*0.5)</f>
        <v>0</v>
      </c>
      <c r="V761" s="84">
        <f>IF(R761="","",COUNTIFS(AI750:AV797,R761)*0.5)</f>
        <v>0</v>
      </c>
      <c r="W761" s="85" t="str">
        <f>IF(AH746="","-",IF(V761=0,U761,IFERROR((U761/V761)-1,"-")))</f>
        <v>-</v>
      </c>
      <c r="X761" s="200">
        <f t="shared" ref="X761:X797" si="437">IFERROR(IF(ABS(W761)&gt;P761,1,0),0)</f>
        <v>0</v>
      </c>
      <c r="Y761" s="296"/>
      <c r="Z761" s="297"/>
      <c r="AA761" s="297"/>
      <c r="AB761" s="297"/>
      <c r="AC761" s="297"/>
      <c r="AD761" s="297"/>
      <c r="AE761" s="297"/>
      <c r="AF761" s="298"/>
      <c r="AH761" s="136">
        <v>0.22916666666667401</v>
      </c>
      <c r="AI761" s="136" t="str">
        <f>IF(AH746="","",IF(B761="","",B761))</f>
        <v/>
      </c>
      <c r="AJ761" s="136" t="str">
        <f>IF(AH746="","",IF(C761="","",C761))</f>
        <v/>
      </c>
      <c r="AK761" s="136" t="str">
        <f>IF(AH746="","",IF(D761="","",D761))</f>
        <v/>
      </c>
      <c r="AL761" s="136" t="str">
        <f>IF(AH746="","",IF(E761="","",E761))</f>
        <v/>
      </c>
      <c r="AM761" s="136" t="str">
        <f>IF(AH746="","",IF(F761="","",F761))</f>
        <v/>
      </c>
      <c r="AN761" s="136" t="str">
        <f>IF(AH746="","",IF(G761="","",G761))</f>
        <v/>
      </c>
      <c r="AO761" s="136" t="str">
        <f>IF(AH746="","",IF(H761="","",H761))</f>
        <v/>
      </c>
      <c r="AP761" s="136" t="str">
        <f>IF(AH746="","",IF(I761="","",I761))</f>
        <v/>
      </c>
      <c r="AQ761" s="136" t="str">
        <f>IF(AH746="","",IF(J761="","",J761))</f>
        <v/>
      </c>
      <c r="AR761" s="136" t="str">
        <f>IF(AH746="","",IF(K761="","",K761))</f>
        <v/>
      </c>
      <c r="AS761" s="136" t="str">
        <f>IF(AH746="","",IF(L761="","",L761))</f>
        <v/>
      </c>
      <c r="AT761" s="136" t="str">
        <f>IF(AH746="","",IF(M761="","",M761))</f>
        <v/>
      </c>
      <c r="AU761" s="136" t="str">
        <f>IF(AH746="","",IF(N761="","",N761))</f>
        <v/>
      </c>
      <c r="AV761" s="136" t="str">
        <f>IF(AH746="","",IF(O761="","",O761))</f>
        <v/>
      </c>
      <c r="AX761" s="136" t="str">
        <f>IF(AI746="","",IF(B761="","",B761))</f>
        <v/>
      </c>
      <c r="AY761" s="136" t="str">
        <f>IF(AI746="","",IF(C761="","",C761))</f>
        <v/>
      </c>
      <c r="AZ761" s="136" t="str">
        <f>IF(AI746="","",IF(D761="","",D761))</f>
        <v/>
      </c>
      <c r="BA761" s="136" t="str">
        <f>IF(AI746="","",IF(E761="","",E761))</f>
        <v/>
      </c>
      <c r="BB761" s="136" t="str">
        <f>IF(AI746="","",IF(F761="","",F761))</f>
        <v/>
      </c>
      <c r="BC761" s="136" t="str">
        <f>IF(AI746="","",IF(G761="","",G761))</f>
        <v/>
      </c>
      <c r="BD761" s="136" t="str">
        <f>IF(AI746="","",IF(H761="","",H761))</f>
        <v/>
      </c>
      <c r="BE761" s="136" t="str">
        <f>IF(AI746="","",IF(I761="","",I761))</f>
        <v/>
      </c>
      <c r="BF761" s="136" t="str">
        <f>IF(AI746="","",IF(J761="","",J761))</f>
        <v/>
      </c>
      <c r="BG761" s="136" t="str">
        <f>IF(AI746="","",IF(K761="","",K761))</f>
        <v/>
      </c>
      <c r="BH761" s="136" t="str">
        <f>IF(AI746="","",IF(L761="","",L761))</f>
        <v/>
      </c>
      <c r="BI761" s="136" t="str">
        <f>IF(AI746="","",IF(M761="","",M761))</f>
        <v/>
      </c>
      <c r="BJ761" s="136" t="str">
        <f>IF(AI746="","",IF(N761="","",N761))</f>
        <v/>
      </c>
      <c r="BK761" s="136" t="str">
        <f>IF(AI746="","",IF(O761="","",O761))</f>
        <v/>
      </c>
      <c r="BM761" s="136" t="str">
        <f t="shared" si="435"/>
        <v>EA</v>
      </c>
      <c r="BN761" s="136" t="str">
        <f t="shared" si="432"/>
        <v>Estudo Autónomo</v>
      </c>
      <c r="BO761" s="136" t="str">
        <f t="shared" si="432"/>
        <v>IAC</v>
      </c>
      <c r="BP761" s="136">
        <f>(COUNTIFS(AX750:AX797,BM761,AY750:AY797,BO761)+COUNTIFS(AZ750:AZ797,BM761,BA750:BA797,BO761)+COUNTIFS(BB750:BB797,BM761,BC750:BC797,BO761)+COUNTIFS(BD750:BD797,BM761,BE750:BE797,BO761)+COUNTIFS(BF750:BF797,BM761,BG750:BG797,BO761)+COUNTIFS(BH750:BH797,BM761,BI750:BI797,BO761)+COUNTIFS(BJ750:BJ797,BM761,BK750:BK797,BO761))*0.5</f>
        <v>0</v>
      </c>
      <c r="BQ761" s="136" t="str">
        <f t="shared" si="433"/>
        <v>Estudo Autónomo</v>
      </c>
      <c r="BR761" s="136" t="str">
        <f t="shared" si="433"/>
        <v>IAC</v>
      </c>
      <c r="BS761" s="136" t="str">
        <f t="shared" si="434"/>
        <v>Estudo Autónomo</v>
      </c>
      <c r="BT761" s="136">
        <f>SUMIFS(V:V,Q:Q,BQ761,R:R,BBO759)</f>
        <v>0</v>
      </c>
      <c r="BU761" s="136">
        <f>SUMIFS(BP:BP,BN:BN,BQ761,BO:BO,BBO759)</f>
        <v>0</v>
      </c>
      <c r="CA761" s="136">
        <f>'INFO BASE'!L841</f>
        <v>0</v>
      </c>
      <c r="CB761" s="136">
        <f>'INFO BASE'!M841</f>
        <v>0</v>
      </c>
      <c r="CD761" s="136" t="str">
        <f>IF('INFO BASE'!E775="","",'INFO BASE'!E775)</f>
        <v/>
      </c>
      <c r="CR761" s="177">
        <f t="shared" si="422"/>
        <v>1</v>
      </c>
      <c r="CS761" s="177">
        <f t="shared" si="423"/>
        <v>1</v>
      </c>
      <c r="CT761" s="177">
        <f t="shared" si="422"/>
        <v>1</v>
      </c>
      <c r="CU761" s="177">
        <f t="shared" si="424"/>
        <v>1</v>
      </c>
      <c r="CV761" s="177">
        <f t="shared" si="422"/>
        <v>1</v>
      </c>
      <c r="CW761" s="177">
        <f t="shared" si="425"/>
        <v>1</v>
      </c>
      <c r="CX761" s="177">
        <f t="shared" si="422"/>
        <v>1</v>
      </c>
      <c r="CY761" s="177">
        <f t="shared" si="426"/>
        <v>1</v>
      </c>
      <c r="CZ761" s="177">
        <f t="shared" si="422"/>
        <v>1</v>
      </c>
      <c r="DA761" s="177">
        <f t="shared" si="427"/>
        <v>1</v>
      </c>
      <c r="DB761" s="177">
        <f t="shared" si="422"/>
        <v>1</v>
      </c>
      <c r="DC761" s="177">
        <f t="shared" si="428"/>
        <v>1</v>
      </c>
      <c r="DD761" s="177">
        <f t="shared" si="429"/>
        <v>1</v>
      </c>
      <c r="DE761" s="177">
        <f t="shared" si="430"/>
        <v>1</v>
      </c>
    </row>
    <row r="762" spans="1:109" ht="18" customHeight="1" x14ac:dyDescent="0.3">
      <c r="A762" s="81">
        <v>0.25000000000000799</v>
      </c>
      <c r="B762" s="153"/>
      <c r="C762" s="130"/>
      <c r="D762" s="135"/>
      <c r="E762" s="130"/>
      <c r="F762" s="135"/>
      <c r="G762" s="130"/>
      <c r="H762" s="135"/>
      <c r="I762" s="130"/>
      <c r="J762" s="135"/>
      <c r="K762" s="130"/>
      <c r="L762" s="135"/>
      <c r="M762" s="130"/>
      <c r="N762" s="135"/>
      <c r="O762" s="154"/>
      <c r="P762" s="6">
        <v>0</v>
      </c>
      <c r="Q762" s="110" t="str">
        <f t="shared" ref="Q762:Q767" si="438">Q761</f>
        <v>Estudo Autónomo</v>
      </c>
      <c r="R762" s="105" t="str">
        <f t="shared" ref="R762:R797" si="439">R705</f>
        <v>FP</v>
      </c>
      <c r="S762" s="88">
        <f t="shared" si="436"/>
        <v>-1</v>
      </c>
      <c r="T762" s="89">
        <f>IF(VLOOKUP(Q762,'INFO BASE'!$B$40:$I$54,IF(R762='INFO BASE'!$B$32,3,IF(R762='INFO BASE'!$B$33,4,IF(R762='INFO BASE'!$B$34,5,IF(R762='INFO BASE'!$B$35,6,IF(R762='INFO BASE'!$B$36,7,IF(R762='INFO BASE'!$B$37,8,2)))))),0)=0,"",VLOOKUP(Q762,'INFO BASE'!$B$40:$I$54,IF(R762='INFO BASE'!$B$32,3,IF(R762='INFO BASE'!$B$33,4,IF(R762='INFO BASE'!$B$34,5,IF(R762='INFO BASE'!$B$35,6,IF(R762='INFO BASE'!$B$36,7,IF(R762='INFO BASE'!$B$37,8,2)))))),0))</f>
        <v>5</v>
      </c>
      <c r="U762" s="89">
        <f>(COUNTIFS(C750:C797,R762,B750:B797,R761)+COUNTIFS(E750:E797,R762,D750:D797,R761)+COUNTIFS(G750:G797,R762,F750:F797,R761)+COUNTIFS(I750:I797,R762,H750:H797,R761)+COUNTIFS(K750:K797,R762,J750:J797,R761)+COUNTIFS(M750:M797,R762,L750:L797,R761)+COUNTIFS(O750:O797,R762,N750:N797,R761))*0.5</f>
        <v>0</v>
      </c>
      <c r="V762" s="89">
        <f>(COUNTIFS(AI750:AI797,R761,AJ750:AJ797,R762)+COUNTIFS(AK750:AK797,R761,AL750:AL797,R762)+COUNTIFS(AM750:AM797,R761,AN750:AN797,R762)+COUNTIFS(AO750:AO797,R761,AP750:AP797,R762)+COUNTIFS(AQ750:AQ797,R761,AR750:AR797,R762)+COUNTIFS(AS750:AS797,R761,AT750:AT797,R762)+COUNTIFS(AU750:AU797,R761,AV750:AV797,R762))*0.5</f>
        <v>0</v>
      </c>
      <c r="W762" s="90" t="str">
        <f>IF(AH746="","-",IF(V762=0,U762,IFERROR((U762/V762)-1,"-")))</f>
        <v>-</v>
      </c>
      <c r="X762" s="200">
        <f t="shared" si="437"/>
        <v>0</v>
      </c>
      <c r="Y762" s="299"/>
      <c r="Z762" s="300"/>
      <c r="AA762" s="300"/>
      <c r="AB762" s="300"/>
      <c r="AC762" s="300"/>
      <c r="AD762" s="300"/>
      <c r="AE762" s="300"/>
      <c r="AF762" s="301"/>
      <c r="AH762" s="136">
        <v>0.25000000000000799</v>
      </c>
      <c r="AI762" s="136" t="str">
        <f>IF(AH746="","",IF(B762="","",B762))</f>
        <v/>
      </c>
      <c r="AJ762" s="136" t="str">
        <f>IF(AH746="","",IF(C762="","",C762))</f>
        <v/>
      </c>
      <c r="AK762" s="136" t="str">
        <f>IF(AH746="","",IF(D762="","",D762))</f>
        <v/>
      </c>
      <c r="AL762" s="136" t="str">
        <f>IF(AH746="","",IF(E762="","",E762))</f>
        <v/>
      </c>
      <c r="AM762" s="136" t="str">
        <f>IF(AH746="","",IF(F762="","",F762))</f>
        <v/>
      </c>
      <c r="AN762" s="136" t="str">
        <f>IF(AH746="","",IF(G762="","",G762))</f>
        <v/>
      </c>
      <c r="AO762" s="136" t="str">
        <f>IF(AH746="","",IF(H762="","",H762))</f>
        <v/>
      </c>
      <c r="AP762" s="136" t="str">
        <f>IF(AH746="","",IF(I762="","",I762))</f>
        <v/>
      </c>
      <c r="AQ762" s="136" t="str">
        <f>IF(AH746="","",IF(J762="","",J762))</f>
        <v/>
      </c>
      <c r="AR762" s="136" t="str">
        <f>IF(AH746="","",IF(K762="","",K762))</f>
        <v/>
      </c>
      <c r="AS762" s="136" t="str">
        <f>IF(AH746="","",IF(L762="","",L762))</f>
        <v/>
      </c>
      <c r="AT762" s="136" t="str">
        <f>IF(AH746="","",IF(M762="","",M762))</f>
        <v/>
      </c>
      <c r="AU762" s="136" t="str">
        <f>IF(AH746="","",IF(N762="","",N762))</f>
        <v/>
      </c>
      <c r="AV762" s="136" t="str">
        <f>IF(AH746="","",IF(O762="","",O762))</f>
        <v/>
      </c>
      <c r="AX762" s="136" t="str">
        <f>IF(AI746="","",IF(B762="","",B762))</f>
        <v/>
      </c>
      <c r="AY762" s="136" t="str">
        <f>IF(AI746="","",IF(C762="","",C762))</f>
        <v/>
      </c>
      <c r="AZ762" s="136" t="str">
        <f>IF(AI746="","",IF(D762="","",D762))</f>
        <v/>
      </c>
      <c r="BA762" s="136" t="str">
        <f>IF(AI746="","",IF(E762="","",E762))</f>
        <v/>
      </c>
      <c r="BB762" s="136" t="str">
        <f>IF(AI746="","",IF(F762="","",F762))</f>
        <v/>
      </c>
      <c r="BC762" s="136" t="str">
        <f>IF(AI746="","",IF(G762="","",G762))</f>
        <v/>
      </c>
      <c r="BD762" s="136" t="str">
        <f>IF(AI746="","",IF(H762="","",H762))</f>
        <v/>
      </c>
      <c r="BE762" s="136" t="str">
        <f>IF(AI746="","",IF(I762="","",I762))</f>
        <v/>
      </c>
      <c r="BF762" s="136" t="str">
        <f>IF(AI746="","",IF(J762="","",J762))</f>
        <v/>
      </c>
      <c r="BG762" s="136" t="str">
        <f>IF(AI746="","",IF(K762="","",K762))</f>
        <v/>
      </c>
      <c r="BH762" s="136" t="str">
        <f>IF(AI746="","",IF(L762="","",L762))</f>
        <v/>
      </c>
      <c r="BI762" s="136" t="str">
        <f>IF(AI746="","",IF(M762="","",M762))</f>
        <v/>
      </c>
      <c r="BJ762" s="136" t="str">
        <f>IF(AI746="","",IF(N762="","",N762))</f>
        <v/>
      </c>
      <c r="BK762" s="136" t="str">
        <f>IF(AI746="","",IF(O762="","",O762))</f>
        <v/>
      </c>
      <c r="BM762" s="136" t="str">
        <f t="shared" si="435"/>
        <v>EA</v>
      </c>
      <c r="BN762" s="136" t="str">
        <f t="shared" si="432"/>
        <v>Estudo Autónomo</v>
      </c>
      <c r="BO762" s="136" t="str">
        <f t="shared" si="432"/>
        <v>AL</v>
      </c>
      <c r="BP762" s="136">
        <f>(COUNTIFS(AX750:AX797,BM762,AY750:AY797,BO762)+COUNTIFS(AZ750:AZ797,BM762,BA750:BA797,BO762)+COUNTIFS(BB750:BB797,BM762,BC750:BC797,BO762)+COUNTIFS(BD750:BD797,BM762,BE750:BE797,BO762)+COUNTIFS(BF750:BF797,BM762,BG750:BG797,BO762)+COUNTIFS(BH750:BH797,BM762,BI750:BI797,BO762)+COUNTIFS(BJ750:BJ797,BM762,BK750:BK797,BO762))*0.5</f>
        <v>0</v>
      </c>
      <c r="BQ762" s="136" t="str">
        <f t="shared" si="433"/>
        <v>Estudo Autónomo</v>
      </c>
      <c r="BR762" s="136" t="str">
        <f t="shared" si="433"/>
        <v>AL</v>
      </c>
      <c r="BS762" s="136" t="str">
        <f t="shared" si="434"/>
        <v>Estudo Autónomo</v>
      </c>
      <c r="BT762" s="136">
        <f t="shared" ref="BT762:BT794" si="440">SUMIFS(V:V,Q:Q,BQ762,R:R,BR762)</f>
        <v>24</v>
      </c>
      <c r="BU762" s="136">
        <f t="shared" ref="BU762:BU794" si="441">SUMIFS(BP:BP,BN:BN,BQ762,BO:BO,BR762)</f>
        <v>25.5</v>
      </c>
      <c r="CA762" s="136">
        <f>'INFO BASE'!L842</f>
        <v>0</v>
      </c>
      <c r="CB762" s="136">
        <f>'INFO BASE'!M842</f>
        <v>0</v>
      </c>
      <c r="CD762" s="136" t="str">
        <f>IF('INFO BASE'!E776="","",'INFO BASE'!E776)</f>
        <v/>
      </c>
      <c r="CR762" s="177">
        <f t="shared" si="422"/>
        <v>1</v>
      </c>
      <c r="CS762" s="177">
        <f t="shared" si="423"/>
        <v>1</v>
      </c>
      <c r="CT762" s="177">
        <f t="shared" si="422"/>
        <v>1</v>
      </c>
      <c r="CU762" s="177">
        <f t="shared" si="424"/>
        <v>1</v>
      </c>
      <c r="CV762" s="177">
        <f t="shared" si="422"/>
        <v>1</v>
      </c>
      <c r="CW762" s="177">
        <f t="shared" si="425"/>
        <v>1</v>
      </c>
      <c r="CX762" s="177">
        <f t="shared" si="422"/>
        <v>1</v>
      </c>
      <c r="CY762" s="177">
        <f t="shared" si="426"/>
        <v>1</v>
      </c>
      <c r="CZ762" s="177">
        <f t="shared" si="422"/>
        <v>1</v>
      </c>
      <c r="DA762" s="177">
        <f t="shared" si="427"/>
        <v>1</v>
      </c>
      <c r="DB762" s="177">
        <f t="shared" si="422"/>
        <v>1</v>
      </c>
      <c r="DC762" s="177">
        <f t="shared" si="428"/>
        <v>1</v>
      </c>
      <c r="DD762" s="177">
        <f t="shared" si="429"/>
        <v>1</v>
      </c>
      <c r="DE762" s="177">
        <f t="shared" si="430"/>
        <v>1</v>
      </c>
    </row>
    <row r="763" spans="1:109" ht="18" customHeight="1" x14ac:dyDescent="0.3">
      <c r="A763" s="81">
        <v>0.27083333333334197</v>
      </c>
      <c r="B763" s="153"/>
      <c r="C763" s="130"/>
      <c r="D763" s="135"/>
      <c r="E763" s="130"/>
      <c r="F763" s="135"/>
      <c r="G763" s="130"/>
      <c r="H763" s="135"/>
      <c r="I763" s="130"/>
      <c r="J763" s="135"/>
      <c r="K763" s="130"/>
      <c r="L763" s="135"/>
      <c r="M763" s="130"/>
      <c r="N763" s="135"/>
      <c r="O763" s="154"/>
      <c r="P763" s="6">
        <v>0</v>
      </c>
      <c r="Q763" s="110" t="str">
        <f t="shared" si="438"/>
        <v>Estudo Autónomo</v>
      </c>
      <c r="R763" s="105" t="str">
        <f t="shared" si="439"/>
        <v>IEI</v>
      </c>
      <c r="S763" s="88">
        <f t="shared" si="436"/>
        <v>-1</v>
      </c>
      <c r="T763" s="89">
        <f>IF(VLOOKUP(Q763,'INFO BASE'!$B$40:$I$54,IF(R763='INFO BASE'!$B$32,3,IF(R763='INFO BASE'!$B$33,4,IF(R763='INFO BASE'!$B$34,5,IF(R763='INFO BASE'!$B$35,6,IF(R763='INFO BASE'!$B$36,7,IF(R763='INFO BASE'!$B$37,8,2)))))),0)=0,"",VLOOKUP(Q763,'INFO BASE'!$B$40:$I$54,IF(R763='INFO BASE'!$B$32,3,IF(R763='INFO BASE'!$B$33,4,IF(R763='INFO BASE'!$B$34,5,IF(R763='INFO BASE'!$B$35,6,IF(R763='INFO BASE'!$B$36,7,IF(R763='INFO BASE'!$B$37,8,2)))))),0))</f>
        <v>2</v>
      </c>
      <c r="U763" s="89">
        <f>(COUNTIFS(C750:C797,R763,B750:B797,R761)+COUNTIFS(E750:E797,R763,D750:D797,R761)+COUNTIFS(G750:G797,R763,F750:F797,R761)+COUNTIFS(I750:I797,R763,H750:H797,R761)+COUNTIFS(K750:K797,R763,J750:J797,R761)+COUNTIFS(M750:M797,R763,L750:L797,R761)+COUNTIFS(O750:O797,R763,N750:N797,R761))*0.5</f>
        <v>0</v>
      </c>
      <c r="V763" s="89">
        <f>(COUNTIFS(AI750:AI797,R761,AJ750:AJ797,R763)+COUNTIFS(AK750:AK797,R761,AL750:AL797,R763)+COUNTIFS(AM750:AM797,R761,AN750:AN797,R763)+COUNTIFS(AO750:AO797,R761,AP750:AP797,R763)+COUNTIFS(AQ750:AQ797,R761,AR750:AR797,R763)+COUNTIFS(AS750:AS797,R761,AT750:AT797,R763)+COUNTIFS(AU750:AU797,R761,AV750:AV797,R763))*0.5</f>
        <v>0</v>
      </c>
      <c r="W763" s="90" t="str">
        <f>IF(AH746="","-",IF(V763=0,U763,IFERROR((U763/V763)-1,"-")))</f>
        <v>-</v>
      </c>
      <c r="X763" s="200">
        <f t="shared" si="437"/>
        <v>0</v>
      </c>
      <c r="Y763" s="299"/>
      <c r="Z763" s="300"/>
      <c r="AA763" s="300"/>
      <c r="AB763" s="300"/>
      <c r="AC763" s="300"/>
      <c r="AD763" s="300"/>
      <c r="AE763" s="300"/>
      <c r="AF763" s="301"/>
      <c r="AH763" s="136">
        <v>0.27083333333334197</v>
      </c>
      <c r="AI763" s="136" t="str">
        <f>IF(AH746="","",IF(B763="","",B763))</f>
        <v/>
      </c>
      <c r="AJ763" s="136" t="str">
        <f>IF(AH746="","",IF(C763="","",C763))</f>
        <v/>
      </c>
      <c r="AK763" s="136" t="str">
        <f>IF(AH746="","",IF(D763="","",D763))</f>
        <v/>
      </c>
      <c r="AL763" s="136" t="str">
        <f>IF(AH746="","",IF(E763="","",E763))</f>
        <v/>
      </c>
      <c r="AM763" s="136" t="str">
        <f>IF(AH746="","",IF(F763="","",F763))</f>
        <v/>
      </c>
      <c r="AN763" s="136" t="str">
        <f>IF(AH746="","",IF(G763="","",G763))</f>
        <v/>
      </c>
      <c r="AO763" s="136" t="str">
        <f>IF(AH746="","",IF(H763="","",H763))</f>
        <v/>
      </c>
      <c r="AP763" s="136" t="str">
        <f>IF(AH746="","",IF(I763="","",I763))</f>
        <v/>
      </c>
      <c r="AQ763" s="136" t="str">
        <f>IF(AH746="","",IF(J763="","",J763))</f>
        <v/>
      </c>
      <c r="AR763" s="136" t="str">
        <f>IF(AH746="","",IF(K763="","",K763))</f>
        <v/>
      </c>
      <c r="AS763" s="136" t="str">
        <f>IF(AH746="","",IF(L763="","",L763))</f>
        <v/>
      </c>
      <c r="AT763" s="136" t="str">
        <f>IF(AH746="","",IF(M763="","",M763))</f>
        <v/>
      </c>
      <c r="AU763" s="136" t="str">
        <f>IF(AH746="","",IF(N763="","",N763))</f>
        <v/>
      </c>
      <c r="AV763" s="136" t="str">
        <f>IF(AH746="","",IF(O763="","",O763))</f>
        <v/>
      </c>
      <c r="AX763" s="136" t="str">
        <f>IF(AI746="","",IF(B763="","",B763))</f>
        <v/>
      </c>
      <c r="AY763" s="136" t="str">
        <f>IF(AI746="","",IF(C763="","",C763))</f>
        <v/>
      </c>
      <c r="AZ763" s="136" t="str">
        <f>IF(AI746="","",IF(D763="","",D763))</f>
        <v/>
      </c>
      <c r="BA763" s="136" t="str">
        <f>IF(AI746="","",IF(E763="","",E763))</f>
        <v/>
      </c>
      <c r="BB763" s="136" t="str">
        <f>IF(AI746="","",IF(F763="","",F763))</f>
        <v/>
      </c>
      <c r="BC763" s="136" t="str">
        <f>IF(AI746="","",IF(G763="","",G763))</f>
        <v/>
      </c>
      <c r="BD763" s="136" t="str">
        <f>IF(AI746="","",IF(H763="","",H763))</f>
        <v/>
      </c>
      <c r="BE763" s="136" t="str">
        <f>IF(AI746="","",IF(I763="","",I763))</f>
        <v/>
      </c>
      <c r="BF763" s="136" t="str">
        <f>IF(AI746="","",IF(J763="","",J763))</f>
        <v/>
      </c>
      <c r="BG763" s="136" t="str">
        <f>IF(AI746="","",IF(K763="","",K763))</f>
        <v/>
      </c>
      <c r="BH763" s="136" t="str">
        <f>IF(AI746="","",IF(L763="","",L763))</f>
        <v/>
      </c>
      <c r="BI763" s="136" t="str">
        <f>IF(AI746="","",IF(M763="","",M763))</f>
        <v/>
      </c>
      <c r="BJ763" s="136" t="str">
        <f>IF(AI746="","",IF(N763="","",N763))</f>
        <v/>
      </c>
      <c r="BK763" s="136" t="str">
        <f>IF(AI746="","",IF(O763="","",O763))</f>
        <v/>
      </c>
      <c r="BM763" s="136" t="str">
        <f t="shared" si="435"/>
        <v>EA</v>
      </c>
      <c r="BN763" s="136" t="str">
        <f t="shared" si="432"/>
        <v>Estudo Autónomo</v>
      </c>
      <c r="BO763" s="136" t="str">
        <f t="shared" si="432"/>
        <v>CDI</v>
      </c>
      <c r="BP763" s="136">
        <f>(COUNTIFS(AX750:AX797,BM763,AY750:AY797,BO763)+COUNTIFS(AZ750:AZ797,BM763,BA750:BA797,BO763)+COUNTIFS(BB750:BB797,BM763,BC750:BC797,BO763)+COUNTIFS(BD750:BD797,BM763,BE750:BE797,BO763)+COUNTIFS(BF750:BF797,BM763,BG750:BG797,BO763)+COUNTIFS(BH750:BH797,BM763,BI750:BI797,BO763)+COUNTIFS(BJ750:BJ797,BM763,BK750:BK797,BO763))*0.5</f>
        <v>0</v>
      </c>
      <c r="BQ763" s="136" t="str">
        <f t="shared" si="433"/>
        <v>Estudo Autónomo</v>
      </c>
      <c r="BR763" s="136" t="str">
        <f t="shared" si="433"/>
        <v>CDI</v>
      </c>
      <c r="BS763" s="136" t="str">
        <f t="shared" si="434"/>
        <v>Estudo Autónomo</v>
      </c>
      <c r="BT763" s="136">
        <f t="shared" si="440"/>
        <v>9.5</v>
      </c>
      <c r="BU763" s="136">
        <f t="shared" si="441"/>
        <v>7.5</v>
      </c>
      <c r="CA763" s="136">
        <f>'INFO BASE'!L843</f>
        <v>0</v>
      </c>
      <c r="CB763" s="136">
        <f>'INFO BASE'!M843</f>
        <v>0</v>
      </c>
      <c r="CD763" s="136" t="str">
        <f>IF('INFO BASE'!E777="","",'INFO BASE'!E777)</f>
        <v/>
      </c>
      <c r="CR763" s="177">
        <f t="shared" si="422"/>
        <v>1</v>
      </c>
      <c r="CS763" s="177">
        <f t="shared" si="423"/>
        <v>1</v>
      </c>
      <c r="CT763" s="177">
        <f t="shared" si="422"/>
        <v>1</v>
      </c>
      <c r="CU763" s="177">
        <f t="shared" si="424"/>
        <v>1</v>
      </c>
      <c r="CV763" s="177">
        <f t="shared" si="422"/>
        <v>1</v>
      </c>
      <c r="CW763" s="177">
        <f t="shared" si="425"/>
        <v>1</v>
      </c>
      <c r="CX763" s="177">
        <f t="shared" si="422"/>
        <v>1</v>
      </c>
      <c r="CY763" s="177">
        <f t="shared" si="426"/>
        <v>1</v>
      </c>
      <c r="CZ763" s="177">
        <f t="shared" si="422"/>
        <v>1</v>
      </c>
      <c r="DA763" s="177">
        <f t="shared" si="427"/>
        <v>1</v>
      </c>
      <c r="DB763" s="177">
        <f t="shared" si="422"/>
        <v>1</v>
      </c>
      <c r="DC763" s="177">
        <f t="shared" si="428"/>
        <v>1</v>
      </c>
      <c r="DD763" s="177">
        <f t="shared" si="429"/>
        <v>1</v>
      </c>
      <c r="DE763" s="177">
        <f t="shared" si="430"/>
        <v>1</v>
      </c>
    </row>
    <row r="764" spans="1:109" ht="18" customHeight="1" x14ac:dyDescent="0.3">
      <c r="A764" s="81">
        <v>0.29166666666667601</v>
      </c>
      <c r="B764" s="153"/>
      <c r="C764" s="130"/>
      <c r="D764" s="135"/>
      <c r="E764" s="130"/>
      <c r="F764" s="135"/>
      <c r="G764" s="130"/>
      <c r="H764" s="135"/>
      <c r="I764" s="130"/>
      <c r="J764" s="135"/>
      <c r="K764" s="130"/>
      <c r="L764" s="135"/>
      <c r="M764" s="130"/>
      <c r="N764" s="135"/>
      <c r="O764" s="154"/>
      <c r="P764" s="6">
        <v>0</v>
      </c>
      <c r="Q764" s="111" t="str">
        <f t="shared" si="438"/>
        <v>Estudo Autónomo</v>
      </c>
      <c r="R764" s="105" t="str">
        <f t="shared" si="439"/>
        <v>IAC</v>
      </c>
      <c r="S764" s="88">
        <f t="shared" si="436"/>
        <v>-1</v>
      </c>
      <c r="T764" s="89">
        <f>IF(VLOOKUP(Q764,'INFO BASE'!$B$40:$I$54,IF(R764='INFO BASE'!$B$32,3,IF(R764='INFO BASE'!$B$33,4,IF(R764='INFO BASE'!$B$34,5,IF(R764='INFO BASE'!$B$35,6,IF(R764='INFO BASE'!$B$36,7,IF(R764='INFO BASE'!$B$37,8,2)))))),0)=0,"",VLOOKUP(Q764,'INFO BASE'!$B$40:$I$54,IF(R764='INFO BASE'!$B$32,3,IF(R764='INFO BASE'!$B$33,4,IF(R764='INFO BASE'!$B$34,5,IF(R764='INFO BASE'!$B$35,6,IF(R764='INFO BASE'!$B$36,7,IF(R764='INFO BASE'!$B$37,8,2)))))),0))</f>
        <v>2</v>
      </c>
      <c r="U764" s="89">
        <f>(COUNTIFS(C750:C797,R764,B750:B797,R761)+COUNTIFS(E750:E797,R764,D750:D797,R761)+COUNTIFS(G750:G797,R764,F750:F797,R761)+COUNTIFS(I750:I797,R764,H750:H797,R761)+COUNTIFS(K750:K797,R764,J750:J797,R761)+COUNTIFS(M750:M797,R764,L750:L797,R761)+COUNTIFS(O750:O797,R764,N750:N797,R761))*0.5</f>
        <v>0</v>
      </c>
      <c r="V764" s="89">
        <f>(COUNTIFS(AI750:AI797,R761,AJ750:AJ797,R764)+COUNTIFS(AK750:AK797,R761,AL750:AL797,R764)+COUNTIFS(AM750:AM797,R761,AN750:AN797,R764)+COUNTIFS(AO750:AO797,R761,AP750:AP797,R764)+COUNTIFS(AQ750:AQ797,R761,AR750:AR797,R764)+COUNTIFS(AS750:AS797,R761,AT750:AT797,R764)+COUNTIFS(AU750:AU797,R761,AV750:AV797,R764))*0.5</f>
        <v>0</v>
      </c>
      <c r="W764" s="90" t="str">
        <f>IF(AH746="","-",IF(V764=0,U764,IFERROR((U764/V764)-1,"-")))</f>
        <v>-</v>
      </c>
      <c r="X764" s="200">
        <f t="shared" si="437"/>
        <v>0</v>
      </c>
      <c r="Y764" s="299"/>
      <c r="Z764" s="300"/>
      <c r="AA764" s="300"/>
      <c r="AB764" s="300"/>
      <c r="AC764" s="300"/>
      <c r="AD764" s="300"/>
      <c r="AE764" s="300"/>
      <c r="AF764" s="301"/>
      <c r="AH764" s="136">
        <v>0.29166666666667601</v>
      </c>
      <c r="AI764" s="136" t="str">
        <f>IF(AH746="","",IF(B764="","",B764))</f>
        <v/>
      </c>
      <c r="AJ764" s="136" t="str">
        <f>IF(AH746="","",IF(C764="","",C764))</f>
        <v/>
      </c>
      <c r="AK764" s="136" t="str">
        <f>IF(AH746="","",IF(D764="","",D764))</f>
        <v/>
      </c>
      <c r="AL764" s="136" t="str">
        <f>IF(AH746="","",IF(E764="","",E764))</f>
        <v/>
      </c>
      <c r="AM764" s="136" t="str">
        <f>IF(AH746="","",IF(F764="","",F764))</f>
        <v/>
      </c>
      <c r="AN764" s="136" t="str">
        <f>IF(AH746="","",IF(G764="","",G764))</f>
        <v/>
      </c>
      <c r="AO764" s="136" t="str">
        <f>IF(AH746="","",IF(H764="","",H764))</f>
        <v/>
      </c>
      <c r="AP764" s="136" t="str">
        <f>IF(AH746="","",IF(I764="","",I764))</f>
        <v/>
      </c>
      <c r="AQ764" s="136" t="str">
        <f>IF(AH746="","",IF(J764="","",J764))</f>
        <v/>
      </c>
      <c r="AR764" s="136" t="str">
        <f>IF(AH746="","",IF(K764="","",K764))</f>
        <v/>
      </c>
      <c r="AS764" s="136" t="str">
        <f>IF(AH746="","",IF(L764="","",L764))</f>
        <v/>
      </c>
      <c r="AT764" s="136" t="str">
        <f>IF(AH746="","",IF(M764="","",M764))</f>
        <v/>
      </c>
      <c r="AU764" s="136" t="str">
        <f>IF(AH746="","",IF(N764="","",N764))</f>
        <v/>
      </c>
      <c r="AV764" s="136" t="str">
        <f>IF(AH746="","",IF(O764="","",O764))</f>
        <v/>
      </c>
      <c r="AX764" s="136" t="str">
        <f>IF(AI746="","",IF(B764="","",B764))</f>
        <v/>
      </c>
      <c r="AY764" s="136" t="str">
        <f>IF(AI746="","",IF(C764="","",C764))</f>
        <v/>
      </c>
      <c r="AZ764" s="136" t="str">
        <f>IF(AI746="","",IF(D764="","",D764))</f>
        <v/>
      </c>
      <c r="BA764" s="136" t="str">
        <f>IF(AI746="","",IF(E764="","",E764))</f>
        <v/>
      </c>
      <c r="BB764" s="136" t="str">
        <f>IF(AI746="","",IF(F764="","",F764))</f>
        <v/>
      </c>
      <c r="BC764" s="136" t="str">
        <f>IF(AI746="","",IF(G764="","",G764))</f>
        <v/>
      </c>
      <c r="BD764" s="136" t="str">
        <f>IF(AI746="","",IF(H764="","",H764))</f>
        <v/>
      </c>
      <c r="BE764" s="136" t="str">
        <f>IF(AI746="","",IF(I764="","",I764))</f>
        <v/>
      </c>
      <c r="BF764" s="136" t="str">
        <f>IF(AI746="","",IF(J764="","",J764))</f>
        <v/>
      </c>
      <c r="BG764" s="136" t="str">
        <f>IF(AI746="","",IF(K764="","",K764))</f>
        <v/>
      </c>
      <c r="BH764" s="136" t="str">
        <f>IF(AI746="","",IF(L764="","",L764))</f>
        <v/>
      </c>
      <c r="BI764" s="136" t="str">
        <f>IF(AI746="","",IF(M764="","",M764))</f>
        <v/>
      </c>
      <c r="BJ764" s="136" t="str">
        <f>IF(AI746="","",IF(N764="","",N764))</f>
        <v/>
      </c>
      <c r="BK764" s="136" t="str">
        <f>IF(AI746="","",IF(O764="","",O764))</f>
        <v/>
      </c>
      <c r="BM764" s="136" t="str">
        <f t="shared" si="435"/>
        <v>EA</v>
      </c>
      <c r="BN764" s="136" t="str">
        <f t="shared" si="432"/>
        <v>Estudo Autónomo</v>
      </c>
      <c r="BO764" s="136" t="str">
        <f t="shared" si="432"/>
        <v/>
      </c>
      <c r="BP764" s="136">
        <f>(COUNTIFS(AX750:AX797,BM764,AY750:AY797,BO764)+COUNTIFS(AZ750:AZ797,BM764,BA750:BA797,BO764)+COUNTIFS(BB750:BB797,BM764,BC750:BC797,BO764)+COUNTIFS(BD750:BD797,BM764,BE750:BE797,BO764)+COUNTIFS(BF750:BF797,BM764,BG750:BG797,BO764)+COUNTIFS(BH750:BH797,BM764,BI750:BI797,BO764)+COUNTIFS(BJ750:BJ797,BM764,BK750:BK797,BO764))*0.5</f>
        <v>0</v>
      </c>
      <c r="BQ764" s="136" t="str">
        <f t="shared" si="433"/>
        <v>Estudo Autónomo</v>
      </c>
      <c r="BR764" s="136" t="str">
        <f t="shared" si="433"/>
        <v/>
      </c>
      <c r="BS764" s="136" t="str">
        <f t="shared" si="434"/>
        <v>Estudo Autónomo</v>
      </c>
      <c r="BT764" s="136">
        <f t="shared" si="440"/>
        <v>0</v>
      </c>
      <c r="BU764" s="136">
        <f t="shared" si="441"/>
        <v>0</v>
      </c>
      <c r="CA764" s="136">
        <f>'INFO BASE'!L844</f>
        <v>0</v>
      </c>
      <c r="CB764" s="136">
        <f>'INFO BASE'!M844</f>
        <v>0</v>
      </c>
      <c r="CD764" s="136" t="str">
        <f>IF('INFO BASE'!E778="","",'INFO BASE'!E778)</f>
        <v/>
      </c>
      <c r="CR764" s="177">
        <f t="shared" si="422"/>
        <v>1</v>
      </c>
      <c r="CS764" s="177">
        <f t="shared" si="423"/>
        <v>1</v>
      </c>
      <c r="CT764" s="177">
        <f t="shared" si="422"/>
        <v>1</v>
      </c>
      <c r="CU764" s="177">
        <f t="shared" si="424"/>
        <v>1</v>
      </c>
      <c r="CV764" s="177">
        <f t="shared" si="422"/>
        <v>1</v>
      </c>
      <c r="CW764" s="177">
        <f t="shared" si="425"/>
        <v>1</v>
      </c>
      <c r="CX764" s="177">
        <f t="shared" si="422"/>
        <v>1</v>
      </c>
      <c r="CY764" s="177">
        <f t="shared" si="426"/>
        <v>1</v>
      </c>
      <c r="CZ764" s="177">
        <f t="shared" si="422"/>
        <v>1</v>
      </c>
      <c r="DA764" s="177">
        <f t="shared" si="427"/>
        <v>1</v>
      </c>
      <c r="DB764" s="177">
        <f t="shared" si="422"/>
        <v>1</v>
      </c>
      <c r="DC764" s="177">
        <f t="shared" si="428"/>
        <v>1</v>
      </c>
      <c r="DD764" s="177">
        <f t="shared" si="429"/>
        <v>1</v>
      </c>
      <c r="DE764" s="177">
        <f t="shared" si="430"/>
        <v>1</v>
      </c>
    </row>
    <row r="765" spans="1:109" ht="18" customHeight="1" x14ac:dyDescent="0.3">
      <c r="A765" s="81">
        <v>0.31250000000000999</v>
      </c>
      <c r="B765" s="153"/>
      <c r="C765" s="130"/>
      <c r="D765" s="135"/>
      <c r="E765" s="130"/>
      <c r="F765" s="135"/>
      <c r="G765" s="130"/>
      <c r="H765" s="135"/>
      <c r="I765" s="130"/>
      <c r="J765" s="135"/>
      <c r="K765" s="130"/>
      <c r="L765" s="135"/>
      <c r="M765" s="130"/>
      <c r="N765" s="135"/>
      <c r="O765" s="154"/>
      <c r="P765" s="6">
        <v>0</v>
      </c>
      <c r="Q765" s="110" t="str">
        <f t="shared" si="438"/>
        <v>Estudo Autónomo</v>
      </c>
      <c r="R765" s="105" t="str">
        <f t="shared" si="439"/>
        <v>AL</v>
      </c>
      <c r="S765" s="88">
        <f t="shared" si="436"/>
        <v>-1</v>
      </c>
      <c r="T765" s="89">
        <f>IF(VLOOKUP(Q765,'INFO BASE'!$B$40:$I$54,IF(R765='INFO BASE'!$B$32,3,IF(R765='INFO BASE'!$B$33,4,IF(R765='INFO BASE'!$B$34,5,IF(R765='INFO BASE'!$B$35,6,IF(R765='INFO BASE'!$B$36,7,IF(R765='INFO BASE'!$B$37,8,2)))))),0)=0,"",VLOOKUP(Q765,'INFO BASE'!$B$40:$I$54,IF(R765='INFO BASE'!$B$32,3,IF(R765='INFO BASE'!$B$33,4,IF(R765='INFO BASE'!$B$34,5,IF(R765='INFO BASE'!$B$35,6,IF(R765='INFO BASE'!$B$36,7,IF(R765='INFO BASE'!$B$37,8,2)))))),0))</f>
        <v>5</v>
      </c>
      <c r="U765" s="89">
        <f>(COUNTIFS(C750:C797,R765,B750:B797,R761)+COUNTIFS(E750:E797,R765,D750:D797,R761)+COUNTIFS(G750:G797,R765,F750:F797,R761)+COUNTIFS(I750:I797,R765,H750:H797,R761)+COUNTIFS(K750:K797,R765,J750:J797,R761)+COUNTIFS(M750:M797,R765,L750:L797,R761)+COUNTIFS(O750:O797,R765,N750:N797,R761))*0.5</f>
        <v>0</v>
      </c>
      <c r="V765" s="89">
        <f>(COUNTIFS(AI750:AI797,R761,AJ750:AJ797,R765)+COUNTIFS(AK750:AK797,R761,AL750:AL797,R765)+COUNTIFS(AM750:AM797,R761,AN750:AN797,R765)+COUNTIFS(AO750:AO797,R761,AP750:AP797,R765)+COUNTIFS(AQ750:AQ797,R761,AR750:AR797,R765)+COUNTIFS(AS750:AS797,R761,AT750:AT797,R765)+COUNTIFS(AU750:AU797,R761,AV750:AV797,R765))*0.5</f>
        <v>0</v>
      </c>
      <c r="W765" s="90" t="str">
        <f>IF(AH746="","-",IF(V765=0,U765,IFERROR((U765/V765)-1,"-")))</f>
        <v>-</v>
      </c>
      <c r="X765" s="200">
        <f t="shared" si="437"/>
        <v>0</v>
      </c>
      <c r="Y765" s="299"/>
      <c r="Z765" s="300"/>
      <c r="AA765" s="300"/>
      <c r="AB765" s="300"/>
      <c r="AC765" s="300"/>
      <c r="AD765" s="300"/>
      <c r="AE765" s="300"/>
      <c r="AF765" s="301"/>
      <c r="AH765" s="136">
        <v>0.31250000000000999</v>
      </c>
      <c r="AI765" s="136" t="str">
        <f>IF(AH746="","",IF(B765="","",B765))</f>
        <v/>
      </c>
      <c r="AJ765" s="136" t="str">
        <f>IF(AH746="","",IF(C765="","",C765))</f>
        <v/>
      </c>
      <c r="AK765" s="136" t="str">
        <f>IF(AH746="","",IF(D765="","",D765))</f>
        <v/>
      </c>
      <c r="AL765" s="136" t="str">
        <f>IF(AH746="","",IF(E765="","",E765))</f>
        <v/>
      </c>
      <c r="AM765" s="136" t="str">
        <f>IF(AH746="","",IF(F765="","",F765))</f>
        <v/>
      </c>
      <c r="AN765" s="136" t="str">
        <f>IF(AH746="","",IF(G765="","",G765))</f>
        <v/>
      </c>
      <c r="AO765" s="136" t="str">
        <f>IF(AH746="","",IF(H765="","",H765))</f>
        <v/>
      </c>
      <c r="AP765" s="136" t="str">
        <f>IF(AH746="","",IF(I765="","",I765))</f>
        <v/>
      </c>
      <c r="AQ765" s="136" t="str">
        <f>IF(AH746="","",IF(J765="","",J765))</f>
        <v/>
      </c>
      <c r="AR765" s="136" t="str">
        <f>IF(AH746="","",IF(K765="","",K765))</f>
        <v/>
      </c>
      <c r="AS765" s="136" t="str">
        <f>IF(AH746="","",IF(L765="","",L765))</f>
        <v/>
      </c>
      <c r="AT765" s="136" t="str">
        <f>IF(AH746="","",IF(M765="","",M765))</f>
        <v/>
      </c>
      <c r="AU765" s="136" t="str">
        <f>IF(AH746="","",IF(N765="","",N765))</f>
        <v/>
      </c>
      <c r="AV765" s="136" t="str">
        <f>IF(AH746="","",IF(O765="","",O765))</f>
        <v/>
      </c>
      <c r="AX765" s="136" t="str">
        <f>IF(AI746="","",IF(B765="","",B765))</f>
        <v/>
      </c>
      <c r="AY765" s="136" t="str">
        <f>IF(AI746="","",IF(C765="","",C765))</f>
        <v/>
      </c>
      <c r="AZ765" s="136" t="str">
        <f>IF(AI746="","",IF(D765="","",D765))</f>
        <v/>
      </c>
      <c r="BA765" s="136" t="str">
        <f>IF(AI746="","",IF(E765="","",E765))</f>
        <v/>
      </c>
      <c r="BB765" s="136" t="str">
        <f>IF(AI746="","",IF(F765="","",F765))</f>
        <v/>
      </c>
      <c r="BC765" s="136" t="str">
        <f>IF(AI746="","",IF(G765="","",G765))</f>
        <v/>
      </c>
      <c r="BD765" s="136" t="str">
        <f>IF(AI746="","",IF(H765="","",H765))</f>
        <v/>
      </c>
      <c r="BE765" s="136" t="str">
        <f>IF(AI746="","",IF(I765="","",I765))</f>
        <v/>
      </c>
      <c r="BF765" s="136" t="str">
        <f>IF(AI746="","",IF(J765="","",J765))</f>
        <v/>
      </c>
      <c r="BG765" s="136" t="str">
        <f>IF(AI746="","",IF(K765="","",K765))</f>
        <v/>
      </c>
      <c r="BH765" s="136" t="str">
        <f>IF(AI746="","",IF(L765="","",L765))</f>
        <v/>
      </c>
      <c r="BI765" s="136" t="str">
        <f>IF(AI746="","",IF(M765="","",M765))</f>
        <v/>
      </c>
      <c r="BJ765" s="136" t="str">
        <f>IF(AI746="","",IF(N765="","",N765))</f>
        <v/>
      </c>
      <c r="BK765" s="136" t="str">
        <f>IF(AI746="","",IF(O765="","",O765))</f>
        <v/>
      </c>
      <c r="BM765" s="136" t="str">
        <f>BO765</f>
        <v>EG</v>
      </c>
      <c r="BN765" s="136" t="str">
        <f t="shared" si="432"/>
        <v>Estudo em Grupo</v>
      </c>
      <c r="BO765" s="136" t="str">
        <f t="shared" si="432"/>
        <v>EG</v>
      </c>
      <c r="BP765" s="136">
        <f>COUNTIFS(AX750:BK797,BO765)*0.5</f>
        <v>0</v>
      </c>
      <c r="BQ765" s="136" t="str">
        <f t="shared" si="433"/>
        <v>Estudo em Grupo</v>
      </c>
      <c r="BR765" s="136" t="str">
        <f t="shared" si="433"/>
        <v>EG</v>
      </c>
      <c r="BS765" s="136" t="str">
        <f t="shared" si="434"/>
        <v>Estudo em Grupo</v>
      </c>
      <c r="BT765" s="136">
        <f t="shared" si="440"/>
        <v>46.5</v>
      </c>
      <c r="BU765" s="136">
        <f t="shared" si="441"/>
        <v>55.5</v>
      </c>
      <c r="CA765" s="136">
        <f>'INFO BASE'!L845</f>
        <v>0</v>
      </c>
      <c r="CB765" s="136">
        <f>'INFO BASE'!M845</f>
        <v>0</v>
      </c>
      <c r="CD765" s="136" t="str">
        <f>IF('INFO BASE'!E779="","",'INFO BASE'!E779)</f>
        <v/>
      </c>
      <c r="CR765" s="177">
        <f t="shared" si="422"/>
        <v>1</v>
      </c>
      <c r="CS765" s="177">
        <f t="shared" si="423"/>
        <v>1</v>
      </c>
      <c r="CT765" s="177">
        <f t="shared" si="422"/>
        <v>1</v>
      </c>
      <c r="CU765" s="177">
        <f t="shared" si="424"/>
        <v>1</v>
      </c>
      <c r="CV765" s="177">
        <f t="shared" si="422"/>
        <v>1</v>
      </c>
      <c r="CW765" s="177">
        <f t="shared" si="425"/>
        <v>1</v>
      </c>
      <c r="CX765" s="177">
        <f t="shared" si="422"/>
        <v>1</v>
      </c>
      <c r="CY765" s="177">
        <f t="shared" si="426"/>
        <v>1</v>
      </c>
      <c r="CZ765" s="177">
        <f t="shared" si="422"/>
        <v>1</v>
      </c>
      <c r="DA765" s="177">
        <f t="shared" si="427"/>
        <v>1</v>
      </c>
      <c r="DB765" s="177">
        <f t="shared" si="422"/>
        <v>1</v>
      </c>
      <c r="DC765" s="177">
        <f t="shared" si="428"/>
        <v>1</v>
      </c>
      <c r="DD765" s="177">
        <f t="shared" si="429"/>
        <v>1</v>
      </c>
      <c r="DE765" s="177">
        <f t="shared" si="430"/>
        <v>1</v>
      </c>
    </row>
    <row r="766" spans="1:109" ht="18" customHeight="1" x14ac:dyDescent="0.3">
      <c r="A766" s="81">
        <v>0.33333333333334397</v>
      </c>
      <c r="B766" s="153"/>
      <c r="C766" s="130"/>
      <c r="D766" s="135"/>
      <c r="E766" s="130"/>
      <c r="F766" s="135"/>
      <c r="G766" s="130"/>
      <c r="H766" s="135"/>
      <c r="I766" s="130"/>
      <c r="J766" s="135"/>
      <c r="K766" s="130"/>
      <c r="L766" s="135"/>
      <c r="M766" s="130"/>
      <c r="N766" s="135"/>
      <c r="O766" s="154"/>
      <c r="P766" s="6">
        <v>0</v>
      </c>
      <c r="Q766" s="110" t="str">
        <f t="shared" si="438"/>
        <v>Estudo Autónomo</v>
      </c>
      <c r="R766" s="105" t="str">
        <f t="shared" si="439"/>
        <v>CDI</v>
      </c>
      <c r="S766" s="88">
        <f t="shared" si="436"/>
        <v>-1</v>
      </c>
      <c r="T766" s="89">
        <f>IF(VLOOKUP(Q766,'INFO BASE'!$B$40:$I$54,IF(R766='INFO BASE'!$B$32,3,IF(R766='INFO BASE'!$B$33,4,IF(R766='INFO BASE'!$B$34,5,IF(R766='INFO BASE'!$B$35,6,IF(R766='INFO BASE'!$B$36,7,IF(R766='INFO BASE'!$B$37,8,2)))))),0)=0,"",VLOOKUP(Q766,'INFO BASE'!$B$40:$I$54,IF(R766='INFO BASE'!$B$32,3,IF(R766='INFO BASE'!$B$33,4,IF(R766='INFO BASE'!$B$34,5,IF(R766='INFO BASE'!$B$35,6,IF(R766='INFO BASE'!$B$36,7,IF(R766='INFO BASE'!$B$37,8,2)))))),0))</f>
        <v>5</v>
      </c>
      <c r="U766" s="89">
        <f>(COUNTIFS(C750:C797,R766,B750:B797,R761)+COUNTIFS(E750:E797,R766,D750:D797,R761)+COUNTIFS(G750:G797,R766,F750:F797,R761)+COUNTIFS(I750:I797,R766,H750:H797,R761)+COUNTIFS(K750:K797,R766,J750:J797,R761)+COUNTIFS(M750:M797,R766,L750:L797,R761)+COUNTIFS(O750:O797,R766,N750:N797,R761))*0.5</f>
        <v>0</v>
      </c>
      <c r="V766" s="89">
        <f>(COUNTIFS(AI750:AI797,R761,AJ750:AJ797,R766)+COUNTIFS(AK750:AK797,R761,AL750:AL797,R766)+COUNTIFS(AM750:AM797,R761,AN750:AN797,R766)+COUNTIFS(AO750:AO797,R761,AP750:AP797,R766)+COUNTIFS(AQ750:AQ797,R761,AR750:AR797,R766)+COUNTIFS(AS750:AS797,R761,AT750:AT797,R766)+COUNTIFS(AU750:AU797,R761,AV750:AV797,R766))*0.5</f>
        <v>0</v>
      </c>
      <c r="W766" s="90" t="str">
        <f>IF(AH746="","-",IF(V766=0,U766,IFERROR((U766/V766)-1,"-")))</f>
        <v>-</v>
      </c>
      <c r="X766" s="200">
        <f t="shared" si="437"/>
        <v>0</v>
      </c>
      <c r="Y766" s="299"/>
      <c r="Z766" s="300"/>
      <c r="AA766" s="300"/>
      <c r="AB766" s="300"/>
      <c r="AC766" s="300"/>
      <c r="AD766" s="300"/>
      <c r="AE766" s="300"/>
      <c r="AF766" s="301"/>
      <c r="AH766" s="136">
        <v>0.33333333333334397</v>
      </c>
      <c r="AI766" s="136" t="str">
        <f>IF(AH746="","",IF(B766="","",B766))</f>
        <v/>
      </c>
      <c r="AJ766" s="136" t="str">
        <f>IF(AH746="","",IF(C766="","",C766))</f>
        <v/>
      </c>
      <c r="AK766" s="136" t="str">
        <f>IF(AH746="","",IF(D766="","",D766))</f>
        <v/>
      </c>
      <c r="AL766" s="136" t="str">
        <f>IF(AH746="","",IF(E766="","",E766))</f>
        <v/>
      </c>
      <c r="AM766" s="136" t="str">
        <f>IF(AH746="","",IF(F766="","",F766))</f>
        <v/>
      </c>
      <c r="AN766" s="136" t="str">
        <f>IF(AH746="","",IF(G766="","",G766))</f>
        <v/>
      </c>
      <c r="AO766" s="136" t="str">
        <f>IF(AH746="","",IF(H766="","",H766))</f>
        <v/>
      </c>
      <c r="AP766" s="136" t="str">
        <f>IF(AH746="","",IF(I766="","",I766))</f>
        <v/>
      </c>
      <c r="AQ766" s="136" t="str">
        <f>IF(AH746="","",IF(J766="","",J766))</f>
        <v/>
      </c>
      <c r="AR766" s="136" t="str">
        <f>IF(AH746="","",IF(K766="","",K766))</f>
        <v/>
      </c>
      <c r="AS766" s="136" t="str">
        <f>IF(AH746="","",IF(L766="","",L766))</f>
        <v/>
      </c>
      <c r="AT766" s="136" t="str">
        <f>IF(AH746="","",IF(M766="","",M766))</f>
        <v/>
      </c>
      <c r="AU766" s="136" t="str">
        <f>IF(AH746="","",IF(N766="","",N766))</f>
        <v/>
      </c>
      <c r="AV766" s="136" t="str">
        <f>IF(AH746="","",IF(O766="","",O766))</f>
        <v/>
      </c>
      <c r="AX766" s="136" t="str">
        <f>IF(AI746="","",IF(B766="","",B766))</f>
        <v/>
      </c>
      <c r="AY766" s="136" t="str">
        <f>IF(AI746="","",IF(C766="","",C766))</f>
        <v/>
      </c>
      <c r="AZ766" s="136" t="str">
        <f>IF(AI746="","",IF(D766="","",D766))</f>
        <v/>
      </c>
      <c r="BA766" s="136" t="str">
        <f>IF(AI746="","",IF(E766="","",E766))</f>
        <v/>
      </c>
      <c r="BB766" s="136" t="str">
        <f>IF(AI746="","",IF(F766="","",F766))</f>
        <v/>
      </c>
      <c r="BC766" s="136" t="str">
        <f>IF(AI746="","",IF(G766="","",G766))</f>
        <v/>
      </c>
      <c r="BD766" s="136" t="str">
        <f>IF(AI746="","",IF(H766="","",H766))</f>
        <v/>
      </c>
      <c r="BE766" s="136" t="str">
        <f>IF(AI746="","",IF(I766="","",I766))</f>
        <v/>
      </c>
      <c r="BF766" s="136" t="str">
        <f>IF(AI746="","",IF(J766="","",J766))</f>
        <v/>
      </c>
      <c r="BG766" s="136" t="str">
        <f>IF(AI746="","",IF(K766="","",K766))</f>
        <v/>
      </c>
      <c r="BH766" s="136" t="str">
        <f>IF(AI746="","",IF(L766="","",L766))</f>
        <v/>
      </c>
      <c r="BI766" s="136" t="str">
        <f>IF(AI746="","",IF(M766="","",M766))</f>
        <v/>
      </c>
      <c r="BJ766" s="136" t="str">
        <f>IF(AI746="","",IF(N766="","",N766))</f>
        <v/>
      </c>
      <c r="BK766" s="136" t="str">
        <f>IF(AI746="","",IF(O766="","",O766))</f>
        <v/>
      </c>
      <c r="BM766" s="136" t="str">
        <f>BM765</f>
        <v>EG</v>
      </c>
      <c r="BN766" s="136" t="str">
        <f t="shared" si="432"/>
        <v>Estudo em Grupo</v>
      </c>
      <c r="BO766" s="136" t="str">
        <f t="shared" si="432"/>
        <v>FP</v>
      </c>
      <c r="BP766" s="136">
        <f>(COUNTIFS(AX750:AX797,BM766,AY750:AY797,BO766)+COUNTIFS(AZ750:AZ797,BM766,BA750:BA797,BO766)+COUNTIFS(BB750:BB797,BM766,BC750:BC797,BO766)+COUNTIFS(BD750:BD797,BM766,BE750:BE797,BO766)+COUNTIFS(BF750:BF797,BM766,BG750:BG797,BO766)+COUNTIFS(BH750:BH797,BM766,BI750:BI797,BO766)+COUNTIFS(BJ750:BJ797,BM766,BK750:BK797,BO766))*0.5</f>
        <v>0</v>
      </c>
      <c r="BQ766" s="136" t="str">
        <f t="shared" si="433"/>
        <v>Estudo em Grupo</v>
      </c>
      <c r="BR766" s="136" t="str">
        <f t="shared" si="433"/>
        <v>FP</v>
      </c>
      <c r="BS766" s="136" t="str">
        <f t="shared" si="434"/>
        <v>Estudo em Grupo</v>
      </c>
      <c r="BT766" s="136">
        <f t="shared" si="440"/>
        <v>11</v>
      </c>
      <c r="BU766" s="136">
        <f t="shared" si="441"/>
        <v>12</v>
      </c>
      <c r="CA766" s="136">
        <f>'INFO BASE'!L846</f>
        <v>0</v>
      </c>
      <c r="CB766" s="136">
        <f>'INFO BASE'!M846</f>
        <v>0</v>
      </c>
      <c r="CD766" s="136" t="str">
        <f>IF('INFO BASE'!F780="","",'INFO BASE'!F780)</f>
        <v/>
      </c>
      <c r="CR766" s="177">
        <f t="shared" si="422"/>
        <v>1</v>
      </c>
      <c r="CS766" s="177">
        <f t="shared" si="423"/>
        <v>1</v>
      </c>
      <c r="CT766" s="177">
        <f t="shared" si="422"/>
        <v>1</v>
      </c>
      <c r="CU766" s="177">
        <f t="shared" si="424"/>
        <v>1</v>
      </c>
      <c r="CV766" s="177">
        <f t="shared" si="422"/>
        <v>1</v>
      </c>
      <c r="CW766" s="177">
        <f t="shared" si="425"/>
        <v>1</v>
      </c>
      <c r="CX766" s="177">
        <f t="shared" si="422"/>
        <v>1</v>
      </c>
      <c r="CY766" s="177">
        <f t="shared" si="426"/>
        <v>1</v>
      </c>
      <c r="CZ766" s="177">
        <f t="shared" si="422"/>
        <v>1</v>
      </c>
      <c r="DA766" s="177">
        <f t="shared" si="427"/>
        <v>1</v>
      </c>
      <c r="DB766" s="177">
        <f t="shared" si="422"/>
        <v>1</v>
      </c>
      <c r="DC766" s="177">
        <f t="shared" si="428"/>
        <v>1</v>
      </c>
      <c r="DD766" s="177">
        <f t="shared" si="429"/>
        <v>1</v>
      </c>
      <c r="DE766" s="177">
        <f t="shared" si="430"/>
        <v>1</v>
      </c>
    </row>
    <row r="767" spans="1:109" ht="18" customHeight="1" thickBot="1" x14ac:dyDescent="0.35">
      <c r="A767" s="81">
        <v>0.35416666666667801</v>
      </c>
      <c r="B767" s="153"/>
      <c r="C767" s="130"/>
      <c r="D767" s="135"/>
      <c r="E767" s="130"/>
      <c r="F767" s="135"/>
      <c r="G767" s="130"/>
      <c r="H767" s="135"/>
      <c r="I767" s="130"/>
      <c r="J767" s="135"/>
      <c r="K767" s="130"/>
      <c r="L767" s="135"/>
      <c r="M767" s="130"/>
      <c r="N767" s="135"/>
      <c r="O767" s="154"/>
      <c r="P767" s="6">
        <v>0</v>
      </c>
      <c r="Q767" s="112" t="str">
        <f t="shared" si="438"/>
        <v>Estudo Autónomo</v>
      </c>
      <c r="R767" s="107" t="str">
        <f t="shared" si="439"/>
        <v/>
      </c>
      <c r="S767" s="94" t="str">
        <f t="shared" si="436"/>
        <v>-</v>
      </c>
      <c r="T767" s="95" t="str">
        <f>IF(VLOOKUP(Q767,'INFO BASE'!$B$40:$I$54,IF(R767='INFO BASE'!$B$32,3,IF(R767='INFO BASE'!$B$33,4,IF(R767='INFO BASE'!$B$34,5,IF(R767='INFO BASE'!$B$35,6,IF(R767='INFO BASE'!$B$36,7,IF(R767='INFO BASE'!$B$37,8,2)))))),0)=0,"",VLOOKUP(Q767,'INFO BASE'!$B$40:$I$54,IF(R767='INFO BASE'!$B$32,3,IF(R767='INFO BASE'!$B$33,4,IF(R767='INFO BASE'!$B$34,5,IF(R767='INFO BASE'!$B$35,6,IF(R767='INFO BASE'!$B$36,7,IF(R767='INFO BASE'!$B$37,8,2)))))),0))</f>
        <v/>
      </c>
      <c r="U767" s="95">
        <f>(COUNTIFS(C750:C797,R767,B750:B797,R761)+COUNTIFS(E750:E797,R767,D750:D797,R761)+COUNTIFS(G750:G797,R767,F750:F797,R761)+COUNTIFS(I750:I797,R767,H750:H797,R761)+COUNTIFS(K750:K797,R767,J750:J797,R761)+COUNTIFS(M750:M797,R767,L750:L797,R761)+COUNTIFS(O750:O797,R767,N750:N797,R761))*0.5</f>
        <v>0</v>
      </c>
      <c r="V767" s="95">
        <f>(COUNTIFS(AI750:AI797,R761,AJ750:AJ797,R767)+COUNTIFS(AK750:AK797,R761,AL750:AL797,R767)+COUNTIFS(AM750:AM797,R761,AN750:AN797,R767)+COUNTIFS(AO750:AO797,R761,AP750:AP797,R767)+COUNTIFS(AQ750:AQ797,R761,AR750:AR797,R767)+COUNTIFS(AS750:AS797,R761,AT750:AT797,R767)+COUNTIFS(AU750:AU797,R761,AV750:AV797,R767))*0.5</f>
        <v>0</v>
      </c>
      <c r="W767" s="96" t="str">
        <f>IF(AH746="","-",IF(V767=0,U767,IFERROR((U767/V767)-1,"-")))</f>
        <v>-</v>
      </c>
      <c r="X767" s="201">
        <f t="shared" si="437"/>
        <v>0</v>
      </c>
      <c r="Y767" s="274"/>
      <c r="Z767" s="275"/>
      <c r="AA767" s="275"/>
      <c r="AB767" s="275"/>
      <c r="AC767" s="275"/>
      <c r="AD767" s="275"/>
      <c r="AE767" s="275"/>
      <c r="AF767" s="276"/>
      <c r="AH767" s="136">
        <v>0.35416666666667801</v>
      </c>
      <c r="AI767" s="136" t="str">
        <f>IF(AH746="","",IF(B767="","",B767))</f>
        <v/>
      </c>
      <c r="AJ767" s="136" t="str">
        <f>IF(AH746="","",IF(C767="","",C767))</f>
        <v/>
      </c>
      <c r="AK767" s="136" t="str">
        <f>IF(AH746="","",IF(D767="","",D767))</f>
        <v/>
      </c>
      <c r="AL767" s="136" t="str">
        <f>IF(AH746="","",IF(E767="","",E767))</f>
        <v/>
      </c>
      <c r="AM767" s="136" t="str">
        <f>IF(AH746="","",IF(F767="","",F767))</f>
        <v/>
      </c>
      <c r="AN767" s="136" t="str">
        <f>IF(AH746="","",IF(G767="","",G767))</f>
        <v/>
      </c>
      <c r="AO767" s="136" t="str">
        <f>IF(AH746="","",IF(H767="","",H767))</f>
        <v/>
      </c>
      <c r="AP767" s="136" t="str">
        <f>IF(AH746="","",IF(I767="","",I767))</f>
        <v/>
      </c>
      <c r="AQ767" s="136" t="str">
        <f>IF(AH746="","",IF(J767="","",J767))</f>
        <v/>
      </c>
      <c r="AR767" s="136" t="str">
        <f>IF(AH746="","",IF(K767="","",K767))</f>
        <v/>
      </c>
      <c r="AS767" s="136" t="str">
        <f>IF(AH746="","",IF(L767="","",L767))</f>
        <v/>
      </c>
      <c r="AT767" s="136" t="str">
        <f>IF(AH746="","",IF(M767="","",M767))</f>
        <v/>
      </c>
      <c r="AU767" s="136" t="str">
        <f>IF(AH746="","",IF(N767="","",N767))</f>
        <v/>
      </c>
      <c r="AV767" s="136" t="str">
        <f>IF(AH746="","",IF(O767="","",O767))</f>
        <v/>
      </c>
      <c r="AX767" s="136" t="str">
        <f>IF(AI746="","",IF(B767="","",B767))</f>
        <v/>
      </c>
      <c r="AY767" s="136" t="str">
        <f>IF(AI746="","",IF(C767="","",C767))</f>
        <v/>
      </c>
      <c r="AZ767" s="136" t="str">
        <f>IF(AI746="","",IF(D767="","",D767))</f>
        <v/>
      </c>
      <c r="BA767" s="136" t="str">
        <f>IF(AI746="","",IF(E767="","",E767))</f>
        <v/>
      </c>
      <c r="BB767" s="136" t="str">
        <f>IF(AI746="","",IF(F767="","",F767))</f>
        <v/>
      </c>
      <c r="BC767" s="136" t="str">
        <f>IF(AI746="","",IF(G767="","",G767))</f>
        <v/>
      </c>
      <c r="BD767" s="136" t="str">
        <f>IF(AI746="","",IF(H767="","",H767))</f>
        <v/>
      </c>
      <c r="BE767" s="136" t="str">
        <f>IF(AI746="","",IF(I767="","",I767))</f>
        <v/>
      </c>
      <c r="BF767" s="136" t="str">
        <f>IF(AI746="","",IF(J767="","",J767))</f>
        <v/>
      </c>
      <c r="BG767" s="136" t="str">
        <f>IF(AI746="","",IF(K767="","",K767))</f>
        <v/>
      </c>
      <c r="BH767" s="136" t="str">
        <f>IF(AI746="","",IF(L767="","",L767))</f>
        <v/>
      </c>
      <c r="BI767" s="136" t="str">
        <f>IF(AI746="","",IF(M767="","",M767))</f>
        <v/>
      </c>
      <c r="BJ767" s="136" t="str">
        <f>IF(AI746="","",IF(N767="","",N767))</f>
        <v/>
      </c>
      <c r="BK767" s="136" t="str">
        <f>IF(AI746="","",IF(O767="","",O767))</f>
        <v/>
      </c>
      <c r="BM767" s="136" t="str">
        <f t="shared" ref="BM767:BM771" si="442">BM766</f>
        <v>EG</v>
      </c>
      <c r="BN767" s="136" t="str">
        <f t="shared" si="432"/>
        <v>Estudo em Grupo</v>
      </c>
      <c r="BO767" s="136" t="str">
        <f t="shared" si="432"/>
        <v>IEI</v>
      </c>
      <c r="BP767" s="136">
        <f>(COUNTIFS(AX750:AX797,BM767,AY750:AY797,BO767)+COUNTIFS(AZ750:AZ797,BM767,BA750:BA797,BO767)+COUNTIFS(BB750:BB797,BM767,BC750:BC797,BO767)+COUNTIFS(BD750:BD797,BM767,BE750:BE797,BO767)+COUNTIFS(BF750:BF797,BM767,BG750:BG797,BO767)+COUNTIFS(BH750:BH797,BM767,BI750:BI797,BO767)+COUNTIFS(BJ750:BJ797,BM767,BK750:BK797,BO767))*0.5</f>
        <v>0</v>
      </c>
      <c r="BQ767" s="136" t="str">
        <f t="shared" si="433"/>
        <v>Estudo em Grupo</v>
      </c>
      <c r="BR767" s="136" t="str">
        <f t="shared" si="433"/>
        <v>IEI</v>
      </c>
      <c r="BS767" s="136" t="str">
        <f t="shared" si="434"/>
        <v>Estudo em Grupo</v>
      </c>
      <c r="BT767" s="136">
        <f t="shared" si="440"/>
        <v>2.5</v>
      </c>
      <c r="BU767" s="136">
        <f t="shared" si="441"/>
        <v>7</v>
      </c>
      <c r="CA767" s="136">
        <f>'INFO BASE'!L847</f>
        <v>0</v>
      </c>
      <c r="CB767" s="136">
        <f>'INFO BASE'!M847</f>
        <v>0</v>
      </c>
      <c r="CR767" s="177">
        <f t="shared" si="422"/>
        <v>1</v>
      </c>
      <c r="CS767" s="177">
        <f t="shared" si="423"/>
        <v>1</v>
      </c>
      <c r="CT767" s="177">
        <f t="shared" si="422"/>
        <v>1</v>
      </c>
      <c r="CU767" s="177">
        <f t="shared" si="424"/>
        <v>1</v>
      </c>
      <c r="CV767" s="177">
        <f t="shared" si="422"/>
        <v>1</v>
      </c>
      <c r="CW767" s="177">
        <f t="shared" si="425"/>
        <v>1</v>
      </c>
      <c r="CX767" s="177">
        <f t="shared" si="422"/>
        <v>1</v>
      </c>
      <c r="CY767" s="177">
        <f t="shared" si="426"/>
        <v>1</v>
      </c>
      <c r="CZ767" s="177">
        <f t="shared" si="422"/>
        <v>1</v>
      </c>
      <c r="DA767" s="177">
        <f t="shared" si="427"/>
        <v>1</v>
      </c>
      <c r="DB767" s="177">
        <f t="shared" si="422"/>
        <v>1</v>
      </c>
      <c r="DC767" s="177">
        <f t="shared" si="428"/>
        <v>1</v>
      </c>
      <c r="DD767" s="177">
        <f t="shared" si="429"/>
        <v>1</v>
      </c>
      <c r="DE767" s="177">
        <f t="shared" si="430"/>
        <v>1</v>
      </c>
    </row>
    <row r="768" spans="1:109" ht="18" customHeight="1" x14ac:dyDescent="0.3">
      <c r="A768" s="81">
        <v>0.37500000000001199</v>
      </c>
      <c r="B768" s="153"/>
      <c r="C768" s="130"/>
      <c r="D768" s="135"/>
      <c r="E768" s="130"/>
      <c r="F768" s="135"/>
      <c r="G768" s="130"/>
      <c r="H768" s="135"/>
      <c r="I768" s="130"/>
      <c r="J768" s="135"/>
      <c r="K768" s="130"/>
      <c r="L768" s="135"/>
      <c r="M768" s="130"/>
      <c r="N768" s="135"/>
      <c r="O768" s="154"/>
      <c r="P768" s="6">
        <v>0</v>
      </c>
      <c r="Q768" s="113" t="str">
        <f>IF('INFO BASE'!$C$18="","",'INFO BASE'!$C$18)</f>
        <v>Estudo em Grupo</v>
      </c>
      <c r="R768" s="82" t="str">
        <f t="shared" si="439"/>
        <v>EG</v>
      </c>
      <c r="S768" s="83">
        <f t="shared" si="436"/>
        <v>-1</v>
      </c>
      <c r="T768" s="84">
        <f>IF(VLOOKUP(Q768,'INFO BASE'!$B$40:$I$54,IF(R768='INFO BASE'!$B$32,3,IF(R768='INFO BASE'!$B$33,4,IF(R768='INFO BASE'!$B$34,5,IF(R768='INFO BASE'!$B$35,6,IF(R768='INFO BASE'!$B$36,7,IF(R768='INFO BASE'!$B$37,8,2)))))),0)=0,"",VLOOKUP(Q768,'INFO BASE'!$B$40:$I$54,IF(R768='INFO BASE'!$B$32,3,IF(R768='INFO BASE'!$B$33,4,IF(R768='INFO BASE'!$B$34,5,IF(R768='INFO BASE'!$B$35,6,IF(R768='INFO BASE'!$B$36,7,IF(R768='INFO BASE'!$B$37,8,2)))))),0))</f>
        <v>8</v>
      </c>
      <c r="U768" s="84">
        <f>IF(R768="","",COUNTIFS(SEMANA14,R768)*0.5)</f>
        <v>0</v>
      </c>
      <c r="V768" s="84">
        <f>IF(R768="","",COUNTIFS(AI750:AV797,R768)*0.5)</f>
        <v>0</v>
      </c>
      <c r="W768" s="85" t="str">
        <f>IF(AH746="","-",IF(V768=0,U768,IFERROR((U768/V768)-1,"-")))</f>
        <v>-</v>
      </c>
      <c r="X768" s="201">
        <f t="shared" si="437"/>
        <v>0</v>
      </c>
      <c r="Y768" s="277"/>
      <c r="Z768" s="278"/>
      <c r="AA768" s="278"/>
      <c r="AB768" s="278"/>
      <c r="AC768" s="278"/>
      <c r="AD768" s="278"/>
      <c r="AE768" s="278"/>
      <c r="AF768" s="279"/>
      <c r="AH768" s="136">
        <v>0.37500000000001199</v>
      </c>
      <c r="AI768" s="136" t="str">
        <f>IF(AH746="","",IF(B768="","",B768))</f>
        <v/>
      </c>
      <c r="AJ768" s="136" t="str">
        <f>IF(AH746="","",IF(C768="","",C768))</f>
        <v/>
      </c>
      <c r="AK768" s="136" t="str">
        <f>IF(AH746="","",IF(D768="","",D768))</f>
        <v/>
      </c>
      <c r="AL768" s="136" t="str">
        <f>IF(AH746="","",IF(E768="","",E768))</f>
        <v/>
      </c>
      <c r="AM768" s="136" t="str">
        <f>IF(AH746="","",IF(F768="","",F768))</f>
        <v/>
      </c>
      <c r="AN768" s="136" t="str">
        <f>IF(AH746="","",IF(G768="","",G768))</f>
        <v/>
      </c>
      <c r="AO768" s="136" t="str">
        <f>IF(AH746="","",IF(H768="","",H768))</f>
        <v/>
      </c>
      <c r="AP768" s="136" t="str">
        <f>IF(AH746="","",IF(I768="","",I768))</f>
        <v/>
      </c>
      <c r="AQ768" s="136" t="str">
        <f>IF(AH746="","",IF(J768="","",J768))</f>
        <v/>
      </c>
      <c r="AR768" s="136" t="str">
        <f>IF(AH746="","",IF(K768="","",K768))</f>
        <v/>
      </c>
      <c r="AS768" s="136" t="str">
        <f>IF(AH746="","",IF(L768="","",L768))</f>
        <v/>
      </c>
      <c r="AT768" s="136" t="str">
        <f>IF(AH746="","",IF(M768="","",M768))</f>
        <v/>
      </c>
      <c r="AU768" s="136" t="str">
        <f>IF(AH746="","",IF(N768="","",N768))</f>
        <v/>
      </c>
      <c r="AV768" s="136" t="str">
        <f>IF(AH746="","",IF(O768="","",O768))</f>
        <v/>
      </c>
      <c r="AX768" s="136" t="str">
        <f>IF(AI746="","",IF(B768="","",B768))</f>
        <v/>
      </c>
      <c r="AY768" s="136" t="str">
        <f>IF(AI746="","",IF(C768="","",C768))</f>
        <v/>
      </c>
      <c r="AZ768" s="136" t="str">
        <f>IF(AI746="","",IF(D768="","",D768))</f>
        <v/>
      </c>
      <c r="BA768" s="136" t="str">
        <f>IF(AI746="","",IF(E768="","",E768))</f>
        <v/>
      </c>
      <c r="BB768" s="136" t="str">
        <f>IF(AI746="","",IF(F768="","",F768))</f>
        <v/>
      </c>
      <c r="BC768" s="136" t="str">
        <f>IF(AI746="","",IF(G768="","",G768))</f>
        <v/>
      </c>
      <c r="BD768" s="136" t="str">
        <f>IF(AI746="","",IF(H768="","",H768))</f>
        <v/>
      </c>
      <c r="BE768" s="136" t="str">
        <f>IF(AI746="","",IF(I768="","",I768))</f>
        <v/>
      </c>
      <c r="BF768" s="136" t="str">
        <f>IF(AI746="","",IF(J768="","",J768))</f>
        <v/>
      </c>
      <c r="BG768" s="136" t="str">
        <f>IF(AI746="","",IF(K768="","",K768))</f>
        <v/>
      </c>
      <c r="BH768" s="136" t="str">
        <f>IF(AI746="","",IF(L768="","",L768))</f>
        <v/>
      </c>
      <c r="BI768" s="136" t="str">
        <f>IF(AI746="","",IF(M768="","",M768))</f>
        <v/>
      </c>
      <c r="BJ768" s="136" t="str">
        <f>IF(AI746="","",IF(N768="","",N768))</f>
        <v/>
      </c>
      <c r="BK768" s="136" t="str">
        <f>IF(AI746="","",IF(O768="","",O768))</f>
        <v/>
      </c>
      <c r="BM768" s="136" t="str">
        <f t="shared" si="442"/>
        <v>EG</v>
      </c>
      <c r="BN768" s="136" t="str">
        <f t="shared" si="432"/>
        <v>Estudo em Grupo</v>
      </c>
      <c r="BO768" s="136" t="str">
        <f t="shared" si="432"/>
        <v>IAC</v>
      </c>
      <c r="BP768" s="136">
        <f>(COUNTIFS(AX750:AX797,BM768,AY750:AY797,BO768)+COUNTIFS(AZ750:AZ797,BM768,BA750:BA797,BO768)+COUNTIFS(BB750:BB797,BM768,BC750:BC797,BO768)+COUNTIFS(BD750:BD797,BM768,BE750:BE797,BO768)+COUNTIFS(BF750:BF797,BM768,BG750:BG797,BO768)+COUNTIFS(BH750:BH797,BM768,BI750:BI797,BO768)+COUNTIFS(BJ750:BJ797,BM768,BK750:BK797,BO768))*0.5</f>
        <v>0</v>
      </c>
      <c r="BQ768" s="136" t="str">
        <f t="shared" si="433"/>
        <v>Estudo em Grupo</v>
      </c>
      <c r="BR768" s="136" t="str">
        <f t="shared" si="433"/>
        <v>IAC</v>
      </c>
      <c r="BS768" s="136" t="str">
        <f t="shared" si="434"/>
        <v>Estudo em Grupo</v>
      </c>
      <c r="BT768" s="136">
        <f t="shared" si="440"/>
        <v>6</v>
      </c>
      <c r="BU768" s="136">
        <f t="shared" si="441"/>
        <v>10.5</v>
      </c>
      <c r="CA768" s="136">
        <f>'INFO BASE'!L848</f>
        <v>0</v>
      </c>
      <c r="CB768" s="136">
        <f>'INFO BASE'!M848</f>
        <v>0</v>
      </c>
      <c r="CR768" s="177">
        <f t="shared" si="422"/>
        <v>1</v>
      </c>
      <c r="CS768" s="177">
        <f t="shared" si="423"/>
        <v>1</v>
      </c>
      <c r="CT768" s="177">
        <f t="shared" si="422"/>
        <v>1</v>
      </c>
      <c r="CU768" s="177">
        <f t="shared" si="424"/>
        <v>1</v>
      </c>
      <c r="CV768" s="177">
        <f t="shared" si="422"/>
        <v>1</v>
      </c>
      <c r="CW768" s="177">
        <f t="shared" si="425"/>
        <v>1</v>
      </c>
      <c r="CX768" s="177">
        <f t="shared" si="422"/>
        <v>1</v>
      </c>
      <c r="CY768" s="177">
        <f t="shared" si="426"/>
        <v>1</v>
      </c>
      <c r="CZ768" s="177">
        <f t="shared" si="422"/>
        <v>1</v>
      </c>
      <c r="DA768" s="177">
        <f t="shared" si="427"/>
        <v>1</v>
      </c>
      <c r="DB768" s="177">
        <f t="shared" si="422"/>
        <v>1</v>
      </c>
      <c r="DC768" s="177">
        <f t="shared" si="428"/>
        <v>1</v>
      </c>
      <c r="DD768" s="177">
        <f t="shared" si="429"/>
        <v>1</v>
      </c>
      <c r="DE768" s="177">
        <f t="shared" si="430"/>
        <v>1</v>
      </c>
    </row>
    <row r="769" spans="1:109" ht="18" customHeight="1" x14ac:dyDescent="0.3">
      <c r="A769" s="81">
        <v>0.39583333333334603</v>
      </c>
      <c r="B769" s="153"/>
      <c r="C769" s="130"/>
      <c r="D769" s="135"/>
      <c r="E769" s="130"/>
      <c r="F769" s="135"/>
      <c r="G769" s="130"/>
      <c r="H769" s="135"/>
      <c r="I769" s="130"/>
      <c r="J769" s="135"/>
      <c r="K769" s="130"/>
      <c r="L769" s="135"/>
      <c r="M769" s="130"/>
      <c r="N769" s="135"/>
      <c r="O769" s="154"/>
      <c r="P769" s="6">
        <v>0</v>
      </c>
      <c r="Q769" s="114" t="str">
        <f t="shared" ref="Q769:Q774" si="443">Q768</f>
        <v>Estudo em Grupo</v>
      </c>
      <c r="R769" s="105" t="str">
        <f t="shared" si="439"/>
        <v>FP</v>
      </c>
      <c r="S769" s="88">
        <f t="shared" si="436"/>
        <v>-1</v>
      </c>
      <c r="T769" s="89">
        <f>IF(VLOOKUP(Q769,'INFO BASE'!$B$40:$I$54,IF(R769='INFO BASE'!$B$32,3,IF(R769='INFO BASE'!$B$33,4,IF(R769='INFO BASE'!$B$34,5,IF(R769='INFO BASE'!$B$35,6,IF(R769='INFO BASE'!$B$36,7,IF(R769='INFO BASE'!$B$37,8,2)))))),0)=0,"",VLOOKUP(Q769,'INFO BASE'!$B$40:$I$54,IF(R769='INFO BASE'!$B$32,3,IF(R769='INFO BASE'!$B$33,4,IF(R769='INFO BASE'!$B$34,5,IF(R769='INFO BASE'!$B$35,6,IF(R769='INFO BASE'!$B$36,7,IF(R769='INFO BASE'!$B$37,8,2)))))),0))</f>
        <v>2</v>
      </c>
      <c r="U769" s="89">
        <f>(COUNTIFS(C750:C797,R769,B750:B797,R768)+COUNTIFS(E750:E797,R769,D750:D797,R768)+COUNTIFS(G750:G797,R769,F750:F797,R768)+COUNTIFS(I750:I797,R769,H750:H797,R768)+COUNTIFS(K750:K797,R769,J750:J797,R768)+COUNTIFS(M750:M797,R769,L750:L797,R768)+COUNTIFS(O750:O797,R769,N750:N797,R768))*0.5</f>
        <v>0</v>
      </c>
      <c r="V769" s="89">
        <f>(COUNTIFS(AI750:AI797,R768,AJ750:AJ797,R762)+COUNTIFS(AK750:AK797,R768,AL750:AL797,R762)+COUNTIFS(AM750:AM797,R768,AN750:AN797,R762)+COUNTIFS(AO750:AO797,R768,AP750:AP797,R762)+COUNTIFS(AQ750:AQ797,R768,AR750:AR797,R762)+COUNTIFS(AS750:AS797,R768,AT750:AT797,R762)+COUNTIFS(AU750:AU797,R768,AV750:AV797,R762))*0.5</f>
        <v>0</v>
      </c>
      <c r="W769" s="90" t="str">
        <f>IF(AH746="","-",IF(V769=0,U769,IFERROR((U769/V769)-1,"-")))</f>
        <v>-</v>
      </c>
      <c r="X769" s="201">
        <f t="shared" si="437"/>
        <v>0</v>
      </c>
      <c r="Y769" s="271"/>
      <c r="Z769" s="272"/>
      <c r="AA769" s="272"/>
      <c r="AB769" s="272"/>
      <c r="AC769" s="272"/>
      <c r="AD769" s="272"/>
      <c r="AE769" s="272"/>
      <c r="AF769" s="273"/>
      <c r="AH769" s="136">
        <v>0.39583333333334603</v>
      </c>
      <c r="AI769" s="136" t="str">
        <f>IF(AH746="","",IF(B769="","",B769))</f>
        <v/>
      </c>
      <c r="AJ769" s="136" t="str">
        <f>IF(AH746="","",IF(C769="","",C769))</f>
        <v/>
      </c>
      <c r="AK769" s="136" t="str">
        <f>IF(AH746="","",IF(D769="","",D769))</f>
        <v/>
      </c>
      <c r="AL769" s="136" t="str">
        <f>IF(AH746="","",IF(E769="","",E769))</f>
        <v/>
      </c>
      <c r="AM769" s="136" t="str">
        <f>IF(AH746="","",IF(F769="","",F769))</f>
        <v/>
      </c>
      <c r="AN769" s="136" t="str">
        <f>IF(AH746="","",IF(G769="","",G769))</f>
        <v/>
      </c>
      <c r="AO769" s="136" t="str">
        <f>IF(AH746="","",IF(H769="","",H769))</f>
        <v/>
      </c>
      <c r="AP769" s="136" t="str">
        <f>IF(AH746="","",IF(I769="","",I769))</f>
        <v/>
      </c>
      <c r="AQ769" s="136" t="str">
        <f>IF(AH746="","",IF(J769="","",J769))</f>
        <v/>
      </c>
      <c r="AR769" s="136" t="str">
        <f>IF(AH746="","",IF(K769="","",K769))</f>
        <v/>
      </c>
      <c r="AS769" s="136" t="str">
        <f>IF(AH746="","",IF(L769="","",L769))</f>
        <v/>
      </c>
      <c r="AT769" s="136" t="str">
        <f>IF(AH746="","",IF(M769="","",M769))</f>
        <v/>
      </c>
      <c r="AU769" s="136" t="str">
        <f>IF(AH746="","",IF(N769="","",N769))</f>
        <v/>
      </c>
      <c r="AV769" s="136" t="str">
        <f>IF(AH746="","",IF(O769="","",O769))</f>
        <v/>
      </c>
      <c r="AX769" s="136" t="str">
        <f>IF(AI746="","",IF(B769="","",B769))</f>
        <v/>
      </c>
      <c r="AY769" s="136" t="str">
        <f>IF(AI746="","",IF(C769="","",C769))</f>
        <v/>
      </c>
      <c r="AZ769" s="136" t="str">
        <f>IF(AI746="","",IF(D769="","",D769))</f>
        <v/>
      </c>
      <c r="BA769" s="136" t="str">
        <f>IF(AI746="","",IF(E769="","",E769))</f>
        <v/>
      </c>
      <c r="BB769" s="136" t="str">
        <f>IF(AI746="","",IF(F769="","",F769))</f>
        <v/>
      </c>
      <c r="BC769" s="136" t="str">
        <f>IF(AI746="","",IF(G769="","",G769))</f>
        <v/>
      </c>
      <c r="BD769" s="136" t="str">
        <f>IF(AI746="","",IF(H769="","",H769))</f>
        <v/>
      </c>
      <c r="BE769" s="136" t="str">
        <f>IF(AI746="","",IF(I769="","",I769))</f>
        <v/>
      </c>
      <c r="BF769" s="136" t="str">
        <f>IF(AI746="","",IF(J769="","",J769))</f>
        <v/>
      </c>
      <c r="BG769" s="136" t="str">
        <f>IF(AI746="","",IF(K769="","",K769))</f>
        <v/>
      </c>
      <c r="BH769" s="136" t="str">
        <f>IF(AI746="","",IF(L769="","",L769))</f>
        <v/>
      </c>
      <c r="BI769" s="136" t="str">
        <f>IF(AI746="","",IF(M769="","",M769))</f>
        <v/>
      </c>
      <c r="BJ769" s="136" t="str">
        <f>IF(AI746="","",IF(N769="","",N769))</f>
        <v/>
      </c>
      <c r="BK769" s="136" t="str">
        <f>IF(AI746="","",IF(O769="","",O769))</f>
        <v/>
      </c>
      <c r="BM769" s="136" t="str">
        <f t="shared" si="442"/>
        <v>EG</v>
      </c>
      <c r="BN769" s="136" t="str">
        <f t="shared" si="432"/>
        <v>Estudo em Grupo</v>
      </c>
      <c r="BO769" s="136" t="str">
        <f t="shared" si="432"/>
        <v>AL</v>
      </c>
      <c r="BP769" s="136">
        <f>(COUNTIFS(AX750:AX797,BM769,AY750:AY797,BO769)+COUNTIFS(AZ750:AZ797,BM769,BA750:BA797,BO769)+COUNTIFS(BB750:BB797,BM769,BC750:BC797,BO769)+COUNTIFS(BD750:BD797,BM769,BE750:BE797,BO769)+COUNTIFS(BF750:BF797,BM769,BG750:BG797,BO769)+COUNTIFS(BH750:BH797,BM769,BI750:BI797,BO769)+COUNTIFS(BJ750:BJ797,BM769,BK750:BK797,BO769))*0.5</f>
        <v>0</v>
      </c>
      <c r="BQ769" s="136" t="str">
        <f t="shared" si="433"/>
        <v>Estudo em Grupo</v>
      </c>
      <c r="BR769" s="136" t="str">
        <f t="shared" si="433"/>
        <v>AL</v>
      </c>
      <c r="BS769" s="136" t="str">
        <f t="shared" si="434"/>
        <v>Estudo em Grupo</v>
      </c>
      <c r="BT769" s="136">
        <f t="shared" si="440"/>
        <v>16.5</v>
      </c>
      <c r="BU769" s="136">
        <f t="shared" si="441"/>
        <v>17.5</v>
      </c>
      <c r="CA769" s="136">
        <f>'INFO BASE'!L849</f>
        <v>0</v>
      </c>
      <c r="CB769" s="136">
        <f>'INFO BASE'!M849</f>
        <v>0</v>
      </c>
      <c r="CR769" s="177">
        <f t="shared" si="422"/>
        <v>1</v>
      </c>
      <c r="CS769" s="177">
        <f t="shared" si="423"/>
        <v>1</v>
      </c>
      <c r="CT769" s="177">
        <f t="shared" si="422"/>
        <v>1</v>
      </c>
      <c r="CU769" s="177">
        <f t="shared" si="424"/>
        <v>1</v>
      </c>
      <c r="CV769" s="177">
        <f t="shared" si="422"/>
        <v>1</v>
      </c>
      <c r="CW769" s="177">
        <f t="shared" si="425"/>
        <v>1</v>
      </c>
      <c r="CX769" s="177">
        <f t="shared" si="422"/>
        <v>1</v>
      </c>
      <c r="CY769" s="177">
        <f t="shared" si="426"/>
        <v>1</v>
      </c>
      <c r="CZ769" s="177">
        <f t="shared" si="422"/>
        <v>1</v>
      </c>
      <c r="DA769" s="177">
        <f t="shared" si="427"/>
        <v>1</v>
      </c>
      <c r="DB769" s="177">
        <f t="shared" si="422"/>
        <v>1</v>
      </c>
      <c r="DC769" s="177">
        <f t="shared" si="428"/>
        <v>1</v>
      </c>
      <c r="DD769" s="177">
        <f t="shared" si="429"/>
        <v>1</v>
      </c>
      <c r="DE769" s="177">
        <f t="shared" si="430"/>
        <v>1</v>
      </c>
    </row>
    <row r="770" spans="1:109" ht="18" customHeight="1" x14ac:dyDescent="0.3">
      <c r="A770" s="81">
        <v>0.41666666666668001</v>
      </c>
      <c r="B770" s="153"/>
      <c r="C770" s="130"/>
      <c r="D770" s="135"/>
      <c r="E770" s="130"/>
      <c r="F770" s="135"/>
      <c r="G770" s="130"/>
      <c r="H770" s="135"/>
      <c r="I770" s="130"/>
      <c r="J770" s="135"/>
      <c r="K770" s="130"/>
      <c r="L770" s="135"/>
      <c r="M770" s="130"/>
      <c r="N770" s="135"/>
      <c r="O770" s="154"/>
      <c r="P770" s="6">
        <v>0</v>
      </c>
      <c r="Q770" s="114" t="str">
        <f t="shared" si="443"/>
        <v>Estudo em Grupo</v>
      </c>
      <c r="R770" s="105" t="str">
        <f t="shared" si="439"/>
        <v>IEI</v>
      </c>
      <c r="S770" s="88" t="str">
        <f t="shared" si="436"/>
        <v>-</v>
      </c>
      <c r="T770" s="89" t="str">
        <f>IF(VLOOKUP(Q770,'INFO BASE'!$B$40:$I$54,IF(R770='INFO BASE'!$B$32,3,IF(R770='INFO BASE'!$B$33,4,IF(R770='INFO BASE'!$B$34,5,IF(R770='INFO BASE'!$B$35,6,IF(R770='INFO BASE'!$B$36,7,IF(R770='INFO BASE'!$B$37,8,2)))))),0)=0,"",VLOOKUP(Q770,'INFO BASE'!$B$40:$I$54,IF(R770='INFO BASE'!$B$32,3,IF(R770='INFO BASE'!$B$33,4,IF(R770='INFO BASE'!$B$34,5,IF(R770='INFO BASE'!$B$35,6,IF(R770='INFO BASE'!$B$36,7,IF(R770='INFO BASE'!$B$37,8,2)))))),0))</f>
        <v/>
      </c>
      <c r="U770" s="89">
        <f>(COUNTIFS(C750:C797,R770,B750:B797,R768)+COUNTIFS(E750:E797,R770,D750:D797,R768)+COUNTIFS(G750:G797,R770,F750:F797,R768)+COUNTIFS(I750:I797,R770,H750:H797,R768)+COUNTIFS(K750:K797,R770,J750:J797,R768)+COUNTIFS(M750:M797,R770,L750:L797,R768)+COUNTIFS(O750:O797,R770,N750:N797,R768))*0.5</f>
        <v>0</v>
      </c>
      <c r="V770" s="89">
        <f>(COUNTIFS(AI750:AI797,R768,AJ750:AJ797,R763)+COUNTIFS(AK750:AK797,R768,AL750:AL797,R763)+COUNTIFS(AM750:AM797,R768,AN750:AN797,R763)+COUNTIFS(AO750:AO797,R768,AP750:AP797,R763)+COUNTIFS(AQ750:AQ797,R768,AR750:AR797,R763)+COUNTIFS(AS750:AS797,R768,AT750:AT797,R763)+COUNTIFS(AU750:AU797,R768,AV750:AV797,R763))*0.5</f>
        <v>0</v>
      </c>
      <c r="W770" s="90" t="str">
        <f>IF(AH746="","-",IF(V770=0,U770,IFERROR((U770/V770)-1,"-")))</f>
        <v>-</v>
      </c>
      <c r="X770" s="201">
        <f t="shared" si="437"/>
        <v>0</v>
      </c>
      <c r="Y770" s="271"/>
      <c r="Z770" s="272"/>
      <c r="AA770" s="272"/>
      <c r="AB770" s="272"/>
      <c r="AC770" s="272"/>
      <c r="AD770" s="272"/>
      <c r="AE770" s="272"/>
      <c r="AF770" s="273"/>
      <c r="AH770" s="136">
        <v>0.41666666666668001</v>
      </c>
      <c r="AI770" s="136" t="str">
        <f>IF(AH746="","",IF(B770="","",B770))</f>
        <v/>
      </c>
      <c r="AJ770" s="136" t="str">
        <f>IF(AH746="","",IF(C770="","",C770))</f>
        <v/>
      </c>
      <c r="AK770" s="136" t="str">
        <f>IF(AH746="","",IF(D770="","",D770))</f>
        <v/>
      </c>
      <c r="AL770" s="136" t="str">
        <f>IF(AH746="","",IF(E770="","",E770))</f>
        <v/>
      </c>
      <c r="AM770" s="136" t="str">
        <f>IF(AH746="","",IF(F770="","",F770))</f>
        <v/>
      </c>
      <c r="AN770" s="136" t="str">
        <f>IF(AH746="","",IF(G770="","",G770))</f>
        <v/>
      </c>
      <c r="AO770" s="136" t="str">
        <f>IF(AH746="","",IF(H770="","",H770))</f>
        <v/>
      </c>
      <c r="AP770" s="136" t="str">
        <f>IF(AH746="","",IF(I770="","",I770))</f>
        <v/>
      </c>
      <c r="AQ770" s="136" t="str">
        <f>IF(AH746="","",IF(J770="","",J770))</f>
        <v/>
      </c>
      <c r="AR770" s="136" t="str">
        <f>IF(AH746="","",IF(K770="","",K770))</f>
        <v/>
      </c>
      <c r="AS770" s="136" t="str">
        <f>IF(AH746="","",IF(L770="","",L770))</f>
        <v/>
      </c>
      <c r="AT770" s="136" t="str">
        <f>IF(AH746="","",IF(M770="","",M770))</f>
        <v/>
      </c>
      <c r="AU770" s="136" t="str">
        <f>IF(AH746="","",IF(N770="","",N770))</f>
        <v/>
      </c>
      <c r="AV770" s="136" t="str">
        <f>IF(AH746="","",IF(O770="","",O770))</f>
        <v/>
      </c>
      <c r="AX770" s="136" t="str">
        <f>IF(AI746="","",IF(B770="","",B770))</f>
        <v/>
      </c>
      <c r="AY770" s="136" t="str">
        <f>IF(AI746="","",IF(C770="","",C770))</f>
        <v/>
      </c>
      <c r="AZ770" s="136" t="str">
        <f>IF(AI746="","",IF(D770="","",D770))</f>
        <v/>
      </c>
      <c r="BA770" s="136" t="str">
        <f>IF(AI746="","",IF(E770="","",E770))</f>
        <v/>
      </c>
      <c r="BB770" s="136" t="str">
        <f>IF(AI746="","",IF(F770="","",F770))</f>
        <v/>
      </c>
      <c r="BC770" s="136" t="str">
        <f>IF(AI746="","",IF(G770="","",G770))</f>
        <v/>
      </c>
      <c r="BD770" s="136" t="str">
        <f>IF(AI746="","",IF(H770="","",H770))</f>
        <v/>
      </c>
      <c r="BE770" s="136" t="str">
        <f>IF(AI746="","",IF(I770="","",I770))</f>
        <v/>
      </c>
      <c r="BF770" s="136" t="str">
        <f>IF(AI746="","",IF(J770="","",J770))</f>
        <v/>
      </c>
      <c r="BG770" s="136" t="str">
        <f>IF(AI746="","",IF(K770="","",K770))</f>
        <v/>
      </c>
      <c r="BH770" s="136" t="str">
        <f>IF(AI746="","",IF(L770="","",L770))</f>
        <v/>
      </c>
      <c r="BI770" s="136" t="str">
        <f>IF(AI746="","",IF(M770="","",M770))</f>
        <v/>
      </c>
      <c r="BJ770" s="136" t="str">
        <f>IF(AI746="","",IF(N770="","",N770))</f>
        <v/>
      </c>
      <c r="BK770" s="136" t="str">
        <f>IF(AI746="","",IF(O770="","",O770))</f>
        <v/>
      </c>
      <c r="BM770" s="136" t="str">
        <f t="shared" si="442"/>
        <v>EG</v>
      </c>
      <c r="BN770" s="136" t="str">
        <f t="shared" si="432"/>
        <v>Estudo em Grupo</v>
      </c>
      <c r="BO770" s="136" t="str">
        <f t="shared" si="432"/>
        <v>CDI</v>
      </c>
      <c r="BP770" s="136">
        <f>(COUNTIFS(AX750:AX797,BM770,AY750:AY797,BO770)+COUNTIFS(AZ750:AZ797,BM770,BA750:BA797,BO770)+COUNTIFS(BB750:BB797,BM770,BC750:BC797,BO770)+COUNTIFS(BD750:BD797,BM770,BE750:BE797,BO770)+COUNTIFS(BF750:BF797,BM770,BG750:BG797,BO770)+COUNTIFS(BH750:BH797,BM770,BI750:BI797,BO770)+COUNTIFS(BJ750:BJ797,BM770,BK750:BK797,BO770))*0.5</f>
        <v>0</v>
      </c>
      <c r="BQ770" s="136" t="str">
        <f t="shared" si="433"/>
        <v>Estudo em Grupo</v>
      </c>
      <c r="BR770" s="136" t="str">
        <f t="shared" si="433"/>
        <v>CDI</v>
      </c>
      <c r="BS770" s="136" t="str">
        <f t="shared" si="434"/>
        <v>Estudo em Grupo</v>
      </c>
      <c r="BT770" s="136">
        <f t="shared" si="440"/>
        <v>10.5</v>
      </c>
      <c r="BU770" s="136">
        <f t="shared" si="441"/>
        <v>8.5</v>
      </c>
      <c r="CA770" s="136">
        <f>'INFO BASE'!L850</f>
        <v>0</v>
      </c>
      <c r="CB770" s="136">
        <f>'INFO BASE'!M850</f>
        <v>0</v>
      </c>
      <c r="CR770" s="177">
        <f t="shared" si="422"/>
        <v>1</v>
      </c>
      <c r="CS770" s="177">
        <f t="shared" si="423"/>
        <v>1</v>
      </c>
      <c r="CT770" s="177">
        <f t="shared" si="422"/>
        <v>1</v>
      </c>
      <c r="CU770" s="177">
        <f t="shared" si="424"/>
        <v>1</v>
      </c>
      <c r="CV770" s="177">
        <f t="shared" si="422"/>
        <v>1</v>
      </c>
      <c r="CW770" s="177">
        <f t="shared" si="425"/>
        <v>1</v>
      </c>
      <c r="CX770" s="177">
        <f t="shared" si="422"/>
        <v>1</v>
      </c>
      <c r="CY770" s="177">
        <f t="shared" si="426"/>
        <v>1</v>
      </c>
      <c r="CZ770" s="177">
        <f t="shared" si="422"/>
        <v>1</v>
      </c>
      <c r="DA770" s="177">
        <f t="shared" si="427"/>
        <v>1</v>
      </c>
      <c r="DB770" s="177">
        <f t="shared" si="422"/>
        <v>1</v>
      </c>
      <c r="DC770" s="177">
        <f t="shared" si="428"/>
        <v>1</v>
      </c>
      <c r="DD770" s="177">
        <f t="shared" si="429"/>
        <v>1</v>
      </c>
      <c r="DE770" s="177">
        <f t="shared" si="430"/>
        <v>1</v>
      </c>
    </row>
    <row r="771" spans="1:109" ht="18" customHeight="1" x14ac:dyDescent="0.3">
      <c r="A771" s="81">
        <v>0.43750000000001399</v>
      </c>
      <c r="B771" s="153"/>
      <c r="C771" s="130"/>
      <c r="D771" s="135"/>
      <c r="E771" s="130"/>
      <c r="F771" s="135"/>
      <c r="G771" s="130"/>
      <c r="H771" s="135"/>
      <c r="I771" s="130"/>
      <c r="J771" s="135"/>
      <c r="K771" s="130"/>
      <c r="L771" s="135"/>
      <c r="M771" s="130"/>
      <c r="N771" s="135"/>
      <c r="O771" s="154"/>
      <c r="P771" s="6">
        <v>0</v>
      </c>
      <c r="Q771" s="115" t="str">
        <f t="shared" si="443"/>
        <v>Estudo em Grupo</v>
      </c>
      <c r="R771" s="105" t="str">
        <f t="shared" si="439"/>
        <v>IAC</v>
      </c>
      <c r="S771" s="88">
        <f t="shared" si="436"/>
        <v>-1</v>
      </c>
      <c r="T771" s="89">
        <f>IF(VLOOKUP(Q771,'INFO BASE'!$B$40:$I$54,IF(R771='INFO BASE'!$B$32,3,IF(R771='INFO BASE'!$B$33,4,IF(R771='INFO BASE'!$B$34,5,IF(R771='INFO BASE'!$B$35,6,IF(R771='INFO BASE'!$B$36,7,IF(R771='INFO BASE'!$B$37,8,2)))))),0)=0,"",VLOOKUP(Q771,'INFO BASE'!$B$40:$I$54,IF(R771='INFO BASE'!$B$32,3,IF(R771='INFO BASE'!$B$33,4,IF(R771='INFO BASE'!$B$34,5,IF(R771='INFO BASE'!$B$35,6,IF(R771='INFO BASE'!$B$36,7,IF(R771='INFO BASE'!$B$37,8,2)))))),0))</f>
        <v>2</v>
      </c>
      <c r="U771" s="89">
        <f>(COUNTIFS(C750:C797,R771,B750:B797,R768)+COUNTIFS(E750:E797,R771,D750:D797,R768)+COUNTIFS(G750:G797,R771,F750:F797,R768)+COUNTIFS(I750:I797,R771,H750:H797,R768)+COUNTIFS(K750:K797,R771,J750:J797,R768)+COUNTIFS(M750:M797,R771,L750:L797,R768)+COUNTIFS(O750:O797,R771,N750:N797,R768))*0.5</f>
        <v>0</v>
      </c>
      <c r="V771" s="89">
        <f>(COUNTIFS(AI750:AI797,R768,AJ750:AJ797,R764)+COUNTIFS(AK750:AK797,R768,AL750:AL797,R764)+COUNTIFS(AM750:AM797,R768,AN750:AN797,R764)+COUNTIFS(AO750:AO797,R768,AP750:AP797,R764)+COUNTIFS(AQ750:AQ797,R768,AR750:AR797,R764)+COUNTIFS(AS750:AS797,R768,AT750:AT797,R764)+COUNTIFS(AU750:AU797,R768,AV750:AV797,R764))*0.5</f>
        <v>0</v>
      </c>
      <c r="W771" s="90" t="str">
        <f>IF(AH746="","-",IF(V771=0,U771,IFERROR((U771/V771)-1,"-")))</f>
        <v>-</v>
      </c>
      <c r="X771" s="201">
        <f t="shared" si="437"/>
        <v>0</v>
      </c>
      <c r="Y771" s="271"/>
      <c r="Z771" s="272"/>
      <c r="AA771" s="272"/>
      <c r="AB771" s="272"/>
      <c r="AC771" s="272"/>
      <c r="AD771" s="272"/>
      <c r="AE771" s="272"/>
      <c r="AF771" s="273"/>
      <c r="AH771" s="136">
        <v>0.43750000000001399</v>
      </c>
      <c r="AI771" s="136" t="str">
        <f>IF(AH746="","",IF(B771="","",B771))</f>
        <v/>
      </c>
      <c r="AJ771" s="136" t="str">
        <f>IF(AH746="","",IF(C771="","",C771))</f>
        <v/>
      </c>
      <c r="AK771" s="136" t="str">
        <f>IF(AH746="","",IF(D771="","",D771))</f>
        <v/>
      </c>
      <c r="AL771" s="136" t="str">
        <f>IF(AH746="","",IF(E771="","",E771))</f>
        <v/>
      </c>
      <c r="AM771" s="136" t="str">
        <f>IF(AH746="","",IF(F771="","",F771))</f>
        <v/>
      </c>
      <c r="AN771" s="136" t="str">
        <f>IF(AH746="","",IF(G771="","",G771))</f>
        <v/>
      </c>
      <c r="AO771" s="136" t="str">
        <f>IF(AH746="","",IF(H771="","",H771))</f>
        <v/>
      </c>
      <c r="AP771" s="136" t="str">
        <f>IF(AH746="","",IF(I771="","",I771))</f>
        <v/>
      </c>
      <c r="AQ771" s="136" t="str">
        <f>IF(AH746="","",IF(J771="","",J771))</f>
        <v/>
      </c>
      <c r="AR771" s="136" t="str">
        <f>IF(AH746="","",IF(K771="","",K771))</f>
        <v/>
      </c>
      <c r="AS771" s="136" t="str">
        <f>IF(AH746="","",IF(L771="","",L771))</f>
        <v/>
      </c>
      <c r="AT771" s="136" t="str">
        <f>IF(AH746="","",IF(M771="","",M771))</f>
        <v/>
      </c>
      <c r="AU771" s="136" t="str">
        <f>IF(AH746="","",IF(N771="","",N771))</f>
        <v/>
      </c>
      <c r="AV771" s="136" t="str">
        <f>IF(AH746="","",IF(O771="","",O771))</f>
        <v/>
      </c>
      <c r="AX771" s="136" t="str">
        <f>IF(AI746="","",IF(B771="","",B771))</f>
        <v/>
      </c>
      <c r="AY771" s="136" t="str">
        <f>IF(AI746="","",IF(C771="","",C771))</f>
        <v/>
      </c>
      <c r="AZ771" s="136" t="str">
        <f>IF(AI746="","",IF(D771="","",D771))</f>
        <v/>
      </c>
      <c r="BA771" s="136" t="str">
        <f>IF(AI746="","",IF(E771="","",E771))</f>
        <v/>
      </c>
      <c r="BB771" s="136" t="str">
        <f>IF(AI746="","",IF(F771="","",F771))</f>
        <v/>
      </c>
      <c r="BC771" s="136" t="str">
        <f>IF(AI746="","",IF(G771="","",G771))</f>
        <v/>
      </c>
      <c r="BD771" s="136" t="str">
        <f>IF(AI746="","",IF(H771="","",H771))</f>
        <v/>
      </c>
      <c r="BE771" s="136" t="str">
        <f>IF(AI746="","",IF(I771="","",I771))</f>
        <v/>
      </c>
      <c r="BF771" s="136" t="str">
        <f>IF(AI746="","",IF(J771="","",J771))</f>
        <v/>
      </c>
      <c r="BG771" s="136" t="str">
        <f>IF(AI746="","",IF(K771="","",K771))</f>
        <v/>
      </c>
      <c r="BH771" s="136" t="str">
        <f>IF(AI746="","",IF(L771="","",L771))</f>
        <v/>
      </c>
      <c r="BI771" s="136" t="str">
        <f>IF(AI746="","",IF(M771="","",M771))</f>
        <v/>
      </c>
      <c r="BJ771" s="136" t="str">
        <f>IF(AI746="","",IF(N771="","",N771))</f>
        <v/>
      </c>
      <c r="BK771" s="136" t="str">
        <f>IF(AI746="","",IF(O771="","",O771))</f>
        <v/>
      </c>
      <c r="BM771" s="136" t="str">
        <f t="shared" si="442"/>
        <v>EG</v>
      </c>
      <c r="BN771" s="136" t="str">
        <f t="shared" si="432"/>
        <v>Estudo em Grupo</v>
      </c>
      <c r="BO771" s="136" t="str">
        <f t="shared" si="432"/>
        <v/>
      </c>
      <c r="BP771" s="136">
        <f>(COUNTIFS(AX750:AX797,BM771,AY750:AY797,BO771)+COUNTIFS(AZ750:AZ797,BM771,BA750:BA797,BO771)+COUNTIFS(BB750:BB797,BM771,BC750:BC797,BO771)+COUNTIFS(BD750:BD797,BM771,BE750:BE797,BO771)+COUNTIFS(BF750:BF797,BM771,BG750:BG797,BO771)+COUNTIFS(BH750:BH797,BM771,BI750:BI797,BO771)+COUNTIFS(BJ750:BJ797,BM771,BK750:BK797,BO771))*0.5</f>
        <v>0</v>
      </c>
      <c r="BQ771" s="136" t="str">
        <f t="shared" si="433"/>
        <v>Estudo em Grupo</v>
      </c>
      <c r="BR771" s="136" t="str">
        <f t="shared" si="433"/>
        <v/>
      </c>
      <c r="BS771" s="136" t="str">
        <f t="shared" si="434"/>
        <v>Estudo em Grupo</v>
      </c>
      <c r="BT771" s="136">
        <f t="shared" si="440"/>
        <v>0</v>
      </c>
      <c r="BU771" s="136">
        <f t="shared" si="441"/>
        <v>0</v>
      </c>
      <c r="CA771" s="136">
        <f>'INFO BASE'!L851</f>
        <v>0</v>
      </c>
      <c r="CB771" s="136">
        <f>'INFO BASE'!M851</f>
        <v>0</v>
      </c>
      <c r="CR771" s="177">
        <f t="shared" si="422"/>
        <v>1</v>
      </c>
      <c r="CS771" s="177">
        <f t="shared" si="423"/>
        <v>1</v>
      </c>
      <c r="CT771" s="177">
        <f t="shared" si="422"/>
        <v>1</v>
      </c>
      <c r="CU771" s="177">
        <f t="shared" si="424"/>
        <v>1</v>
      </c>
      <c r="CV771" s="177">
        <f t="shared" si="422"/>
        <v>1</v>
      </c>
      <c r="CW771" s="177">
        <f t="shared" si="425"/>
        <v>1</v>
      </c>
      <c r="CX771" s="177">
        <f t="shared" si="422"/>
        <v>1</v>
      </c>
      <c r="CY771" s="177">
        <f t="shared" si="426"/>
        <v>1</v>
      </c>
      <c r="CZ771" s="177">
        <f t="shared" si="422"/>
        <v>1</v>
      </c>
      <c r="DA771" s="177">
        <f t="shared" si="427"/>
        <v>1</v>
      </c>
      <c r="DB771" s="177">
        <f t="shared" si="422"/>
        <v>1</v>
      </c>
      <c r="DC771" s="177">
        <f t="shared" si="428"/>
        <v>1</v>
      </c>
      <c r="DD771" s="177">
        <f t="shared" si="429"/>
        <v>1</v>
      </c>
      <c r="DE771" s="177">
        <f t="shared" si="430"/>
        <v>1</v>
      </c>
    </row>
    <row r="772" spans="1:109" ht="18" customHeight="1" x14ac:dyDescent="0.3">
      <c r="A772" s="81">
        <v>0.45833333333334803</v>
      </c>
      <c r="B772" s="153"/>
      <c r="C772" s="130"/>
      <c r="D772" s="135"/>
      <c r="E772" s="130"/>
      <c r="F772" s="135"/>
      <c r="G772" s="130"/>
      <c r="H772" s="135"/>
      <c r="I772" s="130"/>
      <c r="J772" s="135"/>
      <c r="K772" s="130"/>
      <c r="L772" s="135"/>
      <c r="M772" s="130"/>
      <c r="N772" s="135"/>
      <c r="O772" s="154"/>
      <c r="P772" s="6">
        <v>0</v>
      </c>
      <c r="Q772" s="114" t="str">
        <f t="shared" si="443"/>
        <v>Estudo em Grupo</v>
      </c>
      <c r="R772" s="105" t="str">
        <f t="shared" si="439"/>
        <v>AL</v>
      </c>
      <c r="S772" s="88">
        <f t="shared" si="436"/>
        <v>-1</v>
      </c>
      <c r="T772" s="89">
        <f>IF(VLOOKUP(Q772,'INFO BASE'!$B$40:$I$54,IF(R772='INFO BASE'!$B$32,3,IF(R772='INFO BASE'!$B$33,4,IF(R772='INFO BASE'!$B$34,5,IF(R772='INFO BASE'!$B$35,6,IF(R772='INFO BASE'!$B$36,7,IF(R772='INFO BASE'!$B$37,8,2)))))),0)=0,"",VLOOKUP(Q772,'INFO BASE'!$B$40:$I$54,IF(R772='INFO BASE'!$B$32,3,IF(R772='INFO BASE'!$B$33,4,IF(R772='INFO BASE'!$B$34,5,IF(R772='INFO BASE'!$B$35,6,IF(R772='INFO BASE'!$B$36,7,IF(R772='INFO BASE'!$B$37,8,2)))))),0))</f>
        <v>2</v>
      </c>
      <c r="U772" s="89">
        <f>(COUNTIFS(C750:C797,R772,B750:B797,R768)+COUNTIFS(E750:E797,R772,D750:D797,R768)+COUNTIFS(G750:G797,R772,F750:F797,R768)+COUNTIFS(I750:I797,R772,H750:H797,R768)+COUNTIFS(K750:K797,R772,J750:J797,R768)+COUNTIFS(M750:M797,R772,L750:L797,R768)+COUNTIFS(O750:O797,R772,N750:N797,R768))*0.5</f>
        <v>0</v>
      </c>
      <c r="V772" s="89">
        <f>(COUNTIFS(AI750:AI797,R768,AJ750:AJ797,R765)+COUNTIFS(AK750:AK797,R768,AL750:AL797,R765)+COUNTIFS(AM750:AM797,R768,AN750:AN797,R765)+COUNTIFS(AO750:AO797,R768,AP750:AP797,R765)+COUNTIFS(AQ750:AQ797,R768,AR750:AR797,R765)+COUNTIFS(AS750:AS797,R768,AT750:AT797,R765)+COUNTIFS(AU750:AU797,R768,AV750:AV797,R765))*0.5</f>
        <v>0</v>
      </c>
      <c r="W772" s="90" t="str">
        <f>IF(AH746="","-",IF(V772=0,U772,IFERROR((U772/V772)-1,"-")))</f>
        <v>-</v>
      </c>
      <c r="X772" s="201">
        <f t="shared" si="437"/>
        <v>0</v>
      </c>
      <c r="Y772" s="271"/>
      <c r="Z772" s="272"/>
      <c r="AA772" s="272"/>
      <c r="AB772" s="272"/>
      <c r="AC772" s="272"/>
      <c r="AD772" s="272"/>
      <c r="AE772" s="272"/>
      <c r="AF772" s="273"/>
      <c r="AH772" s="136">
        <v>0.45833333333334803</v>
      </c>
      <c r="AI772" s="136" t="str">
        <f>IF(AH746="","",IF(B772="","",B772))</f>
        <v/>
      </c>
      <c r="AJ772" s="136" t="str">
        <f>IF(AH746="","",IF(C772="","",C772))</f>
        <v/>
      </c>
      <c r="AK772" s="136" t="str">
        <f>IF(AH746="","",IF(D772="","",D772))</f>
        <v/>
      </c>
      <c r="AL772" s="136" t="str">
        <f>IF(AH746="","",IF(E772="","",E772))</f>
        <v/>
      </c>
      <c r="AM772" s="136" t="str">
        <f>IF(AH746="","",IF(F772="","",F772))</f>
        <v/>
      </c>
      <c r="AN772" s="136" t="str">
        <f>IF(AH746="","",IF(G772="","",G772))</f>
        <v/>
      </c>
      <c r="AO772" s="136" t="str">
        <f>IF(AH746="","",IF(H772="","",H772))</f>
        <v/>
      </c>
      <c r="AP772" s="136" t="str">
        <f>IF(AH746="","",IF(I772="","",I772))</f>
        <v/>
      </c>
      <c r="AQ772" s="136" t="str">
        <f>IF(AH746="","",IF(J772="","",J772))</f>
        <v/>
      </c>
      <c r="AR772" s="136" t="str">
        <f>IF(AH746="","",IF(K772="","",K772))</f>
        <v/>
      </c>
      <c r="AS772" s="136" t="str">
        <f>IF(AH746="","",IF(L772="","",L772))</f>
        <v/>
      </c>
      <c r="AT772" s="136" t="str">
        <f>IF(AH746="","",IF(M772="","",M772))</f>
        <v/>
      </c>
      <c r="AU772" s="136" t="str">
        <f>IF(AH746="","",IF(N772="","",N772))</f>
        <v/>
      </c>
      <c r="AV772" s="136" t="str">
        <f>IF(AH746="","",IF(O772="","",O772))</f>
        <v/>
      </c>
      <c r="AX772" s="136" t="str">
        <f>IF(AI746="","",IF(B772="","",B772))</f>
        <v/>
      </c>
      <c r="AY772" s="136" t="str">
        <f>IF(AI746="","",IF(C772="","",C772))</f>
        <v/>
      </c>
      <c r="AZ772" s="136" t="str">
        <f>IF(AI746="","",IF(D772="","",D772))</f>
        <v/>
      </c>
      <c r="BA772" s="136" t="str">
        <f>IF(AI746="","",IF(E772="","",E772))</f>
        <v/>
      </c>
      <c r="BB772" s="136" t="str">
        <f>IF(AI746="","",IF(F772="","",F772))</f>
        <v/>
      </c>
      <c r="BC772" s="136" t="str">
        <f>IF(AI746="","",IF(G772="","",G772))</f>
        <v/>
      </c>
      <c r="BD772" s="136" t="str">
        <f>IF(AI746="","",IF(H772="","",H772))</f>
        <v/>
      </c>
      <c r="BE772" s="136" t="str">
        <f>IF(AI746="","",IF(I772="","",I772))</f>
        <v/>
      </c>
      <c r="BF772" s="136" t="str">
        <f>IF(AI746="","",IF(J772="","",J772))</f>
        <v/>
      </c>
      <c r="BG772" s="136" t="str">
        <f>IF(AI746="","",IF(K772="","",K772))</f>
        <v/>
      </c>
      <c r="BH772" s="136" t="str">
        <f>IF(AI746="","",IF(L772="","",L772))</f>
        <v/>
      </c>
      <c r="BI772" s="136" t="str">
        <f>IF(AI746="","",IF(M772="","",M772))</f>
        <v/>
      </c>
      <c r="BJ772" s="136" t="str">
        <f>IF(AI746="","",IF(N772="","",N772))</f>
        <v/>
      </c>
      <c r="BK772" s="136" t="str">
        <f>IF(AI746="","",IF(O772="","",O772))</f>
        <v/>
      </c>
      <c r="BM772" s="136" t="str">
        <f>BO772</f>
        <v>TG</v>
      </c>
      <c r="BN772" s="136" t="str">
        <f t="shared" si="432"/>
        <v>Trabalho de Grupo</v>
      </c>
      <c r="BO772" s="136" t="str">
        <f t="shared" si="432"/>
        <v>TG</v>
      </c>
      <c r="BP772" s="136">
        <f>COUNTIFS(AX750:BK797,BO772)*0.5</f>
        <v>0</v>
      </c>
      <c r="BQ772" s="136" t="str">
        <f t="shared" si="433"/>
        <v>Trabalho de Grupo</v>
      </c>
      <c r="BR772" s="136" t="str">
        <f t="shared" si="433"/>
        <v>TG</v>
      </c>
      <c r="BS772" s="136" t="str">
        <f t="shared" si="434"/>
        <v>Trabalho de Grupo</v>
      </c>
      <c r="BT772" s="136">
        <f t="shared" si="440"/>
        <v>0</v>
      </c>
      <c r="BU772" s="136">
        <f t="shared" si="441"/>
        <v>0</v>
      </c>
      <c r="CA772" s="136">
        <f>'INFO BASE'!L852</f>
        <v>0</v>
      </c>
      <c r="CB772" s="136">
        <f>'INFO BASE'!M852</f>
        <v>0</v>
      </c>
      <c r="CR772" s="177">
        <f t="shared" si="422"/>
        <v>1</v>
      </c>
      <c r="CS772" s="177">
        <f t="shared" si="423"/>
        <v>1</v>
      </c>
      <c r="CT772" s="177">
        <f t="shared" si="422"/>
        <v>1</v>
      </c>
      <c r="CU772" s="177">
        <f t="shared" si="424"/>
        <v>1</v>
      </c>
      <c r="CV772" s="177">
        <f t="shared" si="422"/>
        <v>1</v>
      </c>
      <c r="CW772" s="177">
        <f t="shared" si="425"/>
        <v>1</v>
      </c>
      <c r="CX772" s="177">
        <f t="shared" si="422"/>
        <v>1</v>
      </c>
      <c r="CY772" s="177">
        <f t="shared" si="426"/>
        <v>1</v>
      </c>
      <c r="CZ772" s="177">
        <f t="shared" si="422"/>
        <v>1</v>
      </c>
      <c r="DA772" s="177">
        <f t="shared" si="427"/>
        <v>1</v>
      </c>
      <c r="DB772" s="177">
        <f t="shared" si="422"/>
        <v>1</v>
      </c>
      <c r="DC772" s="177">
        <f t="shared" si="428"/>
        <v>1</v>
      </c>
      <c r="DD772" s="177">
        <f t="shared" si="429"/>
        <v>1</v>
      </c>
      <c r="DE772" s="177">
        <f t="shared" si="430"/>
        <v>1</v>
      </c>
    </row>
    <row r="773" spans="1:109" ht="18" customHeight="1" x14ac:dyDescent="0.3">
      <c r="A773" s="81">
        <v>0.47916666666668201</v>
      </c>
      <c r="B773" s="153"/>
      <c r="C773" s="130"/>
      <c r="D773" s="135"/>
      <c r="E773" s="130"/>
      <c r="F773" s="135"/>
      <c r="G773" s="130"/>
      <c r="H773" s="135"/>
      <c r="I773" s="130"/>
      <c r="J773" s="135"/>
      <c r="K773" s="130"/>
      <c r="L773" s="135"/>
      <c r="M773" s="130"/>
      <c r="N773" s="135"/>
      <c r="O773" s="154"/>
      <c r="P773" s="6">
        <v>0</v>
      </c>
      <c r="Q773" s="114" t="str">
        <f t="shared" si="443"/>
        <v>Estudo em Grupo</v>
      </c>
      <c r="R773" s="105" t="str">
        <f t="shared" si="439"/>
        <v>CDI</v>
      </c>
      <c r="S773" s="88">
        <f t="shared" si="436"/>
        <v>-1</v>
      </c>
      <c r="T773" s="89">
        <f>IF(VLOOKUP(Q773,'INFO BASE'!$B$40:$I$54,IF(R773='INFO BASE'!$B$32,3,IF(R773='INFO BASE'!$B$33,4,IF(R773='INFO BASE'!$B$34,5,IF(R773='INFO BASE'!$B$35,6,IF(R773='INFO BASE'!$B$36,7,IF(R773='INFO BASE'!$B$37,8,2)))))),0)=0,"",VLOOKUP(Q773,'INFO BASE'!$B$40:$I$54,IF(R773='INFO BASE'!$B$32,3,IF(R773='INFO BASE'!$B$33,4,IF(R773='INFO BASE'!$B$34,5,IF(R773='INFO BASE'!$B$35,6,IF(R773='INFO BASE'!$B$36,7,IF(R773='INFO BASE'!$B$37,8,2)))))),0))</f>
        <v>2</v>
      </c>
      <c r="U773" s="89">
        <f>(COUNTIFS(C750:C797,R773,B750:B797,R768)+COUNTIFS(E750:E797,R773,D750:D797,R768)+COUNTIFS(G750:G797,R773,F750:F797,R768)+COUNTIFS(I750:I797,R773,H750:H797,R768)+COUNTIFS(K750:K797,R773,J750:J797,R768)+COUNTIFS(M750:M797,R773,L750:L797,R768)+COUNTIFS(O750:O797,R773,N750:N797,R768))*0.5</f>
        <v>0</v>
      </c>
      <c r="V773" s="89">
        <f>(COUNTIFS(AI750:AI797,R768,AJ750:AJ797,R766)+COUNTIFS(AK750:AK797,R768,AL750:AL797,R766)+COUNTIFS(AM750:AM797,R768,AN750:AN797,R766)+COUNTIFS(AO750:AO797,R768,AP750:AP797,R766)+COUNTIFS(AQ750:AQ797,R768,AR750:AR797,R766)+COUNTIFS(AS750:AS797,R768,AT750:AT797,R766)+COUNTIFS(AU750:AU797,R768,AV750:AV797,R766))*0.5</f>
        <v>0</v>
      </c>
      <c r="W773" s="90" t="str">
        <f>IF(AH746="","-",IF(V773=0,U773,IFERROR((U773/V773)-1,"-")))</f>
        <v>-</v>
      </c>
      <c r="X773" s="201">
        <f t="shared" si="437"/>
        <v>0</v>
      </c>
      <c r="Y773" s="271"/>
      <c r="Z773" s="272"/>
      <c r="AA773" s="272"/>
      <c r="AB773" s="272"/>
      <c r="AC773" s="272"/>
      <c r="AD773" s="272"/>
      <c r="AE773" s="272"/>
      <c r="AF773" s="273"/>
      <c r="AH773" s="136">
        <v>0.47916666666668201</v>
      </c>
      <c r="AI773" s="136" t="str">
        <f>IF(AH746="","",IF(B773="","",B773))</f>
        <v/>
      </c>
      <c r="AJ773" s="136" t="str">
        <f>IF(AH746="","",IF(C773="","",C773))</f>
        <v/>
      </c>
      <c r="AK773" s="136" t="str">
        <f>IF(AH746="","",IF(D773="","",D773))</f>
        <v/>
      </c>
      <c r="AL773" s="136" t="str">
        <f>IF(AH746="","",IF(E773="","",E773))</f>
        <v/>
      </c>
      <c r="AM773" s="136" t="str">
        <f>IF(AH746="","",IF(F773="","",F773))</f>
        <v/>
      </c>
      <c r="AN773" s="136" t="str">
        <f>IF(AH746="","",IF(G773="","",G773))</f>
        <v/>
      </c>
      <c r="AO773" s="136" t="str">
        <f>IF(AH746="","",IF(H773="","",H773))</f>
        <v/>
      </c>
      <c r="AP773" s="136" t="str">
        <f>IF(AH746="","",IF(I773="","",I773))</f>
        <v/>
      </c>
      <c r="AQ773" s="136" t="str">
        <f>IF(AH746="","",IF(J773="","",J773))</f>
        <v/>
      </c>
      <c r="AR773" s="136" t="str">
        <f>IF(AH746="","",IF(K773="","",K773))</f>
        <v/>
      </c>
      <c r="AS773" s="136" t="str">
        <f>IF(AH746="","",IF(L773="","",L773))</f>
        <v/>
      </c>
      <c r="AT773" s="136" t="str">
        <f>IF(AH746="","",IF(M773="","",M773))</f>
        <v/>
      </c>
      <c r="AU773" s="136" t="str">
        <f>IF(AH746="","",IF(N773="","",N773))</f>
        <v/>
      </c>
      <c r="AV773" s="136" t="str">
        <f>IF(AH746="","",IF(O773="","",O773))</f>
        <v/>
      </c>
      <c r="AX773" s="136" t="str">
        <f>IF(AI746="","",IF(B773="","",B773))</f>
        <v/>
      </c>
      <c r="AY773" s="136" t="str">
        <f>IF(AI746="","",IF(C773="","",C773))</f>
        <v/>
      </c>
      <c r="AZ773" s="136" t="str">
        <f>IF(AI746="","",IF(D773="","",D773))</f>
        <v/>
      </c>
      <c r="BA773" s="136" t="str">
        <f>IF(AI746="","",IF(E773="","",E773))</f>
        <v/>
      </c>
      <c r="BB773" s="136" t="str">
        <f>IF(AI746="","",IF(F773="","",F773))</f>
        <v/>
      </c>
      <c r="BC773" s="136" t="str">
        <f>IF(AI746="","",IF(G773="","",G773))</f>
        <v/>
      </c>
      <c r="BD773" s="136" t="str">
        <f>IF(AI746="","",IF(H773="","",H773))</f>
        <v/>
      </c>
      <c r="BE773" s="136" t="str">
        <f>IF(AI746="","",IF(I773="","",I773))</f>
        <v/>
      </c>
      <c r="BF773" s="136" t="str">
        <f>IF(AI746="","",IF(J773="","",J773))</f>
        <v/>
      </c>
      <c r="BG773" s="136" t="str">
        <f>IF(AI746="","",IF(K773="","",K773))</f>
        <v/>
      </c>
      <c r="BH773" s="136" t="str">
        <f>IF(AI746="","",IF(L773="","",L773))</f>
        <v/>
      </c>
      <c r="BI773" s="136" t="str">
        <f>IF(AI746="","",IF(M773="","",M773))</f>
        <v/>
      </c>
      <c r="BJ773" s="136" t="str">
        <f>IF(AI746="","",IF(N773="","",N773))</f>
        <v/>
      </c>
      <c r="BK773" s="136" t="str">
        <f>IF(AI746="","",IF(O773="","",O773))</f>
        <v/>
      </c>
      <c r="BM773" s="136" t="str">
        <f>BM772</f>
        <v>TG</v>
      </c>
      <c r="BN773" s="136" t="str">
        <f t="shared" si="432"/>
        <v>Trabalho de Grupo</v>
      </c>
      <c r="BO773" s="136" t="str">
        <f t="shared" si="432"/>
        <v>FP</v>
      </c>
      <c r="BP773" s="136">
        <f>(COUNTIFS(AX750:AX797,BM773,AY750:AY797,BO773)+COUNTIFS(AZ750:AZ797,BM773,BA750:BA797,BO773)+COUNTIFS(BB750:BB797,BM773,BC750:BC797,BO773)+COUNTIFS(BD750:BD797,BM773,BE750:BE797,BO773)+COUNTIFS(BF750:BF797,BM773,BG750:BG797,BO773)+COUNTIFS(BH750:BH797,BM773,BI750:BI797,BO773)+COUNTIFS(BJ750:BJ797,BM773,BK750:BK797,BO773))*0.5</f>
        <v>0</v>
      </c>
      <c r="BQ773" s="136" t="str">
        <f t="shared" si="433"/>
        <v>Trabalho de Grupo</v>
      </c>
      <c r="BR773" s="136" t="str">
        <f t="shared" si="433"/>
        <v>FP</v>
      </c>
      <c r="BS773" s="136" t="str">
        <f t="shared" si="434"/>
        <v>Trabalho de Grupo</v>
      </c>
      <c r="BT773" s="136">
        <f t="shared" si="440"/>
        <v>0</v>
      </c>
      <c r="BU773" s="136">
        <f t="shared" si="441"/>
        <v>0</v>
      </c>
      <c r="CR773" s="177">
        <f t="shared" si="422"/>
        <v>1</v>
      </c>
      <c r="CS773" s="177">
        <f t="shared" si="423"/>
        <v>1</v>
      </c>
      <c r="CT773" s="177">
        <f t="shared" si="422"/>
        <v>1</v>
      </c>
      <c r="CU773" s="177">
        <f t="shared" si="424"/>
        <v>1</v>
      </c>
      <c r="CV773" s="177">
        <f t="shared" si="422"/>
        <v>1</v>
      </c>
      <c r="CW773" s="177">
        <f t="shared" si="425"/>
        <v>1</v>
      </c>
      <c r="CX773" s="177">
        <f t="shared" si="422"/>
        <v>1</v>
      </c>
      <c r="CY773" s="177">
        <f t="shared" si="426"/>
        <v>1</v>
      </c>
      <c r="CZ773" s="177">
        <f t="shared" si="422"/>
        <v>1</v>
      </c>
      <c r="DA773" s="177">
        <f t="shared" si="427"/>
        <v>1</v>
      </c>
      <c r="DB773" s="177">
        <f t="shared" si="422"/>
        <v>1</v>
      </c>
      <c r="DC773" s="177">
        <f t="shared" si="428"/>
        <v>1</v>
      </c>
      <c r="DD773" s="177">
        <f t="shared" si="429"/>
        <v>1</v>
      </c>
      <c r="DE773" s="177">
        <f t="shared" si="430"/>
        <v>1</v>
      </c>
    </row>
    <row r="774" spans="1:109" ht="18" customHeight="1" thickBot="1" x14ac:dyDescent="0.35">
      <c r="A774" s="81">
        <v>0.50000000000001599</v>
      </c>
      <c r="B774" s="153"/>
      <c r="C774" s="130"/>
      <c r="D774" s="135"/>
      <c r="E774" s="130"/>
      <c r="F774" s="135"/>
      <c r="G774" s="130"/>
      <c r="H774" s="135"/>
      <c r="I774" s="130"/>
      <c r="J774" s="135"/>
      <c r="K774" s="130"/>
      <c r="L774" s="135"/>
      <c r="M774" s="130"/>
      <c r="N774" s="135"/>
      <c r="O774" s="154"/>
      <c r="P774" s="6">
        <v>0</v>
      </c>
      <c r="Q774" s="116" t="str">
        <f t="shared" si="443"/>
        <v>Estudo em Grupo</v>
      </c>
      <c r="R774" s="107" t="str">
        <f t="shared" si="439"/>
        <v/>
      </c>
      <c r="S774" s="94" t="str">
        <f t="shared" si="436"/>
        <v>-</v>
      </c>
      <c r="T774" s="95" t="str">
        <f>IF(VLOOKUP(Q774,'INFO BASE'!$B$40:$I$54,IF(R774='INFO BASE'!$B$32,3,IF(R774='INFO BASE'!$B$33,4,IF(R774='INFO BASE'!$B$34,5,IF(R774='INFO BASE'!$B$35,6,IF(R774='INFO BASE'!$B$36,7,IF(R774='INFO BASE'!$B$37,8,2)))))),0)=0,"",VLOOKUP(Q774,'INFO BASE'!$B$40:$I$54,IF(R774='INFO BASE'!$B$32,3,IF(R774='INFO BASE'!$B$33,4,IF(R774='INFO BASE'!$B$34,5,IF(R774='INFO BASE'!$B$35,6,IF(R774='INFO BASE'!$B$36,7,IF(R774='INFO BASE'!$B$37,8,2)))))),0))</f>
        <v/>
      </c>
      <c r="U774" s="95">
        <f>(COUNTIFS(C750:C797,R774,B750:B797,R768)+COUNTIFS(E750:E797,R774,D750:D797,R768)+COUNTIFS(G750:G797,R774,F750:F797,R768)+COUNTIFS(I750:I797,R774,H750:H797,R768)+COUNTIFS(K750:K797,R774,J750:J797,R768)+COUNTIFS(M750:M797,R774,L750:L797,R768)+COUNTIFS(O750:O797,R774,N750:N797,R768))*0.5</f>
        <v>0</v>
      </c>
      <c r="V774" s="95">
        <f>(COUNTIFS(AI750:AI797,R768,AJ750:AJ797,R767)+COUNTIFS(AK750:AK797,R768,AL750:AL797,R767)+COUNTIFS(AM750:AM797,R768,AN750:AN797,R767)+COUNTIFS(AO750:AO797,R768,AP750:AP797,R767)+COUNTIFS(AQ750:AQ797,R768,AR750:AR797,R767)+COUNTIFS(AS750:AS797,R768,AT750:AT797,R767)+COUNTIFS(AU750:AU797,R768,AV750:AV797,R767))*0.5</f>
        <v>0</v>
      </c>
      <c r="W774" s="96" t="str">
        <f>IF(AH746="","-",IF(V774=0,U774,IFERROR((U774/V774)-1,"-")))</f>
        <v>-</v>
      </c>
      <c r="X774" s="201">
        <f t="shared" si="437"/>
        <v>0</v>
      </c>
      <c r="Y774" s="274"/>
      <c r="Z774" s="275"/>
      <c r="AA774" s="275"/>
      <c r="AB774" s="275"/>
      <c r="AC774" s="275"/>
      <c r="AD774" s="275"/>
      <c r="AE774" s="275"/>
      <c r="AF774" s="276"/>
      <c r="AH774" s="136">
        <v>0.50000000000001599</v>
      </c>
      <c r="AI774" s="136" t="str">
        <f>IF(AH746="","",IF(B774="","",B774))</f>
        <v/>
      </c>
      <c r="AJ774" s="136" t="str">
        <f>IF(AH746="","",IF(C774="","",C774))</f>
        <v/>
      </c>
      <c r="AK774" s="136" t="str">
        <f>IF(AH746="","",IF(D774="","",D774))</f>
        <v/>
      </c>
      <c r="AL774" s="136" t="str">
        <f>IF(AH746="","",IF(E774="","",E774))</f>
        <v/>
      </c>
      <c r="AM774" s="136" t="str">
        <f>IF(AH746="","",IF(F774="","",F774))</f>
        <v/>
      </c>
      <c r="AN774" s="136" t="str">
        <f>IF(AH746="","",IF(G774="","",G774))</f>
        <v/>
      </c>
      <c r="AO774" s="136" t="str">
        <f>IF(AH746="","",IF(H774="","",H774))</f>
        <v/>
      </c>
      <c r="AP774" s="136" t="str">
        <f>IF(AH746="","",IF(I774="","",I774))</f>
        <v/>
      </c>
      <c r="AQ774" s="136" t="str">
        <f>IF(AH746="","",IF(J774="","",J774))</f>
        <v/>
      </c>
      <c r="AR774" s="136" t="str">
        <f>IF(AH746="","",IF(K774="","",K774))</f>
        <v/>
      </c>
      <c r="AS774" s="136" t="str">
        <f>IF(AH746="","",IF(L774="","",L774))</f>
        <v/>
      </c>
      <c r="AT774" s="136" t="str">
        <f>IF(AH746="","",IF(M774="","",M774))</f>
        <v/>
      </c>
      <c r="AU774" s="136" t="str">
        <f>IF(AH746="","",IF(N774="","",N774))</f>
        <v/>
      </c>
      <c r="AV774" s="136" t="str">
        <f>IF(AH746="","",IF(O774="","",O774))</f>
        <v/>
      </c>
      <c r="AX774" s="136" t="str">
        <f>IF(AI746="","",IF(B774="","",B774))</f>
        <v/>
      </c>
      <c r="AY774" s="136" t="str">
        <f>IF(AI746="","",IF(C774="","",C774))</f>
        <v/>
      </c>
      <c r="AZ774" s="136" t="str">
        <f>IF(AI746="","",IF(D774="","",D774))</f>
        <v/>
      </c>
      <c r="BA774" s="136" t="str">
        <f>IF(AI746="","",IF(E774="","",E774))</f>
        <v/>
      </c>
      <c r="BB774" s="136" t="str">
        <f>IF(AI746="","",IF(F774="","",F774))</f>
        <v/>
      </c>
      <c r="BC774" s="136" t="str">
        <f>IF(AI746="","",IF(G774="","",G774))</f>
        <v/>
      </c>
      <c r="BD774" s="136" t="str">
        <f>IF(AI746="","",IF(H774="","",H774))</f>
        <v/>
      </c>
      <c r="BE774" s="136" t="str">
        <f>IF(AI746="","",IF(I774="","",I774))</f>
        <v/>
      </c>
      <c r="BF774" s="136" t="str">
        <f>IF(AI746="","",IF(J774="","",J774))</f>
        <v/>
      </c>
      <c r="BG774" s="136" t="str">
        <f>IF(AI746="","",IF(K774="","",K774))</f>
        <v/>
      </c>
      <c r="BH774" s="136" t="str">
        <f>IF(AI746="","",IF(L774="","",L774))</f>
        <v/>
      </c>
      <c r="BI774" s="136" t="str">
        <f>IF(AI746="","",IF(M774="","",M774))</f>
        <v/>
      </c>
      <c r="BJ774" s="136" t="str">
        <f>IF(AI746="","",IF(N774="","",N774))</f>
        <v/>
      </c>
      <c r="BK774" s="136" t="str">
        <f>IF(AI746="","",IF(O774="","",O774))</f>
        <v/>
      </c>
      <c r="BM774" s="136" t="str">
        <f t="shared" ref="BM774:BM778" si="444">BM773</f>
        <v>TG</v>
      </c>
      <c r="BN774" s="136" t="str">
        <f t="shared" si="432"/>
        <v>Trabalho de Grupo</v>
      </c>
      <c r="BO774" s="136" t="str">
        <f t="shared" si="432"/>
        <v>IEI</v>
      </c>
      <c r="BP774" s="136">
        <f>(COUNTIFS(AX750:AX797,BM774,AY750:AY797,BO774)+COUNTIFS(AZ750:AZ797,BM774,BA750:BA797,BO774)+COUNTIFS(BB750:BB797,BM774,BC750:BC797,BO774)+COUNTIFS(BD750:BD797,BM774,BE750:BE797,BO774)+COUNTIFS(BF750:BF797,BM774,BG750:BG797,BO774)+COUNTIFS(BH750:BH797,BM774,BI750:BI797,BO774)+COUNTIFS(BJ750:BJ797,BM774,BK750:BK797,BO774))*0.5</f>
        <v>0</v>
      </c>
      <c r="BQ774" s="136" t="str">
        <f t="shared" si="433"/>
        <v>Trabalho de Grupo</v>
      </c>
      <c r="BR774" s="136" t="str">
        <f t="shared" si="433"/>
        <v>IEI</v>
      </c>
      <c r="BS774" s="136" t="str">
        <f t="shared" si="434"/>
        <v>Trabalho de Grupo</v>
      </c>
      <c r="BT774" s="136">
        <f t="shared" si="440"/>
        <v>0</v>
      </c>
      <c r="BU774" s="136">
        <f t="shared" si="441"/>
        <v>0</v>
      </c>
      <c r="CA774" s="136">
        <f>'INFO BASE'!L853</f>
        <v>0</v>
      </c>
      <c r="CB774" s="136">
        <f>'INFO BASE'!M853</f>
        <v>0</v>
      </c>
      <c r="CR774" s="177">
        <f t="shared" si="422"/>
        <v>1</v>
      </c>
      <c r="CS774" s="177">
        <f t="shared" si="423"/>
        <v>1</v>
      </c>
      <c r="CT774" s="177">
        <f t="shared" si="422"/>
        <v>1</v>
      </c>
      <c r="CU774" s="177">
        <f t="shared" si="424"/>
        <v>1</v>
      </c>
      <c r="CV774" s="177">
        <f t="shared" si="422"/>
        <v>1</v>
      </c>
      <c r="CW774" s="177">
        <f t="shared" si="425"/>
        <v>1</v>
      </c>
      <c r="CX774" s="177">
        <f t="shared" si="422"/>
        <v>1</v>
      </c>
      <c r="CY774" s="177">
        <f t="shared" si="426"/>
        <v>1</v>
      </c>
      <c r="CZ774" s="177">
        <f t="shared" si="422"/>
        <v>1</v>
      </c>
      <c r="DA774" s="177">
        <f t="shared" si="427"/>
        <v>1</v>
      </c>
      <c r="DB774" s="177">
        <f t="shared" si="422"/>
        <v>1</v>
      </c>
      <c r="DC774" s="177">
        <f t="shared" si="428"/>
        <v>1</v>
      </c>
      <c r="DD774" s="177">
        <f t="shared" si="429"/>
        <v>1</v>
      </c>
      <c r="DE774" s="177">
        <f t="shared" si="430"/>
        <v>1</v>
      </c>
    </row>
    <row r="775" spans="1:109" ht="18" customHeight="1" x14ac:dyDescent="0.3">
      <c r="A775" s="81">
        <v>0.52083333333335002</v>
      </c>
      <c r="B775" s="153"/>
      <c r="C775" s="130"/>
      <c r="D775" s="135"/>
      <c r="E775" s="130"/>
      <c r="F775" s="135"/>
      <c r="G775" s="130"/>
      <c r="H775" s="135"/>
      <c r="I775" s="130"/>
      <c r="J775" s="135"/>
      <c r="K775" s="130"/>
      <c r="L775" s="135"/>
      <c r="M775" s="130"/>
      <c r="N775" s="135"/>
      <c r="O775" s="154"/>
      <c r="P775" s="6">
        <v>0</v>
      </c>
      <c r="Q775" s="117" t="str">
        <f>IF('INFO BASE'!$C$19="","",'INFO BASE'!$C$19)</f>
        <v>Trabalho de Grupo</v>
      </c>
      <c r="R775" s="82" t="str">
        <f t="shared" si="439"/>
        <v>TG</v>
      </c>
      <c r="S775" s="83">
        <f t="shared" si="436"/>
        <v>-1</v>
      </c>
      <c r="T775" s="84">
        <f>IF(VLOOKUP(Q775,'INFO BASE'!$B$40:$I$54,IF(R775='INFO BASE'!$B$32,3,IF(R775='INFO BASE'!$B$33,4,IF(R775='INFO BASE'!$B$34,5,IF(R775='INFO BASE'!$B$35,6,IF(R775='INFO BASE'!$B$36,7,IF(R775='INFO BASE'!$B$37,8,2)))))),0)=0,"",VLOOKUP(Q775,'INFO BASE'!$B$40:$I$54,IF(R775='INFO BASE'!$B$32,3,IF(R775='INFO BASE'!$B$33,4,IF(R775='INFO BASE'!$B$34,5,IF(R775='INFO BASE'!$B$35,6,IF(R775='INFO BASE'!$B$36,7,IF(R775='INFO BASE'!$B$37,8,2)))))),0))</f>
        <v>15</v>
      </c>
      <c r="U775" s="84">
        <f>IF(R775="","",COUNTIFS(SEMANA14,R775)*0.5)</f>
        <v>0</v>
      </c>
      <c r="V775" s="84">
        <f>IF(R775="","",COUNTIFS(AI750:AV797,R775)*0.5)</f>
        <v>0</v>
      </c>
      <c r="W775" s="85" t="str">
        <f>IF(AH746="","-",IF(V775=0,U775,IFERROR((U775/V775)-1,"-")))</f>
        <v>-</v>
      </c>
      <c r="X775" s="201">
        <f t="shared" si="437"/>
        <v>0</v>
      </c>
      <c r="Y775" s="277"/>
      <c r="Z775" s="278"/>
      <c r="AA775" s="278"/>
      <c r="AB775" s="278"/>
      <c r="AC775" s="278"/>
      <c r="AD775" s="278"/>
      <c r="AE775" s="278"/>
      <c r="AF775" s="279"/>
      <c r="AH775" s="136">
        <v>0.52083333333335002</v>
      </c>
      <c r="AI775" s="136" t="str">
        <f>IF(AH746="","",IF(B775="","",B775))</f>
        <v/>
      </c>
      <c r="AJ775" s="136" t="str">
        <f>IF(AH746="","",IF(C775="","",C775))</f>
        <v/>
      </c>
      <c r="AK775" s="136" t="str">
        <f>IF(AH746="","",IF(D775="","",D775))</f>
        <v/>
      </c>
      <c r="AL775" s="136" t="str">
        <f>IF(AH746="","",IF(E775="","",E775))</f>
        <v/>
      </c>
      <c r="AM775" s="136" t="str">
        <f>IF(AH746="","",IF(F775="","",F775))</f>
        <v/>
      </c>
      <c r="AN775" s="136" t="str">
        <f>IF(AH746="","",IF(G775="","",G775))</f>
        <v/>
      </c>
      <c r="AO775" s="136" t="str">
        <f>IF(AH746="","",IF(H775="","",H775))</f>
        <v/>
      </c>
      <c r="AP775" s="136" t="str">
        <f>IF(AH746="","",IF(I775="","",I775))</f>
        <v/>
      </c>
      <c r="AQ775" s="136" t="str">
        <f>IF(AH746="","",IF(J775="","",J775))</f>
        <v/>
      </c>
      <c r="AR775" s="136" t="str">
        <f>IF(AH746="","",IF(K775="","",K775))</f>
        <v/>
      </c>
      <c r="AS775" s="136" t="str">
        <f>IF(AH746="","",IF(L775="","",L775))</f>
        <v/>
      </c>
      <c r="AT775" s="136" t="str">
        <f>IF(AH746="","",IF(M775="","",M775))</f>
        <v/>
      </c>
      <c r="AU775" s="136" t="str">
        <f>IF(AH746="","",IF(N775="","",N775))</f>
        <v/>
      </c>
      <c r="AV775" s="136" t="str">
        <f>IF(AH746="","",IF(O775="","",O775))</f>
        <v/>
      </c>
      <c r="AX775" s="136" t="str">
        <f>IF(AI746="","",IF(B775="","",B775))</f>
        <v/>
      </c>
      <c r="AY775" s="136" t="str">
        <f>IF(AI746="","",IF(C775="","",C775))</f>
        <v/>
      </c>
      <c r="AZ775" s="136" t="str">
        <f>IF(AI746="","",IF(D775="","",D775))</f>
        <v/>
      </c>
      <c r="BA775" s="136" t="str">
        <f>IF(AI746="","",IF(E775="","",E775))</f>
        <v/>
      </c>
      <c r="BB775" s="136" t="str">
        <f>IF(AI746="","",IF(F775="","",F775))</f>
        <v/>
      </c>
      <c r="BC775" s="136" t="str">
        <f>IF(AI746="","",IF(G775="","",G775))</f>
        <v/>
      </c>
      <c r="BD775" s="136" t="str">
        <f>IF(AI746="","",IF(H775="","",H775))</f>
        <v/>
      </c>
      <c r="BE775" s="136" t="str">
        <f>IF(AI746="","",IF(I775="","",I775))</f>
        <v/>
      </c>
      <c r="BF775" s="136" t="str">
        <f>IF(AI746="","",IF(J775="","",J775))</f>
        <v/>
      </c>
      <c r="BG775" s="136" t="str">
        <f>IF(AI746="","",IF(K775="","",K775))</f>
        <v/>
      </c>
      <c r="BH775" s="136" t="str">
        <f>IF(AI746="","",IF(L775="","",L775))</f>
        <v/>
      </c>
      <c r="BI775" s="136" t="str">
        <f>IF(AI746="","",IF(M775="","",M775))</f>
        <v/>
      </c>
      <c r="BJ775" s="136" t="str">
        <f>IF(AI746="","",IF(N775="","",N775))</f>
        <v/>
      </c>
      <c r="BK775" s="136" t="str">
        <f>IF(AI746="","",IF(O775="","",O775))</f>
        <v/>
      </c>
      <c r="BM775" s="136" t="str">
        <f t="shared" si="444"/>
        <v>TG</v>
      </c>
      <c r="BN775" s="136" t="str">
        <f t="shared" si="432"/>
        <v>Trabalho de Grupo</v>
      </c>
      <c r="BO775" s="136" t="str">
        <f t="shared" si="432"/>
        <v>IAC</v>
      </c>
      <c r="BP775" s="136">
        <f>(COUNTIFS(AX750:AX797,BM775,AY750:AY797,BO775)+COUNTIFS(AZ750:AZ797,BM775,BA750:BA797,BO775)+COUNTIFS(BB750:BB797,BM775,BC750:BC797,BO775)+COUNTIFS(BD750:BD797,BM775,BE750:BE797,BO775)+COUNTIFS(BF750:BF797,BM775,BG750:BG797,BO775)+COUNTIFS(BH750:BH797,BM775,BI750:BI797,BO775)+COUNTIFS(BJ750:BJ797,BM775,BK750:BK797,BO775))*0.5</f>
        <v>0</v>
      </c>
      <c r="BQ775" s="136" t="str">
        <f t="shared" si="433"/>
        <v>Trabalho de Grupo</v>
      </c>
      <c r="BR775" s="136" t="str">
        <f t="shared" si="433"/>
        <v>IAC</v>
      </c>
      <c r="BS775" s="136" t="str">
        <f t="shared" si="434"/>
        <v>Trabalho de Grupo</v>
      </c>
      <c r="BT775" s="136">
        <f t="shared" si="440"/>
        <v>0</v>
      </c>
      <c r="BU775" s="136">
        <f t="shared" si="441"/>
        <v>0</v>
      </c>
      <c r="CA775" s="136">
        <f>'INFO BASE'!L854</f>
        <v>0</v>
      </c>
      <c r="CB775" s="136">
        <f>'INFO BASE'!M854</f>
        <v>0</v>
      </c>
      <c r="CR775" s="177">
        <f t="shared" si="422"/>
        <v>1</v>
      </c>
      <c r="CS775" s="177">
        <f t="shared" si="423"/>
        <v>1</v>
      </c>
      <c r="CT775" s="177">
        <f t="shared" si="422"/>
        <v>1</v>
      </c>
      <c r="CU775" s="177">
        <f t="shared" si="424"/>
        <v>1</v>
      </c>
      <c r="CV775" s="177">
        <f t="shared" si="422"/>
        <v>1</v>
      </c>
      <c r="CW775" s="177">
        <f t="shared" si="425"/>
        <v>1</v>
      </c>
      <c r="CX775" s="177">
        <f t="shared" si="422"/>
        <v>1</v>
      </c>
      <c r="CY775" s="177">
        <f t="shared" si="426"/>
        <v>1</v>
      </c>
      <c r="CZ775" s="177">
        <f t="shared" si="422"/>
        <v>1</v>
      </c>
      <c r="DA775" s="177">
        <f t="shared" si="427"/>
        <v>1</v>
      </c>
      <c r="DB775" s="177">
        <f t="shared" si="422"/>
        <v>1</v>
      </c>
      <c r="DC775" s="177">
        <f t="shared" si="428"/>
        <v>1</v>
      </c>
      <c r="DD775" s="177">
        <f t="shared" si="429"/>
        <v>1</v>
      </c>
      <c r="DE775" s="177">
        <f t="shared" si="430"/>
        <v>1</v>
      </c>
    </row>
    <row r="776" spans="1:109" ht="18" customHeight="1" x14ac:dyDescent="0.3">
      <c r="A776" s="81">
        <v>0.54166666666668395</v>
      </c>
      <c r="B776" s="153"/>
      <c r="C776" s="130"/>
      <c r="D776" s="135"/>
      <c r="E776" s="130"/>
      <c r="F776" s="135"/>
      <c r="G776" s="130"/>
      <c r="H776" s="135"/>
      <c r="I776" s="130"/>
      <c r="J776" s="135"/>
      <c r="K776" s="130"/>
      <c r="L776" s="135"/>
      <c r="M776" s="130"/>
      <c r="N776" s="135"/>
      <c r="O776" s="154"/>
      <c r="P776" s="6">
        <v>0</v>
      </c>
      <c r="Q776" s="118" t="str">
        <f t="shared" ref="Q776:Q781" si="445">Q775</f>
        <v>Trabalho de Grupo</v>
      </c>
      <c r="R776" s="105" t="str">
        <f t="shared" si="439"/>
        <v>FP</v>
      </c>
      <c r="S776" s="88">
        <f t="shared" si="436"/>
        <v>-1</v>
      </c>
      <c r="T776" s="89">
        <f>IF(VLOOKUP(Q776,'INFO BASE'!$B$40:$I$54,IF(R776='INFO BASE'!$B$32,3,IF(R776='INFO BASE'!$B$33,4,IF(R776='INFO BASE'!$B$34,5,IF(R776='INFO BASE'!$B$35,6,IF(R776='INFO BASE'!$B$36,7,IF(R776='INFO BASE'!$B$37,8,2)))))),0)=0,"",VLOOKUP(Q776,'INFO BASE'!$B$40:$I$54,IF(R776='INFO BASE'!$B$32,3,IF(R776='INFO BASE'!$B$33,4,IF(R776='INFO BASE'!$B$34,5,IF(R776='INFO BASE'!$B$35,6,IF(R776='INFO BASE'!$B$36,7,IF(R776='INFO BASE'!$B$37,8,2)))))),0))</f>
        <v>3</v>
      </c>
      <c r="U776" s="89">
        <f>(COUNTIFS(C750:C797,R776,B750:B797,R775)+COUNTIFS(E750:E797,R776,D750:D797,R775)+COUNTIFS(G750:G797,R776,F750:F797,R775)+COUNTIFS(I750:I797,R776,H750:H797,R775)+COUNTIFS(K750:K797,R776,J750:J797,R775)+COUNTIFS(M750:M797,R776,L750:L797,R775)+COUNTIFS(O750:O797,R776,N750:N797,R775))*0.5</f>
        <v>0</v>
      </c>
      <c r="V776" s="89">
        <f>(COUNTIFS(AI750:AI797,R775,AJ750:AJ797,R769)+COUNTIFS(AK750:AK797,R775,AL750:AL797,R769)+COUNTIFS(AM750:AM797,R775,AN750:AN797,R769)+COUNTIFS(AO750:AO797,R775,AP750:AP797,R769)+COUNTIFS(AQ750:AQ797,R775,AR750:AR797,R769)+COUNTIFS(AS750:AS797,R775,AT750:AT797,R769)+COUNTIFS(AU750:AU797,R775,AV750:AV797,R769))*0.5</f>
        <v>0</v>
      </c>
      <c r="W776" s="90" t="str">
        <f>IF(AH746="","-",IF(V776=0,U776,IFERROR((U776/V776)-1,"-")))</f>
        <v>-</v>
      </c>
      <c r="X776" s="201">
        <f t="shared" si="437"/>
        <v>0</v>
      </c>
      <c r="Y776" s="271"/>
      <c r="Z776" s="272"/>
      <c r="AA776" s="272"/>
      <c r="AB776" s="272"/>
      <c r="AC776" s="272"/>
      <c r="AD776" s="272"/>
      <c r="AE776" s="272"/>
      <c r="AF776" s="273"/>
      <c r="AH776" s="136">
        <v>0.54166666666668395</v>
      </c>
      <c r="AI776" s="136" t="str">
        <f>IF(AH746="","",IF(B776="","",B776))</f>
        <v/>
      </c>
      <c r="AJ776" s="136" t="str">
        <f>IF(AH746="","",IF(C776="","",C776))</f>
        <v/>
      </c>
      <c r="AK776" s="136" t="str">
        <f>IF(AH746="","",IF(D776="","",D776))</f>
        <v/>
      </c>
      <c r="AL776" s="136" t="str">
        <f>IF(AH746="","",IF(E776="","",E776))</f>
        <v/>
      </c>
      <c r="AM776" s="136" t="str">
        <f>IF(AH746="","",IF(F776="","",F776))</f>
        <v/>
      </c>
      <c r="AN776" s="136" t="str">
        <f>IF(AH746="","",IF(G776="","",G776))</f>
        <v/>
      </c>
      <c r="AO776" s="136" t="str">
        <f>IF(AH746="","",IF(H776="","",H776))</f>
        <v/>
      </c>
      <c r="AP776" s="136" t="str">
        <f>IF(AH746="","",IF(I776="","",I776))</f>
        <v/>
      </c>
      <c r="AQ776" s="136" t="str">
        <f>IF(AH746="","",IF(J776="","",J776))</f>
        <v/>
      </c>
      <c r="AR776" s="136" t="str">
        <f>IF(AH746="","",IF(K776="","",K776))</f>
        <v/>
      </c>
      <c r="AS776" s="136" t="str">
        <f>IF(AH746="","",IF(L776="","",L776))</f>
        <v/>
      </c>
      <c r="AT776" s="136" t="str">
        <f>IF(AH746="","",IF(M776="","",M776))</f>
        <v/>
      </c>
      <c r="AU776" s="136" t="str">
        <f>IF(AH746="","",IF(N776="","",N776))</f>
        <v/>
      </c>
      <c r="AV776" s="136" t="str">
        <f>IF(AH746="","",IF(O776="","",O776))</f>
        <v/>
      </c>
      <c r="AX776" s="136" t="str">
        <f>IF(AI746="","",IF(B776="","",B776))</f>
        <v/>
      </c>
      <c r="AY776" s="136" t="str">
        <f>IF(AI746="","",IF(C776="","",C776))</f>
        <v/>
      </c>
      <c r="AZ776" s="136" t="str">
        <f>IF(AI746="","",IF(D776="","",D776))</f>
        <v/>
      </c>
      <c r="BA776" s="136" t="str">
        <f>IF(AI746="","",IF(E776="","",E776))</f>
        <v/>
      </c>
      <c r="BB776" s="136" t="str">
        <f>IF(AI746="","",IF(F776="","",F776))</f>
        <v/>
      </c>
      <c r="BC776" s="136" t="str">
        <f>IF(AI746="","",IF(G776="","",G776))</f>
        <v/>
      </c>
      <c r="BD776" s="136" t="str">
        <f>IF(AI746="","",IF(H776="","",H776))</f>
        <v/>
      </c>
      <c r="BE776" s="136" t="str">
        <f>IF(AI746="","",IF(I776="","",I776))</f>
        <v/>
      </c>
      <c r="BF776" s="136" t="str">
        <f>IF(AI746="","",IF(J776="","",J776))</f>
        <v/>
      </c>
      <c r="BG776" s="136" t="str">
        <f>IF(AI746="","",IF(K776="","",K776))</f>
        <v/>
      </c>
      <c r="BH776" s="136" t="str">
        <f>IF(AI746="","",IF(L776="","",L776))</f>
        <v/>
      </c>
      <c r="BI776" s="136" t="str">
        <f>IF(AI746="","",IF(M776="","",M776))</f>
        <v/>
      </c>
      <c r="BJ776" s="136" t="str">
        <f>IF(AI746="","",IF(N776="","",N776))</f>
        <v/>
      </c>
      <c r="BK776" s="136" t="str">
        <f>IF(AI746="","",IF(O776="","",O776))</f>
        <v/>
      </c>
      <c r="BM776" s="136" t="str">
        <f t="shared" si="444"/>
        <v>TG</v>
      </c>
      <c r="BN776" s="136" t="str">
        <f t="shared" si="432"/>
        <v>Trabalho de Grupo</v>
      </c>
      <c r="BO776" s="136" t="str">
        <f t="shared" si="432"/>
        <v>AL</v>
      </c>
      <c r="BP776" s="136">
        <f>(COUNTIFS(AX750:AX797,BM776,AY750:AY797,BO776)+COUNTIFS(AZ750:AZ797,BM776,BA750:BA797,BO776)+COUNTIFS(BB750:BB797,BM776,BC750:BC797,BO776)+COUNTIFS(BD750:BD797,BM776,BE750:BE797,BO776)+COUNTIFS(BF750:BF797,BM776,BG750:BG797,BO776)+COUNTIFS(BH750:BH797,BM776,BI750:BI797,BO776)+COUNTIFS(BJ750:BJ797,BM776,BK750:BK797,BO776))*0.5</f>
        <v>0</v>
      </c>
      <c r="BQ776" s="136" t="str">
        <f t="shared" si="433"/>
        <v>Trabalho de Grupo</v>
      </c>
      <c r="BR776" s="136" t="str">
        <f t="shared" si="433"/>
        <v>AL</v>
      </c>
      <c r="BS776" s="136" t="str">
        <f t="shared" si="434"/>
        <v>Trabalho de Grupo</v>
      </c>
      <c r="BT776" s="136">
        <f t="shared" si="440"/>
        <v>0</v>
      </c>
      <c r="BU776" s="136">
        <f t="shared" si="441"/>
        <v>0</v>
      </c>
      <c r="CA776" s="136">
        <f>'INFO BASE'!L855</f>
        <v>0</v>
      </c>
      <c r="CB776" s="136">
        <f>'INFO BASE'!M855</f>
        <v>0</v>
      </c>
      <c r="CR776" s="177">
        <f t="shared" si="422"/>
        <v>1</v>
      </c>
      <c r="CS776" s="177">
        <f t="shared" si="423"/>
        <v>1</v>
      </c>
      <c r="CT776" s="177">
        <f t="shared" si="422"/>
        <v>1</v>
      </c>
      <c r="CU776" s="177">
        <f t="shared" si="424"/>
        <v>1</v>
      </c>
      <c r="CV776" s="177">
        <f t="shared" si="422"/>
        <v>1</v>
      </c>
      <c r="CW776" s="177">
        <f t="shared" si="425"/>
        <v>1</v>
      </c>
      <c r="CX776" s="177">
        <f t="shared" si="422"/>
        <v>1</v>
      </c>
      <c r="CY776" s="177">
        <f t="shared" si="426"/>
        <v>1</v>
      </c>
      <c r="CZ776" s="177">
        <f t="shared" si="422"/>
        <v>1</v>
      </c>
      <c r="DA776" s="177">
        <f t="shared" si="427"/>
        <v>1</v>
      </c>
      <c r="DB776" s="177">
        <f t="shared" si="422"/>
        <v>1</v>
      </c>
      <c r="DC776" s="177">
        <f t="shared" si="428"/>
        <v>1</v>
      </c>
      <c r="DD776" s="177">
        <f t="shared" si="429"/>
        <v>1</v>
      </c>
      <c r="DE776" s="177">
        <f t="shared" si="430"/>
        <v>1</v>
      </c>
    </row>
    <row r="777" spans="1:109" ht="18" customHeight="1" x14ac:dyDescent="0.3">
      <c r="A777" s="81">
        <v>0.56250000000001799</v>
      </c>
      <c r="B777" s="153"/>
      <c r="C777" s="130"/>
      <c r="D777" s="135"/>
      <c r="E777" s="130"/>
      <c r="F777" s="135"/>
      <c r="G777" s="130"/>
      <c r="H777" s="135"/>
      <c r="I777" s="130"/>
      <c r="J777" s="135"/>
      <c r="K777" s="130"/>
      <c r="L777" s="135"/>
      <c r="M777" s="130"/>
      <c r="N777" s="135"/>
      <c r="O777" s="154"/>
      <c r="P777" s="6">
        <v>0</v>
      </c>
      <c r="Q777" s="118" t="str">
        <f t="shared" si="445"/>
        <v>Trabalho de Grupo</v>
      </c>
      <c r="R777" s="105" t="str">
        <f t="shared" si="439"/>
        <v>IEI</v>
      </c>
      <c r="S777" s="88">
        <f t="shared" si="436"/>
        <v>-1</v>
      </c>
      <c r="T777" s="89">
        <f>IF(VLOOKUP(Q777,'INFO BASE'!$B$40:$I$54,IF(R777='INFO BASE'!$B$32,3,IF(R777='INFO BASE'!$B$33,4,IF(R777='INFO BASE'!$B$34,5,IF(R777='INFO BASE'!$B$35,6,IF(R777='INFO BASE'!$B$36,7,IF(R777='INFO BASE'!$B$37,8,2)))))),0)=0,"",VLOOKUP(Q777,'INFO BASE'!$B$40:$I$54,IF(R777='INFO BASE'!$B$32,3,IF(R777='INFO BASE'!$B$33,4,IF(R777='INFO BASE'!$B$34,5,IF(R777='INFO BASE'!$B$35,6,IF(R777='INFO BASE'!$B$36,7,IF(R777='INFO BASE'!$B$37,8,2)))))),0))</f>
        <v>3</v>
      </c>
      <c r="U777" s="89">
        <f>(COUNTIFS(C750:C797,R777,B750:B797,R775)+COUNTIFS(E750:E797,R777,D750:D797,R775)+COUNTIFS(G750:G797,R777,F750:F797,R775)+COUNTIFS(I750:I797,R777,H750:H797,R775)+COUNTIFS(K750:K797,R777,J750:J797,R775)+COUNTIFS(M750:M797,R777,L750:L797,R775)+COUNTIFS(O750:O797,R777,N750:N797,R775))*0.5</f>
        <v>0</v>
      </c>
      <c r="V777" s="89">
        <f>(COUNTIFS(AI750:AI797,R775,AJ750:AJ797,R770)+COUNTIFS(AK750:AK797,R775,AL750:AL797,R770)+COUNTIFS(AM750:AM797,R775,AN750:AN797,R770)+COUNTIFS(AO750:AO797,R775,AP750:AP797,R770)+COUNTIFS(AQ750:AQ797,R775,AR750:AR797,R770)+COUNTIFS(AS750:AS797,R775,AT750:AT797,R770)+COUNTIFS(AU750:AU797,R775,AV750:AV797,R770))*0.5</f>
        <v>0</v>
      </c>
      <c r="W777" s="90" t="str">
        <f>IF(AH746="","-",IF(V777=0,U777,IFERROR((U777/V777)-1,"-")))</f>
        <v>-</v>
      </c>
      <c r="X777" s="201">
        <f t="shared" si="437"/>
        <v>0</v>
      </c>
      <c r="Y777" s="271"/>
      <c r="Z777" s="272"/>
      <c r="AA777" s="272"/>
      <c r="AB777" s="272"/>
      <c r="AC777" s="272"/>
      <c r="AD777" s="272"/>
      <c r="AE777" s="272"/>
      <c r="AF777" s="273"/>
      <c r="AH777" s="136">
        <v>0.56250000000001799</v>
      </c>
      <c r="AI777" s="136" t="str">
        <f>IF(AH746="","",IF(B777="","",B777))</f>
        <v/>
      </c>
      <c r="AJ777" s="136" t="str">
        <f>IF(AH746="","",IF(C777="","",C777))</f>
        <v/>
      </c>
      <c r="AK777" s="136" t="str">
        <f>IF(AH746="","",IF(D777="","",D777))</f>
        <v/>
      </c>
      <c r="AL777" s="136" t="str">
        <f>IF(AH746="","",IF(E777="","",E777))</f>
        <v/>
      </c>
      <c r="AM777" s="136" t="str">
        <f>IF(AH746="","",IF(F777="","",F777))</f>
        <v/>
      </c>
      <c r="AN777" s="136" t="str">
        <f>IF(AH746="","",IF(G777="","",G777))</f>
        <v/>
      </c>
      <c r="AO777" s="136" t="str">
        <f>IF(AH746="","",IF(H777="","",H777))</f>
        <v/>
      </c>
      <c r="AP777" s="136" t="str">
        <f>IF(AH746="","",IF(I777="","",I777))</f>
        <v/>
      </c>
      <c r="AQ777" s="136" t="str">
        <f>IF(AH746="","",IF(J777="","",J777))</f>
        <v/>
      </c>
      <c r="AR777" s="136" t="str">
        <f>IF(AH746="","",IF(K777="","",K777))</f>
        <v/>
      </c>
      <c r="AS777" s="136" t="str">
        <f>IF(AH746="","",IF(L777="","",L777))</f>
        <v/>
      </c>
      <c r="AT777" s="136" t="str">
        <f>IF(AH746="","",IF(M777="","",M777))</f>
        <v/>
      </c>
      <c r="AU777" s="136" t="str">
        <f>IF(AH746="","",IF(N777="","",N777))</f>
        <v/>
      </c>
      <c r="AV777" s="136" t="str">
        <f>IF(AH746="","",IF(O777="","",O777))</f>
        <v/>
      </c>
      <c r="AX777" s="136" t="str">
        <f>IF(AI746="","",IF(B777="","",B777))</f>
        <v/>
      </c>
      <c r="AY777" s="136" t="str">
        <f>IF(AI746="","",IF(C777="","",C777))</f>
        <v/>
      </c>
      <c r="AZ777" s="136" t="str">
        <f>IF(AI746="","",IF(D777="","",D777))</f>
        <v/>
      </c>
      <c r="BA777" s="136" t="str">
        <f>IF(AI746="","",IF(E777="","",E777))</f>
        <v/>
      </c>
      <c r="BB777" s="136" t="str">
        <f>IF(AI746="","",IF(F777="","",F777))</f>
        <v/>
      </c>
      <c r="BC777" s="136" t="str">
        <f>IF(AI746="","",IF(G777="","",G777))</f>
        <v/>
      </c>
      <c r="BD777" s="136" t="str">
        <f>IF(AI746="","",IF(H777="","",H777))</f>
        <v/>
      </c>
      <c r="BE777" s="136" t="str">
        <f>IF(AI746="","",IF(I777="","",I777))</f>
        <v/>
      </c>
      <c r="BF777" s="136" t="str">
        <f>IF(AI746="","",IF(J777="","",J777))</f>
        <v/>
      </c>
      <c r="BG777" s="136" t="str">
        <f>IF(AI746="","",IF(K777="","",K777))</f>
        <v/>
      </c>
      <c r="BH777" s="136" t="str">
        <f>IF(AI746="","",IF(L777="","",L777))</f>
        <v/>
      </c>
      <c r="BI777" s="136" t="str">
        <f>IF(AI746="","",IF(M777="","",M777))</f>
        <v/>
      </c>
      <c r="BJ777" s="136" t="str">
        <f>IF(AI746="","",IF(N777="","",N777))</f>
        <v/>
      </c>
      <c r="BK777" s="136" t="str">
        <f>IF(AI746="","",IF(O777="","",O777))</f>
        <v/>
      </c>
      <c r="BM777" s="136" t="str">
        <f t="shared" si="444"/>
        <v>TG</v>
      </c>
      <c r="BN777" s="136" t="str">
        <f t="shared" si="432"/>
        <v>Trabalho de Grupo</v>
      </c>
      <c r="BO777" s="136" t="str">
        <f t="shared" si="432"/>
        <v>CDI</v>
      </c>
      <c r="BP777" s="136">
        <f>(COUNTIFS(AX750:AX797,BM777,AY750:AY797,BO777)+COUNTIFS(AZ750:AZ797,BM777,BA750:BA797,BO777)+COUNTIFS(BB750:BB797,BM777,BC750:BC797,BO777)+COUNTIFS(BD750:BD797,BM777,BE750:BE797,BO777)+COUNTIFS(BF750:BF797,BM777,BG750:BG797,BO777)+COUNTIFS(BH750:BH797,BM777,BI750:BI797,BO777)+COUNTIFS(BJ750:BJ797,BM777,BK750:BK797,BO777))*0.5</f>
        <v>0</v>
      </c>
      <c r="BQ777" s="136" t="str">
        <f t="shared" si="433"/>
        <v>Trabalho de Grupo</v>
      </c>
      <c r="BR777" s="136" t="str">
        <f t="shared" si="433"/>
        <v>CDI</v>
      </c>
      <c r="BS777" s="136" t="str">
        <f t="shared" si="434"/>
        <v>Trabalho de Grupo</v>
      </c>
      <c r="BT777" s="136">
        <f t="shared" si="440"/>
        <v>0</v>
      </c>
      <c r="BU777" s="136">
        <f t="shared" si="441"/>
        <v>0</v>
      </c>
      <c r="CA777" s="136">
        <f>'INFO BASE'!L856</f>
        <v>0</v>
      </c>
      <c r="CB777" s="136">
        <f>'INFO BASE'!M856</f>
        <v>0</v>
      </c>
      <c r="CR777" s="177">
        <f t="shared" si="422"/>
        <v>1</v>
      </c>
      <c r="CS777" s="177">
        <f t="shared" si="423"/>
        <v>1</v>
      </c>
      <c r="CT777" s="177">
        <f t="shared" si="422"/>
        <v>1</v>
      </c>
      <c r="CU777" s="177">
        <f t="shared" si="424"/>
        <v>1</v>
      </c>
      <c r="CV777" s="177">
        <f t="shared" si="422"/>
        <v>1</v>
      </c>
      <c r="CW777" s="177">
        <f t="shared" si="425"/>
        <v>1</v>
      </c>
      <c r="CX777" s="177">
        <f t="shared" si="422"/>
        <v>1</v>
      </c>
      <c r="CY777" s="177">
        <f t="shared" si="426"/>
        <v>1</v>
      </c>
      <c r="CZ777" s="177">
        <f t="shared" si="422"/>
        <v>1</v>
      </c>
      <c r="DA777" s="177">
        <f t="shared" si="427"/>
        <v>1</v>
      </c>
      <c r="DB777" s="177">
        <f t="shared" si="422"/>
        <v>1</v>
      </c>
      <c r="DC777" s="177">
        <f t="shared" si="428"/>
        <v>1</v>
      </c>
      <c r="DD777" s="177">
        <f t="shared" si="429"/>
        <v>1</v>
      </c>
      <c r="DE777" s="177">
        <f t="shared" si="430"/>
        <v>1</v>
      </c>
    </row>
    <row r="778" spans="1:109" ht="18" customHeight="1" x14ac:dyDescent="0.3">
      <c r="A778" s="81">
        <v>0.58333333333335202</v>
      </c>
      <c r="B778" s="153"/>
      <c r="C778" s="130"/>
      <c r="D778" s="135"/>
      <c r="E778" s="130"/>
      <c r="F778" s="135"/>
      <c r="G778" s="130"/>
      <c r="H778" s="135"/>
      <c r="I778" s="130"/>
      <c r="J778" s="135"/>
      <c r="K778" s="130"/>
      <c r="L778" s="135"/>
      <c r="M778" s="130"/>
      <c r="N778" s="135"/>
      <c r="O778" s="154"/>
      <c r="P778" s="6">
        <v>0</v>
      </c>
      <c r="Q778" s="119" t="str">
        <f t="shared" si="445"/>
        <v>Trabalho de Grupo</v>
      </c>
      <c r="R778" s="105" t="str">
        <f t="shared" si="439"/>
        <v>IAC</v>
      </c>
      <c r="S778" s="88">
        <f t="shared" si="436"/>
        <v>-1</v>
      </c>
      <c r="T778" s="89">
        <f>IF(VLOOKUP(Q778,'INFO BASE'!$B$40:$I$54,IF(R778='INFO BASE'!$B$32,3,IF(R778='INFO BASE'!$B$33,4,IF(R778='INFO BASE'!$B$34,5,IF(R778='INFO BASE'!$B$35,6,IF(R778='INFO BASE'!$B$36,7,IF(R778='INFO BASE'!$B$37,8,2)))))),0)=0,"",VLOOKUP(Q778,'INFO BASE'!$B$40:$I$54,IF(R778='INFO BASE'!$B$32,3,IF(R778='INFO BASE'!$B$33,4,IF(R778='INFO BASE'!$B$34,5,IF(R778='INFO BASE'!$B$35,6,IF(R778='INFO BASE'!$B$36,7,IF(R778='INFO BASE'!$B$37,8,2)))))),0))</f>
        <v>3</v>
      </c>
      <c r="U778" s="89">
        <f>(COUNTIFS(C750:C797,R778,B750:B797,R775)+COUNTIFS(E750:E797,R778,D750:D797,R775)+COUNTIFS(G750:G797,R778,F750:F797,R775)+COUNTIFS(I750:I797,R778,H750:H797,R775)+COUNTIFS(K750:K797,R778,J750:J797,R775)+COUNTIFS(M750:M797,R778,L750:L797,R775)+COUNTIFS(O750:O797,R778,N750:N797,R775))*0.5</f>
        <v>0</v>
      </c>
      <c r="V778" s="89">
        <f>(COUNTIFS(AI750:AI797,R775,AJ750:AJ797,R771)+COUNTIFS(AK750:AK797,R775,AL750:AL797,R771)+COUNTIFS(AM750:AM797,R775,AN750:AN797,R771)+COUNTIFS(AO750:AO797,R775,AP750:AP797,R771)+COUNTIFS(AQ750:AQ797,R775,AR750:AR797,R771)+COUNTIFS(AS750:AS797,R775,AT750:AT797,R771)+COUNTIFS(AU750:AU797,R775,AV750:AV797,R771))*0.5</f>
        <v>0</v>
      </c>
      <c r="W778" s="90" t="str">
        <f>IF(AH746="","-",IF(V778=0,U778,IFERROR((U778/V778)-1,"-")))</f>
        <v>-</v>
      </c>
      <c r="X778" s="201">
        <f t="shared" si="437"/>
        <v>0</v>
      </c>
      <c r="Y778" s="271"/>
      <c r="Z778" s="272"/>
      <c r="AA778" s="272"/>
      <c r="AB778" s="272"/>
      <c r="AC778" s="272"/>
      <c r="AD778" s="272"/>
      <c r="AE778" s="272"/>
      <c r="AF778" s="273"/>
      <c r="AH778" s="136">
        <v>0.58333333333335202</v>
      </c>
      <c r="AI778" s="136" t="str">
        <f>IF(AH746="","",IF(B778="","",B778))</f>
        <v/>
      </c>
      <c r="AJ778" s="136" t="str">
        <f>IF(AH746="","",IF(C778="","",C778))</f>
        <v/>
      </c>
      <c r="AK778" s="136" t="str">
        <f>IF(AH746="","",IF(D778="","",D778))</f>
        <v/>
      </c>
      <c r="AL778" s="136" t="str">
        <f>IF(AH746="","",IF(E778="","",E778))</f>
        <v/>
      </c>
      <c r="AM778" s="136" t="str">
        <f>IF(AH746="","",IF(F778="","",F778))</f>
        <v/>
      </c>
      <c r="AN778" s="136" t="str">
        <f>IF(AH746="","",IF(G778="","",G778))</f>
        <v/>
      </c>
      <c r="AO778" s="136" t="str">
        <f>IF(AH746="","",IF(H778="","",H778))</f>
        <v/>
      </c>
      <c r="AP778" s="136" t="str">
        <f>IF(AH746="","",IF(I778="","",I778))</f>
        <v/>
      </c>
      <c r="AQ778" s="136" t="str">
        <f>IF(AH746="","",IF(J778="","",J778))</f>
        <v/>
      </c>
      <c r="AR778" s="136" t="str">
        <f>IF(AH746="","",IF(K778="","",K778))</f>
        <v/>
      </c>
      <c r="AS778" s="136" t="str">
        <f>IF(AH746="","",IF(L778="","",L778))</f>
        <v/>
      </c>
      <c r="AT778" s="136" t="str">
        <f>IF(AH746="","",IF(M778="","",M778))</f>
        <v/>
      </c>
      <c r="AU778" s="136" t="str">
        <f>IF(AH746="","",IF(N778="","",N778))</f>
        <v/>
      </c>
      <c r="AV778" s="136" t="str">
        <f>IF(AH746="","",IF(O778="","",O778))</f>
        <v/>
      </c>
      <c r="AX778" s="136" t="str">
        <f>IF(AI746="","",IF(B778="","",B778))</f>
        <v/>
      </c>
      <c r="AY778" s="136" t="str">
        <f>IF(AI746="","",IF(C778="","",C778))</f>
        <v/>
      </c>
      <c r="AZ778" s="136" t="str">
        <f>IF(AI746="","",IF(D778="","",D778))</f>
        <v/>
      </c>
      <c r="BA778" s="136" t="str">
        <f>IF(AI746="","",IF(E778="","",E778))</f>
        <v/>
      </c>
      <c r="BB778" s="136" t="str">
        <f>IF(AI746="","",IF(F778="","",F778))</f>
        <v/>
      </c>
      <c r="BC778" s="136" t="str">
        <f>IF(AI746="","",IF(G778="","",G778))</f>
        <v/>
      </c>
      <c r="BD778" s="136" t="str">
        <f>IF(AI746="","",IF(H778="","",H778))</f>
        <v/>
      </c>
      <c r="BE778" s="136" t="str">
        <f>IF(AI746="","",IF(I778="","",I778))</f>
        <v/>
      </c>
      <c r="BF778" s="136" t="str">
        <f>IF(AI746="","",IF(J778="","",J778))</f>
        <v/>
      </c>
      <c r="BG778" s="136" t="str">
        <f>IF(AI746="","",IF(K778="","",K778))</f>
        <v/>
      </c>
      <c r="BH778" s="136" t="str">
        <f>IF(AI746="","",IF(L778="","",L778))</f>
        <v/>
      </c>
      <c r="BI778" s="136" t="str">
        <f>IF(AI746="","",IF(M778="","",M778))</f>
        <v/>
      </c>
      <c r="BJ778" s="136" t="str">
        <f>IF(AI746="","",IF(N778="","",N778))</f>
        <v/>
      </c>
      <c r="BK778" s="136" t="str">
        <f>IF(AI746="","",IF(O778="","",O778))</f>
        <v/>
      </c>
      <c r="BM778" s="136" t="str">
        <f t="shared" si="444"/>
        <v>TG</v>
      </c>
      <c r="BN778" s="136" t="str">
        <f t="shared" si="432"/>
        <v>Trabalho de Grupo</v>
      </c>
      <c r="BO778" s="136" t="str">
        <f t="shared" si="432"/>
        <v/>
      </c>
      <c r="BP778" s="136">
        <f>(COUNTIFS(AX750:AX797,BM778,AY750:AY797,BO778)+COUNTIFS(AZ750:AZ797,BM778,BA750:BA797,BO778)+COUNTIFS(BB750:BB797,BM778,BC750:BC797,BO778)+COUNTIFS(BD750:BD797,BM778,BE750:BE797,BO778)+COUNTIFS(BF750:BF797,BM778,BG750:BG797,BO778)+COUNTIFS(BH750:BH797,BM778,BI750:BI797,BO778)+COUNTIFS(BJ750:BJ797,BM778,BK750:BK797,BO778))*0.5</f>
        <v>0</v>
      </c>
      <c r="BQ778" s="136" t="str">
        <f t="shared" si="433"/>
        <v>Trabalho de Grupo</v>
      </c>
      <c r="BR778" s="136" t="str">
        <f t="shared" si="433"/>
        <v/>
      </c>
      <c r="BS778" s="136" t="str">
        <f t="shared" si="434"/>
        <v>Trabalho de Grupo</v>
      </c>
      <c r="BT778" s="136">
        <f t="shared" si="440"/>
        <v>0</v>
      </c>
      <c r="BU778" s="136">
        <f t="shared" si="441"/>
        <v>0</v>
      </c>
      <c r="CA778" s="136">
        <f>'INFO BASE'!L857</f>
        <v>0</v>
      </c>
      <c r="CB778" s="136">
        <f>'INFO BASE'!M857</f>
        <v>0</v>
      </c>
      <c r="CR778" s="177">
        <f t="shared" si="422"/>
        <v>1</v>
      </c>
      <c r="CS778" s="177">
        <f t="shared" si="423"/>
        <v>1</v>
      </c>
      <c r="CT778" s="177">
        <f t="shared" si="422"/>
        <v>1</v>
      </c>
      <c r="CU778" s="177">
        <f t="shared" si="424"/>
        <v>1</v>
      </c>
      <c r="CV778" s="177">
        <f t="shared" si="422"/>
        <v>1</v>
      </c>
      <c r="CW778" s="177">
        <f t="shared" si="425"/>
        <v>1</v>
      </c>
      <c r="CX778" s="177">
        <f t="shared" si="422"/>
        <v>1</v>
      </c>
      <c r="CY778" s="177">
        <f t="shared" si="426"/>
        <v>1</v>
      </c>
      <c r="CZ778" s="177">
        <f t="shared" si="422"/>
        <v>1</v>
      </c>
      <c r="DA778" s="177">
        <f t="shared" si="427"/>
        <v>1</v>
      </c>
      <c r="DB778" s="177">
        <f t="shared" si="422"/>
        <v>1</v>
      </c>
      <c r="DC778" s="177">
        <f t="shared" si="428"/>
        <v>1</v>
      </c>
      <c r="DD778" s="177">
        <f t="shared" si="429"/>
        <v>1</v>
      </c>
      <c r="DE778" s="177">
        <f t="shared" si="430"/>
        <v>1</v>
      </c>
    </row>
    <row r="779" spans="1:109" ht="18" customHeight="1" x14ac:dyDescent="0.3">
      <c r="A779" s="81">
        <v>0.60416666666668595</v>
      </c>
      <c r="B779" s="153"/>
      <c r="C779" s="130"/>
      <c r="D779" s="135"/>
      <c r="E779" s="130"/>
      <c r="F779" s="135"/>
      <c r="G779" s="130"/>
      <c r="H779" s="135"/>
      <c r="I779" s="130"/>
      <c r="J779" s="135"/>
      <c r="K779" s="130"/>
      <c r="L779" s="135"/>
      <c r="M779" s="130"/>
      <c r="N779" s="135"/>
      <c r="O779" s="154"/>
      <c r="P779" s="6">
        <v>0</v>
      </c>
      <c r="Q779" s="118" t="str">
        <f t="shared" si="445"/>
        <v>Trabalho de Grupo</v>
      </c>
      <c r="R779" s="105" t="str">
        <f t="shared" si="439"/>
        <v>AL</v>
      </c>
      <c r="S779" s="88">
        <f t="shared" si="436"/>
        <v>-1</v>
      </c>
      <c r="T779" s="89">
        <f>IF(VLOOKUP(Q779,'INFO BASE'!$B$40:$I$54,IF(R779='INFO BASE'!$B$32,3,IF(R779='INFO BASE'!$B$33,4,IF(R779='INFO BASE'!$B$34,5,IF(R779='INFO BASE'!$B$35,6,IF(R779='INFO BASE'!$B$36,7,IF(R779='INFO BASE'!$B$37,8,2)))))),0)=0,"",VLOOKUP(Q779,'INFO BASE'!$B$40:$I$54,IF(R779='INFO BASE'!$B$32,3,IF(R779='INFO BASE'!$B$33,4,IF(R779='INFO BASE'!$B$34,5,IF(R779='INFO BASE'!$B$35,6,IF(R779='INFO BASE'!$B$36,7,IF(R779='INFO BASE'!$B$37,8,2)))))),0))</f>
        <v>3</v>
      </c>
      <c r="U779" s="89">
        <f>(COUNTIFS(C750:C797,R779,B750:B797,R775)+COUNTIFS(E750:E797,R779,D750:D797,R775)+COUNTIFS(G750:G797,R779,F750:F797,R775)+COUNTIFS(I750:I797,R779,H750:H797,R775)+COUNTIFS(K750:K797,R779,J750:J797,R775)+COUNTIFS(M750:M797,R779,L750:L797,R775)+COUNTIFS(O750:O797,R779,N750:N797,R775))*0.5</f>
        <v>0</v>
      </c>
      <c r="V779" s="89">
        <f>(COUNTIFS(AI750:AI797,R775,AJ750:AJ797,R772)+COUNTIFS(AK750:AK797,R775,AL750:AL797,R772)+COUNTIFS(AM750:AM797,R775,AN750:AN797,R772)+COUNTIFS(AO750:AO797,R775,AP750:AP797,R772)+COUNTIFS(AQ750:AQ797,R775,AR750:AR797,R772)+COUNTIFS(AS750:AS797,R775,AT750:AT797,R772)+COUNTIFS(AU750:AU797,R775,AV750:AV797,R772))*0.5</f>
        <v>0</v>
      </c>
      <c r="W779" s="90" t="str">
        <f>IF(AH746="","-",IF(V779=0,U779,IFERROR((U779/V779)-1,"-")))</f>
        <v>-</v>
      </c>
      <c r="X779" s="201">
        <f t="shared" si="437"/>
        <v>0</v>
      </c>
      <c r="Y779" s="271"/>
      <c r="Z779" s="272"/>
      <c r="AA779" s="272"/>
      <c r="AB779" s="272"/>
      <c r="AC779" s="272"/>
      <c r="AD779" s="272"/>
      <c r="AE779" s="272"/>
      <c r="AF779" s="273"/>
      <c r="AH779" s="136">
        <v>0.60416666666668595</v>
      </c>
      <c r="AI779" s="136" t="str">
        <f>IF(AH746="","",IF(B779="","",B779))</f>
        <v/>
      </c>
      <c r="AJ779" s="136" t="str">
        <f>IF(AH746="","",IF(C779="","",C779))</f>
        <v/>
      </c>
      <c r="AK779" s="136" t="str">
        <f>IF(AH746="","",IF(D779="","",D779))</f>
        <v/>
      </c>
      <c r="AL779" s="136" t="str">
        <f>IF(AH746="","",IF(E779="","",E779))</f>
        <v/>
      </c>
      <c r="AM779" s="136" t="str">
        <f>IF(AH746="","",IF(F779="","",F779))</f>
        <v/>
      </c>
      <c r="AN779" s="136" t="str">
        <f>IF(AH746="","",IF(G779="","",G779))</f>
        <v/>
      </c>
      <c r="AO779" s="136" t="str">
        <f>IF(AH746="","",IF(H779="","",H779))</f>
        <v/>
      </c>
      <c r="AP779" s="136" t="str">
        <f>IF(AH746="","",IF(I779="","",I779))</f>
        <v/>
      </c>
      <c r="AQ779" s="136" t="str">
        <f>IF(AH746="","",IF(J779="","",J779))</f>
        <v/>
      </c>
      <c r="AR779" s="136" t="str">
        <f>IF(AH746="","",IF(K779="","",K779))</f>
        <v/>
      </c>
      <c r="AS779" s="136" t="str">
        <f>IF(AH746="","",IF(L779="","",L779))</f>
        <v/>
      </c>
      <c r="AT779" s="136" t="str">
        <f>IF(AH746="","",IF(M779="","",M779))</f>
        <v/>
      </c>
      <c r="AU779" s="136" t="str">
        <f>IF(AH746="","",IF(N779="","",N779))</f>
        <v/>
      </c>
      <c r="AV779" s="136" t="str">
        <f>IF(AH746="","",IF(O779="","",O779))</f>
        <v/>
      </c>
      <c r="AX779" s="136" t="str">
        <f>IF(AI746="","",IF(B779="","",B779))</f>
        <v/>
      </c>
      <c r="AY779" s="136" t="str">
        <f>IF(AI746="","",IF(C779="","",C779))</f>
        <v/>
      </c>
      <c r="AZ779" s="136" t="str">
        <f>IF(AI746="","",IF(D779="","",D779))</f>
        <v/>
      </c>
      <c r="BA779" s="136" t="str">
        <f>IF(AI746="","",IF(E779="","",E779))</f>
        <v/>
      </c>
      <c r="BB779" s="136" t="str">
        <f>IF(AI746="","",IF(F779="","",F779))</f>
        <v/>
      </c>
      <c r="BC779" s="136" t="str">
        <f>IF(AI746="","",IF(G779="","",G779))</f>
        <v/>
      </c>
      <c r="BD779" s="136" t="str">
        <f>IF(AI746="","",IF(H779="","",H779))</f>
        <v/>
      </c>
      <c r="BE779" s="136" t="str">
        <f>IF(AI746="","",IF(I779="","",I779))</f>
        <v/>
      </c>
      <c r="BF779" s="136" t="str">
        <f>IF(AI746="","",IF(J779="","",J779))</f>
        <v/>
      </c>
      <c r="BG779" s="136" t="str">
        <f>IF(AI746="","",IF(K779="","",K779))</f>
        <v/>
      </c>
      <c r="BH779" s="136" t="str">
        <f>IF(AI746="","",IF(L779="","",L779))</f>
        <v/>
      </c>
      <c r="BI779" s="136" t="str">
        <f>IF(AI746="","",IF(M779="","",M779))</f>
        <v/>
      </c>
      <c r="BJ779" s="136" t="str">
        <f>IF(AI746="","",IF(N779="","",N779))</f>
        <v/>
      </c>
      <c r="BK779" s="136" t="str">
        <f>IF(AI746="","",IF(O779="","",O779))</f>
        <v/>
      </c>
      <c r="BM779" s="136" t="str">
        <f>BO779</f>
        <v>AT</v>
      </c>
      <c r="BN779" s="136" t="str">
        <f t="shared" si="432"/>
        <v>Aulas Teóricas</v>
      </c>
      <c r="BO779" s="136" t="str">
        <f t="shared" si="432"/>
        <v>AT</v>
      </c>
      <c r="BP779" s="136">
        <f>COUNTIFS(AX750:BK797,BO779)*0.5</f>
        <v>0</v>
      </c>
      <c r="BQ779" s="136" t="str">
        <f t="shared" si="433"/>
        <v>Aulas Teóricas</v>
      </c>
      <c r="BR779" s="136" t="str">
        <f t="shared" si="433"/>
        <v>AT</v>
      </c>
      <c r="BS779" s="136" t="str">
        <f t="shared" si="434"/>
        <v>Aulas Teóricas</v>
      </c>
      <c r="BT779" s="136">
        <f t="shared" si="440"/>
        <v>120</v>
      </c>
      <c r="BU779" s="136">
        <f t="shared" si="441"/>
        <v>120</v>
      </c>
      <c r="CA779" s="136">
        <f>'INFO BASE'!L858</f>
        <v>0</v>
      </c>
      <c r="CB779" s="136">
        <f>'INFO BASE'!M858</f>
        <v>0</v>
      </c>
      <c r="CR779" s="177">
        <f t="shared" si="422"/>
        <v>1</v>
      </c>
      <c r="CS779" s="177">
        <f t="shared" si="423"/>
        <v>1</v>
      </c>
      <c r="CT779" s="177">
        <f t="shared" si="422"/>
        <v>1</v>
      </c>
      <c r="CU779" s="177">
        <f t="shared" si="424"/>
        <v>1</v>
      </c>
      <c r="CV779" s="177">
        <f t="shared" si="422"/>
        <v>1</v>
      </c>
      <c r="CW779" s="177">
        <f t="shared" si="425"/>
        <v>1</v>
      </c>
      <c r="CX779" s="177">
        <f t="shared" si="422"/>
        <v>1</v>
      </c>
      <c r="CY779" s="177">
        <f t="shared" si="426"/>
        <v>1</v>
      </c>
      <c r="CZ779" s="177">
        <f t="shared" si="422"/>
        <v>1</v>
      </c>
      <c r="DA779" s="177">
        <f t="shared" si="427"/>
        <v>1</v>
      </c>
      <c r="DB779" s="177">
        <f t="shared" si="422"/>
        <v>1</v>
      </c>
      <c r="DC779" s="177">
        <f t="shared" si="428"/>
        <v>1</v>
      </c>
      <c r="DD779" s="177">
        <f t="shared" si="429"/>
        <v>1</v>
      </c>
      <c r="DE779" s="177">
        <f t="shared" si="430"/>
        <v>1</v>
      </c>
    </row>
    <row r="780" spans="1:109" ht="18" customHeight="1" x14ac:dyDescent="0.3">
      <c r="A780" s="81">
        <v>0.62500000000001998</v>
      </c>
      <c r="B780" s="153"/>
      <c r="C780" s="130"/>
      <c r="D780" s="135"/>
      <c r="E780" s="130"/>
      <c r="F780" s="135"/>
      <c r="G780" s="130"/>
      <c r="H780" s="135"/>
      <c r="I780" s="130"/>
      <c r="J780" s="135"/>
      <c r="K780" s="130"/>
      <c r="L780" s="135"/>
      <c r="M780" s="130"/>
      <c r="N780" s="135"/>
      <c r="O780" s="154"/>
      <c r="P780" s="6">
        <v>0</v>
      </c>
      <c r="Q780" s="118" t="str">
        <f t="shared" si="445"/>
        <v>Trabalho de Grupo</v>
      </c>
      <c r="R780" s="105" t="str">
        <f t="shared" si="439"/>
        <v>CDI</v>
      </c>
      <c r="S780" s="88">
        <f t="shared" si="436"/>
        <v>-1</v>
      </c>
      <c r="T780" s="89">
        <f>IF(VLOOKUP(Q780,'INFO BASE'!$B$40:$I$54,IF(R780='INFO BASE'!$B$32,3,IF(R780='INFO BASE'!$B$33,4,IF(R780='INFO BASE'!$B$34,5,IF(R780='INFO BASE'!$B$35,6,IF(R780='INFO BASE'!$B$36,7,IF(R780='INFO BASE'!$B$37,8,2)))))),0)=0,"",VLOOKUP(Q780,'INFO BASE'!$B$40:$I$54,IF(R780='INFO BASE'!$B$32,3,IF(R780='INFO BASE'!$B$33,4,IF(R780='INFO BASE'!$B$34,5,IF(R780='INFO BASE'!$B$35,6,IF(R780='INFO BASE'!$B$36,7,IF(R780='INFO BASE'!$B$37,8,2)))))),0))</f>
        <v>3</v>
      </c>
      <c r="U780" s="89">
        <f>(COUNTIFS(C750:C797,R780,B750:B797,R775)+COUNTIFS(E750:E797,R780,D750:D797,R775)+COUNTIFS(G750:G797,R780,F750:F797,R775)+COUNTIFS(I750:I797,R780,H750:H797,R775)+COUNTIFS(K750:K797,R780,J750:J797,R775)+COUNTIFS(M750:M797,R780,L750:L797,R775)+COUNTIFS(O750:O797,R780,N750:N797,R775))*0.5</f>
        <v>0</v>
      </c>
      <c r="V780" s="89">
        <f>(COUNTIFS(AI750:AI797,R775,AJ750:AJ797,R773)+COUNTIFS(AK750:AK797,R775,AL750:AL797,R773)+COUNTIFS(AM750:AM797,R775,AN750:AN797,R773)+COUNTIFS(AO750:AO797,R775,AP750:AP797,R773)+COUNTIFS(AQ750:AQ797,R775,AR750:AR797,R773)+COUNTIFS(AS750:AS797,R775,AT750:AT797,R773)+COUNTIFS(AU750:AU797,R775,AV750:AV797,R773))*0.5</f>
        <v>0</v>
      </c>
      <c r="W780" s="90" t="str">
        <f>IF(AH746="","-",IF(V780=0,U780,IFERROR((U780/V780)-1,"-")))</f>
        <v>-</v>
      </c>
      <c r="X780" s="201">
        <f t="shared" si="437"/>
        <v>0</v>
      </c>
      <c r="Y780" s="271"/>
      <c r="Z780" s="272"/>
      <c r="AA780" s="272"/>
      <c r="AB780" s="272"/>
      <c r="AC780" s="272"/>
      <c r="AD780" s="272"/>
      <c r="AE780" s="272"/>
      <c r="AF780" s="273"/>
      <c r="AH780" s="136">
        <v>0.62500000000001998</v>
      </c>
      <c r="AI780" s="136" t="str">
        <f>IF(AH746="","",IF(B780="","",B780))</f>
        <v/>
      </c>
      <c r="AJ780" s="136" t="str">
        <f>IF(AH746="","",IF(C780="","",C780))</f>
        <v/>
      </c>
      <c r="AK780" s="136" t="str">
        <f>IF(AH746="","",IF(D780="","",D780))</f>
        <v/>
      </c>
      <c r="AL780" s="136" t="str">
        <f>IF(AH746="","",IF(E780="","",E780))</f>
        <v/>
      </c>
      <c r="AM780" s="136" t="str">
        <f>IF(AH746="","",IF(F780="","",F780))</f>
        <v/>
      </c>
      <c r="AN780" s="136" t="str">
        <f>IF(AH746="","",IF(G780="","",G780))</f>
        <v/>
      </c>
      <c r="AO780" s="136" t="str">
        <f>IF(AH746="","",IF(H780="","",H780))</f>
        <v/>
      </c>
      <c r="AP780" s="136" t="str">
        <f>IF(AH746="","",IF(I780="","",I780))</f>
        <v/>
      </c>
      <c r="AQ780" s="136" t="str">
        <f>IF(AH746="","",IF(J780="","",J780))</f>
        <v/>
      </c>
      <c r="AR780" s="136" t="str">
        <f>IF(AH746="","",IF(K780="","",K780))</f>
        <v/>
      </c>
      <c r="AS780" s="136" t="str">
        <f>IF(AH746="","",IF(L780="","",L780))</f>
        <v/>
      </c>
      <c r="AT780" s="136" t="str">
        <f>IF(AH746="","",IF(M780="","",M780))</f>
        <v/>
      </c>
      <c r="AU780" s="136" t="str">
        <f>IF(AH746="","",IF(N780="","",N780))</f>
        <v/>
      </c>
      <c r="AV780" s="136" t="str">
        <f>IF(AH746="","",IF(O780="","",O780))</f>
        <v/>
      </c>
      <c r="AX780" s="136" t="str">
        <f>IF(AI746="","",IF(B780="","",B780))</f>
        <v/>
      </c>
      <c r="AY780" s="136" t="str">
        <f>IF(AI746="","",IF(C780="","",C780))</f>
        <v/>
      </c>
      <c r="AZ780" s="136" t="str">
        <f>IF(AI746="","",IF(D780="","",D780))</f>
        <v/>
      </c>
      <c r="BA780" s="136" t="str">
        <f>IF(AI746="","",IF(E780="","",E780))</f>
        <v/>
      </c>
      <c r="BB780" s="136" t="str">
        <f>IF(AI746="","",IF(F780="","",F780))</f>
        <v/>
      </c>
      <c r="BC780" s="136" t="str">
        <f>IF(AI746="","",IF(G780="","",G780))</f>
        <v/>
      </c>
      <c r="BD780" s="136" t="str">
        <f>IF(AI746="","",IF(H780="","",H780))</f>
        <v/>
      </c>
      <c r="BE780" s="136" t="str">
        <f>IF(AI746="","",IF(I780="","",I780))</f>
        <v/>
      </c>
      <c r="BF780" s="136" t="str">
        <f>IF(AI746="","",IF(J780="","",J780))</f>
        <v/>
      </c>
      <c r="BG780" s="136" t="str">
        <f>IF(AI746="","",IF(K780="","",K780))</f>
        <v/>
      </c>
      <c r="BH780" s="136" t="str">
        <f>IF(AI746="","",IF(L780="","",L780))</f>
        <v/>
      </c>
      <c r="BI780" s="136" t="str">
        <f>IF(AI746="","",IF(M780="","",M780))</f>
        <v/>
      </c>
      <c r="BJ780" s="136" t="str">
        <f>IF(AI746="","",IF(N780="","",N780))</f>
        <v/>
      </c>
      <c r="BK780" s="136" t="str">
        <f>IF(AI746="","",IF(O780="","",O780))</f>
        <v/>
      </c>
      <c r="BM780" s="136" t="str">
        <f>BM779</f>
        <v>AT</v>
      </c>
      <c r="BN780" s="136" t="str">
        <f t="shared" si="432"/>
        <v>Aulas Teóricas</v>
      </c>
      <c r="BO780" s="136" t="str">
        <f t="shared" si="432"/>
        <v>FP</v>
      </c>
      <c r="BP780" s="136">
        <f>(COUNTIFS(AX750:AX797,BM780,AY750:AY797,BO780)+COUNTIFS(AZ750:AZ797,BM780,BA750:BA797,BO780)+COUNTIFS(BB750:BB797,BM780,BC750:BC797,BO780)+COUNTIFS(BD750:BD797,BM780,BE750:BE797,BO780)+COUNTIFS(BF750:BF797,BM780,BG750:BG797,BO780)+COUNTIFS(BH750:BH797,BM780,BI750:BI797,BO780)+COUNTIFS(BJ750:BJ797,BM780,BK750:BK797,BO780))*0.5</f>
        <v>0</v>
      </c>
      <c r="BQ780" s="136" t="str">
        <f t="shared" si="433"/>
        <v>Aulas Teóricas</v>
      </c>
      <c r="BR780" s="136" t="str">
        <f t="shared" si="433"/>
        <v>FP</v>
      </c>
      <c r="BS780" s="136" t="str">
        <f t="shared" si="434"/>
        <v>Aulas Teóricas</v>
      </c>
      <c r="BT780" s="136">
        <f t="shared" si="440"/>
        <v>24</v>
      </c>
      <c r="BU780" s="136">
        <f t="shared" si="441"/>
        <v>24</v>
      </c>
      <c r="CR780" s="177">
        <f t="shared" si="422"/>
        <v>1</v>
      </c>
      <c r="CS780" s="177">
        <f t="shared" si="423"/>
        <v>1</v>
      </c>
      <c r="CT780" s="177">
        <f t="shared" si="422"/>
        <v>1</v>
      </c>
      <c r="CU780" s="177">
        <f t="shared" si="424"/>
        <v>1</v>
      </c>
      <c r="CV780" s="177">
        <f t="shared" si="422"/>
        <v>1</v>
      </c>
      <c r="CW780" s="177">
        <f t="shared" si="425"/>
        <v>1</v>
      </c>
      <c r="CX780" s="177">
        <f t="shared" si="422"/>
        <v>1</v>
      </c>
      <c r="CY780" s="177">
        <f t="shared" si="426"/>
        <v>1</v>
      </c>
      <c r="CZ780" s="177">
        <f t="shared" si="422"/>
        <v>1</v>
      </c>
      <c r="DA780" s="177">
        <f t="shared" si="427"/>
        <v>1</v>
      </c>
      <c r="DB780" s="177">
        <f t="shared" si="422"/>
        <v>1</v>
      </c>
      <c r="DC780" s="177">
        <f t="shared" si="428"/>
        <v>1</v>
      </c>
      <c r="DD780" s="177">
        <f t="shared" si="429"/>
        <v>1</v>
      </c>
      <c r="DE780" s="177">
        <f t="shared" si="430"/>
        <v>1</v>
      </c>
    </row>
    <row r="781" spans="1:109" ht="18" customHeight="1" thickBot="1" x14ac:dyDescent="0.35">
      <c r="A781" s="81">
        <v>0.64583333333335402</v>
      </c>
      <c r="B781" s="153"/>
      <c r="C781" s="130"/>
      <c r="D781" s="135"/>
      <c r="E781" s="130"/>
      <c r="F781" s="135"/>
      <c r="G781" s="130"/>
      <c r="H781" s="135"/>
      <c r="I781" s="130"/>
      <c r="J781" s="135"/>
      <c r="K781" s="130"/>
      <c r="L781" s="135"/>
      <c r="M781" s="130"/>
      <c r="N781" s="135"/>
      <c r="O781" s="154"/>
      <c r="P781" s="6">
        <v>0</v>
      </c>
      <c r="Q781" s="120" t="str">
        <f t="shared" si="445"/>
        <v>Trabalho de Grupo</v>
      </c>
      <c r="R781" s="107" t="str">
        <f t="shared" si="439"/>
        <v/>
      </c>
      <c r="S781" s="94" t="str">
        <f t="shared" si="436"/>
        <v>-</v>
      </c>
      <c r="T781" s="95" t="str">
        <f>IF(VLOOKUP(Q781,'INFO BASE'!$B$40:$I$54,IF(R781='INFO BASE'!$B$32,3,IF(R781='INFO BASE'!$B$33,4,IF(R781='INFO BASE'!$B$34,5,IF(R781='INFO BASE'!$B$35,6,IF(R781='INFO BASE'!$B$36,7,IF(R781='INFO BASE'!$B$37,8,2)))))),0)=0,"",VLOOKUP(Q781,'INFO BASE'!$B$40:$I$54,IF(R781='INFO BASE'!$B$32,3,IF(R781='INFO BASE'!$B$33,4,IF(R781='INFO BASE'!$B$34,5,IF(R781='INFO BASE'!$B$35,6,IF(R781='INFO BASE'!$B$36,7,IF(R781='INFO BASE'!$B$37,8,2)))))),0))</f>
        <v/>
      </c>
      <c r="U781" s="95">
        <f>(COUNTIFS(C750:C797,R781,B750:B797,R775)+COUNTIFS(E750:E797,R781,D750:D797,R775)+COUNTIFS(G750:G797,R781,F750:F797,R775)+COUNTIFS(I750:I797,R781,H750:H797,R775)+COUNTIFS(K750:K797,R781,J750:J797,R775)+COUNTIFS(M750:M797,R781,L750:L797,R775)+COUNTIFS(O750:O797,R781,N750:N797,R775))*0.5</f>
        <v>0</v>
      </c>
      <c r="V781" s="95">
        <f>(COUNTIFS(AI750:AI797,R775,AJ750:AJ797,R774)+COUNTIFS(AK750:AK797,R775,AL750:AL797,R774)+COUNTIFS(AM750:AM797,R775,AN750:AN797,R774)+COUNTIFS(AO750:AO797,R775,AP750:AP797,R774)+COUNTIFS(AQ750:AQ797,R775,AR750:AR797,R774)+COUNTIFS(AS750:AS797,R775,AT750:AT797,R774)+COUNTIFS(AU750:AU797,R775,AV750:AV797,R774))*0.5</f>
        <v>0</v>
      </c>
      <c r="W781" s="96" t="str">
        <f>IF(AH746="","-",IF(V781=0,U781,IFERROR((U781/V781)-1,"-")))</f>
        <v>-</v>
      </c>
      <c r="X781" s="201">
        <f t="shared" si="437"/>
        <v>0</v>
      </c>
      <c r="Y781" s="274"/>
      <c r="Z781" s="275"/>
      <c r="AA781" s="275"/>
      <c r="AB781" s="275"/>
      <c r="AC781" s="275"/>
      <c r="AD781" s="275"/>
      <c r="AE781" s="275"/>
      <c r="AF781" s="276"/>
      <c r="AH781" s="136">
        <v>0.64583333333335402</v>
      </c>
      <c r="AI781" s="136" t="str">
        <f>IF(AH746="","",IF(B781="","",B781))</f>
        <v/>
      </c>
      <c r="AJ781" s="136" t="str">
        <f>IF(AH746="","",IF(C781="","",C781))</f>
        <v/>
      </c>
      <c r="AK781" s="136" t="str">
        <f>IF(AH746="","",IF(D781="","",D781))</f>
        <v/>
      </c>
      <c r="AL781" s="136" t="str">
        <f>IF(AH746="","",IF(E781="","",E781))</f>
        <v/>
      </c>
      <c r="AM781" s="136" t="str">
        <f>IF(AH746="","",IF(F781="","",F781))</f>
        <v/>
      </c>
      <c r="AN781" s="136" t="str">
        <f>IF(AH746="","",IF(G781="","",G781))</f>
        <v/>
      </c>
      <c r="AO781" s="136" t="str">
        <f>IF(AH746="","",IF(H781="","",H781))</f>
        <v/>
      </c>
      <c r="AP781" s="136" t="str">
        <f>IF(AH746="","",IF(I781="","",I781))</f>
        <v/>
      </c>
      <c r="AQ781" s="136" t="str">
        <f>IF(AH746="","",IF(J781="","",J781))</f>
        <v/>
      </c>
      <c r="AR781" s="136" t="str">
        <f>IF(AH746="","",IF(K781="","",K781))</f>
        <v/>
      </c>
      <c r="AS781" s="136" t="str">
        <f>IF(AH746="","",IF(L781="","",L781))</f>
        <v/>
      </c>
      <c r="AT781" s="136" t="str">
        <f>IF(AH746="","",IF(M781="","",M781))</f>
        <v/>
      </c>
      <c r="AU781" s="136" t="str">
        <f>IF(AH746="","",IF(N781="","",N781))</f>
        <v/>
      </c>
      <c r="AV781" s="136" t="str">
        <f>IF(AH746="","",IF(O781="","",O781))</f>
        <v/>
      </c>
      <c r="AX781" s="136" t="str">
        <f>IF(AI746="","",IF(B781="","",B781))</f>
        <v/>
      </c>
      <c r="AY781" s="136" t="str">
        <f>IF(AI746="","",IF(C781="","",C781))</f>
        <v/>
      </c>
      <c r="AZ781" s="136" t="str">
        <f>IF(AI746="","",IF(D781="","",D781))</f>
        <v/>
      </c>
      <c r="BA781" s="136" t="str">
        <f>IF(AI746="","",IF(E781="","",E781))</f>
        <v/>
      </c>
      <c r="BB781" s="136" t="str">
        <f>IF(AI746="","",IF(F781="","",F781))</f>
        <v/>
      </c>
      <c r="BC781" s="136" t="str">
        <f>IF(AI746="","",IF(G781="","",G781))</f>
        <v/>
      </c>
      <c r="BD781" s="136" t="str">
        <f>IF(AI746="","",IF(H781="","",H781))</f>
        <v/>
      </c>
      <c r="BE781" s="136" t="str">
        <f>IF(AI746="","",IF(I781="","",I781))</f>
        <v/>
      </c>
      <c r="BF781" s="136" t="str">
        <f>IF(AI746="","",IF(J781="","",J781))</f>
        <v/>
      </c>
      <c r="BG781" s="136" t="str">
        <f>IF(AI746="","",IF(K781="","",K781))</f>
        <v/>
      </c>
      <c r="BH781" s="136" t="str">
        <f>IF(AI746="","",IF(L781="","",L781))</f>
        <v/>
      </c>
      <c r="BI781" s="136" t="str">
        <f>IF(AI746="","",IF(M781="","",M781))</f>
        <v/>
      </c>
      <c r="BJ781" s="136" t="str">
        <f>IF(AI746="","",IF(N781="","",N781))</f>
        <v/>
      </c>
      <c r="BK781" s="136" t="str">
        <f>IF(AI746="","",IF(O781="","",O781))</f>
        <v/>
      </c>
      <c r="BM781" s="136" t="str">
        <f t="shared" ref="BM781:BM785" si="446">BM780</f>
        <v>AT</v>
      </c>
      <c r="BN781" s="136" t="str">
        <f t="shared" si="432"/>
        <v>Aulas Teóricas</v>
      </c>
      <c r="BO781" s="136" t="str">
        <f t="shared" si="432"/>
        <v>IEI</v>
      </c>
      <c r="BP781" s="136">
        <f>(COUNTIFS(AX750:AX797,BM781,AY750:AY797,BO781)+COUNTIFS(AZ750:AZ797,BM781,BA750:BA797,BO781)+COUNTIFS(BB750:BB797,BM781,BC750:BC797,BO781)+COUNTIFS(BD750:BD797,BM781,BE750:BE797,BO781)+COUNTIFS(BF750:BF797,BM781,BG750:BG797,BO781)+COUNTIFS(BH750:BH797,BM781,BI750:BI797,BO781)+COUNTIFS(BJ750:BJ797,BM781,BK750:BK797,BO781))*0.5</f>
        <v>0</v>
      </c>
      <c r="BQ781" s="136" t="str">
        <f t="shared" si="433"/>
        <v>Aulas Teóricas</v>
      </c>
      <c r="BR781" s="136" t="str">
        <f t="shared" si="433"/>
        <v>IEI</v>
      </c>
      <c r="BS781" s="136" t="str">
        <f t="shared" si="434"/>
        <v>Aulas Teóricas</v>
      </c>
      <c r="BT781" s="136">
        <f t="shared" si="440"/>
        <v>24</v>
      </c>
      <c r="BU781" s="136">
        <f t="shared" si="441"/>
        <v>24</v>
      </c>
      <c r="CA781" s="136">
        <f>'INFO BASE'!L859</f>
        <v>0</v>
      </c>
      <c r="CB781" s="136">
        <f>'INFO BASE'!M859</f>
        <v>0</v>
      </c>
      <c r="CR781" s="177">
        <f t="shared" si="422"/>
        <v>1</v>
      </c>
      <c r="CS781" s="177">
        <f t="shared" si="423"/>
        <v>1</v>
      </c>
      <c r="CT781" s="177">
        <f t="shared" si="422"/>
        <v>1</v>
      </c>
      <c r="CU781" s="177">
        <f t="shared" si="424"/>
        <v>1</v>
      </c>
      <c r="CV781" s="177">
        <f t="shared" si="422"/>
        <v>1</v>
      </c>
      <c r="CW781" s="177">
        <f t="shared" si="425"/>
        <v>1</v>
      </c>
      <c r="CX781" s="177">
        <f t="shared" si="422"/>
        <v>1</v>
      </c>
      <c r="CY781" s="177">
        <f t="shared" si="426"/>
        <v>1</v>
      </c>
      <c r="CZ781" s="177">
        <f t="shared" si="422"/>
        <v>1</v>
      </c>
      <c r="DA781" s="177">
        <f t="shared" si="427"/>
        <v>1</v>
      </c>
      <c r="DB781" s="177">
        <f t="shared" si="422"/>
        <v>1</v>
      </c>
      <c r="DC781" s="177">
        <f t="shared" si="428"/>
        <v>1</v>
      </c>
      <c r="DD781" s="177">
        <f t="shared" si="429"/>
        <v>1</v>
      </c>
      <c r="DE781" s="177">
        <f t="shared" si="430"/>
        <v>1</v>
      </c>
    </row>
    <row r="782" spans="1:109" ht="18" customHeight="1" x14ac:dyDescent="0.3">
      <c r="A782" s="81">
        <v>0.66666666666668795</v>
      </c>
      <c r="B782" s="153"/>
      <c r="C782" s="130"/>
      <c r="D782" s="135"/>
      <c r="E782" s="130"/>
      <c r="F782" s="135"/>
      <c r="G782" s="130"/>
      <c r="H782" s="135"/>
      <c r="I782" s="130"/>
      <c r="J782" s="135"/>
      <c r="K782" s="130"/>
      <c r="L782" s="135"/>
      <c r="M782" s="130"/>
      <c r="N782" s="135"/>
      <c r="O782" s="154"/>
      <c r="P782" s="6">
        <v>0</v>
      </c>
      <c r="Q782" s="121" t="str">
        <f>IF('INFO BASE'!$C$20="","",'INFO BASE'!$C$20)</f>
        <v>Aulas Teóricas</v>
      </c>
      <c r="R782" s="82" t="str">
        <f t="shared" si="439"/>
        <v>AT</v>
      </c>
      <c r="S782" s="83">
        <f t="shared" si="436"/>
        <v>-1</v>
      </c>
      <c r="T782" s="84">
        <f>IF(VLOOKUP(Q782,'INFO BASE'!$B$40:$I$54,IF(R782='INFO BASE'!$B$32,3,IF(R782='INFO BASE'!$B$33,4,IF(R782='INFO BASE'!$B$34,5,IF(R782='INFO BASE'!$B$35,6,IF(R782='INFO BASE'!$B$36,7,IF(R782='INFO BASE'!$B$37,8,2)))))),0)=0,"",VLOOKUP(Q782,'INFO BASE'!$B$40:$I$54,IF(R782='INFO BASE'!$B$32,3,IF(R782='INFO BASE'!$B$33,4,IF(R782='INFO BASE'!$B$34,5,IF(R782='INFO BASE'!$B$35,6,IF(R782='INFO BASE'!$B$36,7,IF(R782='INFO BASE'!$B$37,8,2)))))),0))</f>
        <v>15</v>
      </c>
      <c r="U782" s="84">
        <f>IF(R782="","",COUNTIFS(SEMANA14,R782)*0.5)</f>
        <v>0</v>
      </c>
      <c r="V782" s="84">
        <f>IF(R782="","",COUNTIFS(AI750:AV797,R782)*0.5)</f>
        <v>0</v>
      </c>
      <c r="W782" s="85" t="str">
        <f>IF(AH746="","-",IF(V782=0,U782,IFERROR((U782/V782)-1,"-")))</f>
        <v>-</v>
      </c>
      <c r="X782" s="201">
        <f t="shared" si="437"/>
        <v>0</v>
      </c>
      <c r="Y782" s="277"/>
      <c r="Z782" s="278"/>
      <c r="AA782" s="278"/>
      <c r="AB782" s="278"/>
      <c r="AC782" s="278"/>
      <c r="AD782" s="278"/>
      <c r="AE782" s="278"/>
      <c r="AF782" s="279"/>
      <c r="AH782" s="136">
        <v>0.66666666666668795</v>
      </c>
      <c r="AI782" s="136" t="str">
        <f>IF(AH746="","",IF(B782="","",B782))</f>
        <v/>
      </c>
      <c r="AJ782" s="136" t="str">
        <f>IF(AH746="","",IF(C782="","",C782))</f>
        <v/>
      </c>
      <c r="AK782" s="136" t="str">
        <f>IF(AH746="","",IF(D782="","",D782))</f>
        <v/>
      </c>
      <c r="AL782" s="136" t="str">
        <f>IF(AH746="","",IF(E782="","",E782))</f>
        <v/>
      </c>
      <c r="AM782" s="136" t="str">
        <f>IF(AH746="","",IF(F782="","",F782))</f>
        <v/>
      </c>
      <c r="AN782" s="136" t="str">
        <f>IF(AH746="","",IF(G782="","",G782))</f>
        <v/>
      </c>
      <c r="AO782" s="136" t="str">
        <f>IF(AH746="","",IF(H782="","",H782))</f>
        <v/>
      </c>
      <c r="AP782" s="136" t="str">
        <f>IF(AH746="","",IF(I782="","",I782))</f>
        <v/>
      </c>
      <c r="AQ782" s="136" t="str">
        <f>IF(AH746="","",IF(J782="","",J782))</f>
        <v/>
      </c>
      <c r="AR782" s="136" t="str">
        <f>IF(AH746="","",IF(K782="","",K782))</f>
        <v/>
      </c>
      <c r="AS782" s="136" t="str">
        <f>IF(AH746="","",IF(L782="","",L782))</f>
        <v/>
      </c>
      <c r="AT782" s="136" t="str">
        <f>IF(AH746="","",IF(M782="","",M782))</f>
        <v/>
      </c>
      <c r="AU782" s="136" t="str">
        <f>IF(AH746="","",IF(N782="","",N782))</f>
        <v/>
      </c>
      <c r="AV782" s="136" t="str">
        <f>IF(AH746="","",IF(O782="","",O782))</f>
        <v/>
      </c>
      <c r="AX782" s="136" t="str">
        <f>IF(AI746="","",IF(B782="","",B782))</f>
        <v/>
      </c>
      <c r="AY782" s="136" t="str">
        <f>IF(AI746="","",IF(C782="","",C782))</f>
        <v/>
      </c>
      <c r="AZ782" s="136" t="str">
        <f>IF(AI746="","",IF(D782="","",D782))</f>
        <v/>
      </c>
      <c r="BA782" s="136" t="str">
        <f>IF(AI746="","",IF(E782="","",E782))</f>
        <v/>
      </c>
      <c r="BB782" s="136" t="str">
        <f>IF(AI746="","",IF(F782="","",F782))</f>
        <v/>
      </c>
      <c r="BC782" s="136" t="str">
        <f>IF(AI746="","",IF(G782="","",G782))</f>
        <v/>
      </c>
      <c r="BD782" s="136" t="str">
        <f>IF(AI746="","",IF(H782="","",H782))</f>
        <v/>
      </c>
      <c r="BE782" s="136" t="str">
        <f>IF(AI746="","",IF(I782="","",I782))</f>
        <v/>
      </c>
      <c r="BF782" s="136" t="str">
        <f>IF(AI746="","",IF(J782="","",J782))</f>
        <v/>
      </c>
      <c r="BG782" s="136" t="str">
        <f>IF(AI746="","",IF(K782="","",K782))</f>
        <v/>
      </c>
      <c r="BH782" s="136" t="str">
        <f>IF(AI746="","",IF(L782="","",L782))</f>
        <v/>
      </c>
      <c r="BI782" s="136" t="str">
        <f>IF(AI746="","",IF(M782="","",M782))</f>
        <v/>
      </c>
      <c r="BJ782" s="136" t="str">
        <f>IF(AI746="","",IF(N782="","",N782))</f>
        <v/>
      </c>
      <c r="BK782" s="136" t="str">
        <f>IF(AI746="","",IF(O782="","",O782))</f>
        <v/>
      </c>
      <c r="BM782" s="136" t="str">
        <f t="shared" si="446"/>
        <v>AT</v>
      </c>
      <c r="BN782" s="136" t="str">
        <f t="shared" si="432"/>
        <v>Aulas Teóricas</v>
      </c>
      <c r="BO782" s="136" t="str">
        <f t="shared" si="432"/>
        <v>IAC</v>
      </c>
      <c r="BP782" s="136">
        <f>(COUNTIFS(AX750:AX797,BM782,AY750:AY797,BO782)+COUNTIFS(AZ750:AZ797,BM782,BA750:BA797,BO782)+COUNTIFS(BB750:BB797,BM782,BC750:BC797,BO782)+COUNTIFS(BD750:BD797,BM782,BE750:BE797,BO782)+COUNTIFS(BF750:BF797,BM782,BG750:BG797,BO782)+COUNTIFS(BH750:BH797,BM782,BI750:BI797,BO782)+COUNTIFS(BJ750:BJ797,BM782,BK750:BK797,BO782))*0.5</f>
        <v>0</v>
      </c>
      <c r="BQ782" s="136" t="str">
        <f t="shared" si="433"/>
        <v>Aulas Teóricas</v>
      </c>
      <c r="BR782" s="136" t="str">
        <f t="shared" si="433"/>
        <v>IAC</v>
      </c>
      <c r="BS782" s="136" t="str">
        <f t="shared" si="434"/>
        <v>Aulas Teóricas</v>
      </c>
      <c r="BT782" s="136">
        <f t="shared" si="440"/>
        <v>24</v>
      </c>
      <c r="BU782" s="136">
        <f t="shared" si="441"/>
        <v>24</v>
      </c>
      <c r="CA782" s="136">
        <f>'INFO BASE'!L860</f>
        <v>0</v>
      </c>
      <c r="CB782" s="136">
        <f>'INFO BASE'!M860</f>
        <v>0</v>
      </c>
      <c r="CR782" s="177">
        <f t="shared" si="422"/>
        <v>1</v>
      </c>
      <c r="CS782" s="177">
        <f t="shared" si="423"/>
        <v>1</v>
      </c>
      <c r="CT782" s="177">
        <f t="shared" si="422"/>
        <v>1</v>
      </c>
      <c r="CU782" s="177">
        <f t="shared" si="424"/>
        <v>1</v>
      </c>
      <c r="CV782" s="177">
        <f t="shared" si="422"/>
        <v>1</v>
      </c>
      <c r="CW782" s="177">
        <f t="shared" si="425"/>
        <v>1</v>
      </c>
      <c r="CX782" s="177">
        <f t="shared" si="422"/>
        <v>1</v>
      </c>
      <c r="CY782" s="177">
        <f t="shared" si="426"/>
        <v>1</v>
      </c>
      <c r="CZ782" s="177">
        <f t="shared" si="422"/>
        <v>1</v>
      </c>
      <c r="DA782" s="177">
        <f t="shared" si="427"/>
        <v>1</v>
      </c>
      <c r="DB782" s="177">
        <f t="shared" si="422"/>
        <v>1</v>
      </c>
      <c r="DC782" s="177">
        <f t="shared" si="428"/>
        <v>1</v>
      </c>
      <c r="DD782" s="177">
        <f t="shared" si="429"/>
        <v>1</v>
      </c>
      <c r="DE782" s="177">
        <f t="shared" si="430"/>
        <v>1</v>
      </c>
    </row>
    <row r="783" spans="1:109" ht="18" customHeight="1" x14ac:dyDescent="0.3">
      <c r="A783" s="81">
        <v>0.68750000000002198</v>
      </c>
      <c r="B783" s="153"/>
      <c r="C783" s="130"/>
      <c r="D783" s="135"/>
      <c r="E783" s="130"/>
      <c r="F783" s="135"/>
      <c r="G783" s="130"/>
      <c r="H783" s="135"/>
      <c r="I783" s="130"/>
      <c r="J783" s="135"/>
      <c r="K783" s="130"/>
      <c r="L783" s="135"/>
      <c r="M783" s="130"/>
      <c r="N783" s="135"/>
      <c r="O783" s="154"/>
      <c r="P783" s="6">
        <v>0</v>
      </c>
      <c r="Q783" s="122" t="str">
        <f t="shared" ref="Q783:Q788" si="447">Q782</f>
        <v>Aulas Teóricas</v>
      </c>
      <c r="R783" s="105" t="str">
        <f t="shared" si="439"/>
        <v>FP</v>
      </c>
      <c r="S783" s="88">
        <f t="shared" si="436"/>
        <v>-1</v>
      </c>
      <c r="T783" s="89">
        <f>IF(VLOOKUP(Q783,'INFO BASE'!$B$40:$I$54,IF(R783='INFO BASE'!$B$32,3,IF(R783='INFO BASE'!$B$33,4,IF(R783='INFO BASE'!$B$34,5,IF(R783='INFO BASE'!$B$35,6,IF(R783='INFO BASE'!$B$36,7,IF(R783='INFO BASE'!$B$37,8,2)))))),0)=0,"",VLOOKUP(Q783,'INFO BASE'!$B$40:$I$54,IF(R783='INFO BASE'!$B$32,3,IF(R783='INFO BASE'!$B$33,4,IF(R783='INFO BASE'!$B$34,5,IF(R783='INFO BASE'!$B$35,6,IF(R783='INFO BASE'!$B$36,7,IF(R783='INFO BASE'!$B$37,8,2)))))),0))</f>
        <v>3</v>
      </c>
      <c r="U783" s="89">
        <f>(COUNTIFS(C750:C797,R783,B750:B797,R782)+COUNTIFS(E750:E797,R783,D750:D797,R782)+COUNTIFS(G750:G797,R783,F750:F797,R782)+COUNTIFS(I750:I797,R783,H750:H797,R782)+COUNTIFS(K750:K797,R783,J750:J797,R782)+COUNTIFS(M750:M797,R783,L750:L797,R782)+COUNTIFS(O750:O797,R783,N750:N797,R782))*0.5</f>
        <v>0</v>
      </c>
      <c r="V783" s="89">
        <f>(COUNTIFS(AI750:AI797,R782,AJ750:AJ797,R776)+COUNTIFS(AK750:AK797,R782,AL750:AL797,R776)+COUNTIFS(AM750:AM797,R782,AN750:AN797,R776)+COUNTIFS(AO750:AO797,R782,AP750:AP797,R776)+COUNTIFS(AQ750:AQ797,R782,AR750:AR797,R776)+COUNTIFS(AS750:AS797,R782,AT750:AT797,R776)+COUNTIFS(AU750:AU797,R782,AV750:AV797,R776))*0.5</f>
        <v>0</v>
      </c>
      <c r="W783" s="90" t="str">
        <f>IF(AH746="","-",IF(V783=0,U783,IFERROR((U783/V783)-1,"-")))</f>
        <v>-</v>
      </c>
      <c r="X783" s="201">
        <f t="shared" si="437"/>
        <v>0</v>
      </c>
      <c r="Y783" s="271"/>
      <c r="Z783" s="272"/>
      <c r="AA783" s="272"/>
      <c r="AB783" s="272"/>
      <c r="AC783" s="272"/>
      <c r="AD783" s="272"/>
      <c r="AE783" s="272"/>
      <c r="AF783" s="273"/>
      <c r="AH783" s="136">
        <v>0.68750000000002198</v>
      </c>
      <c r="AI783" s="136" t="str">
        <f>IF(AH746="","",IF(B783="","",B783))</f>
        <v/>
      </c>
      <c r="AJ783" s="136" t="str">
        <f>IF(AH746="","",IF(C783="","",C783))</f>
        <v/>
      </c>
      <c r="AK783" s="136" t="str">
        <f>IF(AH746="","",IF(D783="","",D783))</f>
        <v/>
      </c>
      <c r="AL783" s="136" t="str">
        <f>IF(AH746="","",IF(E783="","",E783))</f>
        <v/>
      </c>
      <c r="AM783" s="136" t="str">
        <f>IF(AH746="","",IF(F783="","",F783))</f>
        <v/>
      </c>
      <c r="AN783" s="136" t="str">
        <f>IF(AH746="","",IF(G783="","",G783))</f>
        <v/>
      </c>
      <c r="AO783" s="136" t="str">
        <f>IF(AH746="","",IF(H783="","",H783))</f>
        <v/>
      </c>
      <c r="AP783" s="136" t="str">
        <f>IF(AH746="","",IF(I783="","",I783))</f>
        <v/>
      </c>
      <c r="AQ783" s="136" t="str">
        <f>IF(AH746="","",IF(J783="","",J783))</f>
        <v/>
      </c>
      <c r="AR783" s="136" t="str">
        <f>IF(AH746="","",IF(K783="","",K783))</f>
        <v/>
      </c>
      <c r="AS783" s="136" t="str">
        <f>IF(AH746="","",IF(L783="","",L783))</f>
        <v/>
      </c>
      <c r="AT783" s="136" t="str">
        <f>IF(AH746="","",IF(M783="","",M783))</f>
        <v/>
      </c>
      <c r="AU783" s="136" t="str">
        <f>IF(AH746="","",IF(N783="","",N783))</f>
        <v/>
      </c>
      <c r="AV783" s="136" t="str">
        <f>IF(AH746="","",IF(O783="","",O783))</f>
        <v/>
      </c>
      <c r="AX783" s="136" t="str">
        <f>IF(AI746="","",IF(B783="","",B783))</f>
        <v/>
      </c>
      <c r="AY783" s="136" t="str">
        <f>IF(AI746="","",IF(C783="","",C783))</f>
        <v/>
      </c>
      <c r="AZ783" s="136" t="str">
        <f>IF(AI746="","",IF(D783="","",D783))</f>
        <v/>
      </c>
      <c r="BA783" s="136" t="str">
        <f>IF(AI746="","",IF(E783="","",E783))</f>
        <v/>
      </c>
      <c r="BB783" s="136" t="str">
        <f>IF(AI746="","",IF(F783="","",F783))</f>
        <v/>
      </c>
      <c r="BC783" s="136" t="str">
        <f>IF(AI746="","",IF(G783="","",G783))</f>
        <v/>
      </c>
      <c r="BD783" s="136" t="str">
        <f>IF(AI746="","",IF(H783="","",H783))</f>
        <v/>
      </c>
      <c r="BE783" s="136" t="str">
        <f>IF(AI746="","",IF(I783="","",I783))</f>
        <v/>
      </c>
      <c r="BF783" s="136" t="str">
        <f>IF(AI746="","",IF(J783="","",J783))</f>
        <v/>
      </c>
      <c r="BG783" s="136" t="str">
        <f>IF(AI746="","",IF(K783="","",K783))</f>
        <v/>
      </c>
      <c r="BH783" s="136" t="str">
        <f>IF(AI746="","",IF(L783="","",L783))</f>
        <v/>
      </c>
      <c r="BI783" s="136" t="str">
        <f>IF(AI746="","",IF(M783="","",M783))</f>
        <v/>
      </c>
      <c r="BJ783" s="136" t="str">
        <f>IF(AI746="","",IF(N783="","",N783))</f>
        <v/>
      </c>
      <c r="BK783" s="136" t="str">
        <f>IF(AI746="","",IF(O783="","",O783))</f>
        <v/>
      </c>
      <c r="BM783" s="136" t="str">
        <f t="shared" si="446"/>
        <v>AT</v>
      </c>
      <c r="BN783" s="136" t="str">
        <f t="shared" si="432"/>
        <v>Aulas Teóricas</v>
      </c>
      <c r="BO783" s="136" t="str">
        <f t="shared" si="432"/>
        <v>AL</v>
      </c>
      <c r="BP783" s="136">
        <f>(COUNTIFS(AX750:AX797,BM783,AY750:AY797,BO783)+COUNTIFS(AZ750:AZ797,BM783,BA750:BA797,BO783)+COUNTIFS(BB750:BB797,BM783,BC750:BC797,BO783)+COUNTIFS(BD750:BD797,BM783,BE750:BE797,BO783)+COUNTIFS(BF750:BF797,BM783,BG750:BG797,BO783)+COUNTIFS(BH750:BH797,BM783,BI750:BI797,BO783)+COUNTIFS(BJ750:BJ797,BM783,BK750:BK797,BO783))*0.5</f>
        <v>0</v>
      </c>
      <c r="BQ783" s="136" t="str">
        <f t="shared" si="433"/>
        <v>Aulas Teóricas</v>
      </c>
      <c r="BR783" s="136" t="str">
        <f t="shared" si="433"/>
        <v>AL</v>
      </c>
      <c r="BS783" s="136" t="str">
        <f t="shared" si="434"/>
        <v>Aulas Teóricas</v>
      </c>
      <c r="BT783" s="136">
        <f t="shared" si="440"/>
        <v>24</v>
      </c>
      <c r="BU783" s="136">
        <f t="shared" si="441"/>
        <v>24</v>
      </c>
      <c r="CA783" s="136">
        <f>'INFO BASE'!L861</f>
        <v>0</v>
      </c>
      <c r="CB783" s="136">
        <f>'INFO BASE'!M861</f>
        <v>0</v>
      </c>
      <c r="CR783" s="177">
        <f t="shared" si="422"/>
        <v>1</v>
      </c>
      <c r="CS783" s="177">
        <f t="shared" si="423"/>
        <v>1</v>
      </c>
      <c r="CT783" s="177">
        <f t="shared" si="422"/>
        <v>1</v>
      </c>
      <c r="CU783" s="177">
        <f t="shared" si="424"/>
        <v>1</v>
      </c>
      <c r="CV783" s="177">
        <f t="shared" si="422"/>
        <v>1</v>
      </c>
      <c r="CW783" s="177">
        <f t="shared" si="425"/>
        <v>1</v>
      </c>
      <c r="CX783" s="177">
        <f t="shared" si="422"/>
        <v>1</v>
      </c>
      <c r="CY783" s="177">
        <f t="shared" si="426"/>
        <v>1</v>
      </c>
      <c r="CZ783" s="177">
        <f t="shared" si="422"/>
        <v>1</v>
      </c>
      <c r="DA783" s="177">
        <f t="shared" si="427"/>
        <v>1</v>
      </c>
      <c r="DB783" s="177">
        <f t="shared" si="422"/>
        <v>1</v>
      </c>
      <c r="DC783" s="177">
        <f t="shared" si="428"/>
        <v>1</v>
      </c>
      <c r="DD783" s="177">
        <f t="shared" si="429"/>
        <v>1</v>
      </c>
      <c r="DE783" s="177">
        <f t="shared" si="430"/>
        <v>1</v>
      </c>
    </row>
    <row r="784" spans="1:109" ht="18" customHeight="1" x14ac:dyDescent="0.3">
      <c r="A784" s="81">
        <v>0.70833333333335602</v>
      </c>
      <c r="B784" s="153"/>
      <c r="C784" s="130"/>
      <c r="D784" s="135"/>
      <c r="E784" s="130"/>
      <c r="F784" s="135"/>
      <c r="G784" s="130"/>
      <c r="H784" s="135"/>
      <c r="I784" s="130"/>
      <c r="J784" s="135"/>
      <c r="K784" s="130"/>
      <c r="L784" s="135"/>
      <c r="M784" s="130"/>
      <c r="N784" s="135"/>
      <c r="O784" s="154"/>
      <c r="P784" s="6">
        <v>0</v>
      </c>
      <c r="Q784" s="122" t="str">
        <f t="shared" si="447"/>
        <v>Aulas Teóricas</v>
      </c>
      <c r="R784" s="105" t="str">
        <f t="shared" si="439"/>
        <v>IEI</v>
      </c>
      <c r="S784" s="88">
        <f t="shared" si="436"/>
        <v>-1</v>
      </c>
      <c r="T784" s="106">
        <f>IF(VLOOKUP(Q784,'INFO BASE'!$B$40:$I$54,IF(R784='INFO BASE'!$B$32,3,IF(R784='INFO BASE'!$B$33,4,IF(R784='INFO BASE'!$B$34,5,IF(R784='INFO BASE'!$B$35,6,IF(R784='INFO BASE'!$B$36,7,IF(R784='INFO BASE'!$B$37,8,2)))))),0)=0,"",VLOOKUP(Q784,'INFO BASE'!$B$40:$I$54,IF(R784='INFO BASE'!$B$32,3,IF(R784='INFO BASE'!$B$33,4,IF(R784='INFO BASE'!$B$34,5,IF(R784='INFO BASE'!$B$35,6,IF(R784='INFO BASE'!$B$36,7,IF(R784='INFO BASE'!$B$37,8,2)))))),0))</f>
        <v>3</v>
      </c>
      <c r="U784" s="106">
        <f>(COUNTIFS(C750:C797,R784,B750:B797,R782)+COUNTIFS(E750:E797,R784,D750:D797,R782)+COUNTIFS(G750:G797,R784,F750:F797,R782)+COUNTIFS(I750:I797,R784,H750:H797,R782)+COUNTIFS(K750:K797,R784,J750:J797,R782)+COUNTIFS(M750:M797,R784,L750:L797,R782)+COUNTIFS(O750:O797,R784,N750:N797,R782))*0.5</f>
        <v>0</v>
      </c>
      <c r="V784" s="89">
        <f>(COUNTIFS(AI750:AI797,R782,AJ750:AJ797,R777)+COUNTIFS(AK750:AK797,R782,AL750:AL797,R777)+COUNTIFS(AM750:AM797,R782,AN750:AN797,R777)+COUNTIFS(AO750:AO797,R782,AP750:AP797,R777)+COUNTIFS(AQ750:AQ797,R782,AR750:AR797,R777)+COUNTIFS(AS750:AS797,R782,AT750:AT797,R777)+COUNTIFS(AU750:AU797,R782,AV750:AV797,R777))*0.5</f>
        <v>0</v>
      </c>
      <c r="W784" s="90" t="str">
        <f>IF(AH746="","-",IF(V784=0,U784,IFERROR((U784/V784)-1,"-")))</f>
        <v>-</v>
      </c>
      <c r="X784" s="201">
        <f t="shared" si="437"/>
        <v>0</v>
      </c>
      <c r="Y784" s="271"/>
      <c r="Z784" s="272"/>
      <c r="AA784" s="272"/>
      <c r="AB784" s="272"/>
      <c r="AC784" s="272"/>
      <c r="AD784" s="272"/>
      <c r="AE784" s="272"/>
      <c r="AF784" s="273"/>
      <c r="AH784" s="136">
        <v>0.70833333333335602</v>
      </c>
      <c r="AI784" s="136" t="str">
        <f>IF(AH746="","",IF(B784="","",B784))</f>
        <v/>
      </c>
      <c r="AJ784" s="136" t="str">
        <f>IF(AH746="","",IF(C784="","",C784))</f>
        <v/>
      </c>
      <c r="AK784" s="136" t="str">
        <f>IF(AH746="","",IF(D784="","",D784))</f>
        <v/>
      </c>
      <c r="AL784" s="136" t="str">
        <f>IF(AH746="","",IF(E784="","",E784))</f>
        <v/>
      </c>
      <c r="AM784" s="136" t="str">
        <f>IF(AH746="","",IF(F784="","",F784))</f>
        <v/>
      </c>
      <c r="AN784" s="136" t="str">
        <f>IF(AH746="","",IF(G784="","",G784))</f>
        <v/>
      </c>
      <c r="AO784" s="136" t="str">
        <f>IF(AH746="","",IF(H784="","",H784))</f>
        <v/>
      </c>
      <c r="AP784" s="136" t="str">
        <f>IF(AH746="","",IF(I784="","",I784))</f>
        <v/>
      </c>
      <c r="AQ784" s="136" t="str">
        <f>IF(AH746="","",IF(J784="","",J784))</f>
        <v/>
      </c>
      <c r="AR784" s="136" t="str">
        <f>IF(AH746="","",IF(K784="","",K784))</f>
        <v/>
      </c>
      <c r="AS784" s="136" t="str">
        <f>IF(AH746="","",IF(L784="","",L784))</f>
        <v/>
      </c>
      <c r="AT784" s="136" t="str">
        <f>IF(AH746="","",IF(M784="","",M784))</f>
        <v/>
      </c>
      <c r="AU784" s="136" t="str">
        <f>IF(AH746="","",IF(N784="","",N784))</f>
        <v/>
      </c>
      <c r="AV784" s="136" t="str">
        <f>IF(AH746="","",IF(O784="","",O784))</f>
        <v/>
      </c>
      <c r="AX784" s="136" t="str">
        <f>IF(AI746="","",IF(B784="","",B784))</f>
        <v/>
      </c>
      <c r="AY784" s="136" t="str">
        <f>IF(AI746="","",IF(C784="","",C784))</f>
        <v/>
      </c>
      <c r="AZ784" s="136" t="str">
        <f>IF(AI746="","",IF(D784="","",D784))</f>
        <v/>
      </c>
      <c r="BA784" s="136" t="str">
        <f>IF(AI746="","",IF(E784="","",E784))</f>
        <v/>
      </c>
      <c r="BB784" s="136" t="str">
        <f>IF(AI746="","",IF(F784="","",F784))</f>
        <v/>
      </c>
      <c r="BC784" s="136" t="str">
        <f>IF(AI746="","",IF(G784="","",G784))</f>
        <v/>
      </c>
      <c r="BD784" s="136" t="str">
        <f>IF(AI746="","",IF(H784="","",H784))</f>
        <v/>
      </c>
      <c r="BE784" s="136" t="str">
        <f>IF(AI746="","",IF(I784="","",I784))</f>
        <v/>
      </c>
      <c r="BF784" s="136" t="str">
        <f>IF(AI746="","",IF(J784="","",J784))</f>
        <v/>
      </c>
      <c r="BG784" s="136" t="str">
        <f>IF(AI746="","",IF(K784="","",K784))</f>
        <v/>
      </c>
      <c r="BH784" s="136" t="str">
        <f>IF(AI746="","",IF(L784="","",L784))</f>
        <v/>
      </c>
      <c r="BI784" s="136" t="str">
        <f>IF(AI746="","",IF(M784="","",M784))</f>
        <v/>
      </c>
      <c r="BJ784" s="136" t="str">
        <f>IF(AI746="","",IF(N784="","",N784))</f>
        <v/>
      </c>
      <c r="BK784" s="136" t="str">
        <f>IF(AI746="","",IF(O784="","",O784))</f>
        <v/>
      </c>
      <c r="BM784" s="136" t="str">
        <f t="shared" si="446"/>
        <v>AT</v>
      </c>
      <c r="BN784" s="136" t="str">
        <f t="shared" si="432"/>
        <v>Aulas Teóricas</v>
      </c>
      <c r="BO784" s="136" t="str">
        <f t="shared" si="432"/>
        <v>CDI</v>
      </c>
      <c r="BP784" s="136">
        <f>(COUNTIFS(AX750:AX797,BM784,AY750:AY797,BO784)+COUNTIFS(AZ750:AZ797,BM784,BA750:BA797,BO784)+COUNTIFS(BB750:BB797,BM784,BC750:BC797,BO784)+COUNTIFS(BD750:BD797,BM784,BE750:BE797,BO784)+COUNTIFS(BF750:BF797,BM784,BG750:BG797,BO784)+COUNTIFS(BH750:BH797,BM784,BI750:BI797,BO784)+COUNTIFS(BJ750:BJ797,BM784,BK750:BK797,BO784))*0.5</f>
        <v>0</v>
      </c>
      <c r="BQ784" s="136" t="str">
        <f t="shared" si="433"/>
        <v>Aulas Teóricas</v>
      </c>
      <c r="BR784" s="136" t="str">
        <f t="shared" si="433"/>
        <v>CDI</v>
      </c>
      <c r="BS784" s="136" t="str">
        <f t="shared" si="434"/>
        <v>Aulas Teóricas</v>
      </c>
      <c r="BT784" s="136">
        <f t="shared" si="440"/>
        <v>24</v>
      </c>
      <c r="BU784" s="136">
        <f t="shared" si="441"/>
        <v>24</v>
      </c>
      <c r="CA784" s="136">
        <f>'INFO BASE'!L862</f>
        <v>0</v>
      </c>
      <c r="CB784" s="136">
        <f>'INFO BASE'!M862</f>
        <v>0</v>
      </c>
      <c r="CR784" s="177">
        <f t="shared" si="422"/>
        <v>1</v>
      </c>
      <c r="CS784" s="177">
        <f t="shared" si="423"/>
        <v>1</v>
      </c>
      <c r="CT784" s="177">
        <f t="shared" si="422"/>
        <v>1</v>
      </c>
      <c r="CU784" s="177">
        <f t="shared" si="424"/>
        <v>1</v>
      </c>
      <c r="CV784" s="177">
        <f t="shared" si="422"/>
        <v>1</v>
      </c>
      <c r="CW784" s="177">
        <f t="shared" si="425"/>
        <v>1</v>
      </c>
      <c r="CX784" s="177">
        <f t="shared" si="422"/>
        <v>1</v>
      </c>
      <c r="CY784" s="177">
        <f t="shared" si="426"/>
        <v>1</v>
      </c>
      <c r="CZ784" s="177">
        <f t="shared" si="422"/>
        <v>1</v>
      </c>
      <c r="DA784" s="177">
        <f t="shared" si="427"/>
        <v>1</v>
      </c>
      <c r="DB784" s="177">
        <f t="shared" si="422"/>
        <v>1</v>
      </c>
      <c r="DC784" s="177">
        <f t="shared" si="428"/>
        <v>1</v>
      </c>
      <c r="DD784" s="177">
        <f t="shared" si="429"/>
        <v>1</v>
      </c>
      <c r="DE784" s="177">
        <f t="shared" si="430"/>
        <v>1</v>
      </c>
    </row>
    <row r="785" spans="1:120" ht="18" customHeight="1" x14ac:dyDescent="0.3">
      <c r="A785" s="81">
        <v>0.72916666666669006</v>
      </c>
      <c r="B785" s="153"/>
      <c r="C785" s="130"/>
      <c r="D785" s="135"/>
      <c r="E785" s="130"/>
      <c r="F785" s="135"/>
      <c r="G785" s="130"/>
      <c r="H785" s="135"/>
      <c r="I785" s="130"/>
      <c r="J785" s="135"/>
      <c r="K785" s="130"/>
      <c r="L785" s="135"/>
      <c r="M785" s="130"/>
      <c r="N785" s="135"/>
      <c r="O785" s="154"/>
      <c r="P785" s="6">
        <v>0</v>
      </c>
      <c r="Q785" s="123" t="str">
        <f t="shared" si="447"/>
        <v>Aulas Teóricas</v>
      </c>
      <c r="R785" s="105" t="str">
        <f t="shared" si="439"/>
        <v>IAC</v>
      </c>
      <c r="S785" s="88">
        <f t="shared" si="436"/>
        <v>-1</v>
      </c>
      <c r="T785" s="106">
        <f>IF(VLOOKUP(Q785,'INFO BASE'!$B$40:$I$54,IF(R785='INFO BASE'!$B$32,3,IF(R785='INFO BASE'!$B$33,4,IF(R785='INFO BASE'!$B$34,5,IF(R785='INFO BASE'!$B$35,6,IF(R785='INFO BASE'!$B$36,7,IF(R785='INFO BASE'!$B$37,8,2)))))),0)=0,"",VLOOKUP(Q785,'INFO BASE'!$B$40:$I$54,IF(R785='INFO BASE'!$B$32,3,IF(R785='INFO BASE'!$B$33,4,IF(R785='INFO BASE'!$B$34,5,IF(R785='INFO BASE'!$B$35,6,IF(R785='INFO BASE'!$B$36,7,IF(R785='INFO BASE'!$B$37,8,2)))))),0))</f>
        <v>3</v>
      </c>
      <c r="U785" s="106">
        <f>(COUNTIFS(C750:C797,R785,B750:B797,R782)+COUNTIFS(E750:E797,R785,D750:D797,R782)+COUNTIFS(G750:G797,R785,F750:F797,R782)+COUNTIFS(I750:I797,R785,H750:H797,R782)+COUNTIFS(K750:K797,R785,J750:J797,R782)+COUNTIFS(M750:M797,R785,L750:L797,R782)+COUNTIFS(O750:O797,R785,N750:N797,R782))*0.5</f>
        <v>0</v>
      </c>
      <c r="V785" s="89">
        <f>(COUNTIFS(AI750:AI797,R782,AJ750:AJ797,R778)+COUNTIFS(AK750:AK797,R782,AL750:AL797,R778)+COUNTIFS(AM750:AM797,R782,AN750:AN797,R778)+COUNTIFS(AO750:AO797,R782,AP750:AP797,R778)+COUNTIFS(AQ750:AQ797,R782,AR750:AR797,R778)+COUNTIFS(AS750:AS797,R782,AT750:AT797,R778)+COUNTIFS(AU750:AU797,R782,AV750:AV797,R778))*0.5</f>
        <v>0</v>
      </c>
      <c r="W785" s="90" t="str">
        <f>IF(AH746="","-",IF(V785=0,U785,IFERROR((U785/V785)-1,"-")))</f>
        <v>-</v>
      </c>
      <c r="X785" s="201">
        <f t="shared" si="437"/>
        <v>0</v>
      </c>
      <c r="Y785" s="271"/>
      <c r="Z785" s="272"/>
      <c r="AA785" s="272"/>
      <c r="AB785" s="272"/>
      <c r="AC785" s="272"/>
      <c r="AD785" s="272"/>
      <c r="AE785" s="272"/>
      <c r="AF785" s="273"/>
      <c r="AH785" s="136">
        <v>0.72916666666669006</v>
      </c>
      <c r="AI785" s="136" t="str">
        <f>IF(AH746="","",IF(B785="","",B785))</f>
        <v/>
      </c>
      <c r="AJ785" s="136" t="str">
        <f>IF(AH746="","",IF(C785="","",C785))</f>
        <v/>
      </c>
      <c r="AK785" s="136" t="str">
        <f>IF(AH746="","",IF(D785="","",D785))</f>
        <v/>
      </c>
      <c r="AL785" s="136" t="str">
        <f>IF(AH746="","",IF(E785="","",E785))</f>
        <v/>
      </c>
      <c r="AM785" s="136" t="str">
        <f>IF(AH746="","",IF(F785="","",F785))</f>
        <v/>
      </c>
      <c r="AN785" s="136" t="str">
        <f>IF(AH746="","",IF(G785="","",G785))</f>
        <v/>
      </c>
      <c r="AO785" s="136" t="str">
        <f>IF(AH746="","",IF(H785="","",H785))</f>
        <v/>
      </c>
      <c r="AP785" s="136" t="str">
        <f>IF(AH746="","",IF(I785="","",I785))</f>
        <v/>
      </c>
      <c r="AQ785" s="136" t="str">
        <f>IF(AH746="","",IF(J785="","",J785))</f>
        <v/>
      </c>
      <c r="AR785" s="136" t="str">
        <f>IF(AH746="","",IF(K785="","",K785))</f>
        <v/>
      </c>
      <c r="AS785" s="136" t="str">
        <f>IF(AH746="","",IF(L785="","",L785))</f>
        <v/>
      </c>
      <c r="AT785" s="136" t="str">
        <f>IF(AH746="","",IF(M785="","",M785))</f>
        <v/>
      </c>
      <c r="AU785" s="136" t="str">
        <f>IF(AH746="","",IF(N785="","",N785))</f>
        <v/>
      </c>
      <c r="AV785" s="136" t="str">
        <f>IF(AH746="","",IF(O785="","",O785))</f>
        <v/>
      </c>
      <c r="AX785" s="136" t="str">
        <f>IF(AI746="","",IF(B785="","",B785))</f>
        <v/>
      </c>
      <c r="AY785" s="136" t="str">
        <f>IF(AI746="","",IF(C785="","",C785))</f>
        <v/>
      </c>
      <c r="AZ785" s="136" t="str">
        <f>IF(AI746="","",IF(D785="","",D785))</f>
        <v/>
      </c>
      <c r="BA785" s="136" t="str">
        <f>IF(AI746="","",IF(E785="","",E785))</f>
        <v/>
      </c>
      <c r="BB785" s="136" t="str">
        <f>IF(AI746="","",IF(F785="","",F785))</f>
        <v/>
      </c>
      <c r="BC785" s="136" t="str">
        <f>IF(AI746="","",IF(G785="","",G785))</f>
        <v/>
      </c>
      <c r="BD785" s="136" t="str">
        <f>IF(AI746="","",IF(H785="","",H785))</f>
        <v/>
      </c>
      <c r="BE785" s="136" t="str">
        <f>IF(AI746="","",IF(I785="","",I785))</f>
        <v/>
      </c>
      <c r="BF785" s="136" t="str">
        <f>IF(AI746="","",IF(J785="","",J785))</f>
        <v/>
      </c>
      <c r="BG785" s="136" t="str">
        <f>IF(AI746="","",IF(K785="","",K785))</f>
        <v/>
      </c>
      <c r="BH785" s="136" t="str">
        <f>IF(AI746="","",IF(L785="","",L785))</f>
        <v/>
      </c>
      <c r="BI785" s="136" t="str">
        <f>IF(AI746="","",IF(M785="","",M785))</f>
        <v/>
      </c>
      <c r="BJ785" s="136" t="str">
        <f>IF(AI746="","",IF(N785="","",N785))</f>
        <v/>
      </c>
      <c r="BK785" s="136" t="str">
        <f>IF(AI746="","",IF(O785="","",O785))</f>
        <v/>
      </c>
      <c r="BM785" s="136" t="str">
        <f t="shared" si="446"/>
        <v>AT</v>
      </c>
      <c r="BN785" s="136" t="str">
        <f t="shared" si="432"/>
        <v>Aulas Teóricas</v>
      </c>
      <c r="BO785" s="136" t="str">
        <f t="shared" si="432"/>
        <v/>
      </c>
      <c r="BP785" s="136">
        <f>(COUNTIFS(AX750:AX797,BM785,AY750:AY797,BO785)+COUNTIFS(AZ750:AZ797,BM785,BA750:BA797,BO785)+COUNTIFS(BB750:BB797,BM785,BC750:BC797,BO785)+COUNTIFS(BD750:BD797,BM785,BE750:BE797,BO785)+COUNTIFS(BF750:BF797,BM785,BG750:BG797,BO785)+COUNTIFS(BH750:BH797,BM785,BI750:BI797,BO785)+COUNTIFS(BJ750:BJ797,BM785,BK750:BK797,BO785))*0.5</f>
        <v>0</v>
      </c>
      <c r="BQ785" s="136" t="str">
        <f t="shared" si="433"/>
        <v>Aulas Teóricas</v>
      </c>
      <c r="BR785" s="136" t="str">
        <f t="shared" si="433"/>
        <v/>
      </c>
      <c r="BS785" s="136" t="str">
        <f t="shared" si="434"/>
        <v>Aulas Teóricas</v>
      </c>
      <c r="BT785" s="136">
        <f t="shared" si="440"/>
        <v>0</v>
      </c>
      <c r="BU785" s="136">
        <f t="shared" si="441"/>
        <v>0</v>
      </c>
      <c r="CA785" s="136">
        <f>'INFO BASE'!L863</f>
        <v>0</v>
      </c>
      <c r="CB785" s="136">
        <f>'INFO BASE'!M863</f>
        <v>0</v>
      </c>
      <c r="CR785" s="177">
        <f t="shared" si="422"/>
        <v>1</v>
      </c>
      <c r="CS785" s="177">
        <f t="shared" si="423"/>
        <v>1</v>
      </c>
      <c r="CT785" s="177">
        <f t="shared" si="422"/>
        <v>1</v>
      </c>
      <c r="CU785" s="177">
        <f t="shared" si="424"/>
        <v>1</v>
      </c>
      <c r="CV785" s="177">
        <f t="shared" si="422"/>
        <v>1</v>
      </c>
      <c r="CW785" s="177">
        <f t="shared" si="425"/>
        <v>1</v>
      </c>
      <c r="CX785" s="177">
        <f t="shared" si="422"/>
        <v>1</v>
      </c>
      <c r="CY785" s="177">
        <f t="shared" si="426"/>
        <v>1</v>
      </c>
      <c r="CZ785" s="177">
        <f t="shared" si="422"/>
        <v>1</v>
      </c>
      <c r="DA785" s="177">
        <f t="shared" si="427"/>
        <v>1</v>
      </c>
      <c r="DB785" s="177">
        <f t="shared" si="422"/>
        <v>1</v>
      </c>
      <c r="DC785" s="177">
        <f t="shared" si="428"/>
        <v>1</v>
      </c>
      <c r="DD785" s="177">
        <f t="shared" si="429"/>
        <v>1</v>
      </c>
      <c r="DE785" s="177">
        <f t="shared" si="430"/>
        <v>1</v>
      </c>
    </row>
    <row r="786" spans="1:120" ht="18" customHeight="1" x14ac:dyDescent="0.3">
      <c r="A786" s="81">
        <v>0.75000000000002398</v>
      </c>
      <c r="B786" s="153"/>
      <c r="C786" s="130"/>
      <c r="D786" s="135"/>
      <c r="E786" s="130"/>
      <c r="F786" s="135"/>
      <c r="G786" s="130"/>
      <c r="H786" s="135"/>
      <c r="I786" s="130"/>
      <c r="J786" s="135"/>
      <c r="K786" s="130"/>
      <c r="L786" s="135"/>
      <c r="M786" s="130"/>
      <c r="N786" s="135"/>
      <c r="O786" s="154"/>
      <c r="P786" s="6">
        <v>0</v>
      </c>
      <c r="Q786" s="122" t="str">
        <f t="shared" si="447"/>
        <v>Aulas Teóricas</v>
      </c>
      <c r="R786" s="105" t="str">
        <f t="shared" si="439"/>
        <v>AL</v>
      </c>
      <c r="S786" s="88">
        <f t="shared" si="436"/>
        <v>-1</v>
      </c>
      <c r="T786" s="106">
        <f>IF(VLOOKUP(Q786,'INFO BASE'!$B$40:$I$54,IF(R786='INFO BASE'!$B$32,3,IF(R786='INFO BASE'!$B$33,4,IF(R786='INFO BASE'!$B$34,5,IF(R786='INFO BASE'!$B$35,6,IF(R786='INFO BASE'!$B$36,7,IF(R786='INFO BASE'!$B$37,8,2)))))),0)=0,"",VLOOKUP(Q786,'INFO BASE'!$B$40:$I$54,IF(R786='INFO BASE'!$B$32,3,IF(R786='INFO BASE'!$B$33,4,IF(R786='INFO BASE'!$B$34,5,IF(R786='INFO BASE'!$B$35,6,IF(R786='INFO BASE'!$B$36,7,IF(R786='INFO BASE'!$B$37,8,2)))))),0))</f>
        <v>3</v>
      </c>
      <c r="U786" s="106">
        <f>(COUNTIFS(C750:C797,R786,B750:B797,R782)+COUNTIFS(E750:E797,R786,D750:D797,R782)+COUNTIFS(G750:G797,R786,F750:F797,R782)+COUNTIFS(I750:I797,R786,H750:H797,R782)+COUNTIFS(K750:K797,R786,J750:J797,R782)+COUNTIFS(M750:M797,R786,L750:L797,R782)+COUNTIFS(O750:O797,R786,N750:N797,R782))*0.5</f>
        <v>0</v>
      </c>
      <c r="V786" s="89">
        <f>(COUNTIFS(AI750:AI797,R782,AJ750:AJ797,R779)+COUNTIFS(AK750:AK797,R782,AL750:AL797,R779)+COUNTIFS(AM750:AM797,R782,AN750:AN797,R779)+COUNTIFS(AO750:AO797,R782,AP750:AP797,R779)+COUNTIFS(AQ750:AQ797,R782,AR750:AR797,R779)+COUNTIFS(AS750:AS797,R782,AT750:AT797,R779)+COUNTIFS(AU750:AU797,R782,AV750:AV797,R779))*0.5</f>
        <v>0</v>
      </c>
      <c r="W786" s="90" t="str">
        <f>IF(AH746="","-",IF(V786=0,U786,IFERROR((U786/V786)-1,"-")))</f>
        <v>-</v>
      </c>
      <c r="X786" s="201">
        <f t="shared" si="437"/>
        <v>0</v>
      </c>
      <c r="Y786" s="271"/>
      <c r="Z786" s="272"/>
      <c r="AA786" s="272"/>
      <c r="AB786" s="272"/>
      <c r="AC786" s="272"/>
      <c r="AD786" s="272"/>
      <c r="AE786" s="272"/>
      <c r="AF786" s="273"/>
      <c r="AH786" s="136">
        <v>0.75000000000002398</v>
      </c>
      <c r="AI786" s="136" t="str">
        <f>IF(AH746="","",IF(B786="","",B786))</f>
        <v/>
      </c>
      <c r="AJ786" s="136" t="str">
        <f>IF(AH746="","",IF(C786="","",C786))</f>
        <v/>
      </c>
      <c r="AK786" s="136" t="str">
        <f>IF(AH746="","",IF(D786="","",D786))</f>
        <v/>
      </c>
      <c r="AL786" s="136" t="str">
        <f>IF(AH746="","",IF(E786="","",E786))</f>
        <v/>
      </c>
      <c r="AM786" s="136" t="str">
        <f>IF(AH746="","",IF(F786="","",F786))</f>
        <v/>
      </c>
      <c r="AN786" s="136" t="str">
        <f>IF(AH746="","",IF(G786="","",G786))</f>
        <v/>
      </c>
      <c r="AO786" s="136" t="str">
        <f>IF(AH746="","",IF(H786="","",H786))</f>
        <v/>
      </c>
      <c r="AP786" s="136" t="str">
        <f>IF(AH746="","",IF(I786="","",I786))</f>
        <v/>
      </c>
      <c r="AQ786" s="136" t="str">
        <f>IF(AH746="","",IF(J786="","",J786))</f>
        <v/>
      </c>
      <c r="AR786" s="136" t="str">
        <f>IF(AH746="","",IF(K786="","",K786))</f>
        <v/>
      </c>
      <c r="AS786" s="136" t="str">
        <f>IF(AH746="","",IF(L786="","",L786))</f>
        <v/>
      </c>
      <c r="AT786" s="136" t="str">
        <f>IF(AH746="","",IF(M786="","",M786))</f>
        <v/>
      </c>
      <c r="AU786" s="136" t="str">
        <f>IF(AH746="","",IF(N786="","",N786))</f>
        <v/>
      </c>
      <c r="AV786" s="136" t="str">
        <f>IF(AH746="","",IF(O786="","",O786))</f>
        <v/>
      </c>
      <c r="AX786" s="136" t="str">
        <f>IF(AI746="","",IF(B786="","",B786))</f>
        <v/>
      </c>
      <c r="AY786" s="136" t="str">
        <f>IF(AI746="","",IF(C786="","",C786))</f>
        <v/>
      </c>
      <c r="AZ786" s="136" t="str">
        <f>IF(AI746="","",IF(D786="","",D786))</f>
        <v/>
      </c>
      <c r="BA786" s="136" t="str">
        <f>IF(AI746="","",IF(E786="","",E786))</f>
        <v/>
      </c>
      <c r="BB786" s="136" t="str">
        <f>IF(AI746="","",IF(F786="","",F786))</f>
        <v/>
      </c>
      <c r="BC786" s="136" t="str">
        <f>IF(AI746="","",IF(G786="","",G786))</f>
        <v/>
      </c>
      <c r="BD786" s="136" t="str">
        <f>IF(AI746="","",IF(H786="","",H786))</f>
        <v/>
      </c>
      <c r="BE786" s="136" t="str">
        <f>IF(AI746="","",IF(I786="","",I786))</f>
        <v/>
      </c>
      <c r="BF786" s="136" t="str">
        <f>IF(AI746="","",IF(J786="","",J786))</f>
        <v/>
      </c>
      <c r="BG786" s="136" t="str">
        <f>IF(AI746="","",IF(K786="","",K786))</f>
        <v/>
      </c>
      <c r="BH786" s="136" t="str">
        <f>IF(AI746="","",IF(L786="","",L786))</f>
        <v/>
      </c>
      <c r="BI786" s="136" t="str">
        <f>IF(AI746="","",IF(M786="","",M786))</f>
        <v/>
      </c>
      <c r="BJ786" s="136" t="str">
        <f>IF(AI746="","",IF(N786="","",N786))</f>
        <v/>
      </c>
      <c r="BK786" s="136" t="str">
        <f>IF(AI746="","",IF(O786="","",O786))</f>
        <v/>
      </c>
      <c r="BN786" s="136" t="str">
        <f t="shared" si="432"/>
        <v>Aulas Práticas</v>
      </c>
      <c r="BO786" s="136" t="str">
        <f t="shared" si="432"/>
        <v>APA</v>
      </c>
      <c r="BP786" s="136">
        <f>IF(BO786="","",COUNTIFS(AX750:BK797,BO786)*0.5)</f>
        <v>0</v>
      </c>
      <c r="BQ786" s="136" t="str">
        <f t="shared" si="433"/>
        <v>Aulas Práticas</v>
      </c>
      <c r="BR786" s="136" t="str">
        <f t="shared" si="433"/>
        <v>APA</v>
      </c>
      <c r="BS786" s="136" t="str">
        <f t="shared" si="434"/>
        <v>Aulas Práticas</v>
      </c>
      <c r="BT786" s="136">
        <f t="shared" si="440"/>
        <v>0</v>
      </c>
      <c r="BU786" s="136">
        <f t="shared" si="441"/>
        <v>0</v>
      </c>
      <c r="CA786" s="136">
        <f>'INFO BASE'!L864</f>
        <v>0</v>
      </c>
      <c r="CB786" s="136">
        <f>'INFO BASE'!M864</f>
        <v>0</v>
      </c>
      <c r="CR786" s="177">
        <f t="shared" si="422"/>
        <v>1</v>
      </c>
      <c r="CS786" s="177">
        <f t="shared" si="423"/>
        <v>1</v>
      </c>
      <c r="CT786" s="177">
        <f t="shared" si="422"/>
        <v>1</v>
      </c>
      <c r="CU786" s="177">
        <f t="shared" si="424"/>
        <v>1</v>
      </c>
      <c r="CV786" s="177">
        <f t="shared" si="422"/>
        <v>1</v>
      </c>
      <c r="CW786" s="177">
        <f t="shared" si="425"/>
        <v>1</v>
      </c>
      <c r="CX786" s="177">
        <f t="shared" si="422"/>
        <v>1</v>
      </c>
      <c r="CY786" s="177">
        <f t="shared" si="426"/>
        <v>1</v>
      </c>
      <c r="CZ786" s="177">
        <f t="shared" si="422"/>
        <v>1</v>
      </c>
      <c r="DA786" s="177">
        <f t="shared" si="427"/>
        <v>1</v>
      </c>
      <c r="DB786" s="177">
        <f t="shared" si="422"/>
        <v>1</v>
      </c>
      <c r="DC786" s="177">
        <f t="shared" si="428"/>
        <v>1</v>
      </c>
      <c r="DD786" s="177">
        <f t="shared" si="429"/>
        <v>1</v>
      </c>
      <c r="DE786" s="177">
        <f t="shared" si="430"/>
        <v>1</v>
      </c>
    </row>
    <row r="787" spans="1:120" ht="18" customHeight="1" x14ac:dyDescent="0.3">
      <c r="A787" s="81">
        <v>0.77083333333335802</v>
      </c>
      <c r="B787" s="153"/>
      <c r="C787" s="130"/>
      <c r="D787" s="135"/>
      <c r="E787" s="130"/>
      <c r="F787" s="135"/>
      <c r="G787" s="130"/>
      <c r="H787" s="135"/>
      <c r="I787" s="130"/>
      <c r="J787" s="135"/>
      <c r="K787" s="130"/>
      <c r="L787" s="135"/>
      <c r="M787" s="130"/>
      <c r="N787" s="135"/>
      <c r="O787" s="154"/>
      <c r="P787" s="6">
        <v>0</v>
      </c>
      <c r="Q787" s="122" t="str">
        <f t="shared" si="447"/>
        <v>Aulas Teóricas</v>
      </c>
      <c r="R787" s="105" t="str">
        <f t="shared" si="439"/>
        <v>CDI</v>
      </c>
      <c r="S787" s="88">
        <f t="shared" si="436"/>
        <v>-1</v>
      </c>
      <c r="T787" s="106">
        <f>IF(VLOOKUP(Q787,'INFO BASE'!$B$40:$I$54,IF(R787='INFO BASE'!$B$32,3,IF(R787='INFO BASE'!$B$33,4,IF(R787='INFO BASE'!$B$34,5,IF(R787='INFO BASE'!$B$35,6,IF(R787='INFO BASE'!$B$36,7,IF(R787='INFO BASE'!$B$37,8,2)))))),0)=0,"",VLOOKUP(Q787,'INFO BASE'!$B$40:$I$54,IF(R787='INFO BASE'!$B$32,3,IF(R787='INFO BASE'!$B$33,4,IF(R787='INFO BASE'!$B$34,5,IF(R787='INFO BASE'!$B$35,6,IF(R787='INFO BASE'!$B$36,7,IF(R787='INFO BASE'!$B$37,8,2)))))),0))</f>
        <v>3</v>
      </c>
      <c r="U787" s="106">
        <f>(COUNTIFS(C750:C797,R787,B750:B797,R782)+COUNTIFS(E750:E797,R787,D750:D797,R782)+COUNTIFS(G750:G797,R787,F750:F797,R782)+COUNTIFS(I750:I797,R787,H750:H797,R782)+COUNTIFS(K750:K797,R787,J750:J797,R782)+COUNTIFS(M750:M797,R787,L750:L797,R782)+COUNTIFS(O750:O797,R787,N750:N797,R782))*0.5</f>
        <v>0</v>
      </c>
      <c r="V787" s="89">
        <f>(COUNTIFS(AI750:AI797,R782,AJ750:AJ797,R780)+COUNTIFS(AK750:AK797,R782,AL750:AL797,R780)+COUNTIFS(AM750:AM797,R782,AN750:AN797,R780)+COUNTIFS(AO750:AO797,R782,AP750:AP797,R780)+COUNTIFS(AQ750:AQ797,R782,AR750:AR797,R780)+COUNTIFS(AS750:AS797,R782,AT750:AT797,R780)+COUNTIFS(AU750:AU797,R782,AV750:AV797,R780))*0.5</f>
        <v>0</v>
      </c>
      <c r="W787" s="90" t="str">
        <f>IF(AH746="","-",IF(V787=0,U787,IFERROR((U787/V787)-1,"-")))</f>
        <v>-</v>
      </c>
      <c r="X787" s="201">
        <f t="shared" si="437"/>
        <v>0</v>
      </c>
      <c r="Y787" s="271"/>
      <c r="Z787" s="272"/>
      <c r="AA787" s="272"/>
      <c r="AB787" s="272"/>
      <c r="AC787" s="272"/>
      <c r="AD787" s="272"/>
      <c r="AE787" s="272"/>
      <c r="AF787" s="273"/>
      <c r="AH787" s="136">
        <v>0.77083333333335802</v>
      </c>
      <c r="AI787" s="136" t="str">
        <f>IF(AH746="","",IF(B787="","",B787))</f>
        <v/>
      </c>
      <c r="AJ787" s="136" t="str">
        <f>IF(AH746="","",IF(C787="","",C787))</f>
        <v/>
      </c>
      <c r="AK787" s="136" t="str">
        <f>IF(AH746="","",IF(D787="","",D787))</f>
        <v/>
      </c>
      <c r="AL787" s="136" t="str">
        <f>IF(AH746="","",IF(E787="","",E787))</f>
        <v/>
      </c>
      <c r="AM787" s="136" t="str">
        <f>IF(AH746="","",IF(F787="","",F787))</f>
        <v/>
      </c>
      <c r="AN787" s="136" t="str">
        <f>IF(AH746="","",IF(G787="","",G787))</f>
        <v/>
      </c>
      <c r="AO787" s="136" t="str">
        <f>IF(AH746="","",IF(H787="","",H787))</f>
        <v/>
      </c>
      <c r="AP787" s="136" t="str">
        <f>IF(AH746="","",IF(I787="","",I787))</f>
        <v/>
      </c>
      <c r="AQ787" s="136" t="str">
        <f>IF(AH746="","",IF(J787="","",J787))</f>
        <v/>
      </c>
      <c r="AR787" s="136" t="str">
        <f>IF(AH746="","",IF(K787="","",K787))</f>
        <v/>
      </c>
      <c r="AS787" s="136" t="str">
        <f>IF(AH746="","",IF(L787="","",L787))</f>
        <v/>
      </c>
      <c r="AT787" s="136" t="str">
        <f>IF(AH746="","",IF(M787="","",M787))</f>
        <v/>
      </c>
      <c r="AU787" s="136" t="str">
        <f>IF(AH746="","",IF(N787="","",N787))</f>
        <v/>
      </c>
      <c r="AV787" s="136" t="str">
        <f>IF(AH746="","",IF(O787="","",O787))</f>
        <v/>
      </c>
      <c r="AX787" s="136" t="str">
        <f>IF(AI746="","",IF(B787="","",B787))</f>
        <v/>
      </c>
      <c r="AY787" s="136" t="str">
        <f>IF(AI746="","",IF(C787="","",C787))</f>
        <v/>
      </c>
      <c r="AZ787" s="136" t="str">
        <f>IF(AI746="","",IF(D787="","",D787))</f>
        <v/>
      </c>
      <c r="BA787" s="136" t="str">
        <f>IF(AI746="","",IF(E787="","",E787))</f>
        <v/>
      </c>
      <c r="BB787" s="136" t="str">
        <f>IF(AI746="","",IF(F787="","",F787))</f>
        <v/>
      </c>
      <c r="BC787" s="136" t="str">
        <f>IF(AI746="","",IF(G787="","",G787))</f>
        <v/>
      </c>
      <c r="BD787" s="136" t="str">
        <f>IF(AI746="","",IF(H787="","",H787))</f>
        <v/>
      </c>
      <c r="BE787" s="136" t="str">
        <f>IF(AI746="","",IF(I787="","",I787))</f>
        <v/>
      </c>
      <c r="BF787" s="136" t="str">
        <f>IF(AI746="","",IF(J787="","",J787))</f>
        <v/>
      </c>
      <c r="BG787" s="136" t="str">
        <f>IF(AI746="","",IF(K787="","",K787))</f>
        <v/>
      </c>
      <c r="BH787" s="136" t="str">
        <f>IF(AI746="","",IF(L787="","",L787))</f>
        <v/>
      </c>
      <c r="BI787" s="136" t="str">
        <f>IF(AI746="","",IF(M787="","",M787))</f>
        <v/>
      </c>
      <c r="BJ787" s="136" t="str">
        <f>IF(AI746="","",IF(N787="","",N787))</f>
        <v/>
      </c>
      <c r="BK787" s="136" t="str">
        <f>IF(AI746="","",IF(O787="","",O787))</f>
        <v/>
      </c>
      <c r="BN787" s="136" t="str">
        <f t="shared" si="432"/>
        <v>Aulas Problemas</v>
      </c>
      <c r="BO787" s="136" t="str">
        <f t="shared" si="432"/>
        <v>APB</v>
      </c>
      <c r="BP787" s="136">
        <f>IF(BO787="","",COUNTIFS(AX750:BK797,BO787)*0.5)</f>
        <v>0</v>
      </c>
      <c r="BQ787" s="136" t="str">
        <f t="shared" si="433"/>
        <v>Aulas Problemas</v>
      </c>
      <c r="BR787" s="136" t="str">
        <f t="shared" si="433"/>
        <v>APB</v>
      </c>
      <c r="BS787" s="136" t="str">
        <f t="shared" si="434"/>
        <v>Aulas Problemas</v>
      </c>
      <c r="BT787" s="136">
        <f t="shared" si="440"/>
        <v>36</v>
      </c>
      <c r="BU787" s="136">
        <f t="shared" si="441"/>
        <v>36</v>
      </c>
      <c r="CR787" s="177">
        <f t="shared" si="422"/>
        <v>1</v>
      </c>
      <c r="CS787" s="177">
        <f t="shared" si="423"/>
        <v>1</v>
      </c>
      <c r="CT787" s="177">
        <f t="shared" si="422"/>
        <v>1</v>
      </c>
      <c r="CU787" s="177">
        <f t="shared" si="424"/>
        <v>1</v>
      </c>
      <c r="CV787" s="177">
        <f t="shared" si="422"/>
        <v>1</v>
      </c>
      <c r="CW787" s="177">
        <f t="shared" si="425"/>
        <v>1</v>
      </c>
      <c r="CX787" s="177">
        <f t="shared" si="422"/>
        <v>1</v>
      </c>
      <c r="CY787" s="177">
        <f t="shared" si="426"/>
        <v>1</v>
      </c>
      <c r="CZ787" s="177">
        <f t="shared" si="422"/>
        <v>1</v>
      </c>
      <c r="DA787" s="177">
        <f t="shared" si="427"/>
        <v>1</v>
      </c>
      <c r="DB787" s="177">
        <f t="shared" si="422"/>
        <v>1</v>
      </c>
      <c r="DC787" s="177">
        <f t="shared" si="428"/>
        <v>1</v>
      </c>
      <c r="DD787" s="177">
        <f t="shared" si="429"/>
        <v>1</v>
      </c>
      <c r="DE787" s="177">
        <f t="shared" si="430"/>
        <v>1</v>
      </c>
    </row>
    <row r="788" spans="1:120" ht="18" customHeight="1" thickBot="1" x14ac:dyDescent="0.35">
      <c r="A788" s="81">
        <v>0.79166666666669205</v>
      </c>
      <c r="B788" s="153"/>
      <c r="C788" s="130"/>
      <c r="D788" s="135"/>
      <c r="E788" s="130"/>
      <c r="F788" s="135"/>
      <c r="G788" s="130"/>
      <c r="H788" s="135"/>
      <c r="I788" s="130"/>
      <c r="J788" s="135"/>
      <c r="K788" s="130"/>
      <c r="L788" s="135"/>
      <c r="M788" s="130"/>
      <c r="N788" s="135"/>
      <c r="O788" s="154"/>
      <c r="P788" s="6">
        <v>0</v>
      </c>
      <c r="Q788" s="124" t="str">
        <f t="shared" si="447"/>
        <v>Aulas Teóricas</v>
      </c>
      <c r="R788" s="107" t="str">
        <f t="shared" si="439"/>
        <v/>
      </c>
      <c r="S788" s="94" t="str">
        <f t="shared" si="436"/>
        <v>-</v>
      </c>
      <c r="T788" s="108" t="str">
        <f>IF(VLOOKUP(Q788,'INFO BASE'!$B$40:$I$54,IF(R788='INFO BASE'!$B$32,3,IF(R788='INFO BASE'!$B$33,4,IF(R788='INFO BASE'!$B$34,5,IF(R788='INFO BASE'!$B$35,6,IF(R788='INFO BASE'!$B$36,7,IF(R788='INFO BASE'!$B$37,8,2)))))),0)=0,"",VLOOKUP(Q788,'INFO BASE'!$B$40:$I$54,IF(R788='INFO BASE'!$B$32,3,IF(R788='INFO BASE'!$B$33,4,IF(R788='INFO BASE'!$B$34,5,IF(R788='INFO BASE'!$B$35,6,IF(R788='INFO BASE'!$B$36,7,IF(R788='INFO BASE'!$B$37,8,2)))))),0))</f>
        <v/>
      </c>
      <c r="U788" s="108">
        <f>(COUNTIFS(C750:C797,R788,B750:B797,R782)+COUNTIFS(E750:E797,R788,D750:D797,R782)+COUNTIFS(G750:G797,R788,F750:F797,R782)+COUNTIFS(I750:I797,R788,H750:H797,R782)+COUNTIFS(K750:K797,R788,J750:J797,R782)+COUNTIFS(M750:M797,R788,L750:L797,R782)+COUNTIFS(O750:O797,R788,N750:N797,R782))*0.5</f>
        <v>0</v>
      </c>
      <c r="V788" s="95">
        <f>(COUNTIFS(AI750:AI797,R782,AJ750:AJ797,R781)+COUNTIFS(AK750:AK797,R782,AL750:AL797,R781)+COUNTIFS(AM750:AM797,R782,AN750:AN797,R781)+COUNTIFS(AO750:AO797,R782,AP750:AP797,R781)+COUNTIFS(AQ750:AQ797,R782,AR750:AR797,R781)+COUNTIFS(AS750:AS797,R782,AT750:AT797,R781)+COUNTIFS(AU750:AU797,R782,AV750:AV797,R781))*0.5</f>
        <v>0</v>
      </c>
      <c r="W788" s="96" t="str">
        <f>IF(AH746="","-",IF(V788=0,U788,IFERROR((U788/V788)-1,"-")))</f>
        <v>-</v>
      </c>
      <c r="X788" s="201">
        <f t="shared" si="437"/>
        <v>0</v>
      </c>
      <c r="Y788" s="274"/>
      <c r="Z788" s="275"/>
      <c r="AA788" s="275"/>
      <c r="AB788" s="275"/>
      <c r="AC788" s="275"/>
      <c r="AD788" s="275"/>
      <c r="AE788" s="275"/>
      <c r="AF788" s="276"/>
      <c r="AH788" s="136">
        <v>0.79166666666669205</v>
      </c>
      <c r="AI788" s="136" t="str">
        <f>IF(AH746="","",IF(B788="","",B788))</f>
        <v/>
      </c>
      <c r="AJ788" s="136" t="str">
        <f>IF(AH746="","",IF(C788="","",C788))</f>
        <v/>
      </c>
      <c r="AK788" s="136" t="str">
        <f>IF(AH746="","",IF(D788="","",D788))</f>
        <v/>
      </c>
      <c r="AL788" s="136" t="str">
        <f>IF(AH746="","",IF(E788="","",E788))</f>
        <v/>
      </c>
      <c r="AM788" s="136" t="str">
        <f>IF(AH746="","",IF(F788="","",F788))</f>
        <v/>
      </c>
      <c r="AN788" s="136" t="str">
        <f>IF(AH746="","",IF(G788="","",G788))</f>
        <v/>
      </c>
      <c r="AO788" s="136" t="str">
        <f>IF(AH746="","",IF(H788="","",H788))</f>
        <v/>
      </c>
      <c r="AP788" s="136" t="str">
        <f>IF(AH746="","",IF(I788="","",I788))</f>
        <v/>
      </c>
      <c r="AQ788" s="136" t="str">
        <f>IF(AH746="","",IF(J788="","",J788))</f>
        <v/>
      </c>
      <c r="AR788" s="136" t="str">
        <f>IF(AH746="","",IF(K788="","",K788))</f>
        <v/>
      </c>
      <c r="AS788" s="136" t="str">
        <f>IF(AH746="","",IF(L788="","",L788))</f>
        <v/>
      </c>
      <c r="AT788" s="136" t="str">
        <f>IF(AH746="","",IF(M788="","",M788))</f>
        <v/>
      </c>
      <c r="AU788" s="136" t="str">
        <f>IF(AH746="","",IF(N788="","",N788))</f>
        <v/>
      </c>
      <c r="AV788" s="136" t="str">
        <f>IF(AH746="","",IF(O788="","",O788))</f>
        <v/>
      </c>
      <c r="AX788" s="136" t="str">
        <f>IF(AI746="","",IF(B788="","",B788))</f>
        <v/>
      </c>
      <c r="AY788" s="136" t="str">
        <f>IF(AI746="","",IF(C788="","",C788))</f>
        <v/>
      </c>
      <c r="AZ788" s="136" t="str">
        <f>IF(AI746="","",IF(D788="","",D788))</f>
        <v/>
      </c>
      <c r="BA788" s="136" t="str">
        <f>IF(AI746="","",IF(E788="","",E788))</f>
        <v/>
      </c>
      <c r="BB788" s="136" t="str">
        <f>IF(AI746="","",IF(F788="","",F788))</f>
        <v/>
      </c>
      <c r="BC788" s="136" t="str">
        <f>IF(AI746="","",IF(G788="","",G788))</f>
        <v/>
      </c>
      <c r="BD788" s="136" t="str">
        <f>IF(AI746="","",IF(H788="","",H788))</f>
        <v/>
      </c>
      <c r="BE788" s="136" t="str">
        <f>IF(AI746="","",IF(I788="","",I788))</f>
        <v/>
      </c>
      <c r="BF788" s="136" t="str">
        <f>IF(AI746="","",IF(J788="","",J788))</f>
        <v/>
      </c>
      <c r="BG788" s="136" t="str">
        <f>IF(AI746="","",IF(K788="","",K788))</f>
        <v/>
      </c>
      <c r="BH788" s="136" t="str">
        <f>IF(AI746="","",IF(L788="","",L788))</f>
        <v/>
      </c>
      <c r="BI788" s="136" t="str">
        <f>IF(AI746="","",IF(M788="","",M788))</f>
        <v/>
      </c>
      <c r="BJ788" s="136" t="str">
        <f>IF(AI746="","",IF(N788="","",N788))</f>
        <v/>
      </c>
      <c r="BK788" s="136" t="str">
        <f>IF(AI746="","",IF(O788="","",O788))</f>
        <v/>
      </c>
      <c r="BN788" s="136" t="str">
        <f t="shared" si="432"/>
        <v>Laboratórios</v>
      </c>
      <c r="BO788" s="136" t="str">
        <f t="shared" si="432"/>
        <v>LAB</v>
      </c>
      <c r="BP788" s="136">
        <f>IF(BO788="","",COUNTIFS(AX750:BK797,BO788)*0.5)</f>
        <v>0</v>
      </c>
      <c r="BQ788" s="136" t="str">
        <f t="shared" si="433"/>
        <v>Laboratórios</v>
      </c>
      <c r="BR788" s="136" t="str">
        <f t="shared" si="433"/>
        <v>LAB</v>
      </c>
      <c r="BS788" s="136" t="str">
        <f t="shared" si="434"/>
        <v>Laboratórios</v>
      </c>
      <c r="BT788" s="136">
        <f t="shared" si="440"/>
        <v>10.5</v>
      </c>
      <c r="BU788" s="136">
        <f t="shared" si="441"/>
        <v>10.5</v>
      </c>
      <c r="CA788" s="136">
        <f>'INFO BASE'!L865</f>
        <v>0</v>
      </c>
      <c r="CB788" s="136">
        <f>'INFO BASE'!M865</f>
        <v>0</v>
      </c>
      <c r="CR788" s="177">
        <f t="shared" si="422"/>
        <v>1</v>
      </c>
      <c r="CS788" s="177">
        <f t="shared" si="423"/>
        <v>1</v>
      </c>
      <c r="CT788" s="177">
        <f t="shared" si="422"/>
        <v>1</v>
      </c>
      <c r="CU788" s="177">
        <f t="shared" si="424"/>
        <v>1</v>
      </c>
      <c r="CV788" s="177">
        <f t="shared" si="422"/>
        <v>1</v>
      </c>
      <c r="CW788" s="177">
        <f t="shared" si="425"/>
        <v>1</v>
      </c>
      <c r="CX788" s="177">
        <f t="shared" si="422"/>
        <v>1</v>
      </c>
      <c r="CY788" s="177">
        <f t="shared" si="426"/>
        <v>1</v>
      </c>
      <c r="CZ788" s="177">
        <f t="shared" si="422"/>
        <v>1</v>
      </c>
      <c r="DA788" s="177">
        <f t="shared" si="427"/>
        <v>1</v>
      </c>
      <c r="DB788" s="177">
        <f t="shared" si="422"/>
        <v>1</v>
      </c>
      <c r="DC788" s="177">
        <f t="shared" si="428"/>
        <v>1</v>
      </c>
      <c r="DD788" s="177">
        <f t="shared" si="429"/>
        <v>1</v>
      </c>
      <c r="DE788" s="177">
        <f t="shared" si="430"/>
        <v>1</v>
      </c>
    </row>
    <row r="789" spans="1:120" ht="18" customHeight="1" x14ac:dyDescent="0.3">
      <c r="A789" s="81">
        <v>0.81250000000002598</v>
      </c>
      <c r="B789" s="153"/>
      <c r="C789" s="130"/>
      <c r="D789" s="135"/>
      <c r="E789" s="130"/>
      <c r="F789" s="135"/>
      <c r="G789" s="130"/>
      <c r="H789" s="135"/>
      <c r="I789" s="130"/>
      <c r="J789" s="135"/>
      <c r="K789" s="130"/>
      <c r="L789" s="135"/>
      <c r="M789" s="130"/>
      <c r="N789" s="135"/>
      <c r="O789" s="154"/>
      <c r="P789" s="6">
        <v>0</v>
      </c>
      <c r="Q789" s="97" t="str">
        <f>IF('INFO BASE'!$C$21="","",'INFO BASE'!$C$21)</f>
        <v>Aulas Práticas</v>
      </c>
      <c r="R789" s="82" t="str">
        <f t="shared" si="439"/>
        <v>APA</v>
      </c>
      <c r="S789" s="83" t="str">
        <f t="shared" si="436"/>
        <v>-</v>
      </c>
      <c r="T789" s="98" t="str">
        <f>IF(VLOOKUP(Q789,'INFO BASE'!$B$40:$I$54,IF(R789='INFO BASE'!$B$32,3,IF(R789='INFO BASE'!$B$33,4,IF(R789='INFO BASE'!$B$34,5,IF(R789='INFO BASE'!$B$35,6,IF(R789='INFO BASE'!$B$36,7,IF(R789='INFO BASE'!$B$37,8,2)))))),0)=0,"",VLOOKUP(Q789,'INFO BASE'!$B$40:$I$54,IF(R789='INFO BASE'!$B$32,3,IF(R789='INFO BASE'!$B$33,4,IF(R789='INFO BASE'!$B$34,5,IF(R789='INFO BASE'!$B$35,6,IF(R789='INFO BASE'!$B$36,7,IF(R789='INFO BASE'!$B$37,8,2)))))),0))</f>
        <v/>
      </c>
      <c r="U789" s="84">
        <f t="shared" ref="U789:U797" si="448">IF(R789="","",COUNTIFS(SEMANA14,R789)*0.5)</f>
        <v>0</v>
      </c>
      <c r="V789" s="84">
        <f>IF(R789="","",COUNTIFS(AI750:AV797,R789)*0.5)</f>
        <v>0</v>
      </c>
      <c r="W789" s="85" t="str">
        <f>IF(AH746="","-",IF(V789=0,U789,IFERROR((U789/V789)-1,"-")))</f>
        <v>-</v>
      </c>
      <c r="X789" s="201">
        <f t="shared" si="437"/>
        <v>0</v>
      </c>
      <c r="Y789" s="277"/>
      <c r="Z789" s="278"/>
      <c r="AA789" s="278"/>
      <c r="AB789" s="278"/>
      <c r="AC789" s="278"/>
      <c r="AD789" s="278"/>
      <c r="AE789" s="278"/>
      <c r="AF789" s="279"/>
      <c r="AH789" s="136">
        <v>0.81250000000002598</v>
      </c>
      <c r="AI789" s="136" t="str">
        <f>IF(AH746="","",IF(B789="","",B789))</f>
        <v/>
      </c>
      <c r="AJ789" s="136" t="str">
        <f>IF(AH746="","",IF(C789="","",C789))</f>
        <v/>
      </c>
      <c r="AK789" s="136" t="str">
        <f>IF(AH746="","",IF(D789="","",D789))</f>
        <v/>
      </c>
      <c r="AL789" s="136" t="str">
        <f>IF(AH746="","",IF(E789="","",E789))</f>
        <v/>
      </c>
      <c r="AM789" s="136" t="str">
        <f>IF(AH746="","",IF(F789="","",F789))</f>
        <v/>
      </c>
      <c r="AN789" s="136" t="str">
        <f>IF(AH746="","",IF(G789="","",G789))</f>
        <v/>
      </c>
      <c r="AO789" s="136" t="str">
        <f>IF(AH746="","",IF(H789="","",H789))</f>
        <v/>
      </c>
      <c r="AP789" s="136" t="str">
        <f>IF(AH746="","",IF(I789="","",I789))</f>
        <v/>
      </c>
      <c r="AQ789" s="136" t="str">
        <f>IF(AH746="","",IF(J789="","",J789))</f>
        <v/>
      </c>
      <c r="AR789" s="136" t="str">
        <f>IF(AH746="","",IF(K789="","",K789))</f>
        <v/>
      </c>
      <c r="AS789" s="136" t="str">
        <f>IF(AH746="","",IF(L789="","",L789))</f>
        <v/>
      </c>
      <c r="AT789" s="136" t="str">
        <f>IF(AH746="","",IF(M789="","",M789))</f>
        <v/>
      </c>
      <c r="AU789" s="136" t="str">
        <f>IF(AH746="","",IF(N789="","",N789))</f>
        <v/>
      </c>
      <c r="AV789" s="136" t="str">
        <f>IF(AH746="","",IF(O789="","",O789))</f>
        <v/>
      </c>
      <c r="AX789" s="136" t="str">
        <f>IF(AI746="","",IF(B789="","",B789))</f>
        <v/>
      </c>
      <c r="AY789" s="136" t="str">
        <f>IF(AI746="","",IF(C789="","",C789))</f>
        <v/>
      </c>
      <c r="AZ789" s="136" t="str">
        <f>IF(AI746="","",IF(D789="","",D789))</f>
        <v/>
      </c>
      <c r="BA789" s="136" t="str">
        <f>IF(AI746="","",IF(E789="","",E789))</f>
        <v/>
      </c>
      <c r="BB789" s="136" t="str">
        <f>IF(AI746="","",IF(F789="","",F789))</f>
        <v/>
      </c>
      <c r="BC789" s="136" t="str">
        <f>IF(AI746="","",IF(G789="","",G789))</f>
        <v/>
      </c>
      <c r="BD789" s="136" t="str">
        <f>IF(AI746="","",IF(H789="","",H789))</f>
        <v/>
      </c>
      <c r="BE789" s="136" t="str">
        <f>IF(AI746="","",IF(I789="","",I789))</f>
        <v/>
      </c>
      <c r="BF789" s="136" t="str">
        <f>IF(AI746="","",IF(J789="","",J789))</f>
        <v/>
      </c>
      <c r="BG789" s="136" t="str">
        <f>IF(AI746="","",IF(K789="","",K789))</f>
        <v/>
      </c>
      <c r="BH789" s="136" t="str">
        <f>IF(AI746="","",IF(L789="","",L789))</f>
        <v/>
      </c>
      <c r="BI789" s="136" t="str">
        <f>IF(AI746="","",IF(M789="","",M789))</f>
        <v/>
      </c>
      <c r="BJ789" s="136" t="str">
        <f>IF(AI746="","",IF(N789="","",N789))</f>
        <v/>
      </c>
      <c r="BK789" s="136" t="str">
        <f>IF(AI746="","",IF(O789="","",O789))</f>
        <v/>
      </c>
      <c r="BN789" s="136" t="str">
        <f t="shared" si="432"/>
        <v>Momento Avaliativo</v>
      </c>
      <c r="BO789" s="136" t="str">
        <f t="shared" si="432"/>
        <v>MA</v>
      </c>
      <c r="BP789" s="136">
        <f>IF(BO789="","",COUNTIFS(AX750:BK797,BO789)*0.5)</f>
        <v>0</v>
      </c>
      <c r="BQ789" s="136" t="str">
        <f t="shared" si="433"/>
        <v>Momento Avaliativo</v>
      </c>
      <c r="BR789" s="136" t="str">
        <f t="shared" si="433"/>
        <v>MA</v>
      </c>
      <c r="BS789" s="136" t="str">
        <f t="shared" si="434"/>
        <v>Momento Avaliativo</v>
      </c>
      <c r="BT789" s="136">
        <f t="shared" si="440"/>
        <v>1.5</v>
      </c>
      <c r="BU789" s="136">
        <f t="shared" si="441"/>
        <v>1.5</v>
      </c>
      <c r="CA789" s="136">
        <f>'INFO BASE'!L866</f>
        <v>0</v>
      </c>
      <c r="CB789" s="136">
        <f>'INFO BASE'!M866</f>
        <v>0</v>
      </c>
      <c r="CR789" s="177">
        <f t="shared" si="422"/>
        <v>1</v>
      </c>
      <c r="CS789" s="177">
        <f t="shared" si="423"/>
        <v>1</v>
      </c>
      <c r="CT789" s="177">
        <f t="shared" si="422"/>
        <v>1</v>
      </c>
      <c r="CU789" s="177">
        <f t="shared" si="424"/>
        <v>1</v>
      </c>
      <c r="CV789" s="177">
        <f t="shared" si="422"/>
        <v>1</v>
      </c>
      <c r="CW789" s="177">
        <f t="shared" si="425"/>
        <v>1</v>
      </c>
      <c r="CX789" s="177">
        <f t="shared" si="422"/>
        <v>1</v>
      </c>
      <c r="CY789" s="177">
        <f t="shared" si="426"/>
        <v>1</v>
      </c>
      <c r="CZ789" s="177">
        <f t="shared" si="422"/>
        <v>1</v>
      </c>
      <c r="DA789" s="177">
        <f t="shared" si="427"/>
        <v>1</v>
      </c>
      <c r="DB789" s="177">
        <f t="shared" si="422"/>
        <v>1</v>
      </c>
      <c r="DC789" s="177">
        <f t="shared" si="428"/>
        <v>1</v>
      </c>
      <c r="DD789" s="177">
        <f t="shared" si="429"/>
        <v>1</v>
      </c>
      <c r="DE789" s="177">
        <f t="shared" si="430"/>
        <v>1</v>
      </c>
    </row>
    <row r="790" spans="1:120" ht="18" customHeight="1" x14ac:dyDescent="0.3">
      <c r="A790" s="81">
        <v>0.83333333333336002</v>
      </c>
      <c r="B790" s="153"/>
      <c r="C790" s="130"/>
      <c r="D790" s="135"/>
      <c r="E790" s="130"/>
      <c r="F790" s="135"/>
      <c r="G790" s="130"/>
      <c r="H790" s="135"/>
      <c r="I790" s="130"/>
      <c r="J790" s="135"/>
      <c r="K790" s="130"/>
      <c r="L790" s="135"/>
      <c r="M790" s="130"/>
      <c r="N790" s="135"/>
      <c r="O790" s="154"/>
      <c r="P790" s="6">
        <v>0</v>
      </c>
      <c r="Q790" s="99" t="str">
        <f>IF('INFO BASE'!$C$22="","",'INFO BASE'!$C$22)</f>
        <v>Aulas Problemas</v>
      </c>
      <c r="R790" s="87" t="str">
        <f t="shared" si="439"/>
        <v>APB</v>
      </c>
      <c r="S790" s="88">
        <f t="shared" si="436"/>
        <v>-1</v>
      </c>
      <c r="T790" s="100">
        <f>IF(VLOOKUP(Q790,'INFO BASE'!$B$40:$I$54,IF(R790='INFO BASE'!$B$32,3,IF(R790='INFO BASE'!$B$33,4,IF(R790='INFO BASE'!$B$34,5,IF(R790='INFO BASE'!$B$35,6,IF(R790='INFO BASE'!$B$36,7,IF(R790='INFO BASE'!$B$37,8,2)))))),0)=0,"",VLOOKUP(Q790,'INFO BASE'!$B$40:$I$54,IF(R790='INFO BASE'!$B$32,3,IF(R790='INFO BASE'!$B$33,4,IF(R790='INFO BASE'!$B$34,5,IF(R790='INFO BASE'!$B$35,6,IF(R790='INFO BASE'!$B$36,7,IF(R790='INFO BASE'!$B$37,8,2)))))),0))</f>
        <v>6</v>
      </c>
      <c r="U790" s="89">
        <f t="shared" si="448"/>
        <v>0</v>
      </c>
      <c r="V790" s="100">
        <f>IF(R790="","",COUNTIFS(AI750:AV797,R790)*0.5)</f>
        <v>0</v>
      </c>
      <c r="W790" s="90" t="str">
        <f>IF(AH746="","-",IF(V790=0,U790,IFERROR((U790/V790)-1,"-")))</f>
        <v>-</v>
      </c>
      <c r="X790" s="201">
        <f t="shared" si="437"/>
        <v>0</v>
      </c>
      <c r="Y790" s="271"/>
      <c r="Z790" s="272"/>
      <c r="AA790" s="272"/>
      <c r="AB790" s="272"/>
      <c r="AC790" s="272"/>
      <c r="AD790" s="272"/>
      <c r="AE790" s="272"/>
      <c r="AF790" s="273"/>
      <c r="AH790" s="136">
        <v>0.83333333333336002</v>
      </c>
      <c r="AI790" s="136" t="str">
        <f>IF(AH746="","",IF(B790="","",B790))</f>
        <v/>
      </c>
      <c r="AJ790" s="136" t="str">
        <f>IF(AH746="","",IF(C790="","",C790))</f>
        <v/>
      </c>
      <c r="AK790" s="136" t="str">
        <f>IF(AH746="","",IF(D790="","",D790))</f>
        <v/>
      </c>
      <c r="AL790" s="136" t="str">
        <f>IF(AH746="","",IF(E790="","",E790))</f>
        <v/>
      </c>
      <c r="AM790" s="136" t="str">
        <f>IF(AH746="","",IF(F790="","",F790))</f>
        <v/>
      </c>
      <c r="AN790" s="136" t="str">
        <f>IF(AH746="","",IF(G790="","",G790))</f>
        <v/>
      </c>
      <c r="AO790" s="136" t="str">
        <f>IF(AH746="","",IF(H790="","",H790))</f>
        <v/>
      </c>
      <c r="AP790" s="136" t="str">
        <f>IF(AH746="","",IF(I790="","",I790))</f>
        <v/>
      </c>
      <c r="AQ790" s="136" t="str">
        <f>IF(AH746="","",IF(J790="","",J790))</f>
        <v/>
      </c>
      <c r="AR790" s="136" t="str">
        <f>IF(AH746="","",IF(K790="","",K790))</f>
        <v/>
      </c>
      <c r="AS790" s="136" t="str">
        <f>IF(AH746="","",IF(L790="","",L790))</f>
        <v/>
      </c>
      <c r="AT790" s="136" t="str">
        <f>IF(AH746="","",IF(M790="","",M790))</f>
        <v/>
      </c>
      <c r="AU790" s="136" t="str">
        <f>IF(AH746="","",IF(N790="","",N790))</f>
        <v/>
      </c>
      <c r="AV790" s="136" t="str">
        <f>IF(AH746="","",IF(O790="","",O790))</f>
        <v/>
      </c>
      <c r="AX790" s="136" t="str">
        <f>IF(AI746="","",IF(B790="","",B790))</f>
        <v/>
      </c>
      <c r="AY790" s="136" t="str">
        <f>IF(AI746="","",IF(C790="","",C790))</f>
        <v/>
      </c>
      <c r="AZ790" s="136" t="str">
        <f>IF(AI746="","",IF(D790="","",D790))</f>
        <v/>
      </c>
      <c r="BA790" s="136" t="str">
        <f>IF(AI746="","",IF(E790="","",E790))</f>
        <v/>
      </c>
      <c r="BB790" s="136" t="str">
        <f>IF(AI746="","",IF(F790="","",F790))</f>
        <v/>
      </c>
      <c r="BC790" s="136" t="str">
        <f>IF(AI746="","",IF(G790="","",G790))</f>
        <v/>
      </c>
      <c r="BD790" s="136" t="str">
        <f>IF(AI746="","",IF(H790="","",H790))</f>
        <v/>
      </c>
      <c r="BE790" s="136" t="str">
        <f>IF(AI746="","",IF(I790="","",I790))</f>
        <v/>
      </c>
      <c r="BF790" s="136" t="str">
        <f>IF(AI746="","",IF(J790="","",J790))</f>
        <v/>
      </c>
      <c r="BG790" s="136" t="str">
        <f>IF(AI746="","",IF(K790="","",K790))</f>
        <v/>
      </c>
      <c r="BH790" s="136" t="str">
        <f>IF(AI746="","",IF(L790="","",L790))</f>
        <v/>
      </c>
      <c r="BI790" s="136" t="str">
        <f>IF(AI746="","",IF(M790="","",M790))</f>
        <v/>
      </c>
      <c r="BJ790" s="136" t="str">
        <f>IF(AI746="","",IF(N790="","",N790))</f>
        <v/>
      </c>
      <c r="BK790" s="136" t="str">
        <f>IF(AI746="","",IF(O790="","",O790))</f>
        <v/>
      </c>
      <c r="BN790" s="136" t="str">
        <f t="shared" si="432"/>
        <v>Horário de Dúvidas</v>
      </c>
      <c r="BO790" s="136" t="str">
        <f t="shared" si="432"/>
        <v>HDV</v>
      </c>
      <c r="BP790" s="136">
        <f>IF(BO790="","",COUNTIFS(AX750:BK797,BO790)*0.5)</f>
        <v>0</v>
      </c>
      <c r="BQ790" s="136" t="str">
        <f t="shared" si="433"/>
        <v>Horário de Dúvidas</v>
      </c>
      <c r="BR790" s="136" t="str">
        <f t="shared" si="433"/>
        <v>HDV</v>
      </c>
      <c r="BS790" s="136" t="str">
        <f t="shared" si="434"/>
        <v>Horário de Dúvidas</v>
      </c>
      <c r="BT790" s="136">
        <f t="shared" si="440"/>
        <v>0</v>
      </c>
      <c r="BU790" s="136">
        <f t="shared" si="441"/>
        <v>0</v>
      </c>
      <c r="CA790" s="136">
        <f>'INFO BASE'!L867</f>
        <v>0</v>
      </c>
      <c r="CB790" s="136">
        <f>'INFO BASE'!M867</f>
        <v>0</v>
      </c>
      <c r="CR790" s="177">
        <f t="shared" si="422"/>
        <v>1</v>
      </c>
      <c r="CS790" s="177">
        <f t="shared" si="423"/>
        <v>1</v>
      </c>
      <c r="CT790" s="177">
        <f t="shared" si="422"/>
        <v>1</v>
      </c>
      <c r="CU790" s="177">
        <f t="shared" si="424"/>
        <v>1</v>
      </c>
      <c r="CV790" s="177">
        <f t="shared" si="422"/>
        <v>1</v>
      </c>
      <c r="CW790" s="177">
        <f t="shared" si="425"/>
        <v>1</v>
      </c>
      <c r="CX790" s="177">
        <f t="shared" si="422"/>
        <v>1</v>
      </c>
      <c r="CY790" s="177">
        <f t="shared" si="426"/>
        <v>1</v>
      </c>
      <c r="CZ790" s="177">
        <f t="shared" si="422"/>
        <v>1</v>
      </c>
      <c r="DA790" s="177">
        <f t="shared" si="427"/>
        <v>1</v>
      </c>
      <c r="DB790" s="177">
        <f t="shared" si="422"/>
        <v>1</v>
      </c>
      <c r="DC790" s="177">
        <f t="shared" si="428"/>
        <v>1</v>
      </c>
      <c r="DD790" s="177">
        <f t="shared" si="429"/>
        <v>1</v>
      </c>
      <c r="DE790" s="177">
        <f t="shared" si="430"/>
        <v>1</v>
      </c>
    </row>
    <row r="791" spans="1:120" ht="18" customHeight="1" thickBot="1" x14ac:dyDescent="0.35">
      <c r="A791" s="81">
        <v>0.85416666666669405</v>
      </c>
      <c r="B791" s="153"/>
      <c r="C791" s="130"/>
      <c r="D791" s="135"/>
      <c r="E791" s="130"/>
      <c r="F791" s="135"/>
      <c r="G791" s="130"/>
      <c r="H791" s="135"/>
      <c r="I791" s="130"/>
      <c r="J791" s="135"/>
      <c r="K791" s="130"/>
      <c r="L791" s="135"/>
      <c r="M791" s="130"/>
      <c r="N791" s="135"/>
      <c r="O791" s="154"/>
      <c r="P791" s="6">
        <v>0</v>
      </c>
      <c r="Q791" s="101" t="str">
        <f>IF('INFO BASE'!$C$23="","",'INFO BASE'!$C$23)</f>
        <v>Laboratórios</v>
      </c>
      <c r="R791" s="93" t="str">
        <f t="shared" si="439"/>
        <v>LAB</v>
      </c>
      <c r="S791" s="94">
        <f t="shared" si="436"/>
        <v>-1</v>
      </c>
      <c r="T791" s="95">
        <f>IF(VLOOKUP(Q791,'INFO BASE'!$B$40:$I$54,IF(R791='INFO BASE'!$B$32,3,IF(R791='INFO BASE'!$B$33,4,IF(R791='INFO BASE'!$B$34,5,IF(R791='INFO BASE'!$B$35,6,IF(R791='INFO BASE'!$B$36,7,IF(R791='INFO BASE'!$B$37,8,2)))))),0)=0,"",VLOOKUP(Q791,'INFO BASE'!$B$40:$I$54,IF(R791='INFO BASE'!$B$32,3,IF(R791='INFO BASE'!$B$33,4,IF(R791='INFO BASE'!$B$34,5,IF(R791='INFO BASE'!$B$35,6,IF(R791='INFO BASE'!$B$36,7,IF(R791='INFO BASE'!$B$37,8,2)))))),0))</f>
        <v>1.5</v>
      </c>
      <c r="U791" s="95">
        <f t="shared" si="448"/>
        <v>0</v>
      </c>
      <c r="V791" s="95">
        <f>IF(R791="","",COUNTIFS(AI750:AV797,R791)*0.5)</f>
        <v>0</v>
      </c>
      <c r="W791" s="96" t="str">
        <f>IF(AH746="","-",IF(V791=0,U791,IFERROR((U791/V791)-1,"-")))</f>
        <v>-</v>
      </c>
      <c r="X791" s="201">
        <f t="shared" si="437"/>
        <v>0</v>
      </c>
      <c r="Y791" s="271"/>
      <c r="Z791" s="272"/>
      <c r="AA791" s="272"/>
      <c r="AB791" s="272"/>
      <c r="AC791" s="272"/>
      <c r="AD791" s="272"/>
      <c r="AE791" s="272"/>
      <c r="AF791" s="273"/>
      <c r="AH791" s="136">
        <v>0.85416666666669405</v>
      </c>
      <c r="AI791" s="136" t="str">
        <f>IF(AH746="","",IF(B791="","",B791))</f>
        <v/>
      </c>
      <c r="AJ791" s="136" t="str">
        <f>IF(AH746="","",IF(C791="","",C791))</f>
        <v/>
      </c>
      <c r="AK791" s="136" t="str">
        <f>IF(AH746="","",IF(D791="","",D791))</f>
        <v/>
      </c>
      <c r="AL791" s="136" t="str">
        <f>IF(AH746="","",IF(E791="","",E791))</f>
        <v/>
      </c>
      <c r="AM791" s="136" t="str">
        <f>IF(AH746="","",IF(F791="","",F791))</f>
        <v/>
      </c>
      <c r="AN791" s="136" t="str">
        <f>IF(AH746="","",IF(G791="","",G791))</f>
        <v/>
      </c>
      <c r="AO791" s="136" t="str">
        <f>IF(AH746="","",IF(H791="","",H791))</f>
        <v/>
      </c>
      <c r="AP791" s="136" t="str">
        <f>IF(AH746="","",IF(I791="","",I791))</f>
        <v/>
      </c>
      <c r="AQ791" s="136" t="str">
        <f>IF(AH746="","",IF(J791="","",J791))</f>
        <v/>
      </c>
      <c r="AR791" s="136" t="str">
        <f>IF(AH746="","",IF(K791="","",K791))</f>
        <v/>
      </c>
      <c r="AS791" s="136" t="str">
        <f>IF(AH746="","",IF(L791="","",L791))</f>
        <v/>
      </c>
      <c r="AT791" s="136" t="str">
        <f>IF(AH746="","",IF(M791="","",M791))</f>
        <v/>
      </c>
      <c r="AU791" s="136" t="str">
        <f>IF(AH746="","",IF(N791="","",N791))</f>
        <v/>
      </c>
      <c r="AV791" s="136" t="str">
        <f>IF(AH746="","",IF(O791="","",O791))</f>
        <v/>
      </c>
      <c r="AX791" s="136" t="str">
        <f>IF(AI746="","",IF(B791="","",B791))</f>
        <v/>
      </c>
      <c r="AY791" s="136" t="str">
        <f>IF(AI746="","",IF(C791="","",C791))</f>
        <v/>
      </c>
      <c r="AZ791" s="136" t="str">
        <f>IF(AI746="","",IF(D791="","",D791))</f>
        <v/>
      </c>
      <c r="BA791" s="136" t="str">
        <f>IF(AI746="","",IF(E791="","",E791))</f>
        <v/>
      </c>
      <c r="BB791" s="136" t="str">
        <f>IF(AI746="","",IF(F791="","",F791))</f>
        <v/>
      </c>
      <c r="BC791" s="136" t="str">
        <f>IF(AI746="","",IF(G791="","",G791))</f>
        <v/>
      </c>
      <c r="BD791" s="136" t="str">
        <f>IF(AI746="","",IF(H791="","",H791))</f>
        <v/>
      </c>
      <c r="BE791" s="136" t="str">
        <f>IF(AI746="","",IF(I791="","",I791))</f>
        <v/>
      </c>
      <c r="BF791" s="136" t="str">
        <f>IF(AI746="","",IF(J791="","",J791))</f>
        <v/>
      </c>
      <c r="BG791" s="136" t="str">
        <f>IF(AI746="","",IF(K791="","",K791))</f>
        <v/>
      </c>
      <c r="BH791" s="136" t="str">
        <f>IF(AI746="","",IF(L791="","",L791))</f>
        <v/>
      </c>
      <c r="BI791" s="136" t="str">
        <f>IF(AI746="","",IF(M791="","",M791))</f>
        <v/>
      </c>
      <c r="BJ791" s="136" t="str">
        <f>IF(AI746="","",IF(N791="","",N791))</f>
        <v/>
      </c>
      <c r="BK791" s="136" t="str">
        <f>IF(AI746="","",IF(O791="","",O791))</f>
        <v/>
      </c>
      <c r="BN791" s="136" t="str">
        <f t="shared" si="432"/>
        <v>Privado</v>
      </c>
      <c r="BO791" s="136" t="str">
        <f t="shared" si="432"/>
        <v>PV</v>
      </c>
      <c r="BP791" s="136">
        <f>IF(BO791="","",COUNTIFS(AX750:BK797,BO791)*0.5)</f>
        <v>0</v>
      </c>
      <c r="BQ791" s="136" t="str">
        <f t="shared" si="433"/>
        <v>Privado</v>
      </c>
      <c r="BR791" s="136" t="str">
        <f t="shared" si="433"/>
        <v>PV</v>
      </c>
      <c r="BS791" s="136" t="str">
        <f t="shared" si="434"/>
        <v>Privado</v>
      </c>
      <c r="BT791" s="136">
        <f t="shared" si="440"/>
        <v>384</v>
      </c>
      <c r="BU791" s="136">
        <f t="shared" si="441"/>
        <v>369</v>
      </c>
      <c r="CA791" s="136">
        <f>'INFO BASE'!L868</f>
        <v>0</v>
      </c>
      <c r="CB791" s="136">
        <f>'INFO BASE'!M868</f>
        <v>0</v>
      </c>
      <c r="CR791" s="177">
        <f t="shared" si="422"/>
        <v>1</v>
      </c>
      <c r="CS791" s="177">
        <f t="shared" si="423"/>
        <v>1</v>
      </c>
      <c r="CT791" s="177">
        <f t="shared" si="422"/>
        <v>1</v>
      </c>
      <c r="CU791" s="177">
        <f t="shared" si="424"/>
        <v>1</v>
      </c>
      <c r="CV791" s="177">
        <f t="shared" si="422"/>
        <v>1</v>
      </c>
      <c r="CW791" s="177">
        <f t="shared" si="425"/>
        <v>1</v>
      </c>
      <c r="CX791" s="177">
        <f t="shared" si="422"/>
        <v>1</v>
      </c>
      <c r="CY791" s="177">
        <f t="shared" si="426"/>
        <v>1</v>
      </c>
      <c r="CZ791" s="177">
        <f t="shared" si="422"/>
        <v>1</v>
      </c>
      <c r="DA791" s="177">
        <f t="shared" si="427"/>
        <v>1</v>
      </c>
      <c r="DB791" s="177">
        <f t="shared" si="422"/>
        <v>1</v>
      </c>
      <c r="DC791" s="177">
        <f t="shared" si="428"/>
        <v>1</v>
      </c>
      <c r="DD791" s="177">
        <f t="shared" si="429"/>
        <v>1</v>
      </c>
      <c r="DE791" s="177">
        <f t="shared" si="430"/>
        <v>1</v>
      </c>
    </row>
    <row r="792" spans="1:120" ht="18" customHeight="1" x14ac:dyDescent="0.3">
      <c r="A792" s="81">
        <v>0.87500000000002798</v>
      </c>
      <c r="B792" s="153"/>
      <c r="C792" s="130"/>
      <c r="D792" s="135"/>
      <c r="E792" s="130"/>
      <c r="F792" s="135"/>
      <c r="G792" s="130"/>
      <c r="H792" s="135"/>
      <c r="I792" s="130"/>
      <c r="J792" s="135"/>
      <c r="K792" s="130"/>
      <c r="L792" s="135"/>
      <c r="M792" s="130"/>
      <c r="N792" s="135"/>
      <c r="O792" s="154"/>
      <c r="P792" s="6">
        <v>0</v>
      </c>
      <c r="Q792" s="102" t="str">
        <f>IF('INFO BASE'!$C$24="","",'INFO BASE'!$C$24)</f>
        <v>Momento Avaliativo</v>
      </c>
      <c r="R792" s="82" t="str">
        <f t="shared" si="439"/>
        <v>MA</v>
      </c>
      <c r="S792" s="83" t="str">
        <f t="shared" si="436"/>
        <v>-</v>
      </c>
      <c r="T792" s="84" t="str">
        <f>IF(VLOOKUP(Q792,'INFO BASE'!$B$40:$I$54,IF(R792='INFO BASE'!$B$32,3,IF(R792='INFO BASE'!$B$33,4,IF(R792='INFO BASE'!$B$34,5,IF(R792='INFO BASE'!$B$35,6,IF(R792='INFO BASE'!$B$36,7,IF(R792='INFO BASE'!$B$37,8,2)))))),0)=0,"",VLOOKUP(Q792,'INFO BASE'!$B$40:$I$54,IF(R792='INFO BASE'!$B$32,3,IF(R792='INFO BASE'!$B$33,4,IF(R792='INFO BASE'!$B$34,5,IF(R792='INFO BASE'!$B$35,6,IF(R792='INFO BASE'!$B$36,7,IF(R792='INFO BASE'!$B$37,8,2)))))),0))</f>
        <v/>
      </c>
      <c r="U792" s="84">
        <f t="shared" si="448"/>
        <v>0</v>
      </c>
      <c r="V792" s="84">
        <f>IF(R792="","",COUNTIFS(AI750:AV797,R792)*0.5)</f>
        <v>0</v>
      </c>
      <c r="W792" s="85" t="str">
        <f>IF(AH746="","-",IF(V792=0,U792,IFERROR((U792/V792)-1,"-")))</f>
        <v>-</v>
      </c>
      <c r="X792" s="201">
        <f t="shared" si="437"/>
        <v>0</v>
      </c>
      <c r="Y792" s="277"/>
      <c r="Z792" s="278"/>
      <c r="AA792" s="278"/>
      <c r="AB792" s="278"/>
      <c r="AC792" s="278"/>
      <c r="AD792" s="278"/>
      <c r="AE792" s="278"/>
      <c r="AF792" s="279"/>
      <c r="AH792" s="136">
        <v>0.87500000000002798</v>
      </c>
      <c r="AI792" s="136" t="str">
        <f>IF(AH746="","",IF(B792="","",B792))</f>
        <v/>
      </c>
      <c r="AJ792" s="136" t="str">
        <f>IF(AH746="","",IF(C792="","",C792))</f>
        <v/>
      </c>
      <c r="AK792" s="136" t="str">
        <f>IF(AH746="","",IF(D792="","",D792))</f>
        <v/>
      </c>
      <c r="AL792" s="136" t="str">
        <f>IF(AH746="","",IF(E792="","",E792))</f>
        <v/>
      </c>
      <c r="AM792" s="136" t="str">
        <f>IF(AH746="","",IF(F792="","",F792))</f>
        <v/>
      </c>
      <c r="AN792" s="136" t="str">
        <f>IF(AH746="","",IF(G792="","",G792))</f>
        <v/>
      </c>
      <c r="AO792" s="136" t="str">
        <f>IF(AH746="","",IF(H792="","",H792))</f>
        <v/>
      </c>
      <c r="AP792" s="136" t="str">
        <f>IF(AH746="","",IF(I792="","",I792))</f>
        <v/>
      </c>
      <c r="AQ792" s="136" t="str">
        <f>IF(AH746="","",IF(J792="","",J792))</f>
        <v/>
      </c>
      <c r="AR792" s="136" t="str">
        <f>IF(AH746="","",IF(K792="","",K792))</f>
        <v/>
      </c>
      <c r="AS792" s="136" t="str">
        <f>IF(AH746="","",IF(L792="","",L792))</f>
        <v/>
      </c>
      <c r="AT792" s="136" t="str">
        <f>IF(AH746="","",IF(M792="","",M792))</f>
        <v/>
      </c>
      <c r="AU792" s="136" t="str">
        <f>IF(AH746="","",IF(N792="","",N792))</f>
        <v/>
      </c>
      <c r="AV792" s="136" t="str">
        <f>IF(AH746="","",IF(O792="","",O792))</f>
        <v/>
      </c>
      <c r="AX792" s="136" t="str">
        <f>IF(AI746="","",IF(B792="","",B792))</f>
        <v/>
      </c>
      <c r="AY792" s="136" t="str">
        <f>IF(AI746="","",IF(C792="","",C792))</f>
        <v/>
      </c>
      <c r="AZ792" s="136" t="str">
        <f>IF(AI746="","",IF(D792="","",D792))</f>
        <v/>
      </c>
      <c r="BA792" s="136" t="str">
        <f>IF(AI746="","",IF(E792="","",E792))</f>
        <v/>
      </c>
      <c r="BB792" s="136" t="str">
        <f>IF(AI746="","",IF(F792="","",F792))</f>
        <v/>
      </c>
      <c r="BC792" s="136" t="str">
        <f>IF(AI746="","",IF(G792="","",G792))</f>
        <v/>
      </c>
      <c r="BD792" s="136" t="str">
        <f>IF(AI746="","",IF(H792="","",H792))</f>
        <v/>
      </c>
      <c r="BE792" s="136" t="str">
        <f>IF(AI746="","",IF(I792="","",I792))</f>
        <v/>
      </c>
      <c r="BF792" s="136" t="str">
        <f>IF(AI746="","",IF(J792="","",J792))</f>
        <v/>
      </c>
      <c r="BG792" s="136" t="str">
        <f>IF(AI746="","",IF(K792="","",K792))</f>
        <v/>
      </c>
      <c r="BH792" s="136" t="str">
        <f>IF(AI746="","",IF(L792="","",L792))</f>
        <v/>
      </c>
      <c r="BI792" s="136" t="str">
        <f>IF(AI746="","",IF(M792="","",M792))</f>
        <v/>
      </c>
      <c r="BJ792" s="136" t="str">
        <f>IF(AI746="","",IF(N792="","",N792))</f>
        <v/>
      </c>
      <c r="BK792" s="136" t="str">
        <f>IF(AI746="","",IF(O792="","",O792))</f>
        <v/>
      </c>
      <c r="BN792" s="136" t="str">
        <f t="shared" si="432"/>
        <v>Deslocação</v>
      </c>
      <c r="BO792" s="136" t="str">
        <f t="shared" si="432"/>
        <v>HD</v>
      </c>
      <c r="BP792" s="136">
        <f>IF(BO792="","",COUNTIFS(AX750:BK797,BO792)*0.5)</f>
        <v>0</v>
      </c>
      <c r="BQ792" s="136" t="str">
        <f t="shared" si="433"/>
        <v>Deslocação</v>
      </c>
      <c r="BR792" s="136" t="str">
        <f t="shared" si="433"/>
        <v>HD</v>
      </c>
      <c r="BS792" s="136" t="str">
        <f t="shared" si="434"/>
        <v>Deslocação</v>
      </c>
      <c r="BT792" s="136">
        <f t="shared" si="440"/>
        <v>116.5</v>
      </c>
      <c r="BU792" s="136">
        <f t="shared" si="441"/>
        <v>115</v>
      </c>
      <c r="CA792" s="136">
        <f>'INFO BASE'!L869</f>
        <v>0</v>
      </c>
      <c r="CB792" s="136">
        <f>'INFO BASE'!M869</f>
        <v>0</v>
      </c>
      <c r="CR792" s="177">
        <f t="shared" si="422"/>
        <v>1</v>
      </c>
      <c r="CS792" s="177">
        <f t="shared" si="423"/>
        <v>1</v>
      </c>
      <c r="CT792" s="177">
        <f t="shared" si="422"/>
        <v>1</v>
      </c>
      <c r="CU792" s="177">
        <f t="shared" si="424"/>
        <v>1</v>
      </c>
      <c r="CV792" s="177">
        <f t="shared" si="422"/>
        <v>1</v>
      </c>
      <c r="CW792" s="177">
        <f t="shared" si="425"/>
        <v>1</v>
      </c>
      <c r="CX792" s="177">
        <f t="shared" si="422"/>
        <v>1</v>
      </c>
      <c r="CY792" s="177">
        <f t="shared" si="426"/>
        <v>1</v>
      </c>
      <c r="CZ792" s="177">
        <f t="shared" si="422"/>
        <v>1</v>
      </c>
      <c r="DA792" s="177">
        <f t="shared" si="427"/>
        <v>1</v>
      </c>
      <c r="DB792" s="177">
        <f t="shared" si="422"/>
        <v>1</v>
      </c>
      <c r="DC792" s="177">
        <f t="shared" si="428"/>
        <v>1</v>
      </c>
      <c r="DD792" s="177">
        <f t="shared" si="429"/>
        <v>1</v>
      </c>
      <c r="DE792" s="177">
        <f t="shared" si="430"/>
        <v>1</v>
      </c>
    </row>
    <row r="793" spans="1:120" ht="18" customHeight="1" x14ac:dyDescent="0.3">
      <c r="A793" s="81">
        <v>0.89583333333336201</v>
      </c>
      <c r="B793" s="153"/>
      <c r="C793" s="130"/>
      <c r="D793" s="135"/>
      <c r="E793" s="130"/>
      <c r="F793" s="135"/>
      <c r="G793" s="130"/>
      <c r="H793" s="135"/>
      <c r="I793" s="130"/>
      <c r="J793" s="135"/>
      <c r="K793" s="130"/>
      <c r="L793" s="135"/>
      <c r="M793" s="130"/>
      <c r="N793" s="135"/>
      <c r="O793" s="154"/>
      <c r="P793" s="6">
        <v>0</v>
      </c>
      <c r="Q793" s="103" t="str">
        <f>IF('INFO BASE'!$C$25="","",'INFO BASE'!$C$25)</f>
        <v>Horário de Dúvidas</v>
      </c>
      <c r="R793" s="87" t="str">
        <f t="shared" si="439"/>
        <v>HDV</v>
      </c>
      <c r="S793" s="88">
        <f t="shared" si="436"/>
        <v>-1</v>
      </c>
      <c r="T793" s="89">
        <f>IF(VLOOKUP(Q793,'INFO BASE'!$B$40:$I$54,IF(R793='INFO BASE'!$B$32,3,IF(R793='INFO BASE'!$B$33,4,IF(R793='INFO BASE'!$B$34,5,IF(R793='INFO BASE'!$B$35,6,IF(R793='INFO BASE'!$B$36,7,IF(R793='INFO BASE'!$B$37,8,2)))))),0)=0,"",VLOOKUP(Q793,'INFO BASE'!$B$40:$I$54,IF(R793='INFO BASE'!$B$32,3,IF(R793='INFO BASE'!$B$33,4,IF(R793='INFO BASE'!$B$34,5,IF(R793='INFO BASE'!$B$35,6,IF(R793='INFO BASE'!$B$36,7,IF(R793='INFO BASE'!$B$37,8,2)))))),0))</f>
        <v>3</v>
      </c>
      <c r="U793" s="89">
        <f t="shared" si="448"/>
        <v>0</v>
      </c>
      <c r="V793" s="89">
        <f>IF(R793="","",COUNTIFS(AI750:AV797,R793)*0.5)</f>
        <v>0</v>
      </c>
      <c r="W793" s="90" t="str">
        <f>IF(AH746="","-",IF(V793=0,U793,IFERROR((U793/V793)-1,"-")))</f>
        <v>-</v>
      </c>
      <c r="X793" s="201">
        <f t="shared" si="437"/>
        <v>0</v>
      </c>
      <c r="Y793" s="271"/>
      <c r="Z793" s="272"/>
      <c r="AA793" s="272"/>
      <c r="AB793" s="272"/>
      <c r="AC793" s="272"/>
      <c r="AD793" s="272"/>
      <c r="AE793" s="272"/>
      <c r="AF793" s="273"/>
      <c r="AH793" s="136">
        <v>0.89583333333336201</v>
      </c>
      <c r="AI793" s="136" t="str">
        <f>IF(AH746="","",IF(B793="","",B793))</f>
        <v/>
      </c>
      <c r="AJ793" s="136" t="str">
        <f>IF(AH746="","",IF(C793="","",C793))</f>
        <v/>
      </c>
      <c r="AK793" s="136" t="str">
        <f>IF(AH746="","",IF(D793="","",D793))</f>
        <v/>
      </c>
      <c r="AL793" s="136" t="str">
        <f>IF(AH746="","",IF(E793="","",E793))</f>
        <v/>
      </c>
      <c r="AM793" s="136" t="str">
        <f>IF(AH746="","",IF(F793="","",F793))</f>
        <v/>
      </c>
      <c r="AN793" s="136" t="str">
        <f>IF(AH746="","",IF(G793="","",G793))</f>
        <v/>
      </c>
      <c r="AO793" s="136" t="str">
        <f>IF(AH746="","",IF(H793="","",H793))</f>
        <v/>
      </c>
      <c r="AP793" s="136" t="str">
        <f>IF(AH746="","",IF(I793="","",I793))</f>
        <v/>
      </c>
      <c r="AQ793" s="136" t="str">
        <f>IF(AH746="","",IF(J793="","",J793))</f>
        <v/>
      </c>
      <c r="AR793" s="136" t="str">
        <f>IF(AH746="","",IF(K793="","",K793))</f>
        <v/>
      </c>
      <c r="AS793" s="136" t="str">
        <f>IF(AH746="","",IF(L793="","",L793))</f>
        <v/>
      </c>
      <c r="AT793" s="136" t="str">
        <f>IF(AH746="","",IF(M793="","",M793))</f>
        <v/>
      </c>
      <c r="AU793" s="136" t="str">
        <f>IF(AH746="","",IF(N793="","",N793))</f>
        <v/>
      </c>
      <c r="AV793" s="136" t="str">
        <f>IF(AH746="","",IF(O793="","",O793))</f>
        <v/>
      </c>
      <c r="AX793" s="136" t="str">
        <f>IF(AI746="","",IF(B793="","",B793))</f>
        <v/>
      </c>
      <c r="AY793" s="136" t="str">
        <f>IF(AI746="","",IF(C793="","",C793))</f>
        <v/>
      </c>
      <c r="AZ793" s="136" t="str">
        <f>IF(AI746="","",IF(D793="","",D793))</f>
        <v/>
      </c>
      <c r="BA793" s="136" t="str">
        <f>IF(AI746="","",IF(E793="","",E793))</f>
        <v/>
      </c>
      <c r="BB793" s="136" t="str">
        <f>IF(AI746="","",IF(F793="","",F793))</f>
        <v/>
      </c>
      <c r="BC793" s="136" t="str">
        <f>IF(AI746="","",IF(G793="","",G793))</f>
        <v/>
      </c>
      <c r="BD793" s="136" t="str">
        <f>IF(AI746="","",IF(H793="","",H793))</f>
        <v/>
      </c>
      <c r="BE793" s="136" t="str">
        <f>IF(AI746="","",IF(I793="","",I793))</f>
        <v/>
      </c>
      <c r="BF793" s="136" t="str">
        <f>IF(AI746="","",IF(J793="","",J793))</f>
        <v/>
      </c>
      <c r="BG793" s="136" t="str">
        <f>IF(AI746="","",IF(K793="","",K793))</f>
        <v/>
      </c>
      <c r="BH793" s="136" t="str">
        <f>IF(AI746="","",IF(L793="","",L793))</f>
        <v/>
      </c>
      <c r="BI793" s="136" t="str">
        <f>IF(AI746="","",IF(M793="","",M793))</f>
        <v/>
      </c>
      <c r="BJ793" s="136" t="str">
        <f>IF(AI746="","",IF(N793="","",N793))</f>
        <v/>
      </c>
      <c r="BK793" s="136" t="str">
        <f>IF(AI746="","",IF(O793="","",O793))</f>
        <v/>
      </c>
      <c r="BN793" s="136" t="str">
        <f t="shared" si="432"/>
        <v>Refeição</v>
      </c>
      <c r="BO793" s="136" t="str">
        <f t="shared" si="432"/>
        <v>HR</v>
      </c>
      <c r="BP793" s="136">
        <f>IF(BO793="","",COUNTIFS(AX750:BK797,BO793)*0.5)</f>
        <v>0</v>
      </c>
      <c r="BQ793" s="136" t="str">
        <f t="shared" si="433"/>
        <v>Refeição</v>
      </c>
      <c r="BR793" s="136" t="str">
        <f t="shared" si="433"/>
        <v>HR</v>
      </c>
      <c r="BS793" s="136" t="str">
        <f t="shared" si="434"/>
        <v>Refeição</v>
      </c>
      <c r="BT793" s="136">
        <f t="shared" si="440"/>
        <v>126</v>
      </c>
      <c r="BU793" s="136">
        <f t="shared" si="441"/>
        <v>124</v>
      </c>
      <c r="CA793" s="136">
        <f>'INFO BASE'!L870</f>
        <v>0</v>
      </c>
      <c r="CB793" s="136">
        <f>'INFO BASE'!M870</f>
        <v>0</v>
      </c>
      <c r="CR793" s="177">
        <f t="shared" si="422"/>
        <v>1</v>
      </c>
      <c r="CS793" s="177">
        <f t="shared" si="423"/>
        <v>1</v>
      </c>
      <c r="CT793" s="177">
        <f t="shared" si="422"/>
        <v>1</v>
      </c>
      <c r="CU793" s="177">
        <f t="shared" si="424"/>
        <v>1</v>
      </c>
      <c r="CV793" s="177">
        <f t="shared" si="422"/>
        <v>1</v>
      </c>
      <c r="CW793" s="177">
        <f t="shared" si="425"/>
        <v>1</v>
      </c>
      <c r="CX793" s="177">
        <f t="shared" ref="CX793:CX797" si="449">IF(H793="",1,H793)</f>
        <v>1</v>
      </c>
      <c r="CY793" s="177">
        <f t="shared" si="426"/>
        <v>1</v>
      </c>
      <c r="CZ793" s="177">
        <f t="shared" ref="CZ793:CZ797" si="450">IF(J793="",1,J793)</f>
        <v>1</v>
      </c>
      <c r="DA793" s="177">
        <f t="shared" si="427"/>
        <v>1</v>
      </c>
      <c r="DB793" s="177">
        <f t="shared" ref="DB793:DB797" si="451">IF(L793="",1,L793)</f>
        <v>1</v>
      </c>
      <c r="DC793" s="177">
        <f t="shared" si="428"/>
        <v>1</v>
      </c>
      <c r="DD793" s="177">
        <f t="shared" si="429"/>
        <v>1</v>
      </c>
      <c r="DE793" s="177">
        <f t="shared" si="430"/>
        <v>1</v>
      </c>
    </row>
    <row r="794" spans="1:120" ht="18" customHeight="1" x14ac:dyDescent="0.3">
      <c r="A794" s="81">
        <v>0.91666666666669605</v>
      </c>
      <c r="B794" s="153"/>
      <c r="C794" s="130"/>
      <c r="D794" s="135"/>
      <c r="E794" s="130"/>
      <c r="F794" s="135"/>
      <c r="G794" s="130"/>
      <c r="H794" s="135"/>
      <c r="I794" s="130"/>
      <c r="J794" s="135"/>
      <c r="K794" s="130"/>
      <c r="L794" s="135"/>
      <c r="M794" s="130"/>
      <c r="N794" s="135"/>
      <c r="O794" s="154"/>
      <c r="P794" s="6">
        <v>0.2</v>
      </c>
      <c r="Q794" s="104" t="str">
        <f>IF('INFO BASE'!$C$26="","",'INFO BASE'!$C$26)</f>
        <v>Privado</v>
      </c>
      <c r="R794" s="87" t="str">
        <f t="shared" si="439"/>
        <v>PV</v>
      </c>
      <c r="S794" s="88">
        <f t="shared" si="436"/>
        <v>-1</v>
      </c>
      <c r="T794" s="89">
        <f>IF(VLOOKUP(Q794,'INFO BASE'!$B$40:$I$54,IF(R794='INFO BASE'!$B$32,3,IF(R794='INFO BASE'!$B$33,4,IF(R794='INFO BASE'!$B$34,5,IF(R794='INFO BASE'!$B$35,6,IF(R794='INFO BASE'!$B$36,7,IF(R794='INFO BASE'!$B$37,8,2)))))),0)=0,"",VLOOKUP(Q794,'INFO BASE'!$B$40:$I$54,IF(R794='INFO BASE'!$B$32,3,IF(R794='INFO BASE'!$B$33,4,IF(R794='INFO BASE'!$B$34,5,IF(R794='INFO BASE'!$B$35,6,IF(R794='INFO BASE'!$B$36,7,IF(R794='INFO BASE'!$B$37,8,2)))))),0))</f>
        <v>26.5</v>
      </c>
      <c r="U794" s="89">
        <f t="shared" si="448"/>
        <v>0</v>
      </c>
      <c r="V794" s="89">
        <f>IF(R794="","",COUNTIFS(AI750:AV797,R794)*0.5)</f>
        <v>0</v>
      </c>
      <c r="W794" s="90" t="str">
        <f>IF(AH746="","-",IF(V794=0,U794,IFERROR((U794/V794)-1,"-")))</f>
        <v>-</v>
      </c>
      <c r="X794" s="202">
        <f t="shared" si="437"/>
        <v>0</v>
      </c>
      <c r="Y794" s="271"/>
      <c r="Z794" s="272"/>
      <c r="AA794" s="272"/>
      <c r="AB794" s="272"/>
      <c r="AC794" s="272"/>
      <c r="AD794" s="272"/>
      <c r="AE794" s="272"/>
      <c r="AF794" s="273"/>
      <c r="AH794" s="136">
        <v>0.91666666666669605</v>
      </c>
      <c r="AI794" s="136" t="str">
        <f>IF(AH746="","",IF(B794="","",B794))</f>
        <v/>
      </c>
      <c r="AJ794" s="136" t="str">
        <f>IF(AH746="","",IF(C794="","",C794))</f>
        <v/>
      </c>
      <c r="AK794" s="136" t="str">
        <f>IF(AH746="","",IF(D794="","",D794))</f>
        <v/>
      </c>
      <c r="AL794" s="136" t="str">
        <f>IF(AH746="","",IF(E794="","",E794))</f>
        <v/>
      </c>
      <c r="AM794" s="136" t="str">
        <f>IF(AH746="","",IF(F794="","",F794))</f>
        <v/>
      </c>
      <c r="AN794" s="136" t="str">
        <f>IF(AH746="","",IF(G794="","",G794))</f>
        <v/>
      </c>
      <c r="AO794" s="136" t="str">
        <f>IF(AH746="","",IF(H794="","",H794))</f>
        <v/>
      </c>
      <c r="AP794" s="136" t="str">
        <f>IF(AH746="","",IF(I794="","",I794))</f>
        <v/>
      </c>
      <c r="AQ794" s="136" t="str">
        <f>IF(AH746="","",IF(J794="","",J794))</f>
        <v/>
      </c>
      <c r="AR794" s="136" t="str">
        <f>IF(AH746="","",IF(K794="","",K794))</f>
        <v/>
      </c>
      <c r="AS794" s="136" t="str">
        <f>IF(AH746="","",IF(L794="","",L794))</f>
        <v/>
      </c>
      <c r="AT794" s="136" t="str">
        <f>IF(AH746="","",IF(M794="","",M794))</f>
        <v/>
      </c>
      <c r="AU794" s="136" t="str">
        <f>IF(AH746="","",IF(N794="","",N794))</f>
        <v/>
      </c>
      <c r="AV794" s="136" t="str">
        <f>IF(AH746="","",IF(O794="","",O794))</f>
        <v/>
      </c>
      <c r="AX794" s="136" t="str">
        <f>IF(AI746="","",IF(B794="","",B794))</f>
        <v/>
      </c>
      <c r="AY794" s="136" t="str">
        <f>IF(AI746="","",IF(C794="","",C794))</f>
        <v/>
      </c>
      <c r="AZ794" s="136" t="str">
        <f>IF(AI746="","",IF(D794="","",D794))</f>
        <v/>
      </c>
      <c r="BA794" s="136" t="str">
        <f>IF(AI746="","",IF(E794="","",E794))</f>
        <v/>
      </c>
      <c r="BB794" s="136" t="str">
        <f>IF(AI746="","",IF(F794="","",F794))</f>
        <v/>
      </c>
      <c r="BC794" s="136" t="str">
        <f>IF(AI746="","",IF(G794="","",G794))</f>
        <v/>
      </c>
      <c r="BD794" s="136" t="str">
        <f>IF(AI746="","",IF(H794="","",H794))</f>
        <v/>
      </c>
      <c r="BE794" s="136" t="str">
        <f>IF(AI746="","",IF(I794="","",I794))</f>
        <v/>
      </c>
      <c r="BF794" s="136" t="str">
        <f>IF(AI746="","",IF(J794="","",J794))</f>
        <v/>
      </c>
      <c r="BG794" s="136" t="str">
        <f>IF(AI746="","",IF(K794="","",K794))</f>
        <v/>
      </c>
      <c r="BH794" s="136" t="str">
        <f>IF(AI746="","",IF(L794="","",L794))</f>
        <v/>
      </c>
      <c r="BI794" s="136" t="str">
        <f>IF(AI746="","",IF(M794="","",M794))</f>
        <v/>
      </c>
      <c r="BJ794" s="136" t="str">
        <f>IF(AI746="","",IF(N794="","",N794))</f>
        <v/>
      </c>
      <c r="BK794" s="136" t="str">
        <f>IF(AI746="","",IF(O794="","",O794))</f>
        <v/>
      </c>
      <c r="BN794" s="136" t="str">
        <f t="shared" si="432"/>
        <v>Sono</v>
      </c>
      <c r="BO794" s="136" t="str">
        <f t="shared" si="432"/>
        <v>HS</v>
      </c>
      <c r="BP794" s="136">
        <f>IF(BO794="","",COUNTIFS(AX750:BK797,BO794)*0.5)</f>
        <v>0</v>
      </c>
      <c r="BQ794" s="136" t="str">
        <f t="shared" si="433"/>
        <v>Sono</v>
      </c>
      <c r="BR794" s="136" t="str">
        <f t="shared" si="433"/>
        <v>HS</v>
      </c>
      <c r="BS794" s="136" t="str">
        <f t="shared" si="434"/>
        <v>Sono</v>
      </c>
      <c r="BT794" s="136">
        <f t="shared" si="440"/>
        <v>417</v>
      </c>
      <c r="BU794" s="136">
        <f t="shared" si="441"/>
        <v>417.5</v>
      </c>
      <c r="CA794" s="136">
        <f>'INFO BASE'!L871</f>
        <v>0</v>
      </c>
      <c r="CB794" s="136">
        <f>'INFO BASE'!M871</f>
        <v>0</v>
      </c>
      <c r="CR794" s="177">
        <f t="shared" ref="CR794:CR797" si="452">IF(B794="",1,B794)</f>
        <v>1</v>
      </c>
      <c r="CS794" s="177">
        <f t="shared" si="423"/>
        <v>1</v>
      </c>
      <c r="CT794" s="177">
        <f t="shared" ref="CT794:CT797" si="453">IF(D794="",1,D794)</f>
        <v>1</v>
      </c>
      <c r="CU794" s="177">
        <f t="shared" si="424"/>
        <v>1</v>
      </c>
      <c r="CV794" s="177">
        <f t="shared" ref="CV794:CV797" si="454">IF(F794="",1,F794)</f>
        <v>1</v>
      </c>
      <c r="CW794" s="177">
        <f t="shared" si="425"/>
        <v>1</v>
      </c>
      <c r="CX794" s="177">
        <f t="shared" si="449"/>
        <v>1</v>
      </c>
      <c r="CY794" s="177">
        <f t="shared" si="426"/>
        <v>1</v>
      </c>
      <c r="CZ794" s="177">
        <f t="shared" si="450"/>
        <v>1</v>
      </c>
      <c r="DA794" s="177">
        <f t="shared" si="427"/>
        <v>1</v>
      </c>
      <c r="DB794" s="177">
        <f t="shared" si="451"/>
        <v>1</v>
      </c>
      <c r="DC794" s="177">
        <f t="shared" si="428"/>
        <v>1</v>
      </c>
      <c r="DD794" s="177">
        <f t="shared" si="429"/>
        <v>1</v>
      </c>
      <c r="DE794" s="177">
        <f t="shared" si="430"/>
        <v>1</v>
      </c>
    </row>
    <row r="795" spans="1:120" ht="18" customHeight="1" x14ac:dyDescent="0.3">
      <c r="A795" s="81">
        <v>0.93750000000002998</v>
      </c>
      <c r="B795" s="153"/>
      <c r="C795" s="130"/>
      <c r="D795" s="135"/>
      <c r="E795" s="130"/>
      <c r="F795" s="135"/>
      <c r="G795" s="130"/>
      <c r="H795" s="135"/>
      <c r="I795" s="130"/>
      <c r="J795" s="135"/>
      <c r="K795" s="130"/>
      <c r="L795" s="135"/>
      <c r="M795" s="130"/>
      <c r="N795" s="135"/>
      <c r="O795" s="154"/>
      <c r="P795" s="6">
        <v>0.2</v>
      </c>
      <c r="Q795" s="86" t="str">
        <f>IF('INFO BASE'!$C$27="","",'INFO BASE'!$C$27)</f>
        <v>Deslocação</v>
      </c>
      <c r="R795" s="87" t="str">
        <f t="shared" si="439"/>
        <v>HD</v>
      </c>
      <c r="S795" s="88">
        <f t="shared" si="436"/>
        <v>-1</v>
      </c>
      <c r="T795" s="89">
        <f>IF(VLOOKUP(Q795,'INFO BASE'!$B$40:$I$54,IF(R795='INFO BASE'!$B$32,3,IF(R795='INFO BASE'!$B$33,4,IF(R795='INFO BASE'!$B$34,5,IF(R795='INFO BASE'!$B$35,6,IF(R795='INFO BASE'!$B$36,7,IF(R795='INFO BASE'!$B$37,8,2)))))),0)=0,"",VLOOKUP(Q795,'INFO BASE'!$B$40:$I$54,IF(R795='INFO BASE'!$B$32,3,IF(R795='INFO BASE'!$B$33,4,IF(R795='INFO BASE'!$B$34,5,IF(R795='INFO BASE'!$B$35,6,IF(R795='INFO BASE'!$B$36,7,IF(R795='INFO BASE'!$B$37,8,2)))))),0))</f>
        <v>10</v>
      </c>
      <c r="U795" s="89">
        <f t="shared" si="448"/>
        <v>0</v>
      </c>
      <c r="V795" s="89">
        <f>IF(R795="","",COUNTIFS(AI750:AV797,R795)*0.5)</f>
        <v>0</v>
      </c>
      <c r="W795" s="90" t="str">
        <f>IF(AH746="","-",IF(V795=0,U795,IFERROR((U795/V795)-1,"-")))</f>
        <v>-</v>
      </c>
      <c r="X795" s="203">
        <f t="shared" si="437"/>
        <v>0</v>
      </c>
      <c r="Y795" s="271"/>
      <c r="Z795" s="272"/>
      <c r="AA795" s="272"/>
      <c r="AB795" s="272"/>
      <c r="AC795" s="272"/>
      <c r="AD795" s="272"/>
      <c r="AE795" s="272"/>
      <c r="AF795" s="273"/>
      <c r="AH795" s="136">
        <v>0.93750000000002998</v>
      </c>
      <c r="AI795" s="136" t="str">
        <f>IF(AH746="","",IF(B795="","",B795))</f>
        <v/>
      </c>
      <c r="AJ795" s="136" t="str">
        <f>IF(AH746="","",IF(C795="","",C795))</f>
        <v/>
      </c>
      <c r="AK795" s="136" t="str">
        <f>IF(AH746="","",IF(D795="","",D795))</f>
        <v/>
      </c>
      <c r="AL795" s="136" t="str">
        <f>IF(AH746="","",IF(E795="","",E795))</f>
        <v/>
      </c>
      <c r="AM795" s="136" t="str">
        <f>IF(AH746="","",IF(F795="","",F795))</f>
        <v/>
      </c>
      <c r="AN795" s="136" t="str">
        <f>IF(AH746="","",IF(G795="","",G795))</f>
        <v/>
      </c>
      <c r="AO795" s="136" t="str">
        <f>IF(AH746="","",IF(H795="","",H795))</f>
        <v/>
      </c>
      <c r="AP795" s="136" t="str">
        <f>IF(AH746="","",IF(I795="","",I795))</f>
        <v/>
      </c>
      <c r="AQ795" s="136" t="str">
        <f>IF(AH746="","",IF(J795="","",J795))</f>
        <v/>
      </c>
      <c r="AR795" s="136" t="str">
        <f>IF(AH746="","",IF(K795="","",K795))</f>
        <v/>
      </c>
      <c r="AS795" s="136" t="str">
        <f>IF(AH746="","",IF(L795="","",L795))</f>
        <v/>
      </c>
      <c r="AT795" s="136" t="str">
        <f>IF(AH746="","",IF(M795="","",M795))</f>
        <v/>
      </c>
      <c r="AU795" s="136" t="str">
        <f>IF(AH746="","",IF(N795="","",N795))</f>
        <v/>
      </c>
      <c r="AV795" s="136" t="str">
        <f>IF(AH746="","",IF(O795="","",O795))</f>
        <v/>
      </c>
      <c r="AX795" s="136" t="str">
        <f>IF(AI746="","",IF(B795="","",B795))</f>
        <v/>
      </c>
      <c r="AY795" s="136" t="str">
        <f>IF(AI746="","",IF(C795="","",C795))</f>
        <v/>
      </c>
      <c r="AZ795" s="136" t="str">
        <f>IF(AI746="","",IF(D795="","",D795))</f>
        <v/>
      </c>
      <c r="BA795" s="136" t="str">
        <f>IF(AI746="","",IF(E795="","",E795))</f>
        <v/>
      </c>
      <c r="BB795" s="136" t="str">
        <f>IF(AI746="","",IF(F795="","",F795))</f>
        <v/>
      </c>
      <c r="BC795" s="136" t="str">
        <f>IF(AI746="","",IF(G795="","",G795))</f>
        <v/>
      </c>
      <c r="BD795" s="136" t="str">
        <f>IF(AI746="","",IF(H795="","",H795))</f>
        <v/>
      </c>
      <c r="BE795" s="136" t="str">
        <f>IF(AI746="","",IF(I795="","",I795))</f>
        <v/>
      </c>
      <c r="BF795" s="136" t="str">
        <f>IF(AI746="","",IF(J795="","",J795))</f>
        <v/>
      </c>
      <c r="BG795" s="136" t="str">
        <f>IF(AI746="","",IF(K795="","",K795))</f>
        <v/>
      </c>
      <c r="BH795" s="136" t="str">
        <f>IF(AI746="","",IF(L795="","",L795))</f>
        <v/>
      </c>
      <c r="BI795" s="136" t="str">
        <f>IF(AI746="","",IF(M795="","",M795))</f>
        <v/>
      </c>
      <c r="BJ795" s="136" t="str">
        <f>IF(AI746="","",IF(N795="","",N795))</f>
        <v/>
      </c>
      <c r="BK795" s="136" t="str">
        <f>IF(AI746="","",IF(O795="","",O795))</f>
        <v/>
      </c>
      <c r="BP795" s="136" t="str">
        <f>IF(BO795="","",COUNTIFS(AX750:BK797,BO795)*0.5)</f>
        <v/>
      </c>
      <c r="CA795" s="136">
        <f>'INFO BASE'!L872</f>
        <v>0</v>
      </c>
      <c r="CB795" s="136">
        <f>'INFO BASE'!M872</f>
        <v>0</v>
      </c>
      <c r="CR795" s="177">
        <f t="shared" si="452"/>
        <v>1</v>
      </c>
      <c r="CS795" s="177">
        <f t="shared" si="423"/>
        <v>1</v>
      </c>
      <c r="CT795" s="177">
        <f t="shared" si="453"/>
        <v>1</v>
      </c>
      <c r="CU795" s="177">
        <f t="shared" si="424"/>
        <v>1</v>
      </c>
      <c r="CV795" s="177">
        <f t="shared" si="454"/>
        <v>1</v>
      </c>
      <c r="CW795" s="177">
        <f t="shared" si="425"/>
        <v>1</v>
      </c>
      <c r="CX795" s="177">
        <f t="shared" si="449"/>
        <v>1</v>
      </c>
      <c r="CY795" s="177">
        <f t="shared" si="426"/>
        <v>1</v>
      </c>
      <c r="CZ795" s="177">
        <f t="shared" si="450"/>
        <v>1</v>
      </c>
      <c r="DA795" s="177">
        <f t="shared" si="427"/>
        <v>1</v>
      </c>
      <c r="DB795" s="177">
        <f t="shared" si="451"/>
        <v>1</v>
      </c>
      <c r="DC795" s="177">
        <f t="shared" si="428"/>
        <v>1</v>
      </c>
      <c r="DD795" s="177">
        <f t="shared" si="429"/>
        <v>1</v>
      </c>
      <c r="DE795" s="177">
        <f t="shared" si="430"/>
        <v>1</v>
      </c>
    </row>
    <row r="796" spans="1:120" ht="18" customHeight="1" x14ac:dyDescent="0.3">
      <c r="A796" s="81">
        <v>0.95833333333336401</v>
      </c>
      <c r="B796" s="153"/>
      <c r="C796" s="130"/>
      <c r="D796" s="135"/>
      <c r="E796" s="130"/>
      <c r="F796" s="135"/>
      <c r="G796" s="130"/>
      <c r="H796" s="135"/>
      <c r="I796" s="130"/>
      <c r="J796" s="135"/>
      <c r="K796" s="130"/>
      <c r="L796" s="135"/>
      <c r="M796" s="130"/>
      <c r="N796" s="135"/>
      <c r="O796" s="154"/>
      <c r="P796" s="6">
        <v>0.2</v>
      </c>
      <c r="Q796" s="91" t="str">
        <f>IF('INFO BASE'!$C$28="","",'INFO BASE'!$C$28)</f>
        <v>Refeição</v>
      </c>
      <c r="R796" s="87" t="str">
        <f t="shared" si="439"/>
        <v>HR</v>
      </c>
      <c r="S796" s="88">
        <f t="shared" si="436"/>
        <v>-1</v>
      </c>
      <c r="T796" s="89">
        <f>IF(VLOOKUP(Q796,'INFO BASE'!$B$40:$I$54,IF(R796='INFO BASE'!$B$32,3,IF(R796='INFO BASE'!$B$33,4,IF(R796='INFO BASE'!$B$34,5,IF(R796='INFO BASE'!$B$35,6,IF(R796='INFO BASE'!$B$36,7,IF(R796='INFO BASE'!$B$37,8,2)))))),0)=0,"",VLOOKUP(Q796,'INFO BASE'!$B$40:$I$54,IF(R796='INFO BASE'!$B$32,3,IF(R796='INFO BASE'!$B$33,4,IF(R796='INFO BASE'!$B$34,5,IF(R796='INFO BASE'!$B$35,6,IF(R796='INFO BASE'!$B$36,7,IF(R796='INFO BASE'!$B$37,8,2)))))),0))</f>
        <v>15</v>
      </c>
      <c r="U796" s="89">
        <f t="shared" si="448"/>
        <v>0</v>
      </c>
      <c r="V796" s="89">
        <f>IF(R796="","",COUNTIFS(AI750:AV797,R796)*0.5)</f>
        <v>0</v>
      </c>
      <c r="W796" s="90" t="str">
        <f>IF(AH746="","-",IF(V796=0,U796,IFERROR((U796/V796)-1,"-")))</f>
        <v>-</v>
      </c>
      <c r="X796" s="204">
        <f t="shared" si="437"/>
        <v>0</v>
      </c>
      <c r="Y796" s="271"/>
      <c r="Z796" s="272"/>
      <c r="AA796" s="272"/>
      <c r="AB796" s="272"/>
      <c r="AC796" s="272"/>
      <c r="AD796" s="272"/>
      <c r="AE796" s="272"/>
      <c r="AF796" s="273"/>
      <c r="AH796" s="136">
        <v>0.95833333333336401</v>
      </c>
      <c r="AI796" s="136" t="str">
        <f>IF(AH746="","",IF(B796="","",B796))</f>
        <v/>
      </c>
      <c r="AJ796" s="136" t="str">
        <f>IF(AH746="","",IF(C796="","",C796))</f>
        <v/>
      </c>
      <c r="AK796" s="136" t="str">
        <f>IF(AH746="","",IF(D796="","",D796))</f>
        <v/>
      </c>
      <c r="AL796" s="136" t="str">
        <f>IF(AH746="","",IF(E796="","",E796))</f>
        <v/>
      </c>
      <c r="AM796" s="136" t="str">
        <f>IF(AH746="","",IF(F796="","",F796))</f>
        <v/>
      </c>
      <c r="AN796" s="136" t="str">
        <f>IF(AH746="","",IF(G796="","",G796))</f>
        <v/>
      </c>
      <c r="AO796" s="136" t="str">
        <f>IF(AH746="","",IF(H796="","",H796))</f>
        <v/>
      </c>
      <c r="AP796" s="136" t="str">
        <f>IF(AH746="","",IF(I796="","",I796))</f>
        <v/>
      </c>
      <c r="AQ796" s="136" t="str">
        <f>IF(AH746="","",IF(J796="","",J796))</f>
        <v/>
      </c>
      <c r="AR796" s="136" t="str">
        <f>IF(AH746="","",IF(K796="","",K796))</f>
        <v/>
      </c>
      <c r="AS796" s="136" t="str">
        <f>IF(AH746="","",IF(L796="","",L796))</f>
        <v/>
      </c>
      <c r="AT796" s="136" t="str">
        <f>IF(AH746="","",IF(M796="","",M796))</f>
        <v/>
      </c>
      <c r="AU796" s="136" t="str">
        <f>IF(AH746="","",IF(N796="","",N796))</f>
        <v/>
      </c>
      <c r="AV796" s="136" t="str">
        <f>IF(AH746="","",IF(O796="","",O796))</f>
        <v/>
      </c>
      <c r="AX796" s="136" t="str">
        <f>IF(AI746="","",IF(B796="","",B796))</f>
        <v/>
      </c>
      <c r="AY796" s="136" t="str">
        <f>IF(AI746="","",IF(C796="","",C796))</f>
        <v/>
      </c>
      <c r="AZ796" s="136" t="str">
        <f>IF(AI746="","",IF(D796="","",D796))</f>
        <v/>
      </c>
      <c r="BA796" s="136" t="str">
        <f>IF(AI746="","",IF(E796="","",E796))</f>
        <v/>
      </c>
      <c r="BB796" s="136" t="str">
        <f>IF(AI746="","",IF(F796="","",F796))</f>
        <v/>
      </c>
      <c r="BC796" s="136" t="str">
        <f>IF(AI746="","",IF(G796="","",G796))</f>
        <v/>
      </c>
      <c r="BD796" s="136" t="str">
        <f>IF(AI746="","",IF(H796="","",H796))</f>
        <v/>
      </c>
      <c r="BE796" s="136" t="str">
        <f>IF(AI746="","",IF(I796="","",I796))</f>
        <v/>
      </c>
      <c r="BF796" s="136" t="str">
        <f>IF(AI746="","",IF(J796="","",J796))</f>
        <v/>
      </c>
      <c r="BG796" s="136" t="str">
        <f>IF(AI746="","",IF(K796="","",K796))</f>
        <v/>
      </c>
      <c r="BH796" s="136" t="str">
        <f>IF(AI746="","",IF(L796="","",L796))</f>
        <v/>
      </c>
      <c r="BI796" s="136" t="str">
        <f>IF(AI746="","",IF(M796="","",M796))</f>
        <v/>
      </c>
      <c r="BJ796" s="136" t="str">
        <f>IF(AI746="","",IF(N796="","",N796))</f>
        <v/>
      </c>
      <c r="BK796" s="136" t="str">
        <f>IF(AI746="","",IF(O796="","",O796))</f>
        <v/>
      </c>
      <c r="BP796" s="136" t="str">
        <f>IF(BO796="","",COUNTIFS(AX750:BK797,BO796)*0.5)</f>
        <v/>
      </c>
      <c r="CA796" s="136">
        <f>'INFO BASE'!L873</f>
        <v>0</v>
      </c>
      <c r="CB796" s="136">
        <f>'INFO BASE'!M873</f>
        <v>0</v>
      </c>
      <c r="CR796" s="177">
        <f t="shared" si="452"/>
        <v>1</v>
      </c>
      <c r="CS796" s="177">
        <f t="shared" si="423"/>
        <v>1</v>
      </c>
      <c r="CT796" s="177">
        <f t="shared" si="453"/>
        <v>1</v>
      </c>
      <c r="CU796" s="177">
        <f t="shared" si="424"/>
        <v>1</v>
      </c>
      <c r="CV796" s="177">
        <f t="shared" si="454"/>
        <v>1</v>
      </c>
      <c r="CW796" s="177">
        <f t="shared" si="425"/>
        <v>1</v>
      </c>
      <c r="CX796" s="177">
        <f t="shared" si="449"/>
        <v>1</v>
      </c>
      <c r="CY796" s="177">
        <f t="shared" si="426"/>
        <v>1</v>
      </c>
      <c r="CZ796" s="177">
        <f t="shared" si="450"/>
        <v>1</v>
      </c>
      <c r="DA796" s="177">
        <f t="shared" si="427"/>
        <v>1</v>
      </c>
      <c r="DB796" s="177">
        <f t="shared" si="451"/>
        <v>1</v>
      </c>
      <c r="DC796" s="177">
        <f t="shared" si="428"/>
        <v>1</v>
      </c>
      <c r="DD796" s="177">
        <f t="shared" si="429"/>
        <v>1</v>
      </c>
      <c r="DE796" s="177">
        <f t="shared" si="430"/>
        <v>1</v>
      </c>
    </row>
    <row r="797" spans="1:120" ht="18" customHeight="1" thickBot="1" x14ac:dyDescent="0.35">
      <c r="A797" s="180">
        <v>0.97916666666669805</v>
      </c>
      <c r="B797" s="155"/>
      <c r="C797" s="156"/>
      <c r="D797" s="157"/>
      <c r="E797" s="156"/>
      <c r="F797" s="157"/>
      <c r="G797" s="156"/>
      <c r="H797" s="157"/>
      <c r="I797" s="156"/>
      <c r="J797" s="157"/>
      <c r="K797" s="156"/>
      <c r="L797" s="157"/>
      <c r="M797" s="156"/>
      <c r="N797" s="157"/>
      <c r="O797" s="158"/>
      <c r="P797" s="6">
        <v>0.2</v>
      </c>
      <c r="Q797" s="92" t="str">
        <f>IF('INFO BASE'!$C$29="","",'INFO BASE'!$C$29)</f>
        <v>Sono</v>
      </c>
      <c r="R797" s="93" t="str">
        <f t="shared" si="439"/>
        <v>HS</v>
      </c>
      <c r="S797" s="94">
        <f t="shared" si="436"/>
        <v>-1</v>
      </c>
      <c r="T797" s="95">
        <f>IF(VLOOKUP(Q797,'INFO BASE'!$B$40:$I$54,IF(R797='INFO BASE'!$B$32,3,IF(R797='INFO BASE'!$B$33,4,IF(R797='INFO BASE'!$B$34,5,IF(R797='INFO BASE'!$B$35,6,IF(R797='INFO BASE'!$B$36,7,IF(R797='INFO BASE'!$B$37,8,2)))))),0)=0,"",VLOOKUP(Q797,'INFO BASE'!$B$40:$I$54,IF(R797='INFO BASE'!$B$32,3,IF(R797='INFO BASE'!$B$33,4,IF(R797='INFO BASE'!$B$34,5,IF(R797='INFO BASE'!$B$35,6,IF(R797='INFO BASE'!$B$36,7,IF(R797='INFO BASE'!$B$37,8,2)))))),0))</f>
        <v>49</v>
      </c>
      <c r="U797" s="95">
        <f t="shared" si="448"/>
        <v>0</v>
      </c>
      <c r="V797" s="95">
        <f>IF(R797="","",COUNTIFS(AI750:AV797,R797)*0.5)</f>
        <v>0</v>
      </c>
      <c r="W797" s="96" t="str">
        <f>IF(AH746="","-",IF(V797=0,U797,IFERROR((U797/V797)-1,"-")))</f>
        <v>-</v>
      </c>
      <c r="X797" s="204">
        <f t="shared" si="437"/>
        <v>0</v>
      </c>
      <c r="Y797" s="274"/>
      <c r="Z797" s="275"/>
      <c r="AA797" s="275"/>
      <c r="AB797" s="275"/>
      <c r="AC797" s="275"/>
      <c r="AD797" s="275"/>
      <c r="AE797" s="275"/>
      <c r="AF797" s="276"/>
      <c r="AH797" s="136">
        <v>0.97916666666669805</v>
      </c>
      <c r="AI797" s="136" t="str">
        <f>IF(AH746="","",IF(B797="","",B797))</f>
        <v/>
      </c>
      <c r="AJ797" s="136" t="str">
        <f>IF(AH746="","",IF(C797="","",C797))</f>
        <v/>
      </c>
      <c r="AK797" s="136" t="str">
        <f>IF(AH746="","",IF(D797="","",D797))</f>
        <v/>
      </c>
      <c r="AL797" s="136" t="str">
        <f>IF(AH746="","",IF(E797="","",E797))</f>
        <v/>
      </c>
      <c r="AM797" s="136" t="str">
        <f>IF(AH746="","",IF(F797="","",F797))</f>
        <v/>
      </c>
      <c r="AN797" s="136" t="str">
        <f>IF(AH746="","",IF(G797="","",G797))</f>
        <v/>
      </c>
      <c r="AO797" s="136" t="str">
        <f>IF(AH746="","",IF(H797="","",H797))</f>
        <v/>
      </c>
      <c r="AP797" s="136" t="str">
        <f>IF(AH746="","",IF(I797="","",I797))</f>
        <v/>
      </c>
      <c r="AQ797" s="136" t="str">
        <f>IF(AH746="","",IF(J797="","",J797))</f>
        <v/>
      </c>
      <c r="AR797" s="136" t="str">
        <f>IF(AH746="","",IF(K797="","",K797))</f>
        <v/>
      </c>
      <c r="AS797" s="136" t="str">
        <f>IF(AH746="","",IF(L797="","",L797))</f>
        <v/>
      </c>
      <c r="AT797" s="136" t="str">
        <f>IF(AH746="","",IF(M797="","",M797))</f>
        <v/>
      </c>
      <c r="AU797" s="136" t="str">
        <f>IF(AH746="","",IF(N797="","",N797))</f>
        <v/>
      </c>
      <c r="AV797" s="136" t="str">
        <f>IF(AH746="","",IF(O797="","",O797))</f>
        <v/>
      </c>
      <c r="AX797" s="136" t="str">
        <f>IF(AI746="","",IF(B797="","",B797))</f>
        <v/>
      </c>
      <c r="AY797" s="136" t="str">
        <f>IF(AI746="","",IF(C797="","",C797))</f>
        <v/>
      </c>
      <c r="AZ797" s="136" t="str">
        <f>IF(AI746="","",IF(D797="","",D797))</f>
        <v/>
      </c>
      <c r="BA797" s="136" t="str">
        <f>IF(AI746="","",IF(E797="","",E797))</f>
        <v/>
      </c>
      <c r="BB797" s="136" t="str">
        <f>IF(AI746="","",IF(F797="","",F797))</f>
        <v/>
      </c>
      <c r="BC797" s="136" t="str">
        <f>IF(AI746="","",IF(G797="","",G797))</f>
        <v/>
      </c>
      <c r="BD797" s="136" t="str">
        <f>IF(AI746="","",IF(H797="","",H797))</f>
        <v/>
      </c>
      <c r="BE797" s="136" t="str">
        <f>IF(AI746="","",IF(I797="","",I797))</f>
        <v/>
      </c>
      <c r="BF797" s="136" t="str">
        <f>IF(AI746="","",IF(J797="","",J797))</f>
        <v/>
      </c>
      <c r="BG797" s="136" t="str">
        <f>IF(AI746="","",IF(K797="","",K797))</f>
        <v/>
      </c>
      <c r="BH797" s="136" t="str">
        <f>IF(AI746="","",IF(L797="","",L797))</f>
        <v/>
      </c>
      <c r="BI797" s="136" t="str">
        <f>IF(AI746="","",IF(M797="","",M797))</f>
        <v/>
      </c>
      <c r="BJ797" s="136" t="str">
        <f>IF(AI746="","",IF(N797="","",N797))</f>
        <v/>
      </c>
      <c r="BK797" s="136" t="str">
        <f>IF(AI746="","",IF(O797="","",O797))</f>
        <v/>
      </c>
      <c r="BP797" s="136" t="str">
        <f>IF(BO797="","",COUNTIFS(AX750:BK797,BO797)*0.5)</f>
        <v/>
      </c>
      <c r="CA797" s="136">
        <f>'INFO BASE'!L874</f>
        <v>0</v>
      </c>
      <c r="CB797" s="136">
        <f>'INFO BASE'!M874</f>
        <v>0</v>
      </c>
      <c r="CR797" s="177">
        <f t="shared" si="452"/>
        <v>1</v>
      </c>
      <c r="CS797" s="177">
        <f t="shared" si="423"/>
        <v>1</v>
      </c>
      <c r="CT797" s="177">
        <f t="shared" si="453"/>
        <v>1</v>
      </c>
      <c r="CU797" s="177">
        <f t="shared" si="424"/>
        <v>1</v>
      </c>
      <c r="CV797" s="177">
        <f t="shared" si="454"/>
        <v>1</v>
      </c>
      <c r="CW797" s="177">
        <f t="shared" si="425"/>
        <v>1</v>
      </c>
      <c r="CX797" s="177">
        <f t="shared" si="449"/>
        <v>1</v>
      </c>
      <c r="CY797" s="177">
        <f t="shared" si="426"/>
        <v>1</v>
      </c>
      <c r="CZ797" s="177">
        <f t="shared" si="450"/>
        <v>1</v>
      </c>
      <c r="DA797" s="177">
        <f t="shared" si="427"/>
        <v>1</v>
      </c>
      <c r="DB797" s="177">
        <f t="shared" si="451"/>
        <v>1</v>
      </c>
      <c r="DC797" s="177">
        <f t="shared" si="428"/>
        <v>1</v>
      </c>
      <c r="DD797" s="177">
        <f t="shared" si="429"/>
        <v>1</v>
      </c>
      <c r="DE797" s="177">
        <f t="shared" si="430"/>
        <v>1</v>
      </c>
    </row>
    <row r="798" spans="1:120" s="139" customFormat="1" ht="15" thickTop="1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7">
        <v>1</v>
      </c>
      <c r="Y798" s="6">
        <f>COUNTA(Y761:AF797)</f>
        <v>0</v>
      </c>
      <c r="Z798" s="6">
        <f>SUM(X761:X797)</f>
        <v>0</v>
      </c>
      <c r="AA798" s="6">
        <f>IF(Z798&gt;Y798,"ERRO",0)</f>
        <v>0</v>
      </c>
      <c r="AB798" s="6"/>
      <c r="AC798" s="6"/>
      <c r="AD798" s="6"/>
      <c r="AE798" s="6"/>
      <c r="AF798" s="6"/>
      <c r="AG798" s="6"/>
      <c r="BM798" s="136"/>
      <c r="BN798" s="136"/>
      <c r="BO798" s="136"/>
      <c r="BP798" s="136"/>
      <c r="BQ798" s="136"/>
      <c r="BR798" s="136"/>
      <c r="BS798" s="136"/>
      <c r="BT798" s="136"/>
      <c r="BU798" s="136"/>
      <c r="DN798" s="194"/>
      <c r="DO798" s="194"/>
      <c r="DP798" s="194"/>
    </row>
    <row r="799" spans="1:120" s="139" customFormat="1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7">
        <v>1</v>
      </c>
      <c r="Y799" s="6" t="s">
        <v>220</v>
      </c>
      <c r="Z799" s="6" t="s">
        <v>219</v>
      </c>
      <c r="AA799" s="6" t="s">
        <v>221</v>
      </c>
      <c r="AB799" s="6"/>
      <c r="AC799" s="6"/>
      <c r="AD799" s="6"/>
      <c r="AE799" s="6"/>
      <c r="AF799" s="6"/>
      <c r="AG799" s="6"/>
      <c r="BM799" s="136"/>
      <c r="BN799" s="136"/>
      <c r="BO799" s="136"/>
      <c r="BP799" s="136"/>
      <c r="BQ799" s="136"/>
      <c r="BR799" s="136"/>
      <c r="BS799" s="136"/>
      <c r="BT799" s="136"/>
      <c r="BU799" s="136"/>
      <c r="DN799" s="194"/>
      <c r="DO799" s="194"/>
      <c r="DP799" s="194"/>
    </row>
    <row r="800" spans="1:120" s="139" customFormat="1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7">
        <v>1</v>
      </c>
      <c r="Y800" s="6"/>
      <c r="Z800" s="6"/>
      <c r="AA800" s="6"/>
      <c r="AB800" s="6"/>
      <c r="AC800" s="6"/>
      <c r="AD800" s="6"/>
      <c r="AE800" s="6"/>
      <c r="AF800" s="6"/>
      <c r="AG800" s="6"/>
      <c r="BM800" s="136"/>
      <c r="BN800" s="136"/>
      <c r="BO800" s="136"/>
      <c r="BP800" s="136"/>
      <c r="BQ800" s="136"/>
      <c r="BR800" s="136"/>
      <c r="BS800" s="136"/>
      <c r="BT800" s="136"/>
      <c r="BU800" s="136"/>
      <c r="DN800" s="194"/>
      <c r="DO800" s="194"/>
      <c r="DP800" s="194"/>
    </row>
    <row r="801" spans="1:109" ht="15" thickBot="1" x14ac:dyDescent="0.35">
      <c r="X801" s="7">
        <v>1</v>
      </c>
    </row>
    <row r="802" spans="1:109" ht="38.25" customHeight="1" thickTop="1" thickBot="1" x14ac:dyDescent="0.35">
      <c r="A802" s="311" t="str">
        <f>IF(LEN(A745)=8,CONCATENATE("SEMANA ",RIGHT(A745,1)+1),CONCATENATE("SEMANA ",RIGHT(A745,2)+1))</f>
        <v>SEMANA 15</v>
      </c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3"/>
      <c r="AG802" s="12"/>
      <c r="CA802" s="136">
        <f>'INFO BASE'!L883</f>
        <v>0</v>
      </c>
      <c r="CB802" s="136">
        <f>'INFO BASE'!M883</f>
        <v>0</v>
      </c>
    </row>
    <row r="803" spans="1:109" ht="9" customHeight="1" thickTop="1" thickBot="1" x14ac:dyDescent="0.35">
      <c r="A803" s="139" t="str">
        <f>A802</f>
        <v>SEMANA 15</v>
      </c>
      <c r="B803" s="139"/>
      <c r="C803" s="140"/>
      <c r="D803" s="139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41">
        <v>1</v>
      </c>
      <c r="Y803" s="139"/>
      <c r="Z803" s="139"/>
      <c r="AA803" s="139"/>
      <c r="AB803" s="139"/>
      <c r="AC803" s="139"/>
      <c r="AD803" s="139"/>
      <c r="AE803" s="139"/>
      <c r="AF803" s="139"/>
      <c r="AG803" s="139"/>
      <c r="CA803" s="136">
        <f>'INFO BASE'!L884</f>
        <v>0</v>
      </c>
      <c r="CB803" s="136">
        <f>'INFO BASE'!M884</f>
        <v>0</v>
      </c>
    </row>
    <row r="804" spans="1:109" ht="30.75" customHeight="1" x14ac:dyDescent="0.3">
      <c r="A804" s="145"/>
      <c r="B804" s="314">
        <f>1-(CR804/673)</f>
        <v>0</v>
      </c>
      <c r="C804" s="315"/>
      <c r="D804" s="315"/>
      <c r="E804" s="315"/>
      <c r="F804" s="315"/>
      <c r="G804" s="315"/>
      <c r="H804" s="315"/>
      <c r="I804" s="315"/>
      <c r="J804" s="315"/>
      <c r="K804" s="315"/>
      <c r="L804" s="315"/>
      <c r="M804" s="315"/>
      <c r="N804" s="315"/>
      <c r="O804" s="316"/>
      <c r="Q804" s="205">
        <f>IF(OR(Q807="Registe aqui o que considera serem as suas três principais prioridades para a semana
(Dica - para criar paragráfos Alt+Enter)",LEN(Q807)&lt;10),1,0)</f>
        <v>1</v>
      </c>
      <c r="X804" s="7">
        <v>1</v>
      </c>
      <c r="AM804" s="136" t="str">
        <f>CONCATENATE("PLANEAMENTO ",I804)</f>
        <v xml:space="preserve">PLANEAMENTO </v>
      </c>
      <c r="AX804" s="136" t="str">
        <f>IF(AI803="","",IF(B804="","",B804))</f>
        <v/>
      </c>
      <c r="AY804" s="136" t="str">
        <f>IF(AI803="","",IF(C804="","",C804))</f>
        <v/>
      </c>
      <c r="AZ804" s="136" t="str">
        <f>IF(AI803="","",IF(D804="","",D804))</f>
        <v/>
      </c>
      <c r="BA804" s="136" t="str">
        <f>IF(AI803="","",IF(E804="","",E804))</f>
        <v/>
      </c>
      <c r="BB804" s="136" t="str">
        <f>IF(AI803="","",IF(F804="","",F804))</f>
        <v/>
      </c>
      <c r="BC804" s="136" t="str">
        <f>IF(AI803="","",IF(G804="","",G804))</f>
        <v/>
      </c>
      <c r="BD804" s="136" t="str">
        <f>IF(AI803="","",IF(H804="","",H804))</f>
        <v/>
      </c>
      <c r="BE804" s="136" t="str">
        <f>IF(AI803="","",IF(I804="","",I804))</f>
        <v/>
      </c>
      <c r="BF804" s="136" t="str">
        <f>IF(AI803="","",IF(J804="","",J804))</f>
        <v/>
      </c>
      <c r="BG804" s="136" t="str">
        <f>IF(AI803="","",IF(K804="","",K804))</f>
        <v/>
      </c>
      <c r="BH804" s="136" t="str">
        <f>IF(AI803="","",IF(L804="","",L804))</f>
        <v/>
      </c>
      <c r="BI804" s="136" t="str">
        <f>IF(AI803="","",IF(M804="","",M804))</f>
        <v/>
      </c>
      <c r="BJ804" s="136" t="str">
        <f>IF(AI803="","",IF(N804="","",N804))</f>
        <v/>
      </c>
      <c r="BK804" s="136" t="str">
        <f>IF(AI803="","",IF(O804="","",O804))</f>
        <v/>
      </c>
      <c r="CA804" s="136">
        <f>'INFO BASE'!L870</f>
        <v>0</v>
      </c>
      <c r="CB804" s="136">
        <f>'INFO BASE'!M870</f>
        <v>0</v>
      </c>
      <c r="CR804" s="136">
        <f>SUM(CR807:DE854,Q804)</f>
        <v>673</v>
      </c>
    </row>
    <row r="805" spans="1:109" ht="37.5" customHeight="1" thickBot="1" x14ac:dyDescent="0.35">
      <c r="A805" s="146"/>
      <c r="B805" s="330" t="str">
        <f>CONCATENATE("Segunda ",CHAR(10),TEXT(B806,"dd-mm-aaaa"))</f>
        <v>Segunda 
21-12-2015</v>
      </c>
      <c r="C805" s="317"/>
      <c r="D805" s="317" t="str">
        <f>CONCATENATE("Terça ",CHAR(10),TEXT(D806,"dd-mm-aaaa"))</f>
        <v>Terça 
22-12-2015</v>
      </c>
      <c r="E805" s="317"/>
      <c r="F805" s="317" t="str">
        <f>CONCATENATE("Quarta ",CHAR(10),TEXT(F806,"dd-mm-aaaa"))</f>
        <v>Quarta 
23-12-2015</v>
      </c>
      <c r="G805" s="317"/>
      <c r="H805" s="317" t="str">
        <f>CONCATENATE("Quinta ",CHAR(10),TEXT(H806,"dd-mm-aaaa"))</f>
        <v>Quinta 
24-12-2015</v>
      </c>
      <c r="I805" s="317"/>
      <c r="J805" s="317" t="str">
        <f>CONCATENATE("Sexta ",CHAR(10),TEXT(J806,"dd-mm-aaaa"))</f>
        <v>Sexta 
25-12-2015</v>
      </c>
      <c r="K805" s="317"/>
      <c r="L805" s="317" t="str">
        <f>CONCATENATE("Sábado ",CHAR(10),TEXT(L806,"dd-mm-aaaa"))</f>
        <v>Sábado 
26-12-2015</v>
      </c>
      <c r="M805" s="317"/>
      <c r="N805" s="317" t="str">
        <f>CONCATENATE("Domingo ",CHAR(10),TEXT(N806,"dd-mm-aaaa"))</f>
        <v>Domingo 
27-12-2015</v>
      </c>
      <c r="O805" s="329"/>
      <c r="Q805" s="55" t="str">
        <f>'INFO BASE'!$L$3</f>
        <v>PRIORIDADES PARA ESTA SEMANA</v>
      </c>
      <c r="R805" s="132"/>
      <c r="S805" s="132"/>
      <c r="T805" s="132"/>
      <c r="U805" s="132"/>
      <c r="V805" s="132"/>
      <c r="W805" s="195" t="str">
        <f>CONCATENATE("HORÁRIO ",'INFO BASE'!$C$6,"_",'INFO BASE'!$C$5,": ",UPPER(A802))</f>
        <v>HORÁRIO André Fonseca_84698: SEMANA 15</v>
      </c>
      <c r="X805" s="198">
        <v>1</v>
      </c>
      <c r="Y805" s="261" t="str">
        <f>'INFO BASE'!$L$1</f>
        <v>MOMENTOS AVALIATIVOS</v>
      </c>
      <c r="Z805" s="261"/>
      <c r="AA805" s="261"/>
      <c r="AB805" s="261"/>
      <c r="AC805" s="261" t="s">
        <v>215</v>
      </c>
      <c r="AD805" s="261"/>
      <c r="AE805" s="261"/>
      <c r="AF805" s="261"/>
      <c r="AI805" s="136" t="str">
        <f>B805</f>
        <v>Segunda 
21-12-2015</v>
      </c>
      <c r="AK805" s="136" t="str">
        <f>D805</f>
        <v>Terça 
22-12-2015</v>
      </c>
      <c r="AM805" s="136" t="str">
        <f>F805</f>
        <v>Quarta 
23-12-2015</v>
      </c>
      <c r="AO805" s="136" t="str">
        <f>H805</f>
        <v>Quinta 
24-12-2015</v>
      </c>
      <c r="AQ805" s="136" t="str">
        <f>J805</f>
        <v>Sexta 
25-12-2015</v>
      </c>
      <c r="AS805" s="136" t="str">
        <f>L805</f>
        <v>Sábado 
26-12-2015</v>
      </c>
      <c r="AU805" s="136" t="str">
        <f>N805</f>
        <v>Domingo 
27-12-2015</v>
      </c>
      <c r="AX805" s="136" t="str">
        <f>IF(AI803="","",IF(B805="","",B805))</f>
        <v/>
      </c>
      <c r="AY805" s="136" t="str">
        <f>IF(AI803="","",IF(C805="","",C805))</f>
        <v/>
      </c>
      <c r="AZ805" s="136" t="str">
        <f>IF(AI803="","",IF(D805="","",D805))</f>
        <v/>
      </c>
      <c r="BA805" s="136" t="str">
        <f>IF(AI803="","",IF(E805="","",E805))</f>
        <v/>
      </c>
      <c r="BB805" s="136" t="str">
        <f>IF(AI803="","",IF(F805="","",F805))</f>
        <v/>
      </c>
      <c r="BC805" s="136" t="str">
        <f>IF(AI803="","",IF(G805="","",G805))</f>
        <v/>
      </c>
      <c r="BD805" s="136" t="str">
        <f>IF(AI803="","",IF(H805="","",H805))</f>
        <v/>
      </c>
      <c r="BE805" s="136" t="str">
        <f>IF(AI803="","",IF(I805="","",I805))</f>
        <v/>
      </c>
      <c r="BF805" s="136" t="str">
        <f>IF(AI803="","",IF(J805="","",J805))</f>
        <v/>
      </c>
      <c r="BG805" s="136" t="str">
        <f>IF(AI803="","",IF(K805="","",K805))</f>
        <v/>
      </c>
      <c r="BH805" s="136" t="str">
        <f>IF(AI803="","",IF(L805="","",L805))</f>
        <v/>
      </c>
      <c r="BI805" s="136" t="str">
        <f>IF(AI803="","",IF(M805="","",M805))</f>
        <v/>
      </c>
      <c r="BJ805" s="136" t="str">
        <f>IF(AI803="","",IF(N805="","",N805))</f>
        <v/>
      </c>
      <c r="BK805" s="136" t="str">
        <f>IF(AI803="","",IF(O805="","",O805))</f>
        <v/>
      </c>
      <c r="CA805" s="136">
        <f>'INFO BASE'!L864</f>
        <v>0</v>
      </c>
      <c r="CB805" s="136">
        <f>'INFO BASE'!M864</f>
        <v>0</v>
      </c>
    </row>
    <row r="806" spans="1:109" ht="21" hidden="1" customHeight="1" x14ac:dyDescent="0.3">
      <c r="A806" s="142"/>
      <c r="B806" s="333">
        <f>N749+1</f>
        <v>42359</v>
      </c>
      <c r="C806" s="334"/>
      <c r="D806" s="334">
        <f>B806+1</f>
        <v>42360</v>
      </c>
      <c r="E806" s="334"/>
      <c r="F806" s="334">
        <f>D806+1</f>
        <v>42361</v>
      </c>
      <c r="G806" s="334"/>
      <c r="H806" s="334">
        <f>F806+1</f>
        <v>42362</v>
      </c>
      <c r="I806" s="334"/>
      <c r="J806" s="334">
        <f>H806+1</f>
        <v>42363</v>
      </c>
      <c r="K806" s="334"/>
      <c r="L806" s="334">
        <f>J806+1</f>
        <v>42364</v>
      </c>
      <c r="M806" s="334"/>
      <c r="N806" s="334">
        <f>L806+1</f>
        <v>42365</v>
      </c>
      <c r="O806" s="334"/>
      <c r="Q806" s="132"/>
      <c r="R806" s="132"/>
      <c r="S806" s="132"/>
      <c r="T806" s="132"/>
      <c r="U806" s="132"/>
      <c r="V806" s="132"/>
      <c r="W806" s="132"/>
      <c r="X806" s="198">
        <v>1</v>
      </c>
      <c r="Y806" s="132"/>
      <c r="Z806" s="132"/>
      <c r="AA806" s="132"/>
      <c r="AB806" s="131"/>
      <c r="AC806" s="131"/>
      <c r="AD806" s="131"/>
      <c r="AE806" s="131"/>
      <c r="AF806" s="131"/>
      <c r="AI806" s="136">
        <f>B806</f>
        <v>42359</v>
      </c>
      <c r="AK806" s="136">
        <f>D806</f>
        <v>42360</v>
      </c>
      <c r="AM806" s="136">
        <f>F806</f>
        <v>42361</v>
      </c>
      <c r="AO806" s="136">
        <f>H806</f>
        <v>42362</v>
      </c>
      <c r="AQ806" s="136">
        <f>J806</f>
        <v>42363</v>
      </c>
      <c r="AS806" s="136">
        <f>L806</f>
        <v>42364</v>
      </c>
      <c r="AU806" s="136">
        <f>N806</f>
        <v>42365</v>
      </c>
      <c r="AX806" s="136" t="str">
        <f>IF(AI803="","",IF(B806="","",B806))</f>
        <v/>
      </c>
      <c r="AY806" s="136" t="str">
        <f>IF(AI803="","",IF(C806="","",C806))</f>
        <v/>
      </c>
      <c r="AZ806" s="136" t="str">
        <f>IF(AI803="","",IF(D806="","",D806))</f>
        <v/>
      </c>
      <c r="BA806" s="136" t="str">
        <f>IF(AI803="","",IF(E806="","",E806))</f>
        <v/>
      </c>
      <c r="BB806" s="136" t="str">
        <f>IF(AI803="","",IF(F806="","",F806))</f>
        <v/>
      </c>
      <c r="BC806" s="136" t="str">
        <f>IF(AI803="","",IF(G806="","",G806))</f>
        <v/>
      </c>
      <c r="BD806" s="136" t="str">
        <f>IF(AI803="","",IF(H806="","",H806))</f>
        <v/>
      </c>
      <c r="BE806" s="136" t="str">
        <f>IF(AI803="","",IF(I806="","",I806))</f>
        <v/>
      </c>
      <c r="BF806" s="136" t="str">
        <f>IF(AI803="","",IF(J806="","",J806))</f>
        <v/>
      </c>
      <c r="BG806" s="136" t="str">
        <f>IF(AI803="","",IF(K806="","",K806))</f>
        <v/>
      </c>
      <c r="BH806" s="136" t="str">
        <f>IF(AI803="","",IF(L806="","",L806))</f>
        <v/>
      </c>
      <c r="BI806" s="136" t="str">
        <f>IF(AI803="","",IF(M806="","",M806))</f>
        <v/>
      </c>
      <c r="BJ806" s="136" t="str">
        <f>IF(AI803="","",IF(N806="","",N806))</f>
        <v/>
      </c>
      <c r="BK806" s="136" t="str">
        <f>IF(AI803="","",IF(O806="","",O806))</f>
        <v/>
      </c>
      <c r="CA806" s="136">
        <f>'INFO BASE'!L876</f>
        <v>0</v>
      </c>
      <c r="CB806" s="136">
        <f>'INFO BASE'!M876</f>
        <v>0</v>
      </c>
    </row>
    <row r="807" spans="1:109" ht="18" customHeight="1" thickTop="1" x14ac:dyDescent="0.3">
      <c r="A807" s="81">
        <v>0</v>
      </c>
      <c r="B807" s="149"/>
      <c r="C807" s="150"/>
      <c r="D807" s="151"/>
      <c r="E807" s="150"/>
      <c r="F807" s="151"/>
      <c r="G807" s="150"/>
      <c r="H807" s="151"/>
      <c r="I807" s="150"/>
      <c r="J807" s="151"/>
      <c r="K807" s="150"/>
      <c r="L807" s="151"/>
      <c r="M807" s="150"/>
      <c r="N807" s="151"/>
      <c r="O807" s="152"/>
      <c r="Q807" s="281" t="s">
        <v>216</v>
      </c>
      <c r="R807" s="282"/>
      <c r="S807" s="282"/>
      <c r="T807" s="282"/>
      <c r="U807" s="282"/>
      <c r="V807" s="282"/>
      <c r="W807" s="283"/>
      <c r="X807" s="199">
        <v>1</v>
      </c>
      <c r="Y807" s="268" t="str">
        <f t="array" ref="Y807">IF(ISERROR(INDEX($CA$2:$CB$200,SMALL(IF($CA$2:$CA$200=$A$802,ROW($CA$2:$CA$200)),ROW(1:1))-1,2)),"",INDEX($CA$2:$CB$200,SMALL(IF($CA$2:$CA$200=$A$802,ROW($CA$2:$CA$200)),ROW(1:1))-1,2))</f>
        <v/>
      </c>
      <c r="Z807" s="269"/>
      <c r="AA807" s="269"/>
      <c r="AB807" s="269"/>
      <c r="AC807" s="269"/>
      <c r="AD807" s="269"/>
      <c r="AE807" s="269"/>
      <c r="AF807" s="270"/>
      <c r="AH807" s="136">
        <v>0</v>
      </c>
      <c r="AI807" s="136" t="str">
        <f>IF(AH803="","",IF(B807="","",B807))</f>
        <v/>
      </c>
      <c r="AJ807" s="136" t="str">
        <f>IF(AH803="","",IF(C807="","",C807))</f>
        <v/>
      </c>
      <c r="AK807" s="136" t="str">
        <f>IF(AH803="","",IF(D807="","",D807))</f>
        <v/>
      </c>
      <c r="AL807" s="136" t="str">
        <f>IF(AH803="","",IF(E807="","",E807))</f>
        <v/>
      </c>
      <c r="AM807" s="136" t="str">
        <f>IF(AH803="","",IF(F807="","",F807))</f>
        <v/>
      </c>
      <c r="AN807" s="136" t="str">
        <f>IF(AH803="","",IF(G807="","",G807))</f>
        <v/>
      </c>
      <c r="AO807" s="136" t="str">
        <f>IF(AH803="","",IF(H807="","",H807))</f>
        <v/>
      </c>
      <c r="AP807" s="136" t="str">
        <f>IF(AH803="","",IF(I807="","",I807))</f>
        <v/>
      </c>
      <c r="AQ807" s="136" t="str">
        <f>IF(AH803="","",IF(J807="","",J807))</f>
        <v/>
      </c>
      <c r="AR807" s="136" t="str">
        <f>IF(AH803="","",IF(K807="","",K807))</f>
        <v/>
      </c>
      <c r="AS807" s="136" t="str">
        <f>IF(AH803="","",IF(L807="","",L807))</f>
        <v/>
      </c>
      <c r="AT807" s="136" t="str">
        <f>IF(AH803="","",IF(M807="","",M807))</f>
        <v/>
      </c>
      <c r="AU807" s="136" t="str">
        <f>IF(AH803="","",IF(N807="","",N807))</f>
        <v/>
      </c>
      <c r="AV807" s="136" t="str">
        <f>IF(AH803="","",IF(O807="","",O807))</f>
        <v/>
      </c>
      <c r="AX807" s="136" t="str">
        <f>IF(AI803="","",IF(B807="","",B807))</f>
        <v/>
      </c>
      <c r="AY807" s="136" t="str">
        <f>IF(AI803="","",IF(C807="","",C807))</f>
        <v/>
      </c>
      <c r="AZ807" s="136" t="str">
        <f>IF(AI803="","",IF(D807="","",D807))</f>
        <v/>
      </c>
      <c r="BA807" s="136" t="str">
        <f>IF(AI803="","",IF(E807="","",E807))</f>
        <v/>
      </c>
      <c r="BB807" s="136" t="str">
        <f>IF(AI803="","",IF(F807="","",F807))</f>
        <v/>
      </c>
      <c r="BC807" s="136" t="str">
        <f>IF(AI803="","",IF(G807="","",G807))</f>
        <v/>
      </c>
      <c r="BD807" s="136" t="str">
        <f>IF(AI803="","",IF(H807="","",H807))</f>
        <v/>
      </c>
      <c r="BE807" s="136" t="str">
        <f>IF(AI803="","",IF(I807="","",I807))</f>
        <v/>
      </c>
      <c r="BF807" s="136" t="str">
        <f>IF(AI803="","",IF(J807="","",J807))</f>
        <v/>
      </c>
      <c r="BG807" s="136" t="str">
        <f>IF(AI803="","",IF(K807="","",K807))</f>
        <v/>
      </c>
      <c r="BH807" s="136" t="str">
        <f>IF(AI803="","",IF(L807="","",L807))</f>
        <v/>
      </c>
      <c r="BI807" s="136" t="str">
        <f>IF(AI803="","",IF(M807="","",M807))</f>
        <v/>
      </c>
      <c r="BJ807" s="136" t="str">
        <f>IF(AI803="","",IF(N807="","",N807))</f>
        <v/>
      </c>
      <c r="BK807" s="136" t="str">
        <f>IF(AI803="","",IF(O807="","",O807))</f>
        <v/>
      </c>
      <c r="CA807" s="136">
        <f>'INFO BASE'!L877</f>
        <v>0</v>
      </c>
      <c r="CB807" s="136">
        <f>'INFO BASE'!M877</f>
        <v>0</v>
      </c>
      <c r="CD807" s="136">
        <f>COUNTA('INFO BASE'!E831:E836)+6</f>
        <v>6</v>
      </c>
      <c r="CR807" s="177">
        <f>IF(B807="",1,B807)</f>
        <v>1</v>
      </c>
      <c r="CS807" s="177">
        <f>IF(B807="PV",0,IFERROR(VLOOKUP(CONCATENATE(B807,C807),$DK$9:$DK$72,1,0),1))</f>
        <v>1</v>
      </c>
      <c r="CT807" s="177">
        <f>IF(D807="",1,D807)</f>
        <v>1</v>
      </c>
      <c r="CU807" s="177">
        <f>IF(D807="PV",0,IFERROR(VLOOKUP(CONCATENATE(D807,E807),$DK$9:$DK$72,1,0),1))</f>
        <v>1</v>
      </c>
      <c r="CV807" s="177">
        <f>IF(F807="",1,F807)</f>
        <v>1</v>
      </c>
      <c r="CW807" s="177">
        <f>IF(F807="PV",0,IFERROR(VLOOKUP(CONCATENATE(F807,G807),$DK$9:$DK$72,1,0),1))</f>
        <v>1</v>
      </c>
      <c r="CX807" s="177">
        <f>IF(H807="",1,H807)</f>
        <v>1</v>
      </c>
      <c r="CY807" s="177">
        <f>IF(H807="PV",0,IFERROR(VLOOKUP(CONCATENATE(H807,I807),$DK$9:$DK$72,1,0),1))</f>
        <v>1</v>
      </c>
      <c r="CZ807" s="177">
        <f>IF(J807="",1,J807)</f>
        <v>1</v>
      </c>
      <c r="DA807" s="177">
        <f>IF(J807="PV",0,IFERROR(VLOOKUP(CONCATENATE(J807,K807),$DK$9:$DK$72,1,0),1))</f>
        <v>1</v>
      </c>
      <c r="DB807" s="177">
        <f>IF(L807="",1,L807)</f>
        <v>1</v>
      </c>
      <c r="DC807" s="177">
        <f>IF(L807="PV",0,IFERROR(VLOOKUP(CONCATENATE(L807,M807),$DK$9:$DK$72,1,0),1))</f>
        <v>1</v>
      </c>
      <c r="DD807" s="177">
        <f>IF(N807="",1,N807)</f>
        <v>1</v>
      </c>
      <c r="DE807" s="177">
        <f>IF(N807="PV",0,IFERROR(VLOOKUP(CONCATENATE(N807,O807),$DK$9:$DK$72,1,0),1))</f>
        <v>1</v>
      </c>
    </row>
    <row r="808" spans="1:109" ht="18" customHeight="1" x14ac:dyDescent="0.3">
      <c r="A808" s="81">
        <v>2.0833333333333998E-2</v>
      </c>
      <c r="B808" s="153"/>
      <c r="C808" s="130"/>
      <c r="D808" s="135"/>
      <c r="E808" s="130"/>
      <c r="F808" s="135"/>
      <c r="G808" s="130"/>
      <c r="H808" s="135"/>
      <c r="I808" s="130"/>
      <c r="J808" s="135"/>
      <c r="K808" s="130"/>
      <c r="L808" s="135"/>
      <c r="M808" s="130"/>
      <c r="N808" s="135"/>
      <c r="O808" s="154"/>
      <c r="Q808" s="284"/>
      <c r="R808" s="285"/>
      <c r="S808" s="285"/>
      <c r="T808" s="285"/>
      <c r="U808" s="285"/>
      <c r="V808" s="285"/>
      <c r="W808" s="286"/>
      <c r="X808" s="199">
        <v>1</v>
      </c>
      <c r="Y808" s="262" t="str">
        <f t="array" ref="Y808">IF(ISERROR(INDEX($CA$2:$CB$200,SMALL(IF($CA$2:$CA$200=$A$802,ROW($CA$2:$CA$200)),ROW(2:2))-1,2)),"",INDEX($CA$2:$CB$200,SMALL(IF($CA$2:$CA$200=$A$802,ROW($CA$2:$CA$200)),ROW(2:2))-1,2))</f>
        <v/>
      </c>
      <c r="Z808" s="263"/>
      <c r="AA808" s="263"/>
      <c r="AB808" s="263"/>
      <c r="AC808" s="263"/>
      <c r="AD808" s="263"/>
      <c r="AE808" s="263"/>
      <c r="AF808" s="264"/>
      <c r="AH808" s="136">
        <v>2.0833333333333998E-2</v>
      </c>
      <c r="AI808" s="136" t="str">
        <f>IF(AH803="","",IF(B808="","",B808))</f>
        <v/>
      </c>
      <c r="AJ808" s="136" t="str">
        <f>IF(AH803="","",IF(C808="","",C808))</f>
        <v/>
      </c>
      <c r="AK808" s="136" t="str">
        <f>IF(AH803="","",IF(D808="","",D808))</f>
        <v/>
      </c>
      <c r="AL808" s="136" t="str">
        <f>IF(AH803="","",IF(E808="","",E808))</f>
        <v/>
      </c>
      <c r="AM808" s="136" t="str">
        <f>IF(AH803="","",IF(F808="","",F808))</f>
        <v/>
      </c>
      <c r="AN808" s="136" t="str">
        <f>IF(AH803="","",IF(G808="","",G808))</f>
        <v/>
      </c>
      <c r="AO808" s="136" t="str">
        <f>IF(AH803="","",IF(H808="","",H808))</f>
        <v/>
      </c>
      <c r="AP808" s="136" t="str">
        <f>IF(AH803="","",IF(I808="","",I808))</f>
        <v/>
      </c>
      <c r="AQ808" s="136" t="str">
        <f>IF(AH803="","",IF(J808="","",J808))</f>
        <v/>
      </c>
      <c r="AR808" s="136" t="str">
        <f>IF(AH803="","",IF(K808="","",K808))</f>
        <v/>
      </c>
      <c r="AS808" s="136" t="str">
        <f>IF(AH803="","",IF(L808="","",L808))</f>
        <v/>
      </c>
      <c r="AT808" s="136" t="str">
        <f>IF(AH803="","",IF(M808="","",M808))</f>
        <v/>
      </c>
      <c r="AU808" s="136" t="str">
        <f>IF(AH803="","",IF(N808="","",N808))</f>
        <v/>
      </c>
      <c r="AV808" s="136" t="str">
        <f>IF(AH803="","",IF(O808="","",O808))</f>
        <v/>
      </c>
      <c r="AX808" s="136" t="str">
        <f>IF(AI803="","",IF(B808="","",B808))</f>
        <v/>
      </c>
      <c r="AY808" s="136" t="str">
        <f>IF(AI803="","",IF(C808="","",C808))</f>
        <v/>
      </c>
      <c r="AZ808" s="136" t="str">
        <f>IF(AI803="","",IF(D808="","",D808))</f>
        <v/>
      </c>
      <c r="BA808" s="136" t="str">
        <f>IF(AI803="","",IF(E808="","",E808))</f>
        <v/>
      </c>
      <c r="BB808" s="136" t="str">
        <f>IF(AI803="","",IF(F808="","",F808))</f>
        <v/>
      </c>
      <c r="BC808" s="136" t="str">
        <f>IF(AI803="","",IF(G808="","",G808))</f>
        <v/>
      </c>
      <c r="BD808" s="136" t="str">
        <f>IF(AI803="","",IF(H808="","",H808))</f>
        <v/>
      </c>
      <c r="BE808" s="136" t="str">
        <f>IF(AI803="","",IF(I808="","",I808))</f>
        <v/>
      </c>
      <c r="BF808" s="136" t="str">
        <f>IF(AI803="","",IF(J808="","",J808))</f>
        <v/>
      </c>
      <c r="BG808" s="136" t="str">
        <f>IF(AI803="","",IF(K808="","",K808))</f>
        <v/>
      </c>
      <c r="BH808" s="136" t="str">
        <f>IF(AI803="","",IF(L808="","",L808))</f>
        <v/>
      </c>
      <c r="BI808" s="136" t="str">
        <f>IF(AI803="","",IF(M808="","",M808))</f>
        <v/>
      </c>
      <c r="BJ808" s="136" t="str">
        <f>IF(AI803="","",IF(N808="","",N808))</f>
        <v/>
      </c>
      <c r="BK808" s="136" t="str">
        <f>IF(AI803="","",IF(O808="","",O808))</f>
        <v/>
      </c>
      <c r="CA808" s="136">
        <f>'INFO BASE'!L878</f>
        <v>0</v>
      </c>
      <c r="CB808" s="136">
        <f>'INFO BASE'!M878</f>
        <v>0</v>
      </c>
      <c r="CR808" s="177">
        <f t="shared" ref="CR808:DB850" si="455">IF(B808="",1,B808)</f>
        <v>1</v>
      </c>
      <c r="CS808" s="177">
        <f t="shared" ref="CS808:CS854" si="456">IF(B808="PV",0,IFERROR(VLOOKUP(CONCATENATE(B808,C808),$DK$9:$DK$72,1,0),1))</f>
        <v>1</v>
      </c>
      <c r="CT808" s="177">
        <f t="shared" si="455"/>
        <v>1</v>
      </c>
      <c r="CU808" s="177">
        <f t="shared" ref="CU808:CU854" si="457">IF(D808="PV",0,IFERROR(VLOOKUP(CONCATENATE(D808,E808),$DK$9:$DK$72,1,0),1))</f>
        <v>1</v>
      </c>
      <c r="CV808" s="177">
        <f t="shared" si="455"/>
        <v>1</v>
      </c>
      <c r="CW808" s="177">
        <f t="shared" ref="CW808:CW854" si="458">IF(F808="PV",0,IFERROR(VLOOKUP(CONCATENATE(F808,G808),$DK$9:$DK$72,1,0),1))</f>
        <v>1</v>
      </c>
      <c r="CX808" s="177">
        <f t="shared" si="455"/>
        <v>1</v>
      </c>
      <c r="CY808" s="177">
        <f t="shared" ref="CY808:CY854" si="459">IF(H808="PV",0,IFERROR(VLOOKUP(CONCATENATE(H808,I808),$DK$9:$DK$72,1,0),1))</f>
        <v>1</v>
      </c>
      <c r="CZ808" s="177">
        <f t="shared" si="455"/>
        <v>1</v>
      </c>
      <c r="DA808" s="177">
        <f t="shared" ref="DA808:DA854" si="460">IF(J808="PV",0,IFERROR(VLOOKUP(CONCATENATE(J808,K808),$DK$9:$DK$72,1,0),1))</f>
        <v>1</v>
      </c>
      <c r="DB808" s="177">
        <f t="shared" si="455"/>
        <v>1</v>
      </c>
      <c r="DC808" s="177">
        <f t="shared" ref="DC808:DC854" si="461">IF(L808="PV",0,IFERROR(VLOOKUP(CONCATENATE(L808,M808),$DK$9:$DK$72,1,0),1))</f>
        <v>1</v>
      </c>
      <c r="DD808" s="177">
        <f t="shared" ref="DD808:DD854" si="462">IF(N808="",1,N808)</f>
        <v>1</v>
      </c>
      <c r="DE808" s="177">
        <f t="shared" ref="DE808:DE854" si="463">IF(N808="PV",0,IFERROR(VLOOKUP(CONCATENATE(N808,O808),$DK$9:$DK$72,1,0),1))</f>
        <v>1</v>
      </c>
    </row>
    <row r="809" spans="1:109" ht="18" customHeight="1" x14ac:dyDescent="0.3">
      <c r="A809" s="81">
        <v>4.1666666666667997E-2</v>
      </c>
      <c r="B809" s="153"/>
      <c r="C809" s="130"/>
      <c r="D809" s="135"/>
      <c r="E809" s="130"/>
      <c r="F809" s="135"/>
      <c r="G809" s="130"/>
      <c r="H809" s="135"/>
      <c r="I809" s="130"/>
      <c r="J809" s="135"/>
      <c r="K809" s="130"/>
      <c r="L809" s="135"/>
      <c r="M809" s="130"/>
      <c r="N809" s="135"/>
      <c r="O809" s="154"/>
      <c r="Q809" s="284"/>
      <c r="R809" s="285"/>
      <c r="S809" s="285"/>
      <c r="T809" s="285"/>
      <c r="U809" s="285"/>
      <c r="V809" s="285"/>
      <c r="W809" s="286"/>
      <c r="X809" s="199">
        <v>1</v>
      </c>
      <c r="Y809" s="262" t="str">
        <f t="array" ref="Y809">IF(ISERROR(INDEX($CA$2:$CB$200,SMALL(IF($CA$2:$CA$200=$A$802,ROW($CA$2:$CA$200)),ROW(3:3))-1,2)),"",INDEX($CA$2:$CB$200,SMALL(IF($CA$2:$CA$200=$A$802,ROW($CA$2:$CA$200)),ROW(3:3))-1,2))</f>
        <v/>
      </c>
      <c r="Z809" s="263"/>
      <c r="AA809" s="263"/>
      <c r="AB809" s="263"/>
      <c r="AC809" s="263"/>
      <c r="AD809" s="263"/>
      <c r="AE809" s="263"/>
      <c r="AF809" s="264"/>
      <c r="AH809" s="136">
        <v>4.1666666666667997E-2</v>
      </c>
      <c r="AI809" s="136" t="str">
        <f>IF(AH803="","",IF(B809="","",B809))</f>
        <v/>
      </c>
      <c r="AJ809" s="136" t="str">
        <f>IF(AH803="","",IF(C809="","",C809))</f>
        <v/>
      </c>
      <c r="AK809" s="136" t="str">
        <f>IF(AH803="","",IF(D809="","",D809))</f>
        <v/>
      </c>
      <c r="AL809" s="136" t="str">
        <f>IF(AH803="","",IF(E809="","",E809))</f>
        <v/>
      </c>
      <c r="AM809" s="136" t="str">
        <f>IF(AH803="","",IF(F809="","",F809))</f>
        <v/>
      </c>
      <c r="AN809" s="136" t="str">
        <f>IF(AH803="","",IF(G809="","",G809))</f>
        <v/>
      </c>
      <c r="AO809" s="136" t="str">
        <f>IF(AH803="","",IF(H809="","",H809))</f>
        <v/>
      </c>
      <c r="AP809" s="136" t="str">
        <f>IF(AH803="","",IF(I809="","",I809))</f>
        <v/>
      </c>
      <c r="AQ809" s="136" t="str">
        <f>IF(AH803="","",IF(J809="","",J809))</f>
        <v/>
      </c>
      <c r="AR809" s="136" t="str">
        <f>IF(AH803="","",IF(K809="","",K809))</f>
        <v/>
      </c>
      <c r="AS809" s="136" t="str">
        <f>IF(AH803="","",IF(L809="","",L809))</f>
        <v/>
      </c>
      <c r="AT809" s="136" t="str">
        <f>IF(AH803="","",IF(M809="","",M809))</f>
        <v/>
      </c>
      <c r="AU809" s="136" t="str">
        <f>IF(AH803="","",IF(N809="","",N809))</f>
        <v/>
      </c>
      <c r="AV809" s="136" t="str">
        <f>IF(AH803="","",IF(O809="","",O809))</f>
        <v/>
      </c>
      <c r="AX809" s="136" t="str">
        <f>IF(AI803="","",IF(B809="","",B809))</f>
        <v/>
      </c>
      <c r="AY809" s="136" t="str">
        <f>IF(AI803="","",IF(C809="","",C809))</f>
        <v/>
      </c>
      <c r="AZ809" s="136" t="str">
        <f>IF(AI803="","",IF(D809="","",D809))</f>
        <v/>
      </c>
      <c r="BA809" s="136" t="str">
        <f>IF(AI803="","",IF(E809="","",E809))</f>
        <v/>
      </c>
      <c r="BB809" s="136" t="str">
        <f>IF(AI803="","",IF(F809="","",F809))</f>
        <v/>
      </c>
      <c r="BC809" s="136" t="str">
        <f>IF(AI803="","",IF(G809="","",G809))</f>
        <v/>
      </c>
      <c r="BD809" s="136" t="str">
        <f>IF(AI803="","",IF(H809="","",H809))</f>
        <v/>
      </c>
      <c r="BE809" s="136" t="str">
        <f>IF(AI803="","",IF(I809="","",I809))</f>
        <v/>
      </c>
      <c r="BF809" s="136" t="str">
        <f>IF(AI803="","",IF(J809="","",J809))</f>
        <v/>
      </c>
      <c r="BG809" s="136" t="str">
        <f>IF(AI803="","",IF(K809="","",K809))</f>
        <v/>
      </c>
      <c r="BH809" s="136" t="str">
        <f>IF(AI803="","",IF(L809="","",L809))</f>
        <v/>
      </c>
      <c r="BI809" s="136" t="str">
        <f>IF(AI803="","",IF(M809="","",M809))</f>
        <v/>
      </c>
      <c r="BJ809" s="136" t="str">
        <f>IF(AI803="","",IF(N809="","",N809))</f>
        <v/>
      </c>
      <c r="BK809" s="136" t="str">
        <f>IF(AI803="","",IF(O809="","",O809))</f>
        <v/>
      </c>
      <c r="CA809" s="136">
        <f>'INFO BASE'!L879</f>
        <v>0</v>
      </c>
      <c r="CB809" s="136">
        <f>'INFO BASE'!M879</f>
        <v>0</v>
      </c>
      <c r="CR809" s="177">
        <f t="shared" si="455"/>
        <v>1</v>
      </c>
      <c r="CS809" s="177">
        <f t="shared" si="456"/>
        <v>1</v>
      </c>
      <c r="CT809" s="177">
        <f t="shared" si="455"/>
        <v>1</v>
      </c>
      <c r="CU809" s="177">
        <f t="shared" si="457"/>
        <v>1</v>
      </c>
      <c r="CV809" s="177">
        <f t="shared" si="455"/>
        <v>1</v>
      </c>
      <c r="CW809" s="177">
        <f t="shared" si="458"/>
        <v>1</v>
      </c>
      <c r="CX809" s="177">
        <f t="shared" si="455"/>
        <v>1</v>
      </c>
      <c r="CY809" s="177">
        <f t="shared" si="459"/>
        <v>1</v>
      </c>
      <c r="CZ809" s="177">
        <f t="shared" si="455"/>
        <v>1</v>
      </c>
      <c r="DA809" s="177">
        <f t="shared" si="460"/>
        <v>1</v>
      </c>
      <c r="DB809" s="177">
        <f t="shared" si="455"/>
        <v>1</v>
      </c>
      <c r="DC809" s="177">
        <f t="shared" si="461"/>
        <v>1</v>
      </c>
      <c r="DD809" s="177">
        <f t="shared" si="462"/>
        <v>1</v>
      </c>
      <c r="DE809" s="177">
        <f t="shared" si="463"/>
        <v>1</v>
      </c>
    </row>
    <row r="810" spans="1:109" ht="18" customHeight="1" x14ac:dyDescent="0.3">
      <c r="A810" s="81">
        <v>6.2500000000001998E-2</v>
      </c>
      <c r="B810" s="153"/>
      <c r="C810" s="130"/>
      <c r="D810" s="135"/>
      <c r="E810" s="130"/>
      <c r="F810" s="135"/>
      <c r="G810" s="130"/>
      <c r="H810" s="135"/>
      <c r="I810" s="130"/>
      <c r="J810" s="135"/>
      <c r="K810" s="130"/>
      <c r="L810" s="135"/>
      <c r="M810" s="130"/>
      <c r="N810" s="135"/>
      <c r="O810" s="154"/>
      <c r="Q810" s="284"/>
      <c r="R810" s="285"/>
      <c r="S810" s="285"/>
      <c r="T810" s="285"/>
      <c r="U810" s="285"/>
      <c r="V810" s="285"/>
      <c r="W810" s="286"/>
      <c r="X810" s="199">
        <v>1</v>
      </c>
      <c r="Y810" s="262" t="str">
        <f t="array" ref="Y810">IF(ISERROR(INDEX($CA$2:$CB$200,SMALL(IF($CA$2:$CA$200=$A$802,ROW($CA$2:$CA$200)),ROW(4:4))-1,2)),"",INDEX($CA$2:$CB$200,SMALL(IF($CA$2:$CA$200=$A$802,ROW($CA$2:$CA$200)),ROW(4:4))-1,2))</f>
        <v/>
      </c>
      <c r="Z810" s="263"/>
      <c r="AA810" s="263"/>
      <c r="AB810" s="263"/>
      <c r="AC810" s="263"/>
      <c r="AD810" s="263"/>
      <c r="AE810" s="263"/>
      <c r="AF810" s="264"/>
      <c r="AH810" s="136">
        <v>6.2500000000001998E-2</v>
      </c>
      <c r="AI810" s="136" t="str">
        <f>IF(AH803="","",IF(B810="","",B810))</f>
        <v/>
      </c>
      <c r="AJ810" s="136" t="str">
        <f>IF(AH803="","",IF(C810="","",C810))</f>
        <v/>
      </c>
      <c r="AK810" s="136" t="str">
        <f>IF(AH803="","",IF(D810="","",D810))</f>
        <v/>
      </c>
      <c r="AL810" s="136" t="str">
        <f>IF(AH803="","",IF(E810="","",E810))</f>
        <v/>
      </c>
      <c r="AM810" s="136" t="str">
        <f>IF(AH803="","",IF(F810="","",F810))</f>
        <v/>
      </c>
      <c r="AN810" s="136" t="str">
        <f>IF(AH803="","",IF(G810="","",G810))</f>
        <v/>
      </c>
      <c r="AO810" s="136" t="str">
        <f>IF(AH803="","",IF(H810="","",H810))</f>
        <v/>
      </c>
      <c r="AP810" s="136" t="str">
        <f>IF(AH803="","",IF(I810="","",I810))</f>
        <v/>
      </c>
      <c r="AQ810" s="136" t="str">
        <f>IF(AH803="","",IF(J810="","",J810))</f>
        <v/>
      </c>
      <c r="AR810" s="136" t="str">
        <f>IF(AH803="","",IF(K810="","",K810))</f>
        <v/>
      </c>
      <c r="AS810" s="136" t="str">
        <f>IF(AH803="","",IF(L810="","",L810))</f>
        <v/>
      </c>
      <c r="AT810" s="136" t="str">
        <f>IF(AH803="","",IF(M810="","",M810))</f>
        <v/>
      </c>
      <c r="AU810" s="136" t="str">
        <f>IF(AH803="","",IF(N810="","",N810))</f>
        <v/>
      </c>
      <c r="AV810" s="136" t="str">
        <f>IF(AH803="","",IF(O810="","",O810))</f>
        <v/>
      </c>
      <c r="AX810" s="136" t="str">
        <f>IF(AI803="","",IF(B810="","",B810))</f>
        <v/>
      </c>
      <c r="AY810" s="136" t="str">
        <f>IF(AI803="","",IF(C810="","",C810))</f>
        <v/>
      </c>
      <c r="AZ810" s="136" t="str">
        <f>IF(AI803="","",IF(D810="","",D810))</f>
        <v/>
      </c>
      <c r="BA810" s="136" t="str">
        <f>IF(AI803="","",IF(E810="","",E810))</f>
        <v/>
      </c>
      <c r="BB810" s="136" t="str">
        <f>IF(AI803="","",IF(F810="","",F810))</f>
        <v/>
      </c>
      <c r="BC810" s="136" t="str">
        <f>IF(AI803="","",IF(G810="","",G810))</f>
        <v/>
      </c>
      <c r="BD810" s="136" t="str">
        <f>IF(AI803="","",IF(H810="","",H810))</f>
        <v/>
      </c>
      <c r="BE810" s="136" t="str">
        <f>IF(AI803="","",IF(I810="","",I810))</f>
        <v/>
      </c>
      <c r="BF810" s="136" t="str">
        <f>IF(AI803="","",IF(J810="","",J810))</f>
        <v/>
      </c>
      <c r="BG810" s="136" t="str">
        <f>IF(AI803="","",IF(K810="","",K810))</f>
        <v/>
      </c>
      <c r="BH810" s="136" t="str">
        <f>IF(AI803="","",IF(L810="","",L810))</f>
        <v/>
      </c>
      <c r="BI810" s="136" t="str">
        <f>IF(AI803="","",IF(M810="","",M810))</f>
        <v/>
      </c>
      <c r="BJ810" s="136" t="str">
        <f>IF(AI803="","",IF(N810="","",N810))</f>
        <v/>
      </c>
      <c r="BK810" s="136" t="str">
        <f>IF(AI803="","",IF(O810="","",O810))</f>
        <v/>
      </c>
      <c r="CA810" s="136">
        <f>'INFO BASE'!L880</f>
        <v>0</v>
      </c>
      <c r="CB810" s="136">
        <f>'INFO BASE'!M880</f>
        <v>0</v>
      </c>
      <c r="CR810" s="177">
        <f t="shared" si="455"/>
        <v>1</v>
      </c>
      <c r="CS810" s="177">
        <f t="shared" si="456"/>
        <v>1</v>
      </c>
      <c r="CT810" s="177">
        <f t="shared" si="455"/>
        <v>1</v>
      </c>
      <c r="CU810" s="177">
        <f t="shared" si="457"/>
        <v>1</v>
      </c>
      <c r="CV810" s="177">
        <f t="shared" si="455"/>
        <v>1</v>
      </c>
      <c r="CW810" s="177">
        <f t="shared" si="458"/>
        <v>1</v>
      </c>
      <c r="CX810" s="177">
        <f t="shared" si="455"/>
        <v>1</v>
      </c>
      <c r="CY810" s="177">
        <f t="shared" si="459"/>
        <v>1</v>
      </c>
      <c r="CZ810" s="177">
        <f t="shared" si="455"/>
        <v>1</v>
      </c>
      <c r="DA810" s="177">
        <f t="shared" si="460"/>
        <v>1</v>
      </c>
      <c r="DB810" s="177">
        <f t="shared" si="455"/>
        <v>1</v>
      </c>
      <c r="DC810" s="177">
        <f t="shared" si="461"/>
        <v>1</v>
      </c>
      <c r="DD810" s="177">
        <f t="shared" si="462"/>
        <v>1</v>
      </c>
      <c r="DE810" s="177">
        <f t="shared" si="463"/>
        <v>1</v>
      </c>
    </row>
    <row r="811" spans="1:109" ht="18" customHeight="1" x14ac:dyDescent="0.3">
      <c r="A811" s="81">
        <v>8.3333333333335993E-2</v>
      </c>
      <c r="B811" s="153"/>
      <c r="C811" s="130"/>
      <c r="D811" s="135"/>
      <c r="E811" s="130"/>
      <c r="F811" s="135"/>
      <c r="G811" s="130"/>
      <c r="H811" s="135"/>
      <c r="I811" s="130"/>
      <c r="J811" s="135"/>
      <c r="K811" s="130"/>
      <c r="L811" s="135"/>
      <c r="M811" s="130"/>
      <c r="N811" s="135"/>
      <c r="O811" s="154"/>
      <c r="Q811" s="284"/>
      <c r="R811" s="285"/>
      <c r="S811" s="285"/>
      <c r="T811" s="285"/>
      <c r="U811" s="285"/>
      <c r="V811" s="285"/>
      <c r="W811" s="286"/>
      <c r="X811" s="199">
        <v>1</v>
      </c>
      <c r="Y811" s="262" t="str">
        <f t="array" ref="Y811">IF(ISERROR(INDEX($CA$2:$CB$200,SMALL(IF($CA$2:$CA$200=$A$802,ROW($CA$2:$CA$200)),ROW(5:5))-1,2)),"",INDEX($CA$2:$CB$200,SMALL(IF($CA$2:$CA$200=$A$802,ROW($CA$2:$CA$200)),ROW(5:5))-1,2))</f>
        <v/>
      </c>
      <c r="Z811" s="263"/>
      <c r="AA811" s="263"/>
      <c r="AB811" s="263"/>
      <c r="AC811" s="263"/>
      <c r="AD811" s="263"/>
      <c r="AE811" s="263"/>
      <c r="AF811" s="264"/>
      <c r="AH811" s="136">
        <v>8.3333333333335993E-2</v>
      </c>
      <c r="AI811" s="136" t="str">
        <f>IF(AH803="","",IF(B811="","",B811))</f>
        <v/>
      </c>
      <c r="AJ811" s="136" t="str">
        <f>IF(AH803="","",IF(C811="","",C811))</f>
        <v/>
      </c>
      <c r="AK811" s="136" t="str">
        <f>IF(AH803="","",IF(D811="","",D811))</f>
        <v/>
      </c>
      <c r="AL811" s="136" t="str">
        <f>IF(AH803="","",IF(E811="","",E811))</f>
        <v/>
      </c>
      <c r="AM811" s="136" t="str">
        <f>IF(AH803="","",IF(F811="","",F811))</f>
        <v/>
      </c>
      <c r="AN811" s="136" t="str">
        <f>IF(AH803="","",IF(G811="","",G811))</f>
        <v/>
      </c>
      <c r="AO811" s="136" t="str">
        <f>IF(AH803="","",IF(H811="","",H811))</f>
        <v/>
      </c>
      <c r="AP811" s="136" t="str">
        <f>IF(AH803="","",IF(I811="","",I811))</f>
        <v/>
      </c>
      <c r="AQ811" s="136" t="str">
        <f>IF(AH803="","",IF(J811="","",J811))</f>
        <v/>
      </c>
      <c r="AR811" s="136" t="str">
        <f>IF(AH803="","",IF(K811="","",K811))</f>
        <v/>
      </c>
      <c r="AS811" s="136" t="str">
        <f>IF(AH803="","",IF(L811="","",L811))</f>
        <v/>
      </c>
      <c r="AT811" s="136" t="str">
        <f>IF(AH803="","",IF(M811="","",M811))</f>
        <v/>
      </c>
      <c r="AU811" s="136" t="str">
        <f>IF(AH803="","",IF(N811="","",N811))</f>
        <v/>
      </c>
      <c r="AV811" s="136" t="str">
        <f>IF(AH803="","",IF(O811="","",O811))</f>
        <v/>
      </c>
      <c r="AX811" s="136" t="str">
        <f>IF(AI803="","",IF(B811="","",B811))</f>
        <v/>
      </c>
      <c r="AY811" s="136" t="str">
        <f>IF(AI803="","",IF(C811="","",C811))</f>
        <v/>
      </c>
      <c r="AZ811" s="136" t="str">
        <f>IF(AI803="","",IF(D811="","",D811))</f>
        <v/>
      </c>
      <c r="BA811" s="136" t="str">
        <f>IF(AI803="","",IF(E811="","",E811))</f>
        <v/>
      </c>
      <c r="BB811" s="136" t="str">
        <f>IF(AI803="","",IF(F811="","",F811))</f>
        <v/>
      </c>
      <c r="BC811" s="136" t="str">
        <f>IF(AI803="","",IF(G811="","",G811))</f>
        <v/>
      </c>
      <c r="BD811" s="136" t="str">
        <f>IF(AI803="","",IF(H811="","",H811))</f>
        <v/>
      </c>
      <c r="BE811" s="136" t="str">
        <f>IF(AI803="","",IF(I811="","",I811))</f>
        <v/>
      </c>
      <c r="BF811" s="136" t="str">
        <f>IF(AI803="","",IF(J811="","",J811))</f>
        <v/>
      </c>
      <c r="BG811" s="136" t="str">
        <f>IF(AI803="","",IF(K811="","",K811))</f>
        <v/>
      </c>
      <c r="BH811" s="136" t="str">
        <f>IF(AI803="","",IF(L811="","",L811))</f>
        <v/>
      </c>
      <c r="BI811" s="136" t="str">
        <f>IF(AI803="","",IF(M811="","",M811))</f>
        <v/>
      </c>
      <c r="BJ811" s="136" t="str">
        <f>IF(AI803="","",IF(N811="","",N811))</f>
        <v/>
      </c>
      <c r="BK811" s="136" t="str">
        <f>IF(AI803="","",IF(O811="","",O811))</f>
        <v/>
      </c>
      <c r="CA811" s="136">
        <f>'INFO BASE'!L881</f>
        <v>0</v>
      </c>
      <c r="CB811" s="136">
        <f>'INFO BASE'!M881</f>
        <v>0</v>
      </c>
      <c r="CD811" s="136" t="str">
        <f t="shared" ref="CD811:CD816" si="464">R819</f>
        <v>FP</v>
      </c>
      <c r="CR811" s="177">
        <f t="shared" si="455"/>
        <v>1</v>
      </c>
      <c r="CS811" s="177">
        <f t="shared" si="456"/>
        <v>1</v>
      </c>
      <c r="CT811" s="177">
        <f t="shared" si="455"/>
        <v>1</v>
      </c>
      <c r="CU811" s="177">
        <f t="shared" si="457"/>
        <v>1</v>
      </c>
      <c r="CV811" s="177">
        <f t="shared" si="455"/>
        <v>1</v>
      </c>
      <c r="CW811" s="177">
        <f t="shared" si="458"/>
        <v>1</v>
      </c>
      <c r="CX811" s="177">
        <f t="shared" si="455"/>
        <v>1</v>
      </c>
      <c r="CY811" s="177">
        <f t="shared" si="459"/>
        <v>1</v>
      </c>
      <c r="CZ811" s="177">
        <f t="shared" si="455"/>
        <v>1</v>
      </c>
      <c r="DA811" s="177">
        <f t="shared" si="460"/>
        <v>1</v>
      </c>
      <c r="DB811" s="177">
        <f t="shared" si="455"/>
        <v>1</v>
      </c>
      <c r="DC811" s="177">
        <f t="shared" si="461"/>
        <v>1</v>
      </c>
      <c r="DD811" s="177">
        <f t="shared" si="462"/>
        <v>1</v>
      </c>
      <c r="DE811" s="177">
        <f t="shared" si="463"/>
        <v>1</v>
      </c>
    </row>
    <row r="812" spans="1:109" ht="18" customHeight="1" x14ac:dyDescent="0.3">
      <c r="A812" s="81">
        <v>0.10416666666667</v>
      </c>
      <c r="B812" s="153"/>
      <c r="C812" s="130"/>
      <c r="D812" s="135"/>
      <c r="E812" s="130"/>
      <c r="F812" s="135"/>
      <c r="G812" s="130"/>
      <c r="H812" s="135"/>
      <c r="I812" s="130"/>
      <c r="J812" s="135"/>
      <c r="K812" s="130"/>
      <c r="L812" s="135"/>
      <c r="M812" s="130"/>
      <c r="N812" s="135"/>
      <c r="O812" s="154"/>
      <c r="Q812" s="284"/>
      <c r="R812" s="285"/>
      <c r="S812" s="285"/>
      <c r="T812" s="285"/>
      <c r="U812" s="285"/>
      <c r="V812" s="285"/>
      <c r="W812" s="286"/>
      <c r="X812" s="199">
        <v>1</v>
      </c>
      <c r="Y812" s="262" t="str">
        <f t="array" ref="Y812">IF(ISERROR(INDEX($CA$2:$CB$200,SMALL(IF($CA$2:$CA$200=$A$802,ROW($CA$2:$CA$200)),ROW(6:6))-1,2)),"",INDEX($CA$2:$CB$200,SMALL(IF($CA$2:$CA$200=$A$802,ROW($CA$2:$CA$200)),ROW(6:6))-1,2))</f>
        <v/>
      </c>
      <c r="Z812" s="263"/>
      <c r="AA812" s="263"/>
      <c r="AB812" s="263"/>
      <c r="AC812" s="263"/>
      <c r="AD812" s="263"/>
      <c r="AE812" s="263"/>
      <c r="AF812" s="264"/>
      <c r="AH812" s="136">
        <v>0.10416666666667</v>
      </c>
      <c r="AI812" s="136" t="str">
        <f>IF(AH803="","",IF(B812="","",B812))</f>
        <v/>
      </c>
      <c r="AJ812" s="136" t="str">
        <f>IF(AH803="","",IF(C812="","",C812))</f>
        <v/>
      </c>
      <c r="AK812" s="136" t="str">
        <f>IF(AH803="","",IF(D812="","",D812))</f>
        <v/>
      </c>
      <c r="AL812" s="136" t="str">
        <f>IF(AH803="","",IF(E812="","",E812))</f>
        <v/>
      </c>
      <c r="AM812" s="136" t="str">
        <f>IF(AH803="","",IF(F812="","",F812))</f>
        <v/>
      </c>
      <c r="AN812" s="136" t="str">
        <f>IF(AH803="","",IF(G812="","",G812))</f>
        <v/>
      </c>
      <c r="AO812" s="136" t="str">
        <f>IF(AH803="","",IF(H812="","",H812))</f>
        <v/>
      </c>
      <c r="AP812" s="136" t="str">
        <f>IF(AH803="","",IF(I812="","",I812))</f>
        <v/>
      </c>
      <c r="AQ812" s="136" t="str">
        <f>IF(AH803="","",IF(J812="","",J812))</f>
        <v/>
      </c>
      <c r="AR812" s="136" t="str">
        <f>IF(AH803="","",IF(K812="","",K812))</f>
        <v/>
      </c>
      <c r="AS812" s="136" t="str">
        <f>IF(AH803="","",IF(L812="","",L812))</f>
        <v/>
      </c>
      <c r="AT812" s="136" t="str">
        <f>IF(AH803="","",IF(M812="","",M812))</f>
        <v/>
      </c>
      <c r="AU812" s="136" t="str">
        <f>IF(AH803="","",IF(N812="","",N812))</f>
        <v/>
      </c>
      <c r="AV812" s="136" t="str">
        <f>IF(AH803="","",IF(O812="","",O812))</f>
        <v/>
      </c>
      <c r="AX812" s="136" t="str">
        <f>IF(AI803="","",IF(B812="","",B812))</f>
        <v/>
      </c>
      <c r="AY812" s="136" t="str">
        <f>IF(AI803="","",IF(C812="","",C812))</f>
        <v/>
      </c>
      <c r="AZ812" s="136" t="str">
        <f>IF(AI803="","",IF(D812="","",D812))</f>
        <v/>
      </c>
      <c r="BA812" s="136" t="str">
        <f>IF(AI803="","",IF(E812="","",E812))</f>
        <v/>
      </c>
      <c r="BB812" s="136" t="str">
        <f>IF(AI803="","",IF(F812="","",F812))</f>
        <v/>
      </c>
      <c r="BC812" s="136" t="str">
        <f>IF(AI803="","",IF(G812="","",G812))</f>
        <v/>
      </c>
      <c r="BD812" s="136" t="str">
        <f>IF(AI803="","",IF(H812="","",H812))</f>
        <v/>
      </c>
      <c r="BE812" s="136" t="str">
        <f>IF(AI803="","",IF(I812="","",I812))</f>
        <v/>
      </c>
      <c r="BF812" s="136" t="str">
        <f>IF(AI803="","",IF(J812="","",J812))</f>
        <v/>
      </c>
      <c r="BG812" s="136" t="str">
        <f>IF(AI803="","",IF(K812="","",K812))</f>
        <v/>
      </c>
      <c r="BH812" s="136" t="str">
        <f>IF(AI803="","",IF(L812="","",L812))</f>
        <v/>
      </c>
      <c r="BI812" s="136" t="str">
        <f>IF(AI803="","",IF(M812="","",M812))</f>
        <v/>
      </c>
      <c r="BJ812" s="136" t="str">
        <f>IF(AI803="","",IF(N812="","",N812))</f>
        <v/>
      </c>
      <c r="BK812" s="136" t="str">
        <f>IF(AI803="","",IF(O812="","",O812))</f>
        <v/>
      </c>
      <c r="CA812" s="136">
        <f>'INFO BASE'!L892</f>
        <v>0</v>
      </c>
      <c r="CB812" s="136">
        <f>'INFO BASE'!M892</f>
        <v>0</v>
      </c>
      <c r="CD812" s="136" t="str">
        <f t="shared" si="464"/>
        <v>IEI</v>
      </c>
      <c r="CR812" s="177">
        <f t="shared" si="455"/>
        <v>1</v>
      </c>
      <c r="CS812" s="177">
        <f t="shared" si="456"/>
        <v>1</v>
      </c>
      <c r="CT812" s="177">
        <f t="shared" si="455"/>
        <v>1</v>
      </c>
      <c r="CU812" s="177">
        <f t="shared" si="457"/>
        <v>1</v>
      </c>
      <c r="CV812" s="177">
        <f t="shared" si="455"/>
        <v>1</v>
      </c>
      <c r="CW812" s="177">
        <f t="shared" si="458"/>
        <v>1</v>
      </c>
      <c r="CX812" s="177">
        <f t="shared" si="455"/>
        <v>1</v>
      </c>
      <c r="CY812" s="177">
        <f t="shared" si="459"/>
        <v>1</v>
      </c>
      <c r="CZ812" s="177">
        <f t="shared" si="455"/>
        <v>1</v>
      </c>
      <c r="DA812" s="177">
        <f t="shared" si="460"/>
        <v>1</v>
      </c>
      <c r="DB812" s="177">
        <f t="shared" si="455"/>
        <v>1</v>
      </c>
      <c r="DC812" s="177">
        <f t="shared" si="461"/>
        <v>1</v>
      </c>
      <c r="DD812" s="177">
        <f t="shared" si="462"/>
        <v>1</v>
      </c>
      <c r="DE812" s="177">
        <f t="shared" si="463"/>
        <v>1</v>
      </c>
    </row>
    <row r="813" spans="1:109" ht="18" customHeight="1" x14ac:dyDescent="0.3">
      <c r="A813" s="81">
        <v>0.125000000000004</v>
      </c>
      <c r="B813" s="153"/>
      <c r="C813" s="130"/>
      <c r="D813" s="135"/>
      <c r="E813" s="130"/>
      <c r="F813" s="135"/>
      <c r="G813" s="130"/>
      <c r="H813" s="135"/>
      <c r="I813" s="130"/>
      <c r="J813" s="135"/>
      <c r="K813" s="130"/>
      <c r="L813" s="135"/>
      <c r="M813" s="130"/>
      <c r="N813" s="135"/>
      <c r="O813" s="154"/>
      <c r="Q813" s="284"/>
      <c r="R813" s="285"/>
      <c r="S813" s="285"/>
      <c r="T813" s="285"/>
      <c r="U813" s="285"/>
      <c r="V813" s="285"/>
      <c r="W813" s="286"/>
      <c r="X813" s="199">
        <v>1</v>
      </c>
      <c r="Y813" s="262" t="str">
        <f t="array" ref="Y813">IF(ISERROR(INDEX($CA$2:$CB$200,SMALL(IF($CA$2:$CA$200=$A$802,ROW($CA$2:$CA$200)),ROW(7:7))-1,2)),"",INDEX($CA$2:$CB$200,SMALL(IF($CA$2:$CA$200=$A$802,ROW($CA$2:$CA$200)),ROW(7:7))-1,2))</f>
        <v/>
      </c>
      <c r="Z813" s="263"/>
      <c r="AA813" s="263"/>
      <c r="AB813" s="263"/>
      <c r="AC813" s="263"/>
      <c r="AD813" s="263"/>
      <c r="AE813" s="263"/>
      <c r="AF813" s="264"/>
      <c r="AH813" s="136">
        <v>0.125000000000004</v>
      </c>
      <c r="AI813" s="136" t="str">
        <f>IF(AH803="","",IF(B813="","",B813))</f>
        <v/>
      </c>
      <c r="AJ813" s="136" t="str">
        <f>IF(AH803="","",IF(C813="","",C813))</f>
        <v/>
      </c>
      <c r="AK813" s="136" t="str">
        <f>IF(AH803="","",IF(D813="","",D813))</f>
        <v/>
      </c>
      <c r="AL813" s="136" t="str">
        <f>IF(AH803="","",IF(E813="","",E813))</f>
        <v/>
      </c>
      <c r="AM813" s="136" t="str">
        <f>IF(AH803="","",IF(F813="","",F813))</f>
        <v/>
      </c>
      <c r="AN813" s="136" t="str">
        <f>IF(AH803="","",IF(G813="","",G813))</f>
        <v/>
      </c>
      <c r="AO813" s="136" t="str">
        <f>IF(AH803="","",IF(H813="","",H813))</f>
        <v/>
      </c>
      <c r="AP813" s="136" t="str">
        <f>IF(AH803="","",IF(I813="","",I813))</f>
        <v/>
      </c>
      <c r="AQ813" s="136" t="str">
        <f>IF(AH803="","",IF(J813="","",J813))</f>
        <v/>
      </c>
      <c r="AR813" s="136" t="str">
        <f>IF(AH803="","",IF(K813="","",K813))</f>
        <v/>
      </c>
      <c r="AS813" s="136" t="str">
        <f>IF(AH803="","",IF(L813="","",L813))</f>
        <v/>
      </c>
      <c r="AT813" s="136" t="str">
        <f>IF(AH803="","",IF(M813="","",M813))</f>
        <v/>
      </c>
      <c r="AU813" s="136" t="str">
        <f>IF(AH803="","",IF(N813="","",N813))</f>
        <v/>
      </c>
      <c r="AV813" s="136" t="str">
        <f>IF(AH803="","",IF(O813="","",O813))</f>
        <v/>
      </c>
      <c r="AX813" s="136" t="str">
        <f>IF(AI803="","",IF(B813="","",B813))</f>
        <v/>
      </c>
      <c r="AY813" s="136" t="str">
        <f>IF(AI803="","",IF(C813="","",C813))</f>
        <v/>
      </c>
      <c r="AZ813" s="136" t="str">
        <f>IF(AI803="","",IF(D813="","",D813))</f>
        <v/>
      </c>
      <c r="BA813" s="136" t="str">
        <f>IF(AI803="","",IF(E813="","",E813))</f>
        <v/>
      </c>
      <c r="BB813" s="136" t="str">
        <f>IF(AI803="","",IF(F813="","",F813))</f>
        <v/>
      </c>
      <c r="BC813" s="136" t="str">
        <f>IF(AI803="","",IF(G813="","",G813))</f>
        <v/>
      </c>
      <c r="BD813" s="136" t="str">
        <f>IF(AI803="","",IF(H813="","",H813))</f>
        <v/>
      </c>
      <c r="BE813" s="136" t="str">
        <f>IF(AI803="","",IF(I813="","",I813))</f>
        <v/>
      </c>
      <c r="BF813" s="136" t="str">
        <f>IF(AI803="","",IF(J813="","",J813))</f>
        <v/>
      </c>
      <c r="BG813" s="136" t="str">
        <f>IF(AI803="","",IF(K813="","",K813))</f>
        <v/>
      </c>
      <c r="BH813" s="136" t="str">
        <f>IF(AI803="","",IF(L813="","",L813))</f>
        <v/>
      </c>
      <c r="BI813" s="136" t="str">
        <f>IF(AI803="","",IF(M813="","",M813))</f>
        <v/>
      </c>
      <c r="BJ813" s="136" t="str">
        <f>IF(AI803="","",IF(N813="","",N813))</f>
        <v/>
      </c>
      <c r="BK813" s="136" t="str">
        <f>IF(AI803="","",IF(O813="","",O813))</f>
        <v/>
      </c>
      <c r="CA813" s="136">
        <f>'INFO BASE'!L893</f>
        <v>0</v>
      </c>
      <c r="CB813" s="136">
        <f>'INFO BASE'!M893</f>
        <v>0</v>
      </c>
      <c r="CD813" s="136" t="str">
        <f t="shared" si="464"/>
        <v>IAC</v>
      </c>
      <c r="CR813" s="177">
        <f t="shared" si="455"/>
        <v>1</v>
      </c>
      <c r="CS813" s="177">
        <f t="shared" si="456"/>
        <v>1</v>
      </c>
      <c r="CT813" s="177">
        <f t="shared" si="455"/>
        <v>1</v>
      </c>
      <c r="CU813" s="177">
        <f t="shared" si="457"/>
        <v>1</v>
      </c>
      <c r="CV813" s="177">
        <f t="shared" si="455"/>
        <v>1</v>
      </c>
      <c r="CW813" s="177">
        <f t="shared" si="458"/>
        <v>1</v>
      </c>
      <c r="CX813" s="177">
        <f t="shared" si="455"/>
        <v>1</v>
      </c>
      <c r="CY813" s="177">
        <f t="shared" si="459"/>
        <v>1</v>
      </c>
      <c r="CZ813" s="177">
        <f t="shared" si="455"/>
        <v>1</v>
      </c>
      <c r="DA813" s="177">
        <f t="shared" si="460"/>
        <v>1</v>
      </c>
      <c r="DB813" s="177">
        <f t="shared" si="455"/>
        <v>1</v>
      </c>
      <c r="DC813" s="177">
        <f t="shared" si="461"/>
        <v>1</v>
      </c>
      <c r="DD813" s="177">
        <f t="shared" si="462"/>
        <v>1</v>
      </c>
      <c r="DE813" s="177">
        <f t="shared" si="463"/>
        <v>1</v>
      </c>
    </row>
    <row r="814" spans="1:109" ht="18" customHeight="1" thickBot="1" x14ac:dyDescent="0.35">
      <c r="A814" s="81">
        <v>0.14583333333333801</v>
      </c>
      <c r="B814" s="153"/>
      <c r="C814" s="130"/>
      <c r="D814" s="135"/>
      <c r="E814" s="130"/>
      <c r="F814" s="135"/>
      <c r="G814" s="130"/>
      <c r="H814" s="135"/>
      <c r="I814" s="130"/>
      <c r="J814" s="135"/>
      <c r="K814" s="130"/>
      <c r="L814" s="135"/>
      <c r="M814" s="130"/>
      <c r="N814" s="135"/>
      <c r="O814" s="154"/>
      <c r="Q814" s="287"/>
      <c r="R814" s="288"/>
      <c r="S814" s="288"/>
      <c r="T814" s="288"/>
      <c r="U814" s="288"/>
      <c r="V814" s="288"/>
      <c r="W814" s="289"/>
      <c r="X814" s="199">
        <v>1</v>
      </c>
      <c r="Y814" s="265" t="str">
        <f t="array" ref="Y814">IF(ISERROR(INDEX($CA$2:$CB$200,SMALL(IF($CA$2:$CA$200=$A$802,ROW($CA$2:$CA$200)),ROW(8:8))-1,2)),"",INDEX($CA$2:$CB$200,SMALL(IF($CA$2:$CA$200=$A$802,ROW($CA$2:$CA$200)),ROW(8:8))-1,2))</f>
        <v/>
      </c>
      <c r="Z814" s="266"/>
      <c r="AA814" s="266"/>
      <c r="AB814" s="266"/>
      <c r="AC814" s="266"/>
      <c r="AD814" s="266"/>
      <c r="AE814" s="266"/>
      <c r="AF814" s="267"/>
      <c r="AH814" s="136">
        <v>0.14583333333333801</v>
      </c>
      <c r="AI814" s="136" t="str">
        <f>IF(AH803="","",IF(B814="","",B814))</f>
        <v/>
      </c>
      <c r="AJ814" s="136" t="str">
        <f>IF(AH803="","",IF(C814="","",C814))</f>
        <v/>
      </c>
      <c r="AK814" s="136" t="str">
        <f>IF(AH803="","",IF(D814="","",D814))</f>
        <v/>
      </c>
      <c r="AL814" s="136" t="str">
        <f>IF(AH803="","",IF(E814="","",E814))</f>
        <v/>
      </c>
      <c r="AM814" s="136" t="str">
        <f>IF(AH803="","",IF(F814="","",F814))</f>
        <v/>
      </c>
      <c r="AN814" s="136" t="str">
        <f>IF(AH803="","",IF(G814="","",G814))</f>
        <v/>
      </c>
      <c r="AO814" s="136" t="str">
        <f>IF(AH803="","",IF(H814="","",H814))</f>
        <v/>
      </c>
      <c r="AP814" s="136" t="str">
        <f>IF(AH803="","",IF(I814="","",I814))</f>
        <v/>
      </c>
      <c r="AQ814" s="136" t="str">
        <f>IF(AH803="","",IF(J814="","",J814))</f>
        <v/>
      </c>
      <c r="AR814" s="136" t="str">
        <f>IF(AH803="","",IF(K814="","",K814))</f>
        <v/>
      </c>
      <c r="AS814" s="136" t="str">
        <f>IF(AH803="","",IF(L814="","",L814))</f>
        <v/>
      </c>
      <c r="AT814" s="136" t="str">
        <f>IF(AH803="","",IF(M814="","",M814))</f>
        <v/>
      </c>
      <c r="AU814" s="136" t="str">
        <f>IF(AH803="","",IF(N814="","",N814))</f>
        <v/>
      </c>
      <c r="AV814" s="136" t="str">
        <f>IF(AH803="","",IF(O814="","",O814))</f>
        <v/>
      </c>
      <c r="AX814" s="136" t="str">
        <f>IF(AI803="","",IF(B814="","",B814))</f>
        <v/>
      </c>
      <c r="AY814" s="136" t="str">
        <f>IF(AI803="","",IF(C814="","",C814))</f>
        <v/>
      </c>
      <c r="AZ814" s="136" t="str">
        <f>IF(AI803="","",IF(D814="","",D814))</f>
        <v/>
      </c>
      <c r="BA814" s="136" t="str">
        <f>IF(AI803="","",IF(E814="","",E814))</f>
        <v/>
      </c>
      <c r="BB814" s="136" t="str">
        <f>IF(AI803="","",IF(F814="","",F814))</f>
        <v/>
      </c>
      <c r="BC814" s="136" t="str">
        <f>IF(AI803="","",IF(G814="","",G814))</f>
        <v/>
      </c>
      <c r="BD814" s="136" t="str">
        <f>IF(AI803="","",IF(H814="","",H814))</f>
        <v/>
      </c>
      <c r="BE814" s="136" t="str">
        <f>IF(AI803="","",IF(I814="","",I814))</f>
        <v/>
      </c>
      <c r="BF814" s="136" t="str">
        <f>IF(AI803="","",IF(J814="","",J814))</f>
        <v/>
      </c>
      <c r="BG814" s="136" t="str">
        <f>IF(AI803="","",IF(K814="","",K814))</f>
        <v/>
      </c>
      <c r="BH814" s="136" t="str">
        <f>IF(AI803="","",IF(L814="","",L814))</f>
        <v/>
      </c>
      <c r="BI814" s="136" t="str">
        <f>IF(AI803="","",IF(M814="","",M814))</f>
        <v/>
      </c>
      <c r="BJ814" s="136" t="str">
        <f>IF(AI803="","",IF(N814="","",N814))</f>
        <v/>
      </c>
      <c r="BK814" s="136" t="str">
        <f>IF(AI803="","",IF(O814="","",O814))</f>
        <v/>
      </c>
      <c r="CA814" s="136">
        <f>'INFO BASE'!L894</f>
        <v>0</v>
      </c>
      <c r="CB814" s="136">
        <f>'INFO BASE'!M894</f>
        <v>0</v>
      </c>
      <c r="CD814" s="136" t="str">
        <f t="shared" si="464"/>
        <v>AL</v>
      </c>
      <c r="CR814" s="177">
        <f t="shared" si="455"/>
        <v>1</v>
      </c>
      <c r="CS814" s="177">
        <f t="shared" si="456"/>
        <v>1</v>
      </c>
      <c r="CT814" s="177">
        <f t="shared" si="455"/>
        <v>1</v>
      </c>
      <c r="CU814" s="177">
        <f t="shared" si="457"/>
        <v>1</v>
      </c>
      <c r="CV814" s="177">
        <f t="shared" si="455"/>
        <v>1</v>
      </c>
      <c r="CW814" s="177">
        <f t="shared" si="458"/>
        <v>1</v>
      </c>
      <c r="CX814" s="177">
        <f t="shared" si="455"/>
        <v>1</v>
      </c>
      <c r="CY814" s="177">
        <f t="shared" si="459"/>
        <v>1</v>
      </c>
      <c r="CZ814" s="177">
        <f t="shared" si="455"/>
        <v>1</v>
      </c>
      <c r="DA814" s="177">
        <f t="shared" si="460"/>
        <v>1</v>
      </c>
      <c r="DB814" s="177">
        <f t="shared" si="455"/>
        <v>1</v>
      </c>
      <c r="DC814" s="177">
        <f t="shared" si="461"/>
        <v>1</v>
      </c>
      <c r="DD814" s="177">
        <f t="shared" si="462"/>
        <v>1</v>
      </c>
      <c r="DE814" s="177">
        <f t="shared" si="463"/>
        <v>1</v>
      </c>
    </row>
    <row r="815" spans="1:109" ht="18" customHeight="1" thickBot="1" x14ac:dyDescent="0.35">
      <c r="A815" s="81">
        <v>0.16666666666667199</v>
      </c>
      <c r="B815" s="153"/>
      <c r="C815" s="130"/>
      <c r="D815" s="135"/>
      <c r="E815" s="130"/>
      <c r="F815" s="135"/>
      <c r="G815" s="130"/>
      <c r="H815" s="135"/>
      <c r="I815" s="130"/>
      <c r="J815" s="135"/>
      <c r="K815" s="130"/>
      <c r="L815" s="135"/>
      <c r="M815" s="130"/>
      <c r="N815" s="135"/>
      <c r="O815" s="154"/>
      <c r="Q815" s="63"/>
      <c r="R815" s="64"/>
      <c r="S815" s="65"/>
      <c r="T815" s="65"/>
      <c r="U815" s="65"/>
      <c r="V815" s="65"/>
      <c r="W815" s="65"/>
      <c r="X815" s="199">
        <v>1</v>
      </c>
      <c r="Y815" s="59"/>
      <c r="Z815" s="59"/>
      <c r="AA815" s="59"/>
      <c r="AB815" s="59"/>
      <c r="AC815" s="59"/>
      <c r="AD815" s="59"/>
      <c r="AE815" s="59"/>
      <c r="AF815" s="59"/>
      <c r="AH815" s="136">
        <v>0.16666666666667199</v>
      </c>
      <c r="AI815" s="136" t="str">
        <f>IF(AH803="","",IF(B815="","",B815))</f>
        <v/>
      </c>
      <c r="AJ815" s="136" t="str">
        <f>IF(AH803="","",IF(C815="","",C815))</f>
        <v/>
      </c>
      <c r="AK815" s="136" t="str">
        <f>IF(AH803="","",IF(D815="","",D815))</f>
        <v/>
      </c>
      <c r="AL815" s="136" t="str">
        <f>IF(AH803="","",IF(E815="","",E815))</f>
        <v/>
      </c>
      <c r="AM815" s="136" t="str">
        <f>IF(AH803="","",IF(F815="","",F815))</f>
        <v/>
      </c>
      <c r="AN815" s="136" t="str">
        <f>IF(AH803="","",IF(G815="","",G815))</f>
        <v/>
      </c>
      <c r="AO815" s="136" t="str">
        <f>IF(AH803="","",IF(H815="","",H815))</f>
        <v/>
      </c>
      <c r="AP815" s="136" t="str">
        <f>IF(AH803="","",IF(I815="","",I815))</f>
        <v/>
      </c>
      <c r="AQ815" s="136" t="str">
        <f>IF(AH803="","",IF(J815="","",J815))</f>
        <v/>
      </c>
      <c r="AR815" s="136" t="str">
        <f>IF(AH803="","",IF(K815="","",K815))</f>
        <v/>
      </c>
      <c r="AS815" s="136" t="str">
        <f>IF(AH803="","",IF(L815="","",L815))</f>
        <v/>
      </c>
      <c r="AT815" s="136" t="str">
        <f>IF(AH803="","",IF(M815="","",M815))</f>
        <v/>
      </c>
      <c r="AU815" s="136" t="str">
        <f>IF(AH803="","",IF(N815="","",N815))</f>
        <v/>
      </c>
      <c r="AV815" s="136" t="str">
        <f>IF(AH803="","",IF(O815="","",O815))</f>
        <v/>
      </c>
      <c r="AX815" s="136" t="str">
        <f>IF(AI803="","",IF(B815="","",B815))</f>
        <v/>
      </c>
      <c r="AY815" s="136" t="str">
        <f>IF(AI803="","",IF(C815="","",C815))</f>
        <v/>
      </c>
      <c r="AZ815" s="136" t="str">
        <f>IF(AI803="","",IF(D815="","",D815))</f>
        <v/>
      </c>
      <c r="BA815" s="136" t="str">
        <f>IF(AI803="","",IF(E815="","",E815))</f>
        <v/>
      </c>
      <c r="BB815" s="136" t="str">
        <f>IF(AI803="","",IF(F815="","",F815))</f>
        <v/>
      </c>
      <c r="BC815" s="136" t="str">
        <f>IF(AI803="","",IF(G815="","",G815))</f>
        <v/>
      </c>
      <c r="BD815" s="136" t="str">
        <f>IF(AI803="","",IF(H815="","",H815))</f>
        <v/>
      </c>
      <c r="BE815" s="136" t="str">
        <f>IF(AI803="","",IF(I815="","",I815))</f>
        <v/>
      </c>
      <c r="BF815" s="136" t="str">
        <f>IF(AI803="","",IF(J815="","",J815))</f>
        <v/>
      </c>
      <c r="BG815" s="136" t="str">
        <f>IF(AI803="","",IF(K815="","",K815))</f>
        <v/>
      </c>
      <c r="BH815" s="136" t="str">
        <f>IF(AI803="","",IF(L815="","",L815))</f>
        <v/>
      </c>
      <c r="BI815" s="136" t="str">
        <f>IF(AI803="","",IF(M815="","",M815))</f>
        <v/>
      </c>
      <c r="BJ815" s="136" t="str">
        <f>IF(AI803="","",IF(N815="","",N815))</f>
        <v/>
      </c>
      <c r="BK815" s="136" t="str">
        <f>IF(AI803="","",IF(O815="","",O815))</f>
        <v/>
      </c>
      <c r="BM815" s="136" t="str">
        <f>BO815</f>
        <v>EA</v>
      </c>
      <c r="BN815" s="136" t="str">
        <f t="shared" ref="BN815:BO851" si="465">Q818</f>
        <v>Estudo Autónomo</v>
      </c>
      <c r="BO815" s="136" t="str">
        <f t="shared" si="465"/>
        <v>EA</v>
      </c>
      <c r="BP815" s="136">
        <f>COUNTIFS(AX807:BK854,BO815)*0.5</f>
        <v>0</v>
      </c>
      <c r="BQ815" s="136" t="str">
        <f t="shared" ref="BQ815:BR851" si="466">BN815</f>
        <v>Estudo Autónomo</v>
      </c>
      <c r="BR815" s="136" t="str">
        <f t="shared" si="466"/>
        <v>EA</v>
      </c>
      <c r="BS815" s="136" t="str">
        <f>BQ815</f>
        <v>Estudo Autónomo</v>
      </c>
      <c r="BT815" s="136">
        <f>SUMIFS(V:V,Q:Q,BQ815,R:R,BR815)</f>
        <v>86.5</v>
      </c>
      <c r="BU815" s="136">
        <f>SUMIFS(BP:BP,BN:BN,BQ815,BO:BO,BR815)</f>
        <v>95.5</v>
      </c>
      <c r="CA815" s="136">
        <f>'INFO BASE'!L895</f>
        <v>0</v>
      </c>
      <c r="CB815" s="136">
        <f>'INFO BASE'!M895</f>
        <v>0</v>
      </c>
      <c r="CD815" s="136" t="str">
        <f t="shared" si="464"/>
        <v>CDI</v>
      </c>
      <c r="CR815" s="177">
        <f t="shared" si="455"/>
        <v>1</v>
      </c>
      <c r="CS815" s="177">
        <f t="shared" si="456"/>
        <v>1</v>
      </c>
      <c r="CT815" s="177">
        <f t="shared" si="455"/>
        <v>1</v>
      </c>
      <c r="CU815" s="177">
        <f t="shared" si="457"/>
        <v>1</v>
      </c>
      <c r="CV815" s="177">
        <f t="shared" si="455"/>
        <v>1</v>
      </c>
      <c r="CW815" s="177">
        <f t="shared" si="458"/>
        <v>1</v>
      </c>
      <c r="CX815" s="177">
        <f t="shared" si="455"/>
        <v>1</v>
      </c>
      <c r="CY815" s="177">
        <f t="shared" si="459"/>
        <v>1</v>
      </c>
      <c r="CZ815" s="177">
        <f t="shared" si="455"/>
        <v>1</v>
      </c>
      <c r="DA815" s="177">
        <f t="shared" si="460"/>
        <v>1</v>
      </c>
      <c r="DB815" s="177">
        <f t="shared" si="455"/>
        <v>1</v>
      </c>
      <c r="DC815" s="177">
        <f t="shared" si="461"/>
        <v>1</v>
      </c>
      <c r="DD815" s="177">
        <f t="shared" si="462"/>
        <v>1</v>
      </c>
      <c r="DE815" s="177">
        <f t="shared" si="463"/>
        <v>1</v>
      </c>
    </row>
    <row r="816" spans="1:109" ht="18" customHeight="1" x14ac:dyDescent="0.3">
      <c r="A816" s="81">
        <v>0.187500000000006</v>
      </c>
      <c r="B816" s="153"/>
      <c r="C816" s="130"/>
      <c r="D816" s="135"/>
      <c r="E816" s="130"/>
      <c r="F816" s="135"/>
      <c r="G816" s="130"/>
      <c r="H816" s="135"/>
      <c r="I816" s="130"/>
      <c r="J816" s="135"/>
      <c r="K816" s="130"/>
      <c r="L816" s="135"/>
      <c r="M816" s="130"/>
      <c r="N816" s="135"/>
      <c r="O816" s="154"/>
      <c r="Q816" s="294" t="s">
        <v>14</v>
      </c>
      <c r="R816" s="290" t="s">
        <v>88</v>
      </c>
      <c r="S816" s="290" t="s">
        <v>87</v>
      </c>
      <c r="T816" s="290" t="s">
        <v>89</v>
      </c>
      <c r="U816" s="290" t="s">
        <v>41</v>
      </c>
      <c r="V816" s="290" t="s">
        <v>91</v>
      </c>
      <c r="W816" s="292" t="s">
        <v>90</v>
      </c>
      <c r="X816" s="199">
        <v>1</v>
      </c>
      <c r="Y816" s="302" t="s">
        <v>21</v>
      </c>
      <c r="Z816" s="303"/>
      <c r="AA816" s="303"/>
      <c r="AB816" s="303"/>
      <c r="AC816" s="303"/>
      <c r="AD816" s="303"/>
      <c r="AE816" s="303"/>
      <c r="AF816" s="304"/>
      <c r="AH816" s="136">
        <v>0.187500000000006</v>
      </c>
      <c r="AI816" s="136" t="str">
        <f>IF(AH803="","",IF(B816="","",B816))</f>
        <v/>
      </c>
      <c r="AJ816" s="136" t="str">
        <f>IF(AH803="","",IF(C816="","",C816))</f>
        <v/>
      </c>
      <c r="AK816" s="136" t="str">
        <f>IF(AH803="","",IF(D816="","",D816))</f>
        <v/>
      </c>
      <c r="AL816" s="136" t="str">
        <f>IF(AH803="","",IF(E816="","",E816))</f>
        <v/>
      </c>
      <c r="AM816" s="136" t="str">
        <f>IF(AH803="","",IF(F816="","",F816))</f>
        <v/>
      </c>
      <c r="AN816" s="136" t="str">
        <f>IF(AH803="","",IF(G816="","",G816))</f>
        <v/>
      </c>
      <c r="AO816" s="136" t="str">
        <f>IF(AH803="","",IF(H816="","",H816))</f>
        <v/>
      </c>
      <c r="AP816" s="136" t="str">
        <f>IF(AH803="","",IF(I816="","",I816))</f>
        <v/>
      </c>
      <c r="AQ816" s="136" t="str">
        <f>IF(AH803="","",IF(J816="","",J816))</f>
        <v/>
      </c>
      <c r="AR816" s="136" t="str">
        <f>IF(AH803="","",IF(K816="","",K816))</f>
        <v/>
      </c>
      <c r="AS816" s="136" t="str">
        <f>IF(AH803="","",IF(L816="","",L816))</f>
        <v/>
      </c>
      <c r="AT816" s="136" t="str">
        <f>IF(AH803="","",IF(M816="","",M816))</f>
        <v/>
      </c>
      <c r="AU816" s="136" t="str">
        <f>IF(AH803="","",IF(N816="","",N816))</f>
        <v/>
      </c>
      <c r="AV816" s="136" t="str">
        <f>IF(AH803="","",IF(O816="","",O816))</f>
        <v/>
      </c>
      <c r="AX816" s="136" t="str">
        <f>IF(AI803="","",IF(B816="","",B816))</f>
        <v/>
      </c>
      <c r="AY816" s="136" t="str">
        <f>IF(AI803="","",IF(C816="","",C816))</f>
        <v/>
      </c>
      <c r="AZ816" s="136" t="str">
        <f>IF(AI803="","",IF(D816="","",D816))</f>
        <v/>
      </c>
      <c r="BA816" s="136" t="str">
        <f>IF(AI803="","",IF(E816="","",E816))</f>
        <v/>
      </c>
      <c r="BB816" s="136" t="str">
        <f>IF(AI803="","",IF(F816="","",F816))</f>
        <v/>
      </c>
      <c r="BC816" s="136" t="str">
        <f>IF(AI803="","",IF(G816="","",G816))</f>
        <v/>
      </c>
      <c r="BD816" s="136" t="str">
        <f>IF(AI803="","",IF(H816="","",H816))</f>
        <v/>
      </c>
      <c r="BE816" s="136" t="str">
        <f>IF(AI803="","",IF(I816="","",I816))</f>
        <v/>
      </c>
      <c r="BF816" s="136" t="str">
        <f>IF(AI803="","",IF(J816="","",J816))</f>
        <v/>
      </c>
      <c r="BG816" s="136" t="str">
        <f>IF(AI803="","",IF(K816="","",K816))</f>
        <v/>
      </c>
      <c r="BH816" s="136" t="str">
        <f>IF(AI803="","",IF(L816="","",L816))</f>
        <v/>
      </c>
      <c r="BI816" s="136" t="str">
        <f>IF(AI803="","",IF(M816="","",M816))</f>
        <v/>
      </c>
      <c r="BJ816" s="136" t="str">
        <f>IF(AI803="","",IF(N816="","",N816))</f>
        <v/>
      </c>
      <c r="BK816" s="136" t="str">
        <f>IF(AI803="","",IF(O816="","",O816))</f>
        <v/>
      </c>
      <c r="BM816" s="136" t="str">
        <f>BM815</f>
        <v>EA</v>
      </c>
      <c r="BN816" s="136" t="str">
        <f t="shared" si="465"/>
        <v>Estudo Autónomo</v>
      </c>
      <c r="BO816" s="136" t="str">
        <f t="shared" si="465"/>
        <v>FP</v>
      </c>
      <c r="BP816" s="136">
        <f>(COUNTIFS(AX807:AX854,BM816,AY807:AY854,BO816)+COUNTIFS(AZ807:AZ854,BM816,BA807:BA854,BO816)+COUNTIFS(BB807:BB854,BM816,BC807:BC854,BO816)+COUNTIFS(BD807:BD854,BM816,BE807:BE854,BO816)+COUNTIFS(BF807:BF854,BM816,BG807:BG854,BO816)+COUNTIFS(BH807:BH854,BM816,BI807:BI854,BO816)+COUNTIFS(BJ807:BJ854,BM816,BK807:BK854,BO816))*0.5</f>
        <v>0</v>
      </c>
      <c r="BQ816" s="136" t="str">
        <f t="shared" si="466"/>
        <v>Estudo Autónomo</v>
      </c>
      <c r="BR816" s="136" t="str">
        <f>$R$20</f>
        <v>EA</v>
      </c>
      <c r="BS816" s="136" t="str">
        <f t="shared" ref="BS816:BS851" si="467">BQ816</f>
        <v>Estudo Autónomo</v>
      </c>
      <c r="BT816" s="136">
        <f>SUMIFS(V:V,Q:Q,BQ816,R:R,BR816)</f>
        <v>86.5</v>
      </c>
      <c r="BU816" s="136">
        <f>SUMIFS(BP:BP,BN:BN,BQ816,BO:BO,BR816)</f>
        <v>95.5</v>
      </c>
      <c r="CA816" s="136">
        <f>'INFO BASE'!L896</f>
        <v>0</v>
      </c>
      <c r="CB816" s="136">
        <f>'INFO BASE'!M896</f>
        <v>0</v>
      </c>
      <c r="CD816" s="136" t="str">
        <f t="shared" si="464"/>
        <v/>
      </c>
      <c r="CR816" s="177">
        <f t="shared" si="455"/>
        <v>1</v>
      </c>
      <c r="CS816" s="177">
        <f t="shared" si="456"/>
        <v>1</v>
      </c>
      <c r="CT816" s="177">
        <f t="shared" si="455"/>
        <v>1</v>
      </c>
      <c r="CU816" s="177">
        <f t="shared" si="457"/>
        <v>1</v>
      </c>
      <c r="CV816" s="177">
        <f t="shared" si="455"/>
        <v>1</v>
      </c>
      <c r="CW816" s="177">
        <f t="shared" si="458"/>
        <v>1</v>
      </c>
      <c r="CX816" s="177">
        <f t="shared" si="455"/>
        <v>1</v>
      </c>
      <c r="CY816" s="177">
        <f t="shared" si="459"/>
        <v>1</v>
      </c>
      <c r="CZ816" s="177">
        <f t="shared" si="455"/>
        <v>1</v>
      </c>
      <c r="DA816" s="177">
        <f t="shared" si="460"/>
        <v>1</v>
      </c>
      <c r="DB816" s="177">
        <f t="shared" si="455"/>
        <v>1</v>
      </c>
      <c r="DC816" s="177">
        <f t="shared" si="461"/>
        <v>1</v>
      </c>
      <c r="DD816" s="177">
        <f t="shared" si="462"/>
        <v>1</v>
      </c>
      <c r="DE816" s="177">
        <f t="shared" si="463"/>
        <v>1</v>
      </c>
    </row>
    <row r="817" spans="1:109" ht="18" customHeight="1" thickBot="1" x14ac:dyDescent="0.35">
      <c r="A817" s="81">
        <v>0.20833333333334</v>
      </c>
      <c r="B817" s="153"/>
      <c r="C817" s="130"/>
      <c r="D817" s="135"/>
      <c r="E817" s="130"/>
      <c r="F817" s="135"/>
      <c r="G817" s="130"/>
      <c r="H817" s="135"/>
      <c r="I817" s="130"/>
      <c r="J817" s="135"/>
      <c r="K817" s="130"/>
      <c r="L817" s="135"/>
      <c r="M817" s="130"/>
      <c r="N817" s="135"/>
      <c r="O817" s="154"/>
      <c r="Q817" s="295"/>
      <c r="R817" s="291"/>
      <c r="S817" s="291"/>
      <c r="T817" s="291"/>
      <c r="U817" s="291"/>
      <c r="V817" s="291"/>
      <c r="W817" s="293"/>
      <c r="X817" s="199">
        <v>1</v>
      </c>
      <c r="Y817" s="305"/>
      <c r="Z817" s="306"/>
      <c r="AA817" s="306"/>
      <c r="AB817" s="306"/>
      <c r="AC817" s="306"/>
      <c r="AD817" s="306"/>
      <c r="AE817" s="306"/>
      <c r="AF817" s="307"/>
      <c r="AH817" s="136">
        <v>0.20833333333334</v>
      </c>
      <c r="AI817" s="136" t="str">
        <f>IF(AH803="","",IF(B817="","",B817))</f>
        <v/>
      </c>
      <c r="AJ817" s="136" t="str">
        <f>IF(AH803="","",IF(C817="","",C817))</f>
        <v/>
      </c>
      <c r="AK817" s="136" t="str">
        <f>IF(AH803="","",IF(D817="","",D817))</f>
        <v/>
      </c>
      <c r="AL817" s="136" t="str">
        <f>IF(AH803="","",IF(E817="","",E817))</f>
        <v/>
      </c>
      <c r="AM817" s="136" t="str">
        <f>IF(AH803="","",IF(F817="","",F817))</f>
        <v/>
      </c>
      <c r="AN817" s="136" t="str">
        <f>IF(AH803="","",IF(G817="","",G817))</f>
        <v/>
      </c>
      <c r="AO817" s="136" t="str">
        <f>IF(AH803="","",IF(H817="","",H817))</f>
        <v/>
      </c>
      <c r="AP817" s="136" t="str">
        <f>IF(AH803="","",IF(I817="","",I817))</f>
        <v/>
      </c>
      <c r="AQ817" s="136" t="str">
        <f>IF(AH803="","",IF(J817="","",J817))</f>
        <v/>
      </c>
      <c r="AR817" s="136" t="str">
        <f>IF(AH803="","",IF(K817="","",K817))</f>
        <v/>
      </c>
      <c r="AS817" s="136" t="str">
        <f>IF(AH803="","",IF(L817="","",L817))</f>
        <v/>
      </c>
      <c r="AT817" s="136" t="str">
        <f>IF(AH803="","",IF(M817="","",M817))</f>
        <v/>
      </c>
      <c r="AU817" s="136" t="str">
        <f>IF(AH803="","",IF(N817="","",N817))</f>
        <v/>
      </c>
      <c r="AV817" s="136" t="str">
        <f>IF(AH803="","",IF(O817="","",O817))</f>
        <v/>
      </c>
      <c r="AX817" s="136" t="str">
        <f>IF(AI803="","",IF(B817="","",B817))</f>
        <v/>
      </c>
      <c r="AY817" s="136" t="str">
        <f>IF(AI803="","",IF(C817="","",C817))</f>
        <v/>
      </c>
      <c r="AZ817" s="136" t="str">
        <f>IF(AI803="","",IF(D817="","",D817))</f>
        <v/>
      </c>
      <c r="BA817" s="136" t="str">
        <f>IF(AI803="","",IF(E817="","",E817))</f>
        <v/>
      </c>
      <c r="BB817" s="136" t="str">
        <f>IF(AI803="","",IF(F817="","",F817))</f>
        <v/>
      </c>
      <c r="BC817" s="136" t="str">
        <f>IF(AI803="","",IF(G817="","",G817))</f>
        <v/>
      </c>
      <c r="BD817" s="136" t="str">
        <f>IF(AI803="","",IF(H817="","",H817))</f>
        <v/>
      </c>
      <c r="BE817" s="136" t="str">
        <f>IF(AI803="","",IF(I817="","",I817))</f>
        <v/>
      </c>
      <c r="BF817" s="136" t="str">
        <f>IF(AI803="","",IF(J817="","",J817))</f>
        <v/>
      </c>
      <c r="BG817" s="136" t="str">
        <f>IF(AI803="","",IF(K817="","",K817))</f>
        <v/>
      </c>
      <c r="BH817" s="136" t="str">
        <f>IF(AI803="","",IF(L817="","",L817))</f>
        <v/>
      </c>
      <c r="BI817" s="136" t="str">
        <f>IF(AI803="","",IF(M817="","",M817))</f>
        <v/>
      </c>
      <c r="BJ817" s="136" t="str">
        <f>IF(AI803="","",IF(N817="","",N817))</f>
        <v/>
      </c>
      <c r="BK817" s="136" t="str">
        <f>IF(AI803="","",IF(O817="","",O817))</f>
        <v/>
      </c>
      <c r="BM817" s="136" t="str">
        <f t="shared" ref="BM817:BM821" si="468">BM816</f>
        <v>EA</v>
      </c>
      <c r="BN817" s="136" t="str">
        <f t="shared" si="465"/>
        <v>Estudo Autónomo</v>
      </c>
      <c r="BO817" s="136" t="str">
        <f t="shared" si="465"/>
        <v>IEI</v>
      </c>
      <c r="BP817" s="136">
        <f>(COUNTIFS(AX807:AX854,BM817,AY807:AY854,BO817)+COUNTIFS(AZ807:AZ854,BM817,BA807:BA854,BO817)+COUNTIFS(BB807:BB854,BM817,BC807:BC854,BO817)+COUNTIFS(BD807:BD854,BM817,BE807:BE854,BO817)+COUNTIFS(BF807:BF854,BM817,BG807:BG854,BO817)+COUNTIFS(BH807:BH854,BM817,BI807:BI854,BO817)+COUNTIFS(BJ807:BJ854,BM817,BK807:BK854,BO817))*0.5</f>
        <v>0</v>
      </c>
      <c r="BQ817" s="136" t="str">
        <f t="shared" si="466"/>
        <v>Estudo Autónomo</v>
      </c>
      <c r="BR817" s="136" t="str">
        <f t="shared" si="466"/>
        <v>IEI</v>
      </c>
      <c r="BS817" s="136" t="str">
        <f t="shared" si="467"/>
        <v>Estudo Autónomo</v>
      </c>
      <c r="BT817" s="136">
        <f>SUMIFS(V:V,Q:Q,BQ817,R:R,BR817)</f>
        <v>20</v>
      </c>
      <c r="BU817" s="136">
        <f>SUMIFS(BP:BP,BN:BN,BQ817,BO:BO,BR817)</f>
        <v>36.5</v>
      </c>
      <c r="CA817" s="136">
        <f>'INFO BASE'!L897</f>
        <v>0</v>
      </c>
      <c r="CB817" s="136">
        <f>'INFO BASE'!M897</f>
        <v>0</v>
      </c>
      <c r="CD817" s="136" t="str">
        <f>IF('INFO BASE'!E831="","",'INFO BASE'!E831)</f>
        <v/>
      </c>
      <c r="CR817" s="177">
        <f t="shared" si="455"/>
        <v>1</v>
      </c>
      <c r="CS817" s="177">
        <f t="shared" si="456"/>
        <v>1</v>
      </c>
      <c r="CT817" s="177">
        <f t="shared" si="455"/>
        <v>1</v>
      </c>
      <c r="CU817" s="177">
        <f t="shared" si="457"/>
        <v>1</v>
      </c>
      <c r="CV817" s="177">
        <f t="shared" si="455"/>
        <v>1</v>
      </c>
      <c r="CW817" s="177">
        <f t="shared" si="458"/>
        <v>1</v>
      </c>
      <c r="CX817" s="177">
        <f t="shared" si="455"/>
        <v>1</v>
      </c>
      <c r="CY817" s="177">
        <f t="shared" si="459"/>
        <v>1</v>
      </c>
      <c r="CZ817" s="177">
        <f t="shared" si="455"/>
        <v>1</v>
      </c>
      <c r="DA817" s="177">
        <f t="shared" si="460"/>
        <v>1</v>
      </c>
      <c r="DB817" s="177">
        <f t="shared" si="455"/>
        <v>1</v>
      </c>
      <c r="DC817" s="177">
        <f t="shared" si="461"/>
        <v>1</v>
      </c>
      <c r="DD817" s="177">
        <f t="shared" si="462"/>
        <v>1</v>
      </c>
      <c r="DE817" s="177">
        <f t="shared" si="463"/>
        <v>1</v>
      </c>
    </row>
    <row r="818" spans="1:109" ht="18" customHeight="1" x14ac:dyDescent="0.3">
      <c r="A818" s="81">
        <v>0.22916666666667401</v>
      </c>
      <c r="B818" s="153"/>
      <c r="C818" s="130"/>
      <c r="D818" s="135"/>
      <c r="E818" s="130"/>
      <c r="F818" s="135"/>
      <c r="G818" s="130"/>
      <c r="H818" s="135"/>
      <c r="I818" s="130"/>
      <c r="J818" s="135"/>
      <c r="K818" s="130"/>
      <c r="L818" s="135"/>
      <c r="M818" s="130"/>
      <c r="N818" s="135"/>
      <c r="O818" s="154"/>
      <c r="P818" s="6">
        <v>0</v>
      </c>
      <c r="Q818" s="109" t="str">
        <f>IF('INFO BASE'!$C$17="","",'INFO BASE'!$C$17)</f>
        <v>Estudo Autónomo</v>
      </c>
      <c r="R818" s="82" t="str">
        <f>R761</f>
        <v>EA</v>
      </c>
      <c r="S818" s="83">
        <f t="shared" ref="S818:S854" si="469">IFERROR((U818/T818)-1,"-")</f>
        <v>-1</v>
      </c>
      <c r="T818" s="84">
        <f>IF(VLOOKUP(Q818,'INFO BASE'!$B$40:$I$54,IF(R818='INFO BASE'!$B$32,3,IF(R818='INFO BASE'!$B$33,4,IF(R818='INFO BASE'!$B$34,5,IF(R818='INFO BASE'!$B$35,6,IF(R818='INFO BASE'!$B$36,7,IF(R818='INFO BASE'!$B$37,8,2)))))),0)=0,"",VLOOKUP(Q818,'INFO BASE'!$B$40:$I$54,IF(R818='INFO BASE'!$B$32,3,IF(R818='INFO BASE'!$B$33,4,IF(R818='INFO BASE'!$B$34,5,IF(R818='INFO BASE'!$B$35,6,IF(R818='INFO BASE'!$B$36,7,IF(R818='INFO BASE'!$B$37,8,2)))))),0))</f>
        <v>19</v>
      </c>
      <c r="U818" s="84">
        <f>IF(R818="","",COUNTIFS(SEMANA15,R818)*0.5)</f>
        <v>0</v>
      </c>
      <c r="V818" s="84">
        <f>IF(R818="","",COUNTIFS(AI807:AV854,R818)*0.5)</f>
        <v>0</v>
      </c>
      <c r="W818" s="85" t="str">
        <f>IF(AH803="","-",IF(V818=0,U818,IFERROR((U818/V818)-1,"-")))</f>
        <v>-</v>
      </c>
      <c r="X818" s="200">
        <f t="shared" ref="X818:X854" si="470">IFERROR(IF(ABS(W818)&gt;P818,1,0),0)</f>
        <v>0</v>
      </c>
      <c r="Y818" s="296"/>
      <c r="Z818" s="297"/>
      <c r="AA818" s="297"/>
      <c r="AB818" s="297"/>
      <c r="AC818" s="297"/>
      <c r="AD818" s="297"/>
      <c r="AE818" s="297"/>
      <c r="AF818" s="298"/>
      <c r="AH818" s="136">
        <v>0.22916666666667401</v>
      </c>
      <c r="AI818" s="136" t="str">
        <f>IF(AH803="","",IF(B818="","",B818))</f>
        <v/>
      </c>
      <c r="AJ818" s="136" t="str">
        <f>IF(AH803="","",IF(C818="","",C818))</f>
        <v/>
      </c>
      <c r="AK818" s="136" t="str">
        <f>IF(AH803="","",IF(D818="","",D818))</f>
        <v/>
      </c>
      <c r="AL818" s="136" t="str">
        <f>IF(AH803="","",IF(E818="","",E818))</f>
        <v/>
      </c>
      <c r="AM818" s="136" t="str">
        <f>IF(AH803="","",IF(F818="","",F818))</f>
        <v/>
      </c>
      <c r="AN818" s="136" t="str">
        <f>IF(AH803="","",IF(G818="","",G818))</f>
        <v/>
      </c>
      <c r="AO818" s="136" t="str">
        <f>IF(AH803="","",IF(H818="","",H818))</f>
        <v/>
      </c>
      <c r="AP818" s="136" t="str">
        <f>IF(AH803="","",IF(I818="","",I818))</f>
        <v/>
      </c>
      <c r="AQ818" s="136" t="str">
        <f>IF(AH803="","",IF(J818="","",J818))</f>
        <v/>
      </c>
      <c r="AR818" s="136" t="str">
        <f>IF(AH803="","",IF(K818="","",K818))</f>
        <v/>
      </c>
      <c r="AS818" s="136" t="str">
        <f>IF(AH803="","",IF(L818="","",L818))</f>
        <v/>
      </c>
      <c r="AT818" s="136" t="str">
        <f>IF(AH803="","",IF(M818="","",M818))</f>
        <v/>
      </c>
      <c r="AU818" s="136" t="str">
        <f>IF(AH803="","",IF(N818="","",N818))</f>
        <v/>
      </c>
      <c r="AV818" s="136" t="str">
        <f>IF(AH803="","",IF(O818="","",O818))</f>
        <v/>
      </c>
      <c r="AX818" s="136" t="str">
        <f>IF(AI803="","",IF(B818="","",B818))</f>
        <v/>
      </c>
      <c r="AY818" s="136" t="str">
        <f>IF(AI803="","",IF(C818="","",C818))</f>
        <v/>
      </c>
      <c r="AZ818" s="136" t="str">
        <f>IF(AI803="","",IF(D818="","",D818))</f>
        <v/>
      </c>
      <c r="BA818" s="136" t="str">
        <f>IF(AI803="","",IF(E818="","",E818))</f>
        <v/>
      </c>
      <c r="BB818" s="136" t="str">
        <f>IF(AI803="","",IF(F818="","",F818))</f>
        <v/>
      </c>
      <c r="BC818" s="136" t="str">
        <f>IF(AI803="","",IF(G818="","",G818))</f>
        <v/>
      </c>
      <c r="BD818" s="136" t="str">
        <f>IF(AI803="","",IF(H818="","",H818))</f>
        <v/>
      </c>
      <c r="BE818" s="136" t="str">
        <f>IF(AI803="","",IF(I818="","",I818))</f>
        <v/>
      </c>
      <c r="BF818" s="136" t="str">
        <f>IF(AI803="","",IF(J818="","",J818))</f>
        <v/>
      </c>
      <c r="BG818" s="136" t="str">
        <f>IF(AI803="","",IF(K818="","",K818))</f>
        <v/>
      </c>
      <c r="BH818" s="136" t="str">
        <f>IF(AI803="","",IF(L818="","",L818))</f>
        <v/>
      </c>
      <c r="BI818" s="136" t="str">
        <f>IF(AI803="","",IF(M818="","",M818))</f>
        <v/>
      </c>
      <c r="BJ818" s="136" t="str">
        <f>IF(AI803="","",IF(N818="","",N818))</f>
        <v/>
      </c>
      <c r="BK818" s="136" t="str">
        <f>IF(AI803="","",IF(O818="","",O818))</f>
        <v/>
      </c>
      <c r="BM818" s="136" t="str">
        <f t="shared" si="468"/>
        <v>EA</v>
      </c>
      <c r="BN818" s="136" t="str">
        <f t="shared" si="465"/>
        <v>Estudo Autónomo</v>
      </c>
      <c r="BO818" s="136" t="str">
        <f t="shared" si="465"/>
        <v>IAC</v>
      </c>
      <c r="BP818" s="136">
        <f>(COUNTIFS(AX807:AX854,BM818,AY807:AY854,BO818)+COUNTIFS(AZ807:AZ854,BM818,BA807:BA854,BO818)+COUNTIFS(BB807:BB854,BM818,BC807:BC854,BO818)+COUNTIFS(BD807:BD854,BM818,BE807:BE854,BO818)+COUNTIFS(BF807:BF854,BM818,BG807:BG854,BO818)+COUNTIFS(BH807:BH854,BM818,BI807:BI854,BO818)+COUNTIFS(BJ807:BJ854,BM818,BK807:BK854,BO818))*0.5</f>
        <v>0</v>
      </c>
      <c r="BQ818" s="136" t="str">
        <f t="shared" si="466"/>
        <v>Estudo Autónomo</v>
      </c>
      <c r="BR818" s="136" t="str">
        <f t="shared" si="466"/>
        <v>IAC</v>
      </c>
      <c r="BS818" s="136" t="str">
        <f t="shared" si="467"/>
        <v>Estudo Autónomo</v>
      </c>
      <c r="BT818" s="136">
        <f>SUMIFS(V:V,Q:Q,BQ818,R:R,BBO816)</f>
        <v>0</v>
      </c>
      <c r="BU818" s="136">
        <f>SUMIFS(BP:BP,BN:BN,BQ818,BO:BO,BBO816)</f>
        <v>0</v>
      </c>
      <c r="CA818" s="136">
        <f>'INFO BASE'!L898</f>
        <v>0</v>
      </c>
      <c r="CB818" s="136">
        <f>'INFO BASE'!M898</f>
        <v>0</v>
      </c>
      <c r="CD818" s="136" t="str">
        <f>IF('INFO BASE'!E832="","",'INFO BASE'!E832)</f>
        <v/>
      </c>
      <c r="CR818" s="177">
        <f t="shared" si="455"/>
        <v>1</v>
      </c>
      <c r="CS818" s="177">
        <f t="shared" si="456"/>
        <v>1</v>
      </c>
      <c r="CT818" s="177">
        <f t="shared" si="455"/>
        <v>1</v>
      </c>
      <c r="CU818" s="177">
        <f t="shared" si="457"/>
        <v>1</v>
      </c>
      <c r="CV818" s="177">
        <f t="shared" si="455"/>
        <v>1</v>
      </c>
      <c r="CW818" s="177">
        <f t="shared" si="458"/>
        <v>1</v>
      </c>
      <c r="CX818" s="177">
        <f t="shared" si="455"/>
        <v>1</v>
      </c>
      <c r="CY818" s="177">
        <f t="shared" si="459"/>
        <v>1</v>
      </c>
      <c r="CZ818" s="177">
        <f t="shared" si="455"/>
        <v>1</v>
      </c>
      <c r="DA818" s="177">
        <f t="shared" si="460"/>
        <v>1</v>
      </c>
      <c r="DB818" s="177">
        <f t="shared" si="455"/>
        <v>1</v>
      </c>
      <c r="DC818" s="177">
        <f t="shared" si="461"/>
        <v>1</v>
      </c>
      <c r="DD818" s="177">
        <f t="shared" si="462"/>
        <v>1</v>
      </c>
      <c r="DE818" s="177">
        <f t="shared" si="463"/>
        <v>1</v>
      </c>
    </row>
    <row r="819" spans="1:109" ht="18" customHeight="1" x14ac:dyDescent="0.3">
      <c r="A819" s="81">
        <v>0.25000000000000799</v>
      </c>
      <c r="B819" s="153"/>
      <c r="C819" s="130"/>
      <c r="D819" s="135"/>
      <c r="E819" s="130"/>
      <c r="F819" s="135"/>
      <c r="G819" s="130"/>
      <c r="H819" s="135"/>
      <c r="I819" s="130"/>
      <c r="J819" s="135"/>
      <c r="K819" s="130"/>
      <c r="L819" s="135"/>
      <c r="M819" s="130"/>
      <c r="N819" s="135"/>
      <c r="O819" s="154"/>
      <c r="P819" s="6">
        <v>0</v>
      </c>
      <c r="Q819" s="110" t="str">
        <f t="shared" ref="Q819:Q824" si="471">Q818</f>
        <v>Estudo Autónomo</v>
      </c>
      <c r="R819" s="105" t="str">
        <f t="shared" ref="R819:R854" si="472">R762</f>
        <v>FP</v>
      </c>
      <c r="S819" s="88">
        <f t="shared" si="469"/>
        <v>-1</v>
      </c>
      <c r="T819" s="89">
        <f>IF(VLOOKUP(Q819,'INFO BASE'!$B$40:$I$54,IF(R819='INFO BASE'!$B$32,3,IF(R819='INFO BASE'!$B$33,4,IF(R819='INFO BASE'!$B$34,5,IF(R819='INFO BASE'!$B$35,6,IF(R819='INFO BASE'!$B$36,7,IF(R819='INFO BASE'!$B$37,8,2)))))),0)=0,"",VLOOKUP(Q819,'INFO BASE'!$B$40:$I$54,IF(R819='INFO BASE'!$B$32,3,IF(R819='INFO BASE'!$B$33,4,IF(R819='INFO BASE'!$B$34,5,IF(R819='INFO BASE'!$B$35,6,IF(R819='INFO BASE'!$B$36,7,IF(R819='INFO BASE'!$B$37,8,2)))))),0))</f>
        <v>5</v>
      </c>
      <c r="U819" s="89">
        <f>(COUNTIFS(C807:C854,R819,B807:B854,R818)+COUNTIFS(E807:E854,R819,D807:D854,R818)+COUNTIFS(G807:G854,R819,F807:F854,R818)+COUNTIFS(I807:I854,R819,H807:H854,R818)+COUNTIFS(K807:K854,R819,J807:J854,R818)+COUNTIFS(M807:M854,R819,L807:L854,R818)+COUNTIFS(O807:O854,R819,N807:N854,R818))*0.5</f>
        <v>0</v>
      </c>
      <c r="V819" s="89">
        <f>(COUNTIFS(AI807:AI854,R818,AJ807:AJ854,R819)+COUNTIFS(AK807:AK854,R818,AL807:AL854,R819)+COUNTIFS(AM807:AM854,R818,AN807:AN854,R819)+COUNTIFS(AO807:AO854,R818,AP807:AP854,R819)+COUNTIFS(AQ807:AQ854,R818,AR807:AR854,R819)+COUNTIFS(AS807:AS854,R818,AT807:AT854,R819)+COUNTIFS(AU807:AU854,R818,AV807:AV854,R819))*0.5</f>
        <v>0</v>
      </c>
      <c r="W819" s="90" t="str">
        <f>IF(AH803="","-",IF(V819=0,U819,IFERROR((U819/V819)-1,"-")))</f>
        <v>-</v>
      </c>
      <c r="X819" s="200">
        <f t="shared" si="470"/>
        <v>0</v>
      </c>
      <c r="Y819" s="299"/>
      <c r="Z819" s="300"/>
      <c r="AA819" s="300"/>
      <c r="AB819" s="300"/>
      <c r="AC819" s="300"/>
      <c r="AD819" s="300"/>
      <c r="AE819" s="300"/>
      <c r="AF819" s="301"/>
      <c r="AH819" s="136">
        <v>0.25000000000000799</v>
      </c>
      <c r="AI819" s="136" t="str">
        <f>IF(AH803="","",IF(B819="","",B819))</f>
        <v/>
      </c>
      <c r="AJ819" s="136" t="str">
        <f>IF(AH803="","",IF(C819="","",C819))</f>
        <v/>
      </c>
      <c r="AK819" s="136" t="str">
        <f>IF(AH803="","",IF(D819="","",D819))</f>
        <v/>
      </c>
      <c r="AL819" s="136" t="str">
        <f>IF(AH803="","",IF(E819="","",E819))</f>
        <v/>
      </c>
      <c r="AM819" s="136" t="str">
        <f>IF(AH803="","",IF(F819="","",F819))</f>
        <v/>
      </c>
      <c r="AN819" s="136" t="str">
        <f>IF(AH803="","",IF(G819="","",G819))</f>
        <v/>
      </c>
      <c r="AO819" s="136" t="str">
        <f>IF(AH803="","",IF(H819="","",H819))</f>
        <v/>
      </c>
      <c r="AP819" s="136" t="str">
        <f>IF(AH803="","",IF(I819="","",I819))</f>
        <v/>
      </c>
      <c r="AQ819" s="136" t="str">
        <f>IF(AH803="","",IF(J819="","",J819))</f>
        <v/>
      </c>
      <c r="AR819" s="136" t="str">
        <f>IF(AH803="","",IF(K819="","",K819))</f>
        <v/>
      </c>
      <c r="AS819" s="136" t="str">
        <f>IF(AH803="","",IF(L819="","",L819))</f>
        <v/>
      </c>
      <c r="AT819" s="136" t="str">
        <f>IF(AH803="","",IF(M819="","",M819))</f>
        <v/>
      </c>
      <c r="AU819" s="136" t="str">
        <f>IF(AH803="","",IF(N819="","",N819))</f>
        <v/>
      </c>
      <c r="AV819" s="136" t="str">
        <f>IF(AH803="","",IF(O819="","",O819))</f>
        <v/>
      </c>
      <c r="AX819" s="136" t="str">
        <f>IF(AI803="","",IF(B819="","",B819))</f>
        <v/>
      </c>
      <c r="AY819" s="136" t="str">
        <f>IF(AI803="","",IF(C819="","",C819))</f>
        <v/>
      </c>
      <c r="AZ819" s="136" t="str">
        <f>IF(AI803="","",IF(D819="","",D819))</f>
        <v/>
      </c>
      <c r="BA819" s="136" t="str">
        <f>IF(AI803="","",IF(E819="","",E819))</f>
        <v/>
      </c>
      <c r="BB819" s="136" t="str">
        <f>IF(AI803="","",IF(F819="","",F819))</f>
        <v/>
      </c>
      <c r="BC819" s="136" t="str">
        <f>IF(AI803="","",IF(G819="","",G819))</f>
        <v/>
      </c>
      <c r="BD819" s="136" t="str">
        <f>IF(AI803="","",IF(H819="","",H819))</f>
        <v/>
      </c>
      <c r="BE819" s="136" t="str">
        <f>IF(AI803="","",IF(I819="","",I819))</f>
        <v/>
      </c>
      <c r="BF819" s="136" t="str">
        <f>IF(AI803="","",IF(J819="","",J819))</f>
        <v/>
      </c>
      <c r="BG819" s="136" t="str">
        <f>IF(AI803="","",IF(K819="","",K819))</f>
        <v/>
      </c>
      <c r="BH819" s="136" t="str">
        <f>IF(AI803="","",IF(L819="","",L819))</f>
        <v/>
      </c>
      <c r="BI819" s="136" t="str">
        <f>IF(AI803="","",IF(M819="","",M819))</f>
        <v/>
      </c>
      <c r="BJ819" s="136" t="str">
        <f>IF(AI803="","",IF(N819="","",N819))</f>
        <v/>
      </c>
      <c r="BK819" s="136" t="str">
        <f>IF(AI803="","",IF(O819="","",O819))</f>
        <v/>
      </c>
      <c r="BM819" s="136" t="str">
        <f t="shared" si="468"/>
        <v>EA</v>
      </c>
      <c r="BN819" s="136" t="str">
        <f t="shared" si="465"/>
        <v>Estudo Autónomo</v>
      </c>
      <c r="BO819" s="136" t="str">
        <f t="shared" si="465"/>
        <v>AL</v>
      </c>
      <c r="BP819" s="136">
        <f>(COUNTIFS(AX807:AX854,BM819,AY807:AY854,BO819)+COUNTIFS(AZ807:AZ854,BM819,BA807:BA854,BO819)+COUNTIFS(BB807:BB854,BM819,BC807:BC854,BO819)+COUNTIFS(BD807:BD854,BM819,BE807:BE854,BO819)+COUNTIFS(BF807:BF854,BM819,BG807:BG854,BO819)+COUNTIFS(BH807:BH854,BM819,BI807:BI854,BO819)+COUNTIFS(BJ807:BJ854,BM819,BK807:BK854,BO819))*0.5</f>
        <v>0</v>
      </c>
      <c r="BQ819" s="136" t="str">
        <f t="shared" si="466"/>
        <v>Estudo Autónomo</v>
      </c>
      <c r="BR819" s="136" t="str">
        <f t="shared" si="466"/>
        <v>AL</v>
      </c>
      <c r="BS819" s="136" t="str">
        <f t="shared" si="467"/>
        <v>Estudo Autónomo</v>
      </c>
      <c r="BT819" s="136">
        <f t="shared" ref="BT819:BT851" si="473">SUMIFS(V:V,Q:Q,BQ819,R:R,BR819)</f>
        <v>24</v>
      </c>
      <c r="BU819" s="136">
        <f t="shared" ref="BU819:BU851" si="474">SUMIFS(BP:BP,BN:BN,BQ819,BO:BO,BR819)</f>
        <v>25.5</v>
      </c>
      <c r="CA819" s="136">
        <f>'INFO BASE'!L899</f>
        <v>0</v>
      </c>
      <c r="CB819" s="136">
        <f>'INFO BASE'!M899</f>
        <v>0</v>
      </c>
      <c r="CD819" s="136" t="str">
        <f>IF('INFO BASE'!E833="","",'INFO BASE'!E833)</f>
        <v/>
      </c>
      <c r="CR819" s="177">
        <f t="shared" si="455"/>
        <v>1</v>
      </c>
      <c r="CS819" s="177">
        <f t="shared" si="456"/>
        <v>1</v>
      </c>
      <c r="CT819" s="177">
        <f t="shared" si="455"/>
        <v>1</v>
      </c>
      <c r="CU819" s="177">
        <f t="shared" si="457"/>
        <v>1</v>
      </c>
      <c r="CV819" s="177">
        <f t="shared" si="455"/>
        <v>1</v>
      </c>
      <c r="CW819" s="177">
        <f t="shared" si="458"/>
        <v>1</v>
      </c>
      <c r="CX819" s="177">
        <f t="shared" si="455"/>
        <v>1</v>
      </c>
      <c r="CY819" s="177">
        <f t="shared" si="459"/>
        <v>1</v>
      </c>
      <c r="CZ819" s="177">
        <f t="shared" si="455"/>
        <v>1</v>
      </c>
      <c r="DA819" s="177">
        <f t="shared" si="460"/>
        <v>1</v>
      </c>
      <c r="DB819" s="177">
        <f t="shared" si="455"/>
        <v>1</v>
      </c>
      <c r="DC819" s="177">
        <f t="shared" si="461"/>
        <v>1</v>
      </c>
      <c r="DD819" s="177">
        <f t="shared" si="462"/>
        <v>1</v>
      </c>
      <c r="DE819" s="177">
        <f t="shared" si="463"/>
        <v>1</v>
      </c>
    </row>
    <row r="820" spans="1:109" ht="18" customHeight="1" x14ac:dyDescent="0.3">
      <c r="A820" s="81">
        <v>0.27083333333334197</v>
      </c>
      <c r="B820" s="153"/>
      <c r="C820" s="130"/>
      <c r="D820" s="135"/>
      <c r="E820" s="130"/>
      <c r="F820" s="135"/>
      <c r="G820" s="130"/>
      <c r="H820" s="135"/>
      <c r="I820" s="130"/>
      <c r="J820" s="135"/>
      <c r="K820" s="130"/>
      <c r="L820" s="135"/>
      <c r="M820" s="130"/>
      <c r="N820" s="135"/>
      <c r="O820" s="154"/>
      <c r="P820" s="6">
        <v>0</v>
      </c>
      <c r="Q820" s="110" t="str">
        <f t="shared" si="471"/>
        <v>Estudo Autónomo</v>
      </c>
      <c r="R820" s="105" t="str">
        <f t="shared" si="472"/>
        <v>IEI</v>
      </c>
      <c r="S820" s="88">
        <f t="shared" si="469"/>
        <v>-1</v>
      </c>
      <c r="T820" s="89">
        <f>IF(VLOOKUP(Q820,'INFO BASE'!$B$40:$I$54,IF(R820='INFO BASE'!$B$32,3,IF(R820='INFO BASE'!$B$33,4,IF(R820='INFO BASE'!$B$34,5,IF(R820='INFO BASE'!$B$35,6,IF(R820='INFO BASE'!$B$36,7,IF(R820='INFO BASE'!$B$37,8,2)))))),0)=0,"",VLOOKUP(Q820,'INFO BASE'!$B$40:$I$54,IF(R820='INFO BASE'!$B$32,3,IF(R820='INFO BASE'!$B$33,4,IF(R820='INFO BASE'!$B$34,5,IF(R820='INFO BASE'!$B$35,6,IF(R820='INFO BASE'!$B$36,7,IF(R820='INFO BASE'!$B$37,8,2)))))),0))</f>
        <v>2</v>
      </c>
      <c r="U820" s="89">
        <f>(COUNTIFS(C807:C854,R820,B807:B854,R818)+COUNTIFS(E807:E854,R820,D807:D854,R818)+COUNTIFS(G807:G854,R820,F807:F854,R818)+COUNTIFS(I807:I854,R820,H807:H854,R818)+COUNTIFS(K807:K854,R820,J807:J854,R818)+COUNTIFS(M807:M854,R820,L807:L854,R818)+COUNTIFS(O807:O854,R820,N807:N854,R818))*0.5</f>
        <v>0</v>
      </c>
      <c r="V820" s="89">
        <f>(COUNTIFS(AI807:AI854,R818,AJ807:AJ854,R820)+COUNTIFS(AK807:AK854,R818,AL807:AL854,R820)+COUNTIFS(AM807:AM854,R818,AN807:AN854,R820)+COUNTIFS(AO807:AO854,R818,AP807:AP854,R820)+COUNTIFS(AQ807:AQ854,R818,AR807:AR854,R820)+COUNTIFS(AS807:AS854,R818,AT807:AT854,R820)+COUNTIFS(AU807:AU854,R818,AV807:AV854,R820))*0.5</f>
        <v>0</v>
      </c>
      <c r="W820" s="90" t="str">
        <f>IF(AH803="","-",IF(V820=0,U820,IFERROR((U820/V820)-1,"-")))</f>
        <v>-</v>
      </c>
      <c r="X820" s="200">
        <f t="shared" si="470"/>
        <v>0</v>
      </c>
      <c r="Y820" s="299"/>
      <c r="Z820" s="300"/>
      <c r="AA820" s="300"/>
      <c r="AB820" s="300"/>
      <c r="AC820" s="300"/>
      <c r="AD820" s="300"/>
      <c r="AE820" s="300"/>
      <c r="AF820" s="301"/>
      <c r="AH820" s="136">
        <v>0.27083333333334197</v>
      </c>
      <c r="AI820" s="136" t="str">
        <f>IF(AH803="","",IF(B820="","",B820))</f>
        <v/>
      </c>
      <c r="AJ820" s="136" t="str">
        <f>IF(AH803="","",IF(C820="","",C820))</f>
        <v/>
      </c>
      <c r="AK820" s="136" t="str">
        <f>IF(AH803="","",IF(D820="","",D820))</f>
        <v/>
      </c>
      <c r="AL820" s="136" t="str">
        <f>IF(AH803="","",IF(E820="","",E820))</f>
        <v/>
      </c>
      <c r="AM820" s="136" t="str">
        <f>IF(AH803="","",IF(F820="","",F820))</f>
        <v/>
      </c>
      <c r="AN820" s="136" t="str">
        <f>IF(AH803="","",IF(G820="","",G820))</f>
        <v/>
      </c>
      <c r="AO820" s="136" t="str">
        <f>IF(AH803="","",IF(H820="","",H820))</f>
        <v/>
      </c>
      <c r="AP820" s="136" t="str">
        <f>IF(AH803="","",IF(I820="","",I820))</f>
        <v/>
      </c>
      <c r="AQ820" s="136" t="str">
        <f>IF(AH803="","",IF(J820="","",J820))</f>
        <v/>
      </c>
      <c r="AR820" s="136" t="str">
        <f>IF(AH803="","",IF(K820="","",K820))</f>
        <v/>
      </c>
      <c r="AS820" s="136" t="str">
        <f>IF(AH803="","",IF(L820="","",L820))</f>
        <v/>
      </c>
      <c r="AT820" s="136" t="str">
        <f>IF(AH803="","",IF(M820="","",M820))</f>
        <v/>
      </c>
      <c r="AU820" s="136" t="str">
        <f>IF(AH803="","",IF(N820="","",N820))</f>
        <v/>
      </c>
      <c r="AV820" s="136" t="str">
        <f>IF(AH803="","",IF(O820="","",O820))</f>
        <v/>
      </c>
      <c r="AX820" s="136" t="str">
        <f>IF(AI803="","",IF(B820="","",B820))</f>
        <v/>
      </c>
      <c r="AY820" s="136" t="str">
        <f>IF(AI803="","",IF(C820="","",C820))</f>
        <v/>
      </c>
      <c r="AZ820" s="136" t="str">
        <f>IF(AI803="","",IF(D820="","",D820))</f>
        <v/>
      </c>
      <c r="BA820" s="136" t="str">
        <f>IF(AI803="","",IF(E820="","",E820))</f>
        <v/>
      </c>
      <c r="BB820" s="136" t="str">
        <f>IF(AI803="","",IF(F820="","",F820))</f>
        <v/>
      </c>
      <c r="BC820" s="136" t="str">
        <f>IF(AI803="","",IF(G820="","",G820))</f>
        <v/>
      </c>
      <c r="BD820" s="136" t="str">
        <f>IF(AI803="","",IF(H820="","",H820))</f>
        <v/>
      </c>
      <c r="BE820" s="136" t="str">
        <f>IF(AI803="","",IF(I820="","",I820))</f>
        <v/>
      </c>
      <c r="BF820" s="136" t="str">
        <f>IF(AI803="","",IF(J820="","",J820))</f>
        <v/>
      </c>
      <c r="BG820" s="136" t="str">
        <f>IF(AI803="","",IF(K820="","",K820))</f>
        <v/>
      </c>
      <c r="BH820" s="136" t="str">
        <f>IF(AI803="","",IF(L820="","",L820))</f>
        <v/>
      </c>
      <c r="BI820" s="136" t="str">
        <f>IF(AI803="","",IF(M820="","",M820))</f>
        <v/>
      </c>
      <c r="BJ820" s="136" t="str">
        <f>IF(AI803="","",IF(N820="","",N820))</f>
        <v/>
      </c>
      <c r="BK820" s="136" t="str">
        <f>IF(AI803="","",IF(O820="","",O820))</f>
        <v/>
      </c>
      <c r="BM820" s="136" t="str">
        <f t="shared" si="468"/>
        <v>EA</v>
      </c>
      <c r="BN820" s="136" t="str">
        <f t="shared" si="465"/>
        <v>Estudo Autónomo</v>
      </c>
      <c r="BO820" s="136" t="str">
        <f t="shared" si="465"/>
        <v>CDI</v>
      </c>
      <c r="BP820" s="136">
        <f>(COUNTIFS(AX807:AX854,BM820,AY807:AY854,BO820)+COUNTIFS(AZ807:AZ854,BM820,BA807:BA854,BO820)+COUNTIFS(BB807:BB854,BM820,BC807:BC854,BO820)+COUNTIFS(BD807:BD854,BM820,BE807:BE854,BO820)+COUNTIFS(BF807:BF854,BM820,BG807:BG854,BO820)+COUNTIFS(BH807:BH854,BM820,BI807:BI854,BO820)+COUNTIFS(BJ807:BJ854,BM820,BK807:BK854,BO820))*0.5</f>
        <v>0</v>
      </c>
      <c r="BQ820" s="136" t="str">
        <f t="shared" si="466"/>
        <v>Estudo Autónomo</v>
      </c>
      <c r="BR820" s="136" t="str">
        <f t="shared" si="466"/>
        <v>CDI</v>
      </c>
      <c r="BS820" s="136" t="str">
        <f t="shared" si="467"/>
        <v>Estudo Autónomo</v>
      </c>
      <c r="BT820" s="136">
        <f t="shared" si="473"/>
        <v>9.5</v>
      </c>
      <c r="BU820" s="136">
        <f t="shared" si="474"/>
        <v>7.5</v>
      </c>
      <c r="CA820" s="136">
        <f>'INFO BASE'!L900</f>
        <v>0</v>
      </c>
      <c r="CB820" s="136">
        <f>'INFO BASE'!M900</f>
        <v>0</v>
      </c>
      <c r="CD820" s="136" t="str">
        <f>IF('INFO BASE'!E834="","",'INFO BASE'!E834)</f>
        <v/>
      </c>
      <c r="CR820" s="177">
        <f t="shared" si="455"/>
        <v>1</v>
      </c>
      <c r="CS820" s="177">
        <f t="shared" si="456"/>
        <v>1</v>
      </c>
      <c r="CT820" s="177">
        <f t="shared" si="455"/>
        <v>1</v>
      </c>
      <c r="CU820" s="177">
        <f t="shared" si="457"/>
        <v>1</v>
      </c>
      <c r="CV820" s="177">
        <f t="shared" si="455"/>
        <v>1</v>
      </c>
      <c r="CW820" s="177">
        <f t="shared" si="458"/>
        <v>1</v>
      </c>
      <c r="CX820" s="177">
        <f t="shared" si="455"/>
        <v>1</v>
      </c>
      <c r="CY820" s="177">
        <f t="shared" si="459"/>
        <v>1</v>
      </c>
      <c r="CZ820" s="177">
        <f t="shared" si="455"/>
        <v>1</v>
      </c>
      <c r="DA820" s="177">
        <f t="shared" si="460"/>
        <v>1</v>
      </c>
      <c r="DB820" s="177">
        <f t="shared" si="455"/>
        <v>1</v>
      </c>
      <c r="DC820" s="177">
        <f t="shared" si="461"/>
        <v>1</v>
      </c>
      <c r="DD820" s="177">
        <f t="shared" si="462"/>
        <v>1</v>
      </c>
      <c r="DE820" s="177">
        <f t="shared" si="463"/>
        <v>1</v>
      </c>
    </row>
    <row r="821" spans="1:109" ht="18" customHeight="1" x14ac:dyDescent="0.3">
      <c r="A821" s="81">
        <v>0.29166666666667601</v>
      </c>
      <c r="B821" s="153"/>
      <c r="C821" s="130"/>
      <c r="D821" s="135"/>
      <c r="E821" s="130"/>
      <c r="F821" s="135"/>
      <c r="G821" s="130"/>
      <c r="H821" s="135"/>
      <c r="I821" s="130"/>
      <c r="J821" s="135"/>
      <c r="K821" s="130"/>
      <c r="L821" s="135"/>
      <c r="M821" s="130"/>
      <c r="N821" s="135"/>
      <c r="O821" s="154"/>
      <c r="P821" s="6">
        <v>0</v>
      </c>
      <c r="Q821" s="111" t="str">
        <f t="shared" si="471"/>
        <v>Estudo Autónomo</v>
      </c>
      <c r="R821" s="105" t="str">
        <f t="shared" si="472"/>
        <v>IAC</v>
      </c>
      <c r="S821" s="88">
        <f t="shared" si="469"/>
        <v>-1</v>
      </c>
      <c r="T821" s="89">
        <f>IF(VLOOKUP(Q821,'INFO BASE'!$B$40:$I$54,IF(R821='INFO BASE'!$B$32,3,IF(R821='INFO BASE'!$B$33,4,IF(R821='INFO BASE'!$B$34,5,IF(R821='INFO BASE'!$B$35,6,IF(R821='INFO BASE'!$B$36,7,IF(R821='INFO BASE'!$B$37,8,2)))))),0)=0,"",VLOOKUP(Q821,'INFO BASE'!$B$40:$I$54,IF(R821='INFO BASE'!$B$32,3,IF(R821='INFO BASE'!$B$33,4,IF(R821='INFO BASE'!$B$34,5,IF(R821='INFO BASE'!$B$35,6,IF(R821='INFO BASE'!$B$36,7,IF(R821='INFO BASE'!$B$37,8,2)))))),0))</f>
        <v>2</v>
      </c>
      <c r="U821" s="89">
        <f>(COUNTIFS(C807:C854,R821,B807:B854,R818)+COUNTIFS(E807:E854,R821,D807:D854,R818)+COUNTIFS(G807:G854,R821,F807:F854,R818)+COUNTIFS(I807:I854,R821,H807:H854,R818)+COUNTIFS(K807:K854,R821,J807:J854,R818)+COUNTIFS(M807:M854,R821,L807:L854,R818)+COUNTIFS(O807:O854,R821,N807:N854,R818))*0.5</f>
        <v>0</v>
      </c>
      <c r="V821" s="89">
        <f>(COUNTIFS(AI807:AI854,R818,AJ807:AJ854,R821)+COUNTIFS(AK807:AK854,R818,AL807:AL854,R821)+COUNTIFS(AM807:AM854,R818,AN807:AN854,R821)+COUNTIFS(AO807:AO854,R818,AP807:AP854,R821)+COUNTIFS(AQ807:AQ854,R818,AR807:AR854,R821)+COUNTIFS(AS807:AS854,R818,AT807:AT854,R821)+COUNTIFS(AU807:AU854,R818,AV807:AV854,R821))*0.5</f>
        <v>0</v>
      </c>
      <c r="W821" s="90" t="str">
        <f>IF(AH803="","-",IF(V821=0,U821,IFERROR((U821/V821)-1,"-")))</f>
        <v>-</v>
      </c>
      <c r="X821" s="200">
        <f t="shared" si="470"/>
        <v>0</v>
      </c>
      <c r="Y821" s="299"/>
      <c r="Z821" s="300"/>
      <c r="AA821" s="300"/>
      <c r="AB821" s="300"/>
      <c r="AC821" s="300"/>
      <c r="AD821" s="300"/>
      <c r="AE821" s="300"/>
      <c r="AF821" s="301"/>
      <c r="AH821" s="136">
        <v>0.29166666666667601</v>
      </c>
      <c r="AI821" s="136" t="str">
        <f>IF(AH803="","",IF(B821="","",B821))</f>
        <v/>
      </c>
      <c r="AJ821" s="136" t="str">
        <f>IF(AH803="","",IF(C821="","",C821))</f>
        <v/>
      </c>
      <c r="AK821" s="136" t="str">
        <f>IF(AH803="","",IF(D821="","",D821))</f>
        <v/>
      </c>
      <c r="AL821" s="136" t="str">
        <f>IF(AH803="","",IF(E821="","",E821))</f>
        <v/>
      </c>
      <c r="AM821" s="136" t="str">
        <f>IF(AH803="","",IF(F821="","",F821))</f>
        <v/>
      </c>
      <c r="AN821" s="136" t="str">
        <f>IF(AH803="","",IF(G821="","",G821))</f>
        <v/>
      </c>
      <c r="AO821" s="136" t="str">
        <f>IF(AH803="","",IF(H821="","",H821))</f>
        <v/>
      </c>
      <c r="AP821" s="136" t="str">
        <f>IF(AH803="","",IF(I821="","",I821))</f>
        <v/>
      </c>
      <c r="AQ821" s="136" t="str">
        <f>IF(AH803="","",IF(J821="","",J821))</f>
        <v/>
      </c>
      <c r="AR821" s="136" t="str">
        <f>IF(AH803="","",IF(K821="","",K821))</f>
        <v/>
      </c>
      <c r="AS821" s="136" t="str">
        <f>IF(AH803="","",IF(L821="","",L821))</f>
        <v/>
      </c>
      <c r="AT821" s="136" t="str">
        <f>IF(AH803="","",IF(M821="","",M821))</f>
        <v/>
      </c>
      <c r="AU821" s="136" t="str">
        <f>IF(AH803="","",IF(N821="","",N821))</f>
        <v/>
      </c>
      <c r="AV821" s="136" t="str">
        <f>IF(AH803="","",IF(O821="","",O821))</f>
        <v/>
      </c>
      <c r="AX821" s="136" t="str">
        <f>IF(AI803="","",IF(B821="","",B821))</f>
        <v/>
      </c>
      <c r="AY821" s="136" t="str">
        <f>IF(AI803="","",IF(C821="","",C821))</f>
        <v/>
      </c>
      <c r="AZ821" s="136" t="str">
        <f>IF(AI803="","",IF(D821="","",D821))</f>
        <v/>
      </c>
      <c r="BA821" s="136" t="str">
        <f>IF(AI803="","",IF(E821="","",E821))</f>
        <v/>
      </c>
      <c r="BB821" s="136" t="str">
        <f>IF(AI803="","",IF(F821="","",F821))</f>
        <v/>
      </c>
      <c r="BC821" s="136" t="str">
        <f>IF(AI803="","",IF(G821="","",G821))</f>
        <v/>
      </c>
      <c r="BD821" s="136" t="str">
        <f>IF(AI803="","",IF(H821="","",H821))</f>
        <v/>
      </c>
      <c r="BE821" s="136" t="str">
        <f>IF(AI803="","",IF(I821="","",I821))</f>
        <v/>
      </c>
      <c r="BF821" s="136" t="str">
        <f>IF(AI803="","",IF(J821="","",J821))</f>
        <v/>
      </c>
      <c r="BG821" s="136" t="str">
        <f>IF(AI803="","",IF(K821="","",K821))</f>
        <v/>
      </c>
      <c r="BH821" s="136" t="str">
        <f>IF(AI803="","",IF(L821="","",L821))</f>
        <v/>
      </c>
      <c r="BI821" s="136" t="str">
        <f>IF(AI803="","",IF(M821="","",M821))</f>
        <v/>
      </c>
      <c r="BJ821" s="136" t="str">
        <f>IF(AI803="","",IF(N821="","",N821))</f>
        <v/>
      </c>
      <c r="BK821" s="136" t="str">
        <f>IF(AI803="","",IF(O821="","",O821))</f>
        <v/>
      </c>
      <c r="BM821" s="136" t="str">
        <f t="shared" si="468"/>
        <v>EA</v>
      </c>
      <c r="BN821" s="136" t="str">
        <f t="shared" si="465"/>
        <v>Estudo Autónomo</v>
      </c>
      <c r="BO821" s="136" t="str">
        <f t="shared" si="465"/>
        <v/>
      </c>
      <c r="BP821" s="136">
        <f>(COUNTIFS(AX807:AX854,BM821,AY807:AY854,BO821)+COUNTIFS(AZ807:AZ854,BM821,BA807:BA854,BO821)+COUNTIFS(BB807:BB854,BM821,BC807:BC854,BO821)+COUNTIFS(BD807:BD854,BM821,BE807:BE854,BO821)+COUNTIFS(BF807:BF854,BM821,BG807:BG854,BO821)+COUNTIFS(BH807:BH854,BM821,BI807:BI854,BO821)+COUNTIFS(BJ807:BJ854,BM821,BK807:BK854,BO821))*0.5</f>
        <v>0</v>
      </c>
      <c r="BQ821" s="136" t="str">
        <f t="shared" si="466"/>
        <v>Estudo Autónomo</v>
      </c>
      <c r="BR821" s="136" t="str">
        <f t="shared" si="466"/>
        <v/>
      </c>
      <c r="BS821" s="136" t="str">
        <f t="shared" si="467"/>
        <v>Estudo Autónomo</v>
      </c>
      <c r="BT821" s="136">
        <f t="shared" si="473"/>
        <v>0</v>
      </c>
      <c r="BU821" s="136">
        <f t="shared" si="474"/>
        <v>0</v>
      </c>
      <c r="CA821" s="136">
        <f>'INFO BASE'!L901</f>
        <v>0</v>
      </c>
      <c r="CB821" s="136">
        <f>'INFO BASE'!M901</f>
        <v>0</v>
      </c>
      <c r="CD821" s="136" t="str">
        <f>IF('INFO BASE'!E835="","",'INFO BASE'!E835)</f>
        <v/>
      </c>
      <c r="CR821" s="177">
        <f t="shared" si="455"/>
        <v>1</v>
      </c>
      <c r="CS821" s="177">
        <f t="shared" si="456"/>
        <v>1</v>
      </c>
      <c r="CT821" s="177">
        <f t="shared" si="455"/>
        <v>1</v>
      </c>
      <c r="CU821" s="177">
        <f t="shared" si="457"/>
        <v>1</v>
      </c>
      <c r="CV821" s="177">
        <f t="shared" si="455"/>
        <v>1</v>
      </c>
      <c r="CW821" s="177">
        <f t="shared" si="458"/>
        <v>1</v>
      </c>
      <c r="CX821" s="177">
        <f t="shared" si="455"/>
        <v>1</v>
      </c>
      <c r="CY821" s="177">
        <f t="shared" si="459"/>
        <v>1</v>
      </c>
      <c r="CZ821" s="177">
        <f t="shared" si="455"/>
        <v>1</v>
      </c>
      <c r="DA821" s="177">
        <f t="shared" si="460"/>
        <v>1</v>
      </c>
      <c r="DB821" s="177">
        <f t="shared" si="455"/>
        <v>1</v>
      </c>
      <c r="DC821" s="177">
        <f t="shared" si="461"/>
        <v>1</v>
      </c>
      <c r="DD821" s="177">
        <f t="shared" si="462"/>
        <v>1</v>
      </c>
      <c r="DE821" s="177">
        <f t="shared" si="463"/>
        <v>1</v>
      </c>
    </row>
    <row r="822" spans="1:109" ht="18" customHeight="1" x14ac:dyDescent="0.3">
      <c r="A822" s="81">
        <v>0.31250000000000999</v>
      </c>
      <c r="B822" s="153"/>
      <c r="C822" s="130"/>
      <c r="D822" s="135"/>
      <c r="E822" s="130"/>
      <c r="F822" s="135"/>
      <c r="G822" s="130"/>
      <c r="H822" s="135"/>
      <c r="I822" s="130"/>
      <c r="J822" s="135"/>
      <c r="K822" s="130"/>
      <c r="L822" s="135"/>
      <c r="M822" s="130"/>
      <c r="N822" s="135"/>
      <c r="O822" s="154"/>
      <c r="P822" s="6">
        <v>0</v>
      </c>
      <c r="Q822" s="110" t="str">
        <f t="shared" si="471"/>
        <v>Estudo Autónomo</v>
      </c>
      <c r="R822" s="105" t="str">
        <f t="shared" si="472"/>
        <v>AL</v>
      </c>
      <c r="S822" s="88">
        <f t="shared" si="469"/>
        <v>-1</v>
      </c>
      <c r="T822" s="89">
        <f>IF(VLOOKUP(Q822,'INFO BASE'!$B$40:$I$54,IF(R822='INFO BASE'!$B$32,3,IF(R822='INFO BASE'!$B$33,4,IF(R822='INFO BASE'!$B$34,5,IF(R822='INFO BASE'!$B$35,6,IF(R822='INFO BASE'!$B$36,7,IF(R822='INFO BASE'!$B$37,8,2)))))),0)=0,"",VLOOKUP(Q822,'INFO BASE'!$B$40:$I$54,IF(R822='INFO BASE'!$B$32,3,IF(R822='INFO BASE'!$B$33,4,IF(R822='INFO BASE'!$B$34,5,IF(R822='INFO BASE'!$B$35,6,IF(R822='INFO BASE'!$B$36,7,IF(R822='INFO BASE'!$B$37,8,2)))))),0))</f>
        <v>5</v>
      </c>
      <c r="U822" s="89">
        <f>(COUNTIFS(C807:C854,R822,B807:B854,R818)+COUNTIFS(E807:E854,R822,D807:D854,R818)+COUNTIFS(G807:G854,R822,F807:F854,R818)+COUNTIFS(I807:I854,R822,H807:H854,R818)+COUNTIFS(K807:K854,R822,J807:J854,R818)+COUNTIFS(M807:M854,R822,L807:L854,R818)+COUNTIFS(O807:O854,R822,N807:N854,R818))*0.5</f>
        <v>0</v>
      </c>
      <c r="V822" s="89">
        <f>(COUNTIFS(AI807:AI854,R818,AJ807:AJ854,R822)+COUNTIFS(AK807:AK854,R818,AL807:AL854,R822)+COUNTIFS(AM807:AM854,R818,AN807:AN854,R822)+COUNTIFS(AO807:AO854,R818,AP807:AP854,R822)+COUNTIFS(AQ807:AQ854,R818,AR807:AR854,R822)+COUNTIFS(AS807:AS854,R818,AT807:AT854,R822)+COUNTIFS(AU807:AU854,R818,AV807:AV854,R822))*0.5</f>
        <v>0</v>
      </c>
      <c r="W822" s="90" t="str">
        <f>IF(AH803="","-",IF(V822=0,U822,IFERROR((U822/V822)-1,"-")))</f>
        <v>-</v>
      </c>
      <c r="X822" s="200">
        <f t="shared" si="470"/>
        <v>0</v>
      </c>
      <c r="Y822" s="299"/>
      <c r="Z822" s="300"/>
      <c r="AA822" s="300"/>
      <c r="AB822" s="300"/>
      <c r="AC822" s="300"/>
      <c r="AD822" s="300"/>
      <c r="AE822" s="300"/>
      <c r="AF822" s="301"/>
      <c r="AH822" s="136">
        <v>0.31250000000000999</v>
      </c>
      <c r="AI822" s="136" t="str">
        <f>IF(AH803="","",IF(B822="","",B822))</f>
        <v/>
      </c>
      <c r="AJ822" s="136" t="str">
        <f>IF(AH803="","",IF(C822="","",C822))</f>
        <v/>
      </c>
      <c r="AK822" s="136" t="str">
        <f>IF(AH803="","",IF(D822="","",D822))</f>
        <v/>
      </c>
      <c r="AL822" s="136" t="str">
        <f>IF(AH803="","",IF(E822="","",E822))</f>
        <v/>
      </c>
      <c r="AM822" s="136" t="str">
        <f>IF(AH803="","",IF(F822="","",F822))</f>
        <v/>
      </c>
      <c r="AN822" s="136" t="str">
        <f>IF(AH803="","",IF(G822="","",G822))</f>
        <v/>
      </c>
      <c r="AO822" s="136" t="str">
        <f>IF(AH803="","",IF(H822="","",H822))</f>
        <v/>
      </c>
      <c r="AP822" s="136" t="str">
        <f>IF(AH803="","",IF(I822="","",I822))</f>
        <v/>
      </c>
      <c r="AQ822" s="136" t="str">
        <f>IF(AH803="","",IF(J822="","",J822))</f>
        <v/>
      </c>
      <c r="AR822" s="136" t="str">
        <f>IF(AH803="","",IF(K822="","",K822))</f>
        <v/>
      </c>
      <c r="AS822" s="136" t="str">
        <f>IF(AH803="","",IF(L822="","",L822))</f>
        <v/>
      </c>
      <c r="AT822" s="136" t="str">
        <f>IF(AH803="","",IF(M822="","",M822))</f>
        <v/>
      </c>
      <c r="AU822" s="136" t="str">
        <f>IF(AH803="","",IF(N822="","",N822))</f>
        <v/>
      </c>
      <c r="AV822" s="136" t="str">
        <f>IF(AH803="","",IF(O822="","",O822))</f>
        <v/>
      </c>
      <c r="AX822" s="136" t="str">
        <f>IF(AI803="","",IF(B822="","",B822))</f>
        <v/>
      </c>
      <c r="AY822" s="136" t="str">
        <f>IF(AI803="","",IF(C822="","",C822))</f>
        <v/>
      </c>
      <c r="AZ822" s="136" t="str">
        <f>IF(AI803="","",IF(D822="","",D822))</f>
        <v/>
      </c>
      <c r="BA822" s="136" t="str">
        <f>IF(AI803="","",IF(E822="","",E822))</f>
        <v/>
      </c>
      <c r="BB822" s="136" t="str">
        <f>IF(AI803="","",IF(F822="","",F822))</f>
        <v/>
      </c>
      <c r="BC822" s="136" t="str">
        <f>IF(AI803="","",IF(G822="","",G822))</f>
        <v/>
      </c>
      <c r="BD822" s="136" t="str">
        <f>IF(AI803="","",IF(H822="","",H822))</f>
        <v/>
      </c>
      <c r="BE822" s="136" t="str">
        <f>IF(AI803="","",IF(I822="","",I822))</f>
        <v/>
      </c>
      <c r="BF822" s="136" t="str">
        <f>IF(AI803="","",IF(J822="","",J822))</f>
        <v/>
      </c>
      <c r="BG822" s="136" t="str">
        <f>IF(AI803="","",IF(K822="","",K822))</f>
        <v/>
      </c>
      <c r="BH822" s="136" t="str">
        <f>IF(AI803="","",IF(L822="","",L822))</f>
        <v/>
      </c>
      <c r="BI822" s="136" t="str">
        <f>IF(AI803="","",IF(M822="","",M822))</f>
        <v/>
      </c>
      <c r="BJ822" s="136" t="str">
        <f>IF(AI803="","",IF(N822="","",N822))</f>
        <v/>
      </c>
      <c r="BK822" s="136" t="str">
        <f>IF(AI803="","",IF(O822="","",O822))</f>
        <v/>
      </c>
      <c r="BM822" s="136" t="str">
        <f>BO822</f>
        <v>EG</v>
      </c>
      <c r="BN822" s="136" t="str">
        <f t="shared" si="465"/>
        <v>Estudo em Grupo</v>
      </c>
      <c r="BO822" s="136" t="str">
        <f t="shared" si="465"/>
        <v>EG</v>
      </c>
      <c r="BP822" s="136">
        <f>COUNTIFS(AX807:BK854,BO822)*0.5</f>
        <v>0</v>
      </c>
      <c r="BQ822" s="136" t="str">
        <f t="shared" si="466"/>
        <v>Estudo em Grupo</v>
      </c>
      <c r="BR822" s="136" t="str">
        <f t="shared" si="466"/>
        <v>EG</v>
      </c>
      <c r="BS822" s="136" t="str">
        <f t="shared" si="467"/>
        <v>Estudo em Grupo</v>
      </c>
      <c r="BT822" s="136">
        <f t="shared" si="473"/>
        <v>46.5</v>
      </c>
      <c r="BU822" s="136">
        <f t="shared" si="474"/>
        <v>55.5</v>
      </c>
      <c r="CA822" s="136">
        <f>'INFO BASE'!L902</f>
        <v>0</v>
      </c>
      <c r="CB822" s="136">
        <f>'INFO BASE'!M902</f>
        <v>0</v>
      </c>
      <c r="CD822" s="136" t="str">
        <f>IF('INFO BASE'!E836="","",'INFO BASE'!E836)</f>
        <v/>
      </c>
      <c r="CR822" s="177">
        <f t="shared" si="455"/>
        <v>1</v>
      </c>
      <c r="CS822" s="177">
        <f t="shared" si="456"/>
        <v>1</v>
      </c>
      <c r="CT822" s="177">
        <f t="shared" si="455"/>
        <v>1</v>
      </c>
      <c r="CU822" s="177">
        <f t="shared" si="457"/>
        <v>1</v>
      </c>
      <c r="CV822" s="177">
        <f t="shared" si="455"/>
        <v>1</v>
      </c>
      <c r="CW822" s="177">
        <f t="shared" si="458"/>
        <v>1</v>
      </c>
      <c r="CX822" s="177">
        <f t="shared" si="455"/>
        <v>1</v>
      </c>
      <c r="CY822" s="177">
        <f t="shared" si="459"/>
        <v>1</v>
      </c>
      <c r="CZ822" s="177">
        <f t="shared" si="455"/>
        <v>1</v>
      </c>
      <c r="DA822" s="177">
        <f t="shared" si="460"/>
        <v>1</v>
      </c>
      <c r="DB822" s="177">
        <f t="shared" si="455"/>
        <v>1</v>
      </c>
      <c r="DC822" s="177">
        <f t="shared" si="461"/>
        <v>1</v>
      </c>
      <c r="DD822" s="177">
        <f t="shared" si="462"/>
        <v>1</v>
      </c>
      <c r="DE822" s="177">
        <f t="shared" si="463"/>
        <v>1</v>
      </c>
    </row>
    <row r="823" spans="1:109" ht="18" customHeight="1" x14ac:dyDescent="0.3">
      <c r="A823" s="81">
        <v>0.33333333333334397</v>
      </c>
      <c r="B823" s="153"/>
      <c r="C823" s="130"/>
      <c r="D823" s="135"/>
      <c r="E823" s="130"/>
      <c r="F823" s="135"/>
      <c r="G823" s="130"/>
      <c r="H823" s="135"/>
      <c r="I823" s="130"/>
      <c r="J823" s="135"/>
      <c r="K823" s="130"/>
      <c r="L823" s="135"/>
      <c r="M823" s="130"/>
      <c r="N823" s="135"/>
      <c r="O823" s="154"/>
      <c r="P823" s="6">
        <v>0</v>
      </c>
      <c r="Q823" s="110" t="str">
        <f t="shared" si="471"/>
        <v>Estudo Autónomo</v>
      </c>
      <c r="R823" s="105" t="str">
        <f t="shared" si="472"/>
        <v>CDI</v>
      </c>
      <c r="S823" s="88">
        <f t="shared" si="469"/>
        <v>-1</v>
      </c>
      <c r="T823" s="89">
        <f>IF(VLOOKUP(Q823,'INFO BASE'!$B$40:$I$54,IF(R823='INFO BASE'!$B$32,3,IF(R823='INFO BASE'!$B$33,4,IF(R823='INFO BASE'!$B$34,5,IF(R823='INFO BASE'!$B$35,6,IF(R823='INFO BASE'!$B$36,7,IF(R823='INFO BASE'!$B$37,8,2)))))),0)=0,"",VLOOKUP(Q823,'INFO BASE'!$B$40:$I$54,IF(R823='INFO BASE'!$B$32,3,IF(R823='INFO BASE'!$B$33,4,IF(R823='INFO BASE'!$B$34,5,IF(R823='INFO BASE'!$B$35,6,IF(R823='INFO BASE'!$B$36,7,IF(R823='INFO BASE'!$B$37,8,2)))))),0))</f>
        <v>5</v>
      </c>
      <c r="U823" s="89">
        <f>(COUNTIFS(C807:C854,R823,B807:B854,R818)+COUNTIFS(E807:E854,R823,D807:D854,R818)+COUNTIFS(G807:G854,R823,F807:F854,R818)+COUNTIFS(I807:I854,R823,H807:H854,R818)+COUNTIFS(K807:K854,R823,J807:J854,R818)+COUNTIFS(M807:M854,R823,L807:L854,R818)+COUNTIFS(O807:O854,R823,N807:N854,R818))*0.5</f>
        <v>0</v>
      </c>
      <c r="V823" s="89">
        <f>(COUNTIFS(AI807:AI854,R818,AJ807:AJ854,R823)+COUNTIFS(AK807:AK854,R818,AL807:AL854,R823)+COUNTIFS(AM807:AM854,R818,AN807:AN854,R823)+COUNTIFS(AO807:AO854,R818,AP807:AP854,R823)+COUNTIFS(AQ807:AQ854,R818,AR807:AR854,R823)+COUNTIFS(AS807:AS854,R818,AT807:AT854,R823)+COUNTIFS(AU807:AU854,R818,AV807:AV854,R823))*0.5</f>
        <v>0</v>
      </c>
      <c r="W823" s="90" t="str">
        <f>IF(AH803="","-",IF(V823=0,U823,IFERROR((U823/V823)-1,"-")))</f>
        <v>-</v>
      </c>
      <c r="X823" s="200">
        <f t="shared" si="470"/>
        <v>0</v>
      </c>
      <c r="Y823" s="299"/>
      <c r="Z823" s="300"/>
      <c r="AA823" s="300"/>
      <c r="AB823" s="300"/>
      <c r="AC823" s="300"/>
      <c r="AD823" s="300"/>
      <c r="AE823" s="300"/>
      <c r="AF823" s="301"/>
      <c r="AH823" s="136">
        <v>0.33333333333334397</v>
      </c>
      <c r="AI823" s="136" t="str">
        <f>IF(AH803="","",IF(B823="","",B823))</f>
        <v/>
      </c>
      <c r="AJ823" s="136" t="str">
        <f>IF(AH803="","",IF(C823="","",C823))</f>
        <v/>
      </c>
      <c r="AK823" s="136" t="str">
        <f>IF(AH803="","",IF(D823="","",D823))</f>
        <v/>
      </c>
      <c r="AL823" s="136" t="str">
        <f>IF(AH803="","",IF(E823="","",E823))</f>
        <v/>
      </c>
      <c r="AM823" s="136" t="str">
        <f>IF(AH803="","",IF(F823="","",F823))</f>
        <v/>
      </c>
      <c r="AN823" s="136" t="str">
        <f>IF(AH803="","",IF(G823="","",G823))</f>
        <v/>
      </c>
      <c r="AO823" s="136" t="str">
        <f>IF(AH803="","",IF(H823="","",H823))</f>
        <v/>
      </c>
      <c r="AP823" s="136" t="str">
        <f>IF(AH803="","",IF(I823="","",I823))</f>
        <v/>
      </c>
      <c r="AQ823" s="136" t="str">
        <f>IF(AH803="","",IF(J823="","",J823))</f>
        <v/>
      </c>
      <c r="AR823" s="136" t="str">
        <f>IF(AH803="","",IF(K823="","",K823))</f>
        <v/>
      </c>
      <c r="AS823" s="136" t="str">
        <f>IF(AH803="","",IF(L823="","",L823))</f>
        <v/>
      </c>
      <c r="AT823" s="136" t="str">
        <f>IF(AH803="","",IF(M823="","",M823))</f>
        <v/>
      </c>
      <c r="AU823" s="136" t="str">
        <f>IF(AH803="","",IF(N823="","",N823))</f>
        <v/>
      </c>
      <c r="AV823" s="136" t="str">
        <f>IF(AH803="","",IF(O823="","",O823))</f>
        <v/>
      </c>
      <c r="AX823" s="136" t="str">
        <f>IF(AI803="","",IF(B823="","",B823))</f>
        <v/>
      </c>
      <c r="AY823" s="136" t="str">
        <f>IF(AI803="","",IF(C823="","",C823))</f>
        <v/>
      </c>
      <c r="AZ823" s="136" t="str">
        <f>IF(AI803="","",IF(D823="","",D823))</f>
        <v/>
      </c>
      <c r="BA823" s="136" t="str">
        <f>IF(AI803="","",IF(E823="","",E823))</f>
        <v/>
      </c>
      <c r="BB823" s="136" t="str">
        <f>IF(AI803="","",IF(F823="","",F823))</f>
        <v/>
      </c>
      <c r="BC823" s="136" t="str">
        <f>IF(AI803="","",IF(G823="","",G823))</f>
        <v/>
      </c>
      <c r="BD823" s="136" t="str">
        <f>IF(AI803="","",IF(H823="","",H823))</f>
        <v/>
      </c>
      <c r="BE823" s="136" t="str">
        <f>IF(AI803="","",IF(I823="","",I823))</f>
        <v/>
      </c>
      <c r="BF823" s="136" t="str">
        <f>IF(AI803="","",IF(J823="","",J823))</f>
        <v/>
      </c>
      <c r="BG823" s="136" t="str">
        <f>IF(AI803="","",IF(K823="","",K823))</f>
        <v/>
      </c>
      <c r="BH823" s="136" t="str">
        <f>IF(AI803="","",IF(L823="","",L823))</f>
        <v/>
      </c>
      <c r="BI823" s="136" t="str">
        <f>IF(AI803="","",IF(M823="","",M823))</f>
        <v/>
      </c>
      <c r="BJ823" s="136" t="str">
        <f>IF(AI803="","",IF(N823="","",N823))</f>
        <v/>
      </c>
      <c r="BK823" s="136" t="str">
        <f>IF(AI803="","",IF(O823="","",O823))</f>
        <v/>
      </c>
      <c r="BM823" s="136" t="str">
        <f>BM822</f>
        <v>EG</v>
      </c>
      <c r="BN823" s="136" t="str">
        <f t="shared" si="465"/>
        <v>Estudo em Grupo</v>
      </c>
      <c r="BO823" s="136" t="str">
        <f t="shared" si="465"/>
        <v>FP</v>
      </c>
      <c r="BP823" s="136">
        <f>(COUNTIFS(AX807:AX854,BM823,AY807:AY854,BO823)+COUNTIFS(AZ807:AZ854,BM823,BA807:BA854,BO823)+COUNTIFS(BB807:BB854,BM823,BC807:BC854,BO823)+COUNTIFS(BD807:BD854,BM823,BE807:BE854,BO823)+COUNTIFS(BF807:BF854,BM823,BG807:BG854,BO823)+COUNTIFS(BH807:BH854,BM823,BI807:BI854,BO823)+COUNTIFS(BJ807:BJ854,BM823,BK807:BK854,BO823))*0.5</f>
        <v>0</v>
      </c>
      <c r="BQ823" s="136" t="str">
        <f t="shared" si="466"/>
        <v>Estudo em Grupo</v>
      </c>
      <c r="BR823" s="136" t="str">
        <f t="shared" si="466"/>
        <v>FP</v>
      </c>
      <c r="BS823" s="136" t="str">
        <f t="shared" si="467"/>
        <v>Estudo em Grupo</v>
      </c>
      <c r="BT823" s="136">
        <f t="shared" si="473"/>
        <v>11</v>
      </c>
      <c r="BU823" s="136">
        <f t="shared" si="474"/>
        <v>12</v>
      </c>
      <c r="CA823" s="136">
        <f>'INFO BASE'!L903</f>
        <v>0</v>
      </c>
      <c r="CB823" s="136">
        <f>'INFO BASE'!M903</f>
        <v>0</v>
      </c>
      <c r="CD823" s="136" t="str">
        <f>IF('INFO BASE'!F837="","",'INFO BASE'!F837)</f>
        <v/>
      </c>
      <c r="CR823" s="177">
        <f t="shared" si="455"/>
        <v>1</v>
      </c>
      <c r="CS823" s="177">
        <f t="shared" si="456"/>
        <v>1</v>
      </c>
      <c r="CT823" s="177">
        <f t="shared" si="455"/>
        <v>1</v>
      </c>
      <c r="CU823" s="177">
        <f t="shared" si="457"/>
        <v>1</v>
      </c>
      <c r="CV823" s="177">
        <f t="shared" si="455"/>
        <v>1</v>
      </c>
      <c r="CW823" s="177">
        <f t="shared" si="458"/>
        <v>1</v>
      </c>
      <c r="CX823" s="177">
        <f t="shared" si="455"/>
        <v>1</v>
      </c>
      <c r="CY823" s="177">
        <f t="shared" si="459"/>
        <v>1</v>
      </c>
      <c r="CZ823" s="177">
        <f t="shared" si="455"/>
        <v>1</v>
      </c>
      <c r="DA823" s="177">
        <f t="shared" si="460"/>
        <v>1</v>
      </c>
      <c r="DB823" s="177">
        <f t="shared" si="455"/>
        <v>1</v>
      </c>
      <c r="DC823" s="177">
        <f t="shared" si="461"/>
        <v>1</v>
      </c>
      <c r="DD823" s="177">
        <f t="shared" si="462"/>
        <v>1</v>
      </c>
      <c r="DE823" s="177">
        <f t="shared" si="463"/>
        <v>1</v>
      </c>
    </row>
    <row r="824" spans="1:109" ht="18" customHeight="1" thickBot="1" x14ac:dyDescent="0.35">
      <c r="A824" s="81">
        <v>0.35416666666667801</v>
      </c>
      <c r="B824" s="153"/>
      <c r="C824" s="130"/>
      <c r="D824" s="135"/>
      <c r="E824" s="130"/>
      <c r="F824" s="135"/>
      <c r="G824" s="130"/>
      <c r="H824" s="135"/>
      <c r="I824" s="130"/>
      <c r="J824" s="135"/>
      <c r="K824" s="130"/>
      <c r="L824" s="135"/>
      <c r="M824" s="130"/>
      <c r="N824" s="135"/>
      <c r="O824" s="154"/>
      <c r="P824" s="6">
        <v>0</v>
      </c>
      <c r="Q824" s="112" t="str">
        <f t="shared" si="471"/>
        <v>Estudo Autónomo</v>
      </c>
      <c r="R824" s="107" t="str">
        <f t="shared" si="472"/>
        <v/>
      </c>
      <c r="S824" s="94" t="str">
        <f t="shared" si="469"/>
        <v>-</v>
      </c>
      <c r="T824" s="95" t="str">
        <f>IF(VLOOKUP(Q824,'INFO BASE'!$B$40:$I$54,IF(R824='INFO BASE'!$B$32,3,IF(R824='INFO BASE'!$B$33,4,IF(R824='INFO BASE'!$B$34,5,IF(R824='INFO BASE'!$B$35,6,IF(R824='INFO BASE'!$B$36,7,IF(R824='INFO BASE'!$B$37,8,2)))))),0)=0,"",VLOOKUP(Q824,'INFO BASE'!$B$40:$I$54,IF(R824='INFO BASE'!$B$32,3,IF(R824='INFO BASE'!$B$33,4,IF(R824='INFO BASE'!$B$34,5,IF(R824='INFO BASE'!$B$35,6,IF(R824='INFO BASE'!$B$36,7,IF(R824='INFO BASE'!$B$37,8,2)))))),0))</f>
        <v/>
      </c>
      <c r="U824" s="95">
        <f>(COUNTIFS(C807:C854,R824,B807:B854,R818)+COUNTIFS(E807:E854,R824,D807:D854,R818)+COUNTIFS(G807:G854,R824,F807:F854,R818)+COUNTIFS(I807:I854,R824,H807:H854,R818)+COUNTIFS(K807:K854,R824,J807:J854,R818)+COUNTIFS(M807:M854,R824,L807:L854,R818)+COUNTIFS(O807:O854,R824,N807:N854,R818))*0.5</f>
        <v>0</v>
      </c>
      <c r="V824" s="95">
        <f>(COUNTIFS(AI807:AI854,R818,AJ807:AJ854,R824)+COUNTIFS(AK807:AK854,R818,AL807:AL854,R824)+COUNTIFS(AM807:AM854,R818,AN807:AN854,R824)+COUNTIFS(AO807:AO854,R818,AP807:AP854,R824)+COUNTIFS(AQ807:AQ854,R818,AR807:AR854,R824)+COUNTIFS(AS807:AS854,R818,AT807:AT854,R824)+COUNTIFS(AU807:AU854,R818,AV807:AV854,R824))*0.5</f>
        <v>0</v>
      </c>
      <c r="W824" s="96" t="str">
        <f>IF(AH803="","-",IF(V824=0,U824,IFERROR((U824/V824)-1,"-")))</f>
        <v>-</v>
      </c>
      <c r="X824" s="201">
        <f t="shared" si="470"/>
        <v>0</v>
      </c>
      <c r="Y824" s="274"/>
      <c r="Z824" s="275"/>
      <c r="AA824" s="275"/>
      <c r="AB824" s="275"/>
      <c r="AC824" s="275"/>
      <c r="AD824" s="275"/>
      <c r="AE824" s="275"/>
      <c r="AF824" s="276"/>
      <c r="AH824" s="136">
        <v>0.35416666666667801</v>
      </c>
      <c r="AI824" s="136" t="str">
        <f>IF(AH803="","",IF(B824="","",B824))</f>
        <v/>
      </c>
      <c r="AJ824" s="136" t="str">
        <f>IF(AH803="","",IF(C824="","",C824))</f>
        <v/>
      </c>
      <c r="AK824" s="136" t="str">
        <f>IF(AH803="","",IF(D824="","",D824))</f>
        <v/>
      </c>
      <c r="AL824" s="136" t="str">
        <f>IF(AH803="","",IF(E824="","",E824))</f>
        <v/>
      </c>
      <c r="AM824" s="136" t="str">
        <f>IF(AH803="","",IF(F824="","",F824))</f>
        <v/>
      </c>
      <c r="AN824" s="136" t="str">
        <f>IF(AH803="","",IF(G824="","",G824))</f>
        <v/>
      </c>
      <c r="AO824" s="136" t="str">
        <f>IF(AH803="","",IF(H824="","",H824))</f>
        <v/>
      </c>
      <c r="AP824" s="136" t="str">
        <f>IF(AH803="","",IF(I824="","",I824))</f>
        <v/>
      </c>
      <c r="AQ824" s="136" t="str">
        <f>IF(AH803="","",IF(J824="","",J824))</f>
        <v/>
      </c>
      <c r="AR824" s="136" t="str">
        <f>IF(AH803="","",IF(K824="","",K824))</f>
        <v/>
      </c>
      <c r="AS824" s="136" t="str">
        <f>IF(AH803="","",IF(L824="","",L824))</f>
        <v/>
      </c>
      <c r="AT824" s="136" t="str">
        <f>IF(AH803="","",IF(M824="","",M824))</f>
        <v/>
      </c>
      <c r="AU824" s="136" t="str">
        <f>IF(AH803="","",IF(N824="","",N824))</f>
        <v/>
      </c>
      <c r="AV824" s="136" t="str">
        <f>IF(AH803="","",IF(O824="","",O824))</f>
        <v/>
      </c>
      <c r="AX824" s="136" t="str">
        <f>IF(AI803="","",IF(B824="","",B824))</f>
        <v/>
      </c>
      <c r="AY824" s="136" t="str">
        <f>IF(AI803="","",IF(C824="","",C824))</f>
        <v/>
      </c>
      <c r="AZ824" s="136" t="str">
        <f>IF(AI803="","",IF(D824="","",D824))</f>
        <v/>
      </c>
      <c r="BA824" s="136" t="str">
        <f>IF(AI803="","",IF(E824="","",E824))</f>
        <v/>
      </c>
      <c r="BB824" s="136" t="str">
        <f>IF(AI803="","",IF(F824="","",F824))</f>
        <v/>
      </c>
      <c r="BC824" s="136" t="str">
        <f>IF(AI803="","",IF(G824="","",G824))</f>
        <v/>
      </c>
      <c r="BD824" s="136" t="str">
        <f>IF(AI803="","",IF(H824="","",H824))</f>
        <v/>
      </c>
      <c r="BE824" s="136" t="str">
        <f>IF(AI803="","",IF(I824="","",I824))</f>
        <v/>
      </c>
      <c r="BF824" s="136" t="str">
        <f>IF(AI803="","",IF(J824="","",J824))</f>
        <v/>
      </c>
      <c r="BG824" s="136" t="str">
        <f>IF(AI803="","",IF(K824="","",K824))</f>
        <v/>
      </c>
      <c r="BH824" s="136" t="str">
        <f>IF(AI803="","",IF(L824="","",L824))</f>
        <v/>
      </c>
      <c r="BI824" s="136" t="str">
        <f>IF(AI803="","",IF(M824="","",M824))</f>
        <v/>
      </c>
      <c r="BJ824" s="136" t="str">
        <f>IF(AI803="","",IF(N824="","",N824))</f>
        <v/>
      </c>
      <c r="BK824" s="136" t="str">
        <f>IF(AI803="","",IF(O824="","",O824))</f>
        <v/>
      </c>
      <c r="BM824" s="136" t="str">
        <f t="shared" ref="BM824:BM828" si="475">BM823</f>
        <v>EG</v>
      </c>
      <c r="BN824" s="136" t="str">
        <f t="shared" si="465"/>
        <v>Estudo em Grupo</v>
      </c>
      <c r="BO824" s="136" t="str">
        <f t="shared" si="465"/>
        <v>IEI</v>
      </c>
      <c r="BP824" s="136">
        <f>(COUNTIFS(AX807:AX854,BM824,AY807:AY854,BO824)+COUNTIFS(AZ807:AZ854,BM824,BA807:BA854,BO824)+COUNTIFS(BB807:BB854,BM824,BC807:BC854,BO824)+COUNTIFS(BD807:BD854,BM824,BE807:BE854,BO824)+COUNTIFS(BF807:BF854,BM824,BG807:BG854,BO824)+COUNTIFS(BH807:BH854,BM824,BI807:BI854,BO824)+COUNTIFS(BJ807:BJ854,BM824,BK807:BK854,BO824))*0.5</f>
        <v>0</v>
      </c>
      <c r="BQ824" s="136" t="str">
        <f t="shared" si="466"/>
        <v>Estudo em Grupo</v>
      </c>
      <c r="BR824" s="136" t="str">
        <f t="shared" si="466"/>
        <v>IEI</v>
      </c>
      <c r="BS824" s="136" t="str">
        <f t="shared" si="467"/>
        <v>Estudo em Grupo</v>
      </c>
      <c r="BT824" s="136">
        <f t="shared" si="473"/>
        <v>2.5</v>
      </c>
      <c r="BU824" s="136">
        <f t="shared" si="474"/>
        <v>7</v>
      </c>
      <c r="CA824" s="136">
        <f>'INFO BASE'!L904</f>
        <v>0</v>
      </c>
      <c r="CB824" s="136">
        <f>'INFO BASE'!M904</f>
        <v>0</v>
      </c>
      <c r="CR824" s="177">
        <f t="shared" si="455"/>
        <v>1</v>
      </c>
      <c r="CS824" s="177">
        <f t="shared" si="456"/>
        <v>1</v>
      </c>
      <c r="CT824" s="177">
        <f t="shared" si="455"/>
        <v>1</v>
      </c>
      <c r="CU824" s="177">
        <f t="shared" si="457"/>
        <v>1</v>
      </c>
      <c r="CV824" s="177">
        <f t="shared" si="455"/>
        <v>1</v>
      </c>
      <c r="CW824" s="177">
        <f t="shared" si="458"/>
        <v>1</v>
      </c>
      <c r="CX824" s="177">
        <f t="shared" si="455"/>
        <v>1</v>
      </c>
      <c r="CY824" s="177">
        <f t="shared" si="459"/>
        <v>1</v>
      </c>
      <c r="CZ824" s="177">
        <f t="shared" si="455"/>
        <v>1</v>
      </c>
      <c r="DA824" s="177">
        <f t="shared" si="460"/>
        <v>1</v>
      </c>
      <c r="DB824" s="177">
        <f t="shared" si="455"/>
        <v>1</v>
      </c>
      <c r="DC824" s="177">
        <f t="shared" si="461"/>
        <v>1</v>
      </c>
      <c r="DD824" s="177">
        <f t="shared" si="462"/>
        <v>1</v>
      </c>
      <c r="DE824" s="177">
        <f t="shared" si="463"/>
        <v>1</v>
      </c>
    </row>
    <row r="825" spans="1:109" ht="18" customHeight="1" x14ac:dyDescent="0.3">
      <c r="A825" s="81">
        <v>0.37500000000001199</v>
      </c>
      <c r="B825" s="153"/>
      <c r="C825" s="130"/>
      <c r="D825" s="135"/>
      <c r="E825" s="130"/>
      <c r="F825" s="135"/>
      <c r="G825" s="130"/>
      <c r="H825" s="135"/>
      <c r="I825" s="130"/>
      <c r="J825" s="135"/>
      <c r="K825" s="130"/>
      <c r="L825" s="135"/>
      <c r="M825" s="130"/>
      <c r="N825" s="135"/>
      <c r="O825" s="154"/>
      <c r="P825" s="6">
        <v>0</v>
      </c>
      <c r="Q825" s="113" t="str">
        <f>IF('INFO BASE'!$C$18="","",'INFO BASE'!$C$18)</f>
        <v>Estudo em Grupo</v>
      </c>
      <c r="R825" s="82" t="str">
        <f t="shared" si="472"/>
        <v>EG</v>
      </c>
      <c r="S825" s="83">
        <f t="shared" si="469"/>
        <v>-1</v>
      </c>
      <c r="T825" s="84">
        <f>IF(VLOOKUP(Q825,'INFO BASE'!$B$40:$I$54,IF(R825='INFO BASE'!$B$32,3,IF(R825='INFO BASE'!$B$33,4,IF(R825='INFO BASE'!$B$34,5,IF(R825='INFO BASE'!$B$35,6,IF(R825='INFO BASE'!$B$36,7,IF(R825='INFO BASE'!$B$37,8,2)))))),0)=0,"",VLOOKUP(Q825,'INFO BASE'!$B$40:$I$54,IF(R825='INFO BASE'!$B$32,3,IF(R825='INFO BASE'!$B$33,4,IF(R825='INFO BASE'!$B$34,5,IF(R825='INFO BASE'!$B$35,6,IF(R825='INFO BASE'!$B$36,7,IF(R825='INFO BASE'!$B$37,8,2)))))),0))</f>
        <v>8</v>
      </c>
      <c r="U825" s="84">
        <f>IF(R825="","",COUNTIFS(SEMANA15,R825)*0.5)</f>
        <v>0</v>
      </c>
      <c r="V825" s="84">
        <f>IF(R825="","",COUNTIFS(AI807:AV854,R825)*0.5)</f>
        <v>0</v>
      </c>
      <c r="W825" s="85" t="str">
        <f>IF(AH803="","-",IF(V825=0,U825,IFERROR((U825/V825)-1,"-")))</f>
        <v>-</v>
      </c>
      <c r="X825" s="201">
        <f t="shared" si="470"/>
        <v>0</v>
      </c>
      <c r="Y825" s="277"/>
      <c r="Z825" s="278"/>
      <c r="AA825" s="278"/>
      <c r="AB825" s="278"/>
      <c r="AC825" s="278"/>
      <c r="AD825" s="278"/>
      <c r="AE825" s="278"/>
      <c r="AF825" s="279"/>
      <c r="AH825" s="136">
        <v>0.37500000000001199</v>
      </c>
      <c r="AI825" s="136" t="str">
        <f>IF(AH803="","",IF(B825="","",B825))</f>
        <v/>
      </c>
      <c r="AJ825" s="136" t="str">
        <f>IF(AH803="","",IF(C825="","",C825))</f>
        <v/>
      </c>
      <c r="AK825" s="136" t="str">
        <f>IF(AH803="","",IF(D825="","",D825))</f>
        <v/>
      </c>
      <c r="AL825" s="136" t="str">
        <f>IF(AH803="","",IF(E825="","",E825))</f>
        <v/>
      </c>
      <c r="AM825" s="136" t="str">
        <f>IF(AH803="","",IF(F825="","",F825))</f>
        <v/>
      </c>
      <c r="AN825" s="136" t="str">
        <f>IF(AH803="","",IF(G825="","",G825))</f>
        <v/>
      </c>
      <c r="AO825" s="136" t="str">
        <f>IF(AH803="","",IF(H825="","",H825))</f>
        <v/>
      </c>
      <c r="AP825" s="136" t="str">
        <f>IF(AH803="","",IF(I825="","",I825))</f>
        <v/>
      </c>
      <c r="AQ825" s="136" t="str">
        <f>IF(AH803="","",IF(J825="","",J825))</f>
        <v/>
      </c>
      <c r="AR825" s="136" t="str">
        <f>IF(AH803="","",IF(K825="","",K825))</f>
        <v/>
      </c>
      <c r="AS825" s="136" t="str">
        <f>IF(AH803="","",IF(L825="","",L825))</f>
        <v/>
      </c>
      <c r="AT825" s="136" t="str">
        <f>IF(AH803="","",IF(M825="","",M825))</f>
        <v/>
      </c>
      <c r="AU825" s="136" t="str">
        <f>IF(AH803="","",IF(N825="","",N825))</f>
        <v/>
      </c>
      <c r="AV825" s="136" t="str">
        <f>IF(AH803="","",IF(O825="","",O825))</f>
        <v/>
      </c>
      <c r="AX825" s="136" t="str">
        <f>IF(AI803="","",IF(B825="","",B825))</f>
        <v/>
      </c>
      <c r="AY825" s="136" t="str">
        <f>IF(AI803="","",IF(C825="","",C825))</f>
        <v/>
      </c>
      <c r="AZ825" s="136" t="str">
        <f>IF(AI803="","",IF(D825="","",D825))</f>
        <v/>
      </c>
      <c r="BA825" s="136" t="str">
        <f>IF(AI803="","",IF(E825="","",E825))</f>
        <v/>
      </c>
      <c r="BB825" s="136" t="str">
        <f>IF(AI803="","",IF(F825="","",F825))</f>
        <v/>
      </c>
      <c r="BC825" s="136" t="str">
        <f>IF(AI803="","",IF(G825="","",G825))</f>
        <v/>
      </c>
      <c r="BD825" s="136" t="str">
        <f>IF(AI803="","",IF(H825="","",H825))</f>
        <v/>
      </c>
      <c r="BE825" s="136" t="str">
        <f>IF(AI803="","",IF(I825="","",I825))</f>
        <v/>
      </c>
      <c r="BF825" s="136" t="str">
        <f>IF(AI803="","",IF(J825="","",J825))</f>
        <v/>
      </c>
      <c r="BG825" s="136" t="str">
        <f>IF(AI803="","",IF(K825="","",K825))</f>
        <v/>
      </c>
      <c r="BH825" s="136" t="str">
        <f>IF(AI803="","",IF(L825="","",L825))</f>
        <v/>
      </c>
      <c r="BI825" s="136" t="str">
        <f>IF(AI803="","",IF(M825="","",M825))</f>
        <v/>
      </c>
      <c r="BJ825" s="136" t="str">
        <f>IF(AI803="","",IF(N825="","",N825))</f>
        <v/>
      </c>
      <c r="BK825" s="136" t="str">
        <f>IF(AI803="","",IF(O825="","",O825))</f>
        <v/>
      </c>
      <c r="BM825" s="136" t="str">
        <f t="shared" si="475"/>
        <v>EG</v>
      </c>
      <c r="BN825" s="136" t="str">
        <f t="shared" si="465"/>
        <v>Estudo em Grupo</v>
      </c>
      <c r="BO825" s="136" t="str">
        <f t="shared" si="465"/>
        <v>IAC</v>
      </c>
      <c r="BP825" s="136">
        <f>(COUNTIFS(AX807:AX854,BM825,AY807:AY854,BO825)+COUNTIFS(AZ807:AZ854,BM825,BA807:BA854,BO825)+COUNTIFS(BB807:BB854,BM825,BC807:BC854,BO825)+COUNTIFS(BD807:BD854,BM825,BE807:BE854,BO825)+COUNTIFS(BF807:BF854,BM825,BG807:BG854,BO825)+COUNTIFS(BH807:BH854,BM825,BI807:BI854,BO825)+COUNTIFS(BJ807:BJ854,BM825,BK807:BK854,BO825))*0.5</f>
        <v>0</v>
      </c>
      <c r="BQ825" s="136" t="str">
        <f t="shared" si="466"/>
        <v>Estudo em Grupo</v>
      </c>
      <c r="BR825" s="136" t="str">
        <f t="shared" si="466"/>
        <v>IAC</v>
      </c>
      <c r="BS825" s="136" t="str">
        <f t="shared" si="467"/>
        <v>Estudo em Grupo</v>
      </c>
      <c r="BT825" s="136">
        <f t="shared" si="473"/>
        <v>6</v>
      </c>
      <c r="BU825" s="136">
        <f t="shared" si="474"/>
        <v>10.5</v>
      </c>
      <c r="CA825" s="136">
        <f>'INFO BASE'!L905</f>
        <v>0</v>
      </c>
      <c r="CB825" s="136">
        <f>'INFO BASE'!M905</f>
        <v>0</v>
      </c>
      <c r="CR825" s="177">
        <f t="shared" si="455"/>
        <v>1</v>
      </c>
      <c r="CS825" s="177">
        <f t="shared" si="456"/>
        <v>1</v>
      </c>
      <c r="CT825" s="177">
        <f t="shared" si="455"/>
        <v>1</v>
      </c>
      <c r="CU825" s="177">
        <f t="shared" si="457"/>
        <v>1</v>
      </c>
      <c r="CV825" s="177">
        <f t="shared" si="455"/>
        <v>1</v>
      </c>
      <c r="CW825" s="177">
        <f t="shared" si="458"/>
        <v>1</v>
      </c>
      <c r="CX825" s="177">
        <f t="shared" si="455"/>
        <v>1</v>
      </c>
      <c r="CY825" s="177">
        <f t="shared" si="459"/>
        <v>1</v>
      </c>
      <c r="CZ825" s="177">
        <f t="shared" si="455"/>
        <v>1</v>
      </c>
      <c r="DA825" s="177">
        <f t="shared" si="460"/>
        <v>1</v>
      </c>
      <c r="DB825" s="177">
        <f t="shared" si="455"/>
        <v>1</v>
      </c>
      <c r="DC825" s="177">
        <f t="shared" si="461"/>
        <v>1</v>
      </c>
      <c r="DD825" s="177">
        <f t="shared" si="462"/>
        <v>1</v>
      </c>
      <c r="DE825" s="177">
        <f t="shared" si="463"/>
        <v>1</v>
      </c>
    </row>
    <row r="826" spans="1:109" ht="18" customHeight="1" x14ac:dyDescent="0.3">
      <c r="A826" s="81">
        <v>0.39583333333334603</v>
      </c>
      <c r="B826" s="153"/>
      <c r="C826" s="130"/>
      <c r="D826" s="135"/>
      <c r="E826" s="130"/>
      <c r="F826" s="135"/>
      <c r="G826" s="130"/>
      <c r="H826" s="135"/>
      <c r="I826" s="130"/>
      <c r="J826" s="135"/>
      <c r="K826" s="130"/>
      <c r="L826" s="135"/>
      <c r="M826" s="130"/>
      <c r="N826" s="135"/>
      <c r="O826" s="154"/>
      <c r="P826" s="6">
        <v>0</v>
      </c>
      <c r="Q826" s="114" t="str">
        <f t="shared" ref="Q826:Q831" si="476">Q825</f>
        <v>Estudo em Grupo</v>
      </c>
      <c r="R826" s="105" t="str">
        <f t="shared" si="472"/>
        <v>FP</v>
      </c>
      <c r="S826" s="88">
        <f t="shared" si="469"/>
        <v>-1</v>
      </c>
      <c r="T826" s="89">
        <f>IF(VLOOKUP(Q826,'INFO BASE'!$B$40:$I$54,IF(R826='INFO BASE'!$B$32,3,IF(R826='INFO BASE'!$B$33,4,IF(R826='INFO BASE'!$B$34,5,IF(R826='INFO BASE'!$B$35,6,IF(R826='INFO BASE'!$B$36,7,IF(R826='INFO BASE'!$B$37,8,2)))))),0)=0,"",VLOOKUP(Q826,'INFO BASE'!$B$40:$I$54,IF(R826='INFO BASE'!$B$32,3,IF(R826='INFO BASE'!$B$33,4,IF(R826='INFO BASE'!$B$34,5,IF(R826='INFO BASE'!$B$35,6,IF(R826='INFO BASE'!$B$36,7,IF(R826='INFO BASE'!$B$37,8,2)))))),0))</f>
        <v>2</v>
      </c>
      <c r="U826" s="89">
        <f>(COUNTIFS(C807:C854,R826,B807:B854,R825)+COUNTIFS(E807:E854,R826,D807:D854,R825)+COUNTIFS(G807:G854,R826,F807:F854,R825)+COUNTIFS(I807:I854,R826,H807:H854,R825)+COUNTIFS(K807:K854,R826,J807:J854,R825)+COUNTIFS(M807:M854,R826,L807:L854,R825)+COUNTIFS(O807:O854,R826,N807:N854,R825))*0.5</f>
        <v>0</v>
      </c>
      <c r="V826" s="89">
        <f>(COUNTIFS(AI807:AI854,R825,AJ807:AJ854,R819)+COUNTIFS(AK807:AK854,R825,AL807:AL854,R819)+COUNTIFS(AM807:AM854,R825,AN807:AN854,R819)+COUNTIFS(AO807:AO854,R825,AP807:AP854,R819)+COUNTIFS(AQ807:AQ854,R825,AR807:AR854,R819)+COUNTIFS(AS807:AS854,R825,AT807:AT854,R819)+COUNTIFS(AU807:AU854,R825,AV807:AV854,R819))*0.5</f>
        <v>0</v>
      </c>
      <c r="W826" s="90" t="str">
        <f>IF(AH803="","-",IF(V826=0,U826,IFERROR((U826/V826)-1,"-")))</f>
        <v>-</v>
      </c>
      <c r="X826" s="201">
        <f t="shared" si="470"/>
        <v>0</v>
      </c>
      <c r="Y826" s="271"/>
      <c r="Z826" s="272"/>
      <c r="AA826" s="272"/>
      <c r="AB826" s="272"/>
      <c r="AC826" s="272"/>
      <c r="AD826" s="272"/>
      <c r="AE826" s="272"/>
      <c r="AF826" s="273"/>
      <c r="AH826" s="136">
        <v>0.39583333333334603</v>
      </c>
      <c r="AI826" s="136" t="str">
        <f>IF(AH803="","",IF(B826="","",B826))</f>
        <v/>
      </c>
      <c r="AJ826" s="136" t="str">
        <f>IF(AH803="","",IF(C826="","",C826))</f>
        <v/>
      </c>
      <c r="AK826" s="136" t="str">
        <f>IF(AH803="","",IF(D826="","",D826))</f>
        <v/>
      </c>
      <c r="AL826" s="136" t="str">
        <f>IF(AH803="","",IF(E826="","",E826))</f>
        <v/>
      </c>
      <c r="AM826" s="136" t="str">
        <f>IF(AH803="","",IF(F826="","",F826))</f>
        <v/>
      </c>
      <c r="AN826" s="136" t="str">
        <f>IF(AH803="","",IF(G826="","",G826))</f>
        <v/>
      </c>
      <c r="AO826" s="136" t="str">
        <f>IF(AH803="","",IF(H826="","",H826))</f>
        <v/>
      </c>
      <c r="AP826" s="136" t="str">
        <f>IF(AH803="","",IF(I826="","",I826))</f>
        <v/>
      </c>
      <c r="AQ826" s="136" t="str">
        <f>IF(AH803="","",IF(J826="","",J826))</f>
        <v/>
      </c>
      <c r="AR826" s="136" t="str">
        <f>IF(AH803="","",IF(K826="","",K826))</f>
        <v/>
      </c>
      <c r="AS826" s="136" t="str">
        <f>IF(AH803="","",IF(L826="","",L826))</f>
        <v/>
      </c>
      <c r="AT826" s="136" t="str">
        <f>IF(AH803="","",IF(M826="","",M826))</f>
        <v/>
      </c>
      <c r="AU826" s="136" t="str">
        <f>IF(AH803="","",IF(N826="","",N826))</f>
        <v/>
      </c>
      <c r="AV826" s="136" t="str">
        <f>IF(AH803="","",IF(O826="","",O826))</f>
        <v/>
      </c>
      <c r="AX826" s="136" t="str">
        <f>IF(AI803="","",IF(B826="","",B826))</f>
        <v/>
      </c>
      <c r="AY826" s="136" t="str">
        <f>IF(AI803="","",IF(C826="","",C826))</f>
        <v/>
      </c>
      <c r="AZ826" s="136" t="str">
        <f>IF(AI803="","",IF(D826="","",D826))</f>
        <v/>
      </c>
      <c r="BA826" s="136" t="str">
        <f>IF(AI803="","",IF(E826="","",E826))</f>
        <v/>
      </c>
      <c r="BB826" s="136" t="str">
        <f>IF(AI803="","",IF(F826="","",F826))</f>
        <v/>
      </c>
      <c r="BC826" s="136" t="str">
        <f>IF(AI803="","",IF(G826="","",G826))</f>
        <v/>
      </c>
      <c r="BD826" s="136" t="str">
        <f>IF(AI803="","",IF(H826="","",H826))</f>
        <v/>
      </c>
      <c r="BE826" s="136" t="str">
        <f>IF(AI803="","",IF(I826="","",I826))</f>
        <v/>
      </c>
      <c r="BF826" s="136" t="str">
        <f>IF(AI803="","",IF(J826="","",J826))</f>
        <v/>
      </c>
      <c r="BG826" s="136" t="str">
        <f>IF(AI803="","",IF(K826="","",K826))</f>
        <v/>
      </c>
      <c r="BH826" s="136" t="str">
        <f>IF(AI803="","",IF(L826="","",L826))</f>
        <v/>
      </c>
      <c r="BI826" s="136" t="str">
        <f>IF(AI803="","",IF(M826="","",M826))</f>
        <v/>
      </c>
      <c r="BJ826" s="136" t="str">
        <f>IF(AI803="","",IF(N826="","",N826))</f>
        <v/>
      </c>
      <c r="BK826" s="136" t="str">
        <f>IF(AI803="","",IF(O826="","",O826))</f>
        <v/>
      </c>
      <c r="BM826" s="136" t="str">
        <f t="shared" si="475"/>
        <v>EG</v>
      </c>
      <c r="BN826" s="136" t="str">
        <f t="shared" si="465"/>
        <v>Estudo em Grupo</v>
      </c>
      <c r="BO826" s="136" t="str">
        <f t="shared" si="465"/>
        <v>AL</v>
      </c>
      <c r="BP826" s="136">
        <f>(COUNTIFS(AX807:AX854,BM826,AY807:AY854,BO826)+COUNTIFS(AZ807:AZ854,BM826,BA807:BA854,BO826)+COUNTIFS(BB807:BB854,BM826,BC807:BC854,BO826)+COUNTIFS(BD807:BD854,BM826,BE807:BE854,BO826)+COUNTIFS(BF807:BF854,BM826,BG807:BG854,BO826)+COUNTIFS(BH807:BH854,BM826,BI807:BI854,BO826)+COUNTIFS(BJ807:BJ854,BM826,BK807:BK854,BO826))*0.5</f>
        <v>0</v>
      </c>
      <c r="BQ826" s="136" t="str">
        <f t="shared" si="466"/>
        <v>Estudo em Grupo</v>
      </c>
      <c r="BR826" s="136" t="str">
        <f t="shared" si="466"/>
        <v>AL</v>
      </c>
      <c r="BS826" s="136" t="str">
        <f t="shared" si="467"/>
        <v>Estudo em Grupo</v>
      </c>
      <c r="BT826" s="136">
        <f t="shared" si="473"/>
        <v>16.5</v>
      </c>
      <c r="BU826" s="136">
        <f t="shared" si="474"/>
        <v>17.5</v>
      </c>
      <c r="CA826" s="136">
        <f>'INFO BASE'!L906</f>
        <v>0</v>
      </c>
      <c r="CB826" s="136">
        <f>'INFO BASE'!M906</f>
        <v>0</v>
      </c>
      <c r="CR826" s="177">
        <f t="shared" si="455"/>
        <v>1</v>
      </c>
      <c r="CS826" s="177">
        <f t="shared" si="456"/>
        <v>1</v>
      </c>
      <c r="CT826" s="177">
        <f t="shared" si="455"/>
        <v>1</v>
      </c>
      <c r="CU826" s="177">
        <f t="shared" si="457"/>
        <v>1</v>
      </c>
      <c r="CV826" s="177">
        <f t="shared" si="455"/>
        <v>1</v>
      </c>
      <c r="CW826" s="177">
        <f t="shared" si="458"/>
        <v>1</v>
      </c>
      <c r="CX826" s="177">
        <f t="shared" si="455"/>
        <v>1</v>
      </c>
      <c r="CY826" s="177">
        <f t="shared" si="459"/>
        <v>1</v>
      </c>
      <c r="CZ826" s="177">
        <f t="shared" si="455"/>
        <v>1</v>
      </c>
      <c r="DA826" s="177">
        <f t="shared" si="460"/>
        <v>1</v>
      </c>
      <c r="DB826" s="177">
        <f t="shared" si="455"/>
        <v>1</v>
      </c>
      <c r="DC826" s="177">
        <f t="shared" si="461"/>
        <v>1</v>
      </c>
      <c r="DD826" s="177">
        <f t="shared" si="462"/>
        <v>1</v>
      </c>
      <c r="DE826" s="177">
        <f t="shared" si="463"/>
        <v>1</v>
      </c>
    </row>
    <row r="827" spans="1:109" ht="18" customHeight="1" x14ac:dyDescent="0.3">
      <c r="A827" s="81">
        <v>0.41666666666668001</v>
      </c>
      <c r="B827" s="153"/>
      <c r="C827" s="130"/>
      <c r="D827" s="135"/>
      <c r="E827" s="130"/>
      <c r="F827" s="135"/>
      <c r="G827" s="130"/>
      <c r="H827" s="135"/>
      <c r="I827" s="130"/>
      <c r="J827" s="135"/>
      <c r="K827" s="130"/>
      <c r="L827" s="135"/>
      <c r="M827" s="130"/>
      <c r="N827" s="135"/>
      <c r="O827" s="154"/>
      <c r="P827" s="6">
        <v>0</v>
      </c>
      <c r="Q827" s="114" t="str">
        <f t="shared" si="476"/>
        <v>Estudo em Grupo</v>
      </c>
      <c r="R827" s="105" t="str">
        <f t="shared" si="472"/>
        <v>IEI</v>
      </c>
      <c r="S827" s="88" t="str">
        <f t="shared" si="469"/>
        <v>-</v>
      </c>
      <c r="T827" s="89" t="str">
        <f>IF(VLOOKUP(Q827,'INFO BASE'!$B$40:$I$54,IF(R827='INFO BASE'!$B$32,3,IF(R827='INFO BASE'!$B$33,4,IF(R827='INFO BASE'!$B$34,5,IF(R827='INFO BASE'!$B$35,6,IF(R827='INFO BASE'!$B$36,7,IF(R827='INFO BASE'!$B$37,8,2)))))),0)=0,"",VLOOKUP(Q827,'INFO BASE'!$B$40:$I$54,IF(R827='INFO BASE'!$B$32,3,IF(R827='INFO BASE'!$B$33,4,IF(R827='INFO BASE'!$B$34,5,IF(R827='INFO BASE'!$B$35,6,IF(R827='INFO BASE'!$B$36,7,IF(R827='INFO BASE'!$B$37,8,2)))))),0))</f>
        <v/>
      </c>
      <c r="U827" s="89">
        <f>(COUNTIFS(C807:C854,R827,B807:B854,R825)+COUNTIFS(E807:E854,R827,D807:D854,R825)+COUNTIFS(G807:G854,R827,F807:F854,R825)+COUNTIFS(I807:I854,R827,H807:H854,R825)+COUNTIFS(K807:K854,R827,J807:J854,R825)+COUNTIFS(M807:M854,R827,L807:L854,R825)+COUNTIFS(O807:O854,R827,N807:N854,R825))*0.5</f>
        <v>0</v>
      </c>
      <c r="V827" s="89">
        <f>(COUNTIFS(AI807:AI854,R825,AJ807:AJ854,R820)+COUNTIFS(AK807:AK854,R825,AL807:AL854,R820)+COUNTIFS(AM807:AM854,R825,AN807:AN854,R820)+COUNTIFS(AO807:AO854,R825,AP807:AP854,R820)+COUNTIFS(AQ807:AQ854,R825,AR807:AR854,R820)+COUNTIFS(AS807:AS854,R825,AT807:AT854,R820)+COUNTIFS(AU807:AU854,R825,AV807:AV854,R820))*0.5</f>
        <v>0</v>
      </c>
      <c r="W827" s="90" t="str">
        <f>IF(AH803="","-",IF(V827=0,U827,IFERROR((U827/V827)-1,"-")))</f>
        <v>-</v>
      </c>
      <c r="X827" s="201">
        <f t="shared" si="470"/>
        <v>0</v>
      </c>
      <c r="Y827" s="271"/>
      <c r="Z827" s="272"/>
      <c r="AA827" s="272"/>
      <c r="AB827" s="272"/>
      <c r="AC827" s="272"/>
      <c r="AD827" s="272"/>
      <c r="AE827" s="272"/>
      <c r="AF827" s="273"/>
      <c r="AH827" s="136">
        <v>0.41666666666668001</v>
      </c>
      <c r="AI827" s="136" t="str">
        <f>IF(AH803="","",IF(B827="","",B827))</f>
        <v/>
      </c>
      <c r="AJ827" s="136" t="str">
        <f>IF(AH803="","",IF(C827="","",C827))</f>
        <v/>
      </c>
      <c r="AK827" s="136" t="str">
        <f>IF(AH803="","",IF(D827="","",D827))</f>
        <v/>
      </c>
      <c r="AL827" s="136" t="str">
        <f>IF(AH803="","",IF(E827="","",E827))</f>
        <v/>
      </c>
      <c r="AM827" s="136" t="str">
        <f>IF(AH803="","",IF(F827="","",F827))</f>
        <v/>
      </c>
      <c r="AN827" s="136" t="str">
        <f>IF(AH803="","",IF(G827="","",G827))</f>
        <v/>
      </c>
      <c r="AO827" s="136" t="str">
        <f>IF(AH803="","",IF(H827="","",H827))</f>
        <v/>
      </c>
      <c r="AP827" s="136" t="str">
        <f>IF(AH803="","",IF(I827="","",I827))</f>
        <v/>
      </c>
      <c r="AQ827" s="136" t="str">
        <f>IF(AH803="","",IF(J827="","",J827))</f>
        <v/>
      </c>
      <c r="AR827" s="136" t="str">
        <f>IF(AH803="","",IF(K827="","",K827))</f>
        <v/>
      </c>
      <c r="AS827" s="136" t="str">
        <f>IF(AH803="","",IF(L827="","",L827))</f>
        <v/>
      </c>
      <c r="AT827" s="136" t="str">
        <f>IF(AH803="","",IF(M827="","",M827))</f>
        <v/>
      </c>
      <c r="AU827" s="136" t="str">
        <f>IF(AH803="","",IF(N827="","",N827))</f>
        <v/>
      </c>
      <c r="AV827" s="136" t="str">
        <f>IF(AH803="","",IF(O827="","",O827))</f>
        <v/>
      </c>
      <c r="AX827" s="136" t="str">
        <f>IF(AI803="","",IF(B827="","",B827))</f>
        <v/>
      </c>
      <c r="AY827" s="136" t="str">
        <f>IF(AI803="","",IF(C827="","",C827))</f>
        <v/>
      </c>
      <c r="AZ827" s="136" t="str">
        <f>IF(AI803="","",IF(D827="","",D827))</f>
        <v/>
      </c>
      <c r="BA827" s="136" t="str">
        <f>IF(AI803="","",IF(E827="","",E827))</f>
        <v/>
      </c>
      <c r="BB827" s="136" t="str">
        <f>IF(AI803="","",IF(F827="","",F827))</f>
        <v/>
      </c>
      <c r="BC827" s="136" t="str">
        <f>IF(AI803="","",IF(G827="","",G827))</f>
        <v/>
      </c>
      <c r="BD827" s="136" t="str">
        <f>IF(AI803="","",IF(H827="","",H827))</f>
        <v/>
      </c>
      <c r="BE827" s="136" t="str">
        <f>IF(AI803="","",IF(I827="","",I827))</f>
        <v/>
      </c>
      <c r="BF827" s="136" t="str">
        <f>IF(AI803="","",IF(J827="","",J827))</f>
        <v/>
      </c>
      <c r="BG827" s="136" t="str">
        <f>IF(AI803="","",IF(K827="","",K827))</f>
        <v/>
      </c>
      <c r="BH827" s="136" t="str">
        <f>IF(AI803="","",IF(L827="","",L827))</f>
        <v/>
      </c>
      <c r="BI827" s="136" t="str">
        <f>IF(AI803="","",IF(M827="","",M827))</f>
        <v/>
      </c>
      <c r="BJ827" s="136" t="str">
        <f>IF(AI803="","",IF(N827="","",N827))</f>
        <v/>
      </c>
      <c r="BK827" s="136" t="str">
        <f>IF(AI803="","",IF(O827="","",O827))</f>
        <v/>
      </c>
      <c r="BM827" s="136" t="str">
        <f t="shared" si="475"/>
        <v>EG</v>
      </c>
      <c r="BN827" s="136" t="str">
        <f t="shared" si="465"/>
        <v>Estudo em Grupo</v>
      </c>
      <c r="BO827" s="136" t="str">
        <f t="shared" si="465"/>
        <v>CDI</v>
      </c>
      <c r="BP827" s="136">
        <f>(COUNTIFS(AX807:AX854,BM827,AY807:AY854,BO827)+COUNTIFS(AZ807:AZ854,BM827,BA807:BA854,BO827)+COUNTIFS(BB807:BB854,BM827,BC807:BC854,BO827)+COUNTIFS(BD807:BD854,BM827,BE807:BE854,BO827)+COUNTIFS(BF807:BF854,BM827,BG807:BG854,BO827)+COUNTIFS(BH807:BH854,BM827,BI807:BI854,BO827)+COUNTIFS(BJ807:BJ854,BM827,BK807:BK854,BO827))*0.5</f>
        <v>0</v>
      </c>
      <c r="BQ827" s="136" t="str">
        <f t="shared" si="466"/>
        <v>Estudo em Grupo</v>
      </c>
      <c r="BR827" s="136" t="str">
        <f t="shared" si="466"/>
        <v>CDI</v>
      </c>
      <c r="BS827" s="136" t="str">
        <f t="shared" si="467"/>
        <v>Estudo em Grupo</v>
      </c>
      <c r="BT827" s="136">
        <f t="shared" si="473"/>
        <v>10.5</v>
      </c>
      <c r="BU827" s="136">
        <f t="shared" si="474"/>
        <v>8.5</v>
      </c>
      <c r="CA827" s="136">
        <f>'INFO BASE'!L907</f>
        <v>0</v>
      </c>
      <c r="CB827" s="136">
        <f>'INFO BASE'!M907</f>
        <v>0</v>
      </c>
      <c r="CR827" s="177">
        <f t="shared" si="455"/>
        <v>1</v>
      </c>
      <c r="CS827" s="177">
        <f t="shared" si="456"/>
        <v>1</v>
      </c>
      <c r="CT827" s="177">
        <f t="shared" si="455"/>
        <v>1</v>
      </c>
      <c r="CU827" s="177">
        <f t="shared" si="457"/>
        <v>1</v>
      </c>
      <c r="CV827" s="177">
        <f t="shared" si="455"/>
        <v>1</v>
      </c>
      <c r="CW827" s="177">
        <f t="shared" si="458"/>
        <v>1</v>
      </c>
      <c r="CX827" s="177">
        <f t="shared" si="455"/>
        <v>1</v>
      </c>
      <c r="CY827" s="177">
        <f t="shared" si="459"/>
        <v>1</v>
      </c>
      <c r="CZ827" s="177">
        <f t="shared" si="455"/>
        <v>1</v>
      </c>
      <c r="DA827" s="177">
        <f t="shared" si="460"/>
        <v>1</v>
      </c>
      <c r="DB827" s="177">
        <f t="shared" si="455"/>
        <v>1</v>
      </c>
      <c r="DC827" s="177">
        <f t="shared" si="461"/>
        <v>1</v>
      </c>
      <c r="DD827" s="177">
        <f t="shared" si="462"/>
        <v>1</v>
      </c>
      <c r="DE827" s="177">
        <f t="shared" si="463"/>
        <v>1</v>
      </c>
    </row>
    <row r="828" spans="1:109" ht="18" customHeight="1" x14ac:dyDescent="0.3">
      <c r="A828" s="81">
        <v>0.43750000000001399</v>
      </c>
      <c r="B828" s="153"/>
      <c r="C828" s="130"/>
      <c r="D828" s="135"/>
      <c r="E828" s="130"/>
      <c r="F828" s="135"/>
      <c r="G828" s="130"/>
      <c r="H828" s="135"/>
      <c r="I828" s="130"/>
      <c r="J828" s="135"/>
      <c r="K828" s="130"/>
      <c r="L828" s="135"/>
      <c r="M828" s="130"/>
      <c r="N828" s="135"/>
      <c r="O828" s="154"/>
      <c r="P828" s="6">
        <v>0</v>
      </c>
      <c r="Q828" s="115" t="str">
        <f t="shared" si="476"/>
        <v>Estudo em Grupo</v>
      </c>
      <c r="R828" s="105" t="str">
        <f t="shared" si="472"/>
        <v>IAC</v>
      </c>
      <c r="S828" s="88">
        <f t="shared" si="469"/>
        <v>-1</v>
      </c>
      <c r="T828" s="89">
        <f>IF(VLOOKUP(Q828,'INFO BASE'!$B$40:$I$54,IF(R828='INFO BASE'!$B$32,3,IF(R828='INFO BASE'!$B$33,4,IF(R828='INFO BASE'!$B$34,5,IF(R828='INFO BASE'!$B$35,6,IF(R828='INFO BASE'!$B$36,7,IF(R828='INFO BASE'!$B$37,8,2)))))),0)=0,"",VLOOKUP(Q828,'INFO BASE'!$B$40:$I$54,IF(R828='INFO BASE'!$B$32,3,IF(R828='INFO BASE'!$B$33,4,IF(R828='INFO BASE'!$B$34,5,IF(R828='INFO BASE'!$B$35,6,IF(R828='INFO BASE'!$B$36,7,IF(R828='INFO BASE'!$B$37,8,2)))))),0))</f>
        <v>2</v>
      </c>
      <c r="U828" s="89">
        <f>(COUNTIFS(C807:C854,R828,B807:B854,R825)+COUNTIFS(E807:E854,R828,D807:D854,R825)+COUNTIFS(G807:G854,R828,F807:F854,R825)+COUNTIFS(I807:I854,R828,H807:H854,R825)+COUNTIFS(K807:K854,R828,J807:J854,R825)+COUNTIFS(M807:M854,R828,L807:L854,R825)+COUNTIFS(O807:O854,R828,N807:N854,R825))*0.5</f>
        <v>0</v>
      </c>
      <c r="V828" s="89">
        <f>(COUNTIFS(AI807:AI854,R825,AJ807:AJ854,R821)+COUNTIFS(AK807:AK854,R825,AL807:AL854,R821)+COUNTIFS(AM807:AM854,R825,AN807:AN854,R821)+COUNTIFS(AO807:AO854,R825,AP807:AP854,R821)+COUNTIFS(AQ807:AQ854,R825,AR807:AR854,R821)+COUNTIFS(AS807:AS854,R825,AT807:AT854,R821)+COUNTIFS(AU807:AU854,R825,AV807:AV854,R821))*0.5</f>
        <v>0</v>
      </c>
      <c r="W828" s="90" t="str">
        <f>IF(AH803="","-",IF(V828=0,U828,IFERROR((U828/V828)-1,"-")))</f>
        <v>-</v>
      </c>
      <c r="X828" s="201">
        <f t="shared" si="470"/>
        <v>0</v>
      </c>
      <c r="Y828" s="271"/>
      <c r="Z828" s="272"/>
      <c r="AA828" s="272"/>
      <c r="AB828" s="272"/>
      <c r="AC828" s="272"/>
      <c r="AD828" s="272"/>
      <c r="AE828" s="272"/>
      <c r="AF828" s="273"/>
      <c r="AH828" s="136">
        <v>0.43750000000001399</v>
      </c>
      <c r="AI828" s="136" t="str">
        <f>IF(AH803="","",IF(B828="","",B828))</f>
        <v/>
      </c>
      <c r="AJ828" s="136" t="str">
        <f>IF(AH803="","",IF(C828="","",C828))</f>
        <v/>
      </c>
      <c r="AK828" s="136" t="str">
        <f>IF(AH803="","",IF(D828="","",D828))</f>
        <v/>
      </c>
      <c r="AL828" s="136" t="str">
        <f>IF(AH803="","",IF(E828="","",E828))</f>
        <v/>
      </c>
      <c r="AM828" s="136" t="str">
        <f>IF(AH803="","",IF(F828="","",F828))</f>
        <v/>
      </c>
      <c r="AN828" s="136" t="str">
        <f>IF(AH803="","",IF(G828="","",G828))</f>
        <v/>
      </c>
      <c r="AO828" s="136" t="str">
        <f>IF(AH803="","",IF(H828="","",H828))</f>
        <v/>
      </c>
      <c r="AP828" s="136" t="str">
        <f>IF(AH803="","",IF(I828="","",I828))</f>
        <v/>
      </c>
      <c r="AQ828" s="136" t="str">
        <f>IF(AH803="","",IF(J828="","",J828))</f>
        <v/>
      </c>
      <c r="AR828" s="136" t="str">
        <f>IF(AH803="","",IF(K828="","",K828))</f>
        <v/>
      </c>
      <c r="AS828" s="136" t="str">
        <f>IF(AH803="","",IF(L828="","",L828))</f>
        <v/>
      </c>
      <c r="AT828" s="136" t="str">
        <f>IF(AH803="","",IF(M828="","",M828))</f>
        <v/>
      </c>
      <c r="AU828" s="136" t="str">
        <f>IF(AH803="","",IF(N828="","",N828))</f>
        <v/>
      </c>
      <c r="AV828" s="136" t="str">
        <f>IF(AH803="","",IF(O828="","",O828))</f>
        <v/>
      </c>
      <c r="AX828" s="136" t="str">
        <f>IF(AI803="","",IF(B828="","",B828))</f>
        <v/>
      </c>
      <c r="AY828" s="136" t="str">
        <f>IF(AI803="","",IF(C828="","",C828))</f>
        <v/>
      </c>
      <c r="AZ828" s="136" t="str">
        <f>IF(AI803="","",IF(D828="","",D828))</f>
        <v/>
      </c>
      <c r="BA828" s="136" t="str">
        <f>IF(AI803="","",IF(E828="","",E828))</f>
        <v/>
      </c>
      <c r="BB828" s="136" t="str">
        <f>IF(AI803="","",IF(F828="","",F828))</f>
        <v/>
      </c>
      <c r="BC828" s="136" t="str">
        <f>IF(AI803="","",IF(G828="","",G828))</f>
        <v/>
      </c>
      <c r="BD828" s="136" t="str">
        <f>IF(AI803="","",IF(H828="","",H828))</f>
        <v/>
      </c>
      <c r="BE828" s="136" t="str">
        <f>IF(AI803="","",IF(I828="","",I828))</f>
        <v/>
      </c>
      <c r="BF828" s="136" t="str">
        <f>IF(AI803="","",IF(J828="","",J828))</f>
        <v/>
      </c>
      <c r="BG828" s="136" t="str">
        <f>IF(AI803="","",IF(K828="","",K828))</f>
        <v/>
      </c>
      <c r="BH828" s="136" t="str">
        <f>IF(AI803="","",IF(L828="","",L828))</f>
        <v/>
      </c>
      <c r="BI828" s="136" t="str">
        <f>IF(AI803="","",IF(M828="","",M828))</f>
        <v/>
      </c>
      <c r="BJ828" s="136" t="str">
        <f>IF(AI803="","",IF(N828="","",N828))</f>
        <v/>
      </c>
      <c r="BK828" s="136" t="str">
        <f>IF(AI803="","",IF(O828="","",O828))</f>
        <v/>
      </c>
      <c r="BM828" s="136" t="str">
        <f t="shared" si="475"/>
        <v>EG</v>
      </c>
      <c r="BN828" s="136" t="str">
        <f t="shared" si="465"/>
        <v>Estudo em Grupo</v>
      </c>
      <c r="BO828" s="136" t="str">
        <f t="shared" si="465"/>
        <v/>
      </c>
      <c r="BP828" s="136">
        <f>(COUNTIFS(AX807:AX854,BM828,AY807:AY854,BO828)+COUNTIFS(AZ807:AZ854,BM828,BA807:BA854,BO828)+COUNTIFS(BB807:BB854,BM828,BC807:BC854,BO828)+COUNTIFS(BD807:BD854,BM828,BE807:BE854,BO828)+COUNTIFS(BF807:BF854,BM828,BG807:BG854,BO828)+COUNTIFS(BH807:BH854,BM828,BI807:BI854,BO828)+COUNTIFS(BJ807:BJ854,BM828,BK807:BK854,BO828))*0.5</f>
        <v>0</v>
      </c>
      <c r="BQ828" s="136" t="str">
        <f t="shared" si="466"/>
        <v>Estudo em Grupo</v>
      </c>
      <c r="BR828" s="136" t="str">
        <f t="shared" si="466"/>
        <v/>
      </c>
      <c r="BS828" s="136" t="str">
        <f t="shared" si="467"/>
        <v>Estudo em Grupo</v>
      </c>
      <c r="BT828" s="136">
        <f t="shared" si="473"/>
        <v>0</v>
      </c>
      <c r="BU828" s="136">
        <f t="shared" si="474"/>
        <v>0</v>
      </c>
      <c r="CA828" s="136">
        <f>'INFO BASE'!L908</f>
        <v>0</v>
      </c>
      <c r="CB828" s="136">
        <f>'INFO BASE'!M908</f>
        <v>0</v>
      </c>
      <c r="CR828" s="177">
        <f t="shared" si="455"/>
        <v>1</v>
      </c>
      <c r="CS828" s="177">
        <f t="shared" si="456"/>
        <v>1</v>
      </c>
      <c r="CT828" s="177">
        <f t="shared" si="455"/>
        <v>1</v>
      </c>
      <c r="CU828" s="177">
        <f t="shared" si="457"/>
        <v>1</v>
      </c>
      <c r="CV828" s="177">
        <f t="shared" si="455"/>
        <v>1</v>
      </c>
      <c r="CW828" s="177">
        <f t="shared" si="458"/>
        <v>1</v>
      </c>
      <c r="CX828" s="177">
        <f t="shared" si="455"/>
        <v>1</v>
      </c>
      <c r="CY828" s="177">
        <f t="shared" si="459"/>
        <v>1</v>
      </c>
      <c r="CZ828" s="177">
        <f t="shared" si="455"/>
        <v>1</v>
      </c>
      <c r="DA828" s="177">
        <f t="shared" si="460"/>
        <v>1</v>
      </c>
      <c r="DB828" s="177">
        <f t="shared" si="455"/>
        <v>1</v>
      </c>
      <c r="DC828" s="177">
        <f t="shared" si="461"/>
        <v>1</v>
      </c>
      <c r="DD828" s="177">
        <f t="shared" si="462"/>
        <v>1</v>
      </c>
      <c r="DE828" s="177">
        <f t="shared" si="463"/>
        <v>1</v>
      </c>
    </row>
    <row r="829" spans="1:109" ht="18" customHeight="1" x14ac:dyDescent="0.3">
      <c r="A829" s="81">
        <v>0.45833333333334803</v>
      </c>
      <c r="B829" s="153"/>
      <c r="C829" s="130"/>
      <c r="D829" s="135"/>
      <c r="E829" s="130"/>
      <c r="F829" s="135"/>
      <c r="G829" s="130"/>
      <c r="H829" s="135"/>
      <c r="I829" s="130"/>
      <c r="J829" s="135"/>
      <c r="K829" s="130"/>
      <c r="L829" s="135"/>
      <c r="M829" s="130"/>
      <c r="N829" s="135"/>
      <c r="O829" s="154"/>
      <c r="P829" s="6">
        <v>0</v>
      </c>
      <c r="Q829" s="114" t="str">
        <f t="shared" si="476"/>
        <v>Estudo em Grupo</v>
      </c>
      <c r="R829" s="105" t="str">
        <f t="shared" si="472"/>
        <v>AL</v>
      </c>
      <c r="S829" s="88">
        <f t="shared" si="469"/>
        <v>-1</v>
      </c>
      <c r="T829" s="89">
        <f>IF(VLOOKUP(Q829,'INFO BASE'!$B$40:$I$54,IF(R829='INFO BASE'!$B$32,3,IF(R829='INFO BASE'!$B$33,4,IF(R829='INFO BASE'!$B$34,5,IF(R829='INFO BASE'!$B$35,6,IF(R829='INFO BASE'!$B$36,7,IF(R829='INFO BASE'!$B$37,8,2)))))),0)=0,"",VLOOKUP(Q829,'INFO BASE'!$B$40:$I$54,IF(R829='INFO BASE'!$B$32,3,IF(R829='INFO BASE'!$B$33,4,IF(R829='INFO BASE'!$B$34,5,IF(R829='INFO BASE'!$B$35,6,IF(R829='INFO BASE'!$B$36,7,IF(R829='INFO BASE'!$B$37,8,2)))))),0))</f>
        <v>2</v>
      </c>
      <c r="U829" s="89">
        <f>(COUNTIFS(C807:C854,R829,B807:B854,R825)+COUNTIFS(E807:E854,R829,D807:D854,R825)+COUNTIFS(G807:G854,R829,F807:F854,R825)+COUNTIFS(I807:I854,R829,H807:H854,R825)+COUNTIFS(K807:K854,R829,J807:J854,R825)+COUNTIFS(M807:M854,R829,L807:L854,R825)+COUNTIFS(O807:O854,R829,N807:N854,R825))*0.5</f>
        <v>0</v>
      </c>
      <c r="V829" s="89">
        <f>(COUNTIFS(AI807:AI854,R825,AJ807:AJ854,R822)+COUNTIFS(AK807:AK854,R825,AL807:AL854,R822)+COUNTIFS(AM807:AM854,R825,AN807:AN854,R822)+COUNTIFS(AO807:AO854,R825,AP807:AP854,R822)+COUNTIFS(AQ807:AQ854,R825,AR807:AR854,R822)+COUNTIFS(AS807:AS854,R825,AT807:AT854,R822)+COUNTIFS(AU807:AU854,R825,AV807:AV854,R822))*0.5</f>
        <v>0</v>
      </c>
      <c r="W829" s="90" t="str">
        <f>IF(AH803="","-",IF(V829=0,U829,IFERROR((U829/V829)-1,"-")))</f>
        <v>-</v>
      </c>
      <c r="X829" s="201">
        <f t="shared" si="470"/>
        <v>0</v>
      </c>
      <c r="Y829" s="271"/>
      <c r="Z829" s="272"/>
      <c r="AA829" s="272"/>
      <c r="AB829" s="272"/>
      <c r="AC829" s="272"/>
      <c r="AD829" s="272"/>
      <c r="AE829" s="272"/>
      <c r="AF829" s="273"/>
      <c r="AH829" s="136">
        <v>0.45833333333334803</v>
      </c>
      <c r="AI829" s="136" t="str">
        <f>IF(AH803="","",IF(B829="","",B829))</f>
        <v/>
      </c>
      <c r="AJ829" s="136" t="str">
        <f>IF(AH803="","",IF(C829="","",C829))</f>
        <v/>
      </c>
      <c r="AK829" s="136" t="str">
        <f>IF(AH803="","",IF(D829="","",D829))</f>
        <v/>
      </c>
      <c r="AL829" s="136" t="str">
        <f>IF(AH803="","",IF(E829="","",E829))</f>
        <v/>
      </c>
      <c r="AM829" s="136" t="str">
        <f>IF(AH803="","",IF(F829="","",F829))</f>
        <v/>
      </c>
      <c r="AN829" s="136" t="str">
        <f>IF(AH803="","",IF(G829="","",G829))</f>
        <v/>
      </c>
      <c r="AO829" s="136" t="str">
        <f>IF(AH803="","",IF(H829="","",H829))</f>
        <v/>
      </c>
      <c r="AP829" s="136" t="str">
        <f>IF(AH803="","",IF(I829="","",I829))</f>
        <v/>
      </c>
      <c r="AQ829" s="136" t="str">
        <f>IF(AH803="","",IF(J829="","",J829))</f>
        <v/>
      </c>
      <c r="AR829" s="136" t="str">
        <f>IF(AH803="","",IF(K829="","",K829))</f>
        <v/>
      </c>
      <c r="AS829" s="136" t="str">
        <f>IF(AH803="","",IF(L829="","",L829))</f>
        <v/>
      </c>
      <c r="AT829" s="136" t="str">
        <f>IF(AH803="","",IF(M829="","",M829))</f>
        <v/>
      </c>
      <c r="AU829" s="136" t="str">
        <f>IF(AH803="","",IF(N829="","",N829))</f>
        <v/>
      </c>
      <c r="AV829" s="136" t="str">
        <f>IF(AH803="","",IF(O829="","",O829))</f>
        <v/>
      </c>
      <c r="AX829" s="136" t="str">
        <f>IF(AI803="","",IF(B829="","",B829))</f>
        <v/>
      </c>
      <c r="AY829" s="136" t="str">
        <f>IF(AI803="","",IF(C829="","",C829))</f>
        <v/>
      </c>
      <c r="AZ829" s="136" t="str">
        <f>IF(AI803="","",IF(D829="","",D829))</f>
        <v/>
      </c>
      <c r="BA829" s="136" t="str">
        <f>IF(AI803="","",IF(E829="","",E829))</f>
        <v/>
      </c>
      <c r="BB829" s="136" t="str">
        <f>IF(AI803="","",IF(F829="","",F829))</f>
        <v/>
      </c>
      <c r="BC829" s="136" t="str">
        <f>IF(AI803="","",IF(G829="","",G829))</f>
        <v/>
      </c>
      <c r="BD829" s="136" t="str">
        <f>IF(AI803="","",IF(H829="","",H829))</f>
        <v/>
      </c>
      <c r="BE829" s="136" t="str">
        <f>IF(AI803="","",IF(I829="","",I829))</f>
        <v/>
      </c>
      <c r="BF829" s="136" t="str">
        <f>IF(AI803="","",IF(J829="","",J829))</f>
        <v/>
      </c>
      <c r="BG829" s="136" t="str">
        <f>IF(AI803="","",IF(K829="","",K829))</f>
        <v/>
      </c>
      <c r="BH829" s="136" t="str">
        <f>IF(AI803="","",IF(L829="","",L829))</f>
        <v/>
      </c>
      <c r="BI829" s="136" t="str">
        <f>IF(AI803="","",IF(M829="","",M829))</f>
        <v/>
      </c>
      <c r="BJ829" s="136" t="str">
        <f>IF(AI803="","",IF(N829="","",N829))</f>
        <v/>
      </c>
      <c r="BK829" s="136" t="str">
        <f>IF(AI803="","",IF(O829="","",O829))</f>
        <v/>
      </c>
      <c r="BM829" s="136" t="str">
        <f>BO829</f>
        <v>TG</v>
      </c>
      <c r="BN829" s="136" t="str">
        <f t="shared" si="465"/>
        <v>Trabalho de Grupo</v>
      </c>
      <c r="BO829" s="136" t="str">
        <f t="shared" si="465"/>
        <v>TG</v>
      </c>
      <c r="BP829" s="136">
        <f>COUNTIFS(AX807:BK854,BO829)*0.5</f>
        <v>0</v>
      </c>
      <c r="BQ829" s="136" t="str">
        <f t="shared" si="466"/>
        <v>Trabalho de Grupo</v>
      </c>
      <c r="BR829" s="136" t="str">
        <f t="shared" si="466"/>
        <v>TG</v>
      </c>
      <c r="BS829" s="136" t="str">
        <f t="shared" si="467"/>
        <v>Trabalho de Grupo</v>
      </c>
      <c r="BT829" s="136">
        <f t="shared" si="473"/>
        <v>0</v>
      </c>
      <c r="BU829" s="136">
        <f t="shared" si="474"/>
        <v>0</v>
      </c>
      <c r="CA829" s="136">
        <f>'INFO BASE'!L909</f>
        <v>0</v>
      </c>
      <c r="CB829" s="136">
        <f>'INFO BASE'!M909</f>
        <v>0</v>
      </c>
      <c r="CR829" s="177">
        <f t="shared" si="455"/>
        <v>1</v>
      </c>
      <c r="CS829" s="177">
        <f t="shared" si="456"/>
        <v>1</v>
      </c>
      <c r="CT829" s="177">
        <f t="shared" si="455"/>
        <v>1</v>
      </c>
      <c r="CU829" s="177">
        <f t="shared" si="457"/>
        <v>1</v>
      </c>
      <c r="CV829" s="177">
        <f t="shared" si="455"/>
        <v>1</v>
      </c>
      <c r="CW829" s="177">
        <f t="shared" si="458"/>
        <v>1</v>
      </c>
      <c r="CX829" s="177">
        <f t="shared" si="455"/>
        <v>1</v>
      </c>
      <c r="CY829" s="177">
        <f t="shared" si="459"/>
        <v>1</v>
      </c>
      <c r="CZ829" s="177">
        <f t="shared" si="455"/>
        <v>1</v>
      </c>
      <c r="DA829" s="177">
        <f t="shared" si="460"/>
        <v>1</v>
      </c>
      <c r="DB829" s="177">
        <f t="shared" si="455"/>
        <v>1</v>
      </c>
      <c r="DC829" s="177">
        <f t="shared" si="461"/>
        <v>1</v>
      </c>
      <c r="DD829" s="177">
        <f t="shared" si="462"/>
        <v>1</v>
      </c>
      <c r="DE829" s="177">
        <f t="shared" si="463"/>
        <v>1</v>
      </c>
    </row>
    <row r="830" spans="1:109" ht="18" customHeight="1" x14ac:dyDescent="0.3">
      <c r="A830" s="81">
        <v>0.47916666666668201</v>
      </c>
      <c r="B830" s="153"/>
      <c r="C830" s="130"/>
      <c r="D830" s="135"/>
      <c r="E830" s="130"/>
      <c r="F830" s="135"/>
      <c r="G830" s="130"/>
      <c r="H830" s="135"/>
      <c r="I830" s="130"/>
      <c r="J830" s="135"/>
      <c r="K830" s="130"/>
      <c r="L830" s="135"/>
      <c r="M830" s="130"/>
      <c r="N830" s="135"/>
      <c r="O830" s="154"/>
      <c r="P830" s="6">
        <v>0</v>
      </c>
      <c r="Q830" s="114" t="str">
        <f t="shared" si="476"/>
        <v>Estudo em Grupo</v>
      </c>
      <c r="R830" s="105" t="str">
        <f t="shared" si="472"/>
        <v>CDI</v>
      </c>
      <c r="S830" s="88">
        <f t="shared" si="469"/>
        <v>-1</v>
      </c>
      <c r="T830" s="89">
        <f>IF(VLOOKUP(Q830,'INFO BASE'!$B$40:$I$54,IF(R830='INFO BASE'!$B$32,3,IF(R830='INFO BASE'!$B$33,4,IF(R830='INFO BASE'!$B$34,5,IF(R830='INFO BASE'!$B$35,6,IF(R830='INFO BASE'!$B$36,7,IF(R830='INFO BASE'!$B$37,8,2)))))),0)=0,"",VLOOKUP(Q830,'INFO BASE'!$B$40:$I$54,IF(R830='INFO BASE'!$B$32,3,IF(R830='INFO BASE'!$B$33,4,IF(R830='INFO BASE'!$B$34,5,IF(R830='INFO BASE'!$B$35,6,IF(R830='INFO BASE'!$B$36,7,IF(R830='INFO BASE'!$B$37,8,2)))))),0))</f>
        <v>2</v>
      </c>
      <c r="U830" s="89">
        <f>(COUNTIFS(C807:C854,R830,B807:B854,R825)+COUNTIFS(E807:E854,R830,D807:D854,R825)+COUNTIFS(G807:G854,R830,F807:F854,R825)+COUNTIFS(I807:I854,R830,H807:H854,R825)+COUNTIFS(K807:K854,R830,J807:J854,R825)+COUNTIFS(M807:M854,R830,L807:L854,R825)+COUNTIFS(O807:O854,R830,N807:N854,R825))*0.5</f>
        <v>0</v>
      </c>
      <c r="V830" s="89">
        <f>(COUNTIFS(AI807:AI854,R825,AJ807:AJ854,R823)+COUNTIFS(AK807:AK854,R825,AL807:AL854,R823)+COUNTIFS(AM807:AM854,R825,AN807:AN854,R823)+COUNTIFS(AO807:AO854,R825,AP807:AP854,R823)+COUNTIFS(AQ807:AQ854,R825,AR807:AR854,R823)+COUNTIFS(AS807:AS854,R825,AT807:AT854,R823)+COUNTIFS(AU807:AU854,R825,AV807:AV854,R823))*0.5</f>
        <v>0</v>
      </c>
      <c r="W830" s="90" t="str">
        <f>IF(AH803="","-",IF(V830=0,U830,IFERROR((U830/V830)-1,"-")))</f>
        <v>-</v>
      </c>
      <c r="X830" s="201">
        <f t="shared" si="470"/>
        <v>0</v>
      </c>
      <c r="Y830" s="271"/>
      <c r="Z830" s="272"/>
      <c r="AA830" s="272"/>
      <c r="AB830" s="272"/>
      <c r="AC830" s="272"/>
      <c r="AD830" s="272"/>
      <c r="AE830" s="272"/>
      <c r="AF830" s="273"/>
      <c r="AH830" s="136">
        <v>0.47916666666668201</v>
      </c>
      <c r="AI830" s="136" t="str">
        <f>IF(AH803="","",IF(B830="","",B830))</f>
        <v/>
      </c>
      <c r="AJ830" s="136" t="str">
        <f>IF(AH803="","",IF(C830="","",C830))</f>
        <v/>
      </c>
      <c r="AK830" s="136" t="str">
        <f>IF(AH803="","",IF(D830="","",D830))</f>
        <v/>
      </c>
      <c r="AL830" s="136" t="str">
        <f>IF(AH803="","",IF(E830="","",E830))</f>
        <v/>
      </c>
      <c r="AM830" s="136" t="str">
        <f>IF(AH803="","",IF(F830="","",F830))</f>
        <v/>
      </c>
      <c r="AN830" s="136" t="str">
        <f>IF(AH803="","",IF(G830="","",G830))</f>
        <v/>
      </c>
      <c r="AO830" s="136" t="str">
        <f>IF(AH803="","",IF(H830="","",H830))</f>
        <v/>
      </c>
      <c r="AP830" s="136" t="str">
        <f>IF(AH803="","",IF(I830="","",I830))</f>
        <v/>
      </c>
      <c r="AQ830" s="136" t="str">
        <f>IF(AH803="","",IF(J830="","",J830))</f>
        <v/>
      </c>
      <c r="AR830" s="136" t="str">
        <f>IF(AH803="","",IF(K830="","",K830))</f>
        <v/>
      </c>
      <c r="AS830" s="136" t="str">
        <f>IF(AH803="","",IF(L830="","",L830))</f>
        <v/>
      </c>
      <c r="AT830" s="136" t="str">
        <f>IF(AH803="","",IF(M830="","",M830))</f>
        <v/>
      </c>
      <c r="AU830" s="136" t="str">
        <f>IF(AH803="","",IF(N830="","",N830))</f>
        <v/>
      </c>
      <c r="AV830" s="136" t="str">
        <f>IF(AH803="","",IF(O830="","",O830))</f>
        <v/>
      </c>
      <c r="AX830" s="136" t="str">
        <f>IF(AI803="","",IF(B830="","",B830))</f>
        <v/>
      </c>
      <c r="AY830" s="136" t="str">
        <f>IF(AI803="","",IF(C830="","",C830))</f>
        <v/>
      </c>
      <c r="AZ830" s="136" t="str">
        <f>IF(AI803="","",IF(D830="","",D830))</f>
        <v/>
      </c>
      <c r="BA830" s="136" t="str">
        <f>IF(AI803="","",IF(E830="","",E830))</f>
        <v/>
      </c>
      <c r="BB830" s="136" t="str">
        <f>IF(AI803="","",IF(F830="","",F830))</f>
        <v/>
      </c>
      <c r="BC830" s="136" t="str">
        <f>IF(AI803="","",IF(G830="","",G830))</f>
        <v/>
      </c>
      <c r="BD830" s="136" t="str">
        <f>IF(AI803="","",IF(H830="","",H830))</f>
        <v/>
      </c>
      <c r="BE830" s="136" t="str">
        <f>IF(AI803="","",IF(I830="","",I830))</f>
        <v/>
      </c>
      <c r="BF830" s="136" t="str">
        <f>IF(AI803="","",IF(J830="","",J830))</f>
        <v/>
      </c>
      <c r="BG830" s="136" t="str">
        <f>IF(AI803="","",IF(K830="","",K830))</f>
        <v/>
      </c>
      <c r="BH830" s="136" t="str">
        <f>IF(AI803="","",IF(L830="","",L830))</f>
        <v/>
      </c>
      <c r="BI830" s="136" t="str">
        <f>IF(AI803="","",IF(M830="","",M830))</f>
        <v/>
      </c>
      <c r="BJ830" s="136" t="str">
        <f>IF(AI803="","",IF(N830="","",N830))</f>
        <v/>
      </c>
      <c r="BK830" s="136" t="str">
        <f>IF(AI803="","",IF(O830="","",O830))</f>
        <v/>
      </c>
      <c r="BM830" s="136" t="str">
        <f>BM829</f>
        <v>TG</v>
      </c>
      <c r="BN830" s="136" t="str">
        <f t="shared" si="465"/>
        <v>Trabalho de Grupo</v>
      </c>
      <c r="BO830" s="136" t="str">
        <f t="shared" si="465"/>
        <v>FP</v>
      </c>
      <c r="BP830" s="136">
        <f>(COUNTIFS(AX807:AX854,BM830,AY807:AY854,BO830)+COUNTIFS(AZ807:AZ854,BM830,BA807:BA854,BO830)+COUNTIFS(BB807:BB854,BM830,BC807:BC854,BO830)+COUNTIFS(BD807:BD854,BM830,BE807:BE854,BO830)+COUNTIFS(BF807:BF854,BM830,BG807:BG854,BO830)+COUNTIFS(BH807:BH854,BM830,BI807:BI854,BO830)+COUNTIFS(BJ807:BJ854,BM830,BK807:BK854,BO830))*0.5</f>
        <v>0</v>
      </c>
      <c r="BQ830" s="136" t="str">
        <f t="shared" si="466"/>
        <v>Trabalho de Grupo</v>
      </c>
      <c r="BR830" s="136" t="str">
        <f t="shared" si="466"/>
        <v>FP</v>
      </c>
      <c r="BS830" s="136" t="str">
        <f t="shared" si="467"/>
        <v>Trabalho de Grupo</v>
      </c>
      <c r="BT830" s="136">
        <f t="shared" si="473"/>
        <v>0</v>
      </c>
      <c r="BU830" s="136">
        <f t="shared" si="474"/>
        <v>0</v>
      </c>
      <c r="CR830" s="177">
        <f t="shared" si="455"/>
        <v>1</v>
      </c>
      <c r="CS830" s="177">
        <f t="shared" si="456"/>
        <v>1</v>
      </c>
      <c r="CT830" s="177">
        <f t="shared" si="455"/>
        <v>1</v>
      </c>
      <c r="CU830" s="177">
        <f t="shared" si="457"/>
        <v>1</v>
      </c>
      <c r="CV830" s="177">
        <f t="shared" si="455"/>
        <v>1</v>
      </c>
      <c r="CW830" s="177">
        <f t="shared" si="458"/>
        <v>1</v>
      </c>
      <c r="CX830" s="177">
        <f t="shared" si="455"/>
        <v>1</v>
      </c>
      <c r="CY830" s="177">
        <f t="shared" si="459"/>
        <v>1</v>
      </c>
      <c r="CZ830" s="177">
        <f t="shared" si="455"/>
        <v>1</v>
      </c>
      <c r="DA830" s="177">
        <f t="shared" si="460"/>
        <v>1</v>
      </c>
      <c r="DB830" s="177">
        <f t="shared" si="455"/>
        <v>1</v>
      </c>
      <c r="DC830" s="177">
        <f t="shared" si="461"/>
        <v>1</v>
      </c>
      <c r="DD830" s="177">
        <f t="shared" si="462"/>
        <v>1</v>
      </c>
      <c r="DE830" s="177">
        <f t="shared" si="463"/>
        <v>1</v>
      </c>
    </row>
    <row r="831" spans="1:109" ht="18" customHeight="1" thickBot="1" x14ac:dyDescent="0.35">
      <c r="A831" s="81">
        <v>0.50000000000001599</v>
      </c>
      <c r="B831" s="153"/>
      <c r="C831" s="130"/>
      <c r="D831" s="135"/>
      <c r="E831" s="130"/>
      <c r="F831" s="135"/>
      <c r="G831" s="130"/>
      <c r="H831" s="135"/>
      <c r="I831" s="130"/>
      <c r="J831" s="135"/>
      <c r="K831" s="130"/>
      <c r="L831" s="135"/>
      <c r="M831" s="130"/>
      <c r="N831" s="135"/>
      <c r="O831" s="154"/>
      <c r="P831" s="6">
        <v>0</v>
      </c>
      <c r="Q831" s="116" t="str">
        <f t="shared" si="476"/>
        <v>Estudo em Grupo</v>
      </c>
      <c r="R831" s="107" t="str">
        <f t="shared" si="472"/>
        <v/>
      </c>
      <c r="S831" s="94" t="str">
        <f t="shared" si="469"/>
        <v>-</v>
      </c>
      <c r="T831" s="95" t="str">
        <f>IF(VLOOKUP(Q831,'INFO BASE'!$B$40:$I$54,IF(R831='INFO BASE'!$B$32,3,IF(R831='INFO BASE'!$B$33,4,IF(R831='INFO BASE'!$B$34,5,IF(R831='INFO BASE'!$B$35,6,IF(R831='INFO BASE'!$B$36,7,IF(R831='INFO BASE'!$B$37,8,2)))))),0)=0,"",VLOOKUP(Q831,'INFO BASE'!$B$40:$I$54,IF(R831='INFO BASE'!$B$32,3,IF(R831='INFO BASE'!$B$33,4,IF(R831='INFO BASE'!$B$34,5,IF(R831='INFO BASE'!$B$35,6,IF(R831='INFO BASE'!$B$36,7,IF(R831='INFO BASE'!$B$37,8,2)))))),0))</f>
        <v/>
      </c>
      <c r="U831" s="95">
        <f>(COUNTIFS(C807:C854,R831,B807:B854,R825)+COUNTIFS(E807:E854,R831,D807:D854,R825)+COUNTIFS(G807:G854,R831,F807:F854,R825)+COUNTIFS(I807:I854,R831,H807:H854,R825)+COUNTIFS(K807:K854,R831,J807:J854,R825)+COUNTIFS(M807:M854,R831,L807:L854,R825)+COUNTIFS(O807:O854,R831,N807:N854,R825))*0.5</f>
        <v>0</v>
      </c>
      <c r="V831" s="95">
        <f>(COUNTIFS(AI807:AI854,R825,AJ807:AJ854,R824)+COUNTIFS(AK807:AK854,R825,AL807:AL854,R824)+COUNTIFS(AM807:AM854,R825,AN807:AN854,R824)+COUNTIFS(AO807:AO854,R825,AP807:AP854,R824)+COUNTIFS(AQ807:AQ854,R825,AR807:AR854,R824)+COUNTIFS(AS807:AS854,R825,AT807:AT854,R824)+COUNTIFS(AU807:AU854,R825,AV807:AV854,R824))*0.5</f>
        <v>0</v>
      </c>
      <c r="W831" s="96" t="str">
        <f>IF(AH803="","-",IF(V831=0,U831,IFERROR((U831/V831)-1,"-")))</f>
        <v>-</v>
      </c>
      <c r="X831" s="201">
        <f t="shared" si="470"/>
        <v>0</v>
      </c>
      <c r="Y831" s="274"/>
      <c r="Z831" s="275"/>
      <c r="AA831" s="275"/>
      <c r="AB831" s="275"/>
      <c r="AC831" s="275"/>
      <c r="AD831" s="275"/>
      <c r="AE831" s="275"/>
      <c r="AF831" s="276"/>
      <c r="AH831" s="136">
        <v>0.50000000000001599</v>
      </c>
      <c r="AI831" s="136" t="str">
        <f>IF(AH803="","",IF(B831="","",B831))</f>
        <v/>
      </c>
      <c r="AJ831" s="136" t="str">
        <f>IF(AH803="","",IF(C831="","",C831))</f>
        <v/>
      </c>
      <c r="AK831" s="136" t="str">
        <f>IF(AH803="","",IF(D831="","",D831))</f>
        <v/>
      </c>
      <c r="AL831" s="136" t="str">
        <f>IF(AH803="","",IF(E831="","",E831))</f>
        <v/>
      </c>
      <c r="AM831" s="136" t="str">
        <f>IF(AH803="","",IF(F831="","",F831))</f>
        <v/>
      </c>
      <c r="AN831" s="136" t="str">
        <f>IF(AH803="","",IF(G831="","",G831))</f>
        <v/>
      </c>
      <c r="AO831" s="136" t="str">
        <f>IF(AH803="","",IF(H831="","",H831))</f>
        <v/>
      </c>
      <c r="AP831" s="136" t="str">
        <f>IF(AH803="","",IF(I831="","",I831))</f>
        <v/>
      </c>
      <c r="AQ831" s="136" t="str">
        <f>IF(AH803="","",IF(J831="","",J831))</f>
        <v/>
      </c>
      <c r="AR831" s="136" t="str">
        <f>IF(AH803="","",IF(K831="","",K831))</f>
        <v/>
      </c>
      <c r="AS831" s="136" t="str">
        <f>IF(AH803="","",IF(L831="","",L831))</f>
        <v/>
      </c>
      <c r="AT831" s="136" t="str">
        <f>IF(AH803="","",IF(M831="","",M831))</f>
        <v/>
      </c>
      <c r="AU831" s="136" t="str">
        <f>IF(AH803="","",IF(N831="","",N831))</f>
        <v/>
      </c>
      <c r="AV831" s="136" t="str">
        <f>IF(AH803="","",IF(O831="","",O831))</f>
        <v/>
      </c>
      <c r="AX831" s="136" t="str">
        <f>IF(AI803="","",IF(B831="","",B831))</f>
        <v/>
      </c>
      <c r="AY831" s="136" t="str">
        <f>IF(AI803="","",IF(C831="","",C831))</f>
        <v/>
      </c>
      <c r="AZ831" s="136" t="str">
        <f>IF(AI803="","",IF(D831="","",D831))</f>
        <v/>
      </c>
      <c r="BA831" s="136" t="str">
        <f>IF(AI803="","",IF(E831="","",E831))</f>
        <v/>
      </c>
      <c r="BB831" s="136" t="str">
        <f>IF(AI803="","",IF(F831="","",F831))</f>
        <v/>
      </c>
      <c r="BC831" s="136" t="str">
        <f>IF(AI803="","",IF(G831="","",G831))</f>
        <v/>
      </c>
      <c r="BD831" s="136" t="str">
        <f>IF(AI803="","",IF(H831="","",H831))</f>
        <v/>
      </c>
      <c r="BE831" s="136" t="str">
        <f>IF(AI803="","",IF(I831="","",I831))</f>
        <v/>
      </c>
      <c r="BF831" s="136" t="str">
        <f>IF(AI803="","",IF(J831="","",J831))</f>
        <v/>
      </c>
      <c r="BG831" s="136" t="str">
        <f>IF(AI803="","",IF(K831="","",K831))</f>
        <v/>
      </c>
      <c r="BH831" s="136" t="str">
        <f>IF(AI803="","",IF(L831="","",L831))</f>
        <v/>
      </c>
      <c r="BI831" s="136" t="str">
        <f>IF(AI803="","",IF(M831="","",M831))</f>
        <v/>
      </c>
      <c r="BJ831" s="136" t="str">
        <f>IF(AI803="","",IF(N831="","",N831))</f>
        <v/>
      </c>
      <c r="BK831" s="136" t="str">
        <f>IF(AI803="","",IF(O831="","",O831))</f>
        <v/>
      </c>
      <c r="BM831" s="136" t="str">
        <f t="shared" ref="BM831:BM835" si="477">BM830</f>
        <v>TG</v>
      </c>
      <c r="BN831" s="136" t="str">
        <f t="shared" si="465"/>
        <v>Trabalho de Grupo</v>
      </c>
      <c r="BO831" s="136" t="str">
        <f t="shared" si="465"/>
        <v>IEI</v>
      </c>
      <c r="BP831" s="136">
        <f>(COUNTIFS(AX807:AX854,BM831,AY807:AY854,BO831)+COUNTIFS(AZ807:AZ854,BM831,BA807:BA854,BO831)+COUNTIFS(BB807:BB854,BM831,BC807:BC854,BO831)+COUNTIFS(BD807:BD854,BM831,BE807:BE854,BO831)+COUNTIFS(BF807:BF854,BM831,BG807:BG854,BO831)+COUNTIFS(BH807:BH854,BM831,BI807:BI854,BO831)+COUNTIFS(BJ807:BJ854,BM831,BK807:BK854,BO831))*0.5</f>
        <v>0</v>
      </c>
      <c r="BQ831" s="136" t="str">
        <f t="shared" si="466"/>
        <v>Trabalho de Grupo</v>
      </c>
      <c r="BR831" s="136" t="str">
        <f t="shared" si="466"/>
        <v>IEI</v>
      </c>
      <c r="BS831" s="136" t="str">
        <f t="shared" si="467"/>
        <v>Trabalho de Grupo</v>
      </c>
      <c r="BT831" s="136">
        <f t="shared" si="473"/>
        <v>0</v>
      </c>
      <c r="BU831" s="136">
        <f t="shared" si="474"/>
        <v>0</v>
      </c>
      <c r="CA831" s="136">
        <f>'INFO BASE'!L910</f>
        <v>0</v>
      </c>
      <c r="CB831" s="136">
        <f>'INFO BASE'!M910</f>
        <v>0</v>
      </c>
      <c r="CR831" s="177">
        <f t="shared" si="455"/>
        <v>1</v>
      </c>
      <c r="CS831" s="177">
        <f t="shared" si="456"/>
        <v>1</v>
      </c>
      <c r="CT831" s="177">
        <f t="shared" si="455"/>
        <v>1</v>
      </c>
      <c r="CU831" s="177">
        <f t="shared" si="457"/>
        <v>1</v>
      </c>
      <c r="CV831" s="177">
        <f t="shared" si="455"/>
        <v>1</v>
      </c>
      <c r="CW831" s="177">
        <f t="shared" si="458"/>
        <v>1</v>
      </c>
      <c r="CX831" s="177">
        <f t="shared" si="455"/>
        <v>1</v>
      </c>
      <c r="CY831" s="177">
        <f t="shared" si="459"/>
        <v>1</v>
      </c>
      <c r="CZ831" s="177">
        <f t="shared" si="455"/>
        <v>1</v>
      </c>
      <c r="DA831" s="177">
        <f t="shared" si="460"/>
        <v>1</v>
      </c>
      <c r="DB831" s="177">
        <f t="shared" si="455"/>
        <v>1</v>
      </c>
      <c r="DC831" s="177">
        <f t="shared" si="461"/>
        <v>1</v>
      </c>
      <c r="DD831" s="177">
        <f t="shared" si="462"/>
        <v>1</v>
      </c>
      <c r="DE831" s="177">
        <f t="shared" si="463"/>
        <v>1</v>
      </c>
    </row>
    <row r="832" spans="1:109" ht="18" customHeight="1" x14ac:dyDescent="0.3">
      <c r="A832" s="81">
        <v>0.52083333333335002</v>
      </c>
      <c r="B832" s="153"/>
      <c r="C832" s="130"/>
      <c r="D832" s="135"/>
      <c r="E832" s="130"/>
      <c r="F832" s="135"/>
      <c r="G832" s="130"/>
      <c r="H832" s="135"/>
      <c r="I832" s="130"/>
      <c r="J832" s="135"/>
      <c r="K832" s="130"/>
      <c r="L832" s="135"/>
      <c r="M832" s="130"/>
      <c r="N832" s="135"/>
      <c r="O832" s="154"/>
      <c r="P832" s="6">
        <v>0</v>
      </c>
      <c r="Q832" s="117" t="str">
        <f>IF('INFO BASE'!$C$19="","",'INFO BASE'!$C$19)</f>
        <v>Trabalho de Grupo</v>
      </c>
      <c r="R832" s="82" t="str">
        <f t="shared" si="472"/>
        <v>TG</v>
      </c>
      <c r="S832" s="83">
        <f t="shared" si="469"/>
        <v>-1</v>
      </c>
      <c r="T832" s="84">
        <f>IF(VLOOKUP(Q832,'INFO BASE'!$B$40:$I$54,IF(R832='INFO BASE'!$B$32,3,IF(R832='INFO BASE'!$B$33,4,IF(R832='INFO BASE'!$B$34,5,IF(R832='INFO BASE'!$B$35,6,IF(R832='INFO BASE'!$B$36,7,IF(R832='INFO BASE'!$B$37,8,2)))))),0)=0,"",VLOOKUP(Q832,'INFO BASE'!$B$40:$I$54,IF(R832='INFO BASE'!$B$32,3,IF(R832='INFO BASE'!$B$33,4,IF(R832='INFO BASE'!$B$34,5,IF(R832='INFO BASE'!$B$35,6,IF(R832='INFO BASE'!$B$36,7,IF(R832='INFO BASE'!$B$37,8,2)))))),0))</f>
        <v>15</v>
      </c>
      <c r="U832" s="84">
        <f>IF(R832="","",COUNTIFS(SEMANA15,R832)*0.5)</f>
        <v>0</v>
      </c>
      <c r="V832" s="84">
        <f>IF(R832="","",COUNTIFS(AI807:AV854,R832)*0.5)</f>
        <v>0</v>
      </c>
      <c r="W832" s="85" t="str">
        <f>IF(AH803="","-",IF(V832=0,U832,IFERROR((U832/V832)-1,"-")))</f>
        <v>-</v>
      </c>
      <c r="X832" s="201">
        <f t="shared" si="470"/>
        <v>0</v>
      </c>
      <c r="Y832" s="277"/>
      <c r="Z832" s="278"/>
      <c r="AA832" s="278"/>
      <c r="AB832" s="278"/>
      <c r="AC832" s="278"/>
      <c r="AD832" s="278"/>
      <c r="AE832" s="278"/>
      <c r="AF832" s="279"/>
      <c r="AH832" s="136">
        <v>0.52083333333335002</v>
      </c>
      <c r="AI832" s="136" t="str">
        <f>IF(AH803="","",IF(B832="","",B832))</f>
        <v/>
      </c>
      <c r="AJ832" s="136" t="str">
        <f>IF(AH803="","",IF(C832="","",C832))</f>
        <v/>
      </c>
      <c r="AK832" s="136" t="str">
        <f>IF(AH803="","",IF(D832="","",D832))</f>
        <v/>
      </c>
      <c r="AL832" s="136" t="str">
        <f>IF(AH803="","",IF(E832="","",E832))</f>
        <v/>
      </c>
      <c r="AM832" s="136" t="str">
        <f>IF(AH803="","",IF(F832="","",F832))</f>
        <v/>
      </c>
      <c r="AN832" s="136" t="str">
        <f>IF(AH803="","",IF(G832="","",G832))</f>
        <v/>
      </c>
      <c r="AO832" s="136" t="str">
        <f>IF(AH803="","",IF(H832="","",H832))</f>
        <v/>
      </c>
      <c r="AP832" s="136" t="str">
        <f>IF(AH803="","",IF(I832="","",I832))</f>
        <v/>
      </c>
      <c r="AQ832" s="136" t="str">
        <f>IF(AH803="","",IF(J832="","",J832))</f>
        <v/>
      </c>
      <c r="AR832" s="136" t="str">
        <f>IF(AH803="","",IF(K832="","",K832))</f>
        <v/>
      </c>
      <c r="AS832" s="136" t="str">
        <f>IF(AH803="","",IF(L832="","",L832))</f>
        <v/>
      </c>
      <c r="AT832" s="136" t="str">
        <f>IF(AH803="","",IF(M832="","",M832))</f>
        <v/>
      </c>
      <c r="AU832" s="136" t="str">
        <f>IF(AH803="","",IF(N832="","",N832))</f>
        <v/>
      </c>
      <c r="AV832" s="136" t="str">
        <f>IF(AH803="","",IF(O832="","",O832))</f>
        <v/>
      </c>
      <c r="AX832" s="136" t="str">
        <f>IF(AI803="","",IF(B832="","",B832))</f>
        <v/>
      </c>
      <c r="AY832" s="136" t="str">
        <f>IF(AI803="","",IF(C832="","",C832))</f>
        <v/>
      </c>
      <c r="AZ832" s="136" t="str">
        <f>IF(AI803="","",IF(D832="","",D832))</f>
        <v/>
      </c>
      <c r="BA832" s="136" t="str">
        <f>IF(AI803="","",IF(E832="","",E832))</f>
        <v/>
      </c>
      <c r="BB832" s="136" t="str">
        <f>IF(AI803="","",IF(F832="","",F832))</f>
        <v/>
      </c>
      <c r="BC832" s="136" t="str">
        <f>IF(AI803="","",IF(G832="","",G832))</f>
        <v/>
      </c>
      <c r="BD832" s="136" t="str">
        <f>IF(AI803="","",IF(H832="","",H832))</f>
        <v/>
      </c>
      <c r="BE832" s="136" t="str">
        <f>IF(AI803="","",IF(I832="","",I832))</f>
        <v/>
      </c>
      <c r="BF832" s="136" t="str">
        <f>IF(AI803="","",IF(J832="","",J832))</f>
        <v/>
      </c>
      <c r="BG832" s="136" t="str">
        <f>IF(AI803="","",IF(K832="","",K832))</f>
        <v/>
      </c>
      <c r="BH832" s="136" t="str">
        <f>IF(AI803="","",IF(L832="","",L832))</f>
        <v/>
      </c>
      <c r="BI832" s="136" t="str">
        <f>IF(AI803="","",IF(M832="","",M832))</f>
        <v/>
      </c>
      <c r="BJ832" s="136" t="str">
        <f>IF(AI803="","",IF(N832="","",N832))</f>
        <v/>
      </c>
      <c r="BK832" s="136" t="str">
        <f>IF(AI803="","",IF(O832="","",O832))</f>
        <v/>
      </c>
      <c r="BM832" s="136" t="str">
        <f t="shared" si="477"/>
        <v>TG</v>
      </c>
      <c r="BN832" s="136" t="str">
        <f t="shared" si="465"/>
        <v>Trabalho de Grupo</v>
      </c>
      <c r="BO832" s="136" t="str">
        <f t="shared" si="465"/>
        <v>IAC</v>
      </c>
      <c r="BP832" s="136">
        <f>(COUNTIFS(AX807:AX854,BM832,AY807:AY854,BO832)+COUNTIFS(AZ807:AZ854,BM832,BA807:BA854,BO832)+COUNTIFS(BB807:BB854,BM832,BC807:BC854,BO832)+COUNTIFS(BD807:BD854,BM832,BE807:BE854,BO832)+COUNTIFS(BF807:BF854,BM832,BG807:BG854,BO832)+COUNTIFS(BH807:BH854,BM832,BI807:BI854,BO832)+COUNTIFS(BJ807:BJ854,BM832,BK807:BK854,BO832))*0.5</f>
        <v>0</v>
      </c>
      <c r="BQ832" s="136" t="str">
        <f t="shared" si="466"/>
        <v>Trabalho de Grupo</v>
      </c>
      <c r="BR832" s="136" t="str">
        <f t="shared" si="466"/>
        <v>IAC</v>
      </c>
      <c r="BS832" s="136" t="str">
        <f t="shared" si="467"/>
        <v>Trabalho de Grupo</v>
      </c>
      <c r="BT832" s="136">
        <f t="shared" si="473"/>
        <v>0</v>
      </c>
      <c r="BU832" s="136">
        <f t="shared" si="474"/>
        <v>0</v>
      </c>
      <c r="CA832" s="136">
        <f>'INFO BASE'!L911</f>
        <v>0</v>
      </c>
      <c r="CB832" s="136">
        <f>'INFO BASE'!M911</f>
        <v>0</v>
      </c>
      <c r="CR832" s="177">
        <f t="shared" si="455"/>
        <v>1</v>
      </c>
      <c r="CS832" s="177">
        <f t="shared" si="456"/>
        <v>1</v>
      </c>
      <c r="CT832" s="177">
        <f t="shared" si="455"/>
        <v>1</v>
      </c>
      <c r="CU832" s="177">
        <f t="shared" si="457"/>
        <v>1</v>
      </c>
      <c r="CV832" s="177">
        <f t="shared" si="455"/>
        <v>1</v>
      </c>
      <c r="CW832" s="177">
        <f t="shared" si="458"/>
        <v>1</v>
      </c>
      <c r="CX832" s="177">
        <f t="shared" si="455"/>
        <v>1</v>
      </c>
      <c r="CY832" s="177">
        <f t="shared" si="459"/>
        <v>1</v>
      </c>
      <c r="CZ832" s="177">
        <f t="shared" si="455"/>
        <v>1</v>
      </c>
      <c r="DA832" s="177">
        <f t="shared" si="460"/>
        <v>1</v>
      </c>
      <c r="DB832" s="177">
        <f t="shared" si="455"/>
        <v>1</v>
      </c>
      <c r="DC832" s="177">
        <f t="shared" si="461"/>
        <v>1</v>
      </c>
      <c r="DD832" s="177">
        <f t="shared" si="462"/>
        <v>1</v>
      </c>
      <c r="DE832" s="177">
        <f t="shared" si="463"/>
        <v>1</v>
      </c>
    </row>
    <row r="833" spans="1:109" ht="18" customHeight="1" x14ac:dyDescent="0.3">
      <c r="A833" s="81">
        <v>0.54166666666668395</v>
      </c>
      <c r="B833" s="153"/>
      <c r="C833" s="130"/>
      <c r="D833" s="135"/>
      <c r="E833" s="130"/>
      <c r="F833" s="135"/>
      <c r="G833" s="130"/>
      <c r="H833" s="135"/>
      <c r="I833" s="130"/>
      <c r="J833" s="135"/>
      <c r="K833" s="130"/>
      <c r="L833" s="135"/>
      <c r="M833" s="130"/>
      <c r="N833" s="135"/>
      <c r="O833" s="154"/>
      <c r="P833" s="6">
        <v>0</v>
      </c>
      <c r="Q833" s="118" t="str">
        <f t="shared" ref="Q833:Q838" si="478">Q832</f>
        <v>Trabalho de Grupo</v>
      </c>
      <c r="R833" s="105" t="str">
        <f t="shared" si="472"/>
        <v>FP</v>
      </c>
      <c r="S833" s="88">
        <f t="shared" si="469"/>
        <v>-1</v>
      </c>
      <c r="T833" s="89">
        <f>IF(VLOOKUP(Q833,'INFO BASE'!$B$40:$I$54,IF(R833='INFO BASE'!$B$32,3,IF(R833='INFO BASE'!$B$33,4,IF(R833='INFO BASE'!$B$34,5,IF(R833='INFO BASE'!$B$35,6,IF(R833='INFO BASE'!$B$36,7,IF(R833='INFO BASE'!$B$37,8,2)))))),0)=0,"",VLOOKUP(Q833,'INFO BASE'!$B$40:$I$54,IF(R833='INFO BASE'!$B$32,3,IF(R833='INFO BASE'!$B$33,4,IF(R833='INFO BASE'!$B$34,5,IF(R833='INFO BASE'!$B$35,6,IF(R833='INFO BASE'!$B$36,7,IF(R833='INFO BASE'!$B$37,8,2)))))),0))</f>
        <v>3</v>
      </c>
      <c r="U833" s="89">
        <f>(COUNTIFS(C807:C854,R833,B807:B854,R832)+COUNTIFS(E807:E854,R833,D807:D854,R832)+COUNTIFS(G807:G854,R833,F807:F854,R832)+COUNTIFS(I807:I854,R833,H807:H854,R832)+COUNTIFS(K807:K854,R833,J807:J854,R832)+COUNTIFS(M807:M854,R833,L807:L854,R832)+COUNTIFS(O807:O854,R833,N807:N854,R832))*0.5</f>
        <v>0</v>
      </c>
      <c r="V833" s="89">
        <f>(COUNTIFS(AI807:AI854,R832,AJ807:AJ854,R826)+COUNTIFS(AK807:AK854,R832,AL807:AL854,R826)+COUNTIFS(AM807:AM854,R832,AN807:AN854,R826)+COUNTIFS(AO807:AO854,R832,AP807:AP854,R826)+COUNTIFS(AQ807:AQ854,R832,AR807:AR854,R826)+COUNTIFS(AS807:AS854,R832,AT807:AT854,R826)+COUNTIFS(AU807:AU854,R832,AV807:AV854,R826))*0.5</f>
        <v>0</v>
      </c>
      <c r="W833" s="90" t="str">
        <f>IF(AH803="","-",IF(V833=0,U833,IFERROR((U833/V833)-1,"-")))</f>
        <v>-</v>
      </c>
      <c r="X833" s="201">
        <f t="shared" si="470"/>
        <v>0</v>
      </c>
      <c r="Y833" s="271"/>
      <c r="Z833" s="272"/>
      <c r="AA833" s="272"/>
      <c r="AB833" s="272"/>
      <c r="AC833" s="272"/>
      <c r="AD833" s="272"/>
      <c r="AE833" s="272"/>
      <c r="AF833" s="273"/>
      <c r="AH833" s="136">
        <v>0.54166666666668395</v>
      </c>
      <c r="AI833" s="136" t="str">
        <f>IF(AH803="","",IF(B833="","",B833))</f>
        <v/>
      </c>
      <c r="AJ833" s="136" t="str">
        <f>IF(AH803="","",IF(C833="","",C833))</f>
        <v/>
      </c>
      <c r="AK833" s="136" t="str">
        <f>IF(AH803="","",IF(D833="","",D833))</f>
        <v/>
      </c>
      <c r="AL833" s="136" t="str">
        <f>IF(AH803="","",IF(E833="","",E833))</f>
        <v/>
      </c>
      <c r="AM833" s="136" t="str">
        <f>IF(AH803="","",IF(F833="","",F833))</f>
        <v/>
      </c>
      <c r="AN833" s="136" t="str">
        <f>IF(AH803="","",IF(G833="","",G833))</f>
        <v/>
      </c>
      <c r="AO833" s="136" t="str">
        <f>IF(AH803="","",IF(H833="","",H833))</f>
        <v/>
      </c>
      <c r="AP833" s="136" t="str">
        <f>IF(AH803="","",IF(I833="","",I833))</f>
        <v/>
      </c>
      <c r="AQ833" s="136" t="str">
        <f>IF(AH803="","",IF(J833="","",J833))</f>
        <v/>
      </c>
      <c r="AR833" s="136" t="str">
        <f>IF(AH803="","",IF(K833="","",K833))</f>
        <v/>
      </c>
      <c r="AS833" s="136" t="str">
        <f>IF(AH803="","",IF(L833="","",L833))</f>
        <v/>
      </c>
      <c r="AT833" s="136" t="str">
        <f>IF(AH803="","",IF(M833="","",M833))</f>
        <v/>
      </c>
      <c r="AU833" s="136" t="str">
        <f>IF(AH803="","",IF(N833="","",N833))</f>
        <v/>
      </c>
      <c r="AV833" s="136" t="str">
        <f>IF(AH803="","",IF(O833="","",O833))</f>
        <v/>
      </c>
      <c r="AX833" s="136" t="str">
        <f>IF(AI803="","",IF(B833="","",B833))</f>
        <v/>
      </c>
      <c r="AY833" s="136" t="str">
        <f>IF(AI803="","",IF(C833="","",C833))</f>
        <v/>
      </c>
      <c r="AZ833" s="136" t="str">
        <f>IF(AI803="","",IF(D833="","",D833))</f>
        <v/>
      </c>
      <c r="BA833" s="136" t="str">
        <f>IF(AI803="","",IF(E833="","",E833))</f>
        <v/>
      </c>
      <c r="BB833" s="136" t="str">
        <f>IF(AI803="","",IF(F833="","",F833))</f>
        <v/>
      </c>
      <c r="BC833" s="136" t="str">
        <f>IF(AI803="","",IF(G833="","",G833))</f>
        <v/>
      </c>
      <c r="BD833" s="136" t="str">
        <f>IF(AI803="","",IF(H833="","",H833))</f>
        <v/>
      </c>
      <c r="BE833" s="136" t="str">
        <f>IF(AI803="","",IF(I833="","",I833))</f>
        <v/>
      </c>
      <c r="BF833" s="136" t="str">
        <f>IF(AI803="","",IF(J833="","",J833))</f>
        <v/>
      </c>
      <c r="BG833" s="136" t="str">
        <f>IF(AI803="","",IF(K833="","",K833))</f>
        <v/>
      </c>
      <c r="BH833" s="136" t="str">
        <f>IF(AI803="","",IF(L833="","",L833))</f>
        <v/>
      </c>
      <c r="BI833" s="136" t="str">
        <f>IF(AI803="","",IF(M833="","",M833))</f>
        <v/>
      </c>
      <c r="BJ833" s="136" t="str">
        <f>IF(AI803="","",IF(N833="","",N833))</f>
        <v/>
      </c>
      <c r="BK833" s="136" t="str">
        <f>IF(AI803="","",IF(O833="","",O833))</f>
        <v/>
      </c>
      <c r="BM833" s="136" t="str">
        <f t="shared" si="477"/>
        <v>TG</v>
      </c>
      <c r="BN833" s="136" t="str">
        <f t="shared" si="465"/>
        <v>Trabalho de Grupo</v>
      </c>
      <c r="BO833" s="136" t="str">
        <f t="shared" si="465"/>
        <v>AL</v>
      </c>
      <c r="BP833" s="136">
        <f>(COUNTIFS(AX807:AX854,BM833,AY807:AY854,BO833)+COUNTIFS(AZ807:AZ854,BM833,BA807:BA854,BO833)+COUNTIFS(BB807:BB854,BM833,BC807:BC854,BO833)+COUNTIFS(BD807:BD854,BM833,BE807:BE854,BO833)+COUNTIFS(BF807:BF854,BM833,BG807:BG854,BO833)+COUNTIFS(BH807:BH854,BM833,BI807:BI854,BO833)+COUNTIFS(BJ807:BJ854,BM833,BK807:BK854,BO833))*0.5</f>
        <v>0</v>
      </c>
      <c r="BQ833" s="136" t="str">
        <f t="shared" si="466"/>
        <v>Trabalho de Grupo</v>
      </c>
      <c r="BR833" s="136" t="str">
        <f t="shared" si="466"/>
        <v>AL</v>
      </c>
      <c r="BS833" s="136" t="str">
        <f t="shared" si="467"/>
        <v>Trabalho de Grupo</v>
      </c>
      <c r="BT833" s="136">
        <f t="shared" si="473"/>
        <v>0</v>
      </c>
      <c r="BU833" s="136">
        <f t="shared" si="474"/>
        <v>0</v>
      </c>
      <c r="CA833" s="136">
        <f>'INFO BASE'!L912</f>
        <v>0</v>
      </c>
      <c r="CB833" s="136">
        <f>'INFO BASE'!M912</f>
        <v>0</v>
      </c>
      <c r="CR833" s="177">
        <f t="shared" si="455"/>
        <v>1</v>
      </c>
      <c r="CS833" s="177">
        <f t="shared" si="456"/>
        <v>1</v>
      </c>
      <c r="CT833" s="177">
        <f t="shared" si="455"/>
        <v>1</v>
      </c>
      <c r="CU833" s="177">
        <f t="shared" si="457"/>
        <v>1</v>
      </c>
      <c r="CV833" s="177">
        <f t="shared" si="455"/>
        <v>1</v>
      </c>
      <c r="CW833" s="177">
        <f t="shared" si="458"/>
        <v>1</v>
      </c>
      <c r="CX833" s="177">
        <f t="shared" si="455"/>
        <v>1</v>
      </c>
      <c r="CY833" s="177">
        <f t="shared" si="459"/>
        <v>1</v>
      </c>
      <c r="CZ833" s="177">
        <f t="shared" si="455"/>
        <v>1</v>
      </c>
      <c r="DA833" s="177">
        <f t="shared" si="460"/>
        <v>1</v>
      </c>
      <c r="DB833" s="177">
        <f t="shared" si="455"/>
        <v>1</v>
      </c>
      <c r="DC833" s="177">
        <f t="shared" si="461"/>
        <v>1</v>
      </c>
      <c r="DD833" s="177">
        <f t="shared" si="462"/>
        <v>1</v>
      </c>
      <c r="DE833" s="177">
        <f t="shared" si="463"/>
        <v>1</v>
      </c>
    </row>
    <row r="834" spans="1:109" ht="18" customHeight="1" x14ac:dyDescent="0.3">
      <c r="A834" s="81">
        <v>0.56250000000001799</v>
      </c>
      <c r="B834" s="153"/>
      <c r="C834" s="130"/>
      <c r="D834" s="135"/>
      <c r="E834" s="130"/>
      <c r="F834" s="135"/>
      <c r="G834" s="130"/>
      <c r="H834" s="135"/>
      <c r="I834" s="130"/>
      <c r="J834" s="135"/>
      <c r="K834" s="130"/>
      <c r="L834" s="135"/>
      <c r="M834" s="130"/>
      <c r="N834" s="135"/>
      <c r="O834" s="154"/>
      <c r="P834" s="6">
        <v>0</v>
      </c>
      <c r="Q834" s="118" t="str">
        <f t="shared" si="478"/>
        <v>Trabalho de Grupo</v>
      </c>
      <c r="R834" s="105" t="str">
        <f t="shared" si="472"/>
        <v>IEI</v>
      </c>
      <c r="S834" s="88">
        <f t="shared" si="469"/>
        <v>-1</v>
      </c>
      <c r="T834" s="89">
        <f>IF(VLOOKUP(Q834,'INFO BASE'!$B$40:$I$54,IF(R834='INFO BASE'!$B$32,3,IF(R834='INFO BASE'!$B$33,4,IF(R834='INFO BASE'!$B$34,5,IF(R834='INFO BASE'!$B$35,6,IF(R834='INFO BASE'!$B$36,7,IF(R834='INFO BASE'!$B$37,8,2)))))),0)=0,"",VLOOKUP(Q834,'INFO BASE'!$B$40:$I$54,IF(R834='INFO BASE'!$B$32,3,IF(R834='INFO BASE'!$B$33,4,IF(R834='INFO BASE'!$B$34,5,IF(R834='INFO BASE'!$B$35,6,IF(R834='INFO BASE'!$B$36,7,IF(R834='INFO BASE'!$B$37,8,2)))))),0))</f>
        <v>3</v>
      </c>
      <c r="U834" s="89">
        <f>(COUNTIFS(C807:C854,R834,B807:B854,R832)+COUNTIFS(E807:E854,R834,D807:D854,R832)+COUNTIFS(G807:G854,R834,F807:F854,R832)+COUNTIFS(I807:I854,R834,H807:H854,R832)+COUNTIFS(K807:K854,R834,J807:J854,R832)+COUNTIFS(M807:M854,R834,L807:L854,R832)+COUNTIFS(O807:O854,R834,N807:N854,R832))*0.5</f>
        <v>0</v>
      </c>
      <c r="V834" s="89">
        <f>(COUNTIFS(AI807:AI854,R832,AJ807:AJ854,R827)+COUNTIFS(AK807:AK854,R832,AL807:AL854,R827)+COUNTIFS(AM807:AM854,R832,AN807:AN854,R827)+COUNTIFS(AO807:AO854,R832,AP807:AP854,R827)+COUNTIFS(AQ807:AQ854,R832,AR807:AR854,R827)+COUNTIFS(AS807:AS854,R832,AT807:AT854,R827)+COUNTIFS(AU807:AU854,R832,AV807:AV854,R827))*0.5</f>
        <v>0</v>
      </c>
      <c r="W834" s="90" t="str">
        <f>IF(AH803="","-",IF(V834=0,U834,IFERROR((U834/V834)-1,"-")))</f>
        <v>-</v>
      </c>
      <c r="X834" s="201">
        <f t="shared" si="470"/>
        <v>0</v>
      </c>
      <c r="Y834" s="271"/>
      <c r="Z834" s="272"/>
      <c r="AA834" s="272"/>
      <c r="AB834" s="272"/>
      <c r="AC834" s="272"/>
      <c r="AD834" s="272"/>
      <c r="AE834" s="272"/>
      <c r="AF834" s="273"/>
      <c r="AH834" s="136">
        <v>0.56250000000001799</v>
      </c>
      <c r="AI834" s="136" t="str">
        <f>IF(AH803="","",IF(B834="","",B834))</f>
        <v/>
      </c>
      <c r="AJ834" s="136" t="str">
        <f>IF(AH803="","",IF(C834="","",C834))</f>
        <v/>
      </c>
      <c r="AK834" s="136" t="str">
        <f>IF(AH803="","",IF(D834="","",D834))</f>
        <v/>
      </c>
      <c r="AL834" s="136" t="str">
        <f>IF(AH803="","",IF(E834="","",E834))</f>
        <v/>
      </c>
      <c r="AM834" s="136" t="str">
        <f>IF(AH803="","",IF(F834="","",F834))</f>
        <v/>
      </c>
      <c r="AN834" s="136" t="str">
        <f>IF(AH803="","",IF(G834="","",G834))</f>
        <v/>
      </c>
      <c r="AO834" s="136" t="str">
        <f>IF(AH803="","",IF(H834="","",H834))</f>
        <v/>
      </c>
      <c r="AP834" s="136" t="str">
        <f>IF(AH803="","",IF(I834="","",I834))</f>
        <v/>
      </c>
      <c r="AQ834" s="136" t="str">
        <f>IF(AH803="","",IF(J834="","",J834))</f>
        <v/>
      </c>
      <c r="AR834" s="136" t="str">
        <f>IF(AH803="","",IF(K834="","",K834))</f>
        <v/>
      </c>
      <c r="AS834" s="136" t="str">
        <f>IF(AH803="","",IF(L834="","",L834))</f>
        <v/>
      </c>
      <c r="AT834" s="136" t="str">
        <f>IF(AH803="","",IF(M834="","",M834))</f>
        <v/>
      </c>
      <c r="AU834" s="136" t="str">
        <f>IF(AH803="","",IF(N834="","",N834))</f>
        <v/>
      </c>
      <c r="AV834" s="136" t="str">
        <f>IF(AH803="","",IF(O834="","",O834))</f>
        <v/>
      </c>
      <c r="AX834" s="136" t="str">
        <f>IF(AI803="","",IF(B834="","",B834))</f>
        <v/>
      </c>
      <c r="AY834" s="136" t="str">
        <f>IF(AI803="","",IF(C834="","",C834))</f>
        <v/>
      </c>
      <c r="AZ834" s="136" t="str">
        <f>IF(AI803="","",IF(D834="","",D834))</f>
        <v/>
      </c>
      <c r="BA834" s="136" t="str">
        <f>IF(AI803="","",IF(E834="","",E834))</f>
        <v/>
      </c>
      <c r="BB834" s="136" t="str">
        <f>IF(AI803="","",IF(F834="","",F834))</f>
        <v/>
      </c>
      <c r="BC834" s="136" t="str">
        <f>IF(AI803="","",IF(G834="","",G834))</f>
        <v/>
      </c>
      <c r="BD834" s="136" t="str">
        <f>IF(AI803="","",IF(H834="","",H834))</f>
        <v/>
      </c>
      <c r="BE834" s="136" t="str">
        <f>IF(AI803="","",IF(I834="","",I834))</f>
        <v/>
      </c>
      <c r="BF834" s="136" t="str">
        <f>IF(AI803="","",IF(J834="","",J834))</f>
        <v/>
      </c>
      <c r="BG834" s="136" t="str">
        <f>IF(AI803="","",IF(K834="","",K834))</f>
        <v/>
      </c>
      <c r="BH834" s="136" t="str">
        <f>IF(AI803="","",IF(L834="","",L834))</f>
        <v/>
      </c>
      <c r="BI834" s="136" t="str">
        <f>IF(AI803="","",IF(M834="","",M834))</f>
        <v/>
      </c>
      <c r="BJ834" s="136" t="str">
        <f>IF(AI803="","",IF(N834="","",N834))</f>
        <v/>
      </c>
      <c r="BK834" s="136" t="str">
        <f>IF(AI803="","",IF(O834="","",O834))</f>
        <v/>
      </c>
      <c r="BM834" s="136" t="str">
        <f t="shared" si="477"/>
        <v>TG</v>
      </c>
      <c r="BN834" s="136" t="str">
        <f t="shared" si="465"/>
        <v>Trabalho de Grupo</v>
      </c>
      <c r="BO834" s="136" t="str">
        <f t="shared" si="465"/>
        <v>CDI</v>
      </c>
      <c r="BP834" s="136">
        <f>(COUNTIFS(AX807:AX854,BM834,AY807:AY854,BO834)+COUNTIFS(AZ807:AZ854,BM834,BA807:BA854,BO834)+COUNTIFS(BB807:BB854,BM834,BC807:BC854,BO834)+COUNTIFS(BD807:BD854,BM834,BE807:BE854,BO834)+COUNTIFS(BF807:BF854,BM834,BG807:BG854,BO834)+COUNTIFS(BH807:BH854,BM834,BI807:BI854,BO834)+COUNTIFS(BJ807:BJ854,BM834,BK807:BK854,BO834))*0.5</f>
        <v>0</v>
      </c>
      <c r="BQ834" s="136" t="str">
        <f t="shared" si="466"/>
        <v>Trabalho de Grupo</v>
      </c>
      <c r="BR834" s="136" t="str">
        <f t="shared" si="466"/>
        <v>CDI</v>
      </c>
      <c r="BS834" s="136" t="str">
        <f t="shared" si="467"/>
        <v>Trabalho de Grupo</v>
      </c>
      <c r="BT834" s="136">
        <f t="shared" si="473"/>
        <v>0</v>
      </c>
      <c r="BU834" s="136">
        <f t="shared" si="474"/>
        <v>0</v>
      </c>
      <c r="CA834" s="136">
        <f>'INFO BASE'!L913</f>
        <v>0</v>
      </c>
      <c r="CB834" s="136">
        <f>'INFO BASE'!M913</f>
        <v>0</v>
      </c>
      <c r="CR834" s="177">
        <f t="shared" si="455"/>
        <v>1</v>
      </c>
      <c r="CS834" s="177">
        <f t="shared" si="456"/>
        <v>1</v>
      </c>
      <c r="CT834" s="177">
        <f t="shared" si="455"/>
        <v>1</v>
      </c>
      <c r="CU834" s="177">
        <f t="shared" si="457"/>
        <v>1</v>
      </c>
      <c r="CV834" s="177">
        <f t="shared" si="455"/>
        <v>1</v>
      </c>
      <c r="CW834" s="177">
        <f t="shared" si="458"/>
        <v>1</v>
      </c>
      <c r="CX834" s="177">
        <f t="shared" si="455"/>
        <v>1</v>
      </c>
      <c r="CY834" s="177">
        <f t="shared" si="459"/>
        <v>1</v>
      </c>
      <c r="CZ834" s="177">
        <f t="shared" si="455"/>
        <v>1</v>
      </c>
      <c r="DA834" s="177">
        <f t="shared" si="460"/>
        <v>1</v>
      </c>
      <c r="DB834" s="177">
        <f t="shared" si="455"/>
        <v>1</v>
      </c>
      <c r="DC834" s="177">
        <f t="shared" si="461"/>
        <v>1</v>
      </c>
      <c r="DD834" s="177">
        <f t="shared" si="462"/>
        <v>1</v>
      </c>
      <c r="DE834" s="177">
        <f t="shared" si="463"/>
        <v>1</v>
      </c>
    </row>
    <row r="835" spans="1:109" ht="18" customHeight="1" x14ac:dyDescent="0.3">
      <c r="A835" s="81">
        <v>0.58333333333335202</v>
      </c>
      <c r="B835" s="153"/>
      <c r="C835" s="130"/>
      <c r="D835" s="135"/>
      <c r="E835" s="130"/>
      <c r="F835" s="135"/>
      <c r="G835" s="130"/>
      <c r="H835" s="135"/>
      <c r="I835" s="130"/>
      <c r="J835" s="135"/>
      <c r="K835" s="130"/>
      <c r="L835" s="135"/>
      <c r="M835" s="130"/>
      <c r="N835" s="135"/>
      <c r="O835" s="154"/>
      <c r="P835" s="6">
        <v>0</v>
      </c>
      <c r="Q835" s="119" t="str">
        <f t="shared" si="478"/>
        <v>Trabalho de Grupo</v>
      </c>
      <c r="R835" s="105" t="str">
        <f t="shared" si="472"/>
        <v>IAC</v>
      </c>
      <c r="S835" s="88">
        <f t="shared" si="469"/>
        <v>-1</v>
      </c>
      <c r="T835" s="89">
        <f>IF(VLOOKUP(Q835,'INFO BASE'!$B$40:$I$54,IF(R835='INFO BASE'!$B$32,3,IF(R835='INFO BASE'!$B$33,4,IF(R835='INFO BASE'!$B$34,5,IF(R835='INFO BASE'!$B$35,6,IF(R835='INFO BASE'!$B$36,7,IF(R835='INFO BASE'!$B$37,8,2)))))),0)=0,"",VLOOKUP(Q835,'INFO BASE'!$B$40:$I$54,IF(R835='INFO BASE'!$B$32,3,IF(R835='INFO BASE'!$B$33,4,IF(R835='INFO BASE'!$B$34,5,IF(R835='INFO BASE'!$B$35,6,IF(R835='INFO BASE'!$B$36,7,IF(R835='INFO BASE'!$B$37,8,2)))))),0))</f>
        <v>3</v>
      </c>
      <c r="U835" s="89">
        <f>(COUNTIFS(C807:C854,R835,B807:B854,R832)+COUNTIFS(E807:E854,R835,D807:D854,R832)+COUNTIFS(G807:G854,R835,F807:F854,R832)+COUNTIFS(I807:I854,R835,H807:H854,R832)+COUNTIFS(K807:K854,R835,J807:J854,R832)+COUNTIFS(M807:M854,R835,L807:L854,R832)+COUNTIFS(O807:O854,R835,N807:N854,R832))*0.5</f>
        <v>0</v>
      </c>
      <c r="V835" s="89">
        <f>(COUNTIFS(AI807:AI854,R832,AJ807:AJ854,R828)+COUNTIFS(AK807:AK854,R832,AL807:AL854,R828)+COUNTIFS(AM807:AM854,R832,AN807:AN854,R828)+COUNTIFS(AO807:AO854,R832,AP807:AP854,R828)+COUNTIFS(AQ807:AQ854,R832,AR807:AR854,R828)+COUNTIFS(AS807:AS854,R832,AT807:AT854,R828)+COUNTIFS(AU807:AU854,R832,AV807:AV854,R828))*0.5</f>
        <v>0</v>
      </c>
      <c r="W835" s="90" t="str">
        <f>IF(AH803="","-",IF(V835=0,U835,IFERROR((U835/V835)-1,"-")))</f>
        <v>-</v>
      </c>
      <c r="X835" s="201">
        <f t="shared" si="470"/>
        <v>0</v>
      </c>
      <c r="Y835" s="271"/>
      <c r="Z835" s="272"/>
      <c r="AA835" s="272"/>
      <c r="AB835" s="272"/>
      <c r="AC835" s="272"/>
      <c r="AD835" s="272"/>
      <c r="AE835" s="272"/>
      <c r="AF835" s="273"/>
      <c r="AH835" s="136">
        <v>0.58333333333335202</v>
      </c>
      <c r="AI835" s="136" t="str">
        <f>IF(AH803="","",IF(B835="","",B835))</f>
        <v/>
      </c>
      <c r="AJ835" s="136" t="str">
        <f>IF(AH803="","",IF(C835="","",C835))</f>
        <v/>
      </c>
      <c r="AK835" s="136" t="str">
        <f>IF(AH803="","",IF(D835="","",D835))</f>
        <v/>
      </c>
      <c r="AL835" s="136" t="str">
        <f>IF(AH803="","",IF(E835="","",E835))</f>
        <v/>
      </c>
      <c r="AM835" s="136" t="str">
        <f>IF(AH803="","",IF(F835="","",F835))</f>
        <v/>
      </c>
      <c r="AN835" s="136" t="str">
        <f>IF(AH803="","",IF(G835="","",G835))</f>
        <v/>
      </c>
      <c r="AO835" s="136" t="str">
        <f>IF(AH803="","",IF(H835="","",H835))</f>
        <v/>
      </c>
      <c r="AP835" s="136" t="str">
        <f>IF(AH803="","",IF(I835="","",I835))</f>
        <v/>
      </c>
      <c r="AQ835" s="136" t="str">
        <f>IF(AH803="","",IF(J835="","",J835))</f>
        <v/>
      </c>
      <c r="AR835" s="136" t="str">
        <f>IF(AH803="","",IF(K835="","",K835))</f>
        <v/>
      </c>
      <c r="AS835" s="136" t="str">
        <f>IF(AH803="","",IF(L835="","",L835))</f>
        <v/>
      </c>
      <c r="AT835" s="136" t="str">
        <f>IF(AH803="","",IF(M835="","",M835))</f>
        <v/>
      </c>
      <c r="AU835" s="136" t="str">
        <f>IF(AH803="","",IF(N835="","",N835))</f>
        <v/>
      </c>
      <c r="AV835" s="136" t="str">
        <f>IF(AH803="","",IF(O835="","",O835))</f>
        <v/>
      </c>
      <c r="AX835" s="136" t="str">
        <f>IF(AI803="","",IF(B835="","",B835))</f>
        <v/>
      </c>
      <c r="AY835" s="136" t="str">
        <f>IF(AI803="","",IF(C835="","",C835))</f>
        <v/>
      </c>
      <c r="AZ835" s="136" t="str">
        <f>IF(AI803="","",IF(D835="","",D835))</f>
        <v/>
      </c>
      <c r="BA835" s="136" t="str">
        <f>IF(AI803="","",IF(E835="","",E835))</f>
        <v/>
      </c>
      <c r="BB835" s="136" t="str">
        <f>IF(AI803="","",IF(F835="","",F835))</f>
        <v/>
      </c>
      <c r="BC835" s="136" t="str">
        <f>IF(AI803="","",IF(G835="","",G835))</f>
        <v/>
      </c>
      <c r="BD835" s="136" t="str">
        <f>IF(AI803="","",IF(H835="","",H835))</f>
        <v/>
      </c>
      <c r="BE835" s="136" t="str">
        <f>IF(AI803="","",IF(I835="","",I835))</f>
        <v/>
      </c>
      <c r="BF835" s="136" t="str">
        <f>IF(AI803="","",IF(J835="","",J835))</f>
        <v/>
      </c>
      <c r="BG835" s="136" t="str">
        <f>IF(AI803="","",IF(K835="","",K835))</f>
        <v/>
      </c>
      <c r="BH835" s="136" t="str">
        <f>IF(AI803="","",IF(L835="","",L835))</f>
        <v/>
      </c>
      <c r="BI835" s="136" t="str">
        <f>IF(AI803="","",IF(M835="","",M835))</f>
        <v/>
      </c>
      <c r="BJ835" s="136" t="str">
        <f>IF(AI803="","",IF(N835="","",N835))</f>
        <v/>
      </c>
      <c r="BK835" s="136" t="str">
        <f>IF(AI803="","",IF(O835="","",O835))</f>
        <v/>
      </c>
      <c r="BM835" s="136" t="str">
        <f t="shared" si="477"/>
        <v>TG</v>
      </c>
      <c r="BN835" s="136" t="str">
        <f t="shared" si="465"/>
        <v>Trabalho de Grupo</v>
      </c>
      <c r="BO835" s="136" t="str">
        <f t="shared" si="465"/>
        <v/>
      </c>
      <c r="BP835" s="136">
        <f>(COUNTIFS(AX807:AX854,BM835,AY807:AY854,BO835)+COUNTIFS(AZ807:AZ854,BM835,BA807:BA854,BO835)+COUNTIFS(BB807:BB854,BM835,BC807:BC854,BO835)+COUNTIFS(BD807:BD854,BM835,BE807:BE854,BO835)+COUNTIFS(BF807:BF854,BM835,BG807:BG854,BO835)+COUNTIFS(BH807:BH854,BM835,BI807:BI854,BO835)+COUNTIFS(BJ807:BJ854,BM835,BK807:BK854,BO835))*0.5</f>
        <v>0</v>
      </c>
      <c r="BQ835" s="136" t="str">
        <f t="shared" si="466"/>
        <v>Trabalho de Grupo</v>
      </c>
      <c r="BR835" s="136" t="str">
        <f t="shared" si="466"/>
        <v/>
      </c>
      <c r="BS835" s="136" t="str">
        <f t="shared" si="467"/>
        <v>Trabalho de Grupo</v>
      </c>
      <c r="BT835" s="136">
        <f t="shared" si="473"/>
        <v>0</v>
      </c>
      <c r="BU835" s="136">
        <f t="shared" si="474"/>
        <v>0</v>
      </c>
      <c r="CA835" s="136">
        <f>'INFO BASE'!L914</f>
        <v>0</v>
      </c>
      <c r="CB835" s="136">
        <f>'INFO BASE'!M914</f>
        <v>0</v>
      </c>
      <c r="CR835" s="177">
        <f t="shared" si="455"/>
        <v>1</v>
      </c>
      <c r="CS835" s="177">
        <f t="shared" si="456"/>
        <v>1</v>
      </c>
      <c r="CT835" s="177">
        <f t="shared" si="455"/>
        <v>1</v>
      </c>
      <c r="CU835" s="177">
        <f t="shared" si="457"/>
        <v>1</v>
      </c>
      <c r="CV835" s="177">
        <f t="shared" si="455"/>
        <v>1</v>
      </c>
      <c r="CW835" s="177">
        <f t="shared" si="458"/>
        <v>1</v>
      </c>
      <c r="CX835" s="177">
        <f t="shared" si="455"/>
        <v>1</v>
      </c>
      <c r="CY835" s="177">
        <f t="shared" si="459"/>
        <v>1</v>
      </c>
      <c r="CZ835" s="177">
        <f t="shared" si="455"/>
        <v>1</v>
      </c>
      <c r="DA835" s="177">
        <f t="shared" si="460"/>
        <v>1</v>
      </c>
      <c r="DB835" s="177">
        <f t="shared" si="455"/>
        <v>1</v>
      </c>
      <c r="DC835" s="177">
        <f t="shared" si="461"/>
        <v>1</v>
      </c>
      <c r="DD835" s="177">
        <f t="shared" si="462"/>
        <v>1</v>
      </c>
      <c r="DE835" s="177">
        <f t="shared" si="463"/>
        <v>1</v>
      </c>
    </row>
    <row r="836" spans="1:109" ht="18" customHeight="1" x14ac:dyDescent="0.3">
      <c r="A836" s="81">
        <v>0.60416666666668595</v>
      </c>
      <c r="B836" s="153"/>
      <c r="C836" s="130"/>
      <c r="D836" s="135"/>
      <c r="E836" s="130"/>
      <c r="F836" s="135"/>
      <c r="G836" s="130"/>
      <c r="H836" s="135"/>
      <c r="I836" s="130"/>
      <c r="J836" s="135"/>
      <c r="K836" s="130"/>
      <c r="L836" s="135"/>
      <c r="M836" s="130"/>
      <c r="N836" s="135"/>
      <c r="O836" s="154"/>
      <c r="P836" s="6">
        <v>0</v>
      </c>
      <c r="Q836" s="118" t="str">
        <f t="shared" si="478"/>
        <v>Trabalho de Grupo</v>
      </c>
      <c r="R836" s="105" t="str">
        <f t="shared" si="472"/>
        <v>AL</v>
      </c>
      <c r="S836" s="88">
        <f t="shared" si="469"/>
        <v>-1</v>
      </c>
      <c r="T836" s="89">
        <f>IF(VLOOKUP(Q836,'INFO BASE'!$B$40:$I$54,IF(R836='INFO BASE'!$B$32,3,IF(R836='INFO BASE'!$B$33,4,IF(R836='INFO BASE'!$B$34,5,IF(R836='INFO BASE'!$B$35,6,IF(R836='INFO BASE'!$B$36,7,IF(R836='INFO BASE'!$B$37,8,2)))))),0)=0,"",VLOOKUP(Q836,'INFO BASE'!$B$40:$I$54,IF(R836='INFO BASE'!$B$32,3,IF(R836='INFO BASE'!$B$33,4,IF(R836='INFO BASE'!$B$34,5,IF(R836='INFO BASE'!$B$35,6,IF(R836='INFO BASE'!$B$36,7,IF(R836='INFO BASE'!$B$37,8,2)))))),0))</f>
        <v>3</v>
      </c>
      <c r="U836" s="89">
        <f>(COUNTIFS(C807:C854,R836,B807:B854,R832)+COUNTIFS(E807:E854,R836,D807:D854,R832)+COUNTIFS(G807:G854,R836,F807:F854,R832)+COUNTIFS(I807:I854,R836,H807:H854,R832)+COUNTIFS(K807:K854,R836,J807:J854,R832)+COUNTIFS(M807:M854,R836,L807:L854,R832)+COUNTIFS(O807:O854,R836,N807:N854,R832))*0.5</f>
        <v>0</v>
      </c>
      <c r="V836" s="89">
        <f>(COUNTIFS(AI807:AI854,R832,AJ807:AJ854,R829)+COUNTIFS(AK807:AK854,R832,AL807:AL854,R829)+COUNTIFS(AM807:AM854,R832,AN807:AN854,R829)+COUNTIFS(AO807:AO854,R832,AP807:AP854,R829)+COUNTIFS(AQ807:AQ854,R832,AR807:AR854,R829)+COUNTIFS(AS807:AS854,R832,AT807:AT854,R829)+COUNTIFS(AU807:AU854,R832,AV807:AV854,R829))*0.5</f>
        <v>0</v>
      </c>
      <c r="W836" s="90" t="str">
        <f>IF(AH803="","-",IF(V836=0,U836,IFERROR((U836/V836)-1,"-")))</f>
        <v>-</v>
      </c>
      <c r="X836" s="201">
        <f t="shared" si="470"/>
        <v>0</v>
      </c>
      <c r="Y836" s="271"/>
      <c r="Z836" s="272"/>
      <c r="AA836" s="272"/>
      <c r="AB836" s="272"/>
      <c r="AC836" s="272"/>
      <c r="AD836" s="272"/>
      <c r="AE836" s="272"/>
      <c r="AF836" s="273"/>
      <c r="AH836" s="136">
        <v>0.60416666666668595</v>
      </c>
      <c r="AI836" s="136" t="str">
        <f>IF(AH803="","",IF(B836="","",B836))</f>
        <v/>
      </c>
      <c r="AJ836" s="136" t="str">
        <f>IF(AH803="","",IF(C836="","",C836))</f>
        <v/>
      </c>
      <c r="AK836" s="136" t="str">
        <f>IF(AH803="","",IF(D836="","",D836))</f>
        <v/>
      </c>
      <c r="AL836" s="136" t="str">
        <f>IF(AH803="","",IF(E836="","",E836))</f>
        <v/>
      </c>
      <c r="AM836" s="136" t="str">
        <f>IF(AH803="","",IF(F836="","",F836))</f>
        <v/>
      </c>
      <c r="AN836" s="136" t="str">
        <f>IF(AH803="","",IF(G836="","",G836))</f>
        <v/>
      </c>
      <c r="AO836" s="136" t="str">
        <f>IF(AH803="","",IF(H836="","",H836))</f>
        <v/>
      </c>
      <c r="AP836" s="136" t="str">
        <f>IF(AH803="","",IF(I836="","",I836))</f>
        <v/>
      </c>
      <c r="AQ836" s="136" t="str">
        <f>IF(AH803="","",IF(J836="","",J836))</f>
        <v/>
      </c>
      <c r="AR836" s="136" t="str">
        <f>IF(AH803="","",IF(K836="","",K836))</f>
        <v/>
      </c>
      <c r="AS836" s="136" t="str">
        <f>IF(AH803="","",IF(L836="","",L836))</f>
        <v/>
      </c>
      <c r="AT836" s="136" t="str">
        <f>IF(AH803="","",IF(M836="","",M836))</f>
        <v/>
      </c>
      <c r="AU836" s="136" t="str">
        <f>IF(AH803="","",IF(N836="","",N836))</f>
        <v/>
      </c>
      <c r="AV836" s="136" t="str">
        <f>IF(AH803="","",IF(O836="","",O836))</f>
        <v/>
      </c>
      <c r="AX836" s="136" t="str">
        <f>IF(AI803="","",IF(B836="","",B836))</f>
        <v/>
      </c>
      <c r="AY836" s="136" t="str">
        <f>IF(AI803="","",IF(C836="","",C836))</f>
        <v/>
      </c>
      <c r="AZ836" s="136" t="str">
        <f>IF(AI803="","",IF(D836="","",D836))</f>
        <v/>
      </c>
      <c r="BA836" s="136" t="str">
        <f>IF(AI803="","",IF(E836="","",E836))</f>
        <v/>
      </c>
      <c r="BB836" s="136" t="str">
        <f>IF(AI803="","",IF(F836="","",F836))</f>
        <v/>
      </c>
      <c r="BC836" s="136" t="str">
        <f>IF(AI803="","",IF(G836="","",G836))</f>
        <v/>
      </c>
      <c r="BD836" s="136" t="str">
        <f>IF(AI803="","",IF(H836="","",H836))</f>
        <v/>
      </c>
      <c r="BE836" s="136" t="str">
        <f>IF(AI803="","",IF(I836="","",I836))</f>
        <v/>
      </c>
      <c r="BF836" s="136" t="str">
        <f>IF(AI803="","",IF(J836="","",J836))</f>
        <v/>
      </c>
      <c r="BG836" s="136" t="str">
        <f>IF(AI803="","",IF(K836="","",K836))</f>
        <v/>
      </c>
      <c r="BH836" s="136" t="str">
        <f>IF(AI803="","",IF(L836="","",L836))</f>
        <v/>
      </c>
      <c r="BI836" s="136" t="str">
        <f>IF(AI803="","",IF(M836="","",M836))</f>
        <v/>
      </c>
      <c r="BJ836" s="136" t="str">
        <f>IF(AI803="","",IF(N836="","",N836))</f>
        <v/>
      </c>
      <c r="BK836" s="136" t="str">
        <f>IF(AI803="","",IF(O836="","",O836))</f>
        <v/>
      </c>
      <c r="BM836" s="136" t="str">
        <f>BO836</f>
        <v>AT</v>
      </c>
      <c r="BN836" s="136" t="str">
        <f t="shared" si="465"/>
        <v>Aulas Teóricas</v>
      </c>
      <c r="BO836" s="136" t="str">
        <f t="shared" si="465"/>
        <v>AT</v>
      </c>
      <c r="BP836" s="136">
        <f>COUNTIFS(AX807:BK854,BO836)*0.5</f>
        <v>0</v>
      </c>
      <c r="BQ836" s="136" t="str">
        <f t="shared" si="466"/>
        <v>Aulas Teóricas</v>
      </c>
      <c r="BR836" s="136" t="str">
        <f t="shared" si="466"/>
        <v>AT</v>
      </c>
      <c r="BS836" s="136" t="str">
        <f t="shared" si="467"/>
        <v>Aulas Teóricas</v>
      </c>
      <c r="BT836" s="136">
        <f t="shared" si="473"/>
        <v>120</v>
      </c>
      <c r="BU836" s="136">
        <f t="shared" si="474"/>
        <v>120</v>
      </c>
      <c r="CA836" s="136">
        <f>'INFO BASE'!L915</f>
        <v>0</v>
      </c>
      <c r="CB836" s="136">
        <f>'INFO BASE'!M915</f>
        <v>0</v>
      </c>
      <c r="CR836" s="177">
        <f t="shared" si="455"/>
        <v>1</v>
      </c>
      <c r="CS836" s="177">
        <f t="shared" si="456"/>
        <v>1</v>
      </c>
      <c r="CT836" s="177">
        <f t="shared" si="455"/>
        <v>1</v>
      </c>
      <c r="CU836" s="177">
        <f t="shared" si="457"/>
        <v>1</v>
      </c>
      <c r="CV836" s="177">
        <f t="shared" si="455"/>
        <v>1</v>
      </c>
      <c r="CW836" s="177">
        <f t="shared" si="458"/>
        <v>1</v>
      </c>
      <c r="CX836" s="177">
        <f t="shared" si="455"/>
        <v>1</v>
      </c>
      <c r="CY836" s="177">
        <f t="shared" si="459"/>
        <v>1</v>
      </c>
      <c r="CZ836" s="177">
        <f t="shared" si="455"/>
        <v>1</v>
      </c>
      <c r="DA836" s="177">
        <f t="shared" si="460"/>
        <v>1</v>
      </c>
      <c r="DB836" s="177">
        <f t="shared" si="455"/>
        <v>1</v>
      </c>
      <c r="DC836" s="177">
        <f t="shared" si="461"/>
        <v>1</v>
      </c>
      <c r="DD836" s="177">
        <f t="shared" si="462"/>
        <v>1</v>
      </c>
      <c r="DE836" s="177">
        <f t="shared" si="463"/>
        <v>1</v>
      </c>
    </row>
    <row r="837" spans="1:109" ht="18" customHeight="1" x14ac:dyDescent="0.3">
      <c r="A837" s="81">
        <v>0.62500000000001998</v>
      </c>
      <c r="B837" s="153"/>
      <c r="C837" s="130"/>
      <c r="D837" s="135"/>
      <c r="E837" s="130"/>
      <c r="F837" s="135"/>
      <c r="G837" s="130"/>
      <c r="H837" s="135"/>
      <c r="I837" s="130"/>
      <c r="J837" s="135"/>
      <c r="K837" s="130"/>
      <c r="L837" s="135"/>
      <c r="M837" s="130"/>
      <c r="N837" s="135"/>
      <c r="O837" s="154"/>
      <c r="P837" s="6">
        <v>0</v>
      </c>
      <c r="Q837" s="118" t="str">
        <f t="shared" si="478"/>
        <v>Trabalho de Grupo</v>
      </c>
      <c r="R837" s="105" t="str">
        <f t="shared" si="472"/>
        <v>CDI</v>
      </c>
      <c r="S837" s="88">
        <f t="shared" si="469"/>
        <v>-1</v>
      </c>
      <c r="T837" s="89">
        <f>IF(VLOOKUP(Q837,'INFO BASE'!$B$40:$I$54,IF(R837='INFO BASE'!$B$32,3,IF(R837='INFO BASE'!$B$33,4,IF(R837='INFO BASE'!$B$34,5,IF(R837='INFO BASE'!$B$35,6,IF(R837='INFO BASE'!$B$36,7,IF(R837='INFO BASE'!$B$37,8,2)))))),0)=0,"",VLOOKUP(Q837,'INFO BASE'!$B$40:$I$54,IF(R837='INFO BASE'!$B$32,3,IF(R837='INFO BASE'!$B$33,4,IF(R837='INFO BASE'!$B$34,5,IF(R837='INFO BASE'!$B$35,6,IF(R837='INFO BASE'!$B$36,7,IF(R837='INFO BASE'!$B$37,8,2)))))),0))</f>
        <v>3</v>
      </c>
      <c r="U837" s="89">
        <f>(COUNTIFS(C807:C854,R837,B807:B854,R832)+COUNTIFS(E807:E854,R837,D807:D854,R832)+COUNTIFS(G807:G854,R837,F807:F854,R832)+COUNTIFS(I807:I854,R837,H807:H854,R832)+COUNTIFS(K807:K854,R837,J807:J854,R832)+COUNTIFS(M807:M854,R837,L807:L854,R832)+COUNTIFS(O807:O854,R837,N807:N854,R832))*0.5</f>
        <v>0</v>
      </c>
      <c r="V837" s="89">
        <f>(COUNTIFS(AI807:AI854,R832,AJ807:AJ854,R830)+COUNTIFS(AK807:AK854,R832,AL807:AL854,R830)+COUNTIFS(AM807:AM854,R832,AN807:AN854,R830)+COUNTIFS(AO807:AO854,R832,AP807:AP854,R830)+COUNTIFS(AQ807:AQ854,R832,AR807:AR854,R830)+COUNTIFS(AS807:AS854,R832,AT807:AT854,R830)+COUNTIFS(AU807:AU854,R832,AV807:AV854,R830))*0.5</f>
        <v>0</v>
      </c>
      <c r="W837" s="90" t="str">
        <f>IF(AH803="","-",IF(V837=0,U837,IFERROR((U837/V837)-1,"-")))</f>
        <v>-</v>
      </c>
      <c r="X837" s="201">
        <f t="shared" si="470"/>
        <v>0</v>
      </c>
      <c r="Y837" s="271"/>
      <c r="Z837" s="272"/>
      <c r="AA837" s="272"/>
      <c r="AB837" s="272"/>
      <c r="AC837" s="272"/>
      <c r="AD837" s="272"/>
      <c r="AE837" s="272"/>
      <c r="AF837" s="273"/>
      <c r="AH837" s="136">
        <v>0.62500000000001998</v>
      </c>
      <c r="AI837" s="136" t="str">
        <f>IF(AH803="","",IF(B837="","",B837))</f>
        <v/>
      </c>
      <c r="AJ837" s="136" t="str">
        <f>IF(AH803="","",IF(C837="","",C837))</f>
        <v/>
      </c>
      <c r="AK837" s="136" t="str">
        <f>IF(AH803="","",IF(D837="","",D837))</f>
        <v/>
      </c>
      <c r="AL837" s="136" t="str">
        <f>IF(AH803="","",IF(E837="","",E837))</f>
        <v/>
      </c>
      <c r="AM837" s="136" t="str">
        <f>IF(AH803="","",IF(F837="","",F837))</f>
        <v/>
      </c>
      <c r="AN837" s="136" t="str">
        <f>IF(AH803="","",IF(G837="","",G837))</f>
        <v/>
      </c>
      <c r="AO837" s="136" t="str">
        <f>IF(AH803="","",IF(H837="","",H837))</f>
        <v/>
      </c>
      <c r="AP837" s="136" t="str">
        <f>IF(AH803="","",IF(I837="","",I837))</f>
        <v/>
      </c>
      <c r="AQ837" s="136" t="str">
        <f>IF(AH803="","",IF(J837="","",J837))</f>
        <v/>
      </c>
      <c r="AR837" s="136" t="str">
        <f>IF(AH803="","",IF(K837="","",K837))</f>
        <v/>
      </c>
      <c r="AS837" s="136" t="str">
        <f>IF(AH803="","",IF(L837="","",L837))</f>
        <v/>
      </c>
      <c r="AT837" s="136" t="str">
        <f>IF(AH803="","",IF(M837="","",M837))</f>
        <v/>
      </c>
      <c r="AU837" s="136" t="str">
        <f>IF(AH803="","",IF(N837="","",N837))</f>
        <v/>
      </c>
      <c r="AV837" s="136" t="str">
        <f>IF(AH803="","",IF(O837="","",O837))</f>
        <v/>
      </c>
      <c r="AX837" s="136" t="str">
        <f>IF(AI803="","",IF(B837="","",B837))</f>
        <v/>
      </c>
      <c r="AY837" s="136" t="str">
        <f>IF(AI803="","",IF(C837="","",C837))</f>
        <v/>
      </c>
      <c r="AZ837" s="136" t="str">
        <f>IF(AI803="","",IF(D837="","",D837))</f>
        <v/>
      </c>
      <c r="BA837" s="136" t="str">
        <f>IF(AI803="","",IF(E837="","",E837))</f>
        <v/>
      </c>
      <c r="BB837" s="136" t="str">
        <f>IF(AI803="","",IF(F837="","",F837))</f>
        <v/>
      </c>
      <c r="BC837" s="136" t="str">
        <f>IF(AI803="","",IF(G837="","",G837))</f>
        <v/>
      </c>
      <c r="BD837" s="136" t="str">
        <f>IF(AI803="","",IF(H837="","",H837))</f>
        <v/>
      </c>
      <c r="BE837" s="136" t="str">
        <f>IF(AI803="","",IF(I837="","",I837))</f>
        <v/>
      </c>
      <c r="BF837" s="136" t="str">
        <f>IF(AI803="","",IF(J837="","",J837))</f>
        <v/>
      </c>
      <c r="BG837" s="136" t="str">
        <f>IF(AI803="","",IF(K837="","",K837))</f>
        <v/>
      </c>
      <c r="BH837" s="136" t="str">
        <f>IF(AI803="","",IF(L837="","",L837))</f>
        <v/>
      </c>
      <c r="BI837" s="136" t="str">
        <f>IF(AI803="","",IF(M837="","",M837))</f>
        <v/>
      </c>
      <c r="BJ837" s="136" t="str">
        <f>IF(AI803="","",IF(N837="","",N837))</f>
        <v/>
      </c>
      <c r="BK837" s="136" t="str">
        <f>IF(AI803="","",IF(O837="","",O837))</f>
        <v/>
      </c>
      <c r="BM837" s="136" t="str">
        <f>BM836</f>
        <v>AT</v>
      </c>
      <c r="BN837" s="136" t="str">
        <f t="shared" si="465"/>
        <v>Aulas Teóricas</v>
      </c>
      <c r="BO837" s="136" t="str">
        <f t="shared" si="465"/>
        <v>FP</v>
      </c>
      <c r="BP837" s="136">
        <f>(COUNTIFS(AX807:AX854,BM837,AY807:AY854,BO837)+COUNTIFS(AZ807:AZ854,BM837,BA807:BA854,BO837)+COUNTIFS(BB807:BB854,BM837,BC807:BC854,BO837)+COUNTIFS(BD807:BD854,BM837,BE807:BE854,BO837)+COUNTIFS(BF807:BF854,BM837,BG807:BG854,BO837)+COUNTIFS(BH807:BH854,BM837,BI807:BI854,BO837)+COUNTIFS(BJ807:BJ854,BM837,BK807:BK854,BO837))*0.5</f>
        <v>0</v>
      </c>
      <c r="BQ837" s="136" t="str">
        <f t="shared" si="466"/>
        <v>Aulas Teóricas</v>
      </c>
      <c r="BR837" s="136" t="str">
        <f t="shared" si="466"/>
        <v>FP</v>
      </c>
      <c r="BS837" s="136" t="str">
        <f t="shared" si="467"/>
        <v>Aulas Teóricas</v>
      </c>
      <c r="BT837" s="136">
        <f t="shared" si="473"/>
        <v>24</v>
      </c>
      <c r="BU837" s="136">
        <f t="shared" si="474"/>
        <v>24</v>
      </c>
      <c r="CR837" s="177">
        <f t="shared" si="455"/>
        <v>1</v>
      </c>
      <c r="CS837" s="177">
        <f t="shared" si="456"/>
        <v>1</v>
      </c>
      <c r="CT837" s="177">
        <f t="shared" si="455"/>
        <v>1</v>
      </c>
      <c r="CU837" s="177">
        <f t="shared" si="457"/>
        <v>1</v>
      </c>
      <c r="CV837" s="177">
        <f t="shared" si="455"/>
        <v>1</v>
      </c>
      <c r="CW837" s="177">
        <f t="shared" si="458"/>
        <v>1</v>
      </c>
      <c r="CX837" s="177">
        <f t="shared" si="455"/>
        <v>1</v>
      </c>
      <c r="CY837" s="177">
        <f t="shared" si="459"/>
        <v>1</v>
      </c>
      <c r="CZ837" s="177">
        <f t="shared" si="455"/>
        <v>1</v>
      </c>
      <c r="DA837" s="177">
        <f t="shared" si="460"/>
        <v>1</v>
      </c>
      <c r="DB837" s="177">
        <f t="shared" si="455"/>
        <v>1</v>
      </c>
      <c r="DC837" s="177">
        <f t="shared" si="461"/>
        <v>1</v>
      </c>
      <c r="DD837" s="177">
        <f t="shared" si="462"/>
        <v>1</v>
      </c>
      <c r="DE837" s="177">
        <f t="shared" si="463"/>
        <v>1</v>
      </c>
    </row>
    <row r="838" spans="1:109" ht="18" customHeight="1" thickBot="1" x14ac:dyDescent="0.35">
      <c r="A838" s="81">
        <v>0.64583333333335402</v>
      </c>
      <c r="B838" s="153"/>
      <c r="C838" s="130"/>
      <c r="D838" s="135"/>
      <c r="E838" s="130"/>
      <c r="F838" s="135"/>
      <c r="G838" s="130"/>
      <c r="H838" s="135"/>
      <c r="I838" s="130"/>
      <c r="J838" s="135"/>
      <c r="K838" s="130"/>
      <c r="L838" s="135"/>
      <c r="M838" s="130"/>
      <c r="N838" s="135"/>
      <c r="O838" s="154"/>
      <c r="P838" s="6">
        <v>0</v>
      </c>
      <c r="Q838" s="120" t="str">
        <f t="shared" si="478"/>
        <v>Trabalho de Grupo</v>
      </c>
      <c r="R838" s="107" t="str">
        <f t="shared" si="472"/>
        <v/>
      </c>
      <c r="S838" s="94" t="str">
        <f t="shared" si="469"/>
        <v>-</v>
      </c>
      <c r="T838" s="95" t="str">
        <f>IF(VLOOKUP(Q838,'INFO BASE'!$B$40:$I$54,IF(R838='INFO BASE'!$B$32,3,IF(R838='INFO BASE'!$B$33,4,IF(R838='INFO BASE'!$B$34,5,IF(R838='INFO BASE'!$B$35,6,IF(R838='INFO BASE'!$B$36,7,IF(R838='INFO BASE'!$B$37,8,2)))))),0)=0,"",VLOOKUP(Q838,'INFO BASE'!$B$40:$I$54,IF(R838='INFO BASE'!$B$32,3,IF(R838='INFO BASE'!$B$33,4,IF(R838='INFO BASE'!$B$34,5,IF(R838='INFO BASE'!$B$35,6,IF(R838='INFO BASE'!$B$36,7,IF(R838='INFO BASE'!$B$37,8,2)))))),0))</f>
        <v/>
      </c>
      <c r="U838" s="95">
        <f>(COUNTIFS(C807:C854,R838,B807:B854,R832)+COUNTIFS(E807:E854,R838,D807:D854,R832)+COUNTIFS(G807:G854,R838,F807:F854,R832)+COUNTIFS(I807:I854,R838,H807:H854,R832)+COUNTIFS(K807:K854,R838,J807:J854,R832)+COUNTIFS(M807:M854,R838,L807:L854,R832)+COUNTIFS(O807:O854,R838,N807:N854,R832))*0.5</f>
        <v>0</v>
      </c>
      <c r="V838" s="95">
        <f>(COUNTIFS(AI807:AI854,R832,AJ807:AJ854,R831)+COUNTIFS(AK807:AK854,R832,AL807:AL854,R831)+COUNTIFS(AM807:AM854,R832,AN807:AN854,R831)+COUNTIFS(AO807:AO854,R832,AP807:AP854,R831)+COUNTIFS(AQ807:AQ854,R832,AR807:AR854,R831)+COUNTIFS(AS807:AS854,R832,AT807:AT854,R831)+COUNTIFS(AU807:AU854,R832,AV807:AV854,R831))*0.5</f>
        <v>0</v>
      </c>
      <c r="W838" s="96" t="str">
        <f>IF(AH803="","-",IF(V838=0,U838,IFERROR((U838/V838)-1,"-")))</f>
        <v>-</v>
      </c>
      <c r="X838" s="201">
        <f t="shared" si="470"/>
        <v>0</v>
      </c>
      <c r="Y838" s="274"/>
      <c r="Z838" s="275"/>
      <c r="AA838" s="275"/>
      <c r="AB838" s="275"/>
      <c r="AC838" s="275"/>
      <c r="AD838" s="275"/>
      <c r="AE838" s="275"/>
      <c r="AF838" s="276"/>
      <c r="AH838" s="136">
        <v>0.64583333333335402</v>
      </c>
      <c r="AI838" s="136" t="str">
        <f>IF(AH803="","",IF(B838="","",B838))</f>
        <v/>
      </c>
      <c r="AJ838" s="136" t="str">
        <f>IF(AH803="","",IF(C838="","",C838))</f>
        <v/>
      </c>
      <c r="AK838" s="136" t="str">
        <f>IF(AH803="","",IF(D838="","",D838))</f>
        <v/>
      </c>
      <c r="AL838" s="136" t="str">
        <f>IF(AH803="","",IF(E838="","",E838))</f>
        <v/>
      </c>
      <c r="AM838" s="136" t="str">
        <f>IF(AH803="","",IF(F838="","",F838))</f>
        <v/>
      </c>
      <c r="AN838" s="136" t="str">
        <f>IF(AH803="","",IF(G838="","",G838))</f>
        <v/>
      </c>
      <c r="AO838" s="136" t="str">
        <f>IF(AH803="","",IF(H838="","",H838))</f>
        <v/>
      </c>
      <c r="AP838" s="136" t="str">
        <f>IF(AH803="","",IF(I838="","",I838))</f>
        <v/>
      </c>
      <c r="AQ838" s="136" t="str">
        <f>IF(AH803="","",IF(J838="","",J838))</f>
        <v/>
      </c>
      <c r="AR838" s="136" t="str">
        <f>IF(AH803="","",IF(K838="","",K838))</f>
        <v/>
      </c>
      <c r="AS838" s="136" t="str">
        <f>IF(AH803="","",IF(L838="","",L838))</f>
        <v/>
      </c>
      <c r="AT838" s="136" t="str">
        <f>IF(AH803="","",IF(M838="","",M838))</f>
        <v/>
      </c>
      <c r="AU838" s="136" t="str">
        <f>IF(AH803="","",IF(N838="","",N838))</f>
        <v/>
      </c>
      <c r="AV838" s="136" t="str">
        <f>IF(AH803="","",IF(O838="","",O838))</f>
        <v/>
      </c>
      <c r="AX838" s="136" t="str">
        <f>IF(AI803="","",IF(B838="","",B838))</f>
        <v/>
      </c>
      <c r="AY838" s="136" t="str">
        <f>IF(AI803="","",IF(C838="","",C838))</f>
        <v/>
      </c>
      <c r="AZ838" s="136" t="str">
        <f>IF(AI803="","",IF(D838="","",D838))</f>
        <v/>
      </c>
      <c r="BA838" s="136" t="str">
        <f>IF(AI803="","",IF(E838="","",E838))</f>
        <v/>
      </c>
      <c r="BB838" s="136" t="str">
        <f>IF(AI803="","",IF(F838="","",F838))</f>
        <v/>
      </c>
      <c r="BC838" s="136" t="str">
        <f>IF(AI803="","",IF(G838="","",G838))</f>
        <v/>
      </c>
      <c r="BD838" s="136" t="str">
        <f>IF(AI803="","",IF(H838="","",H838))</f>
        <v/>
      </c>
      <c r="BE838" s="136" t="str">
        <f>IF(AI803="","",IF(I838="","",I838))</f>
        <v/>
      </c>
      <c r="BF838" s="136" t="str">
        <f>IF(AI803="","",IF(J838="","",J838))</f>
        <v/>
      </c>
      <c r="BG838" s="136" t="str">
        <f>IF(AI803="","",IF(K838="","",K838))</f>
        <v/>
      </c>
      <c r="BH838" s="136" t="str">
        <f>IF(AI803="","",IF(L838="","",L838))</f>
        <v/>
      </c>
      <c r="BI838" s="136" t="str">
        <f>IF(AI803="","",IF(M838="","",M838))</f>
        <v/>
      </c>
      <c r="BJ838" s="136" t="str">
        <f>IF(AI803="","",IF(N838="","",N838))</f>
        <v/>
      </c>
      <c r="BK838" s="136" t="str">
        <f>IF(AI803="","",IF(O838="","",O838))</f>
        <v/>
      </c>
      <c r="BM838" s="136" t="str">
        <f t="shared" ref="BM838:BM842" si="479">BM837</f>
        <v>AT</v>
      </c>
      <c r="BN838" s="136" t="str">
        <f t="shared" si="465"/>
        <v>Aulas Teóricas</v>
      </c>
      <c r="BO838" s="136" t="str">
        <f t="shared" si="465"/>
        <v>IEI</v>
      </c>
      <c r="BP838" s="136">
        <f>(COUNTIFS(AX807:AX854,BM838,AY807:AY854,BO838)+COUNTIFS(AZ807:AZ854,BM838,BA807:BA854,BO838)+COUNTIFS(BB807:BB854,BM838,BC807:BC854,BO838)+COUNTIFS(BD807:BD854,BM838,BE807:BE854,BO838)+COUNTIFS(BF807:BF854,BM838,BG807:BG854,BO838)+COUNTIFS(BH807:BH854,BM838,BI807:BI854,BO838)+COUNTIFS(BJ807:BJ854,BM838,BK807:BK854,BO838))*0.5</f>
        <v>0</v>
      </c>
      <c r="BQ838" s="136" t="str">
        <f t="shared" si="466"/>
        <v>Aulas Teóricas</v>
      </c>
      <c r="BR838" s="136" t="str">
        <f t="shared" si="466"/>
        <v>IEI</v>
      </c>
      <c r="BS838" s="136" t="str">
        <f t="shared" si="467"/>
        <v>Aulas Teóricas</v>
      </c>
      <c r="BT838" s="136">
        <f t="shared" si="473"/>
        <v>24</v>
      </c>
      <c r="BU838" s="136">
        <f t="shared" si="474"/>
        <v>24</v>
      </c>
      <c r="CA838" s="136">
        <f>'INFO BASE'!L916</f>
        <v>0</v>
      </c>
      <c r="CB838" s="136">
        <f>'INFO BASE'!M916</f>
        <v>0</v>
      </c>
      <c r="CR838" s="177">
        <f t="shared" si="455"/>
        <v>1</v>
      </c>
      <c r="CS838" s="177">
        <f t="shared" si="456"/>
        <v>1</v>
      </c>
      <c r="CT838" s="177">
        <f t="shared" si="455"/>
        <v>1</v>
      </c>
      <c r="CU838" s="177">
        <f t="shared" si="457"/>
        <v>1</v>
      </c>
      <c r="CV838" s="177">
        <f t="shared" si="455"/>
        <v>1</v>
      </c>
      <c r="CW838" s="177">
        <f t="shared" si="458"/>
        <v>1</v>
      </c>
      <c r="CX838" s="177">
        <f t="shared" si="455"/>
        <v>1</v>
      </c>
      <c r="CY838" s="177">
        <f t="shared" si="459"/>
        <v>1</v>
      </c>
      <c r="CZ838" s="177">
        <f t="shared" si="455"/>
        <v>1</v>
      </c>
      <c r="DA838" s="177">
        <f t="shared" si="460"/>
        <v>1</v>
      </c>
      <c r="DB838" s="177">
        <f t="shared" si="455"/>
        <v>1</v>
      </c>
      <c r="DC838" s="177">
        <f t="shared" si="461"/>
        <v>1</v>
      </c>
      <c r="DD838" s="177">
        <f t="shared" si="462"/>
        <v>1</v>
      </c>
      <c r="DE838" s="177">
        <f t="shared" si="463"/>
        <v>1</v>
      </c>
    </row>
    <row r="839" spans="1:109" ht="18" customHeight="1" x14ac:dyDescent="0.3">
      <c r="A839" s="81">
        <v>0.66666666666668795</v>
      </c>
      <c r="B839" s="153"/>
      <c r="C839" s="130"/>
      <c r="D839" s="135"/>
      <c r="E839" s="130"/>
      <c r="F839" s="135"/>
      <c r="G839" s="130"/>
      <c r="H839" s="135"/>
      <c r="I839" s="130"/>
      <c r="J839" s="135"/>
      <c r="K839" s="130"/>
      <c r="L839" s="135"/>
      <c r="M839" s="130"/>
      <c r="N839" s="135"/>
      <c r="O839" s="154"/>
      <c r="P839" s="6">
        <v>0</v>
      </c>
      <c r="Q839" s="121" t="str">
        <f>IF('INFO BASE'!$C$20="","",'INFO BASE'!$C$20)</f>
        <v>Aulas Teóricas</v>
      </c>
      <c r="R839" s="82" t="str">
        <f t="shared" si="472"/>
        <v>AT</v>
      </c>
      <c r="S839" s="83">
        <f t="shared" si="469"/>
        <v>-1</v>
      </c>
      <c r="T839" s="84">
        <f>IF(VLOOKUP(Q839,'INFO BASE'!$B$40:$I$54,IF(R839='INFO BASE'!$B$32,3,IF(R839='INFO BASE'!$B$33,4,IF(R839='INFO BASE'!$B$34,5,IF(R839='INFO BASE'!$B$35,6,IF(R839='INFO BASE'!$B$36,7,IF(R839='INFO BASE'!$B$37,8,2)))))),0)=0,"",VLOOKUP(Q839,'INFO BASE'!$B$40:$I$54,IF(R839='INFO BASE'!$B$32,3,IF(R839='INFO BASE'!$B$33,4,IF(R839='INFO BASE'!$B$34,5,IF(R839='INFO BASE'!$B$35,6,IF(R839='INFO BASE'!$B$36,7,IF(R839='INFO BASE'!$B$37,8,2)))))),0))</f>
        <v>15</v>
      </c>
      <c r="U839" s="84">
        <f>IF(R839="","",COUNTIFS(SEMANA15,R839)*0.5)</f>
        <v>0</v>
      </c>
      <c r="V839" s="84">
        <f>IF(R839="","",COUNTIFS(AI807:AV854,R839)*0.5)</f>
        <v>0</v>
      </c>
      <c r="W839" s="85" t="str">
        <f>IF(AH803="","-",IF(V839=0,U839,IFERROR((U839/V839)-1,"-")))</f>
        <v>-</v>
      </c>
      <c r="X839" s="201">
        <f t="shared" si="470"/>
        <v>0</v>
      </c>
      <c r="Y839" s="277"/>
      <c r="Z839" s="278"/>
      <c r="AA839" s="278"/>
      <c r="AB839" s="278"/>
      <c r="AC839" s="278"/>
      <c r="AD839" s="278"/>
      <c r="AE839" s="278"/>
      <c r="AF839" s="279"/>
      <c r="AH839" s="136">
        <v>0.66666666666668795</v>
      </c>
      <c r="AI839" s="136" t="str">
        <f>IF(AH803="","",IF(B839="","",B839))</f>
        <v/>
      </c>
      <c r="AJ839" s="136" t="str">
        <f>IF(AH803="","",IF(C839="","",C839))</f>
        <v/>
      </c>
      <c r="AK839" s="136" t="str">
        <f>IF(AH803="","",IF(D839="","",D839))</f>
        <v/>
      </c>
      <c r="AL839" s="136" t="str">
        <f>IF(AH803="","",IF(E839="","",E839))</f>
        <v/>
      </c>
      <c r="AM839" s="136" t="str">
        <f>IF(AH803="","",IF(F839="","",F839))</f>
        <v/>
      </c>
      <c r="AN839" s="136" t="str">
        <f>IF(AH803="","",IF(G839="","",G839))</f>
        <v/>
      </c>
      <c r="AO839" s="136" t="str">
        <f>IF(AH803="","",IF(H839="","",H839))</f>
        <v/>
      </c>
      <c r="AP839" s="136" t="str">
        <f>IF(AH803="","",IF(I839="","",I839))</f>
        <v/>
      </c>
      <c r="AQ839" s="136" t="str">
        <f>IF(AH803="","",IF(J839="","",J839))</f>
        <v/>
      </c>
      <c r="AR839" s="136" t="str">
        <f>IF(AH803="","",IF(K839="","",K839))</f>
        <v/>
      </c>
      <c r="AS839" s="136" t="str">
        <f>IF(AH803="","",IF(L839="","",L839))</f>
        <v/>
      </c>
      <c r="AT839" s="136" t="str">
        <f>IF(AH803="","",IF(M839="","",M839))</f>
        <v/>
      </c>
      <c r="AU839" s="136" t="str">
        <f>IF(AH803="","",IF(N839="","",N839))</f>
        <v/>
      </c>
      <c r="AV839" s="136" t="str">
        <f>IF(AH803="","",IF(O839="","",O839))</f>
        <v/>
      </c>
      <c r="AX839" s="136" t="str">
        <f>IF(AI803="","",IF(B839="","",B839))</f>
        <v/>
      </c>
      <c r="AY839" s="136" t="str">
        <f>IF(AI803="","",IF(C839="","",C839))</f>
        <v/>
      </c>
      <c r="AZ839" s="136" t="str">
        <f>IF(AI803="","",IF(D839="","",D839))</f>
        <v/>
      </c>
      <c r="BA839" s="136" t="str">
        <f>IF(AI803="","",IF(E839="","",E839))</f>
        <v/>
      </c>
      <c r="BB839" s="136" t="str">
        <f>IF(AI803="","",IF(F839="","",F839))</f>
        <v/>
      </c>
      <c r="BC839" s="136" t="str">
        <f>IF(AI803="","",IF(G839="","",G839))</f>
        <v/>
      </c>
      <c r="BD839" s="136" t="str">
        <f>IF(AI803="","",IF(H839="","",H839))</f>
        <v/>
      </c>
      <c r="BE839" s="136" t="str">
        <f>IF(AI803="","",IF(I839="","",I839))</f>
        <v/>
      </c>
      <c r="BF839" s="136" t="str">
        <f>IF(AI803="","",IF(J839="","",J839))</f>
        <v/>
      </c>
      <c r="BG839" s="136" t="str">
        <f>IF(AI803="","",IF(K839="","",K839))</f>
        <v/>
      </c>
      <c r="BH839" s="136" t="str">
        <f>IF(AI803="","",IF(L839="","",L839))</f>
        <v/>
      </c>
      <c r="BI839" s="136" t="str">
        <f>IF(AI803="","",IF(M839="","",M839))</f>
        <v/>
      </c>
      <c r="BJ839" s="136" t="str">
        <f>IF(AI803="","",IF(N839="","",N839))</f>
        <v/>
      </c>
      <c r="BK839" s="136" t="str">
        <f>IF(AI803="","",IF(O839="","",O839))</f>
        <v/>
      </c>
      <c r="BM839" s="136" t="str">
        <f t="shared" si="479"/>
        <v>AT</v>
      </c>
      <c r="BN839" s="136" t="str">
        <f t="shared" si="465"/>
        <v>Aulas Teóricas</v>
      </c>
      <c r="BO839" s="136" t="str">
        <f t="shared" si="465"/>
        <v>IAC</v>
      </c>
      <c r="BP839" s="136">
        <f>(COUNTIFS(AX807:AX854,BM839,AY807:AY854,BO839)+COUNTIFS(AZ807:AZ854,BM839,BA807:BA854,BO839)+COUNTIFS(BB807:BB854,BM839,BC807:BC854,BO839)+COUNTIFS(BD807:BD854,BM839,BE807:BE854,BO839)+COUNTIFS(BF807:BF854,BM839,BG807:BG854,BO839)+COUNTIFS(BH807:BH854,BM839,BI807:BI854,BO839)+COUNTIFS(BJ807:BJ854,BM839,BK807:BK854,BO839))*0.5</f>
        <v>0</v>
      </c>
      <c r="BQ839" s="136" t="str">
        <f t="shared" si="466"/>
        <v>Aulas Teóricas</v>
      </c>
      <c r="BR839" s="136" t="str">
        <f t="shared" si="466"/>
        <v>IAC</v>
      </c>
      <c r="BS839" s="136" t="str">
        <f t="shared" si="467"/>
        <v>Aulas Teóricas</v>
      </c>
      <c r="BT839" s="136">
        <f t="shared" si="473"/>
        <v>24</v>
      </c>
      <c r="BU839" s="136">
        <f t="shared" si="474"/>
        <v>24</v>
      </c>
      <c r="CA839" s="136">
        <f>'INFO BASE'!L917</f>
        <v>0</v>
      </c>
      <c r="CB839" s="136">
        <f>'INFO BASE'!M917</f>
        <v>0</v>
      </c>
      <c r="CR839" s="177">
        <f t="shared" si="455"/>
        <v>1</v>
      </c>
      <c r="CS839" s="177">
        <f t="shared" si="456"/>
        <v>1</v>
      </c>
      <c r="CT839" s="177">
        <f t="shared" si="455"/>
        <v>1</v>
      </c>
      <c r="CU839" s="177">
        <f t="shared" si="457"/>
        <v>1</v>
      </c>
      <c r="CV839" s="177">
        <f t="shared" si="455"/>
        <v>1</v>
      </c>
      <c r="CW839" s="177">
        <f t="shared" si="458"/>
        <v>1</v>
      </c>
      <c r="CX839" s="177">
        <f t="shared" si="455"/>
        <v>1</v>
      </c>
      <c r="CY839" s="177">
        <f t="shared" si="459"/>
        <v>1</v>
      </c>
      <c r="CZ839" s="177">
        <f t="shared" si="455"/>
        <v>1</v>
      </c>
      <c r="DA839" s="177">
        <f t="shared" si="460"/>
        <v>1</v>
      </c>
      <c r="DB839" s="177">
        <f t="shared" si="455"/>
        <v>1</v>
      </c>
      <c r="DC839" s="177">
        <f t="shared" si="461"/>
        <v>1</v>
      </c>
      <c r="DD839" s="177">
        <f t="shared" si="462"/>
        <v>1</v>
      </c>
      <c r="DE839" s="177">
        <f t="shared" si="463"/>
        <v>1</v>
      </c>
    </row>
    <row r="840" spans="1:109" ht="18" customHeight="1" x14ac:dyDescent="0.3">
      <c r="A840" s="81">
        <v>0.68750000000002198</v>
      </c>
      <c r="B840" s="153"/>
      <c r="C840" s="130"/>
      <c r="D840" s="135"/>
      <c r="E840" s="130"/>
      <c r="F840" s="135"/>
      <c r="G840" s="130"/>
      <c r="H840" s="135"/>
      <c r="I840" s="130"/>
      <c r="J840" s="135"/>
      <c r="K840" s="130"/>
      <c r="L840" s="135"/>
      <c r="M840" s="130"/>
      <c r="N840" s="135"/>
      <c r="O840" s="154"/>
      <c r="P840" s="6">
        <v>0</v>
      </c>
      <c r="Q840" s="122" t="str">
        <f t="shared" ref="Q840:Q845" si="480">Q839</f>
        <v>Aulas Teóricas</v>
      </c>
      <c r="R840" s="105" t="str">
        <f t="shared" si="472"/>
        <v>FP</v>
      </c>
      <c r="S840" s="88">
        <f t="shared" si="469"/>
        <v>-1</v>
      </c>
      <c r="T840" s="89">
        <f>IF(VLOOKUP(Q840,'INFO BASE'!$B$40:$I$54,IF(R840='INFO BASE'!$B$32,3,IF(R840='INFO BASE'!$B$33,4,IF(R840='INFO BASE'!$B$34,5,IF(R840='INFO BASE'!$B$35,6,IF(R840='INFO BASE'!$B$36,7,IF(R840='INFO BASE'!$B$37,8,2)))))),0)=0,"",VLOOKUP(Q840,'INFO BASE'!$B$40:$I$54,IF(R840='INFO BASE'!$B$32,3,IF(R840='INFO BASE'!$B$33,4,IF(R840='INFO BASE'!$B$34,5,IF(R840='INFO BASE'!$B$35,6,IF(R840='INFO BASE'!$B$36,7,IF(R840='INFO BASE'!$B$37,8,2)))))),0))</f>
        <v>3</v>
      </c>
      <c r="U840" s="89">
        <f>(COUNTIFS(C807:C854,R840,B807:B854,R839)+COUNTIFS(E807:E854,R840,D807:D854,R839)+COUNTIFS(G807:G854,R840,F807:F854,R839)+COUNTIFS(I807:I854,R840,H807:H854,R839)+COUNTIFS(K807:K854,R840,J807:J854,R839)+COUNTIFS(M807:M854,R840,L807:L854,R839)+COUNTIFS(O807:O854,R840,N807:N854,R839))*0.5</f>
        <v>0</v>
      </c>
      <c r="V840" s="89">
        <f>(COUNTIFS(AI807:AI854,R839,AJ807:AJ854,R833)+COUNTIFS(AK807:AK854,R839,AL807:AL854,R833)+COUNTIFS(AM807:AM854,R839,AN807:AN854,R833)+COUNTIFS(AO807:AO854,R839,AP807:AP854,R833)+COUNTIFS(AQ807:AQ854,R839,AR807:AR854,R833)+COUNTIFS(AS807:AS854,R839,AT807:AT854,R833)+COUNTIFS(AU807:AU854,R839,AV807:AV854,R833))*0.5</f>
        <v>0</v>
      </c>
      <c r="W840" s="90" t="str">
        <f>IF(AH803="","-",IF(V840=0,U840,IFERROR((U840/V840)-1,"-")))</f>
        <v>-</v>
      </c>
      <c r="X840" s="201">
        <f t="shared" si="470"/>
        <v>0</v>
      </c>
      <c r="Y840" s="271"/>
      <c r="Z840" s="272"/>
      <c r="AA840" s="272"/>
      <c r="AB840" s="272"/>
      <c r="AC840" s="272"/>
      <c r="AD840" s="272"/>
      <c r="AE840" s="272"/>
      <c r="AF840" s="273"/>
      <c r="AH840" s="136">
        <v>0.68750000000002198</v>
      </c>
      <c r="AI840" s="136" t="str">
        <f>IF(AH803="","",IF(B840="","",B840))</f>
        <v/>
      </c>
      <c r="AJ840" s="136" t="str">
        <f>IF(AH803="","",IF(C840="","",C840))</f>
        <v/>
      </c>
      <c r="AK840" s="136" t="str">
        <f>IF(AH803="","",IF(D840="","",D840))</f>
        <v/>
      </c>
      <c r="AL840" s="136" t="str">
        <f>IF(AH803="","",IF(E840="","",E840))</f>
        <v/>
      </c>
      <c r="AM840" s="136" t="str">
        <f>IF(AH803="","",IF(F840="","",F840))</f>
        <v/>
      </c>
      <c r="AN840" s="136" t="str">
        <f>IF(AH803="","",IF(G840="","",G840))</f>
        <v/>
      </c>
      <c r="AO840" s="136" t="str">
        <f>IF(AH803="","",IF(H840="","",H840))</f>
        <v/>
      </c>
      <c r="AP840" s="136" t="str">
        <f>IF(AH803="","",IF(I840="","",I840))</f>
        <v/>
      </c>
      <c r="AQ840" s="136" t="str">
        <f>IF(AH803="","",IF(J840="","",J840))</f>
        <v/>
      </c>
      <c r="AR840" s="136" t="str">
        <f>IF(AH803="","",IF(K840="","",K840))</f>
        <v/>
      </c>
      <c r="AS840" s="136" t="str">
        <f>IF(AH803="","",IF(L840="","",L840))</f>
        <v/>
      </c>
      <c r="AT840" s="136" t="str">
        <f>IF(AH803="","",IF(M840="","",M840))</f>
        <v/>
      </c>
      <c r="AU840" s="136" t="str">
        <f>IF(AH803="","",IF(N840="","",N840))</f>
        <v/>
      </c>
      <c r="AV840" s="136" t="str">
        <f>IF(AH803="","",IF(O840="","",O840))</f>
        <v/>
      </c>
      <c r="AX840" s="136" t="str">
        <f>IF(AI803="","",IF(B840="","",B840))</f>
        <v/>
      </c>
      <c r="AY840" s="136" t="str">
        <f>IF(AI803="","",IF(C840="","",C840))</f>
        <v/>
      </c>
      <c r="AZ840" s="136" t="str">
        <f>IF(AI803="","",IF(D840="","",D840))</f>
        <v/>
      </c>
      <c r="BA840" s="136" t="str">
        <f>IF(AI803="","",IF(E840="","",E840))</f>
        <v/>
      </c>
      <c r="BB840" s="136" t="str">
        <f>IF(AI803="","",IF(F840="","",F840))</f>
        <v/>
      </c>
      <c r="BC840" s="136" t="str">
        <f>IF(AI803="","",IF(G840="","",G840))</f>
        <v/>
      </c>
      <c r="BD840" s="136" t="str">
        <f>IF(AI803="","",IF(H840="","",H840))</f>
        <v/>
      </c>
      <c r="BE840" s="136" t="str">
        <f>IF(AI803="","",IF(I840="","",I840))</f>
        <v/>
      </c>
      <c r="BF840" s="136" t="str">
        <f>IF(AI803="","",IF(J840="","",J840))</f>
        <v/>
      </c>
      <c r="BG840" s="136" t="str">
        <f>IF(AI803="","",IF(K840="","",K840))</f>
        <v/>
      </c>
      <c r="BH840" s="136" t="str">
        <f>IF(AI803="","",IF(L840="","",L840))</f>
        <v/>
      </c>
      <c r="BI840" s="136" t="str">
        <f>IF(AI803="","",IF(M840="","",M840))</f>
        <v/>
      </c>
      <c r="BJ840" s="136" t="str">
        <f>IF(AI803="","",IF(N840="","",N840))</f>
        <v/>
      </c>
      <c r="BK840" s="136" t="str">
        <f>IF(AI803="","",IF(O840="","",O840))</f>
        <v/>
      </c>
      <c r="BM840" s="136" t="str">
        <f t="shared" si="479"/>
        <v>AT</v>
      </c>
      <c r="BN840" s="136" t="str">
        <f t="shared" si="465"/>
        <v>Aulas Teóricas</v>
      </c>
      <c r="BO840" s="136" t="str">
        <f t="shared" si="465"/>
        <v>AL</v>
      </c>
      <c r="BP840" s="136">
        <f>(COUNTIFS(AX807:AX854,BM840,AY807:AY854,BO840)+COUNTIFS(AZ807:AZ854,BM840,BA807:BA854,BO840)+COUNTIFS(BB807:BB854,BM840,BC807:BC854,BO840)+COUNTIFS(BD807:BD854,BM840,BE807:BE854,BO840)+COUNTIFS(BF807:BF854,BM840,BG807:BG854,BO840)+COUNTIFS(BH807:BH854,BM840,BI807:BI854,BO840)+COUNTIFS(BJ807:BJ854,BM840,BK807:BK854,BO840))*0.5</f>
        <v>0</v>
      </c>
      <c r="BQ840" s="136" t="str">
        <f t="shared" si="466"/>
        <v>Aulas Teóricas</v>
      </c>
      <c r="BR840" s="136" t="str">
        <f t="shared" si="466"/>
        <v>AL</v>
      </c>
      <c r="BS840" s="136" t="str">
        <f t="shared" si="467"/>
        <v>Aulas Teóricas</v>
      </c>
      <c r="BT840" s="136">
        <f t="shared" si="473"/>
        <v>24</v>
      </c>
      <c r="BU840" s="136">
        <f t="shared" si="474"/>
        <v>24</v>
      </c>
      <c r="CA840" s="136">
        <f>'INFO BASE'!L918</f>
        <v>0</v>
      </c>
      <c r="CB840" s="136">
        <f>'INFO BASE'!M918</f>
        <v>0</v>
      </c>
      <c r="CR840" s="177">
        <f t="shared" si="455"/>
        <v>1</v>
      </c>
      <c r="CS840" s="177">
        <f t="shared" si="456"/>
        <v>1</v>
      </c>
      <c r="CT840" s="177">
        <f t="shared" si="455"/>
        <v>1</v>
      </c>
      <c r="CU840" s="177">
        <f t="shared" si="457"/>
        <v>1</v>
      </c>
      <c r="CV840" s="177">
        <f t="shared" si="455"/>
        <v>1</v>
      </c>
      <c r="CW840" s="177">
        <f t="shared" si="458"/>
        <v>1</v>
      </c>
      <c r="CX840" s="177">
        <f t="shared" si="455"/>
        <v>1</v>
      </c>
      <c r="CY840" s="177">
        <f t="shared" si="459"/>
        <v>1</v>
      </c>
      <c r="CZ840" s="177">
        <f t="shared" si="455"/>
        <v>1</v>
      </c>
      <c r="DA840" s="177">
        <f t="shared" si="460"/>
        <v>1</v>
      </c>
      <c r="DB840" s="177">
        <f t="shared" si="455"/>
        <v>1</v>
      </c>
      <c r="DC840" s="177">
        <f t="shared" si="461"/>
        <v>1</v>
      </c>
      <c r="DD840" s="177">
        <f t="shared" si="462"/>
        <v>1</v>
      </c>
      <c r="DE840" s="177">
        <f t="shared" si="463"/>
        <v>1</v>
      </c>
    </row>
    <row r="841" spans="1:109" ht="18" customHeight="1" x14ac:dyDescent="0.3">
      <c r="A841" s="81">
        <v>0.70833333333335602</v>
      </c>
      <c r="B841" s="153"/>
      <c r="C841" s="130"/>
      <c r="D841" s="135"/>
      <c r="E841" s="130"/>
      <c r="F841" s="135"/>
      <c r="G841" s="130"/>
      <c r="H841" s="135"/>
      <c r="I841" s="130"/>
      <c r="J841" s="135"/>
      <c r="K841" s="130"/>
      <c r="L841" s="135"/>
      <c r="M841" s="130"/>
      <c r="N841" s="135"/>
      <c r="O841" s="154"/>
      <c r="P841" s="6">
        <v>0</v>
      </c>
      <c r="Q841" s="122" t="str">
        <f t="shared" si="480"/>
        <v>Aulas Teóricas</v>
      </c>
      <c r="R841" s="105" t="str">
        <f t="shared" si="472"/>
        <v>IEI</v>
      </c>
      <c r="S841" s="88">
        <f t="shared" si="469"/>
        <v>-1</v>
      </c>
      <c r="T841" s="106">
        <f>IF(VLOOKUP(Q841,'INFO BASE'!$B$40:$I$54,IF(R841='INFO BASE'!$B$32,3,IF(R841='INFO BASE'!$B$33,4,IF(R841='INFO BASE'!$B$34,5,IF(R841='INFO BASE'!$B$35,6,IF(R841='INFO BASE'!$B$36,7,IF(R841='INFO BASE'!$B$37,8,2)))))),0)=0,"",VLOOKUP(Q841,'INFO BASE'!$B$40:$I$54,IF(R841='INFO BASE'!$B$32,3,IF(R841='INFO BASE'!$B$33,4,IF(R841='INFO BASE'!$B$34,5,IF(R841='INFO BASE'!$B$35,6,IF(R841='INFO BASE'!$B$36,7,IF(R841='INFO BASE'!$B$37,8,2)))))),0))</f>
        <v>3</v>
      </c>
      <c r="U841" s="106">
        <f>(COUNTIFS(C807:C854,R841,B807:B854,R839)+COUNTIFS(E807:E854,R841,D807:D854,R839)+COUNTIFS(G807:G854,R841,F807:F854,R839)+COUNTIFS(I807:I854,R841,H807:H854,R839)+COUNTIFS(K807:K854,R841,J807:J854,R839)+COUNTIFS(M807:M854,R841,L807:L854,R839)+COUNTIFS(O807:O854,R841,N807:N854,R839))*0.5</f>
        <v>0</v>
      </c>
      <c r="V841" s="89">
        <f>(COUNTIFS(AI807:AI854,R839,AJ807:AJ854,R834)+COUNTIFS(AK807:AK854,R839,AL807:AL854,R834)+COUNTIFS(AM807:AM854,R839,AN807:AN854,R834)+COUNTIFS(AO807:AO854,R839,AP807:AP854,R834)+COUNTIFS(AQ807:AQ854,R839,AR807:AR854,R834)+COUNTIFS(AS807:AS854,R839,AT807:AT854,R834)+COUNTIFS(AU807:AU854,R839,AV807:AV854,R834))*0.5</f>
        <v>0</v>
      </c>
      <c r="W841" s="90" t="str">
        <f>IF(AH803="","-",IF(V841=0,U841,IFERROR((U841/V841)-1,"-")))</f>
        <v>-</v>
      </c>
      <c r="X841" s="201">
        <f t="shared" si="470"/>
        <v>0</v>
      </c>
      <c r="Y841" s="271"/>
      <c r="Z841" s="272"/>
      <c r="AA841" s="272"/>
      <c r="AB841" s="272"/>
      <c r="AC841" s="272"/>
      <c r="AD841" s="272"/>
      <c r="AE841" s="272"/>
      <c r="AF841" s="273"/>
      <c r="AH841" s="136">
        <v>0.70833333333335602</v>
      </c>
      <c r="AI841" s="136" t="str">
        <f>IF(AH803="","",IF(B841="","",B841))</f>
        <v/>
      </c>
      <c r="AJ841" s="136" t="str">
        <f>IF(AH803="","",IF(C841="","",C841))</f>
        <v/>
      </c>
      <c r="AK841" s="136" t="str">
        <f>IF(AH803="","",IF(D841="","",D841))</f>
        <v/>
      </c>
      <c r="AL841" s="136" t="str">
        <f>IF(AH803="","",IF(E841="","",E841))</f>
        <v/>
      </c>
      <c r="AM841" s="136" t="str">
        <f>IF(AH803="","",IF(F841="","",F841))</f>
        <v/>
      </c>
      <c r="AN841" s="136" t="str">
        <f>IF(AH803="","",IF(G841="","",G841))</f>
        <v/>
      </c>
      <c r="AO841" s="136" t="str">
        <f>IF(AH803="","",IF(H841="","",H841))</f>
        <v/>
      </c>
      <c r="AP841" s="136" t="str">
        <f>IF(AH803="","",IF(I841="","",I841))</f>
        <v/>
      </c>
      <c r="AQ841" s="136" t="str">
        <f>IF(AH803="","",IF(J841="","",J841))</f>
        <v/>
      </c>
      <c r="AR841" s="136" t="str">
        <f>IF(AH803="","",IF(K841="","",K841))</f>
        <v/>
      </c>
      <c r="AS841" s="136" t="str">
        <f>IF(AH803="","",IF(L841="","",L841))</f>
        <v/>
      </c>
      <c r="AT841" s="136" t="str">
        <f>IF(AH803="","",IF(M841="","",M841))</f>
        <v/>
      </c>
      <c r="AU841" s="136" t="str">
        <f>IF(AH803="","",IF(N841="","",N841))</f>
        <v/>
      </c>
      <c r="AV841" s="136" t="str">
        <f>IF(AH803="","",IF(O841="","",O841))</f>
        <v/>
      </c>
      <c r="AX841" s="136" t="str">
        <f>IF(AI803="","",IF(B841="","",B841))</f>
        <v/>
      </c>
      <c r="AY841" s="136" t="str">
        <f>IF(AI803="","",IF(C841="","",C841))</f>
        <v/>
      </c>
      <c r="AZ841" s="136" t="str">
        <f>IF(AI803="","",IF(D841="","",D841))</f>
        <v/>
      </c>
      <c r="BA841" s="136" t="str">
        <f>IF(AI803="","",IF(E841="","",E841))</f>
        <v/>
      </c>
      <c r="BB841" s="136" t="str">
        <f>IF(AI803="","",IF(F841="","",F841))</f>
        <v/>
      </c>
      <c r="BC841" s="136" t="str">
        <f>IF(AI803="","",IF(G841="","",G841))</f>
        <v/>
      </c>
      <c r="BD841" s="136" t="str">
        <f>IF(AI803="","",IF(H841="","",H841))</f>
        <v/>
      </c>
      <c r="BE841" s="136" t="str">
        <f>IF(AI803="","",IF(I841="","",I841))</f>
        <v/>
      </c>
      <c r="BF841" s="136" t="str">
        <f>IF(AI803="","",IF(J841="","",J841))</f>
        <v/>
      </c>
      <c r="BG841" s="136" t="str">
        <f>IF(AI803="","",IF(K841="","",K841))</f>
        <v/>
      </c>
      <c r="BH841" s="136" t="str">
        <f>IF(AI803="","",IF(L841="","",L841))</f>
        <v/>
      </c>
      <c r="BI841" s="136" t="str">
        <f>IF(AI803="","",IF(M841="","",M841))</f>
        <v/>
      </c>
      <c r="BJ841" s="136" t="str">
        <f>IF(AI803="","",IF(N841="","",N841))</f>
        <v/>
      </c>
      <c r="BK841" s="136" t="str">
        <f>IF(AI803="","",IF(O841="","",O841))</f>
        <v/>
      </c>
      <c r="BM841" s="136" t="str">
        <f t="shared" si="479"/>
        <v>AT</v>
      </c>
      <c r="BN841" s="136" t="str">
        <f t="shared" si="465"/>
        <v>Aulas Teóricas</v>
      </c>
      <c r="BO841" s="136" t="str">
        <f t="shared" si="465"/>
        <v>CDI</v>
      </c>
      <c r="BP841" s="136">
        <f>(COUNTIFS(AX807:AX854,BM841,AY807:AY854,BO841)+COUNTIFS(AZ807:AZ854,BM841,BA807:BA854,BO841)+COUNTIFS(BB807:BB854,BM841,BC807:BC854,BO841)+COUNTIFS(BD807:BD854,BM841,BE807:BE854,BO841)+COUNTIFS(BF807:BF854,BM841,BG807:BG854,BO841)+COUNTIFS(BH807:BH854,BM841,BI807:BI854,BO841)+COUNTIFS(BJ807:BJ854,BM841,BK807:BK854,BO841))*0.5</f>
        <v>0</v>
      </c>
      <c r="BQ841" s="136" t="str">
        <f t="shared" si="466"/>
        <v>Aulas Teóricas</v>
      </c>
      <c r="BR841" s="136" t="str">
        <f t="shared" si="466"/>
        <v>CDI</v>
      </c>
      <c r="BS841" s="136" t="str">
        <f t="shared" si="467"/>
        <v>Aulas Teóricas</v>
      </c>
      <c r="BT841" s="136">
        <f t="shared" si="473"/>
        <v>24</v>
      </c>
      <c r="BU841" s="136">
        <f t="shared" si="474"/>
        <v>24</v>
      </c>
      <c r="CA841" s="136">
        <f>'INFO BASE'!L919</f>
        <v>0</v>
      </c>
      <c r="CB841" s="136">
        <f>'INFO BASE'!M919</f>
        <v>0</v>
      </c>
      <c r="CR841" s="177">
        <f t="shared" si="455"/>
        <v>1</v>
      </c>
      <c r="CS841" s="177">
        <f t="shared" si="456"/>
        <v>1</v>
      </c>
      <c r="CT841" s="177">
        <f t="shared" si="455"/>
        <v>1</v>
      </c>
      <c r="CU841" s="177">
        <f t="shared" si="457"/>
        <v>1</v>
      </c>
      <c r="CV841" s="177">
        <f t="shared" si="455"/>
        <v>1</v>
      </c>
      <c r="CW841" s="177">
        <f t="shared" si="458"/>
        <v>1</v>
      </c>
      <c r="CX841" s="177">
        <f t="shared" si="455"/>
        <v>1</v>
      </c>
      <c r="CY841" s="177">
        <f t="shared" si="459"/>
        <v>1</v>
      </c>
      <c r="CZ841" s="177">
        <f t="shared" si="455"/>
        <v>1</v>
      </c>
      <c r="DA841" s="177">
        <f t="shared" si="460"/>
        <v>1</v>
      </c>
      <c r="DB841" s="177">
        <f t="shared" si="455"/>
        <v>1</v>
      </c>
      <c r="DC841" s="177">
        <f t="shared" si="461"/>
        <v>1</v>
      </c>
      <c r="DD841" s="177">
        <f t="shared" si="462"/>
        <v>1</v>
      </c>
      <c r="DE841" s="177">
        <f t="shared" si="463"/>
        <v>1</v>
      </c>
    </row>
    <row r="842" spans="1:109" ht="18" customHeight="1" x14ac:dyDescent="0.3">
      <c r="A842" s="81">
        <v>0.72916666666669006</v>
      </c>
      <c r="B842" s="153"/>
      <c r="C842" s="130"/>
      <c r="D842" s="135"/>
      <c r="E842" s="130"/>
      <c r="F842" s="135"/>
      <c r="G842" s="130"/>
      <c r="H842" s="135"/>
      <c r="I842" s="130"/>
      <c r="J842" s="135"/>
      <c r="K842" s="130"/>
      <c r="L842" s="135"/>
      <c r="M842" s="130"/>
      <c r="N842" s="135"/>
      <c r="O842" s="154"/>
      <c r="P842" s="6">
        <v>0</v>
      </c>
      <c r="Q842" s="123" t="str">
        <f t="shared" si="480"/>
        <v>Aulas Teóricas</v>
      </c>
      <c r="R842" s="105" t="str">
        <f t="shared" si="472"/>
        <v>IAC</v>
      </c>
      <c r="S842" s="88">
        <f t="shared" si="469"/>
        <v>-1</v>
      </c>
      <c r="T842" s="106">
        <f>IF(VLOOKUP(Q842,'INFO BASE'!$B$40:$I$54,IF(R842='INFO BASE'!$B$32,3,IF(R842='INFO BASE'!$B$33,4,IF(R842='INFO BASE'!$B$34,5,IF(R842='INFO BASE'!$B$35,6,IF(R842='INFO BASE'!$B$36,7,IF(R842='INFO BASE'!$B$37,8,2)))))),0)=0,"",VLOOKUP(Q842,'INFO BASE'!$B$40:$I$54,IF(R842='INFO BASE'!$B$32,3,IF(R842='INFO BASE'!$B$33,4,IF(R842='INFO BASE'!$B$34,5,IF(R842='INFO BASE'!$B$35,6,IF(R842='INFO BASE'!$B$36,7,IF(R842='INFO BASE'!$B$37,8,2)))))),0))</f>
        <v>3</v>
      </c>
      <c r="U842" s="106">
        <f>(COUNTIFS(C807:C854,R842,B807:B854,R839)+COUNTIFS(E807:E854,R842,D807:D854,R839)+COUNTIFS(G807:G854,R842,F807:F854,R839)+COUNTIFS(I807:I854,R842,H807:H854,R839)+COUNTIFS(K807:K854,R842,J807:J854,R839)+COUNTIFS(M807:M854,R842,L807:L854,R839)+COUNTIFS(O807:O854,R842,N807:N854,R839))*0.5</f>
        <v>0</v>
      </c>
      <c r="V842" s="89">
        <f>(COUNTIFS(AI807:AI854,R839,AJ807:AJ854,R835)+COUNTIFS(AK807:AK854,R839,AL807:AL854,R835)+COUNTIFS(AM807:AM854,R839,AN807:AN854,R835)+COUNTIFS(AO807:AO854,R839,AP807:AP854,R835)+COUNTIFS(AQ807:AQ854,R839,AR807:AR854,R835)+COUNTIFS(AS807:AS854,R839,AT807:AT854,R835)+COUNTIFS(AU807:AU854,R839,AV807:AV854,R835))*0.5</f>
        <v>0</v>
      </c>
      <c r="W842" s="90" t="str">
        <f>IF(AH803="","-",IF(V842=0,U842,IFERROR((U842/V842)-1,"-")))</f>
        <v>-</v>
      </c>
      <c r="X842" s="201">
        <f t="shared" si="470"/>
        <v>0</v>
      </c>
      <c r="Y842" s="271"/>
      <c r="Z842" s="272"/>
      <c r="AA842" s="272"/>
      <c r="AB842" s="272"/>
      <c r="AC842" s="272"/>
      <c r="AD842" s="272"/>
      <c r="AE842" s="272"/>
      <c r="AF842" s="273"/>
      <c r="AH842" s="136">
        <v>0.72916666666669006</v>
      </c>
      <c r="AI842" s="136" t="str">
        <f>IF(AH803="","",IF(B842="","",B842))</f>
        <v/>
      </c>
      <c r="AJ842" s="136" t="str">
        <f>IF(AH803="","",IF(C842="","",C842))</f>
        <v/>
      </c>
      <c r="AK842" s="136" t="str">
        <f>IF(AH803="","",IF(D842="","",D842))</f>
        <v/>
      </c>
      <c r="AL842" s="136" t="str">
        <f>IF(AH803="","",IF(E842="","",E842))</f>
        <v/>
      </c>
      <c r="AM842" s="136" t="str">
        <f>IF(AH803="","",IF(F842="","",F842))</f>
        <v/>
      </c>
      <c r="AN842" s="136" t="str">
        <f>IF(AH803="","",IF(G842="","",G842))</f>
        <v/>
      </c>
      <c r="AO842" s="136" t="str">
        <f>IF(AH803="","",IF(H842="","",H842))</f>
        <v/>
      </c>
      <c r="AP842" s="136" t="str">
        <f>IF(AH803="","",IF(I842="","",I842))</f>
        <v/>
      </c>
      <c r="AQ842" s="136" t="str">
        <f>IF(AH803="","",IF(J842="","",J842))</f>
        <v/>
      </c>
      <c r="AR842" s="136" t="str">
        <f>IF(AH803="","",IF(K842="","",K842))</f>
        <v/>
      </c>
      <c r="AS842" s="136" t="str">
        <f>IF(AH803="","",IF(L842="","",L842))</f>
        <v/>
      </c>
      <c r="AT842" s="136" t="str">
        <f>IF(AH803="","",IF(M842="","",M842))</f>
        <v/>
      </c>
      <c r="AU842" s="136" t="str">
        <f>IF(AH803="","",IF(N842="","",N842))</f>
        <v/>
      </c>
      <c r="AV842" s="136" t="str">
        <f>IF(AH803="","",IF(O842="","",O842))</f>
        <v/>
      </c>
      <c r="AX842" s="136" t="str">
        <f>IF(AI803="","",IF(B842="","",B842))</f>
        <v/>
      </c>
      <c r="AY842" s="136" t="str">
        <f>IF(AI803="","",IF(C842="","",C842))</f>
        <v/>
      </c>
      <c r="AZ842" s="136" t="str">
        <f>IF(AI803="","",IF(D842="","",D842))</f>
        <v/>
      </c>
      <c r="BA842" s="136" t="str">
        <f>IF(AI803="","",IF(E842="","",E842))</f>
        <v/>
      </c>
      <c r="BB842" s="136" t="str">
        <f>IF(AI803="","",IF(F842="","",F842))</f>
        <v/>
      </c>
      <c r="BC842" s="136" t="str">
        <f>IF(AI803="","",IF(G842="","",G842))</f>
        <v/>
      </c>
      <c r="BD842" s="136" t="str">
        <f>IF(AI803="","",IF(H842="","",H842))</f>
        <v/>
      </c>
      <c r="BE842" s="136" t="str">
        <f>IF(AI803="","",IF(I842="","",I842))</f>
        <v/>
      </c>
      <c r="BF842" s="136" t="str">
        <f>IF(AI803="","",IF(J842="","",J842))</f>
        <v/>
      </c>
      <c r="BG842" s="136" t="str">
        <f>IF(AI803="","",IF(K842="","",K842))</f>
        <v/>
      </c>
      <c r="BH842" s="136" t="str">
        <f>IF(AI803="","",IF(L842="","",L842))</f>
        <v/>
      </c>
      <c r="BI842" s="136" t="str">
        <f>IF(AI803="","",IF(M842="","",M842))</f>
        <v/>
      </c>
      <c r="BJ842" s="136" t="str">
        <f>IF(AI803="","",IF(N842="","",N842))</f>
        <v/>
      </c>
      <c r="BK842" s="136" t="str">
        <f>IF(AI803="","",IF(O842="","",O842))</f>
        <v/>
      </c>
      <c r="BM842" s="136" t="str">
        <f t="shared" si="479"/>
        <v>AT</v>
      </c>
      <c r="BN842" s="136" t="str">
        <f t="shared" si="465"/>
        <v>Aulas Teóricas</v>
      </c>
      <c r="BO842" s="136" t="str">
        <f t="shared" si="465"/>
        <v/>
      </c>
      <c r="BP842" s="136">
        <f>(COUNTIFS(AX807:AX854,BM842,AY807:AY854,BO842)+COUNTIFS(AZ807:AZ854,BM842,BA807:BA854,BO842)+COUNTIFS(BB807:BB854,BM842,BC807:BC854,BO842)+COUNTIFS(BD807:BD854,BM842,BE807:BE854,BO842)+COUNTIFS(BF807:BF854,BM842,BG807:BG854,BO842)+COUNTIFS(BH807:BH854,BM842,BI807:BI854,BO842)+COUNTIFS(BJ807:BJ854,BM842,BK807:BK854,BO842))*0.5</f>
        <v>0</v>
      </c>
      <c r="BQ842" s="136" t="str">
        <f t="shared" si="466"/>
        <v>Aulas Teóricas</v>
      </c>
      <c r="BR842" s="136" t="str">
        <f t="shared" si="466"/>
        <v/>
      </c>
      <c r="BS842" s="136" t="str">
        <f t="shared" si="467"/>
        <v>Aulas Teóricas</v>
      </c>
      <c r="BT842" s="136">
        <f t="shared" si="473"/>
        <v>0</v>
      </c>
      <c r="BU842" s="136">
        <f t="shared" si="474"/>
        <v>0</v>
      </c>
      <c r="CA842" s="136">
        <f>'INFO BASE'!L920</f>
        <v>0</v>
      </c>
      <c r="CB842" s="136">
        <f>'INFO BASE'!M920</f>
        <v>0</v>
      </c>
      <c r="CR842" s="177">
        <f t="shared" si="455"/>
        <v>1</v>
      </c>
      <c r="CS842" s="177">
        <f t="shared" si="456"/>
        <v>1</v>
      </c>
      <c r="CT842" s="177">
        <f t="shared" si="455"/>
        <v>1</v>
      </c>
      <c r="CU842" s="177">
        <f t="shared" si="457"/>
        <v>1</v>
      </c>
      <c r="CV842" s="177">
        <f t="shared" si="455"/>
        <v>1</v>
      </c>
      <c r="CW842" s="177">
        <f t="shared" si="458"/>
        <v>1</v>
      </c>
      <c r="CX842" s="177">
        <f t="shared" si="455"/>
        <v>1</v>
      </c>
      <c r="CY842" s="177">
        <f t="shared" si="459"/>
        <v>1</v>
      </c>
      <c r="CZ842" s="177">
        <f t="shared" si="455"/>
        <v>1</v>
      </c>
      <c r="DA842" s="177">
        <f t="shared" si="460"/>
        <v>1</v>
      </c>
      <c r="DB842" s="177">
        <f t="shared" si="455"/>
        <v>1</v>
      </c>
      <c r="DC842" s="177">
        <f t="shared" si="461"/>
        <v>1</v>
      </c>
      <c r="DD842" s="177">
        <f t="shared" si="462"/>
        <v>1</v>
      </c>
      <c r="DE842" s="177">
        <f t="shared" si="463"/>
        <v>1</v>
      </c>
    </row>
    <row r="843" spans="1:109" ht="18" customHeight="1" x14ac:dyDescent="0.3">
      <c r="A843" s="81">
        <v>0.75000000000002398</v>
      </c>
      <c r="B843" s="153"/>
      <c r="C843" s="130"/>
      <c r="D843" s="135"/>
      <c r="E843" s="130"/>
      <c r="F843" s="135"/>
      <c r="G843" s="130"/>
      <c r="H843" s="135"/>
      <c r="I843" s="130"/>
      <c r="J843" s="135"/>
      <c r="K843" s="130"/>
      <c r="L843" s="135"/>
      <c r="M843" s="130"/>
      <c r="N843" s="135"/>
      <c r="O843" s="154"/>
      <c r="P843" s="6">
        <v>0</v>
      </c>
      <c r="Q843" s="122" t="str">
        <f t="shared" si="480"/>
        <v>Aulas Teóricas</v>
      </c>
      <c r="R843" s="105" t="str">
        <f t="shared" si="472"/>
        <v>AL</v>
      </c>
      <c r="S843" s="88">
        <f t="shared" si="469"/>
        <v>-1</v>
      </c>
      <c r="T843" s="106">
        <f>IF(VLOOKUP(Q843,'INFO BASE'!$B$40:$I$54,IF(R843='INFO BASE'!$B$32,3,IF(R843='INFO BASE'!$B$33,4,IF(R843='INFO BASE'!$B$34,5,IF(R843='INFO BASE'!$B$35,6,IF(R843='INFO BASE'!$B$36,7,IF(R843='INFO BASE'!$B$37,8,2)))))),0)=0,"",VLOOKUP(Q843,'INFO BASE'!$B$40:$I$54,IF(R843='INFO BASE'!$B$32,3,IF(R843='INFO BASE'!$B$33,4,IF(R843='INFO BASE'!$B$34,5,IF(R843='INFO BASE'!$B$35,6,IF(R843='INFO BASE'!$B$36,7,IF(R843='INFO BASE'!$B$37,8,2)))))),0))</f>
        <v>3</v>
      </c>
      <c r="U843" s="106">
        <f>(COUNTIFS(C807:C854,R843,B807:B854,R839)+COUNTIFS(E807:E854,R843,D807:D854,R839)+COUNTIFS(G807:G854,R843,F807:F854,R839)+COUNTIFS(I807:I854,R843,H807:H854,R839)+COUNTIFS(K807:K854,R843,J807:J854,R839)+COUNTIFS(M807:M854,R843,L807:L854,R839)+COUNTIFS(O807:O854,R843,N807:N854,R839))*0.5</f>
        <v>0</v>
      </c>
      <c r="V843" s="89">
        <f>(COUNTIFS(AI807:AI854,R839,AJ807:AJ854,R836)+COUNTIFS(AK807:AK854,R839,AL807:AL854,R836)+COUNTIFS(AM807:AM854,R839,AN807:AN854,R836)+COUNTIFS(AO807:AO854,R839,AP807:AP854,R836)+COUNTIFS(AQ807:AQ854,R839,AR807:AR854,R836)+COUNTIFS(AS807:AS854,R839,AT807:AT854,R836)+COUNTIFS(AU807:AU854,R839,AV807:AV854,R836))*0.5</f>
        <v>0</v>
      </c>
      <c r="W843" s="90" t="str">
        <f>IF(AH803="","-",IF(V843=0,U843,IFERROR((U843/V843)-1,"-")))</f>
        <v>-</v>
      </c>
      <c r="X843" s="201">
        <f t="shared" si="470"/>
        <v>0</v>
      </c>
      <c r="Y843" s="271"/>
      <c r="Z843" s="272"/>
      <c r="AA843" s="272"/>
      <c r="AB843" s="272"/>
      <c r="AC843" s="272"/>
      <c r="AD843" s="272"/>
      <c r="AE843" s="272"/>
      <c r="AF843" s="273"/>
      <c r="AH843" s="136">
        <v>0.75000000000002398</v>
      </c>
      <c r="AI843" s="136" t="str">
        <f>IF(AH803="","",IF(B843="","",B843))</f>
        <v/>
      </c>
      <c r="AJ843" s="136" t="str">
        <f>IF(AH803="","",IF(C843="","",C843))</f>
        <v/>
      </c>
      <c r="AK843" s="136" t="str">
        <f>IF(AH803="","",IF(D843="","",D843))</f>
        <v/>
      </c>
      <c r="AL843" s="136" t="str">
        <f>IF(AH803="","",IF(E843="","",E843))</f>
        <v/>
      </c>
      <c r="AM843" s="136" t="str">
        <f>IF(AH803="","",IF(F843="","",F843))</f>
        <v/>
      </c>
      <c r="AN843" s="136" t="str">
        <f>IF(AH803="","",IF(G843="","",G843))</f>
        <v/>
      </c>
      <c r="AO843" s="136" t="str">
        <f>IF(AH803="","",IF(H843="","",H843))</f>
        <v/>
      </c>
      <c r="AP843" s="136" t="str">
        <f>IF(AH803="","",IF(I843="","",I843))</f>
        <v/>
      </c>
      <c r="AQ843" s="136" t="str">
        <f>IF(AH803="","",IF(J843="","",J843))</f>
        <v/>
      </c>
      <c r="AR843" s="136" t="str">
        <f>IF(AH803="","",IF(K843="","",K843))</f>
        <v/>
      </c>
      <c r="AS843" s="136" t="str">
        <f>IF(AH803="","",IF(L843="","",L843))</f>
        <v/>
      </c>
      <c r="AT843" s="136" t="str">
        <f>IF(AH803="","",IF(M843="","",M843))</f>
        <v/>
      </c>
      <c r="AU843" s="136" t="str">
        <f>IF(AH803="","",IF(N843="","",N843))</f>
        <v/>
      </c>
      <c r="AV843" s="136" t="str">
        <f>IF(AH803="","",IF(O843="","",O843))</f>
        <v/>
      </c>
      <c r="AX843" s="136" t="str">
        <f>IF(AI803="","",IF(B843="","",B843))</f>
        <v/>
      </c>
      <c r="AY843" s="136" t="str">
        <f>IF(AI803="","",IF(C843="","",C843))</f>
        <v/>
      </c>
      <c r="AZ843" s="136" t="str">
        <f>IF(AI803="","",IF(D843="","",D843))</f>
        <v/>
      </c>
      <c r="BA843" s="136" t="str">
        <f>IF(AI803="","",IF(E843="","",E843))</f>
        <v/>
      </c>
      <c r="BB843" s="136" t="str">
        <f>IF(AI803="","",IF(F843="","",F843))</f>
        <v/>
      </c>
      <c r="BC843" s="136" t="str">
        <f>IF(AI803="","",IF(G843="","",G843))</f>
        <v/>
      </c>
      <c r="BD843" s="136" t="str">
        <f>IF(AI803="","",IF(H843="","",H843))</f>
        <v/>
      </c>
      <c r="BE843" s="136" t="str">
        <f>IF(AI803="","",IF(I843="","",I843))</f>
        <v/>
      </c>
      <c r="BF843" s="136" t="str">
        <f>IF(AI803="","",IF(J843="","",J843))</f>
        <v/>
      </c>
      <c r="BG843" s="136" t="str">
        <f>IF(AI803="","",IF(K843="","",K843))</f>
        <v/>
      </c>
      <c r="BH843" s="136" t="str">
        <f>IF(AI803="","",IF(L843="","",L843))</f>
        <v/>
      </c>
      <c r="BI843" s="136" t="str">
        <f>IF(AI803="","",IF(M843="","",M843))</f>
        <v/>
      </c>
      <c r="BJ843" s="136" t="str">
        <f>IF(AI803="","",IF(N843="","",N843))</f>
        <v/>
      </c>
      <c r="BK843" s="136" t="str">
        <f>IF(AI803="","",IF(O843="","",O843))</f>
        <v/>
      </c>
      <c r="BN843" s="136" t="str">
        <f t="shared" si="465"/>
        <v>Aulas Práticas</v>
      </c>
      <c r="BO843" s="136" t="str">
        <f t="shared" si="465"/>
        <v>APA</v>
      </c>
      <c r="BP843" s="136">
        <f>IF(BO843="","",COUNTIFS(AX807:BK854,BO843)*0.5)</f>
        <v>0</v>
      </c>
      <c r="BQ843" s="136" t="str">
        <f t="shared" si="466"/>
        <v>Aulas Práticas</v>
      </c>
      <c r="BR843" s="136" t="str">
        <f t="shared" si="466"/>
        <v>APA</v>
      </c>
      <c r="BS843" s="136" t="str">
        <f t="shared" si="467"/>
        <v>Aulas Práticas</v>
      </c>
      <c r="BT843" s="136">
        <f t="shared" si="473"/>
        <v>0</v>
      </c>
      <c r="BU843" s="136">
        <f t="shared" si="474"/>
        <v>0</v>
      </c>
      <c r="CA843" s="136">
        <f>'INFO BASE'!L921</f>
        <v>0</v>
      </c>
      <c r="CB843" s="136">
        <f>'INFO BASE'!M921</f>
        <v>0</v>
      </c>
      <c r="CR843" s="177">
        <f t="shared" si="455"/>
        <v>1</v>
      </c>
      <c r="CS843" s="177">
        <f t="shared" si="456"/>
        <v>1</v>
      </c>
      <c r="CT843" s="177">
        <f t="shared" si="455"/>
        <v>1</v>
      </c>
      <c r="CU843" s="177">
        <f t="shared" si="457"/>
        <v>1</v>
      </c>
      <c r="CV843" s="177">
        <f t="shared" si="455"/>
        <v>1</v>
      </c>
      <c r="CW843" s="177">
        <f t="shared" si="458"/>
        <v>1</v>
      </c>
      <c r="CX843" s="177">
        <f t="shared" si="455"/>
        <v>1</v>
      </c>
      <c r="CY843" s="177">
        <f t="shared" si="459"/>
        <v>1</v>
      </c>
      <c r="CZ843" s="177">
        <f t="shared" si="455"/>
        <v>1</v>
      </c>
      <c r="DA843" s="177">
        <f t="shared" si="460"/>
        <v>1</v>
      </c>
      <c r="DB843" s="177">
        <f t="shared" si="455"/>
        <v>1</v>
      </c>
      <c r="DC843" s="177">
        <f t="shared" si="461"/>
        <v>1</v>
      </c>
      <c r="DD843" s="177">
        <f t="shared" si="462"/>
        <v>1</v>
      </c>
      <c r="DE843" s="177">
        <f t="shared" si="463"/>
        <v>1</v>
      </c>
    </row>
    <row r="844" spans="1:109" ht="18" customHeight="1" x14ac:dyDescent="0.3">
      <c r="A844" s="81">
        <v>0.77083333333335802</v>
      </c>
      <c r="B844" s="153"/>
      <c r="C844" s="130"/>
      <c r="D844" s="135"/>
      <c r="E844" s="130"/>
      <c r="F844" s="135"/>
      <c r="G844" s="130"/>
      <c r="H844" s="135"/>
      <c r="I844" s="130"/>
      <c r="J844" s="135"/>
      <c r="K844" s="130"/>
      <c r="L844" s="135"/>
      <c r="M844" s="130"/>
      <c r="N844" s="135"/>
      <c r="O844" s="154"/>
      <c r="P844" s="6">
        <v>0</v>
      </c>
      <c r="Q844" s="122" t="str">
        <f t="shared" si="480"/>
        <v>Aulas Teóricas</v>
      </c>
      <c r="R844" s="105" t="str">
        <f t="shared" si="472"/>
        <v>CDI</v>
      </c>
      <c r="S844" s="88">
        <f t="shared" si="469"/>
        <v>-1</v>
      </c>
      <c r="T844" s="106">
        <f>IF(VLOOKUP(Q844,'INFO BASE'!$B$40:$I$54,IF(R844='INFO BASE'!$B$32,3,IF(R844='INFO BASE'!$B$33,4,IF(R844='INFO BASE'!$B$34,5,IF(R844='INFO BASE'!$B$35,6,IF(R844='INFO BASE'!$B$36,7,IF(R844='INFO BASE'!$B$37,8,2)))))),0)=0,"",VLOOKUP(Q844,'INFO BASE'!$B$40:$I$54,IF(R844='INFO BASE'!$B$32,3,IF(R844='INFO BASE'!$B$33,4,IF(R844='INFO BASE'!$B$34,5,IF(R844='INFO BASE'!$B$35,6,IF(R844='INFO BASE'!$B$36,7,IF(R844='INFO BASE'!$B$37,8,2)))))),0))</f>
        <v>3</v>
      </c>
      <c r="U844" s="106">
        <f>(COUNTIFS(C807:C854,R844,B807:B854,R839)+COUNTIFS(E807:E854,R844,D807:D854,R839)+COUNTIFS(G807:G854,R844,F807:F854,R839)+COUNTIFS(I807:I854,R844,H807:H854,R839)+COUNTIFS(K807:K854,R844,J807:J854,R839)+COUNTIFS(M807:M854,R844,L807:L854,R839)+COUNTIFS(O807:O854,R844,N807:N854,R839))*0.5</f>
        <v>0</v>
      </c>
      <c r="V844" s="89">
        <f>(COUNTIFS(AI807:AI854,R839,AJ807:AJ854,R837)+COUNTIFS(AK807:AK854,R839,AL807:AL854,R837)+COUNTIFS(AM807:AM854,R839,AN807:AN854,R837)+COUNTIFS(AO807:AO854,R839,AP807:AP854,R837)+COUNTIFS(AQ807:AQ854,R839,AR807:AR854,R837)+COUNTIFS(AS807:AS854,R839,AT807:AT854,R837)+COUNTIFS(AU807:AU854,R839,AV807:AV854,R837))*0.5</f>
        <v>0</v>
      </c>
      <c r="W844" s="90" t="str">
        <f>IF(AH803="","-",IF(V844=0,U844,IFERROR((U844/V844)-1,"-")))</f>
        <v>-</v>
      </c>
      <c r="X844" s="201">
        <f t="shared" si="470"/>
        <v>0</v>
      </c>
      <c r="Y844" s="271"/>
      <c r="Z844" s="272"/>
      <c r="AA844" s="272"/>
      <c r="AB844" s="272"/>
      <c r="AC844" s="272"/>
      <c r="AD844" s="272"/>
      <c r="AE844" s="272"/>
      <c r="AF844" s="273"/>
      <c r="AH844" s="136">
        <v>0.77083333333335802</v>
      </c>
      <c r="AI844" s="136" t="str">
        <f>IF(AH803="","",IF(B844="","",B844))</f>
        <v/>
      </c>
      <c r="AJ844" s="136" t="str">
        <f>IF(AH803="","",IF(C844="","",C844))</f>
        <v/>
      </c>
      <c r="AK844" s="136" t="str">
        <f>IF(AH803="","",IF(D844="","",D844))</f>
        <v/>
      </c>
      <c r="AL844" s="136" t="str">
        <f>IF(AH803="","",IF(E844="","",E844))</f>
        <v/>
      </c>
      <c r="AM844" s="136" t="str">
        <f>IF(AH803="","",IF(F844="","",F844))</f>
        <v/>
      </c>
      <c r="AN844" s="136" t="str">
        <f>IF(AH803="","",IF(G844="","",G844))</f>
        <v/>
      </c>
      <c r="AO844" s="136" t="str">
        <f>IF(AH803="","",IF(H844="","",H844))</f>
        <v/>
      </c>
      <c r="AP844" s="136" t="str">
        <f>IF(AH803="","",IF(I844="","",I844))</f>
        <v/>
      </c>
      <c r="AQ844" s="136" t="str">
        <f>IF(AH803="","",IF(J844="","",J844))</f>
        <v/>
      </c>
      <c r="AR844" s="136" t="str">
        <f>IF(AH803="","",IF(K844="","",K844))</f>
        <v/>
      </c>
      <c r="AS844" s="136" t="str">
        <f>IF(AH803="","",IF(L844="","",L844))</f>
        <v/>
      </c>
      <c r="AT844" s="136" t="str">
        <f>IF(AH803="","",IF(M844="","",M844))</f>
        <v/>
      </c>
      <c r="AU844" s="136" t="str">
        <f>IF(AH803="","",IF(N844="","",N844))</f>
        <v/>
      </c>
      <c r="AV844" s="136" t="str">
        <f>IF(AH803="","",IF(O844="","",O844))</f>
        <v/>
      </c>
      <c r="AX844" s="136" t="str">
        <f>IF(AI803="","",IF(B844="","",B844))</f>
        <v/>
      </c>
      <c r="AY844" s="136" t="str">
        <f>IF(AI803="","",IF(C844="","",C844))</f>
        <v/>
      </c>
      <c r="AZ844" s="136" t="str">
        <f>IF(AI803="","",IF(D844="","",D844))</f>
        <v/>
      </c>
      <c r="BA844" s="136" t="str">
        <f>IF(AI803="","",IF(E844="","",E844))</f>
        <v/>
      </c>
      <c r="BB844" s="136" t="str">
        <f>IF(AI803="","",IF(F844="","",F844))</f>
        <v/>
      </c>
      <c r="BC844" s="136" t="str">
        <f>IF(AI803="","",IF(G844="","",G844))</f>
        <v/>
      </c>
      <c r="BD844" s="136" t="str">
        <f>IF(AI803="","",IF(H844="","",H844))</f>
        <v/>
      </c>
      <c r="BE844" s="136" t="str">
        <f>IF(AI803="","",IF(I844="","",I844))</f>
        <v/>
      </c>
      <c r="BF844" s="136" t="str">
        <f>IF(AI803="","",IF(J844="","",J844))</f>
        <v/>
      </c>
      <c r="BG844" s="136" t="str">
        <f>IF(AI803="","",IF(K844="","",K844))</f>
        <v/>
      </c>
      <c r="BH844" s="136" t="str">
        <f>IF(AI803="","",IF(L844="","",L844))</f>
        <v/>
      </c>
      <c r="BI844" s="136" t="str">
        <f>IF(AI803="","",IF(M844="","",M844))</f>
        <v/>
      </c>
      <c r="BJ844" s="136" t="str">
        <f>IF(AI803="","",IF(N844="","",N844))</f>
        <v/>
      </c>
      <c r="BK844" s="136" t="str">
        <f>IF(AI803="","",IF(O844="","",O844))</f>
        <v/>
      </c>
      <c r="BN844" s="136" t="str">
        <f t="shared" si="465"/>
        <v>Aulas Problemas</v>
      </c>
      <c r="BO844" s="136" t="str">
        <f t="shared" si="465"/>
        <v>APB</v>
      </c>
      <c r="BP844" s="136">
        <f>IF(BO844="","",COUNTIFS(AX807:BK854,BO844)*0.5)</f>
        <v>0</v>
      </c>
      <c r="BQ844" s="136" t="str">
        <f t="shared" si="466"/>
        <v>Aulas Problemas</v>
      </c>
      <c r="BR844" s="136" t="str">
        <f t="shared" si="466"/>
        <v>APB</v>
      </c>
      <c r="BS844" s="136" t="str">
        <f t="shared" si="467"/>
        <v>Aulas Problemas</v>
      </c>
      <c r="BT844" s="136">
        <f t="shared" si="473"/>
        <v>36</v>
      </c>
      <c r="BU844" s="136">
        <f t="shared" si="474"/>
        <v>36</v>
      </c>
      <c r="CR844" s="177">
        <f t="shared" si="455"/>
        <v>1</v>
      </c>
      <c r="CS844" s="177">
        <f t="shared" si="456"/>
        <v>1</v>
      </c>
      <c r="CT844" s="177">
        <f t="shared" si="455"/>
        <v>1</v>
      </c>
      <c r="CU844" s="177">
        <f t="shared" si="457"/>
        <v>1</v>
      </c>
      <c r="CV844" s="177">
        <f t="shared" si="455"/>
        <v>1</v>
      </c>
      <c r="CW844" s="177">
        <f t="shared" si="458"/>
        <v>1</v>
      </c>
      <c r="CX844" s="177">
        <f t="shared" si="455"/>
        <v>1</v>
      </c>
      <c r="CY844" s="177">
        <f t="shared" si="459"/>
        <v>1</v>
      </c>
      <c r="CZ844" s="177">
        <f t="shared" si="455"/>
        <v>1</v>
      </c>
      <c r="DA844" s="177">
        <f t="shared" si="460"/>
        <v>1</v>
      </c>
      <c r="DB844" s="177">
        <f t="shared" si="455"/>
        <v>1</v>
      </c>
      <c r="DC844" s="177">
        <f t="shared" si="461"/>
        <v>1</v>
      </c>
      <c r="DD844" s="177">
        <f t="shared" si="462"/>
        <v>1</v>
      </c>
      <c r="DE844" s="177">
        <f t="shared" si="463"/>
        <v>1</v>
      </c>
    </row>
    <row r="845" spans="1:109" ht="18" customHeight="1" thickBot="1" x14ac:dyDescent="0.35">
      <c r="A845" s="81">
        <v>0.79166666666669205</v>
      </c>
      <c r="B845" s="153"/>
      <c r="C845" s="130"/>
      <c r="D845" s="135"/>
      <c r="E845" s="130"/>
      <c r="F845" s="135"/>
      <c r="G845" s="130"/>
      <c r="H845" s="135"/>
      <c r="I845" s="130"/>
      <c r="J845" s="135"/>
      <c r="K845" s="130"/>
      <c r="L845" s="135"/>
      <c r="M845" s="130"/>
      <c r="N845" s="135"/>
      <c r="O845" s="154"/>
      <c r="P845" s="6">
        <v>0</v>
      </c>
      <c r="Q845" s="124" t="str">
        <f t="shared" si="480"/>
        <v>Aulas Teóricas</v>
      </c>
      <c r="R845" s="107" t="str">
        <f t="shared" si="472"/>
        <v/>
      </c>
      <c r="S845" s="94" t="str">
        <f t="shared" si="469"/>
        <v>-</v>
      </c>
      <c r="T845" s="108" t="str">
        <f>IF(VLOOKUP(Q845,'INFO BASE'!$B$40:$I$54,IF(R845='INFO BASE'!$B$32,3,IF(R845='INFO BASE'!$B$33,4,IF(R845='INFO BASE'!$B$34,5,IF(R845='INFO BASE'!$B$35,6,IF(R845='INFO BASE'!$B$36,7,IF(R845='INFO BASE'!$B$37,8,2)))))),0)=0,"",VLOOKUP(Q845,'INFO BASE'!$B$40:$I$54,IF(R845='INFO BASE'!$B$32,3,IF(R845='INFO BASE'!$B$33,4,IF(R845='INFO BASE'!$B$34,5,IF(R845='INFO BASE'!$B$35,6,IF(R845='INFO BASE'!$B$36,7,IF(R845='INFO BASE'!$B$37,8,2)))))),0))</f>
        <v/>
      </c>
      <c r="U845" s="108">
        <f>(COUNTIFS(C807:C854,R845,B807:B854,R839)+COUNTIFS(E807:E854,R845,D807:D854,R839)+COUNTIFS(G807:G854,R845,F807:F854,R839)+COUNTIFS(I807:I854,R845,H807:H854,R839)+COUNTIFS(K807:K854,R845,J807:J854,R839)+COUNTIFS(M807:M854,R845,L807:L854,R839)+COUNTIFS(O807:O854,R845,N807:N854,R839))*0.5</f>
        <v>0</v>
      </c>
      <c r="V845" s="95">
        <f>(COUNTIFS(AI807:AI854,R839,AJ807:AJ854,R838)+COUNTIFS(AK807:AK854,R839,AL807:AL854,R838)+COUNTIFS(AM807:AM854,R839,AN807:AN854,R838)+COUNTIFS(AO807:AO854,R839,AP807:AP854,R838)+COUNTIFS(AQ807:AQ854,R839,AR807:AR854,R838)+COUNTIFS(AS807:AS854,R839,AT807:AT854,R838)+COUNTIFS(AU807:AU854,R839,AV807:AV854,R838))*0.5</f>
        <v>0</v>
      </c>
      <c r="W845" s="96" t="str">
        <f>IF(AH803="","-",IF(V845=0,U845,IFERROR((U845/V845)-1,"-")))</f>
        <v>-</v>
      </c>
      <c r="X845" s="201">
        <f t="shared" si="470"/>
        <v>0</v>
      </c>
      <c r="Y845" s="274"/>
      <c r="Z845" s="275"/>
      <c r="AA845" s="275"/>
      <c r="AB845" s="275"/>
      <c r="AC845" s="275"/>
      <c r="AD845" s="275"/>
      <c r="AE845" s="275"/>
      <c r="AF845" s="276"/>
      <c r="AH845" s="136">
        <v>0.79166666666669205</v>
      </c>
      <c r="AI845" s="136" t="str">
        <f>IF(AH803="","",IF(B845="","",B845))</f>
        <v/>
      </c>
      <c r="AJ845" s="136" t="str">
        <f>IF(AH803="","",IF(C845="","",C845))</f>
        <v/>
      </c>
      <c r="AK845" s="136" t="str">
        <f>IF(AH803="","",IF(D845="","",D845))</f>
        <v/>
      </c>
      <c r="AL845" s="136" t="str">
        <f>IF(AH803="","",IF(E845="","",E845))</f>
        <v/>
      </c>
      <c r="AM845" s="136" t="str">
        <f>IF(AH803="","",IF(F845="","",F845))</f>
        <v/>
      </c>
      <c r="AN845" s="136" t="str">
        <f>IF(AH803="","",IF(G845="","",G845))</f>
        <v/>
      </c>
      <c r="AO845" s="136" t="str">
        <f>IF(AH803="","",IF(H845="","",H845))</f>
        <v/>
      </c>
      <c r="AP845" s="136" t="str">
        <f>IF(AH803="","",IF(I845="","",I845))</f>
        <v/>
      </c>
      <c r="AQ845" s="136" t="str">
        <f>IF(AH803="","",IF(J845="","",J845))</f>
        <v/>
      </c>
      <c r="AR845" s="136" t="str">
        <f>IF(AH803="","",IF(K845="","",K845))</f>
        <v/>
      </c>
      <c r="AS845" s="136" t="str">
        <f>IF(AH803="","",IF(L845="","",L845))</f>
        <v/>
      </c>
      <c r="AT845" s="136" t="str">
        <f>IF(AH803="","",IF(M845="","",M845))</f>
        <v/>
      </c>
      <c r="AU845" s="136" t="str">
        <f>IF(AH803="","",IF(N845="","",N845))</f>
        <v/>
      </c>
      <c r="AV845" s="136" t="str">
        <f>IF(AH803="","",IF(O845="","",O845))</f>
        <v/>
      </c>
      <c r="AX845" s="136" t="str">
        <f>IF(AI803="","",IF(B845="","",B845))</f>
        <v/>
      </c>
      <c r="AY845" s="136" t="str">
        <f>IF(AI803="","",IF(C845="","",C845))</f>
        <v/>
      </c>
      <c r="AZ845" s="136" t="str">
        <f>IF(AI803="","",IF(D845="","",D845))</f>
        <v/>
      </c>
      <c r="BA845" s="136" t="str">
        <f>IF(AI803="","",IF(E845="","",E845))</f>
        <v/>
      </c>
      <c r="BB845" s="136" t="str">
        <f>IF(AI803="","",IF(F845="","",F845))</f>
        <v/>
      </c>
      <c r="BC845" s="136" t="str">
        <f>IF(AI803="","",IF(G845="","",G845))</f>
        <v/>
      </c>
      <c r="BD845" s="136" t="str">
        <f>IF(AI803="","",IF(H845="","",H845))</f>
        <v/>
      </c>
      <c r="BE845" s="136" t="str">
        <f>IF(AI803="","",IF(I845="","",I845))</f>
        <v/>
      </c>
      <c r="BF845" s="136" t="str">
        <f>IF(AI803="","",IF(J845="","",J845))</f>
        <v/>
      </c>
      <c r="BG845" s="136" t="str">
        <f>IF(AI803="","",IF(K845="","",K845))</f>
        <v/>
      </c>
      <c r="BH845" s="136" t="str">
        <f>IF(AI803="","",IF(L845="","",L845))</f>
        <v/>
      </c>
      <c r="BI845" s="136" t="str">
        <f>IF(AI803="","",IF(M845="","",M845))</f>
        <v/>
      </c>
      <c r="BJ845" s="136" t="str">
        <f>IF(AI803="","",IF(N845="","",N845))</f>
        <v/>
      </c>
      <c r="BK845" s="136" t="str">
        <f>IF(AI803="","",IF(O845="","",O845))</f>
        <v/>
      </c>
      <c r="BN845" s="136" t="str">
        <f t="shared" si="465"/>
        <v>Laboratórios</v>
      </c>
      <c r="BO845" s="136" t="str">
        <f t="shared" si="465"/>
        <v>LAB</v>
      </c>
      <c r="BP845" s="136">
        <f>IF(BO845="","",COUNTIFS(AX807:BK854,BO845)*0.5)</f>
        <v>0</v>
      </c>
      <c r="BQ845" s="136" t="str">
        <f t="shared" si="466"/>
        <v>Laboratórios</v>
      </c>
      <c r="BR845" s="136" t="str">
        <f t="shared" si="466"/>
        <v>LAB</v>
      </c>
      <c r="BS845" s="136" t="str">
        <f t="shared" si="467"/>
        <v>Laboratórios</v>
      </c>
      <c r="BT845" s="136">
        <f t="shared" si="473"/>
        <v>10.5</v>
      </c>
      <c r="BU845" s="136">
        <f t="shared" si="474"/>
        <v>10.5</v>
      </c>
      <c r="CA845" s="136">
        <f>'INFO BASE'!L922</f>
        <v>0</v>
      </c>
      <c r="CB845" s="136">
        <f>'INFO BASE'!M922</f>
        <v>0</v>
      </c>
      <c r="CR845" s="177">
        <f t="shared" si="455"/>
        <v>1</v>
      </c>
      <c r="CS845" s="177">
        <f t="shared" si="456"/>
        <v>1</v>
      </c>
      <c r="CT845" s="177">
        <f t="shared" si="455"/>
        <v>1</v>
      </c>
      <c r="CU845" s="177">
        <f t="shared" si="457"/>
        <v>1</v>
      </c>
      <c r="CV845" s="177">
        <f t="shared" si="455"/>
        <v>1</v>
      </c>
      <c r="CW845" s="177">
        <f t="shared" si="458"/>
        <v>1</v>
      </c>
      <c r="CX845" s="177">
        <f t="shared" si="455"/>
        <v>1</v>
      </c>
      <c r="CY845" s="177">
        <f t="shared" si="459"/>
        <v>1</v>
      </c>
      <c r="CZ845" s="177">
        <f t="shared" si="455"/>
        <v>1</v>
      </c>
      <c r="DA845" s="177">
        <f t="shared" si="460"/>
        <v>1</v>
      </c>
      <c r="DB845" s="177">
        <f t="shared" si="455"/>
        <v>1</v>
      </c>
      <c r="DC845" s="177">
        <f t="shared" si="461"/>
        <v>1</v>
      </c>
      <c r="DD845" s="177">
        <f t="shared" si="462"/>
        <v>1</v>
      </c>
      <c r="DE845" s="177">
        <f t="shared" si="463"/>
        <v>1</v>
      </c>
    </row>
    <row r="846" spans="1:109" ht="18" customHeight="1" x14ac:dyDescent="0.3">
      <c r="A846" s="81">
        <v>0.81250000000002598</v>
      </c>
      <c r="B846" s="153"/>
      <c r="C846" s="130"/>
      <c r="D846" s="135"/>
      <c r="E846" s="130"/>
      <c r="F846" s="135"/>
      <c r="G846" s="130"/>
      <c r="H846" s="135"/>
      <c r="I846" s="130"/>
      <c r="J846" s="135"/>
      <c r="K846" s="130"/>
      <c r="L846" s="135"/>
      <c r="M846" s="130"/>
      <c r="N846" s="135"/>
      <c r="O846" s="154"/>
      <c r="P846" s="6">
        <v>0</v>
      </c>
      <c r="Q846" s="97" t="str">
        <f>IF('INFO BASE'!$C$21="","",'INFO BASE'!$C$21)</f>
        <v>Aulas Práticas</v>
      </c>
      <c r="R846" s="82" t="str">
        <f t="shared" si="472"/>
        <v>APA</v>
      </c>
      <c r="S846" s="83" t="str">
        <f t="shared" si="469"/>
        <v>-</v>
      </c>
      <c r="T846" s="98" t="str">
        <f>IF(VLOOKUP(Q846,'INFO BASE'!$B$40:$I$54,IF(R846='INFO BASE'!$B$32,3,IF(R846='INFO BASE'!$B$33,4,IF(R846='INFO BASE'!$B$34,5,IF(R846='INFO BASE'!$B$35,6,IF(R846='INFO BASE'!$B$36,7,IF(R846='INFO BASE'!$B$37,8,2)))))),0)=0,"",VLOOKUP(Q846,'INFO BASE'!$B$40:$I$54,IF(R846='INFO BASE'!$B$32,3,IF(R846='INFO BASE'!$B$33,4,IF(R846='INFO BASE'!$B$34,5,IF(R846='INFO BASE'!$B$35,6,IF(R846='INFO BASE'!$B$36,7,IF(R846='INFO BASE'!$B$37,8,2)))))),0))</f>
        <v/>
      </c>
      <c r="U846" s="84">
        <f t="shared" ref="U846:U854" si="481">IF(R846="","",COUNTIFS(SEMANA15,R846)*0.5)</f>
        <v>0</v>
      </c>
      <c r="V846" s="84">
        <f>IF(R846="","",COUNTIFS(AI807:AV854,R846)*0.5)</f>
        <v>0</v>
      </c>
      <c r="W846" s="85" t="str">
        <f>IF(AH803="","-",IF(V846=0,U846,IFERROR((U846/V846)-1,"-")))</f>
        <v>-</v>
      </c>
      <c r="X846" s="201">
        <f t="shared" si="470"/>
        <v>0</v>
      </c>
      <c r="Y846" s="277"/>
      <c r="Z846" s="278"/>
      <c r="AA846" s="278"/>
      <c r="AB846" s="278"/>
      <c r="AC846" s="278"/>
      <c r="AD846" s="278"/>
      <c r="AE846" s="278"/>
      <c r="AF846" s="279"/>
      <c r="AH846" s="136">
        <v>0.81250000000002598</v>
      </c>
      <c r="AI846" s="136" t="str">
        <f>IF(AH803="","",IF(B846="","",B846))</f>
        <v/>
      </c>
      <c r="AJ846" s="136" t="str">
        <f>IF(AH803="","",IF(C846="","",C846))</f>
        <v/>
      </c>
      <c r="AK846" s="136" t="str">
        <f>IF(AH803="","",IF(D846="","",D846))</f>
        <v/>
      </c>
      <c r="AL846" s="136" t="str">
        <f>IF(AH803="","",IF(E846="","",E846))</f>
        <v/>
      </c>
      <c r="AM846" s="136" t="str">
        <f>IF(AH803="","",IF(F846="","",F846))</f>
        <v/>
      </c>
      <c r="AN846" s="136" t="str">
        <f>IF(AH803="","",IF(G846="","",G846))</f>
        <v/>
      </c>
      <c r="AO846" s="136" t="str">
        <f>IF(AH803="","",IF(H846="","",H846))</f>
        <v/>
      </c>
      <c r="AP846" s="136" t="str">
        <f>IF(AH803="","",IF(I846="","",I846))</f>
        <v/>
      </c>
      <c r="AQ846" s="136" t="str">
        <f>IF(AH803="","",IF(J846="","",J846))</f>
        <v/>
      </c>
      <c r="AR846" s="136" t="str">
        <f>IF(AH803="","",IF(K846="","",K846))</f>
        <v/>
      </c>
      <c r="AS846" s="136" t="str">
        <f>IF(AH803="","",IF(L846="","",L846))</f>
        <v/>
      </c>
      <c r="AT846" s="136" t="str">
        <f>IF(AH803="","",IF(M846="","",M846))</f>
        <v/>
      </c>
      <c r="AU846" s="136" t="str">
        <f>IF(AH803="","",IF(N846="","",N846))</f>
        <v/>
      </c>
      <c r="AV846" s="136" t="str">
        <f>IF(AH803="","",IF(O846="","",O846))</f>
        <v/>
      </c>
      <c r="AX846" s="136" t="str">
        <f>IF(AI803="","",IF(B846="","",B846))</f>
        <v/>
      </c>
      <c r="AY846" s="136" t="str">
        <f>IF(AI803="","",IF(C846="","",C846))</f>
        <v/>
      </c>
      <c r="AZ846" s="136" t="str">
        <f>IF(AI803="","",IF(D846="","",D846))</f>
        <v/>
      </c>
      <c r="BA846" s="136" t="str">
        <f>IF(AI803="","",IF(E846="","",E846))</f>
        <v/>
      </c>
      <c r="BB846" s="136" t="str">
        <f>IF(AI803="","",IF(F846="","",F846))</f>
        <v/>
      </c>
      <c r="BC846" s="136" t="str">
        <f>IF(AI803="","",IF(G846="","",G846))</f>
        <v/>
      </c>
      <c r="BD846" s="136" t="str">
        <f>IF(AI803="","",IF(H846="","",H846))</f>
        <v/>
      </c>
      <c r="BE846" s="136" t="str">
        <f>IF(AI803="","",IF(I846="","",I846))</f>
        <v/>
      </c>
      <c r="BF846" s="136" t="str">
        <f>IF(AI803="","",IF(J846="","",J846))</f>
        <v/>
      </c>
      <c r="BG846" s="136" t="str">
        <f>IF(AI803="","",IF(K846="","",K846))</f>
        <v/>
      </c>
      <c r="BH846" s="136" t="str">
        <f>IF(AI803="","",IF(L846="","",L846))</f>
        <v/>
      </c>
      <c r="BI846" s="136" t="str">
        <f>IF(AI803="","",IF(M846="","",M846))</f>
        <v/>
      </c>
      <c r="BJ846" s="136" t="str">
        <f>IF(AI803="","",IF(N846="","",N846))</f>
        <v/>
      </c>
      <c r="BK846" s="136" t="str">
        <f>IF(AI803="","",IF(O846="","",O846))</f>
        <v/>
      </c>
      <c r="BN846" s="136" t="str">
        <f t="shared" si="465"/>
        <v>Momento Avaliativo</v>
      </c>
      <c r="BO846" s="136" t="str">
        <f t="shared" si="465"/>
        <v>MA</v>
      </c>
      <c r="BP846" s="136">
        <f>IF(BO846="","",COUNTIFS(AX807:BK854,BO846)*0.5)</f>
        <v>0</v>
      </c>
      <c r="BQ846" s="136" t="str">
        <f t="shared" si="466"/>
        <v>Momento Avaliativo</v>
      </c>
      <c r="BR846" s="136" t="str">
        <f t="shared" si="466"/>
        <v>MA</v>
      </c>
      <c r="BS846" s="136" t="str">
        <f t="shared" si="467"/>
        <v>Momento Avaliativo</v>
      </c>
      <c r="BT846" s="136">
        <f t="shared" si="473"/>
        <v>1.5</v>
      </c>
      <c r="BU846" s="136">
        <f t="shared" si="474"/>
        <v>1.5</v>
      </c>
      <c r="CA846" s="136">
        <f>'INFO BASE'!L923</f>
        <v>0</v>
      </c>
      <c r="CB846" s="136">
        <f>'INFO BASE'!M923</f>
        <v>0</v>
      </c>
      <c r="CR846" s="177">
        <f t="shared" si="455"/>
        <v>1</v>
      </c>
      <c r="CS846" s="177">
        <f t="shared" si="456"/>
        <v>1</v>
      </c>
      <c r="CT846" s="177">
        <f t="shared" si="455"/>
        <v>1</v>
      </c>
      <c r="CU846" s="177">
        <f t="shared" si="457"/>
        <v>1</v>
      </c>
      <c r="CV846" s="177">
        <f t="shared" si="455"/>
        <v>1</v>
      </c>
      <c r="CW846" s="177">
        <f t="shared" si="458"/>
        <v>1</v>
      </c>
      <c r="CX846" s="177">
        <f t="shared" si="455"/>
        <v>1</v>
      </c>
      <c r="CY846" s="177">
        <f t="shared" si="459"/>
        <v>1</v>
      </c>
      <c r="CZ846" s="177">
        <f t="shared" si="455"/>
        <v>1</v>
      </c>
      <c r="DA846" s="177">
        <f t="shared" si="460"/>
        <v>1</v>
      </c>
      <c r="DB846" s="177">
        <f t="shared" si="455"/>
        <v>1</v>
      </c>
      <c r="DC846" s="177">
        <f t="shared" si="461"/>
        <v>1</v>
      </c>
      <c r="DD846" s="177">
        <f t="shared" si="462"/>
        <v>1</v>
      </c>
      <c r="DE846" s="177">
        <f t="shared" si="463"/>
        <v>1</v>
      </c>
    </row>
    <row r="847" spans="1:109" ht="18" customHeight="1" x14ac:dyDescent="0.3">
      <c r="A847" s="81">
        <v>0.83333333333336002</v>
      </c>
      <c r="B847" s="153"/>
      <c r="C847" s="130"/>
      <c r="D847" s="135"/>
      <c r="E847" s="130"/>
      <c r="F847" s="135"/>
      <c r="G847" s="130"/>
      <c r="H847" s="135"/>
      <c r="I847" s="130"/>
      <c r="J847" s="135"/>
      <c r="K847" s="130"/>
      <c r="L847" s="135"/>
      <c r="M847" s="130"/>
      <c r="N847" s="135"/>
      <c r="O847" s="154"/>
      <c r="P847" s="6">
        <v>0</v>
      </c>
      <c r="Q847" s="99" t="str">
        <f>IF('INFO BASE'!$C$22="","",'INFO BASE'!$C$22)</f>
        <v>Aulas Problemas</v>
      </c>
      <c r="R847" s="87" t="str">
        <f t="shared" si="472"/>
        <v>APB</v>
      </c>
      <c r="S847" s="88">
        <f t="shared" si="469"/>
        <v>-1</v>
      </c>
      <c r="T847" s="100">
        <f>IF(VLOOKUP(Q847,'INFO BASE'!$B$40:$I$54,IF(R847='INFO BASE'!$B$32,3,IF(R847='INFO BASE'!$B$33,4,IF(R847='INFO BASE'!$B$34,5,IF(R847='INFO BASE'!$B$35,6,IF(R847='INFO BASE'!$B$36,7,IF(R847='INFO BASE'!$B$37,8,2)))))),0)=0,"",VLOOKUP(Q847,'INFO BASE'!$B$40:$I$54,IF(R847='INFO BASE'!$B$32,3,IF(R847='INFO BASE'!$B$33,4,IF(R847='INFO BASE'!$B$34,5,IF(R847='INFO BASE'!$B$35,6,IF(R847='INFO BASE'!$B$36,7,IF(R847='INFO BASE'!$B$37,8,2)))))),0))</f>
        <v>6</v>
      </c>
      <c r="U847" s="89">
        <f t="shared" si="481"/>
        <v>0</v>
      </c>
      <c r="V847" s="100">
        <f>IF(R847="","",COUNTIFS(AI807:AV854,R847)*0.5)</f>
        <v>0</v>
      </c>
      <c r="W847" s="90" t="str">
        <f>IF(AH803="","-",IF(V847=0,U847,IFERROR((U847/V847)-1,"-")))</f>
        <v>-</v>
      </c>
      <c r="X847" s="201">
        <f t="shared" si="470"/>
        <v>0</v>
      </c>
      <c r="Y847" s="271"/>
      <c r="Z847" s="272"/>
      <c r="AA847" s="272"/>
      <c r="AB847" s="272"/>
      <c r="AC847" s="272"/>
      <c r="AD847" s="272"/>
      <c r="AE847" s="272"/>
      <c r="AF847" s="273"/>
      <c r="AH847" s="136">
        <v>0.83333333333336002</v>
      </c>
      <c r="AI847" s="136" t="str">
        <f>IF(AH803="","",IF(B847="","",B847))</f>
        <v/>
      </c>
      <c r="AJ847" s="136" t="str">
        <f>IF(AH803="","",IF(C847="","",C847))</f>
        <v/>
      </c>
      <c r="AK847" s="136" t="str">
        <f>IF(AH803="","",IF(D847="","",D847))</f>
        <v/>
      </c>
      <c r="AL847" s="136" t="str">
        <f>IF(AH803="","",IF(E847="","",E847))</f>
        <v/>
      </c>
      <c r="AM847" s="136" t="str">
        <f>IF(AH803="","",IF(F847="","",F847))</f>
        <v/>
      </c>
      <c r="AN847" s="136" t="str">
        <f>IF(AH803="","",IF(G847="","",G847))</f>
        <v/>
      </c>
      <c r="AO847" s="136" t="str">
        <f>IF(AH803="","",IF(H847="","",H847))</f>
        <v/>
      </c>
      <c r="AP847" s="136" t="str">
        <f>IF(AH803="","",IF(I847="","",I847))</f>
        <v/>
      </c>
      <c r="AQ847" s="136" t="str">
        <f>IF(AH803="","",IF(J847="","",J847))</f>
        <v/>
      </c>
      <c r="AR847" s="136" t="str">
        <f>IF(AH803="","",IF(K847="","",K847))</f>
        <v/>
      </c>
      <c r="AS847" s="136" t="str">
        <f>IF(AH803="","",IF(L847="","",L847))</f>
        <v/>
      </c>
      <c r="AT847" s="136" t="str">
        <f>IF(AH803="","",IF(M847="","",M847))</f>
        <v/>
      </c>
      <c r="AU847" s="136" t="str">
        <f>IF(AH803="","",IF(N847="","",N847))</f>
        <v/>
      </c>
      <c r="AV847" s="136" t="str">
        <f>IF(AH803="","",IF(O847="","",O847))</f>
        <v/>
      </c>
      <c r="AX847" s="136" t="str">
        <f>IF(AI803="","",IF(B847="","",B847))</f>
        <v/>
      </c>
      <c r="AY847" s="136" t="str">
        <f>IF(AI803="","",IF(C847="","",C847))</f>
        <v/>
      </c>
      <c r="AZ847" s="136" t="str">
        <f>IF(AI803="","",IF(D847="","",D847))</f>
        <v/>
      </c>
      <c r="BA847" s="136" t="str">
        <f>IF(AI803="","",IF(E847="","",E847))</f>
        <v/>
      </c>
      <c r="BB847" s="136" t="str">
        <f>IF(AI803="","",IF(F847="","",F847))</f>
        <v/>
      </c>
      <c r="BC847" s="136" t="str">
        <f>IF(AI803="","",IF(G847="","",G847))</f>
        <v/>
      </c>
      <c r="BD847" s="136" t="str">
        <f>IF(AI803="","",IF(H847="","",H847))</f>
        <v/>
      </c>
      <c r="BE847" s="136" t="str">
        <f>IF(AI803="","",IF(I847="","",I847))</f>
        <v/>
      </c>
      <c r="BF847" s="136" t="str">
        <f>IF(AI803="","",IF(J847="","",J847))</f>
        <v/>
      </c>
      <c r="BG847" s="136" t="str">
        <f>IF(AI803="","",IF(K847="","",K847))</f>
        <v/>
      </c>
      <c r="BH847" s="136" t="str">
        <f>IF(AI803="","",IF(L847="","",L847))</f>
        <v/>
      </c>
      <c r="BI847" s="136" t="str">
        <f>IF(AI803="","",IF(M847="","",M847))</f>
        <v/>
      </c>
      <c r="BJ847" s="136" t="str">
        <f>IF(AI803="","",IF(N847="","",N847))</f>
        <v/>
      </c>
      <c r="BK847" s="136" t="str">
        <f>IF(AI803="","",IF(O847="","",O847))</f>
        <v/>
      </c>
      <c r="BN847" s="136" t="str">
        <f t="shared" si="465"/>
        <v>Horário de Dúvidas</v>
      </c>
      <c r="BO847" s="136" t="str">
        <f t="shared" si="465"/>
        <v>HDV</v>
      </c>
      <c r="BP847" s="136">
        <f>IF(BO847="","",COUNTIFS(AX807:BK854,BO847)*0.5)</f>
        <v>0</v>
      </c>
      <c r="BQ847" s="136" t="str">
        <f t="shared" si="466"/>
        <v>Horário de Dúvidas</v>
      </c>
      <c r="BR847" s="136" t="str">
        <f t="shared" si="466"/>
        <v>HDV</v>
      </c>
      <c r="BS847" s="136" t="str">
        <f t="shared" si="467"/>
        <v>Horário de Dúvidas</v>
      </c>
      <c r="BT847" s="136">
        <f t="shared" si="473"/>
        <v>0</v>
      </c>
      <c r="BU847" s="136">
        <f t="shared" si="474"/>
        <v>0</v>
      </c>
      <c r="CA847" s="136">
        <f>'INFO BASE'!L924</f>
        <v>0</v>
      </c>
      <c r="CB847" s="136">
        <f>'INFO BASE'!M924</f>
        <v>0</v>
      </c>
      <c r="CR847" s="177">
        <f t="shared" si="455"/>
        <v>1</v>
      </c>
      <c r="CS847" s="177">
        <f t="shared" si="456"/>
        <v>1</v>
      </c>
      <c r="CT847" s="177">
        <f t="shared" si="455"/>
        <v>1</v>
      </c>
      <c r="CU847" s="177">
        <f t="shared" si="457"/>
        <v>1</v>
      </c>
      <c r="CV847" s="177">
        <f t="shared" si="455"/>
        <v>1</v>
      </c>
      <c r="CW847" s="177">
        <f t="shared" si="458"/>
        <v>1</v>
      </c>
      <c r="CX847" s="177">
        <f t="shared" si="455"/>
        <v>1</v>
      </c>
      <c r="CY847" s="177">
        <f t="shared" si="459"/>
        <v>1</v>
      </c>
      <c r="CZ847" s="177">
        <f t="shared" si="455"/>
        <v>1</v>
      </c>
      <c r="DA847" s="177">
        <f t="shared" si="460"/>
        <v>1</v>
      </c>
      <c r="DB847" s="177">
        <f t="shared" si="455"/>
        <v>1</v>
      </c>
      <c r="DC847" s="177">
        <f t="shared" si="461"/>
        <v>1</v>
      </c>
      <c r="DD847" s="177">
        <f t="shared" si="462"/>
        <v>1</v>
      </c>
      <c r="DE847" s="177">
        <f t="shared" si="463"/>
        <v>1</v>
      </c>
    </row>
    <row r="848" spans="1:109" ht="18" customHeight="1" thickBot="1" x14ac:dyDescent="0.35">
      <c r="A848" s="81">
        <v>0.85416666666669405</v>
      </c>
      <c r="B848" s="153"/>
      <c r="C848" s="130"/>
      <c r="D848" s="135"/>
      <c r="E848" s="130"/>
      <c r="F848" s="135"/>
      <c r="G848" s="130"/>
      <c r="H848" s="135"/>
      <c r="I848" s="130"/>
      <c r="J848" s="135"/>
      <c r="K848" s="130"/>
      <c r="L848" s="135"/>
      <c r="M848" s="130"/>
      <c r="N848" s="135"/>
      <c r="O848" s="154"/>
      <c r="P848" s="6">
        <v>0</v>
      </c>
      <c r="Q848" s="101" t="str">
        <f>IF('INFO BASE'!$C$23="","",'INFO BASE'!$C$23)</f>
        <v>Laboratórios</v>
      </c>
      <c r="R848" s="93" t="str">
        <f t="shared" si="472"/>
        <v>LAB</v>
      </c>
      <c r="S848" s="94">
        <f t="shared" si="469"/>
        <v>-1</v>
      </c>
      <c r="T848" s="95">
        <f>IF(VLOOKUP(Q848,'INFO BASE'!$B$40:$I$54,IF(R848='INFO BASE'!$B$32,3,IF(R848='INFO BASE'!$B$33,4,IF(R848='INFO BASE'!$B$34,5,IF(R848='INFO BASE'!$B$35,6,IF(R848='INFO BASE'!$B$36,7,IF(R848='INFO BASE'!$B$37,8,2)))))),0)=0,"",VLOOKUP(Q848,'INFO BASE'!$B$40:$I$54,IF(R848='INFO BASE'!$B$32,3,IF(R848='INFO BASE'!$B$33,4,IF(R848='INFO BASE'!$B$34,5,IF(R848='INFO BASE'!$B$35,6,IF(R848='INFO BASE'!$B$36,7,IF(R848='INFO BASE'!$B$37,8,2)))))),0))</f>
        <v>1.5</v>
      </c>
      <c r="U848" s="95">
        <f t="shared" si="481"/>
        <v>0</v>
      </c>
      <c r="V848" s="95">
        <f>IF(R848="","",COUNTIFS(AI807:AV854,R848)*0.5)</f>
        <v>0</v>
      </c>
      <c r="W848" s="96" t="str">
        <f>IF(AH803="","-",IF(V848=0,U848,IFERROR((U848/V848)-1,"-")))</f>
        <v>-</v>
      </c>
      <c r="X848" s="201">
        <f t="shared" si="470"/>
        <v>0</v>
      </c>
      <c r="Y848" s="271"/>
      <c r="Z848" s="272"/>
      <c r="AA848" s="272"/>
      <c r="AB848" s="272"/>
      <c r="AC848" s="272"/>
      <c r="AD848" s="272"/>
      <c r="AE848" s="272"/>
      <c r="AF848" s="273"/>
      <c r="AH848" s="136">
        <v>0.85416666666669405</v>
      </c>
      <c r="AI848" s="136" t="str">
        <f>IF(AH803="","",IF(B848="","",B848))</f>
        <v/>
      </c>
      <c r="AJ848" s="136" t="str">
        <f>IF(AH803="","",IF(C848="","",C848))</f>
        <v/>
      </c>
      <c r="AK848" s="136" t="str">
        <f>IF(AH803="","",IF(D848="","",D848))</f>
        <v/>
      </c>
      <c r="AL848" s="136" t="str">
        <f>IF(AH803="","",IF(E848="","",E848))</f>
        <v/>
      </c>
      <c r="AM848" s="136" t="str">
        <f>IF(AH803="","",IF(F848="","",F848))</f>
        <v/>
      </c>
      <c r="AN848" s="136" t="str">
        <f>IF(AH803="","",IF(G848="","",G848))</f>
        <v/>
      </c>
      <c r="AO848" s="136" t="str">
        <f>IF(AH803="","",IF(H848="","",H848))</f>
        <v/>
      </c>
      <c r="AP848" s="136" t="str">
        <f>IF(AH803="","",IF(I848="","",I848))</f>
        <v/>
      </c>
      <c r="AQ848" s="136" t="str">
        <f>IF(AH803="","",IF(J848="","",J848))</f>
        <v/>
      </c>
      <c r="AR848" s="136" t="str">
        <f>IF(AH803="","",IF(K848="","",K848))</f>
        <v/>
      </c>
      <c r="AS848" s="136" t="str">
        <f>IF(AH803="","",IF(L848="","",L848))</f>
        <v/>
      </c>
      <c r="AT848" s="136" t="str">
        <f>IF(AH803="","",IF(M848="","",M848))</f>
        <v/>
      </c>
      <c r="AU848" s="136" t="str">
        <f>IF(AH803="","",IF(N848="","",N848))</f>
        <v/>
      </c>
      <c r="AV848" s="136" t="str">
        <f>IF(AH803="","",IF(O848="","",O848))</f>
        <v/>
      </c>
      <c r="AX848" s="136" t="str">
        <f>IF(AI803="","",IF(B848="","",B848))</f>
        <v/>
      </c>
      <c r="AY848" s="136" t="str">
        <f>IF(AI803="","",IF(C848="","",C848))</f>
        <v/>
      </c>
      <c r="AZ848" s="136" t="str">
        <f>IF(AI803="","",IF(D848="","",D848))</f>
        <v/>
      </c>
      <c r="BA848" s="136" t="str">
        <f>IF(AI803="","",IF(E848="","",E848))</f>
        <v/>
      </c>
      <c r="BB848" s="136" t="str">
        <f>IF(AI803="","",IF(F848="","",F848))</f>
        <v/>
      </c>
      <c r="BC848" s="136" t="str">
        <f>IF(AI803="","",IF(G848="","",G848))</f>
        <v/>
      </c>
      <c r="BD848" s="136" t="str">
        <f>IF(AI803="","",IF(H848="","",H848))</f>
        <v/>
      </c>
      <c r="BE848" s="136" t="str">
        <f>IF(AI803="","",IF(I848="","",I848))</f>
        <v/>
      </c>
      <c r="BF848" s="136" t="str">
        <f>IF(AI803="","",IF(J848="","",J848))</f>
        <v/>
      </c>
      <c r="BG848" s="136" t="str">
        <f>IF(AI803="","",IF(K848="","",K848))</f>
        <v/>
      </c>
      <c r="BH848" s="136" t="str">
        <f>IF(AI803="","",IF(L848="","",L848))</f>
        <v/>
      </c>
      <c r="BI848" s="136" t="str">
        <f>IF(AI803="","",IF(M848="","",M848))</f>
        <v/>
      </c>
      <c r="BJ848" s="136" t="str">
        <f>IF(AI803="","",IF(N848="","",N848))</f>
        <v/>
      </c>
      <c r="BK848" s="136" t="str">
        <f>IF(AI803="","",IF(O848="","",O848))</f>
        <v/>
      </c>
      <c r="BN848" s="136" t="str">
        <f t="shared" si="465"/>
        <v>Privado</v>
      </c>
      <c r="BO848" s="136" t="str">
        <f t="shared" si="465"/>
        <v>PV</v>
      </c>
      <c r="BP848" s="136">
        <f>IF(BO848="","",COUNTIFS(AX807:BK854,BO848)*0.5)</f>
        <v>0</v>
      </c>
      <c r="BQ848" s="136" t="str">
        <f t="shared" si="466"/>
        <v>Privado</v>
      </c>
      <c r="BR848" s="136" t="str">
        <f t="shared" si="466"/>
        <v>PV</v>
      </c>
      <c r="BS848" s="136" t="str">
        <f t="shared" si="467"/>
        <v>Privado</v>
      </c>
      <c r="BT848" s="136">
        <f t="shared" si="473"/>
        <v>384</v>
      </c>
      <c r="BU848" s="136">
        <f t="shared" si="474"/>
        <v>369</v>
      </c>
      <c r="CA848" s="136">
        <f>'INFO BASE'!L925</f>
        <v>0</v>
      </c>
      <c r="CB848" s="136">
        <f>'INFO BASE'!M925</f>
        <v>0</v>
      </c>
      <c r="CR848" s="177">
        <f t="shared" si="455"/>
        <v>1</v>
      </c>
      <c r="CS848" s="177">
        <f t="shared" si="456"/>
        <v>1</v>
      </c>
      <c r="CT848" s="177">
        <f t="shared" si="455"/>
        <v>1</v>
      </c>
      <c r="CU848" s="177">
        <f t="shared" si="457"/>
        <v>1</v>
      </c>
      <c r="CV848" s="177">
        <f t="shared" si="455"/>
        <v>1</v>
      </c>
      <c r="CW848" s="177">
        <f t="shared" si="458"/>
        <v>1</v>
      </c>
      <c r="CX848" s="177">
        <f t="shared" si="455"/>
        <v>1</v>
      </c>
      <c r="CY848" s="177">
        <f t="shared" si="459"/>
        <v>1</v>
      </c>
      <c r="CZ848" s="177">
        <f t="shared" si="455"/>
        <v>1</v>
      </c>
      <c r="DA848" s="177">
        <f t="shared" si="460"/>
        <v>1</v>
      </c>
      <c r="DB848" s="177">
        <f t="shared" si="455"/>
        <v>1</v>
      </c>
      <c r="DC848" s="177">
        <f t="shared" si="461"/>
        <v>1</v>
      </c>
      <c r="DD848" s="177">
        <f t="shared" si="462"/>
        <v>1</v>
      </c>
      <c r="DE848" s="177">
        <f t="shared" si="463"/>
        <v>1</v>
      </c>
    </row>
    <row r="849" spans="1:120" ht="18" customHeight="1" x14ac:dyDescent="0.3">
      <c r="A849" s="81">
        <v>0.87500000000002798</v>
      </c>
      <c r="B849" s="153"/>
      <c r="C849" s="130"/>
      <c r="D849" s="135"/>
      <c r="E849" s="130"/>
      <c r="F849" s="135"/>
      <c r="G849" s="130"/>
      <c r="H849" s="135"/>
      <c r="I849" s="130"/>
      <c r="J849" s="135"/>
      <c r="K849" s="130"/>
      <c r="L849" s="135"/>
      <c r="M849" s="130"/>
      <c r="N849" s="135"/>
      <c r="O849" s="154"/>
      <c r="P849" s="6">
        <v>0</v>
      </c>
      <c r="Q849" s="102" t="str">
        <f>IF('INFO BASE'!$C$24="","",'INFO BASE'!$C$24)</f>
        <v>Momento Avaliativo</v>
      </c>
      <c r="R849" s="82" t="str">
        <f t="shared" si="472"/>
        <v>MA</v>
      </c>
      <c r="S849" s="83" t="str">
        <f t="shared" si="469"/>
        <v>-</v>
      </c>
      <c r="T849" s="84" t="str">
        <f>IF(VLOOKUP(Q849,'INFO BASE'!$B$40:$I$54,IF(R849='INFO BASE'!$B$32,3,IF(R849='INFO BASE'!$B$33,4,IF(R849='INFO BASE'!$B$34,5,IF(R849='INFO BASE'!$B$35,6,IF(R849='INFO BASE'!$B$36,7,IF(R849='INFO BASE'!$B$37,8,2)))))),0)=0,"",VLOOKUP(Q849,'INFO BASE'!$B$40:$I$54,IF(R849='INFO BASE'!$B$32,3,IF(R849='INFO BASE'!$B$33,4,IF(R849='INFO BASE'!$B$34,5,IF(R849='INFO BASE'!$B$35,6,IF(R849='INFO BASE'!$B$36,7,IF(R849='INFO BASE'!$B$37,8,2)))))),0))</f>
        <v/>
      </c>
      <c r="U849" s="84">
        <f t="shared" si="481"/>
        <v>0</v>
      </c>
      <c r="V849" s="84">
        <f>IF(R849="","",COUNTIFS(AI807:AV854,R849)*0.5)</f>
        <v>0</v>
      </c>
      <c r="W849" s="85" t="str">
        <f>IF(AH803="","-",IF(V849=0,U849,IFERROR((U849/V849)-1,"-")))</f>
        <v>-</v>
      </c>
      <c r="X849" s="201">
        <f t="shared" si="470"/>
        <v>0</v>
      </c>
      <c r="Y849" s="277"/>
      <c r="Z849" s="278"/>
      <c r="AA849" s="278"/>
      <c r="AB849" s="278"/>
      <c r="AC849" s="278"/>
      <c r="AD849" s="278"/>
      <c r="AE849" s="278"/>
      <c r="AF849" s="279"/>
      <c r="AH849" s="136">
        <v>0.87500000000002798</v>
      </c>
      <c r="AI849" s="136" t="str">
        <f>IF(AH803="","",IF(B849="","",B849))</f>
        <v/>
      </c>
      <c r="AJ849" s="136" t="str">
        <f>IF(AH803="","",IF(C849="","",C849))</f>
        <v/>
      </c>
      <c r="AK849" s="136" t="str">
        <f>IF(AH803="","",IF(D849="","",D849))</f>
        <v/>
      </c>
      <c r="AL849" s="136" t="str">
        <f>IF(AH803="","",IF(E849="","",E849))</f>
        <v/>
      </c>
      <c r="AM849" s="136" t="str">
        <f>IF(AH803="","",IF(F849="","",F849))</f>
        <v/>
      </c>
      <c r="AN849" s="136" t="str">
        <f>IF(AH803="","",IF(G849="","",G849))</f>
        <v/>
      </c>
      <c r="AO849" s="136" t="str">
        <f>IF(AH803="","",IF(H849="","",H849))</f>
        <v/>
      </c>
      <c r="AP849" s="136" t="str">
        <f>IF(AH803="","",IF(I849="","",I849))</f>
        <v/>
      </c>
      <c r="AQ849" s="136" t="str">
        <f>IF(AH803="","",IF(J849="","",J849))</f>
        <v/>
      </c>
      <c r="AR849" s="136" t="str">
        <f>IF(AH803="","",IF(K849="","",K849))</f>
        <v/>
      </c>
      <c r="AS849" s="136" t="str">
        <f>IF(AH803="","",IF(L849="","",L849))</f>
        <v/>
      </c>
      <c r="AT849" s="136" t="str">
        <f>IF(AH803="","",IF(M849="","",M849))</f>
        <v/>
      </c>
      <c r="AU849" s="136" t="str">
        <f>IF(AH803="","",IF(N849="","",N849))</f>
        <v/>
      </c>
      <c r="AV849" s="136" t="str">
        <f>IF(AH803="","",IF(O849="","",O849))</f>
        <v/>
      </c>
      <c r="AX849" s="136" t="str">
        <f>IF(AI803="","",IF(B849="","",B849))</f>
        <v/>
      </c>
      <c r="AY849" s="136" t="str">
        <f>IF(AI803="","",IF(C849="","",C849))</f>
        <v/>
      </c>
      <c r="AZ849" s="136" t="str">
        <f>IF(AI803="","",IF(D849="","",D849))</f>
        <v/>
      </c>
      <c r="BA849" s="136" t="str">
        <f>IF(AI803="","",IF(E849="","",E849))</f>
        <v/>
      </c>
      <c r="BB849" s="136" t="str">
        <f>IF(AI803="","",IF(F849="","",F849))</f>
        <v/>
      </c>
      <c r="BC849" s="136" t="str">
        <f>IF(AI803="","",IF(G849="","",G849))</f>
        <v/>
      </c>
      <c r="BD849" s="136" t="str">
        <f>IF(AI803="","",IF(H849="","",H849))</f>
        <v/>
      </c>
      <c r="BE849" s="136" t="str">
        <f>IF(AI803="","",IF(I849="","",I849))</f>
        <v/>
      </c>
      <c r="BF849" s="136" t="str">
        <f>IF(AI803="","",IF(J849="","",J849))</f>
        <v/>
      </c>
      <c r="BG849" s="136" t="str">
        <f>IF(AI803="","",IF(K849="","",K849))</f>
        <v/>
      </c>
      <c r="BH849" s="136" t="str">
        <f>IF(AI803="","",IF(L849="","",L849))</f>
        <v/>
      </c>
      <c r="BI849" s="136" t="str">
        <f>IF(AI803="","",IF(M849="","",M849))</f>
        <v/>
      </c>
      <c r="BJ849" s="136" t="str">
        <f>IF(AI803="","",IF(N849="","",N849))</f>
        <v/>
      </c>
      <c r="BK849" s="136" t="str">
        <f>IF(AI803="","",IF(O849="","",O849))</f>
        <v/>
      </c>
      <c r="BN849" s="136" t="str">
        <f t="shared" si="465"/>
        <v>Deslocação</v>
      </c>
      <c r="BO849" s="136" t="str">
        <f t="shared" si="465"/>
        <v>HD</v>
      </c>
      <c r="BP849" s="136">
        <f>IF(BO849="","",COUNTIFS(AX807:BK854,BO849)*0.5)</f>
        <v>0</v>
      </c>
      <c r="BQ849" s="136" t="str">
        <f t="shared" si="466"/>
        <v>Deslocação</v>
      </c>
      <c r="BR849" s="136" t="str">
        <f t="shared" si="466"/>
        <v>HD</v>
      </c>
      <c r="BS849" s="136" t="str">
        <f t="shared" si="467"/>
        <v>Deslocação</v>
      </c>
      <c r="BT849" s="136">
        <f t="shared" si="473"/>
        <v>116.5</v>
      </c>
      <c r="BU849" s="136">
        <f t="shared" si="474"/>
        <v>115</v>
      </c>
      <c r="CA849" s="136">
        <f>'INFO BASE'!L926</f>
        <v>0</v>
      </c>
      <c r="CB849" s="136">
        <f>'INFO BASE'!M926</f>
        <v>0</v>
      </c>
      <c r="CR849" s="177">
        <f t="shared" si="455"/>
        <v>1</v>
      </c>
      <c r="CS849" s="177">
        <f t="shared" si="456"/>
        <v>1</v>
      </c>
      <c r="CT849" s="177">
        <f t="shared" si="455"/>
        <v>1</v>
      </c>
      <c r="CU849" s="177">
        <f t="shared" si="457"/>
        <v>1</v>
      </c>
      <c r="CV849" s="177">
        <f t="shared" si="455"/>
        <v>1</v>
      </c>
      <c r="CW849" s="177">
        <f t="shared" si="458"/>
        <v>1</v>
      </c>
      <c r="CX849" s="177">
        <f t="shared" si="455"/>
        <v>1</v>
      </c>
      <c r="CY849" s="177">
        <f t="shared" si="459"/>
        <v>1</v>
      </c>
      <c r="CZ849" s="177">
        <f t="shared" si="455"/>
        <v>1</v>
      </c>
      <c r="DA849" s="177">
        <f t="shared" si="460"/>
        <v>1</v>
      </c>
      <c r="DB849" s="177">
        <f t="shared" si="455"/>
        <v>1</v>
      </c>
      <c r="DC849" s="177">
        <f t="shared" si="461"/>
        <v>1</v>
      </c>
      <c r="DD849" s="177">
        <f t="shared" si="462"/>
        <v>1</v>
      </c>
      <c r="DE849" s="177">
        <f t="shared" si="463"/>
        <v>1</v>
      </c>
    </row>
    <row r="850" spans="1:120" ht="18" customHeight="1" x14ac:dyDescent="0.3">
      <c r="A850" s="81">
        <v>0.89583333333336201</v>
      </c>
      <c r="B850" s="153"/>
      <c r="C850" s="130"/>
      <c r="D850" s="135"/>
      <c r="E850" s="130"/>
      <c r="F850" s="135"/>
      <c r="G850" s="130"/>
      <c r="H850" s="135"/>
      <c r="I850" s="130"/>
      <c r="J850" s="135"/>
      <c r="K850" s="130"/>
      <c r="L850" s="135"/>
      <c r="M850" s="130"/>
      <c r="N850" s="135"/>
      <c r="O850" s="154"/>
      <c r="P850" s="6">
        <v>0</v>
      </c>
      <c r="Q850" s="103" t="str">
        <f>IF('INFO BASE'!$C$25="","",'INFO BASE'!$C$25)</f>
        <v>Horário de Dúvidas</v>
      </c>
      <c r="R850" s="87" t="str">
        <f t="shared" si="472"/>
        <v>HDV</v>
      </c>
      <c r="S850" s="88">
        <f t="shared" si="469"/>
        <v>-1</v>
      </c>
      <c r="T850" s="89">
        <f>IF(VLOOKUP(Q850,'INFO BASE'!$B$40:$I$54,IF(R850='INFO BASE'!$B$32,3,IF(R850='INFO BASE'!$B$33,4,IF(R850='INFO BASE'!$B$34,5,IF(R850='INFO BASE'!$B$35,6,IF(R850='INFO BASE'!$B$36,7,IF(R850='INFO BASE'!$B$37,8,2)))))),0)=0,"",VLOOKUP(Q850,'INFO BASE'!$B$40:$I$54,IF(R850='INFO BASE'!$B$32,3,IF(R850='INFO BASE'!$B$33,4,IF(R850='INFO BASE'!$B$34,5,IF(R850='INFO BASE'!$B$35,6,IF(R850='INFO BASE'!$B$36,7,IF(R850='INFO BASE'!$B$37,8,2)))))),0))</f>
        <v>3</v>
      </c>
      <c r="U850" s="89">
        <f t="shared" si="481"/>
        <v>0</v>
      </c>
      <c r="V850" s="89">
        <f>IF(R850="","",COUNTIFS(AI807:AV854,R850)*0.5)</f>
        <v>0</v>
      </c>
      <c r="W850" s="90" t="str">
        <f>IF(AH803="","-",IF(V850=0,U850,IFERROR((U850/V850)-1,"-")))</f>
        <v>-</v>
      </c>
      <c r="X850" s="201">
        <f t="shared" si="470"/>
        <v>0</v>
      </c>
      <c r="Y850" s="271"/>
      <c r="Z850" s="272"/>
      <c r="AA850" s="272"/>
      <c r="AB850" s="272"/>
      <c r="AC850" s="272"/>
      <c r="AD850" s="272"/>
      <c r="AE850" s="272"/>
      <c r="AF850" s="273"/>
      <c r="AH850" s="136">
        <v>0.89583333333336201</v>
      </c>
      <c r="AI850" s="136" t="str">
        <f>IF(AH803="","",IF(B850="","",B850))</f>
        <v/>
      </c>
      <c r="AJ850" s="136" t="str">
        <f>IF(AH803="","",IF(C850="","",C850))</f>
        <v/>
      </c>
      <c r="AK850" s="136" t="str">
        <f>IF(AH803="","",IF(D850="","",D850))</f>
        <v/>
      </c>
      <c r="AL850" s="136" t="str">
        <f>IF(AH803="","",IF(E850="","",E850))</f>
        <v/>
      </c>
      <c r="AM850" s="136" t="str">
        <f>IF(AH803="","",IF(F850="","",F850))</f>
        <v/>
      </c>
      <c r="AN850" s="136" t="str">
        <f>IF(AH803="","",IF(G850="","",G850))</f>
        <v/>
      </c>
      <c r="AO850" s="136" t="str">
        <f>IF(AH803="","",IF(H850="","",H850))</f>
        <v/>
      </c>
      <c r="AP850" s="136" t="str">
        <f>IF(AH803="","",IF(I850="","",I850))</f>
        <v/>
      </c>
      <c r="AQ850" s="136" t="str">
        <f>IF(AH803="","",IF(J850="","",J850))</f>
        <v/>
      </c>
      <c r="AR850" s="136" t="str">
        <f>IF(AH803="","",IF(K850="","",K850))</f>
        <v/>
      </c>
      <c r="AS850" s="136" t="str">
        <f>IF(AH803="","",IF(L850="","",L850))</f>
        <v/>
      </c>
      <c r="AT850" s="136" t="str">
        <f>IF(AH803="","",IF(M850="","",M850))</f>
        <v/>
      </c>
      <c r="AU850" s="136" t="str">
        <f>IF(AH803="","",IF(N850="","",N850))</f>
        <v/>
      </c>
      <c r="AV850" s="136" t="str">
        <f>IF(AH803="","",IF(O850="","",O850))</f>
        <v/>
      </c>
      <c r="AX850" s="136" t="str">
        <f>IF(AI803="","",IF(B850="","",B850))</f>
        <v/>
      </c>
      <c r="AY850" s="136" t="str">
        <f>IF(AI803="","",IF(C850="","",C850))</f>
        <v/>
      </c>
      <c r="AZ850" s="136" t="str">
        <f>IF(AI803="","",IF(D850="","",D850))</f>
        <v/>
      </c>
      <c r="BA850" s="136" t="str">
        <f>IF(AI803="","",IF(E850="","",E850))</f>
        <v/>
      </c>
      <c r="BB850" s="136" t="str">
        <f>IF(AI803="","",IF(F850="","",F850))</f>
        <v/>
      </c>
      <c r="BC850" s="136" t="str">
        <f>IF(AI803="","",IF(G850="","",G850))</f>
        <v/>
      </c>
      <c r="BD850" s="136" t="str">
        <f>IF(AI803="","",IF(H850="","",H850))</f>
        <v/>
      </c>
      <c r="BE850" s="136" t="str">
        <f>IF(AI803="","",IF(I850="","",I850))</f>
        <v/>
      </c>
      <c r="BF850" s="136" t="str">
        <f>IF(AI803="","",IF(J850="","",J850))</f>
        <v/>
      </c>
      <c r="BG850" s="136" t="str">
        <f>IF(AI803="","",IF(K850="","",K850))</f>
        <v/>
      </c>
      <c r="BH850" s="136" t="str">
        <f>IF(AI803="","",IF(L850="","",L850))</f>
        <v/>
      </c>
      <c r="BI850" s="136" t="str">
        <f>IF(AI803="","",IF(M850="","",M850))</f>
        <v/>
      </c>
      <c r="BJ850" s="136" t="str">
        <f>IF(AI803="","",IF(N850="","",N850))</f>
        <v/>
      </c>
      <c r="BK850" s="136" t="str">
        <f>IF(AI803="","",IF(O850="","",O850))</f>
        <v/>
      </c>
      <c r="BN850" s="136" t="str">
        <f t="shared" si="465"/>
        <v>Refeição</v>
      </c>
      <c r="BO850" s="136" t="str">
        <f t="shared" si="465"/>
        <v>HR</v>
      </c>
      <c r="BP850" s="136">
        <f>IF(BO850="","",COUNTIFS(AX807:BK854,BO850)*0.5)</f>
        <v>0</v>
      </c>
      <c r="BQ850" s="136" t="str">
        <f t="shared" si="466"/>
        <v>Refeição</v>
      </c>
      <c r="BR850" s="136" t="str">
        <f t="shared" si="466"/>
        <v>HR</v>
      </c>
      <c r="BS850" s="136" t="str">
        <f t="shared" si="467"/>
        <v>Refeição</v>
      </c>
      <c r="BT850" s="136">
        <f t="shared" si="473"/>
        <v>126</v>
      </c>
      <c r="BU850" s="136">
        <f t="shared" si="474"/>
        <v>124</v>
      </c>
      <c r="CA850" s="136">
        <f>'INFO BASE'!L927</f>
        <v>0</v>
      </c>
      <c r="CB850" s="136">
        <f>'INFO BASE'!M927</f>
        <v>0</v>
      </c>
      <c r="CR850" s="177">
        <f t="shared" si="455"/>
        <v>1</v>
      </c>
      <c r="CS850" s="177">
        <f t="shared" si="456"/>
        <v>1</v>
      </c>
      <c r="CT850" s="177">
        <f t="shared" si="455"/>
        <v>1</v>
      </c>
      <c r="CU850" s="177">
        <f t="shared" si="457"/>
        <v>1</v>
      </c>
      <c r="CV850" s="177">
        <f t="shared" si="455"/>
        <v>1</v>
      </c>
      <c r="CW850" s="177">
        <f t="shared" si="458"/>
        <v>1</v>
      </c>
      <c r="CX850" s="177">
        <f t="shared" ref="CR850:CZ854" si="482">IF(H850="",1,H850)</f>
        <v>1</v>
      </c>
      <c r="CY850" s="177">
        <f t="shared" si="459"/>
        <v>1</v>
      </c>
      <c r="CZ850" s="177">
        <f t="shared" si="482"/>
        <v>1</v>
      </c>
      <c r="DA850" s="177">
        <f t="shared" si="460"/>
        <v>1</v>
      </c>
      <c r="DB850" s="177">
        <f t="shared" ref="DB850:DB854" si="483">IF(L850="",1,L850)</f>
        <v>1</v>
      </c>
      <c r="DC850" s="177">
        <f t="shared" si="461"/>
        <v>1</v>
      </c>
      <c r="DD850" s="177">
        <f t="shared" si="462"/>
        <v>1</v>
      </c>
      <c r="DE850" s="177">
        <f t="shared" si="463"/>
        <v>1</v>
      </c>
    </row>
    <row r="851" spans="1:120" ht="18" customHeight="1" x14ac:dyDescent="0.3">
      <c r="A851" s="81">
        <v>0.91666666666669605</v>
      </c>
      <c r="B851" s="153"/>
      <c r="C851" s="130"/>
      <c r="D851" s="135"/>
      <c r="E851" s="130"/>
      <c r="F851" s="135"/>
      <c r="G851" s="130"/>
      <c r="H851" s="135"/>
      <c r="I851" s="130"/>
      <c r="J851" s="135"/>
      <c r="K851" s="130"/>
      <c r="L851" s="135"/>
      <c r="M851" s="130"/>
      <c r="N851" s="135"/>
      <c r="O851" s="154"/>
      <c r="P851" s="6">
        <v>0.2</v>
      </c>
      <c r="Q851" s="104" t="str">
        <f>IF('INFO BASE'!$C$26="","",'INFO BASE'!$C$26)</f>
        <v>Privado</v>
      </c>
      <c r="R851" s="87" t="str">
        <f t="shared" si="472"/>
        <v>PV</v>
      </c>
      <c r="S851" s="88">
        <f t="shared" si="469"/>
        <v>-1</v>
      </c>
      <c r="T851" s="89">
        <f>IF(VLOOKUP(Q851,'INFO BASE'!$B$40:$I$54,IF(R851='INFO BASE'!$B$32,3,IF(R851='INFO BASE'!$B$33,4,IF(R851='INFO BASE'!$B$34,5,IF(R851='INFO BASE'!$B$35,6,IF(R851='INFO BASE'!$B$36,7,IF(R851='INFO BASE'!$B$37,8,2)))))),0)=0,"",VLOOKUP(Q851,'INFO BASE'!$B$40:$I$54,IF(R851='INFO BASE'!$B$32,3,IF(R851='INFO BASE'!$B$33,4,IF(R851='INFO BASE'!$B$34,5,IF(R851='INFO BASE'!$B$35,6,IF(R851='INFO BASE'!$B$36,7,IF(R851='INFO BASE'!$B$37,8,2)))))),0))</f>
        <v>26.5</v>
      </c>
      <c r="U851" s="89">
        <f t="shared" si="481"/>
        <v>0</v>
      </c>
      <c r="V851" s="89">
        <f>IF(R851="","",COUNTIFS(AI807:AV854,R851)*0.5)</f>
        <v>0</v>
      </c>
      <c r="W851" s="90" t="str">
        <f>IF(AH803="","-",IF(V851=0,U851,IFERROR((U851/V851)-1,"-")))</f>
        <v>-</v>
      </c>
      <c r="X851" s="202">
        <f t="shared" si="470"/>
        <v>0</v>
      </c>
      <c r="Y851" s="271"/>
      <c r="Z851" s="272"/>
      <c r="AA851" s="272"/>
      <c r="AB851" s="272"/>
      <c r="AC851" s="272"/>
      <c r="AD851" s="272"/>
      <c r="AE851" s="272"/>
      <c r="AF851" s="273"/>
      <c r="AH851" s="136">
        <v>0.91666666666669605</v>
      </c>
      <c r="AI851" s="136" t="str">
        <f>IF(AH803="","",IF(B851="","",B851))</f>
        <v/>
      </c>
      <c r="AJ851" s="136" t="str">
        <f>IF(AH803="","",IF(C851="","",C851))</f>
        <v/>
      </c>
      <c r="AK851" s="136" t="str">
        <f>IF(AH803="","",IF(D851="","",D851))</f>
        <v/>
      </c>
      <c r="AL851" s="136" t="str">
        <f>IF(AH803="","",IF(E851="","",E851))</f>
        <v/>
      </c>
      <c r="AM851" s="136" t="str">
        <f>IF(AH803="","",IF(F851="","",F851))</f>
        <v/>
      </c>
      <c r="AN851" s="136" t="str">
        <f>IF(AH803="","",IF(G851="","",G851))</f>
        <v/>
      </c>
      <c r="AO851" s="136" t="str">
        <f>IF(AH803="","",IF(H851="","",H851))</f>
        <v/>
      </c>
      <c r="AP851" s="136" t="str">
        <f>IF(AH803="","",IF(I851="","",I851))</f>
        <v/>
      </c>
      <c r="AQ851" s="136" t="str">
        <f>IF(AH803="","",IF(J851="","",J851))</f>
        <v/>
      </c>
      <c r="AR851" s="136" t="str">
        <f>IF(AH803="","",IF(K851="","",K851))</f>
        <v/>
      </c>
      <c r="AS851" s="136" t="str">
        <f>IF(AH803="","",IF(L851="","",L851))</f>
        <v/>
      </c>
      <c r="AT851" s="136" t="str">
        <f>IF(AH803="","",IF(M851="","",M851))</f>
        <v/>
      </c>
      <c r="AU851" s="136" t="str">
        <f>IF(AH803="","",IF(N851="","",N851))</f>
        <v/>
      </c>
      <c r="AV851" s="136" t="str">
        <f>IF(AH803="","",IF(O851="","",O851))</f>
        <v/>
      </c>
      <c r="AX851" s="136" t="str">
        <f>IF(AI803="","",IF(B851="","",B851))</f>
        <v/>
      </c>
      <c r="AY851" s="136" t="str">
        <f>IF(AI803="","",IF(C851="","",C851))</f>
        <v/>
      </c>
      <c r="AZ851" s="136" t="str">
        <f>IF(AI803="","",IF(D851="","",D851))</f>
        <v/>
      </c>
      <c r="BA851" s="136" t="str">
        <f>IF(AI803="","",IF(E851="","",E851))</f>
        <v/>
      </c>
      <c r="BB851" s="136" t="str">
        <f>IF(AI803="","",IF(F851="","",F851))</f>
        <v/>
      </c>
      <c r="BC851" s="136" t="str">
        <f>IF(AI803="","",IF(G851="","",G851))</f>
        <v/>
      </c>
      <c r="BD851" s="136" t="str">
        <f>IF(AI803="","",IF(H851="","",H851))</f>
        <v/>
      </c>
      <c r="BE851" s="136" t="str">
        <f>IF(AI803="","",IF(I851="","",I851))</f>
        <v/>
      </c>
      <c r="BF851" s="136" t="str">
        <f>IF(AI803="","",IF(J851="","",J851))</f>
        <v/>
      </c>
      <c r="BG851" s="136" t="str">
        <f>IF(AI803="","",IF(K851="","",K851))</f>
        <v/>
      </c>
      <c r="BH851" s="136" t="str">
        <f>IF(AI803="","",IF(L851="","",L851))</f>
        <v/>
      </c>
      <c r="BI851" s="136" t="str">
        <f>IF(AI803="","",IF(M851="","",M851))</f>
        <v/>
      </c>
      <c r="BJ851" s="136" t="str">
        <f>IF(AI803="","",IF(N851="","",N851))</f>
        <v/>
      </c>
      <c r="BK851" s="136" t="str">
        <f>IF(AI803="","",IF(O851="","",O851))</f>
        <v/>
      </c>
      <c r="BN851" s="136" t="str">
        <f t="shared" si="465"/>
        <v>Sono</v>
      </c>
      <c r="BO851" s="136" t="str">
        <f t="shared" si="465"/>
        <v>HS</v>
      </c>
      <c r="BP851" s="136">
        <f>IF(BO851="","",COUNTIFS(AX807:BK854,BO851)*0.5)</f>
        <v>0</v>
      </c>
      <c r="BQ851" s="136" t="str">
        <f t="shared" si="466"/>
        <v>Sono</v>
      </c>
      <c r="BR851" s="136" t="str">
        <f t="shared" si="466"/>
        <v>HS</v>
      </c>
      <c r="BS851" s="136" t="str">
        <f t="shared" si="467"/>
        <v>Sono</v>
      </c>
      <c r="BT851" s="136">
        <f t="shared" si="473"/>
        <v>417</v>
      </c>
      <c r="BU851" s="136">
        <f t="shared" si="474"/>
        <v>417.5</v>
      </c>
      <c r="CA851" s="136">
        <f>'INFO BASE'!L928</f>
        <v>0</v>
      </c>
      <c r="CB851" s="136">
        <f>'INFO BASE'!M928</f>
        <v>0</v>
      </c>
      <c r="CR851" s="177">
        <f t="shared" si="482"/>
        <v>1</v>
      </c>
      <c r="CS851" s="177">
        <f t="shared" si="456"/>
        <v>1</v>
      </c>
      <c r="CT851" s="177">
        <f t="shared" si="482"/>
        <v>1</v>
      </c>
      <c r="CU851" s="177">
        <f t="shared" si="457"/>
        <v>1</v>
      </c>
      <c r="CV851" s="177">
        <f t="shared" si="482"/>
        <v>1</v>
      </c>
      <c r="CW851" s="177">
        <f t="shared" si="458"/>
        <v>1</v>
      </c>
      <c r="CX851" s="177">
        <f t="shared" si="482"/>
        <v>1</v>
      </c>
      <c r="CY851" s="177">
        <f t="shared" si="459"/>
        <v>1</v>
      </c>
      <c r="CZ851" s="177">
        <f t="shared" si="482"/>
        <v>1</v>
      </c>
      <c r="DA851" s="177">
        <f t="shared" si="460"/>
        <v>1</v>
      </c>
      <c r="DB851" s="177">
        <f t="shared" si="483"/>
        <v>1</v>
      </c>
      <c r="DC851" s="177">
        <f t="shared" si="461"/>
        <v>1</v>
      </c>
      <c r="DD851" s="177">
        <f t="shared" si="462"/>
        <v>1</v>
      </c>
      <c r="DE851" s="177">
        <f t="shared" si="463"/>
        <v>1</v>
      </c>
    </row>
    <row r="852" spans="1:120" ht="18" customHeight="1" x14ac:dyDescent="0.3">
      <c r="A852" s="81">
        <v>0.93750000000002998</v>
      </c>
      <c r="B852" s="153"/>
      <c r="C852" s="130"/>
      <c r="D852" s="135"/>
      <c r="E852" s="130"/>
      <c r="F852" s="135"/>
      <c r="G852" s="130"/>
      <c r="H852" s="135"/>
      <c r="I852" s="130"/>
      <c r="J852" s="135"/>
      <c r="K852" s="130"/>
      <c r="L852" s="135"/>
      <c r="M852" s="130"/>
      <c r="N852" s="135"/>
      <c r="O852" s="154"/>
      <c r="P852" s="6">
        <v>0.2</v>
      </c>
      <c r="Q852" s="86" t="str">
        <f>IF('INFO BASE'!$C$27="","",'INFO BASE'!$C$27)</f>
        <v>Deslocação</v>
      </c>
      <c r="R852" s="87" t="str">
        <f t="shared" si="472"/>
        <v>HD</v>
      </c>
      <c r="S852" s="88">
        <f t="shared" si="469"/>
        <v>-1</v>
      </c>
      <c r="T852" s="89">
        <f>IF(VLOOKUP(Q852,'INFO BASE'!$B$40:$I$54,IF(R852='INFO BASE'!$B$32,3,IF(R852='INFO BASE'!$B$33,4,IF(R852='INFO BASE'!$B$34,5,IF(R852='INFO BASE'!$B$35,6,IF(R852='INFO BASE'!$B$36,7,IF(R852='INFO BASE'!$B$37,8,2)))))),0)=0,"",VLOOKUP(Q852,'INFO BASE'!$B$40:$I$54,IF(R852='INFO BASE'!$B$32,3,IF(R852='INFO BASE'!$B$33,4,IF(R852='INFO BASE'!$B$34,5,IF(R852='INFO BASE'!$B$35,6,IF(R852='INFO BASE'!$B$36,7,IF(R852='INFO BASE'!$B$37,8,2)))))),0))</f>
        <v>10</v>
      </c>
      <c r="U852" s="89">
        <f t="shared" si="481"/>
        <v>0</v>
      </c>
      <c r="V852" s="89">
        <f>IF(R852="","",COUNTIFS(AI807:AV854,R852)*0.5)</f>
        <v>0</v>
      </c>
      <c r="W852" s="90" t="str">
        <f>IF(AH803="","-",IF(V852=0,U852,IFERROR((U852/V852)-1,"-")))</f>
        <v>-</v>
      </c>
      <c r="X852" s="203">
        <f t="shared" si="470"/>
        <v>0</v>
      </c>
      <c r="Y852" s="271"/>
      <c r="Z852" s="272"/>
      <c r="AA852" s="272"/>
      <c r="AB852" s="272"/>
      <c r="AC852" s="272"/>
      <c r="AD852" s="272"/>
      <c r="AE852" s="272"/>
      <c r="AF852" s="273"/>
      <c r="AH852" s="136">
        <v>0.93750000000002998</v>
      </c>
      <c r="AI852" s="136" t="str">
        <f>IF(AH803="","",IF(B852="","",B852))</f>
        <v/>
      </c>
      <c r="AJ852" s="136" t="str">
        <f>IF(AH803="","",IF(C852="","",C852))</f>
        <v/>
      </c>
      <c r="AK852" s="136" t="str">
        <f>IF(AH803="","",IF(D852="","",D852))</f>
        <v/>
      </c>
      <c r="AL852" s="136" t="str">
        <f>IF(AH803="","",IF(E852="","",E852))</f>
        <v/>
      </c>
      <c r="AM852" s="136" t="str">
        <f>IF(AH803="","",IF(F852="","",F852))</f>
        <v/>
      </c>
      <c r="AN852" s="136" t="str">
        <f>IF(AH803="","",IF(G852="","",G852))</f>
        <v/>
      </c>
      <c r="AO852" s="136" t="str">
        <f>IF(AH803="","",IF(H852="","",H852))</f>
        <v/>
      </c>
      <c r="AP852" s="136" t="str">
        <f>IF(AH803="","",IF(I852="","",I852))</f>
        <v/>
      </c>
      <c r="AQ852" s="136" t="str">
        <f>IF(AH803="","",IF(J852="","",J852))</f>
        <v/>
      </c>
      <c r="AR852" s="136" t="str">
        <f>IF(AH803="","",IF(K852="","",K852))</f>
        <v/>
      </c>
      <c r="AS852" s="136" t="str">
        <f>IF(AH803="","",IF(L852="","",L852))</f>
        <v/>
      </c>
      <c r="AT852" s="136" t="str">
        <f>IF(AH803="","",IF(M852="","",M852))</f>
        <v/>
      </c>
      <c r="AU852" s="136" t="str">
        <f>IF(AH803="","",IF(N852="","",N852))</f>
        <v/>
      </c>
      <c r="AV852" s="136" t="str">
        <f>IF(AH803="","",IF(O852="","",O852))</f>
        <v/>
      </c>
      <c r="AX852" s="136" t="str">
        <f>IF(AI803="","",IF(B852="","",B852))</f>
        <v/>
      </c>
      <c r="AY852" s="136" t="str">
        <f>IF(AI803="","",IF(C852="","",C852))</f>
        <v/>
      </c>
      <c r="AZ852" s="136" t="str">
        <f>IF(AI803="","",IF(D852="","",D852))</f>
        <v/>
      </c>
      <c r="BA852" s="136" t="str">
        <f>IF(AI803="","",IF(E852="","",E852))</f>
        <v/>
      </c>
      <c r="BB852" s="136" t="str">
        <f>IF(AI803="","",IF(F852="","",F852))</f>
        <v/>
      </c>
      <c r="BC852" s="136" t="str">
        <f>IF(AI803="","",IF(G852="","",G852))</f>
        <v/>
      </c>
      <c r="BD852" s="136" t="str">
        <f>IF(AI803="","",IF(H852="","",H852))</f>
        <v/>
      </c>
      <c r="BE852" s="136" t="str">
        <f>IF(AI803="","",IF(I852="","",I852))</f>
        <v/>
      </c>
      <c r="BF852" s="136" t="str">
        <f>IF(AI803="","",IF(J852="","",J852))</f>
        <v/>
      </c>
      <c r="BG852" s="136" t="str">
        <f>IF(AI803="","",IF(K852="","",K852))</f>
        <v/>
      </c>
      <c r="BH852" s="136" t="str">
        <f>IF(AI803="","",IF(L852="","",L852))</f>
        <v/>
      </c>
      <c r="BI852" s="136" t="str">
        <f>IF(AI803="","",IF(M852="","",M852))</f>
        <v/>
      </c>
      <c r="BJ852" s="136" t="str">
        <f>IF(AI803="","",IF(N852="","",N852))</f>
        <v/>
      </c>
      <c r="BK852" s="136" t="str">
        <f>IF(AI803="","",IF(O852="","",O852))</f>
        <v/>
      </c>
      <c r="BP852" s="136" t="str">
        <f>IF(BO852="","",COUNTIFS(AX807:BK854,BO852)*0.5)</f>
        <v/>
      </c>
      <c r="CA852" s="136">
        <f>'INFO BASE'!L929</f>
        <v>0</v>
      </c>
      <c r="CB852" s="136">
        <f>'INFO BASE'!M929</f>
        <v>0</v>
      </c>
      <c r="CR852" s="177">
        <f t="shared" si="482"/>
        <v>1</v>
      </c>
      <c r="CS852" s="177">
        <f t="shared" si="456"/>
        <v>1</v>
      </c>
      <c r="CT852" s="177">
        <f t="shared" si="482"/>
        <v>1</v>
      </c>
      <c r="CU852" s="177">
        <f t="shared" si="457"/>
        <v>1</v>
      </c>
      <c r="CV852" s="177">
        <f t="shared" si="482"/>
        <v>1</v>
      </c>
      <c r="CW852" s="177">
        <f t="shared" si="458"/>
        <v>1</v>
      </c>
      <c r="CX852" s="177">
        <f t="shared" si="482"/>
        <v>1</v>
      </c>
      <c r="CY852" s="177">
        <f t="shared" si="459"/>
        <v>1</v>
      </c>
      <c r="CZ852" s="177">
        <f t="shared" si="482"/>
        <v>1</v>
      </c>
      <c r="DA852" s="177">
        <f t="shared" si="460"/>
        <v>1</v>
      </c>
      <c r="DB852" s="177">
        <f t="shared" si="483"/>
        <v>1</v>
      </c>
      <c r="DC852" s="177">
        <f t="shared" si="461"/>
        <v>1</v>
      </c>
      <c r="DD852" s="177">
        <f t="shared" si="462"/>
        <v>1</v>
      </c>
      <c r="DE852" s="177">
        <f t="shared" si="463"/>
        <v>1</v>
      </c>
    </row>
    <row r="853" spans="1:120" ht="18" customHeight="1" x14ac:dyDescent="0.3">
      <c r="A853" s="81">
        <v>0.95833333333336401</v>
      </c>
      <c r="B853" s="153"/>
      <c r="C853" s="130"/>
      <c r="D853" s="135"/>
      <c r="E853" s="130"/>
      <c r="F853" s="135"/>
      <c r="G853" s="130"/>
      <c r="H853" s="135"/>
      <c r="I853" s="130"/>
      <c r="J853" s="135"/>
      <c r="K853" s="130"/>
      <c r="L853" s="135"/>
      <c r="M853" s="130"/>
      <c r="N853" s="135"/>
      <c r="O853" s="154"/>
      <c r="P853" s="6">
        <v>0.2</v>
      </c>
      <c r="Q853" s="91" t="str">
        <f>IF('INFO BASE'!$C$28="","",'INFO BASE'!$C$28)</f>
        <v>Refeição</v>
      </c>
      <c r="R853" s="87" t="str">
        <f t="shared" si="472"/>
        <v>HR</v>
      </c>
      <c r="S853" s="88">
        <f t="shared" si="469"/>
        <v>-1</v>
      </c>
      <c r="T853" s="89">
        <f>IF(VLOOKUP(Q853,'INFO BASE'!$B$40:$I$54,IF(R853='INFO BASE'!$B$32,3,IF(R853='INFO BASE'!$B$33,4,IF(R853='INFO BASE'!$B$34,5,IF(R853='INFO BASE'!$B$35,6,IF(R853='INFO BASE'!$B$36,7,IF(R853='INFO BASE'!$B$37,8,2)))))),0)=0,"",VLOOKUP(Q853,'INFO BASE'!$B$40:$I$54,IF(R853='INFO BASE'!$B$32,3,IF(R853='INFO BASE'!$B$33,4,IF(R853='INFO BASE'!$B$34,5,IF(R853='INFO BASE'!$B$35,6,IF(R853='INFO BASE'!$B$36,7,IF(R853='INFO BASE'!$B$37,8,2)))))),0))</f>
        <v>15</v>
      </c>
      <c r="U853" s="89">
        <f t="shared" si="481"/>
        <v>0</v>
      </c>
      <c r="V853" s="89">
        <f>IF(R853="","",COUNTIFS(AI807:AV854,R853)*0.5)</f>
        <v>0</v>
      </c>
      <c r="W853" s="90" t="str">
        <f>IF(AH803="","-",IF(V853=0,U853,IFERROR((U853/V853)-1,"-")))</f>
        <v>-</v>
      </c>
      <c r="X853" s="204">
        <f t="shared" si="470"/>
        <v>0</v>
      </c>
      <c r="Y853" s="271"/>
      <c r="Z853" s="272"/>
      <c r="AA853" s="272"/>
      <c r="AB853" s="272"/>
      <c r="AC853" s="272"/>
      <c r="AD853" s="272"/>
      <c r="AE853" s="272"/>
      <c r="AF853" s="273"/>
      <c r="AH853" s="136">
        <v>0.95833333333336401</v>
      </c>
      <c r="AI853" s="136" t="str">
        <f>IF(AH803="","",IF(B853="","",B853))</f>
        <v/>
      </c>
      <c r="AJ853" s="136" t="str">
        <f>IF(AH803="","",IF(C853="","",C853))</f>
        <v/>
      </c>
      <c r="AK853" s="136" t="str">
        <f>IF(AH803="","",IF(D853="","",D853))</f>
        <v/>
      </c>
      <c r="AL853" s="136" t="str">
        <f>IF(AH803="","",IF(E853="","",E853))</f>
        <v/>
      </c>
      <c r="AM853" s="136" t="str">
        <f>IF(AH803="","",IF(F853="","",F853))</f>
        <v/>
      </c>
      <c r="AN853" s="136" t="str">
        <f>IF(AH803="","",IF(G853="","",G853))</f>
        <v/>
      </c>
      <c r="AO853" s="136" t="str">
        <f>IF(AH803="","",IF(H853="","",H853))</f>
        <v/>
      </c>
      <c r="AP853" s="136" t="str">
        <f>IF(AH803="","",IF(I853="","",I853))</f>
        <v/>
      </c>
      <c r="AQ853" s="136" t="str">
        <f>IF(AH803="","",IF(J853="","",J853))</f>
        <v/>
      </c>
      <c r="AR853" s="136" t="str">
        <f>IF(AH803="","",IF(K853="","",K853))</f>
        <v/>
      </c>
      <c r="AS853" s="136" t="str">
        <f>IF(AH803="","",IF(L853="","",L853))</f>
        <v/>
      </c>
      <c r="AT853" s="136" t="str">
        <f>IF(AH803="","",IF(M853="","",M853))</f>
        <v/>
      </c>
      <c r="AU853" s="136" t="str">
        <f>IF(AH803="","",IF(N853="","",N853))</f>
        <v/>
      </c>
      <c r="AV853" s="136" t="str">
        <f>IF(AH803="","",IF(O853="","",O853))</f>
        <v/>
      </c>
      <c r="AX853" s="136" t="str">
        <f>IF(AI803="","",IF(B853="","",B853))</f>
        <v/>
      </c>
      <c r="AY853" s="136" t="str">
        <f>IF(AI803="","",IF(C853="","",C853))</f>
        <v/>
      </c>
      <c r="AZ853" s="136" t="str">
        <f>IF(AI803="","",IF(D853="","",D853))</f>
        <v/>
      </c>
      <c r="BA853" s="136" t="str">
        <f>IF(AI803="","",IF(E853="","",E853))</f>
        <v/>
      </c>
      <c r="BB853" s="136" t="str">
        <f>IF(AI803="","",IF(F853="","",F853))</f>
        <v/>
      </c>
      <c r="BC853" s="136" t="str">
        <f>IF(AI803="","",IF(G853="","",G853))</f>
        <v/>
      </c>
      <c r="BD853" s="136" t="str">
        <f>IF(AI803="","",IF(H853="","",H853))</f>
        <v/>
      </c>
      <c r="BE853" s="136" t="str">
        <f>IF(AI803="","",IF(I853="","",I853))</f>
        <v/>
      </c>
      <c r="BF853" s="136" t="str">
        <f>IF(AI803="","",IF(J853="","",J853))</f>
        <v/>
      </c>
      <c r="BG853" s="136" t="str">
        <f>IF(AI803="","",IF(K853="","",K853))</f>
        <v/>
      </c>
      <c r="BH853" s="136" t="str">
        <f>IF(AI803="","",IF(L853="","",L853))</f>
        <v/>
      </c>
      <c r="BI853" s="136" t="str">
        <f>IF(AI803="","",IF(M853="","",M853))</f>
        <v/>
      </c>
      <c r="BJ853" s="136" t="str">
        <f>IF(AI803="","",IF(N853="","",N853))</f>
        <v/>
      </c>
      <c r="BK853" s="136" t="str">
        <f>IF(AI803="","",IF(O853="","",O853))</f>
        <v/>
      </c>
      <c r="BP853" s="136" t="str">
        <f>IF(BO853="","",COUNTIFS(AX807:BK854,BO853)*0.5)</f>
        <v/>
      </c>
      <c r="CA853" s="136">
        <f>'INFO BASE'!L930</f>
        <v>0</v>
      </c>
      <c r="CB853" s="136">
        <f>'INFO BASE'!M930</f>
        <v>0</v>
      </c>
      <c r="CR853" s="177">
        <f t="shared" si="482"/>
        <v>1</v>
      </c>
      <c r="CS853" s="177">
        <f t="shared" si="456"/>
        <v>1</v>
      </c>
      <c r="CT853" s="177">
        <f t="shared" si="482"/>
        <v>1</v>
      </c>
      <c r="CU853" s="177">
        <f t="shared" si="457"/>
        <v>1</v>
      </c>
      <c r="CV853" s="177">
        <f t="shared" si="482"/>
        <v>1</v>
      </c>
      <c r="CW853" s="177">
        <f t="shared" si="458"/>
        <v>1</v>
      </c>
      <c r="CX853" s="177">
        <f t="shared" si="482"/>
        <v>1</v>
      </c>
      <c r="CY853" s="177">
        <f t="shared" si="459"/>
        <v>1</v>
      </c>
      <c r="CZ853" s="177">
        <f t="shared" si="482"/>
        <v>1</v>
      </c>
      <c r="DA853" s="177">
        <f t="shared" si="460"/>
        <v>1</v>
      </c>
      <c r="DB853" s="177">
        <f t="shared" si="483"/>
        <v>1</v>
      </c>
      <c r="DC853" s="177">
        <f t="shared" si="461"/>
        <v>1</v>
      </c>
      <c r="DD853" s="177">
        <f t="shared" si="462"/>
        <v>1</v>
      </c>
      <c r="DE853" s="177">
        <f t="shared" si="463"/>
        <v>1</v>
      </c>
    </row>
    <row r="854" spans="1:120" ht="18" customHeight="1" thickBot="1" x14ac:dyDescent="0.35">
      <c r="A854" s="180">
        <v>0.97916666666669805</v>
      </c>
      <c r="B854" s="155"/>
      <c r="C854" s="156"/>
      <c r="D854" s="157"/>
      <c r="E854" s="156"/>
      <c r="F854" s="157"/>
      <c r="G854" s="156"/>
      <c r="H854" s="157"/>
      <c r="I854" s="156"/>
      <c r="J854" s="157"/>
      <c r="K854" s="156"/>
      <c r="L854" s="157"/>
      <c r="M854" s="156"/>
      <c r="N854" s="157"/>
      <c r="O854" s="158"/>
      <c r="P854" s="6">
        <v>0.2</v>
      </c>
      <c r="Q854" s="92" t="str">
        <f>IF('INFO BASE'!$C$29="","",'INFO BASE'!$C$29)</f>
        <v>Sono</v>
      </c>
      <c r="R854" s="93" t="str">
        <f t="shared" si="472"/>
        <v>HS</v>
      </c>
      <c r="S854" s="94">
        <f t="shared" si="469"/>
        <v>-1</v>
      </c>
      <c r="T854" s="95">
        <f>IF(VLOOKUP(Q854,'INFO BASE'!$B$40:$I$54,IF(R854='INFO BASE'!$B$32,3,IF(R854='INFO BASE'!$B$33,4,IF(R854='INFO BASE'!$B$34,5,IF(R854='INFO BASE'!$B$35,6,IF(R854='INFO BASE'!$B$36,7,IF(R854='INFO BASE'!$B$37,8,2)))))),0)=0,"",VLOOKUP(Q854,'INFO BASE'!$B$40:$I$54,IF(R854='INFO BASE'!$B$32,3,IF(R854='INFO BASE'!$B$33,4,IF(R854='INFO BASE'!$B$34,5,IF(R854='INFO BASE'!$B$35,6,IF(R854='INFO BASE'!$B$36,7,IF(R854='INFO BASE'!$B$37,8,2)))))),0))</f>
        <v>49</v>
      </c>
      <c r="U854" s="95">
        <f t="shared" si="481"/>
        <v>0</v>
      </c>
      <c r="V854" s="95">
        <f>IF(R854="","",COUNTIFS(AI807:AV854,R854)*0.5)</f>
        <v>0</v>
      </c>
      <c r="W854" s="96" t="str">
        <f>IF(AH803="","-",IF(V854=0,U854,IFERROR((U854/V854)-1,"-")))</f>
        <v>-</v>
      </c>
      <c r="X854" s="204">
        <f t="shared" si="470"/>
        <v>0</v>
      </c>
      <c r="Y854" s="274"/>
      <c r="Z854" s="275"/>
      <c r="AA854" s="275"/>
      <c r="AB854" s="275"/>
      <c r="AC854" s="275"/>
      <c r="AD854" s="275"/>
      <c r="AE854" s="275"/>
      <c r="AF854" s="276"/>
      <c r="AH854" s="136">
        <v>0.97916666666669805</v>
      </c>
      <c r="AI854" s="136" t="str">
        <f>IF(AH803="","",IF(B854="","",B854))</f>
        <v/>
      </c>
      <c r="AJ854" s="136" t="str">
        <f>IF(AH803="","",IF(C854="","",C854))</f>
        <v/>
      </c>
      <c r="AK854" s="136" t="str">
        <f>IF(AH803="","",IF(D854="","",D854))</f>
        <v/>
      </c>
      <c r="AL854" s="136" t="str">
        <f>IF(AH803="","",IF(E854="","",E854))</f>
        <v/>
      </c>
      <c r="AM854" s="136" t="str">
        <f>IF(AH803="","",IF(F854="","",F854))</f>
        <v/>
      </c>
      <c r="AN854" s="136" t="str">
        <f>IF(AH803="","",IF(G854="","",G854))</f>
        <v/>
      </c>
      <c r="AO854" s="136" t="str">
        <f>IF(AH803="","",IF(H854="","",H854))</f>
        <v/>
      </c>
      <c r="AP854" s="136" t="str">
        <f>IF(AH803="","",IF(I854="","",I854))</f>
        <v/>
      </c>
      <c r="AQ854" s="136" t="str">
        <f>IF(AH803="","",IF(J854="","",J854))</f>
        <v/>
      </c>
      <c r="AR854" s="136" t="str">
        <f>IF(AH803="","",IF(K854="","",K854))</f>
        <v/>
      </c>
      <c r="AS854" s="136" t="str">
        <f>IF(AH803="","",IF(L854="","",L854))</f>
        <v/>
      </c>
      <c r="AT854" s="136" t="str">
        <f>IF(AH803="","",IF(M854="","",M854))</f>
        <v/>
      </c>
      <c r="AU854" s="136" t="str">
        <f>IF(AH803="","",IF(N854="","",N854))</f>
        <v/>
      </c>
      <c r="AV854" s="136" t="str">
        <f>IF(AH803="","",IF(O854="","",O854))</f>
        <v/>
      </c>
      <c r="AX854" s="136" t="str">
        <f>IF(AI803="","",IF(B854="","",B854))</f>
        <v/>
      </c>
      <c r="AY854" s="136" t="str">
        <f>IF(AI803="","",IF(C854="","",C854))</f>
        <v/>
      </c>
      <c r="AZ854" s="136" t="str">
        <f>IF(AI803="","",IF(D854="","",D854))</f>
        <v/>
      </c>
      <c r="BA854" s="136" t="str">
        <f>IF(AI803="","",IF(E854="","",E854))</f>
        <v/>
      </c>
      <c r="BB854" s="136" t="str">
        <f>IF(AI803="","",IF(F854="","",F854))</f>
        <v/>
      </c>
      <c r="BC854" s="136" t="str">
        <f>IF(AI803="","",IF(G854="","",G854))</f>
        <v/>
      </c>
      <c r="BD854" s="136" t="str">
        <f>IF(AI803="","",IF(H854="","",H854))</f>
        <v/>
      </c>
      <c r="BE854" s="136" t="str">
        <f>IF(AI803="","",IF(I854="","",I854))</f>
        <v/>
      </c>
      <c r="BF854" s="136" t="str">
        <f>IF(AI803="","",IF(J854="","",J854))</f>
        <v/>
      </c>
      <c r="BG854" s="136" t="str">
        <f>IF(AI803="","",IF(K854="","",K854))</f>
        <v/>
      </c>
      <c r="BH854" s="136" t="str">
        <f>IF(AI803="","",IF(L854="","",L854))</f>
        <v/>
      </c>
      <c r="BI854" s="136" t="str">
        <f>IF(AI803="","",IF(M854="","",M854))</f>
        <v/>
      </c>
      <c r="BJ854" s="136" t="str">
        <f>IF(AI803="","",IF(N854="","",N854))</f>
        <v/>
      </c>
      <c r="BK854" s="136" t="str">
        <f>IF(AI803="","",IF(O854="","",O854))</f>
        <v/>
      </c>
      <c r="BP854" s="136" t="str">
        <f>IF(BO854="","",COUNTIFS(AX807:BK854,BO854)*0.5)</f>
        <v/>
      </c>
      <c r="CA854" s="136">
        <f>'INFO BASE'!L931</f>
        <v>0</v>
      </c>
      <c r="CB854" s="136">
        <f>'INFO BASE'!M931</f>
        <v>0</v>
      </c>
      <c r="CR854" s="177">
        <f t="shared" si="482"/>
        <v>1</v>
      </c>
      <c r="CS854" s="177">
        <f t="shared" si="456"/>
        <v>1</v>
      </c>
      <c r="CT854" s="177">
        <f t="shared" si="482"/>
        <v>1</v>
      </c>
      <c r="CU854" s="177">
        <f t="shared" si="457"/>
        <v>1</v>
      </c>
      <c r="CV854" s="177">
        <f t="shared" si="482"/>
        <v>1</v>
      </c>
      <c r="CW854" s="177">
        <f t="shared" si="458"/>
        <v>1</v>
      </c>
      <c r="CX854" s="177">
        <f t="shared" si="482"/>
        <v>1</v>
      </c>
      <c r="CY854" s="177">
        <f t="shared" si="459"/>
        <v>1</v>
      </c>
      <c r="CZ854" s="177">
        <f t="shared" si="482"/>
        <v>1</v>
      </c>
      <c r="DA854" s="177">
        <f t="shared" si="460"/>
        <v>1</v>
      </c>
      <c r="DB854" s="177">
        <f t="shared" si="483"/>
        <v>1</v>
      </c>
      <c r="DC854" s="177">
        <f t="shared" si="461"/>
        <v>1</v>
      </c>
      <c r="DD854" s="177">
        <f t="shared" si="462"/>
        <v>1</v>
      </c>
      <c r="DE854" s="177">
        <f t="shared" si="463"/>
        <v>1</v>
      </c>
    </row>
    <row r="855" spans="1:120" s="139" customFormat="1" ht="24" customHeight="1" thickTop="1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7">
        <v>1</v>
      </c>
      <c r="Y855" s="6">
        <f>COUNTA(Y818:AF854)</f>
        <v>0</v>
      </c>
      <c r="Z855" s="6">
        <f>SUM(X818:X854)</f>
        <v>0</v>
      </c>
      <c r="AA855" s="6">
        <f>IF(Z855&gt;Y855,"ERRO",0)</f>
        <v>0</v>
      </c>
      <c r="AB855" s="6"/>
      <c r="AC855" s="6"/>
      <c r="AD855" s="6"/>
      <c r="AE855" s="6"/>
      <c r="AF855" s="6"/>
      <c r="AG855" s="6"/>
      <c r="BM855" s="136"/>
      <c r="BN855" s="136"/>
      <c r="BO855" s="136"/>
      <c r="BP855" s="136"/>
      <c r="BQ855" s="136"/>
      <c r="BR855" s="136"/>
      <c r="BS855" s="136"/>
      <c r="BT855" s="136"/>
      <c r="BU855" s="136"/>
      <c r="DN855" s="194"/>
      <c r="DO855" s="194"/>
      <c r="DP855" s="194"/>
    </row>
    <row r="856" spans="1:120" s="139" customFormat="1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7">
        <v>1</v>
      </c>
      <c r="Y856" s="6" t="s">
        <v>220</v>
      </c>
      <c r="Z856" s="6" t="s">
        <v>219</v>
      </c>
      <c r="AA856" s="6" t="s">
        <v>221</v>
      </c>
      <c r="AB856" s="6"/>
      <c r="AC856" s="6"/>
      <c r="AD856" s="6"/>
      <c r="AE856" s="6"/>
      <c r="AF856" s="6"/>
      <c r="AG856" s="6"/>
      <c r="BM856" s="136"/>
      <c r="BN856" s="136"/>
      <c r="BO856" s="136"/>
      <c r="BP856" s="136"/>
      <c r="BQ856" s="136"/>
      <c r="BR856" s="136"/>
      <c r="BS856" s="136"/>
      <c r="BT856" s="136"/>
      <c r="BU856" s="136"/>
      <c r="DN856" s="194"/>
      <c r="DO856" s="194"/>
      <c r="DP856" s="194"/>
    </row>
    <row r="857" spans="1:120" s="139" customFormat="1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7">
        <v>1</v>
      </c>
      <c r="Y857" s="6"/>
      <c r="Z857" s="6"/>
      <c r="AA857" s="6"/>
      <c r="AB857" s="6"/>
      <c r="AC857" s="6"/>
      <c r="AD857" s="6"/>
      <c r="AE857" s="6"/>
      <c r="AF857" s="6"/>
      <c r="AG857" s="6"/>
      <c r="BM857" s="136"/>
      <c r="BN857" s="136"/>
      <c r="BO857" s="136"/>
      <c r="BP857" s="136"/>
      <c r="BQ857" s="136"/>
      <c r="BR857" s="136"/>
      <c r="BS857" s="136"/>
      <c r="BT857" s="136"/>
      <c r="BU857" s="136"/>
      <c r="DN857" s="194"/>
      <c r="DO857" s="194"/>
      <c r="DP857" s="194"/>
    </row>
    <row r="858" spans="1:120" ht="15" thickBot="1" x14ac:dyDescent="0.35">
      <c r="X858" s="7">
        <v>1</v>
      </c>
    </row>
    <row r="859" spans="1:120" ht="38.25" customHeight="1" thickTop="1" thickBot="1" x14ac:dyDescent="0.35">
      <c r="A859" s="311" t="str">
        <f>IF(LEN(A802)=8,CONCATENATE("SEMANA ",RIGHT(A802,1)+1),CONCATENATE("SEMANA ",RIGHT(A802,2)+1))</f>
        <v>SEMANA 16</v>
      </c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3"/>
      <c r="AG859" s="12"/>
      <c r="CA859" s="136">
        <f>'INFO BASE'!L940</f>
        <v>0</v>
      </c>
      <c r="CB859" s="136">
        <f>'INFO BASE'!M940</f>
        <v>0</v>
      </c>
    </row>
    <row r="860" spans="1:120" ht="9" customHeight="1" thickTop="1" thickBot="1" x14ac:dyDescent="0.35">
      <c r="A860" s="139"/>
      <c r="B860" s="139"/>
      <c r="C860" s="140"/>
      <c r="D860" s="139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41">
        <v>1</v>
      </c>
      <c r="Y860" s="139"/>
      <c r="Z860" s="139"/>
      <c r="AA860" s="139"/>
      <c r="AB860" s="139"/>
      <c r="AC860" s="139"/>
      <c r="AD860" s="139"/>
      <c r="AE860" s="139"/>
      <c r="AF860" s="139"/>
      <c r="AG860" s="139"/>
      <c r="CA860" s="136">
        <f>'INFO BASE'!L941</f>
        <v>0</v>
      </c>
      <c r="CB860" s="136">
        <f>'INFO BASE'!M941</f>
        <v>0</v>
      </c>
    </row>
    <row r="861" spans="1:120" ht="30.75" customHeight="1" x14ac:dyDescent="0.3">
      <c r="A861" s="145"/>
      <c r="B861" s="314">
        <f>1-(CR861/673)</f>
        <v>0</v>
      </c>
      <c r="C861" s="315"/>
      <c r="D861" s="315"/>
      <c r="E861" s="315"/>
      <c r="F861" s="315"/>
      <c r="G861" s="315"/>
      <c r="H861" s="315"/>
      <c r="I861" s="315"/>
      <c r="J861" s="315"/>
      <c r="K861" s="315"/>
      <c r="L861" s="315"/>
      <c r="M861" s="315"/>
      <c r="N861" s="315"/>
      <c r="O861" s="316"/>
      <c r="Q861" s="205">
        <f>IF(OR(Q864="Registe aqui o que considera serem as suas três principais prioridades para a semana
(Dica - para criar paragráfos Alt+Enter)",LEN(Q864)&lt;10),1,0)</f>
        <v>1</v>
      </c>
      <c r="X861" s="7">
        <v>1</v>
      </c>
      <c r="AM861" s="136" t="str">
        <f>CONCATENATE("PLANEAMENTO ",I861)</f>
        <v xml:space="preserve">PLANEAMENTO </v>
      </c>
      <c r="AX861" s="136" t="str">
        <f>IF(AI860="","",IF(B861="","",B861))</f>
        <v/>
      </c>
      <c r="AY861" s="136" t="str">
        <f>IF(AI860="","",IF(C861="","",C861))</f>
        <v/>
      </c>
      <c r="AZ861" s="136" t="str">
        <f>IF(AI860="","",IF(D861="","",D861))</f>
        <v/>
      </c>
      <c r="BA861" s="136" t="str">
        <f>IF(AI860="","",IF(E861="","",E861))</f>
        <v/>
      </c>
      <c r="BB861" s="136" t="str">
        <f>IF(AI860="","",IF(F861="","",F861))</f>
        <v/>
      </c>
      <c r="BC861" s="136" t="str">
        <f>IF(AI860="","",IF(G861="","",G861))</f>
        <v/>
      </c>
      <c r="BD861" s="136" t="str">
        <f>IF(AI860="","",IF(H861="","",H861))</f>
        <v/>
      </c>
      <c r="BE861" s="136" t="str">
        <f>IF(AI860="","",IF(I861="","",I861))</f>
        <v/>
      </c>
      <c r="BF861" s="136" t="str">
        <f>IF(AI860="","",IF(J861="","",J861))</f>
        <v/>
      </c>
      <c r="BG861" s="136" t="str">
        <f>IF(AI860="","",IF(K861="","",K861))</f>
        <v/>
      </c>
      <c r="BH861" s="136" t="str">
        <f>IF(AI860="","",IF(L861="","",L861))</f>
        <v/>
      </c>
      <c r="BI861" s="136" t="str">
        <f>IF(AI860="","",IF(M861="","",M861))</f>
        <v/>
      </c>
      <c r="BJ861" s="136" t="str">
        <f>IF(AI860="","",IF(N861="","",N861))</f>
        <v/>
      </c>
      <c r="BK861" s="136" t="str">
        <f>IF(AI860="","",IF(O861="","",O861))</f>
        <v/>
      </c>
      <c r="CA861" s="136">
        <f>'INFO BASE'!L927</f>
        <v>0</v>
      </c>
      <c r="CB861" s="136">
        <f>'INFO BASE'!M927</f>
        <v>0</v>
      </c>
      <c r="CR861" s="136">
        <f>SUM(CR864:DE911,Q861)</f>
        <v>673</v>
      </c>
    </row>
    <row r="862" spans="1:120" ht="37.5" customHeight="1" thickBot="1" x14ac:dyDescent="0.35">
      <c r="A862" s="146"/>
      <c r="B862" s="330" t="str">
        <f>CONCATENATE("Segunda ",CHAR(10),TEXT(B863,"dd-mm-aaaa"))</f>
        <v>Segunda 
28-12-2015</v>
      </c>
      <c r="C862" s="317"/>
      <c r="D862" s="317" t="str">
        <f>CONCATENATE("Terça ",CHAR(10),TEXT(D863,"dd-mm-aaaa"))</f>
        <v>Terça 
29-12-2015</v>
      </c>
      <c r="E862" s="317"/>
      <c r="F862" s="317" t="str">
        <f>CONCATENATE("Quarta ",CHAR(10),TEXT(F863,"dd-mm-aaaa"))</f>
        <v>Quarta 
30-12-2015</v>
      </c>
      <c r="G862" s="317"/>
      <c r="H862" s="317" t="str">
        <f>CONCATENATE("Quinta ",CHAR(10),TEXT(H863,"dd-mm-aaaa"))</f>
        <v>Quinta 
31-12-2015</v>
      </c>
      <c r="I862" s="317"/>
      <c r="J862" s="317" t="str">
        <f>CONCATENATE("Sexta ",CHAR(10),TEXT(J863,"dd-mm-aaaa"))</f>
        <v>Sexta 
01-01-2016</v>
      </c>
      <c r="K862" s="317"/>
      <c r="L862" s="317" t="str">
        <f>CONCATENATE("Sábado ",CHAR(10),TEXT(L863,"dd-mm-aaaa"))</f>
        <v>Sábado 
02-01-2016</v>
      </c>
      <c r="M862" s="317"/>
      <c r="N862" s="317" t="str">
        <f>CONCATENATE("Domingo ",CHAR(10),TEXT(N863,"dd-mm-aaaa"))</f>
        <v>Domingo 
03-01-2016</v>
      </c>
      <c r="O862" s="329"/>
      <c r="Q862" s="55" t="str">
        <f>'INFO BASE'!$L$3</f>
        <v>PRIORIDADES PARA ESTA SEMANA</v>
      </c>
      <c r="R862" s="132"/>
      <c r="S862" s="132"/>
      <c r="T862" s="132"/>
      <c r="U862" s="132"/>
      <c r="V862" s="132"/>
      <c r="W862" s="195" t="str">
        <f>CONCATENATE("HORÁRIO ",'INFO BASE'!$C$6,"_",'INFO BASE'!$C$5,": ",UPPER(A859))</f>
        <v>HORÁRIO André Fonseca_84698: SEMANA 16</v>
      </c>
      <c r="X862" s="198">
        <v>1</v>
      </c>
      <c r="Y862" s="261" t="str">
        <f>'INFO BASE'!$L$1</f>
        <v>MOMENTOS AVALIATIVOS</v>
      </c>
      <c r="Z862" s="261"/>
      <c r="AA862" s="261"/>
      <c r="AB862" s="261"/>
      <c r="AC862" s="261"/>
      <c r="AD862" s="261"/>
      <c r="AE862" s="261"/>
      <c r="AF862" s="261"/>
      <c r="AI862" s="136" t="str">
        <f>B862</f>
        <v>Segunda 
28-12-2015</v>
      </c>
      <c r="AK862" s="136" t="str">
        <f>D862</f>
        <v>Terça 
29-12-2015</v>
      </c>
      <c r="AM862" s="136" t="str">
        <f>F862</f>
        <v>Quarta 
30-12-2015</v>
      </c>
      <c r="AO862" s="136" t="str">
        <f>H862</f>
        <v>Quinta 
31-12-2015</v>
      </c>
      <c r="AQ862" s="136" t="str">
        <f>J862</f>
        <v>Sexta 
01-01-2016</v>
      </c>
      <c r="AS862" s="136" t="str">
        <f>L862</f>
        <v>Sábado 
02-01-2016</v>
      </c>
      <c r="AU862" s="136" t="str">
        <f>N862</f>
        <v>Domingo 
03-01-2016</v>
      </c>
      <c r="AX862" s="136" t="str">
        <f>IF(AI860="","",IF(B862="","",B862))</f>
        <v/>
      </c>
      <c r="AY862" s="136" t="str">
        <f>IF(AI860="","",IF(C862="","",C862))</f>
        <v/>
      </c>
      <c r="AZ862" s="136" t="str">
        <f>IF(AI860="","",IF(D862="","",D862))</f>
        <v/>
      </c>
      <c r="BA862" s="136" t="str">
        <f>IF(AI860="","",IF(E862="","",E862))</f>
        <v/>
      </c>
      <c r="BB862" s="136" t="str">
        <f>IF(AI860="","",IF(F862="","",F862))</f>
        <v/>
      </c>
      <c r="BC862" s="136" t="str">
        <f>IF(AI860="","",IF(G862="","",G862))</f>
        <v/>
      </c>
      <c r="BD862" s="136" t="str">
        <f>IF(AI860="","",IF(H862="","",H862))</f>
        <v/>
      </c>
      <c r="BE862" s="136" t="str">
        <f>IF(AI860="","",IF(I862="","",I862))</f>
        <v/>
      </c>
      <c r="BF862" s="136" t="str">
        <f>IF(AI860="","",IF(J862="","",J862))</f>
        <v/>
      </c>
      <c r="BG862" s="136" t="str">
        <f>IF(AI860="","",IF(K862="","",K862))</f>
        <v/>
      </c>
      <c r="BH862" s="136" t="str">
        <f>IF(AI860="","",IF(L862="","",L862))</f>
        <v/>
      </c>
      <c r="BI862" s="136" t="str">
        <f>IF(AI860="","",IF(M862="","",M862))</f>
        <v/>
      </c>
      <c r="BJ862" s="136" t="str">
        <f>IF(AI860="","",IF(N862="","",N862))</f>
        <v/>
      </c>
      <c r="BK862" s="136" t="str">
        <f>IF(AI860="","",IF(O862="","",O862))</f>
        <v/>
      </c>
      <c r="CA862" s="136">
        <f>'INFO BASE'!L921</f>
        <v>0</v>
      </c>
      <c r="CB862" s="136">
        <f>'INFO BASE'!M921</f>
        <v>0</v>
      </c>
    </row>
    <row r="863" spans="1:120" ht="21" hidden="1" customHeight="1" x14ac:dyDescent="0.3">
      <c r="A863" s="142"/>
      <c r="B863" s="333">
        <f>N806+1</f>
        <v>42366</v>
      </c>
      <c r="C863" s="334"/>
      <c r="D863" s="334">
        <f>B863+1</f>
        <v>42367</v>
      </c>
      <c r="E863" s="334"/>
      <c r="F863" s="334">
        <f>D863+1</f>
        <v>42368</v>
      </c>
      <c r="G863" s="334"/>
      <c r="H863" s="334">
        <f>F863+1</f>
        <v>42369</v>
      </c>
      <c r="I863" s="334"/>
      <c r="J863" s="334">
        <f>H863+1</f>
        <v>42370</v>
      </c>
      <c r="K863" s="334"/>
      <c r="L863" s="334">
        <f>J863+1</f>
        <v>42371</v>
      </c>
      <c r="M863" s="334"/>
      <c r="N863" s="334">
        <f>L863+1</f>
        <v>42372</v>
      </c>
      <c r="O863" s="334"/>
      <c r="Q863" s="132"/>
      <c r="R863" s="132"/>
      <c r="S863" s="132"/>
      <c r="T863" s="132"/>
      <c r="U863" s="132"/>
      <c r="V863" s="132"/>
      <c r="W863" s="132"/>
      <c r="X863" s="198">
        <v>1</v>
      </c>
      <c r="Y863" s="132"/>
      <c r="Z863" s="132"/>
      <c r="AA863" s="132"/>
      <c r="AB863" s="131"/>
      <c r="AC863" s="131"/>
      <c r="AD863" s="131"/>
      <c r="AE863" s="131"/>
      <c r="AF863" s="131"/>
      <c r="AI863" s="136">
        <f>B863</f>
        <v>42366</v>
      </c>
      <c r="AK863" s="136">
        <f>D863</f>
        <v>42367</v>
      </c>
      <c r="AM863" s="136">
        <f>F863</f>
        <v>42368</v>
      </c>
      <c r="AO863" s="136">
        <f>H863</f>
        <v>42369</v>
      </c>
      <c r="AQ863" s="136">
        <f>J863</f>
        <v>42370</v>
      </c>
      <c r="AS863" s="136">
        <f>L863</f>
        <v>42371</v>
      </c>
      <c r="AU863" s="136">
        <f>N863</f>
        <v>42372</v>
      </c>
      <c r="AX863" s="136" t="str">
        <f>IF(AI860="","",IF(B863="","",B863))</f>
        <v/>
      </c>
      <c r="AY863" s="136" t="str">
        <f>IF(AI860="","",IF(C863="","",C863))</f>
        <v/>
      </c>
      <c r="AZ863" s="136" t="str">
        <f>IF(AI860="","",IF(D863="","",D863))</f>
        <v/>
      </c>
      <c r="BA863" s="136" t="str">
        <f>IF(AI860="","",IF(E863="","",E863))</f>
        <v/>
      </c>
      <c r="BB863" s="136" t="str">
        <f>IF(AI860="","",IF(F863="","",F863))</f>
        <v/>
      </c>
      <c r="BC863" s="136" t="str">
        <f>IF(AI860="","",IF(G863="","",G863))</f>
        <v/>
      </c>
      <c r="BD863" s="136" t="str">
        <f>IF(AI860="","",IF(H863="","",H863))</f>
        <v/>
      </c>
      <c r="BE863" s="136" t="str">
        <f>IF(AI860="","",IF(I863="","",I863))</f>
        <v/>
      </c>
      <c r="BF863" s="136" t="str">
        <f>IF(AI860="","",IF(J863="","",J863))</f>
        <v/>
      </c>
      <c r="BG863" s="136" t="str">
        <f>IF(AI860="","",IF(K863="","",K863))</f>
        <v/>
      </c>
      <c r="BH863" s="136" t="str">
        <f>IF(AI860="","",IF(L863="","",L863))</f>
        <v/>
      </c>
      <c r="BI863" s="136" t="str">
        <f>IF(AI860="","",IF(M863="","",M863))</f>
        <v/>
      </c>
      <c r="BJ863" s="136" t="str">
        <f>IF(AI860="","",IF(N863="","",N863))</f>
        <v/>
      </c>
      <c r="BK863" s="136" t="str">
        <f>IF(AI860="","",IF(O863="","",O863))</f>
        <v/>
      </c>
      <c r="CA863" s="136">
        <f>'INFO BASE'!L933</f>
        <v>0</v>
      </c>
      <c r="CB863" s="136">
        <f>'INFO BASE'!M933</f>
        <v>0</v>
      </c>
    </row>
    <row r="864" spans="1:120" ht="18" customHeight="1" thickTop="1" x14ac:dyDescent="0.3">
      <c r="A864" s="81">
        <v>0</v>
      </c>
      <c r="B864" s="149"/>
      <c r="C864" s="150"/>
      <c r="D864" s="151"/>
      <c r="E864" s="150"/>
      <c r="F864" s="151"/>
      <c r="G864" s="150"/>
      <c r="H864" s="151"/>
      <c r="I864" s="150"/>
      <c r="J864" s="151"/>
      <c r="K864" s="150"/>
      <c r="L864" s="151"/>
      <c r="M864" s="150"/>
      <c r="N864" s="151"/>
      <c r="O864" s="152"/>
      <c r="Q864" s="281" t="s">
        <v>216</v>
      </c>
      <c r="R864" s="282"/>
      <c r="S864" s="282"/>
      <c r="T864" s="282"/>
      <c r="U864" s="282"/>
      <c r="V864" s="282"/>
      <c r="W864" s="283"/>
      <c r="X864" s="199">
        <v>1</v>
      </c>
      <c r="Y864" s="268" t="str">
        <f t="array" ref="Y864">IF(ISERROR(INDEX($CA$2:$CB$200,SMALL(IF($CA$2:$CA$200=$A$859,ROW($CA$2:$CA$200)),ROW(1:1))-1,2)),"",INDEX($CA$2:$CB$200,SMALL(IF($CA$2:$CA$200=$A$859,ROW($CA$2:$CA$200)),ROW(1:1))-1,2))</f>
        <v/>
      </c>
      <c r="Z864" s="269"/>
      <c r="AA864" s="269"/>
      <c r="AB864" s="269"/>
      <c r="AC864" s="269"/>
      <c r="AD864" s="269"/>
      <c r="AE864" s="269"/>
      <c r="AF864" s="270"/>
      <c r="AH864" s="136">
        <v>0</v>
      </c>
      <c r="AI864" s="136" t="str">
        <f>IF(AH860="","",IF(B864="","",B864))</f>
        <v/>
      </c>
      <c r="AJ864" s="136" t="str">
        <f>IF(AH860="","",IF(C864="","",C864))</f>
        <v/>
      </c>
      <c r="AK864" s="136" t="str">
        <f>IF(AH860="","",IF(D864="","",D864))</f>
        <v/>
      </c>
      <c r="AL864" s="136" t="str">
        <f>IF(AH860="","",IF(E864="","",E864))</f>
        <v/>
      </c>
      <c r="AM864" s="136" t="str">
        <f>IF(AH860="","",IF(F864="","",F864))</f>
        <v/>
      </c>
      <c r="AN864" s="136" t="str">
        <f>IF(AH860="","",IF(G864="","",G864))</f>
        <v/>
      </c>
      <c r="AO864" s="136" t="str">
        <f>IF(AH860="","",IF(H864="","",H864))</f>
        <v/>
      </c>
      <c r="AP864" s="136" t="str">
        <f>IF(AH860="","",IF(I864="","",I864))</f>
        <v/>
      </c>
      <c r="AQ864" s="136" t="str">
        <f>IF(AH860="","",IF(J864="","",J864))</f>
        <v/>
      </c>
      <c r="AR864" s="136" t="str">
        <f>IF(AH860="","",IF(K864="","",K864))</f>
        <v/>
      </c>
      <c r="AS864" s="136" t="str">
        <f>IF(AH860="","",IF(L864="","",L864))</f>
        <v/>
      </c>
      <c r="AT864" s="136" t="str">
        <f>IF(AH860="","",IF(M864="","",M864))</f>
        <v/>
      </c>
      <c r="AU864" s="136" t="str">
        <f>IF(AH860="","",IF(N864="","",N864))</f>
        <v/>
      </c>
      <c r="AV864" s="136" t="str">
        <f>IF(AH860="","",IF(O864="","",O864))</f>
        <v/>
      </c>
      <c r="AX864" s="136" t="str">
        <f>IF(AI860="","",IF(B864="","",B864))</f>
        <v/>
      </c>
      <c r="AY864" s="136" t="str">
        <f>IF(AI860="","",IF(C864="","",C864))</f>
        <v/>
      </c>
      <c r="AZ864" s="136" t="str">
        <f>IF(AI860="","",IF(D864="","",D864))</f>
        <v/>
      </c>
      <c r="BA864" s="136" t="str">
        <f>IF(AI860="","",IF(E864="","",E864))</f>
        <v/>
      </c>
      <c r="BB864" s="136" t="str">
        <f>IF(AI860="","",IF(F864="","",F864))</f>
        <v/>
      </c>
      <c r="BC864" s="136" t="str">
        <f>IF(AI860="","",IF(G864="","",G864))</f>
        <v/>
      </c>
      <c r="BD864" s="136" t="str">
        <f>IF(AI860="","",IF(H864="","",H864))</f>
        <v/>
      </c>
      <c r="BE864" s="136" t="str">
        <f>IF(AI860="","",IF(I864="","",I864))</f>
        <v/>
      </c>
      <c r="BF864" s="136" t="str">
        <f>IF(AI860="","",IF(J864="","",J864))</f>
        <v/>
      </c>
      <c r="BG864" s="136" t="str">
        <f>IF(AI860="","",IF(K864="","",K864))</f>
        <v/>
      </c>
      <c r="BH864" s="136" t="str">
        <f>IF(AI860="","",IF(L864="","",L864))</f>
        <v/>
      </c>
      <c r="BI864" s="136" t="str">
        <f>IF(AI860="","",IF(M864="","",M864))</f>
        <v/>
      </c>
      <c r="BJ864" s="136" t="str">
        <f>IF(AI860="","",IF(N864="","",N864))</f>
        <v/>
      </c>
      <c r="BK864" s="136" t="str">
        <f>IF(AI860="","",IF(O864="","",O864))</f>
        <v/>
      </c>
      <c r="CA864" s="136">
        <f>'INFO BASE'!L934</f>
        <v>0</v>
      </c>
      <c r="CB864" s="136">
        <f>'INFO BASE'!M934</f>
        <v>0</v>
      </c>
      <c r="CD864" s="136">
        <f>COUNTA('INFO BASE'!E888:E893)+6</f>
        <v>6</v>
      </c>
      <c r="CR864" s="177">
        <f>IF(B864="",1,B864)</f>
        <v>1</v>
      </c>
      <c r="CS864" s="177">
        <f>IF(B864="PV",0,IFERROR(VLOOKUP(CONCATENATE(B864,C864),$DK$9:$DK$72,1,0),1))</f>
        <v>1</v>
      </c>
      <c r="CT864" s="177">
        <f>IF(D864="",1,D864)</f>
        <v>1</v>
      </c>
      <c r="CU864" s="177">
        <f>IF(D864="PV",0,IFERROR(VLOOKUP(CONCATENATE(D864,E864),$DK$9:$DK$72,1,0),1))</f>
        <v>1</v>
      </c>
      <c r="CV864" s="177">
        <f>IF(F864="",1,F864)</f>
        <v>1</v>
      </c>
      <c r="CW864" s="177">
        <f>IF(F864="PV",0,IFERROR(VLOOKUP(CONCATENATE(F864,G864),$DK$9:$DK$72,1,0),1))</f>
        <v>1</v>
      </c>
      <c r="CX864" s="177">
        <f>IF(H864="",1,H864)</f>
        <v>1</v>
      </c>
      <c r="CY864" s="177">
        <f>IF(H864="PV",0,IFERROR(VLOOKUP(CONCATENATE(H864,I864),$DK$9:$DK$72,1,0),1))</f>
        <v>1</v>
      </c>
      <c r="CZ864" s="177">
        <f>IF(J864="",1,J864)</f>
        <v>1</v>
      </c>
      <c r="DA864" s="177">
        <f>IF(J864="PV",0,IFERROR(VLOOKUP(CONCATENATE(J864,K864),$DK$9:$DK$72,1,0),1))</f>
        <v>1</v>
      </c>
      <c r="DB864" s="177">
        <f>IF(L864="",1,L864)</f>
        <v>1</v>
      </c>
      <c r="DC864" s="177">
        <f>IF(L864="PV",0,IFERROR(VLOOKUP(CONCATENATE(L864,M864),$DK$9:$DK$72,1,0),1))</f>
        <v>1</v>
      </c>
      <c r="DD864" s="177">
        <f>IF(N864="",1,N864)</f>
        <v>1</v>
      </c>
      <c r="DE864" s="177">
        <f>IF(N864="PV",0,IFERROR(VLOOKUP(CONCATENATE(N864,O864),$DK$9:$DK$72,1,0),1))</f>
        <v>1</v>
      </c>
    </row>
    <row r="865" spans="1:109" ht="18" customHeight="1" x14ac:dyDescent="0.3">
      <c r="A865" s="81">
        <v>2.0833333333333998E-2</v>
      </c>
      <c r="B865" s="153"/>
      <c r="C865" s="130"/>
      <c r="D865" s="135"/>
      <c r="E865" s="130"/>
      <c r="F865" s="135"/>
      <c r="G865" s="130"/>
      <c r="H865" s="135"/>
      <c r="I865" s="130"/>
      <c r="J865" s="135"/>
      <c r="K865" s="130"/>
      <c r="L865" s="135"/>
      <c r="M865" s="130"/>
      <c r="N865" s="135"/>
      <c r="O865" s="154"/>
      <c r="Q865" s="284"/>
      <c r="R865" s="285"/>
      <c r="S865" s="285"/>
      <c r="T865" s="285"/>
      <c r="U865" s="285"/>
      <c r="V865" s="285"/>
      <c r="W865" s="286"/>
      <c r="X865" s="199">
        <v>1</v>
      </c>
      <c r="Y865" s="262" t="str">
        <f t="array" ref="Y865">IF(ISERROR(INDEX($CA$2:$CB$200,SMALL(IF($CA$2:$CA$200=$A$859,ROW($CA$2:$CA$200)),ROW(2:2))-1,2)),"",INDEX($CA$2:$CB$200,SMALL(IF($CA$2:$CA$200=$A$859,ROW($CA$2:$CA$200)),ROW(2:2))-1,2))</f>
        <v/>
      </c>
      <c r="Z865" s="263"/>
      <c r="AA865" s="263"/>
      <c r="AB865" s="263"/>
      <c r="AC865" s="263"/>
      <c r="AD865" s="263"/>
      <c r="AE865" s="263"/>
      <c r="AF865" s="264"/>
      <c r="AH865" s="136">
        <v>2.0833333333333998E-2</v>
      </c>
      <c r="AI865" s="136" t="str">
        <f>IF(AH860="","",IF(B865="","",B865))</f>
        <v/>
      </c>
      <c r="AJ865" s="136" t="str">
        <f>IF(AH860="","",IF(C865="","",C865))</f>
        <v/>
      </c>
      <c r="AK865" s="136" t="str">
        <f>IF(AH860="","",IF(D865="","",D865))</f>
        <v/>
      </c>
      <c r="AL865" s="136" t="str">
        <f>IF(AH860="","",IF(E865="","",E865))</f>
        <v/>
      </c>
      <c r="AM865" s="136" t="str">
        <f>IF(AH860="","",IF(F865="","",F865))</f>
        <v/>
      </c>
      <c r="AN865" s="136" t="str">
        <f>IF(AH860="","",IF(G865="","",G865))</f>
        <v/>
      </c>
      <c r="AO865" s="136" t="str">
        <f>IF(AH860="","",IF(H865="","",H865))</f>
        <v/>
      </c>
      <c r="AP865" s="136" t="str">
        <f>IF(AH860="","",IF(I865="","",I865))</f>
        <v/>
      </c>
      <c r="AQ865" s="136" t="str">
        <f>IF(AH860="","",IF(J865="","",J865))</f>
        <v/>
      </c>
      <c r="AR865" s="136" t="str">
        <f>IF(AH860="","",IF(K865="","",K865))</f>
        <v/>
      </c>
      <c r="AS865" s="136" t="str">
        <f>IF(AH860="","",IF(L865="","",L865))</f>
        <v/>
      </c>
      <c r="AT865" s="136" t="str">
        <f>IF(AH860="","",IF(M865="","",M865))</f>
        <v/>
      </c>
      <c r="AU865" s="136" t="str">
        <f>IF(AH860="","",IF(N865="","",N865))</f>
        <v/>
      </c>
      <c r="AV865" s="136" t="str">
        <f>IF(AH860="","",IF(O865="","",O865))</f>
        <v/>
      </c>
      <c r="AX865" s="136" t="str">
        <f>IF(AI860="","",IF(B865="","",B865))</f>
        <v/>
      </c>
      <c r="AY865" s="136" t="str">
        <f>IF(AI860="","",IF(C865="","",C865))</f>
        <v/>
      </c>
      <c r="AZ865" s="136" t="str">
        <f>IF(AI860="","",IF(D865="","",D865))</f>
        <v/>
      </c>
      <c r="BA865" s="136" t="str">
        <f>IF(AI860="","",IF(E865="","",E865))</f>
        <v/>
      </c>
      <c r="BB865" s="136" t="str">
        <f>IF(AI860="","",IF(F865="","",F865))</f>
        <v/>
      </c>
      <c r="BC865" s="136" t="str">
        <f>IF(AI860="","",IF(G865="","",G865))</f>
        <v/>
      </c>
      <c r="BD865" s="136" t="str">
        <f>IF(AI860="","",IF(H865="","",H865))</f>
        <v/>
      </c>
      <c r="BE865" s="136" t="str">
        <f>IF(AI860="","",IF(I865="","",I865))</f>
        <v/>
      </c>
      <c r="BF865" s="136" t="str">
        <f>IF(AI860="","",IF(J865="","",J865))</f>
        <v/>
      </c>
      <c r="BG865" s="136" t="str">
        <f>IF(AI860="","",IF(K865="","",K865))</f>
        <v/>
      </c>
      <c r="BH865" s="136" t="str">
        <f>IF(AI860="","",IF(L865="","",L865))</f>
        <v/>
      </c>
      <c r="BI865" s="136" t="str">
        <f>IF(AI860="","",IF(M865="","",M865))</f>
        <v/>
      </c>
      <c r="BJ865" s="136" t="str">
        <f>IF(AI860="","",IF(N865="","",N865))</f>
        <v/>
      </c>
      <c r="BK865" s="136" t="str">
        <f>IF(AI860="","",IF(O865="","",O865))</f>
        <v/>
      </c>
      <c r="CA865" s="136">
        <f>'INFO BASE'!L935</f>
        <v>0</v>
      </c>
      <c r="CB865" s="136">
        <f>'INFO BASE'!M935</f>
        <v>0</v>
      </c>
      <c r="CR865" s="177">
        <f t="shared" ref="CR865:DB907" si="484">IF(B865="",1,B865)</f>
        <v>1</v>
      </c>
      <c r="CS865" s="177">
        <f t="shared" ref="CS865:CS911" si="485">IF(B865="PV",0,IFERROR(VLOOKUP(CONCATENATE(B865,C865),$DK$9:$DK$72,1,0),1))</f>
        <v>1</v>
      </c>
      <c r="CT865" s="177">
        <f t="shared" si="484"/>
        <v>1</v>
      </c>
      <c r="CU865" s="177">
        <f t="shared" ref="CU865:CU911" si="486">IF(D865="PV",0,IFERROR(VLOOKUP(CONCATENATE(D865,E865),$DK$9:$DK$72,1,0),1))</f>
        <v>1</v>
      </c>
      <c r="CV865" s="177">
        <f t="shared" si="484"/>
        <v>1</v>
      </c>
      <c r="CW865" s="177">
        <f t="shared" ref="CW865:CW911" si="487">IF(F865="PV",0,IFERROR(VLOOKUP(CONCATENATE(F865,G865),$DK$9:$DK$72,1,0),1))</f>
        <v>1</v>
      </c>
      <c r="CX865" s="177">
        <f t="shared" si="484"/>
        <v>1</v>
      </c>
      <c r="CY865" s="177">
        <f t="shared" ref="CY865:CY911" si="488">IF(H865="PV",0,IFERROR(VLOOKUP(CONCATENATE(H865,I865),$DK$9:$DK$72,1,0),1))</f>
        <v>1</v>
      </c>
      <c r="CZ865" s="177">
        <f t="shared" si="484"/>
        <v>1</v>
      </c>
      <c r="DA865" s="177">
        <f t="shared" ref="DA865:DA911" si="489">IF(J865="PV",0,IFERROR(VLOOKUP(CONCATENATE(J865,K865),$DK$9:$DK$72,1,0),1))</f>
        <v>1</v>
      </c>
      <c r="DB865" s="177">
        <f t="shared" si="484"/>
        <v>1</v>
      </c>
      <c r="DC865" s="177">
        <f t="shared" ref="DC865:DC911" si="490">IF(L865="PV",0,IFERROR(VLOOKUP(CONCATENATE(L865,M865),$DK$9:$DK$72,1,0),1))</f>
        <v>1</v>
      </c>
      <c r="DD865" s="177">
        <f t="shared" ref="DD865:DD911" si="491">IF(N865="",1,N865)</f>
        <v>1</v>
      </c>
      <c r="DE865" s="177">
        <f t="shared" ref="DE865:DE911" si="492">IF(N865="PV",0,IFERROR(VLOOKUP(CONCATENATE(N865,O865),$DK$9:$DK$72,1,0),1))</f>
        <v>1</v>
      </c>
    </row>
    <row r="866" spans="1:109" ht="18" customHeight="1" x14ac:dyDescent="0.3">
      <c r="A866" s="81">
        <v>4.1666666666667997E-2</v>
      </c>
      <c r="B866" s="153"/>
      <c r="C866" s="130"/>
      <c r="D866" s="135"/>
      <c r="E866" s="130"/>
      <c r="F866" s="135"/>
      <c r="G866" s="130"/>
      <c r="H866" s="135"/>
      <c r="I866" s="130"/>
      <c r="J866" s="135"/>
      <c r="K866" s="130"/>
      <c r="L866" s="135"/>
      <c r="M866" s="130"/>
      <c r="N866" s="135"/>
      <c r="O866" s="154"/>
      <c r="Q866" s="284"/>
      <c r="R866" s="285"/>
      <c r="S866" s="285"/>
      <c r="T866" s="285"/>
      <c r="U866" s="285"/>
      <c r="V866" s="285"/>
      <c r="W866" s="286"/>
      <c r="X866" s="199">
        <v>1</v>
      </c>
      <c r="Y866" s="262" t="str">
        <f t="array" ref="Y866">IF(ISERROR(INDEX($CA$2:$CB$200,SMALL(IF($CA$2:$CA$200=$A$859,ROW($CA$2:$CA$200)),ROW(3:3))-1,2)),"",INDEX($CA$2:$CB$200,SMALL(IF($CA$2:$CA$200=$A$859,ROW($CA$2:$CA$200)),ROW(3:3))-1,2))</f>
        <v/>
      </c>
      <c r="Z866" s="263"/>
      <c r="AA866" s="263"/>
      <c r="AB866" s="263"/>
      <c r="AC866" s="263"/>
      <c r="AD866" s="263"/>
      <c r="AE866" s="263"/>
      <c r="AF866" s="264"/>
      <c r="AH866" s="136">
        <v>4.1666666666667997E-2</v>
      </c>
      <c r="AI866" s="136" t="str">
        <f>IF(AH860="","",IF(B866="","",B866))</f>
        <v/>
      </c>
      <c r="AJ866" s="136" t="str">
        <f>IF(AH860="","",IF(C866="","",C866))</f>
        <v/>
      </c>
      <c r="AK866" s="136" t="str">
        <f>IF(AH860="","",IF(D866="","",D866))</f>
        <v/>
      </c>
      <c r="AL866" s="136" t="str">
        <f>IF(AH860="","",IF(E866="","",E866))</f>
        <v/>
      </c>
      <c r="AM866" s="136" t="str">
        <f>IF(AH860="","",IF(F866="","",F866))</f>
        <v/>
      </c>
      <c r="AN866" s="136" t="str">
        <f>IF(AH860="","",IF(G866="","",G866))</f>
        <v/>
      </c>
      <c r="AO866" s="136" t="str">
        <f>IF(AH860="","",IF(H866="","",H866))</f>
        <v/>
      </c>
      <c r="AP866" s="136" t="str">
        <f>IF(AH860="","",IF(I866="","",I866))</f>
        <v/>
      </c>
      <c r="AQ866" s="136" t="str">
        <f>IF(AH860="","",IF(J866="","",J866))</f>
        <v/>
      </c>
      <c r="AR866" s="136" t="str">
        <f>IF(AH860="","",IF(K866="","",K866))</f>
        <v/>
      </c>
      <c r="AS866" s="136" t="str">
        <f>IF(AH860="","",IF(L866="","",L866))</f>
        <v/>
      </c>
      <c r="AT866" s="136" t="str">
        <f>IF(AH860="","",IF(M866="","",M866))</f>
        <v/>
      </c>
      <c r="AU866" s="136" t="str">
        <f>IF(AH860="","",IF(N866="","",N866))</f>
        <v/>
      </c>
      <c r="AV866" s="136" t="str">
        <f>IF(AH860="","",IF(O866="","",O866))</f>
        <v/>
      </c>
      <c r="AX866" s="136" t="str">
        <f>IF(AI860="","",IF(B866="","",B866))</f>
        <v/>
      </c>
      <c r="AY866" s="136" t="str">
        <f>IF(AI860="","",IF(C866="","",C866))</f>
        <v/>
      </c>
      <c r="AZ866" s="136" t="str">
        <f>IF(AI860="","",IF(D866="","",D866))</f>
        <v/>
      </c>
      <c r="BA866" s="136" t="str">
        <f>IF(AI860="","",IF(E866="","",E866))</f>
        <v/>
      </c>
      <c r="BB866" s="136" t="str">
        <f>IF(AI860="","",IF(F866="","",F866))</f>
        <v/>
      </c>
      <c r="BC866" s="136" t="str">
        <f>IF(AI860="","",IF(G866="","",G866))</f>
        <v/>
      </c>
      <c r="BD866" s="136" t="str">
        <f>IF(AI860="","",IF(H866="","",H866))</f>
        <v/>
      </c>
      <c r="BE866" s="136" t="str">
        <f>IF(AI860="","",IF(I866="","",I866))</f>
        <v/>
      </c>
      <c r="BF866" s="136" t="str">
        <f>IF(AI860="","",IF(J866="","",J866))</f>
        <v/>
      </c>
      <c r="BG866" s="136" t="str">
        <f>IF(AI860="","",IF(K866="","",K866))</f>
        <v/>
      </c>
      <c r="BH866" s="136" t="str">
        <f>IF(AI860="","",IF(L866="","",L866))</f>
        <v/>
      </c>
      <c r="BI866" s="136" t="str">
        <f>IF(AI860="","",IF(M866="","",M866))</f>
        <v/>
      </c>
      <c r="BJ866" s="136" t="str">
        <f>IF(AI860="","",IF(N866="","",N866))</f>
        <v/>
      </c>
      <c r="BK866" s="136" t="str">
        <f>IF(AI860="","",IF(O866="","",O866))</f>
        <v/>
      </c>
      <c r="CA866" s="136">
        <f>'INFO BASE'!L936</f>
        <v>0</v>
      </c>
      <c r="CB866" s="136">
        <f>'INFO BASE'!M936</f>
        <v>0</v>
      </c>
      <c r="CR866" s="177">
        <f t="shared" si="484"/>
        <v>1</v>
      </c>
      <c r="CS866" s="177">
        <f t="shared" si="485"/>
        <v>1</v>
      </c>
      <c r="CT866" s="177">
        <f t="shared" si="484"/>
        <v>1</v>
      </c>
      <c r="CU866" s="177">
        <f t="shared" si="486"/>
        <v>1</v>
      </c>
      <c r="CV866" s="177">
        <f t="shared" si="484"/>
        <v>1</v>
      </c>
      <c r="CW866" s="177">
        <f t="shared" si="487"/>
        <v>1</v>
      </c>
      <c r="CX866" s="177">
        <f t="shared" si="484"/>
        <v>1</v>
      </c>
      <c r="CY866" s="177">
        <f t="shared" si="488"/>
        <v>1</v>
      </c>
      <c r="CZ866" s="177">
        <f t="shared" si="484"/>
        <v>1</v>
      </c>
      <c r="DA866" s="177">
        <f t="shared" si="489"/>
        <v>1</v>
      </c>
      <c r="DB866" s="177">
        <f t="shared" si="484"/>
        <v>1</v>
      </c>
      <c r="DC866" s="177">
        <f t="shared" si="490"/>
        <v>1</v>
      </c>
      <c r="DD866" s="177">
        <f t="shared" si="491"/>
        <v>1</v>
      </c>
      <c r="DE866" s="177">
        <f t="shared" si="492"/>
        <v>1</v>
      </c>
    </row>
    <row r="867" spans="1:109" ht="18" customHeight="1" x14ac:dyDescent="0.3">
      <c r="A867" s="81">
        <v>6.2500000000001998E-2</v>
      </c>
      <c r="B867" s="153"/>
      <c r="C867" s="130"/>
      <c r="D867" s="135"/>
      <c r="E867" s="130"/>
      <c r="F867" s="135"/>
      <c r="G867" s="130"/>
      <c r="H867" s="135"/>
      <c r="I867" s="130"/>
      <c r="J867" s="135"/>
      <c r="K867" s="130"/>
      <c r="L867" s="135"/>
      <c r="M867" s="130"/>
      <c r="N867" s="135"/>
      <c r="O867" s="154"/>
      <c r="Q867" s="284"/>
      <c r="R867" s="285"/>
      <c r="S867" s="285"/>
      <c r="T867" s="285"/>
      <c r="U867" s="285"/>
      <c r="V867" s="285"/>
      <c r="W867" s="286"/>
      <c r="X867" s="199">
        <v>1</v>
      </c>
      <c r="Y867" s="262" t="str">
        <f t="array" ref="Y867">IF(ISERROR(INDEX($CA$2:$CB$200,SMALL(IF($CA$2:$CA$200=$A$859,ROW($CA$2:$CA$200)),ROW(4:4))-1,2)),"",INDEX($CA$2:$CB$200,SMALL(IF($CA$2:$CA$200=$A$859,ROW($CA$2:$CA$200)),ROW(4:4))-1,2))</f>
        <v/>
      </c>
      <c r="Z867" s="263"/>
      <c r="AA867" s="263"/>
      <c r="AB867" s="263"/>
      <c r="AC867" s="263"/>
      <c r="AD867" s="263"/>
      <c r="AE867" s="263"/>
      <c r="AF867" s="264"/>
      <c r="AH867" s="136">
        <v>6.2500000000001998E-2</v>
      </c>
      <c r="AI867" s="136" t="str">
        <f>IF(AH860="","",IF(B867="","",B867))</f>
        <v/>
      </c>
      <c r="AJ867" s="136" t="str">
        <f>IF(AH860="","",IF(C867="","",C867))</f>
        <v/>
      </c>
      <c r="AK867" s="136" t="str">
        <f>IF(AH860="","",IF(D867="","",D867))</f>
        <v/>
      </c>
      <c r="AL867" s="136" t="str">
        <f>IF(AH860="","",IF(E867="","",E867))</f>
        <v/>
      </c>
      <c r="AM867" s="136" t="str">
        <f>IF(AH860="","",IF(F867="","",F867))</f>
        <v/>
      </c>
      <c r="AN867" s="136" t="str">
        <f>IF(AH860="","",IF(G867="","",G867))</f>
        <v/>
      </c>
      <c r="AO867" s="136" t="str">
        <f>IF(AH860="","",IF(H867="","",H867))</f>
        <v/>
      </c>
      <c r="AP867" s="136" t="str">
        <f>IF(AH860="","",IF(I867="","",I867))</f>
        <v/>
      </c>
      <c r="AQ867" s="136" t="str">
        <f>IF(AH860="","",IF(J867="","",J867))</f>
        <v/>
      </c>
      <c r="AR867" s="136" t="str">
        <f>IF(AH860="","",IF(K867="","",K867))</f>
        <v/>
      </c>
      <c r="AS867" s="136" t="str">
        <f>IF(AH860="","",IF(L867="","",L867))</f>
        <v/>
      </c>
      <c r="AT867" s="136" t="str">
        <f>IF(AH860="","",IF(M867="","",M867))</f>
        <v/>
      </c>
      <c r="AU867" s="136" t="str">
        <f>IF(AH860="","",IF(N867="","",N867))</f>
        <v/>
      </c>
      <c r="AV867" s="136" t="str">
        <f>IF(AH860="","",IF(O867="","",O867))</f>
        <v/>
      </c>
      <c r="AX867" s="136" t="str">
        <f>IF(AI860="","",IF(B867="","",B867))</f>
        <v/>
      </c>
      <c r="AY867" s="136" t="str">
        <f>IF(AI860="","",IF(C867="","",C867))</f>
        <v/>
      </c>
      <c r="AZ867" s="136" t="str">
        <f>IF(AI860="","",IF(D867="","",D867))</f>
        <v/>
      </c>
      <c r="BA867" s="136" t="str">
        <f>IF(AI860="","",IF(E867="","",E867))</f>
        <v/>
      </c>
      <c r="BB867" s="136" t="str">
        <f>IF(AI860="","",IF(F867="","",F867))</f>
        <v/>
      </c>
      <c r="BC867" s="136" t="str">
        <f>IF(AI860="","",IF(G867="","",G867))</f>
        <v/>
      </c>
      <c r="BD867" s="136" t="str">
        <f>IF(AI860="","",IF(H867="","",H867))</f>
        <v/>
      </c>
      <c r="BE867" s="136" t="str">
        <f>IF(AI860="","",IF(I867="","",I867))</f>
        <v/>
      </c>
      <c r="BF867" s="136" t="str">
        <f>IF(AI860="","",IF(J867="","",J867))</f>
        <v/>
      </c>
      <c r="BG867" s="136" t="str">
        <f>IF(AI860="","",IF(K867="","",K867))</f>
        <v/>
      </c>
      <c r="BH867" s="136" t="str">
        <f>IF(AI860="","",IF(L867="","",L867))</f>
        <v/>
      </c>
      <c r="BI867" s="136" t="str">
        <f>IF(AI860="","",IF(M867="","",M867))</f>
        <v/>
      </c>
      <c r="BJ867" s="136" t="str">
        <f>IF(AI860="","",IF(N867="","",N867))</f>
        <v/>
      </c>
      <c r="BK867" s="136" t="str">
        <f>IF(AI860="","",IF(O867="","",O867))</f>
        <v/>
      </c>
      <c r="CA867" s="136">
        <f>'INFO BASE'!L937</f>
        <v>0</v>
      </c>
      <c r="CB867" s="136">
        <f>'INFO BASE'!M937</f>
        <v>0</v>
      </c>
      <c r="CR867" s="177">
        <f t="shared" si="484"/>
        <v>1</v>
      </c>
      <c r="CS867" s="177">
        <f t="shared" si="485"/>
        <v>1</v>
      </c>
      <c r="CT867" s="177">
        <f t="shared" si="484"/>
        <v>1</v>
      </c>
      <c r="CU867" s="177">
        <f t="shared" si="486"/>
        <v>1</v>
      </c>
      <c r="CV867" s="177">
        <f t="shared" si="484"/>
        <v>1</v>
      </c>
      <c r="CW867" s="177">
        <f t="shared" si="487"/>
        <v>1</v>
      </c>
      <c r="CX867" s="177">
        <f t="shared" si="484"/>
        <v>1</v>
      </c>
      <c r="CY867" s="177">
        <f t="shared" si="488"/>
        <v>1</v>
      </c>
      <c r="CZ867" s="177">
        <f t="shared" si="484"/>
        <v>1</v>
      </c>
      <c r="DA867" s="177">
        <f t="shared" si="489"/>
        <v>1</v>
      </c>
      <c r="DB867" s="177">
        <f t="shared" si="484"/>
        <v>1</v>
      </c>
      <c r="DC867" s="177">
        <f t="shared" si="490"/>
        <v>1</v>
      </c>
      <c r="DD867" s="177">
        <f t="shared" si="491"/>
        <v>1</v>
      </c>
      <c r="DE867" s="177">
        <f t="shared" si="492"/>
        <v>1</v>
      </c>
    </row>
    <row r="868" spans="1:109" ht="18" customHeight="1" x14ac:dyDescent="0.3">
      <c r="A868" s="81">
        <v>8.3333333333335993E-2</v>
      </c>
      <c r="B868" s="153"/>
      <c r="C868" s="130"/>
      <c r="D868" s="135"/>
      <c r="E868" s="130"/>
      <c r="F868" s="135"/>
      <c r="G868" s="130"/>
      <c r="H868" s="135"/>
      <c r="I868" s="130"/>
      <c r="J868" s="135"/>
      <c r="K868" s="130"/>
      <c r="L868" s="135"/>
      <c r="M868" s="130"/>
      <c r="N868" s="135"/>
      <c r="O868" s="154"/>
      <c r="Q868" s="284"/>
      <c r="R868" s="285"/>
      <c r="S868" s="285"/>
      <c r="T868" s="285"/>
      <c r="U868" s="285"/>
      <c r="V868" s="285"/>
      <c r="W868" s="286"/>
      <c r="X868" s="199">
        <v>1</v>
      </c>
      <c r="Y868" s="262" t="str">
        <f t="array" ref="Y868">IF(ISERROR(INDEX($CA$2:$CB$200,SMALL(IF($CA$2:$CA$200=$A$859,ROW($CA$2:$CA$200)),ROW(5:5))-1,2)),"",INDEX($CA$2:$CB$200,SMALL(IF($CA$2:$CA$200=$A$859,ROW($CA$2:$CA$200)),ROW(5:5))-1,2))</f>
        <v/>
      </c>
      <c r="Z868" s="263"/>
      <c r="AA868" s="263"/>
      <c r="AB868" s="263"/>
      <c r="AC868" s="263"/>
      <c r="AD868" s="263"/>
      <c r="AE868" s="263"/>
      <c r="AF868" s="264"/>
      <c r="AH868" s="136">
        <v>8.3333333333335993E-2</v>
      </c>
      <c r="AI868" s="136" t="str">
        <f>IF(AH860="","",IF(B868="","",B868))</f>
        <v/>
      </c>
      <c r="AJ868" s="136" t="str">
        <f>IF(AH860="","",IF(C868="","",C868))</f>
        <v/>
      </c>
      <c r="AK868" s="136" t="str">
        <f>IF(AH860="","",IF(D868="","",D868))</f>
        <v/>
      </c>
      <c r="AL868" s="136" t="str">
        <f>IF(AH860="","",IF(E868="","",E868))</f>
        <v/>
      </c>
      <c r="AM868" s="136" t="str">
        <f>IF(AH860="","",IF(F868="","",F868))</f>
        <v/>
      </c>
      <c r="AN868" s="136" t="str">
        <f>IF(AH860="","",IF(G868="","",G868))</f>
        <v/>
      </c>
      <c r="AO868" s="136" t="str">
        <f>IF(AH860="","",IF(H868="","",H868))</f>
        <v/>
      </c>
      <c r="AP868" s="136" t="str">
        <f>IF(AH860="","",IF(I868="","",I868))</f>
        <v/>
      </c>
      <c r="AQ868" s="136" t="str">
        <f>IF(AH860="","",IF(J868="","",J868))</f>
        <v/>
      </c>
      <c r="AR868" s="136" t="str">
        <f>IF(AH860="","",IF(K868="","",K868))</f>
        <v/>
      </c>
      <c r="AS868" s="136" t="str">
        <f>IF(AH860="","",IF(L868="","",L868))</f>
        <v/>
      </c>
      <c r="AT868" s="136" t="str">
        <f>IF(AH860="","",IF(M868="","",M868))</f>
        <v/>
      </c>
      <c r="AU868" s="136" t="str">
        <f>IF(AH860="","",IF(N868="","",N868))</f>
        <v/>
      </c>
      <c r="AV868" s="136" t="str">
        <f>IF(AH860="","",IF(O868="","",O868))</f>
        <v/>
      </c>
      <c r="AX868" s="136" t="str">
        <f>IF(AI860="","",IF(B868="","",B868))</f>
        <v/>
      </c>
      <c r="AY868" s="136" t="str">
        <f>IF(AI860="","",IF(C868="","",C868))</f>
        <v/>
      </c>
      <c r="AZ868" s="136" t="str">
        <f>IF(AI860="","",IF(D868="","",D868))</f>
        <v/>
      </c>
      <c r="BA868" s="136" t="str">
        <f>IF(AI860="","",IF(E868="","",E868))</f>
        <v/>
      </c>
      <c r="BB868" s="136" t="str">
        <f>IF(AI860="","",IF(F868="","",F868))</f>
        <v/>
      </c>
      <c r="BC868" s="136" t="str">
        <f>IF(AI860="","",IF(G868="","",G868))</f>
        <v/>
      </c>
      <c r="BD868" s="136" t="str">
        <f>IF(AI860="","",IF(H868="","",H868))</f>
        <v/>
      </c>
      <c r="BE868" s="136" t="str">
        <f>IF(AI860="","",IF(I868="","",I868))</f>
        <v/>
      </c>
      <c r="BF868" s="136" t="str">
        <f>IF(AI860="","",IF(J868="","",J868))</f>
        <v/>
      </c>
      <c r="BG868" s="136" t="str">
        <f>IF(AI860="","",IF(K868="","",K868))</f>
        <v/>
      </c>
      <c r="BH868" s="136" t="str">
        <f>IF(AI860="","",IF(L868="","",L868))</f>
        <v/>
      </c>
      <c r="BI868" s="136" t="str">
        <f>IF(AI860="","",IF(M868="","",M868))</f>
        <v/>
      </c>
      <c r="BJ868" s="136" t="str">
        <f>IF(AI860="","",IF(N868="","",N868))</f>
        <v/>
      </c>
      <c r="BK868" s="136" t="str">
        <f>IF(AI860="","",IF(O868="","",O868))</f>
        <v/>
      </c>
      <c r="CA868" s="136">
        <f>'INFO BASE'!L938</f>
        <v>0</v>
      </c>
      <c r="CB868" s="136">
        <f>'INFO BASE'!M938</f>
        <v>0</v>
      </c>
      <c r="CD868" s="136" t="str">
        <f t="shared" ref="CD868:CD873" si="493">R876</f>
        <v>FP</v>
      </c>
      <c r="CR868" s="177">
        <f t="shared" si="484"/>
        <v>1</v>
      </c>
      <c r="CS868" s="177">
        <f t="shared" si="485"/>
        <v>1</v>
      </c>
      <c r="CT868" s="177">
        <f t="shared" si="484"/>
        <v>1</v>
      </c>
      <c r="CU868" s="177">
        <f t="shared" si="486"/>
        <v>1</v>
      </c>
      <c r="CV868" s="177">
        <f t="shared" si="484"/>
        <v>1</v>
      </c>
      <c r="CW868" s="177">
        <f t="shared" si="487"/>
        <v>1</v>
      </c>
      <c r="CX868" s="177">
        <f t="shared" si="484"/>
        <v>1</v>
      </c>
      <c r="CY868" s="177">
        <f t="shared" si="488"/>
        <v>1</v>
      </c>
      <c r="CZ868" s="177">
        <f t="shared" si="484"/>
        <v>1</v>
      </c>
      <c r="DA868" s="177">
        <f t="shared" si="489"/>
        <v>1</v>
      </c>
      <c r="DB868" s="177">
        <f t="shared" si="484"/>
        <v>1</v>
      </c>
      <c r="DC868" s="177">
        <f t="shared" si="490"/>
        <v>1</v>
      </c>
      <c r="DD868" s="177">
        <f t="shared" si="491"/>
        <v>1</v>
      </c>
      <c r="DE868" s="177">
        <f t="shared" si="492"/>
        <v>1</v>
      </c>
    </row>
    <row r="869" spans="1:109" ht="18" customHeight="1" x14ac:dyDescent="0.3">
      <c r="A869" s="81">
        <v>0.10416666666667</v>
      </c>
      <c r="B869" s="153"/>
      <c r="C869" s="130"/>
      <c r="D869" s="135"/>
      <c r="E869" s="130"/>
      <c r="F869" s="135"/>
      <c r="G869" s="130"/>
      <c r="H869" s="135"/>
      <c r="I869" s="130"/>
      <c r="J869" s="135"/>
      <c r="K869" s="130"/>
      <c r="L869" s="135"/>
      <c r="M869" s="130"/>
      <c r="N869" s="135"/>
      <c r="O869" s="154"/>
      <c r="Q869" s="284"/>
      <c r="R869" s="285"/>
      <c r="S869" s="285"/>
      <c r="T869" s="285"/>
      <c r="U869" s="285"/>
      <c r="V869" s="285"/>
      <c r="W869" s="286"/>
      <c r="X869" s="199">
        <v>1</v>
      </c>
      <c r="Y869" s="262" t="str">
        <f t="array" ref="Y869">IF(ISERROR(INDEX($CA$2:$CB$200,SMALL(IF($CA$2:$CA$200=$A$859,ROW($CA$2:$CA$200)),ROW(6:6))-1,2)),"",INDEX($CA$2:$CB$200,SMALL(IF($CA$2:$CA$200=$A$859,ROW($CA$2:$CA$200)),ROW(6:6))-1,2))</f>
        <v/>
      </c>
      <c r="Z869" s="263"/>
      <c r="AA869" s="263"/>
      <c r="AB869" s="263"/>
      <c r="AC869" s="263"/>
      <c r="AD869" s="263"/>
      <c r="AE869" s="263"/>
      <c r="AF869" s="264"/>
      <c r="AH869" s="136">
        <v>0.10416666666667</v>
      </c>
      <c r="AI869" s="136" t="str">
        <f>IF(AH860="","",IF(B869="","",B869))</f>
        <v/>
      </c>
      <c r="AJ869" s="136" t="str">
        <f>IF(AH860="","",IF(C869="","",C869))</f>
        <v/>
      </c>
      <c r="AK869" s="136" t="str">
        <f>IF(AH860="","",IF(D869="","",D869))</f>
        <v/>
      </c>
      <c r="AL869" s="136" t="str">
        <f>IF(AH860="","",IF(E869="","",E869))</f>
        <v/>
      </c>
      <c r="AM869" s="136" t="str">
        <f>IF(AH860="","",IF(F869="","",F869))</f>
        <v/>
      </c>
      <c r="AN869" s="136" t="str">
        <f>IF(AH860="","",IF(G869="","",G869))</f>
        <v/>
      </c>
      <c r="AO869" s="136" t="str">
        <f>IF(AH860="","",IF(H869="","",H869))</f>
        <v/>
      </c>
      <c r="AP869" s="136" t="str">
        <f>IF(AH860="","",IF(I869="","",I869))</f>
        <v/>
      </c>
      <c r="AQ869" s="136" t="str">
        <f>IF(AH860="","",IF(J869="","",J869))</f>
        <v/>
      </c>
      <c r="AR869" s="136" t="str">
        <f>IF(AH860="","",IF(K869="","",K869))</f>
        <v/>
      </c>
      <c r="AS869" s="136" t="str">
        <f>IF(AH860="","",IF(L869="","",L869))</f>
        <v/>
      </c>
      <c r="AT869" s="136" t="str">
        <f>IF(AH860="","",IF(M869="","",M869))</f>
        <v/>
      </c>
      <c r="AU869" s="136" t="str">
        <f>IF(AH860="","",IF(N869="","",N869))</f>
        <v/>
      </c>
      <c r="AV869" s="136" t="str">
        <f>IF(AH860="","",IF(O869="","",O869))</f>
        <v/>
      </c>
      <c r="AX869" s="136" t="str">
        <f>IF(AI860="","",IF(B869="","",B869))</f>
        <v/>
      </c>
      <c r="AY869" s="136" t="str">
        <f>IF(AI860="","",IF(C869="","",C869))</f>
        <v/>
      </c>
      <c r="AZ869" s="136" t="str">
        <f>IF(AI860="","",IF(D869="","",D869))</f>
        <v/>
      </c>
      <c r="BA869" s="136" t="str">
        <f>IF(AI860="","",IF(E869="","",E869))</f>
        <v/>
      </c>
      <c r="BB869" s="136" t="str">
        <f>IF(AI860="","",IF(F869="","",F869))</f>
        <v/>
      </c>
      <c r="BC869" s="136" t="str">
        <f>IF(AI860="","",IF(G869="","",G869))</f>
        <v/>
      </c>
      <c r="BD869" s="136" t="str">
        <f>IF(AI860="","",IF(H869="","",H869))</f>
        <v/>
      </c>
      <c r="BE869" s="136" t="str">
        <f>IF(AI860="","",IF(I869="","",I869))</f>
        <v/>
      </c>
      <c r="BF869" s="136" t="str">
        <f>IF(AI860="","",IF(J869="","",J869))</f>
        <v/>
      </c>
      <c r="BG869" s="136" t="str">
        <f>IF(AI860="","",IF(K869="","",K869))</f>
        <v/>
      </c>
      <c r="BH869" s="136" t="str">
        <f>IF(AI860="","",IF(L869="","",L869))</f>
        <v/>
      </c>
      <c r="BI869" s="136" t="str">
        <f>IF(AI860="","",IF(M869="","",M869))</f>
        <v/>
      </c>
      <c r="BJ869" s="136" t="str">
        <f>IF(AI860="","",IF(N869="","",N869))</f>
        <v/>
      </c>
      <c r="BK869" s="136" t="str">
        <f>IF(AI860="","",IF(O869="","",O869))</f>
        <v/>
      </c>
      <c r="CA869" s="136">
        <f>'INFO BASE'!L949</f>
        <v>0</v>
      </c>
      <c r="CB869" s="136">
        <f>'INFO BASE'!M949</f>
        <v>0</v>
      </c>
      <c r="CD869" s="136" t="str">
        <f t="shared" si="493"/>
        <v>IEI</v>
      </c>
      <c r="CR869" s="177">
        <f t="shared" si="484"/>
        <v>1</v>
      </c>
      <c r="CS869" s="177">
        <f t="shared" si="485"/>
        <v>1</v>
      </c>
      <c r="CT869" s="177">
        <f t="shared" si="484"/>
        <v>1</v>
      </c>
      <c r="CU869" s="177">
        <f t="shared" si="486"/>
        <v>1</v>
      </c>
      <c r="CV869" s="177">
        <f t="shared" si="484"/>
        <v>1</v>
      </c>
      <c r="CW869" s="177">
        <f t="shared" si="487"/>
        <v>1</v>
      </c>
      <c r="CX869" s="177">
        <f t="shared" si="484"/>
        <v>1</v>
      </c>
      <c r="CY869" s="177">
        <f t="shared" si="488"/>
        <v>1</v>
      </c>
      <c r="CZ869" s="177">
        <f t="shared" si="484"/>
        <v>1</v>
      </c>
      <c r="DA869" s="177">
        <f t="shared" si="489"/>
        <v>1</v>
      </c>
      <c r="DB869" s="177">
        <f t="shared" si="484"/>
        <v>1</v>
      </c>
      <c r="DC869" s="177">
        <f t="shared" si="490"/>
        <v>1</v>
      </c>
      <c r="DD869" s="177">
        <f t="shared" si="491"/>
        <v>1</v>
      </c>
      <c r="DE869" s="177">
        <f t="shared" si="492"/>
        <v>1</v>
      </c>
    </row>
    <row r="870" spans="1:109" ht="18" customHeight="1" x14ac:dyDescent="0.3">
      <c r="A870" s="81">
        <v>0.125000000000004</v>
      </c>
      <c r="B870" s="153"/>
      <c r="C870" s="130"/>
      <c r="D870" s="135"/>
      <c r="E870" s="130"/>
      <c r="F870" s="135"/>
      <c r="G870" s="130"/>
      <c r="H870" s="135"/>
      <c r="I870" s="130"/>
      <c r="J870" s="135"/>
      <c r="K870" s="130"/>
      <c r="L870" s="135"/>
      <c r="M870" s="130"/>
      <c r="N870" s="135"/>
      <c r="O870" s="154"/>
      <c r="Q870" s="284"/>
      <c r="R870" s="285"/>
      <c r="S870" s="285"/>
      <c r="T870" s="285"/>
      <c r="U870" s="285"/>
      <c r="V870" s="285"/>
      <c r="W870" s="286"/>
      <c r="X870" s="199">
        <v>1</v>
      </c>
      <c r="Y870" s="262" t="str">
        <f t="array" ref="Y870">IF(ISERROR(INDEX($CA$2:$CB$200,SMALL(IF($CA$2:$CA$200=$A$859,ROW($CA$2:$CA$200)),ROW(7:7))-1,2)),"",INDEX($CA$2:$CB$200,SMALL(IF($CA$2:$CA$200=$A$859,ROW($CA$2:$CA$200)),ROW(7:7))-1,2))</f>
        <v/>
      </c>
      <c r="Z870" s="263"/>
      <c r="AA870" s="263"/>
      <c r="AB870" s="263"/>
      <c r="AC870" s="263"/>
      <c r="AD870" s="263"/>
      <c r="AE870" s="263"/>
      <c r="AF870" s="264"/>
      <c r="AH870" s="136">
        <v>0.125000000000004</v>
      </c>
      <c r="AI870" s="136" t="str">
        <f>IF(AH860="","",IF(B870="","",B870))</f>
        <v/>
      </c>
      <c r="AJ870" s="136" t="str">
        <f>IF(AH860="","",IF(C870="","",C870))</f>
        <v/>
      </c>
      <c r="AK870" s="136" t="str">
        <f>IF(AH860="","",IF(D870="","",D870))</f>
        <v/>
      </c>
      <c r="AL870" s="136" t="str">
        <f>IF(AH860="","",IF(E870="","",E870))</f>
        <v/>
      </c>
      <c r="AM870" s="136" t="str">
        <f>IF(AH860="","",IF(F870="","",F870))</f>
        <v/>
      </c>
      <c r="AN870" s="136" t="str">
        <f>IF(AH860="","",IF(G870="","",G870))</f>
        <v/>
      </c>
      <c r="AO870" s="136" t="str">
        <f>IF(AH860="","",IF(H870="","",H870))</f>
        <v/>
      </c>
      <c r="AP870" s="136" t="str">
        <f>IF(AH860="","",IF(I870="","",I870))</f>
        <v/>
      </c>
      <c r="AQ870" s="136" t="str">
        <f>IF(AH860="","",IF(J870="","",J870))</f>
        <v/>
      </c>
      <c r="AR870" s="136" t="str">
        <f>IF(AH860="","",IF(K870="","",K870))</f>
        <v/>
      </c>
      <c r="AS870" s="136" t="str">
        <f>IF(AH860="","",IF(L870="","",L870))</f>
        <v/>
      </c>
      <c r="AT870" s="136" t="str">
        <f>IF(AH860="","",IF(M870="","",M870))</f>
        <v/>
      </c>
      <c r="AU870" s="136" t="str">
        <f>IF(AH860="","",IF(N870="","",N870))</f>
        <v/>
      </c>
      <c r="AV870" s="136" t="str">
        <f>IF(AH860="","",IF(O870="","",O870))</f>
        <v/>
      </c>
      <c r="AX870" s="136" t="str">
        <f>IF(AI860="","",IF(B870="","",B870))</f>
        <v/>
      </c>
      <c r="AY870" s="136" t="str">
        <f>IF(AI860="","",IF(C870="","",C870))</f>
        <v/>
      </c>
      <c r="AZ870" s="136" t="str">
        <f>IF(AI860="","",IF(D870="","",D870))</f>
        <v/>
      </c>
      <c r="BA870" s="136" t="str">
        <f>IF(AI860="","",IF(E870="","",E870))</f>
        <v/>
      </c>
      <c r="BB870" s="136" t="str">
        <f>IF(AI860="","",IF(F870="","",F870))</f>
        <v/>
      </c>
      <c r="BC870" s="136" t="str">
        <f>IF(AI860="","",IF(G870="","",G870))</f>
        <v/>
      </c>
      <c r="BD870" s="136" t="str">
        <f>IF(AI860="","",IF(H870="","",H870))</f>
        <v/>
      </c>
      <c r="BE870" s="136" t="str">
        <f>IF(AI860="","",IF(I870="","",I870))</f>
        <v/>
      </c>
      <c r="BF870" s="136" t="str">
        <f>IF(AI860="","",IF(J870="","",J870))</f>
        <v/>
      </c>
      <c r="BG870" s="136" t="str">
        <f>IF(AI860="","",IF(K870="","",K870))</f>
        <v/>
      </c>
      <c r="BH870" s="136" t="str">
        <f>IF(AI860="","",IF(L870="","",L870))</f>
        <v/>
      </c>
      <c r="BI870" s="136" t="str">
        <f>IF(AI860="","",IF(M870="","",M870))</f>
        <v/>
      </c>
      <c r="BJ870" s="136" t="str">
        <f>IF(AI860="","",IF(N870="","",N870))</f>
        <v/>
      </c>
      <c r="BK870" s="136" t="str">
        <f>IF(AI860="","",IF(O870="","",O870))</f>
        <v/>
      </c>
      <c r="CA870" s="136">
        <f>'INFO BASE'!L950</f>
        <v>0</v>
      </c>
      <c r="CB870" s="136">
        <f>'INFO BASE'!M950</f>
        <v>0</v>
      </c>
      <c r="CD870" s="136" t="str">
        <f t="shared" si="493"/>
        <v>IAC</v>
      </c>
      <c r="CR870" s="177">
        <f t="shared" si="484"/>
        <v>1</v>
      </c>
      <c r="CS870" s="177">
        <f t="shared" si="485"/>
        <v>1</v>
      </c>
      <c r="CT870" s="177">
        <f t="shared" si="484"/>
        <v>1</v>
      </c>
      <c r="CU870" s="177">
        <f t="shared" si="486"/>
        <v>1</v>
      </c>
      <c r="CV870" s="177">
        <f t="shared" si="484"/>
        <v>1</v>
      </c>
      <c r="CW870" s="177">
        <f t="shared" si="487"/>
        <v>1</v>
      </c>
      <c r="CX870" s="177">
        <f t="shared" si="484"/>
        <v>1</v>
      </c>
      <c r="CY870" s="177">
        <f t="shared" si="488"/>
        <v>1</v>
      </c>
      <c r="CZ870" s="177">
        <f t="shared" si="484"/>
        <v>1</v>
      </c>
      <c r="DA870" s="177">
        <f t="shared" si="489"/>
        <v>1</v>
      </c>
      <c r="DB870" s="177">
        <f t="shared" si="484"/>
        <v>1</v>
      </c>
      <c r="DC870" s="177">
        <f t="shared" si="490"/>
        <v>1</v>
      </c>
      <c r="DD870" s="177">
        <f t="shared" si="491"/>
        <v>1</v>
      </c>
      <c r="DE870" s="177">
        <f t="shared" si="492"/>
        <v>1</v>
      </c>
    </row>
    <row r="871" spans="1:109" ht="18" customHeight="1" thickBot="1" x14ac:dyDescent="0.35">
      <c r="A871" s="81">
        <v>0.14583333333333801</v>
      </c>
      <c r="B871" s="153"/>
      <c r="C871" s="130"/>
      <c r="D871" s="135"/>
      <c r="E871" s="130"/>
      <c r="F871" s="135"/>
      <c r="G871" s="130"/>
      <c r="H871" s="135"/>
      <c r="I871" s="130"/>
      <c r="J871" s="135"/>
      <c r="K871" s="130"/>
      <c r="L871" s="135"/>
      <c r="M871" s="130"/>
      <c r="N871" s="135"/>
      <c r="O871" s="154"/>
      <c r="Q871" s="287"/>
      <c r="R871" s="288"/>
      <c r="S871" s="288"/>
      <c r="T871" s="288"/>
      <c r="U871" s="288"/>
      <c r="V871" s="288"/>
      <c r="W871" s="289"/>
      <c r="X871" s="199">
        <v>1</v>
      </c>
      <c r="Y871" s="265" t="str">
        <f t="array" ref="Y871">IF(ISERROR(INDEX($CA$2:$CB$200,SMALL(IF($CA$2:$CA$200=$A$859,ROW($CA$2:$CA$200)),ROW(8:8))-1,2)),"",INDEX($CA$2:$CB$200,SMALL(IF($CA$2:$CA$200=$A$859,ROW($CA$2:$CA$200)),ROW(8:8))-1,2))</f>
        <v/>
      </c>
      <c r="Z871" s="266"/>
      <c r="AA871" s="266"/>
      <c r="AB871" s="266"/>
      <c r="AC871" s="266"/>
      <c r="AD871" s="266"/>
      <c r="AE871" s="266"/>
      <c r="AF871" s="267"/>
      <c r="AH871" s="136">
        <v>0.14583333333333801</v>
      </c>
      <c r="AI871" s="136" t="str">
        <f>IF(AH860="","",IF(B871="","",B871))</f>
        <v/>
      </c>
      <c r="AJ871" s="136" t="str">
        <f>IF(AH860="","",IF(C871="","",C871))</f>
        <v/>
      </c>
      <c r="AK871" s="136" t="str">
        <f>IF(AH860="","",IF(D871="","",D871))</f>
        <v/>
      </c>
      <c r="AL871" s="136" t="str">
        <f>IF(AH860="","",IF(E871="","",E871))</f>
        <v/>
      </c>
      <c r="AM871" s="136" t="str">
        <f>IF(AH860="","",IF(F871="","",F871))</f>
        <v/>
      </c>
      <c r="AN871" s="136" t="str">
        <f>IF(AH860="","",IF(G871="","",G871))</f>
        <v/>
      </c>
      <c r="AO871" s="136" t="str">
        <f>IF(AH860="","",IF(H871="","",H871))</f>
        <v/>
      </c>
      <c r="AP871" s="136" t="str">
        <f>IF(AH860="","",IF(I871="","",I871))</f>
        <v/>
      </c>
      <c r="AQ871" s="136" t="str">
        <f>IF(AH860="","",IF(J871="","",J871))</f>
        <v/>
      </c>
      <c r="AR871" s="136" t="str">
        <f>IF(AH860="","",IF(K871="","",K871))</f>
        <v/>
      </c>
      <c r="AS871" s="136" t="str">
        <f>IF(AH860="","",IF(L871="","",L871))</f>
        <v/>
      </c>
      <c r="AT871" s="136" t="str">
        <f>IF(AH860="","",IF(M871="","",M871))</f>
        <v/>
      </c>
      <c r="AU871" s="136" t="str">
        <f>IF(AH860="","",IF(N871="","",N871))</f>
        <v/>
      </c>
      <c r="AV871" s="136" t="str">
        <f>IF(AH860="","",IF(O871="","",O871))</f>
        <v/>
      </c>
      <c r="AX871" s="136" t="str">
        <f>IF(AI860="","",IF(B871="","",B871))</f>
        <v/>
      </c>
      <c r="AY871" s="136" t="str">
        <f>IF(AI860="","",IF(C871="","",C871))</f>
        <v/>
      </c>
      <c r="AZ871" s="136" t="str">
        <f>IF(AI860="","",IF(D871="","",D871))</f>
        <v/>
      </c>
      <c r="BA871" s="136" t="str">
        <f>IF(AI860="","",IF(E871="","",E871))</f>
        <v/>
      </c>
      <c r="BB871" s="136" t="str">
        <f>IF(AI860="","",IF(F871="","",F871))</f>
        <v/>
      </c>
      <c r="BC871" s="136" t="str">
        <f>IF(AI860="","",IF(G871="","",G871))</f>
        <v/>
      </c>
      <c r="BD871" s="136" t="str">
        <f>IF(AI860="","",IF(H871="","",H871))</f>
        <v/>
      </c>
      <c r="BE871" s="136" t="str">
        <f>IF(AI860="","",IF(I871="","",I871))</f>
        <v/>
      </c>
      <c r="BF871" s="136" t="str">
        <f>IF(AI860="","",IF(J871="","",J871))</f>
        <v/>
      </c>
      <c r="BG871" s="136" t="str">
        <f>IF(AI860="","",IF(K871="","",K871))</f>
        <v/>
      </c>
      <c r="BH871" s="136" t="str">
        <f>IF(AI860="","",IF(L871="","",L871))</f>
        <v/>
      </c>
      <c r="BI871" s="136" t="str">
        <f>IF(AI860="","",IF(M871="","",M871))</f>
        <v/>
      </c>
      <c r="BJ871" s="136" t="str">
        <f>IF(AI860="","",IF(N871="","",N871))</f>
        <v/>
      </c>
      <c r="BK871" s="136" t="str">
        <f>IF(AI860="","",IF(O871="","",O871))</f>
        <v/>
      </c>
      <c r="CA871" s="136">
        <f>'INFO BASE'!L951</f>
        <v>0</v>
      </c>
      <c r="CB871" s="136">
        <f>'INFO BASE'!M951</f>
        <v>0</v>
      </c>
      <c r="CD871" s="136" t="str">
        <f t="shared" si="493"/>
        <v>AL</v>
      </c>
      <c r="CR871" s="177">
        <f t="shared" si="484"/>
        <v>1</v>
      </c>
      <c r="CS871" s="177">
        <f t="shared" si="485"/>
        <v>1</v>
      </c>
      <c r="CT871" s="177">
        <f t="shared" si="484"/>
        <v>1</v>
      </c>
      <c r="CU871" s="177">
        <f t="shared" si="486"/>
        <v>1</v>
      </c>
      <c r="CV871" s="177">
        <f t="shared" si="484"/>
        <v>1</v>
      </c>
      <c r="CW871" s="177">
        <f t="shared" si="487"/>
        <v>1</v>
      </c>
      <c r="CX871" s="177">
        <f t="shared" si="484"/>
        <v>1</v>
      </c>
      <c r="CY871" s="177">
        <f t="shared" si="488"/>
        <v>1</v>
      </c>
      <c r="CZ871" s="177">
        <f t="shared" si="484"/>
        <v>1</v>
      </c>
      <c r="DA871" s="177">
        <f t="shared" si="489"/>
        <v>1</v>
      </c>
      <c r="DB871" s="177">
        <f t="shared" si="484"/>
        <v>1</v>
      </c>
      <c r="DC871" s="177">
        <f t="shared" si="490"/>
        <v>1</v>
      </c>
      <c r="DD871" s="177">
        <f t="shared" si="491"/>
        <v>1</v>
      </c>
      <c r="DE871" s="177">
        <f t="shared" si="492"/>
        <v>1</v>
      </c>
    </row>
    <row r="872" spans="1:109" ht="18" customHeight="1" thickBot="1" x14ac:dyDescent="0.35">
      <c r="A872" s="81">
        <v>0.16666666666667199</v>
      </c>
      <c r="B872" s="153"/>
      <c r="C872" s="130"/>
      <c r="D872" s="135"/>
      <c r="E872" s="130"/>
      <c r="F872" s="135"/>
      <c r="G872" s="130"/>
      <c r="H872" s="135"/>
      <c r="I872" s="130"/>
      <c r="J872" s="135"/>
      <c r="K872" s="130"/>
      <c r="L872" s="135"/>
      <c r="M872" s="130"/>
      <c r="N872" s="135"/>
      <c r="O872" s="154"/>
      <c r="Q872" s="63"/>
      <c r="R872" s="64"/>
      <c r="S872" s="65"/>
      <c r="T872" s="65"/>
      <c r="U872" s="65"/>
      <c r="V872" s="65"/>
      <c r="W872" s="65"/>
      <c r="X872" s="199">
        <v>1</v>
      </c>
      <c r="Y872" s="59"/>
      <c r="Z872" s="59"/>
      <c r="AA872" s="59"/>
      <c r="AB872" s="59"/>
      <c r="AC872" s="59"/>
      <c r="AD872" s="59"/>
      <c r="AE872" s="59"/>
      <c r="AF872" s="59"/>
      <c r="AH872" s="136">
        <v>0.16666666666667199</v>
      </c>
      <c r="AI872" s="136" t="str">
        <f>IF(AH860="","",IF(B872="","",B872))</f>
        <v/>
      </c>
      <c r="AJ872" s="136" t="str">
        <f>IF(AH860="","",IF(C872="","",C872))</f>
        <v/>
      </c>
      <c r="AK872" s="136" t="str">
        <f>IF(AH860="","",IF(D872="","",D872))</f>
        <v/>
      </c>
      <c r="AL872" s="136" t="str">
        <f>IF(AH860="","",IF(E872="","",E872))</f>
        <v/>
      </c>
      <c r="AM872" s="136" t="str">
        <f>IF(AH860="","",IF(F872="","",F872))</f>
        <v/>
      </c>
      <c r="AN872" s="136" t="str">
        <f>IF(AH860="","",IF(G872="","",G872))</f>
        <v/>
      </c>
      <c r="AO872" s="136" t="str">
        <f>IF(AH860="","",IF(H872="","",H872))</f>
        <v/>
      </c>
      <c r="AP872" s="136" t="str">
        <f>IF(AH860="","",IF(I872="","",I872))</f>
        <v/>
      </c>
      <c r="AQ872" s="136" t="str">
        <f>IF(AH860="","",IF(J872="","",J872))</f>
        <v/>
      </c>
      <c r="AR872" s="136" t="str">
        <f>IF(AH860="","",IF(K872="","",K872))</f>
        <v/>
      </c>
      <c r="AS872" s="136" t="str">
        <f>IF(AH860="","",IF(L872="","",L872))</f>
        <v/>
      </c>
      <c r="AT872" s="136" t="str">
        <f>IF(AH860="","",IF(M872="","",M872))</f>
        <v/>
      </c>
      <c r="AU872" s="136" t="str">
        <f>IF(AH860="","",IF(N872="","",N872))</f>
        <v/>
      </c>
      <c r="AV872" s="136" t="str">
        <f>IF(AH860="","",IF(O872="","",O872))</f>
        <v/>
      </c>
      <c r="AX872" s="136" t="str">
        <f>IF(AI860="","",IF(B872="","",B872))</f>
        <v/>
      </c>
      <c r="AY872" s="136" t="str">
        <f>IF(AI860="","",IF(C872="","",C872))</f>
        <v/>
      </c>
      <c r="AZ872" s="136" t="str">
        <f>IF(AI860="","",IF(D872="","",D872))</f>
        <v/>
      </c>
      <c r="BA872" s="136" t="str">
        <f>IF(AI860="","",IF(E872="","",E872))</f>
        <v/>
      </c>
      <c r="BB872" s="136" t="str">
        <f>IF(AI860="","",IF(F872="","",F872))</f>
        <v/>
      </c>
      <c r="BC872" s="136" t="str">
        <f>IF(AI860="","",IF(G872="","",G872))</f>
        <v/>
      </c>
      <c r="BD872" s="136" t="str">
        <f>IF(AI860="","",IF(H872="","",H872))</f>
        <v/>
      </c>
      <c r="BE872" s="136" t="str">
        <f>IF(AI860="","",IF(I872="","",I872))</f>
        <v/>
      </c>
      <c r="BF872" s="136" t="str">
        <f>IF(AI860="","",IF(J872="","",J872))</f>
        <v/>
      </c>
      <c r="BG872" s="136" t="str">
        <f>IF(AI860="","",IF(K872="","",K872))</f>
        <v/>
      </c>
      <c r="BH872" s="136" t="str">
        <f>IF(AI860="","",IF(L872="","",L872))</f>
        <v/>
      </c>
      <c r="BI872" s="136" t="str">
        <f>IF(AI860="","",IF(M872="","",M872))</f>
        <v/>
      </c>
      <c r="BJ872" s="136" t="str">
        <f>IF(AI860="","",IF(N872="","",N872))</f>
        <v/>
      </c>
      <c r="BK872" s="136" t="str">
        <f>IF(AI860="","",IF(O872="","",O872))</f>
        <v/>
      </c>
      <c r="BM872" s="136" t="str">
        <f>BO872</f>
        <v>EA</v>
      </c>
      <c r="BN872" s="136" t="str">
        <f t="shared" ref="BN872:BO908" si="494">Q875</f>
        <v>Estudo Autónomo</v>
      </c>
      <c r="BO872" s="136" t="str">
        <f t="shared" si="494"/>
        <v>EA</v>
      </c>
      <c r="BP872" s="136">
        <f>COUNTIFS(AX864:BK911,BO872)*0.5</f>
        <v>0</v>
      </c>
      <c r="BQ872" s="136" t="str">
        <f t="shared" ref="BQ872:BR908" si="495">BN872</f>
        <v>Estudo Autónomo</v>
      </c>
      <c r="BR872" s="136" t="str">
        <f t="shared" si="495"/>
        <v>EA</v>
      </c>
      <c r="BS872" s="136" t="str">
        <f>BQ872</f>
        <v>Estudo Autónomo</v>
      </c>
      <c r="BT872" s="136">
        <f>SUMIFS(V:V,Q:Q,BQ872,R:R,BR872)</f>
        <v>86.5</v>
      </c>
      <c r="BU872" s="136">
        <f>SUMIFS(BP:BP,BN:BN,BQ872,BO:BO,BR872)</f>
        <v>95.5</v>
      </c>
      <c r="CA872" s="136">
        <f>'INFO BASE'!L952</f>
        <v>0</v>
      </c>
      <c r="CB872" s="136">
        <f>'INFO BASE'!M952</f>
        <v>0</v>
      </c>
      <c r="CD872" s="136" t="str">
        <f t="shared" si="493"/>
        <v>CDI</v>
      </c>
      <c r="CR872" s="177">
        <f t="shared" si="484"/>
        <v>1</v>
      </c>
      <c r="CS872" s="177">
        <f t="shared" si="485"/>
        <v>1</v>
      </c>
      <c r="CT872" s="177">
        <f t="shared" si="484"/>
        <v>1</v>
      </c>
      <c r="CU872" s="177">
        <f t="shared" si="486"/>
        <v>1</v>
      </c>
      <c r="CV872" s="177">
        <f t="shared" si="484"/>
        <v>1</v>
      </c>
      <c r="CW872" s="177">
        <f t="shared" si="487"/>
        <v>1</v>
      </c>
      <c r="CX872" s="177">
        <f t="shared" si="484"/>
        <v>1</v>
      </c>
      <c r="CY872" s="177">
        <f t="shared" si="488"/>
        <v>1</v>
      </c>
      <c r="CZ872" s="177">
        <f t="shared" si="484"/>
        <v>1</v>
      </c>
      <c r="DA872" s="177">
        <f t="shared" si="489"/>
        <v>1</v>
      </c>
      <c r="DB872" s="177">
        <f t="shared" si="484"/>
        <v>1</v>
      </c>
      <c r="DC872" s="177">
        <f t="shared" si="490"/>
        <v>1</v>
      </c>
      <c r="DD872" s="177">
        <f t="shared" si="491"/>
        <v>1</v>
      </c>
      <c r="DE872" s="177">
        <f t="shared" si="492"/>
        <v>1</v>
      </c>
    </row>
    <row r="873" spans="1:109" ht="18" customHeight="1" x14ac:dyDescent="0.3">
      <c r="A873" s="81">
        <v>0.187500000000006</v>
      </c>
      <c r="B873" s="153"/>
      <c r="C873" s="130"/>
      <c r="D873" s="135"/>
      <c r="E873" s="130"/>
      <c r="F873" s="135"/>
      <c r="G873" s="130"/>
      <c r="H873" s="135"/>
      <c r="I873" s="130"/>
      <c r="J873" s="135"/>
      <c r="K873" s="130"/>
      <c r="L873" s="135"/>
      <c r="M873" s="130"/>
      <c r="N873" s="135"/>
      <c r="O873" s="154"/>
      <c r="Q873" s="294" t="s">
        <v>14</v>
      </c>
      <c r="R873" s="290" t="s">
        <v>88</v>
      </c>
      <c r="S873" s="290" t="s">
        <v>87</v>
      </c>
      <c r="T873" s="290" t="s">
        <v>89</v>
      </c>
      <c r="U873" s="290" t="s">
        <v>41</v>
      </c>
      <c r="V873" s="290" t="s">
        <v>91</v>
      </c>
      <c r="W873" s="292" t="s">
        <v>90</v>
      </c>
      <c r="X873" s="199">
        <v>1</v>
      </c>
      <c r="Y873" s="302" t="s">
        <v>21</v>
      </c>
      <c r="Z873" s="303"/>
      <c r="AA873" s="303"/>
      <c r="AB873" s="303"/>
      <c r="AC873" s="303"/>
      <c r="AD873" s="303"/>
      <c r="AE873" s="303"/>
      <c r="AF873" s="304"/>
      <c r="AH873" s="136">
        <v>0.187500000000006</v>
      </c>
      <c r="AI873" s="136" t="str">
        <f>IF(AH860="","",IF(B873="","",B873))</f>
        <v/>
      </c>
      <c r="AJ873" s="136" t="str">
        <f>IF(AH860="","",IF(C873="","",C873))</f>
        <v/>
      </c>
      <c r="AK873" s="136" t="str">
        <f>IF(AH860="","",IF(D873="","",D873))</f>
        <v/>
      </c>
      <c r="AL873" s="136" t="str">
        <f>IF(AH860="","",IF(E873="","",E873))</f>
        <v/>
      </c>
      <c r="AM873" s="136" t="str">
        <f>IF(AH860="","",IF(F873="","",F873))</f>
        <v/>
      </c>
      <c r="AN873" s="136" t="str">
        <f>IF(AH860="","",IF(G873="","",G873))</f>
        <v/>
      </c>
      <c r="AO873" s="136" t="str">
        <f>IF(AH860="","",IF(H873="","",H873))</f>
        <v/>
      </c>
      <c r="AP873" s="136" t="str">
        <f>IF(AH860="","",IF(I873="","",I873))</f>
        <v/>
      </c>
      <c r="AQ873" s="136" t="str">
        <f>IF(AH860="","",IF(J873="","",J873))</f>
        <v/>
      </c>
      <c r="AR873" s="136" t="str">
        <f>IF(AH860="","",IF(K873="","",K873))</f>
        <v/>
      </c>
      <c r="AS873" s="136" t="str">
        <f>IF(AH860="","",IF(L873="","",L873))</f>
        <v/>
      </c>
      <c r="AT873" s="136" t="str">
        <f>IF(AH860="","",IF(M873="","",M873))</f>
        <v/>
      </c>
      <c r="AU873" s="136" t="str">
        <f>IF(AH860="","",IF(N873="","",N873))</f>
        <v/>
      </c>
      <c r="AV873" s="136" t="str">
        <f>IF(AH860="","",IF(O873="","",O873))</f>
        <v/>
      </c>
      <c r="AX873" s="136" t="str">
        <f>IF(AI860="","",IF(B873="","",B873))</f>
        <v/>
      </c>
      <c r="AY873" s="136" t="str">
        <f>IF(AI860="","",IF(C873="","",C873))</f>
        <v/>
      </c>
      <c r="AZ873" s="136" t="str">
        <f>IF(AI860="","",IF(D873="","",D873))</f>
        <v/>
      </c>
      <c r="BA873" s="136" t="str">
        <f>IF(AI860="","",IF(E873="","",E873))</f>
        <v/>
      </c>
      <c r="BB873" s="136" t="str">
        <f>IF(AI860="","",IF(F873="","",F873))</f>
        <v/>
      </c>
      <c r="BC873" s="136" t="str">
        <f>IF(AI860="","",IF(G873="","",G873))</f>
        <v/>
      </c>
      <c r="BD873" s="136" t="str">
        <f>IF(AI860="","",IF(H873="","",H873))</f>
        <v/>
      </c>
      <c r="BE873" s="136" t="str">
        <f>IF(AI860="","",IF(I873="","",I873))</f>
        <v/>
      </c>
      <c r="BF873" s="136" t="str">
        <f>IF(AI860="","",IF(J873="","",J873))</f>
        <v/>
      </c>
      <c r="BG873" s="136" t="str">
        <f>IF(AI860="","",IF(K873="","",K873))</f>
        <v/>
      </c>
      <c r="BH873" s="136" t="str">
        <f>IF(AI860="","",IF(L873="","",L873))</f>
        <v/>
      </c>
      <c r="BI873" s="136" t="str">
        <f>IF(AI860="","",IF(M873="","",M873))</f>
        <v/>
      </c>
      <c r="BJ873" s="136" t="str">
        <f>IF(AI860="","",IF(N873="","",N873))</f>
        <v/>
      </c>
      <c r="BK873" s="136" t="str">
        <f>IF(AI860="","",IF(O873="","",O873))</f>
        <v/>
      </c>
      <c r="BM873" s="136" t="str">
        <f>BM872</f>
        <v>EA</v>
      </c>
      <c r="BN873" s="136" t="str">
        <f t="shared" si="494"/>
        <v>Estudo Autónomo</v>
      </c>
      <c r="BO873" s="136" t="str">
        <f t="shared" si="494"/>
        <v>FP</v>
      </c>
      <c r="BP873" s="136">
        <f>(COUNTIFS(AX864:AX911,BM873,AY864:AY911,BO873)+COUNTIFS(AZ864:AZ911,BM873,BA864:BA911,BO873)+COUNTIFS(BB864:BB911,BM873,BC864:BC911,BO873)+COUNTIFS(BD864:BD911,BM873,BE864:BE911,BO873)+COUNTIFS(BF864:BF911,BM873,BG864:BG911,BO873)+COUNTIFS(BH864:BH911,BM873,BI864:BI911,BO873)+COUNTIFS(BJ864:BJ911,BM873,BK864:BK911,BO873))*0.5</f>
        <v>0</v>
      </c>
      <c r="BQ873" s="136" t="str">
        <f t="shared" si="495"/>
        <v>Estudo Autónomo</v>
      </c>
      <c r="BR873" s="136" t="str">
        <f>$R$20</f>
        <v>EA</v>
      </c>
      <c r="BS873" s="136" t="str">
        <f t="shared" ref="BS873:BS908" si="496">BQ873</f>
        <v>Estudo Autónomo</v>
      </c>
      <c r="BT873" s="136">
        <f>SUMIFS(V:V,Q:Q,BQ873,R:R,BR873)</f>
        <v>86.5</v>
      </c>
      <c r="BU873" s="136">
        <f>SUMIFS(BP:BP,BN:BN,BQ873,BO:BO,BR873)</f>
        <v>95.5</v>
      </c>
      <c r="CA873" s="136">
        <f>'INFO BASE'!L953</f>
        <v>0</v>
      </c>
      <c r="CB873" s="136">
        <f>'INFO BASE'!M953</f>
        <v>0</v>
      </c>
      <c r="CD873" s="136" t="str">
        <f t="shared" si="493"/>
        <v/>
      </c>
      <c r="CR873" s="177">
        <f t="shared" si="484"/>
        <v>1</v>
      </c>
      <c r="CS873" s="177">
        <f t="shared" si="485"/>
        <v>1</v>
      </c>
      <c r="CT873" s="177">
        <f t="shared" si="484"/>
        <v>1</v>
      </c>
      <c r="CU873" s="177">
        <f t="shared" si="486"/>
        <v>1</v>
      </c>
      <c r="CV873" s="177">
        <f t="shared" si="484"/>
        <v>1</v>
      </c>
      <c r="CW873" s="177">
        <f t="shared" si="487"/>
        <v>1</v>
      </c>
      <c r="CX873" s="177">
        <f t="shared" si="484"/>
        <v>1</v>
      </c>
      <c r="CY873" s="177">
        <f t="shared" si="488"/>
        <v>1</v>
      </c>
      <c r="CZ873" s="177">
        <f t="shared" si="484"/>
        <v>1</v>
      </c>
      <c r="DA873" s="177">
        <f t="shared" si="489"/>
        <v>1</v>
      </c>
      <c r="DB873" s="177">
        <f t="shared" si="484"/>
        <v>1</v>
      </c>
      <c r="DC873" s="177">
        <f t="shared" si="490"/>
        <v>1</v>
      </c>
      <c r="DD873" s="177">
        <f t="shared" si="491"/>
        <v>1</v>
      </c>
      <c r="DE873" s="177">
        <f t="shared" si="492"/>
        <v>1</v>
      </c>
    </row>
    <row r="874" spans="1:109" ht="18" customHeight="1" thickBot="1" x14ac:dyDescent="0.35">
      <c r="A874" s="81">
        <v>0.20833333333334</v>
      </c>
      <c r="B874" s="153"/>
      <c r="C874" s="130"/>
      <c r="D874" s="135"/>
      <c r="E874" s="130"/>
      <c r="F874" s="135"/>
      <c r="G874" s="130"/>
      <c r="H874" s="135"/>
      <c r="I874" s="130"/>
      <c r="J874" s="135"/>
      <c r="K874" s="130"/>
      <c r="L874" s="135"/>
      <c r="M874" s="130"/>
      <c r="N874" s="135"/>
      <c r="O874" s="154"/>
      <c r="Q874" s="295"/>
      <c r="R874" s="291"/>
      <c r="S874" s="291"/>
      <c r="T874" s="291"/>
      <c r="U874" s="291"/>
      <c r="V874" s="291"/>
      <c r="W874" s="293"/>
      <c r="X874" s="199">
        <v>1</v>
      </c>
      <c r="Y874" s="305"/>
      <c r="Z874" s="306"/>
      <c r="AA874" s="306"/>
      <c r="AB874" s="306"/>
      <c r="AC874" s="306"/>
      <c r="AD874" s="306"/>
      <c r="AE874" s="306"/>
      <c r="AF874" s="307"/>
      <c r="AH874" s="136">
        <v>0.20833333333334</v>
      </c>
      <c r="AI874" s="136" t="str">
        <f>IF(AH860="","",IF(B874="","",B874))</f>
        <v/>
      </c>
      <c r="AJ874" s="136" t="str">
        <f>IF(AH860="","",IF(C874="","",C874))</f>
        <v/>
      </c>
      <c r="AK874" s="136" t="str">
        <f>IF(AH860="","",IF(D874="","",D874))</f>
        <v/>
      </c>
      <c r="AL874" s="136" t="str">
        <f>IF(AH860="","",IF(E874="","",E874))</f>
        <v/>
      </c>
      <c r="AM874" s="136" t="str">
        <f>IF(AH860="","",IF(F874="","",F874))</f>
        <v/>
      </c>
      <c r="AN874" s="136" t="str">
        <f>IF(AH860="","",IF(G874="","",G874))</f>
        <v/>
      </c>
      <c r="AO874" s="136" t="str">
        <f>IF(AH860="","",IF(H874="","",H874))</f>
        <v/>
      </c>
      <c r="AP874" s="136" t="str">
        <f>IF(AH860="","",IF(I874="","",I874))</f>
        <v/>
      </c>
      <c r="AQ874" s="136" t="str">
        <f>IF(AH860="","",IF(J874="","",J874))</f>
        <v/>
      </c>
      <c r="AR874" s="136" t="str">
        <f>IF(AH860="","",IF(K874="","",K874))</f>
        <v/>
      </c>
      <c r="AS874" s="136" t="str">
        <f>IF(AH860="","",IF(L874="","",L874))</f>
        <v/>
      </c>
      <c r="AT874" s="136" t="str">
        <f>IF(AH860="","",IF(M874="","",M874))</f>
        <v/>
      </c>
      <c r="AU874" s="136" t="str">
        <f>IF(AH860="","",IF(N874="","",N874))</f>
        <v/>
      </c>
      <c r="AV874" s="136" t="str">
        <f>IF(AH860="","",IF(O874="","",O874))</f>
        <v/>
      </c>
      <c r="AX874" s="136" t="str">
        <f>IF(AI860="","",IF(B874="","",B874))</f>
        <v/>
      </c>
      <c r="AY874" s="136" t="str">
        <f>IF(AI860="","",IF(C874="","",C874))</f>
        <v/>
      </c>
      <c r="AZ874" s="136" t="str">
        <f>IF(AI860="","",IF(D874="","",D874))</f>
        <v/>
      </c>
      <c r="BA874" s="136" t="str">
        <f>IF(AI860="","",IF(E874="","",E874))</f>
        <v/>
      </c>
      <c r="BB874" s="136" t="str">
        <f>IF(AI860="","",IF(F874="","",F874))</f>
        <v/>
      </c>
      <c r="BC874" s="136" t="str">
        <f>IF(AI860="","",IF(G874="","",G874))</f>
        <v/>
      </c>
      <c r="BD874" s="136" t="str">
        <f>IF(AI860="","",IF(H874="","",H874))</f>
        <v/>
      </c>
      <c r="BE874" s="136" t="str">
        <f>IF(AI860="","",IF(I874="","",I874))</f>
        <v/>
      </c>
      <c r="BF874" s="136" t="str">
        <f>IF(AI860="","",IF(J874="","",J874))</f>
        <v/>
      </c>
      <c r="BG874" s="136" t="str">
        <f>IF(AI860="","",IF(K874="","",K874))</f>
        <v/>
      </c>
      <c r="BH874" s="136" t="str">
        <f>IF(AI860="","",IF(L874="","",L874))</f>
        <v/>
      </c>
      <c r="BI874" s="136" t="str">
        <f>IF(AI860="","",IF(M874="","",M874))</f>
        <v/>
      </c>
      <c r="BJ874" s="136" t="str">
        <f>IF(AI860="","",IF(N874="","",N874))</f>
        <v/>
      </c>
      <c r="BK874" s="136" t="str">
        <f>IF(AI860="","",IF(O874="","",O874))</f>
        <v/>
      </c>
      <c r="BM874" s="136" t="str">
        <f t="shared" ref="BM874:BM878" si="497">BM873</f>
        <v>EA</v>
      </c>
      <c r="BN874" s="136" t="str">
        <f t="shared" si="494"/>
        <v>Estudo Autónomo</v>
      </c>
      <c r="BO874" s="136" t="str">
        <f t="shared" si="494"/>
        <v>IEI</v>
      </c>
      <c r="BP874" s="136">
        <f>(COUNTIFS(AX864:AX911,BM874,AY864:AY911,BO874)+COUNTIFS(AZ864:AZ911,BM874,BA864:BA911,BO874)+COUNTIFS(BB864:BB911,BM874,BC864:BC911,BO874)+COUNTIFS(BD864:BD911,BM874,BE864:BE911,BO874)+COUNTIFS(BF864:BF911,BM874,BG864:BG911,BO874)+COUNTIFS(BH864:BH911,BM874,BI864:BI911,BO874)+COUNTIFS(BJ864:BJ911,BM874,BK864:BK911,BO874))*0.5</f>
        <v>0</v>
      </c>
      <c r="BQ874" s="136" t="str">
        <f t="shared" si="495"/>
        <v>Estudo Autónomo</v>
      </c>
      <c r="BR874" s="136" t="str">
        <f t="shared" si="495"/>
        <v>IEI</v>
      </c>
      <c r="BS874" s="136" t="str">
        <f t="shared" si="496"/>
        <v>Estudo Autónomo</v>
      </c>
      <c r="BT874" s="136">
        <f>SUMIFS(V:V,Q:Q,BQ874,R:R,BR874)</f>
        <v>20</v>
      </c>
      <c r="BU874" s="136">
        <f>SUMIFS(BP:BP,BN:BN,BQ874,BO:BO,BR874)</f>
        <v>36.5</v>
      </c>
      <c r="CA874" s="136">
        <f>'INFO BASE'!L954</f>
        <v>0</v>
      </c>
      <c r="CB874" s="136">
        <f>'INFO BASE'!M954</f>
        <v>0</v>
      </c>
      <c r="CD874" s="136" t="str">
        <f>IF('INFO BASE'!E888="","",'INFO BASE'!E888)</f>
        <v/>
      </c>
      <c r="CR874" s="177">
        <f t="shared" si="484"/>
        <v>1</v>
      </c>
      <c r="CS874" s="177">
        <f t="shared" si="485"/>
        <v>1</v>
      </c>
      <c r="CT874" s="177">
        <f t="shared" si="484"/>
        <v>1</v>
      </c>
      <c r="CU874" s="177">
        <f t="shared" si="486"/>
        <v>1</v>
      </c>
      <c r="CV874" s="177">
        <f t="shared" si="484"/>
        <v>1</v>
      </c>
      <c r="CW874" s="177">
        <f t="shared" si="487"/>
        <v>1</v>
      </c>
      <c r="CX874" s="177">
        <f t="shared" si="484"/>
        <v>1</v>
      </c>
      <c r="CY874" s="177">
        <f t="shared" si="488"/>
        <v>1</v>
      </c>
      <c r="CZ874" s="177">
        <f t="shared" si="484"/>
        <v>1</v>
      </c>
      <c r="DA874" s="177">
        <f t="shared" si="489"/>
        <v>1</v>
      </c>
      <c r="DB874" s="177">
        <f t="shared" si="484"/>
        <v>1</v>
      </c>
      <c r="DC874" s="177">
        <f t="shared" si="490"/>
        <v>1</v>
      </c>
      <c r="DD874" s="177">
        <f t="shared" si="491"/>
        <v>1</v>
      </c>
      <c r="DE874" s="177">
        <f t="shared" si="492"/>
        <v>1</v>
      </c>
    </row>
    <row r="875" spans="1:109" ht="18" customHeight="1" x14ac:dyDescent="0.3">
      <c r="A875" s="81">
        <v>0.22916666666667401</v>
      </c>
      <c r="B875" s="153"/>
      <c r="C875" s="130"/>
      <c r="D875" s="135"/>
      <c r="E875" s="130"/>
      <c r="F875" s="135"/>
      <c r="G875" s="130"/>
      <c r="H875" s="135"/>
      <c r="I875" s="130"/>
      <c r="J875" s="135"/>
      <c r="K875" s="130"/>
      <c r="L875" s="135"/>
      <c r="M875" s="130"/>
      <c r="N875" s="135"/>
      <c r="O875" s="154"/>
      <c r="P875" s="6">
        <v>0</v>
      </c>
      <c r="Q875" s="109" t="str">
        <f>IF('INFO BASE'!$C$17="","",'INFO BASE'!$C$17)</f>
        <v>Estudo Autónomo</v>
      </c>
      <c r="R875" s="82" t="str">
        <f>R818</f>
        <v>EA</v>
      </c>
      <c r="S875" s="83">
        <f t="shared" ref="S875:S911" si="498">IFERROR((U875/T875)-1,"-")</f>
        <v>-1</v>
      </c>
      <c r="T875" s="84">
        <f>IF(VLOOKUP(Q875,'INFO BASE'!$B$40:$I$54,IF(R875='INFO BASE'!$B$32,3,IF(R875='INFO BASE'!$B$33,4,IF(R875='INFO BASE'!$B$34,5,IF(R875='INFO BASE'!$B$35,6,IF(R875='INFO BASE'!$B$36,7,IF(R875='INFO BASE'!$B$37,8,2)))))),0)=0,"",VLOOKUP(Q875,'INFO BASE'!$B$40:$I$54,IF(R875='INFO BASE'!$B$32,3,IF(R875='INFO BASE'!$B$33,4,IF(R875='INFO BASE'!$B$34,5,IF(R875='INFO BASE'!$B$35,6,IF(R875='INFO BASE'!$B$36,7,IF(R875='INFO BASE'!$B$37,8,2)))))),0))</f>
        <v>19</v>
      </c>
      <c r="U875" s="84">
        <f>IF(R875="","",COUNTIFS(SEMANA16,R875)*0.5)</f>
        <v>0</v>
      </c>
      <c r="V875" s="84">
        <f>IF(R875="","",COUNTIFS(AI864:AV911,R875)*0.5)</f>
        <v>0</v>
      </c>
      <c r="W875" s="85" t="str">
        <f>IF(AH860="","-",IF(V875=0,U875,IFERROR((U875/V875)-1,"-")))</f>
        <v>-</v>
      </c>
      <c r="X875" s="200">
        <f t="shared" ref="X875:X911" si="499">IFERROR(IF(ABS(W875)&gt;P875,1,0),0)</f>
        <v>0</v>
      </c>
      <c r="Y875" s="296"/>
      <c r="Z875" s="297"/>
      <c r="AA875" s="297"/>
      <c r="AB875" s="297"/>
      <c r="AC875" s="297"/>
      <c r="AD875" s="297"/>
      <c r="AE875" s="297"/>
      <c r="AF875" s="298"/>
      <c r="AH875" s="136">
        <v>0.22916666666667401</v>
      </c>
      <c r="AI875" s="136" t="str">
        <f>IF(AH860="","",IF(B875="","",B875))</f>
        <v/>
      </c>
      <c r="AJ875" s="136" t="str">
        <f>IF(AH860="","",IF(C875="","",C875))</f>
        <v/>
      </c>
      <c r="AK875" s="136" t="str">
        <f>IF(AH860="","",IF(D875="","",D875))</f>
        <v/>
      </c>
      <c r="AL875" s="136" t="str">
        <f>IF(AH860="","",IF(E875="","",E875))</f>
        <v/>
      </c>
      <c r="AM875" s="136" t="str">
        <f>IF(AH860="","",IF(F875="","",F875))</f>
        <v/>
      </c>
      <c r="AN875" s="136" t="str">
        <f>IF(AH860="","",IF(G875="","",G875))</f>
        <v/>
      </c>
      <c r="AO875" s="136" t="str">
        <f>IF(AH860="","",IF(H875="","",H875))</f>
        <v/>
      </c>
      <c r="AP875" s="136" t="str">
        <f>IF(AH860="","",IF(I875="","",I875))</f>
        <v/>
      </c>
      <c r="AQ875" s="136" t="str">
        <f>IF(AH860="","",IF(J875="","",J875))</f>
        <v/>
      </c>
      <c r="AR875" s="136" t="str">
        <f>IF(AH860="","",IF(K875="","",K875))</f>
        <v/>
      </c>
      <c r="AS875" s="136" t="str">
        <f>IF(AH860="","",IF(L875="","",L875))</f>
        <v/>
      </c>
      <c r="AT875" s="136" t="str">
        <f>IF(AH860="","",IF(M875="","",M875))</f>
        <v/>
      </c>
      <c r="AU875" s="136" t="str">
        <f>IF(AH860="","",IF(N875="","",N875))</f>
        <v/>
      </c>
      <c r="AV875" s="136" t="str">
        <f>IF(AH860="","",IF(O875="","",O875))</f>
        <v/>
      </c>
      <c r="AX875" s="136" t="str">
        <f>IF(AI860="","",IF(B875="","",B875))</f>
        <v/>
      </c>
      <c r="AY875" s="136" t="str">
        <f>IF(AI860="","",IF(C875="","",C875))</f>
        <v/>
      </c>
      <c r="AZ875" s="136" t="str">
        <f>IF(AI860="","",IF(D875="","",D875))</f>
        <v/>
      </c>
      <c r="BA875" s="136" t="str">
        <f>IF(AI860="","",IF(E875="","",E875))</f>
        <v/>
      </c>
      <c r="BB875" s="136" t="str">
        <f>IF(AI860="","",IF(F875="","",F875))</f>
        <v/>
      </c>
      <c r="BC875" s="136" t="str">
        <f>IF(AI860="","",IF(G875="","",G875))</f>
        <v/>
      </c>
      <c r="BD875" s="136" t="str">
        <f>IF(AI860="","",IF(H875="","",H875))</f>
        <v/>
      </c>
      <c r="BE875" s="136" t="str">
        <f>IF(AI860="","",IF(I875="","",I875))</f>
        <v/>
      </c>
      <c r="BF875" s="136" t="str">
        <f>IF(AI860="","",IF(J875="","",J875))</f>
        <v/>
      </c>
      <c r="BG875" s="136" t="str">
        <f>IF(AI860="","",IF(K875="","",K875))</f>
        <v/>
      </c>
      <c r="BH875" s="136" t="str">
        <f>IF(AI860="","",IF(L875="","",L875))</f>
        <v/>
      </c>
      <c r="BI875" s="136" t="str">
        <f>IF(AI860="","",IF(M875="","",M875))</f>
        <v/>
      </c>
      <c r="BJ875" s="136" t="str">
        <f>IF(AI860="","",IF(N875="","",N875))</f>
        <v/>
      </c>
      <c r="BK875" s="136" t="str">
        <f>IF(AI860="","",IF(O875="","",O875))</f>
        <v/>
      </c>
      <c r="BM875" s="136" t="str">
        <f t="shared" si="497"/>
        <v>EA</v>
      </c>
      <c r="BN875" s="136" t="str">
        <f t="shared" si="494"/>
        <v>Estudo Autónomo</v>
      </c>
      <c r="BO875" s="136" t="str">
        <f t="shared" si="494"/>
        <v>IAC</v>
      </c>
      <c r="BP875" s="136">
        <f>(COUNTIFS(AX864:AX911,BM875,AY864:AY911,BO875)+COUNTIFS(AZ864:AZ911,BM875,BA864:BA911,BO875)+COUNTIFS(BB864:BB911,BM875,BC864:BC911,BO875)+COUNTIFS(BD864:BD911,BM875,BE864:BE911,BO875)+COUNTIFS(BF864:BF911,BM875,BG864:BG911,BO875)+COUNTIFS(BH864:BH911,BM875,BI864:BI911,BO875)+COUNTIFS(BJ864:BJ911,BM875,BK864:BK911,BO875))*0.5</f>
        <v>0</v>
      </c>
      <c r="BQ875" s="136" t="str">
        <f t="shared" si="495"/>
        <v>Estudo Autónomo</v>
      </c>
      <c r="BR875" s="136" t="str">
        <f t="shared" si="495"/>
        <v>IAC</v>
      </c>
      <c r="BS875" s="136" t="str">
        <f t="shared" si="496"/>
        <v>Estudo Autónomo</v>
      </c>
      <c r="BT875" s="136">
        <f>SUMIFS(V:V,Q:Q,BQ875,R:R,BBO873)</f>
        <v>0</v>
      </c>
      <c r="BU875" s="136">
        <f>SUMIFS(BP:BP,BN:BN,BQ875,BO:BO,BBO873)</f>
        <v>0</v>
      </c>
      <c r="CA875" s="136">
        <f>'INFO BASE'!L955</f>
        <v>0</v>
      </c>
      <c r="CB875" s="136">
        <f>'INFO BASE'!M955</f>
        <v>0</v>
      </c>
      <c r="CD875" s="136" t="str">
        <f>IF('INFO BASE'!E889="","",'INFO BASE'!E889)</f>
        <v/>
      </c>
      <c r="CR875" s="177">
        <f t="shared" si="484"/>
        <v>1</v>
      </c>
      <c r="CS875" s="177">
        <f t="shared" si="485"/>
        <v>1</v>
      </c>
      <c r="CT875" s="177">
        <f t="shared" si="484"/>
        <v>1</v>
      </c>
      <c r="CU875" s="177">
        <f t="shared" si="486"/>
        <v>1</v>
      </c>
      <c r="CV875" s="177">
        <f t="shared" si="484"/>
        <v>1</v>
      </c>
      <c r="CW875" s="177">
        <f t="shared" si="487"/>
        <v>1</v>
      </c>
      <c r="CX875" s="177">
        <f t="shared" si="484"/>
        <v>1</v>
      </c>
      <c r="CY875" s="177">
        <f t="shared" si="488"/>
        <v>1</v>
      </c>
      <c r="CZ875" s="177">
        <f t="shared" si="484"/>
        <v>1</v>
      </c>
      <c r="DA875" s="177">
        <f t="shared" si="489"/>
        <v>1</v>
      </c>
      <c r="DB875" s="177">
        <f t="shared" si="484"/>
        <v>1</v>
      </c>
      <c r="DC875" s="177">
        <f t="shared" si="490"/>
        <v>1</v>
      </c>
      <c r="DD875" s="177">
        <f t="shared" si="491"/>
        <v>1</v>
      </c>
      <c r="DE875" s="177">
        <f t="shared" si="492"/>
        <v>1</v>
      </c>
    </row>
    <row r="876" spans="1:109" ht="18" customHeight="1" x14ac:dyDescent="0.3">
      <c r="A876" s="81">
        <v>0.25000000000000799</v>
      </c>
      <c r="B876" s="153"/>
      <c r="C876" s="130"/>
      <c r="D876" s="135"/>
      <c r="E876" s="130"/>
      <c r="F876" s="135"/>
      <c r="G876" s="130"/>
      <c r="H876" s="135"/>
      <c r="I876" s="130"/>
      <c r="J876" s="135"/>
      <c r="K876" s="130"/>
      <c r="L876" s="135"/>
      <c r="M876" s="130"/>
      <c r="N876" s="135"/>
      <c r="O876" s="154"/>
      <c r="P876" s="6">
        <v>0</v>
      </c>
      <c r="Q876" s="110" t="str">
        <f t="shared" ref="Q876:Q881" si="500">Q875</f>
        <v>Estudo Autónomo</v>
      </c>
      <c r="R876" s="105" t="str">
        <f t="shared" ref="R876:R911" si="501">R819</f>
        <v>FP</v>
      </c>
      <c r="S876" s="88">
        <f t="shared" si="498"/>
        <v>-1</v>
      </c>
      <c r="T876" s="89">
        <f>IF(VLOOKUP(Q876,'INFO BASE'!$B$40:$I$54,IF(R876='INFO BASE'!$B$32,3,IF(R876='INFO BASE'!$B$33,4,IF(R876='INFO BASE'!$B$34,5,IF(R876='INFO BASE'!$B$35,6,IF(R876='INFO BASE'!$B$36,7,IF(R876='INFO BASE'!$B$37,8,2)))))),0)=0,"",VLOOKUP(Q876,'INFO BASE'!$B$40:$I$54,IF(R876='INFO BASE'!$B$32,3,IF(R876='INFO BASE'!$B$33,4,IF(R876='INFO BASE'!$B$34,5,IF(R876='INFO BASE'!$B$35,6,IF(R876='INFO BASE'!$B$36,7,IF(R876='INFO BASE'!$B$37,8,2)))))),0))</f>
        <v>5</v>
      </c>
      <c r="U876" s="89">
        <f>(COUNTIFS(C864:C911,R876,B864:B911,R875)+COUNTIFS(E864:E911,R876,D864:D911,R875)+COUNTIFS(G864:G911,R876,F864:F911,R875)+COUNTIFS(I864:I911,R876,H864:H911,R875)+COUNTIFS(K864:K911,R876,J864:J911,R875)+COUNTIFS(M864:M911,R876,L864:L911,R875)+COUNTIFS(O864:O911,R876,N864:N911,R875))*0.5</f>
        <v>0</v>
      </c>
      <c r="V876" s="89">
        <f>(COUNTIFS(AI864:AI911,R875,AJ864:AJ911,R876)+COUNTIFS(AK864:AK911,R875,AL864:AL911,R876)+COUNTIFS(AM864:AM911,R875,AN864:AN911,R876)+COUNTIFS(AO864:AO911,R875,AP864:AP911,R876)+COUNTIFS(AQ864:AQ911,R875,AR864:AR911,R876)+COUNTIFS(AS864:AS911,R875,AT864:AT911,R876)+COUNTIFS(AU864:AU911,R875,AV864:AV911,R876))*0.5</f>
        <v>0</v>
      </c>
      <c r="W876" s="90" t="str">
        <f>IF(AH860="","-",IF(V876=0,U876,IFERROR((U876/V876)-1,"-")))</f>
        <v>-</v>
      </c>
      <c r="X876" s="200">
        <f t="shared" si="499"/>
        <v>0</v>
      </c>
      <c r="Y876" s="299"/>
      <c r="Z876" s="300"/>
      <c r="AA876" s="300"/>
      <c r="AB876" s="300"/>
      <c r="AC876" s="300"/>
      <c r="AD876" s="300"/>
      <c r="AE876" s="300"/>
      <c r="AF876" s="301"/>
      <c r="AH876" s="136">
        <v>0.25000000000000799</v>
      </c>
      <c r="AI876" s="136" t="str">
        <f>IF(AH860="","",IF(B876="","",B876))</f>
        <v/>
      </c>
      <c r="AJ876" s="136" t="str">
        <f>IF(AH860="","",IF(C876="","",C876))</f>
        <v/>
      </c>
      <c r="AK876" s="136" t="str">
        <f>IF(AH860="","",IF(D876="","",D876))</f>
        <v/>
      </c>
      <c r="AL876" s="136" t="str">
        <f>IF(AH860="","",IF(E876="","",E876))</f>
        <v/>
      </c>
      <c r="AM876" s="136" t="str">
        <f>IF(AH860="","",IF(F876="","",F876))</f>
        <v/>
      </c>
      <c r="AN876" s="136" t="str">
        <f>IF(AH860="","",IF(G876="","",G876))</f>
        <v/>
      </c>
      <c r="AO876" s="136" t="str">
        <f>IF(AH860="","",IF(H876="","",H876))</f>
        <v/>
      </c>
      <c r="AP876" s="136" t="str">
        <f>IF(AH860="","",IF(I876="","",I876))</f>
        <v/>
      </c>
      <c r="AQ876" s="136" t="str">
        <f>IF(AH860="","",IF(J876="","",J876))</f>
        <v/>
      </c>
      <c r="AR876" s="136" t="str">
        <f>IF(AH860="","",IF(K876="","",K876))</f>
        <v/>
      </c>
      <c r="AS876" s="136" t="str">
        <f>IF(AH860="","",IF(L876="","",L876))</f>
        <v/>
      </c>
      <c r="AT876" s="136" t="str">
        <f>IF(AH860="","",IF(M876="","",M876))</f>
        <v/>
      </c>
      <c r="AU876" s="136" t="str">
        <f>IF(AH860="","",IF(N876="","",N876))</f>
        <v/>
      </c>
      <c r="AV876" s="136" t="str">
        <f>IF(AH860="","",IF(O876="","",O876))</f>
        <v/>
      </c>
      <c r="AX876" s="136" t="str">
        <f>IF(AI860="","",IF(B876="","",B876))</f>
        <v/>
      </c>
      <c r="AY876" s="136" t="str">
        <f>IF(AI860="","",IF(C876="","",C876))</f>
        <v/>
      </c>
      <c r="AZ876" s="136" t="str">
        <f>IF(AI860="","",IF(D876="","",D876))</f>
        <v/>
      </c>
      <c r="BA876" s="136" t="str">
        <f>IF(AI860="","",IF(E876="","",E876))</f>
        <v/>
      </c>
      <c r="BB876" s="136" t="str">
        <f>IF(AI860="","",IF(F876="","",F876))</f>
        <v/>
      </c>
      <c r="BC876" s="136" t="str">
        <f>IF(AI860="","",IF(G876="","",G876))</f>
        <v/>
      </c>
      <c r="BD876" s="136" t="str">
        <f>IF(AI860="","",IF(H876="","",H876))</f>
        <v/>
      </c>
      <c r="BE876" s="136" t="str">
        <f>IF(AI860="","",IF(I876="","",I876))</f>
        <v/>
      </c>
      <c r="BF876" s="136" t="str">
        <f>IF(AI860="","",IF(J876="","",J876))</f>
        <v/>
      </c>
      <c r="BG876" s="136" t="str">
        <f>IF(AI860="","",IF(K876="","",K876))</f>
        <v/>
      </c>
      <c r="BH876" s="136" t="str">
        <f>IF(AI860="","",IF(L876="","",L876))</f>
        <v/>
      </c>
      <c r="BI876" s="136" t="str">
        <f>IF(AI860="","",IF(M876="","",M876))</f>
        <v/>
      </c>
      <c r="BJ876" s="136" t="str">
        <f>IF(AI860="","",IF(N876="","",N876))</f>
        <v/>
      </c>
      <c r="BK876" s="136" t="str">
        <f>IF(AI860="","",IF(O876="","",O876))</f>
        <v/>
      </c>
      <c r="BM876" s="136" t="str">
        <f t="shared" si="497"/>
        <v>EA</v>
      </c>
      <c r="BN876" s="136" t="str">
        <f t="shared" si="494"/>
        <v>Estudo Autónomo</v>
      </c>
      <c r="BO876" s="136" t="str">
        <f t="shared" si="494"/>
        <v>AL</v>
      </c>
      <c r="BP876" s="136">
        <f>(COUNTIFS(AX864:AX911,BM876,AY864:AY911,BO876)+COUNTIFS(AZ864:AZ911,BM876,BA864:BA911,BO876)+COUNTIFS(BB864:BB911,BM876,BC864:BC911,BO876)+COUNTIFS(BD864:BD911,BM876,BE864:BE911,BO876)+COUNTIFS(BF864:BF911,BM876,BG864:BG911,BO876)+COUNTIFS(BH864:BH911,BM876,BI864:BI911,BO876)+COUNTIFS(BJ864:BJ911,BM876,BK864:BK911,BO876))*0.5</f>
        <v>0</v>
      </c>
      <c r="BQ876" s="136" t="str">
        <f t="shared" si="495"/>
        <v>Estudo Autónomo</v>
      </c>
      <c r="BR876" s="136" t="str">
        <f t="shared" si="495"/>
        <v>AL</v>
      </c>
      <c r="BS876" s="136" t="str">
        <f t="shared" si="496"/>
        <v>Estudo Autónomo</v>
      </c>
      <c r="BT876" s="136">
        <f t="shared" ref="BT876:BT908" si="502">SUMIFS(V:V,Q:Q,BQ876,R:R,BR876)</f>
        <v>24</v>
      </c>
      <c r="BU876" s="136">
        <f t="shared" ref="BU876:BU908" si="503">SUMIFS(BP:BP,BN:BN,BQ876,BO:BO,BR876)</f>
        <v>25.5</v>
      </c>
      <c r="CA876" s="136">
        <f>'INFO BASE'!L956</f>
        <v>0</v>
      </c>
      <c r="CB876" s="136">
        <f>'INFO BASE'!M956</f>
        <v>0</v>
      </c>
      <c r="CD876" s="136" t="str">
        <f>IF('INFO BASE'!E890="","",'INFO BASE'!E890)</f>
        <v/>
      </c>
      <c r="CR876" s="177">
        <f t="shared" si="484"/>
        <v>1</v>
      </c>
      <c r="CS876" s="177">
        <f t="shared" si="485"/>
        <v>1</v>
      </c>
      <c r="CT876" s="177">
        <f t="shared" si="484"/>
        <v>1</v>
      </c>
      <c r="CU876" s="177">
        <f t="shared" si="486"/>
        <v>1</v>
      </c>
      <c r="CV876" s="177">
        <f t="shared" si="484"/>
        <v>1</v>
      </c>
      <c r="CW876" s="177">
        <f t="shared" si="487"/>
        <v>1</v>
      </c>
      <c r="CX876" s="177">
        <f t="shared" si="484"/>
        <v>1</v>
      </c>
      <c r="CY876" s="177">
        <f t="shared" si="488"/>
        <v>1</v>
      </c>
      <c r="CZ876" s="177">
        <f t="shared" si="484"/>
        <v>1</v>
      </c>
      <c r="DA876" s="177">
        <f t="shared" si="489"/>
        <v>1</v>
      </c>
      <c r="DB876" s="177">
        <f t="shared" si="484"/>
        <v>1</v>
      </c>
      <c r="DC876" s="177">
        <f t="shared" si="490"/>
        <v>1</v>
      </c>
      <c r="DD876" s="177">
        <f t="shared" si="491"/>
        <v>1</v>
      </c>
      <c r="DE876" s="177">
        <f t="shared" si="492"/>
        <v>1</v>
      </c>
    </row>
    <row r="877" spans="1:109" ht="18" customHeight="1" x14ac:dyDescent="0.3">
      <c r="A877" s="81">
        <v>0.27083333333334197</v>
      </c>
      <c r="B877" s="153"/>
      <c r="C877" s="130"/>
      <c r="D877" s="135"/>
      <c r="E877" s="130"/>
      <c r="F877" s="135"/>
      <c r="G877" s="130"/>
      <c r="H877" s="135"/>
      <c r="I877" s="130"/>
      <c r="J877" s="135"/>
      <c r="K877" s="130"/>
      <c r="L877" s="135"/>
      <c r="M877" s="130"/>
      <c r="N877" s="135"/>
      <c r="O877" s="154"/>
      <c r="P877" s="6">
        <v>0</v>
      </c>
      <c r="Q877" s="110" t="str">
        <f t="shared" si="500"/>
        <v>Estudo Autónomo</v>
      </c>
      <c r="R877" s="105" t="str">
        <f t="shared" si="501"/>
        <v>IEI</v>
      </c>
      <c r="S877" s="88">
        <f t="shared" si="498"/>
        <v>-1</v>
      </c>
      <c r="T877" s="89">
        <f>IF(VLOOKUP(Q877,'INFO BASE'!$B$40:$I$54,IF(R877='INFO BASE'!$B$32,3,IF(R877='INFO BASE'!$B$33,4,IF(R877='INFO BASE'!$B$34,5,IF(R877='INFO BASE'!$B$35,6,IF(R877='INFO BASE'!$B$36,7,IF(R877='INFO BASE'!$B$37,8,2)))))),0)=0,"",VLOOKUP(Q877,'INFO BASE'!$B$40:$I$54,IF(R877='INFO BASE'!$B$32,3,IF(R877='INFO BASE'!$B$33,4,IF(R877='INFO BASE'!$B$34,5,IF(R877='INFO BASE'!$B$35,6,IF(R877='INFO BASE'!$B$36,7,IF(R877='INFO BASE'!$B$37,8,2)))))),0))</f>
        <v>2</v>
      </c>
      <c r="U877" s="89">
        <f>(COUNTIFS(C864:C911,R877,B864:B911,R875)+COUNTIFS(E864:E911,R877,D864:D911,R875)+COUNTIFS(G864:G911,R877,F864:F911,R875)+COUNTIFS(I864:I911,R877,H864:H911,R875)+COUNTIFS(K864:K911,R877,J864:J911,R875)+COUNTIFS(M864:M911,R877,L864:L911,R875)+COUNTIFS(O864:O911,R877,N864:N911,R875))*0.5</f>
        <v>0</v>
      </c>
      <c r="V877" s="89">
        <f>(COUNTIFS(AI864:AI911,R875,AJ864:AJ911,R877)+COUNTIFS(AK864:AK911,R875,AL864:AL911,R877)+COUNTIFS(AM864:AM911,R875,AN864:AN911,R877)+COUNTIFS(AO864:AO911,R875,AP864:AP911,R877)+COUNTIFS(AQ864:AQ911,R875,AR864:AR911,R877)+COUNTIFS(AS864:AS911,R875,AT864:AT911,R877)+COUNTIFS(AU864:AU911,R875,AV864:AV911,R877))*0.5</f>
        <v>0</v>
      </c>
      <c r="W877" s="90" t="str">
        <f>IF(AH860="","-",IF(V877=0,U877,IFERROR((U877/V877)-1,"-")))</f>
        <v>-</v>
      </c>
      <c r="X877" s="200">
        <f t="shared" si="499"/>
        <v>0</v>
      </c>
      <c r="Y877" s="299"/>
      <c r="Z877" s="300"/>
      <c r="AA877" s="300"/>
      <c r="AB877" s="300"/>
      <c r="AC877" s="300"/>
      <c r="AD877" s="300"/>
      <c r="AE877" s="300"/>
      <c r="AF877" s="301"/>
      <c r="AH877" s="136">
        <v>0.27083333333334197</v>
      </c>
      <c r="AI877" s="136" t="str">
        <f>IF(AH860="","",IF(B877="","",B877))</f>
        <v/>
      </c>
      <c r="AJ877" s="136" t="str">
        <f>IF(AH860="","",IF(C877="","",C877))</f>
        <v/>
      </c>
      <c r="AK877" s="136" t="str">
        <f>IF(AH860="","",IF(D877="","",D877))</f>
        <v/>
      </c>
      <c r="AL877" s="136" t="str">
        <f>IF(AH860="","",IF(E877="","",E877))</f>
        <v/>
      </c>
      <c r="AM877" s="136" t="str">
        <f>IF(AH860="","",IF(F877="","",F877))</f>
        <v/>
      </c>
      <c r="AN877" s="136" t="str">
        <f>IF(AH860="","",IF(G877="","",G877))</f>
        <v/>
      </c>
      <c r="AO877" s="136" t="str">
        <f>IF(AH860="","",IF(H877="","",H877))</f>
        <v/>
      </c>
      <c r="AP877" s="136" t="str">
        <f>IF(AH860="","",IF(I877="","",I877))</f>
        <v/>
      </c>
      <c r="AQ877" s="136" t="str">
        <f>IF(AH860="","",IF(J877="","",J877))</f>
        <v/>
      </c>
      <c r="AR877" s="136" t="str">
        <f>IF(AH860="","",IF(K877="","",K877))</f>
        <v/>
      </c>
      <c r="AS877" s="136" t="str">
        <f>IF(AH860="","",IF(L877="","",L877))</f>
        <v/>
      </c>
      <c r="AT877" s="136" t="str">
        <f>IF(AH860="","",IF(M877="","",M877))</f>
        <v/>
      </c>
      <c r="AU877" s="136" t="str">
        <f>IF(AH860="","",IF(N877="","",N877))</f>
        <v/>
      </c>
      <c r="AV877" s="136" t="str">
        <f>IF(AH860="","",IF(O877="","",O877))</f>
        <v/>
      </c>
      <c r="AX877" s="136" t="str">
        <f>IF(AI860="","",IF(B877="","",B877))</f>
        <v/>
      </c>
      <c r="AY877" s="136" t="str">
        <f>IF(AI860="","",IF(C877="","",C877))</f>
        <v/>
      </c>
      <c r="AZ877" s="136" t="str">
        <f>IF(AI860="","",IF(D877="","",D877))</f>
        <v/>
      </c>
      <c r="BA877" s="136" t="str">
        <f>IF(AI860="","",IF(E877="","",E877))</f>
        <v/>
      </c>
      <c r="BB877" s="136" t="str">
        <f>IF(AI860="","",IF(F877="","",F877))</f>
        <v/>
      </c>
      <c r="BC877" s="136" t="str">
        <f>IF(AI860="","",IF(G877="","",G877))</f>
        <v/>
      </c>
      <c r="BD877" s="136" t="str">
        <f>IF(AI860="","",IF(H877="","",H877))</f>
        <v/>
      </c>
      <c r="BE877" s="136" t="str">
        <f>IF(AI860="","",IF(I877="","",I877))</f>
        <v/>
      </c>
      <c r="BF877" s="136" t="str">
        <f>IF(AI860="","",IF(J877="","",J877))</f>
        <v/>
      </c>
      <c r="BG877" s="136" t="str">
        <f>IF(AI860="","",IF(K877="","",K877))</f>
        <v/>
      </c>
      <c r="BH877" s="136" t="str">
        <f>IF(AI860="","",IF(L877="","",L877))</f>
        <v/>
      </c>
      <c r="BI877" s="136" t="str">
        <f>IF(AI860="","",IF(M877="","",M877))</f>
        <v/>
      </c>
      <c r="BJ877" s="136" t="str">
        <f>IF(AI860="","",IF(N877="","",N877))</f>
        <v/>
      </c>
      <c r="BK877" s="136" t="str">
        <f>IF(AI860="","",IF(O877="","",O877))</f>
        <v/>
      </c>
      <c r="BM877" s="136" t="str">
        <f t="shared" si="497"/>
        <v>EA</v>
      </c>
      <c r="BN877" s="136" t="str">
        <f t="shared" si="494"/>
        <v>Estudo Autónomo</v>
      </c>
      <c r="BO877" s="136" t="str">
        <f t="shared" si="494"/>
        <v>CDI</v>
      </c>
      <c r="BP877" s="136">
        <f>(COUNTIFS(AX864:AX911,BM877,AY864:AY911,BO877)+COUNTIFS(AZ864:AZ911,BM877,BA864:BA911,BO877)+COUNTIFS(BB864:BB911,BM877,BC864:BC911,BO877)+COUNTIFS(BD864:BD911,BM877,BE864:BE911,BO877)+COUNTIFS(BF864:BF911,BM877,BG864:BG911,BO877)+COUNTIFS(BH864:BH911,BM877,BI864:BI911,BO877)+COUNTIFS(BJ864:BJ911,BM877,BK864:BK911,BO877))*0.5</f>
        <v>0</v>
      </c>
      <c r="BQ877" s="136" t="str">
        <f t="shared" si="495"/>
        <v>Estudo Autónomo</v>
      </c>
      <c r="BR877" s="136" t="str">
        <f t="shared" si="495"/>
        <v>CDI</v>
      </c>
      <c r="BS877" s="136" t="str">
        <f t="shared" si="496"/>
        <v>Estudo Autónomo</v>
      </c>
      <c r="BT877" s="136">
        <f t="shared" si="502"/>
        <v>9.5</v>
      </c>
      <c r="BU877" s="136">
        <f t="shared" si="503"/>
        <v>7.5</v>
      </c>
      <c r="CA877" s="136">
        <f>'INFO BASE'!L957</f>
        <v>0</v>
      </c>
      <c r="CB877" s="136">
        <f>'INFO BASE'!M957</f>
        <v>0</v>
      </c>
      <c r="CD877" s="136" t="str">
        <f>IF('INFO BASE'!E891="","",'INFO BASE'!E891)</f>
        <v/>
      </c>
      <c r="CR877" s="177">
        <f t="shared" si="484"/>
        <v>1</v>
      </c>
      <c r="CS877" s="177">
        <f t="shared" si="485"/>
        <v>1</v>
      </c>
      <c r="CT877" s="177">
        <f t="shared" si="484"/>
        <v>1</v>
      </c>
      <c r="CU877" s="177">
        <f t="shared" si="486"/>
        <v>1</v>
      </c>
      <c r="CV877" s="177">
        <f t="shared" si="484"/>
        <v>1</v>
      </c>
      <c r="CW877" s="177">
        <f t="shared" si="487"/>
        <v>1</v>
      </c>
      <c r="CX877" s="177">
        <f t="shared" si="484"/>
        <v>1</v>
      </c>
      <c r="CY877" s="177">
        <f t="shared" si="488"/>
        <v>1</v>
      </c>
      <c r="CZ877" s="177">
        <f t="shared" si="484"/>
        <v>1</v>
      </c>
      <c r="DA877" s="177">
        <f t="shared" si="489"/>
        <v>1</v>
      </c>
      <c r="DB877" s="177">
        <f t="shared" si="484"/>
        <v>1</v>
      </c>
      <c r="DC877" s="177">
        <f t="shared" si="490"/>
        <v>1</v>
      </c>
      <c r="DD877" s="177">
        <f t="shared" si="491"/>
        <v>1</v>
      </c>
      <c r="DE877" s="177">
        <f t="shared" si="492"/>
        <v>1</v>
      </c>
    </row>
    <row r="878" spans="1:109" ht="18" customHeight="1" x14ac:dyDescent="0.3">
      <c r="A878" s="81">
        <v>0.29166666666667601</v>
      </c>
      <c r="B878" s="153"/>
      <c r="C878" s="130"/>
      <c r="D878" s="135"/>
      <c r="E878" s="130"/>
      <c r="F878" s="135"/>
      <c r="G878" s="130"/>
      <c r="H878" s="135"/>
      <c r="I878" s="130"/>
      <c r="J878" s="135"/>
      <c r="K878" s="130"/>
      <c r="L878" s="135"/>
      <c r="M878" s="130"/>
      <c r="N878" s="135"/>
      <c r="O878" s="154"/>
      <c r="P878" s="6">
        <v>0</v>
      </c>
      <c r="Q878" s="111" t="str">
        <f t="shared" si="500"/>
        <v>Estudo Autónomo</v>
      </c>
      <c r="R878" s="105" t="str">
        <f t="shared" si="501"/>
        <v>IAC</v>
      </c>
      <c r="S878" s="88">
        <f t="shared" si="498"/>
        <v>-1</v>
      </c>
      <c r="T878" s="89">
        <f>IF(VLOOKUP(Q878,'INFO BASE'!$B$40:$I$54,IF(R878='INFO BASE'!$B$32,3,IF(R878='INFO BASE'!$B$33,4,IF(R878='INFO BASE'!$B$34,5,IF(R878='INFO BASE'!$B$35,6,IF(R878='INFO BASE'!$B$36,7,IF(R878='INFO BASE'!$B$37,8,2)))))),0)=0,"",VLOOKUP(Q878,'INFO BASE'!$B$40:$I$54,IF(R878='INFO BASE'!$B$32,3,IF(R878='INFO BASE'!$B$33,4,IF(R878='INFO BASE'!$B$34,5,IF(R878='INFO BASE'!$B$35,6,IF(R878='INFO BASE'!$B$36,7,IF(R878='INFO BASE'!$B$37,8,2)))))),0))</f>
        <v>2</v>
      </c>
      <c r="U878" s="89">
        <f>(COUNTIFS(C864:C911,R878,B864:B911,R875)+COUNTIFS(E864:E911,R878,D864:D911,R875)+COUNTIFS(G864:G911,R878,F864:F911,R875)+COUNTIFS(I864:I911,R878,H864:H911,R875)+COUNTIFS(K864:K911,R878,J864:J911,R875)+COUNTIFS(M864:M911,R878,L864:L911,R875)+COUNTIFS(O864:O911,R878,N864:N911,R875))*0.5</f>
        <v>0</v>
      </c>
      <c r="V878" s="89">
        <f>(COUNTIFS(AI864:AI911,R875,AJ864:AJ911,R878)+COUNTIFS(AK864:AK911,R875,AL864:AL911,R878)+COUNTIFS(AM864:AM911,R875,AN864:AN911,R878)+COUNTIFS(AO864:AO911,R875,AP864:AP911,R878)+COUNTIFS(AQ864:AQ911,R875,AR864:AR911,R878)+COUNTIFS(AS864:AS911,R875,AT864:AT911,R878)+COUNTIFS(AU864:AU911,R875,AV864:AV911,R878))*0.5</f>
        <v>0</v>
      </c>
      <c r="W878" s="90" t="str">
        <f>IF(AH860="","-",IF(V878=0,U878,IFERROR((U878/V878)-1,"-")))</f>
        <v>-</v>
      </c>
      <c r="X878" s="200">
        <f t="shared" si="499"/>
        <v>0</v>
      </c>
      <c r="Y878" s="299"/>
      <c r="Z878" s="300"/>
      <c r="AA878" s="300"/>
      <c r="AB878" s="300"/>
      <c r="AC878" s="300"/>
      <c r="AD878" s="300"/>
      <c r="AE878" s="300"/>
      <c r="AF878" s="301"/>
      <c r="AH878" s="136">
        <v>0.29166666666667601</v>
      </c>
      <c r="AI878" s="136" t="str">
        <f>IF(AH860="","",IF(B878="","",B878))</f>
        <v/>
      </c>
      <c r="AJ878" s="136" t="str">
        <f>IF(AH860="","",IF(C878="","",C878))</f>
        <v/>
      </c>
      <c r="AK878" s="136" t="str">
        <f>IF(AH860="","",IF(D878="","",D878))</f>
        <v/>
      </c>
      <c r="AL878" s="136" t="str">
        <f>IF(AH860="","",IF(E878="","",E878))</f>
        <v/>
      </c>
      <c r="AM878" s="136" t="str">
        <f>IF(AH860="","",IF(F878="","",F878))</f>
        <v/>
      </c>
      <c r="AN878" s="136" t="str">
        <f>IF(AH860="","",IF(G878="","",G878))</f>
        <v/>
      </c>
      <c r="AO878" s="136" t="str">
        <f>IF(AH860="","",IF(H878="","",H878))</f>
        <v/>
      </c>
      <c r="AP878" s="136" t="str">
        <f>IF(AH860="","",IF(I878="","",I878))</f>
        <v/>
      </c>
      <c r="AQ878" s="136" t="str">
        <f>IF(AH860="","",IF(J878="","",J878))</f>
        <v/>
      </c>
      <c r="AR878" s="136" t="str">
        <f>IF(AH860="","",IF(K878="","",K878))</f>
        <v/>
      </c>
      <c r="AS878" s="136" t="str">
        <f>IF(AH860="","",IF(L878="","",L878))</f>
        <v/>
      </c>
      <c r="AT878" s="136" t="str">
        <f>IF(AH860="","",IF(M878="","",M878))</f>
        <v/>
      </c>
      <c r="AU878" s="136" t="str">
        <f>IF(AH860="","",IF(N878="","",N878))</f>
        <v/>
      </c>
      <c r="AV878" s="136" t="str">
        <f>IF(AH860="","",IF(O878="","",O878))</f>
        <v/>
      </c>
      <c r="AX878" s="136" t="str">
        <f>IF(AI860="","",IF(B878="","",B878))</f>
        <v/>
      </c>
      <c r="AY878" s="136" t="str">
        <f>IF(AI860="","",IF(C878="","",C878))</f>
        <v/>
      </c>
      <c r="AZ878" s="136" t="str">
        <f>IF(AI860="","",IF(D878="","",D878))</f>
        <v/>
      </c>
      <c r="BA878" s="136" t="str">
        <f>IF(AI860="","",IF(E878="","",E878))</f>
        <v/>
      </c>
      <c r="BB878" s="136" t="str">
        <f>IF(AI860="","",IF(F878="","",F878))</f>
        <v/>
      </c>
      <c r="BC878" s="136" t="str">
        <f>IF(AI860="","",IF(G878="","",G878))</f>
        <v/>
      </c>
      <c r="BD878" s="136" t="str">
        <f>IF(AI860="","",IF(H878="","",H878))</f>
        <v/>
      </c>
      <c r="BE878" s="136" t="str">
        <f>IF(AI860="","",IF(I878="","",I878))</f>
        <v/>
      </c>
      <c r="BF878" s="136" t="str">
        <f>IF(AI860="","",IF(J878="","",J878))</f>
        <v/>
      </c>
      <c r="BG878" s="136" t="str">
        <f>IF(AI860="","",IF(K878="","",K878))</f>
        <v/>
      </c>
      <c r="BH878" s="136" t="str">
        <f>IF(AI860="","",IF(L878="","",L878))</f>
        <v/>
      </c>
      <c r="BI878" s="136" t="str">
        <f>IF(AI860="","",IF(M878="","",M878))</f>
        <v/>
      </c>
      <c r="BJ878" s="136" t="str">
        <f>IF(AI860="","",IF(N878="","",N878))</f>
        <v/>
      </c>
      <c r="BK878" s="136" t="str">
        <f>IF(AI860="","",IF(O878="","",O878))</f>
        <v/>
      </c>
      <c r="BM878" s="136" t="str">
        <f t="shared" si="497"/>
        <v>EA</v>
      </c>
      <c r="BN878" s="136" t="str">
        <f t="shared" si="494"/>
        <v>Estudo Autónomo</v>
      </c>
      <c r="BO878" s="136" t="str">
        <f t="shared" si="494"/>
        <v/>
      </c>
      <c r="BP878" s="136">
        <f>(COUNTIFS(AX864:AX911,BM878,AY864:AY911,BO878)+COUNTIFS(AZ864:AZ911,BM878,BA864:BA911,BO878)+COUNTIFS(BB864:BB911,BM878,BC864:BC911,BO878)+COUNTIFS(BD864:BD911,BM878,BE864:BE911,BO878)+COUNTIFS(BF864:BF911,BM878,BG864:BG911,BO878)+COUNTIFS(BH864:BH911,BM878,BI864:BI911,BO878)+COUNTIFS(BJ864:BJ911,BM878,BK864:BK911,BO878))*0.5</f>
        <v>0</v>
      </c>
      <c r="BQ878" s="136" t="str">
        <f t="shared" si="495"/>
        <v>Estudo Autónomo</v>
      </c>
      <c r="BR878" s="136" t="str">
        <f t="shared" si="495"/>
        <v/>
      </c>
      <c r="BS878" s="136" t="str">
        <f t="shared" si="496"/>
        <v>Estudo Autónomo</v>
      </c>
      <c r="BT878" s="136">
        <f t="shared" si="502"/>
        <v>0</v>
      </c>
      <c r="BU878" s="136">
        <f t="shared" si="503"/>
        <v>0</v>
      </c>
      <c r="CA878" s="136">
        <f>'INFO BASE'!L958</f>
        <v>0</v>
      </c>
      <c r="CB878" s="136">
        <f>'INFO BASE'!M958</f>
        <v>0</v>
      </c>
      <c r="CD878" s="136" t="str">
        <f>IF('INFO BASE'!E892="","",'INFO BASE'!E892)</f>
        <v/>
      </c>
      <c r="CR878" s="177">
        <f t="shared" si="484"/>
        <v>1</v>
      </c>
      <c r="CS878" s="177">
        <f t="shared" si="485"/>
        <v>1</v>
      </c>
      <c r="CT878" s="177">
        <f t="shared" si="484"/>
        <v>1</v>
      </c>
      <c r="CU878" s="177">
        <f t="shared" si="486"/>
        <v>1</v>
      </c>
      <c r="CV878" s="177">
        <f t="shared" si="484"/>
        <v>1</v>
      </c>
      <c r="CW878" s="177">
        <f t="shared" si="487"/>
        <v>1</v>
      </c>
      <c r="CX878" s="177">
        <f t="shared" si="484"/>
        <v>1</v>
      </c>
      <c r="CY878" s="177">
        <f t="shared" si="488"/>
        <v>1</v>
      </c>
      <c r="CZ878" s="177">
        <f t="shared" si="484"/>
        <v>1</v>
      </c>
      <c r="DA878" s="177">
        <f t="shared" si="489"/>
        <v>1</v>
      </c>
      <c r="DB878" s="177">
        <f t="shared" si="484"/>
        <v>1</v>
      </c>
      <c r="DC878" s="177">
        <f t="shared" si="490"/>
        <v>1</v>
      </c>
      <c r="DD878" s="177">
        <f t="shared" si="491"/>
        <v>1</v>
      </c>
      <c r="DE878" s="177">
        <f t="shared" si="492"/>
        <v>1</v>
      </c>
    </row>
    <row r="879" spans="1:109" ht="18" customHeight="1" x14ac:dyDescent="0.3">
      <c r="A879" s="81">
        <v>0.31250000000000999</v>
      </c>
      <c r="B879" s="153"/>
      <c r="C879" s="130"/>
      <c r="D879" s="135"/>
      <c r="E879" s="130"/>
      <c r="F879" s="135"/>
      <c r="G879" s="130"/>
      <c r="H879" s="135"/>
      <c r="I879" s="130"/>
      <c r="J879" s="135"/>
      <c r="K879" s="130"/>
      <c r="L879" s="135"/>
      <c r="M879" s="130"/>
      <c r="N879" s="135"/>
      <c r="O879" s="154"/>
      <c r="P879" s="6">
        <v>0</v>
      </c>
      <c r="Q879" s="110" t="str">
        <f t="shared" si="500"/>
        <v>Estudo Autónomo</v>
      </c>
      <c r="R879" s="105" t="str">
        <f t="shared" si="501"/>
        <v>AL</v>
      </c>
      <c r="S879" s="88">
        <f t="shared" si="498"/>
        <v>-1</v>
      </c>
      <c r="T879" s="89">
        <f>IF(VLOOKUP(Q879,'INFO BASE'!$B$40:$I$54,IF(R879='INFO BASE'!$B$32,3,IF(R879='INFO BASE'!$B$33,4,IF(R879='INFO BASE'!$B$34,5,IF(R879='INFO BASE'!$B$35,6,IF(R879='INFO BASE'!$B$36,7,IF(R879='INFO BASE'!$B$37,8,2)))))),0)=0,"",VLOOKUP(Q879,'INFO BASE'!$B$40:$I$54,IF(R879='INFO BASE'!$B$32,3,IF(R879='INFO BASE'!$B$33,4,IF(R879='INFO BASE'!$B$34,5,IF(R879='INFO BASE'!$B$35,6,IF(R879='INFO BASE'!$B$36,7,IF(R879='INFO BASE'!$B$37,8,2)))))),0))</f>
        <v>5</v>
      </c>
      <c r="U879" s="89">
        <f>(COUNTIFS(C864:C911,R879,B864:B911,R875)+COUNTIFS(E864:E911,R879,D864:D911,R875)+COUNTIFS(G864:G911,R879,F864:F911,R875)+COUNTIFS(I864:I911,R879,H864:H911,R875)+COUNTIFS(K864:K911,R879,J864:J911,R875)+COUNTIFS(M864:M911,R879,L864:L911,R875)+COUNTIFS(O864:O911,R879,N864:N911,R875))*0.5</f>
        <v>0</v>
      </c>
      <c r="V879" s="89">
        <f>(COUNTIFS(AI864:AI911,R875,AJ864:AJ911,R879)+COUNTIFS(AK864:AK911,R875,AL864:AL911,R879)+COUNTIFS(AM864:AM911,R875,AN864:AN911,R879)+COUNTIFS(AO864:AO911,R875,AP864:AP911,R879)+COUNTIFS(AQ864:AQ911,R875,AR864:AR911,R879)+COUNTIFS(AS864:AS911,R875,AT864:AT911,R879)+COUNTIFS(AU864:AU911,R875,AV864:AV911,R879))*0.5</f>
        <v>0</v>
      </c>
      <c r="W879" s="90" t="str">
        <f>IF(AH860="","-",IF(V879=0,U879,IFERROR((U879/V879)-1,"-")))</f>
        <v>-</v>
      </c>
      <c r="X879" s="200">
        <f t="shared" si="499"/>
        <v>0</v>
      </c>
      <c r="Y879" s="299"/>
      <c r="Z879" s="300"/>
      <c r="AA879" s="300"/>
      <c r="AB879" s="300"/>
      <c r="AC879" s="300"/>
      <c r="AD879" s="300"/>
      <c r="AE879" s="300"/>
      <c r="AF879" s="301"/>
      <c r="AH879" s="136">
        <v>0.31250000000000999</v>
      </c>
      <c r="AI879" s="136" t="str">
        <f>IF(AH860="","",IF(B879="","",B879))</f>
        <v/>
      </c>
      <c r="AJ879" s="136" t="str">
        <f>IF(AH860="","",IF(C879="","",C879))</f>
        <v/>
      </c>
      <c r="AK879" s="136" t="str">
        <f>IF(AH860="","",IF(D879="","",D879))</f>
        <v/>
      </c>
      <c r="AL879" s="136" t="str">
        <f>IF(AH860="","",IF(E879="","",E879))</f>
        <v/>
      </c>
      <c r="AM879" s="136" t="str">
        <f>IF(AH860="","",IF(F879="","",F879))</f>
        <v/>
      </c>
      <c r="AN879" s="136" t="str">
        <f>IF(AH860="","",IF(G879="","",G879))</f>
        <v/>
      </c>
      <c r="AO879" s="136" t="str">
        <f>IF(AH860="","",IF(H879="","",H879))</f>
        <v/>
      </c>
      <c r="AP879" s="136" t="str">
        <f>IF(AH860="","",IF(I879="","",I879))</f>
        <v/>
      </c>
      <c r="AQ879" s="136" t="str">
        <f>IF(AH860="","",IF(J879="","",J879))</f>
        <v/>
      </c>
      <c r="AR879" s="136" t="str">
        <f>IF(AH860="","",IF(K879="","",K879))</f>
        <v/>
      </c>
      <c r="AS879" s="136" t="str">
        <f>IF(AH860="","",IF(L879="","",L879))</f>
        <v/>
      </c>
      <c r="AT879" s="136" t="str">
        <f>IF(AH860="","",IF(M879="","",M879))</f>
        <v/>
      </c>
      <c r="AU879" s="136" t="str">
        <f>IF(AH860="","",IF(N879="","",N879))</f>
        <v/>
      </c>
      <c r="AV879" s="136" t="str">
        <f>IF(AH860="","",IF(O879="","",O879))</f>
        <v/>
      </c>
      <c r="AX879" s="136" t="str">
        <f>IF(AI860="","",IF(B879="","",B879))</f>
        <v/>
      </c>
      <c r="AY879" s="136" t="str">
        <f>IF(AI860="","",IF(C879="","",C879))</f>
        <v/>
      </c>
      <c r="AZ879" s="136" t="str">
        <f>IF(AI860="","",IF(D879="","",D879))</f>
        <v/>
      </c>
      <c r="BA879" s="136" t="str">
        <f>IF(AI860="","",IF(E879="","",E879))</f>
        <v/>
      </c>
      <c r="BB879" s="136" t="str">
        <f>IF(AI860="","",IF(F879="","",F879))</f>
        <v/>
      </c>
      <c r="BC879" s="136" t="str">
        <f>IF(AI860="","",IF(G879="","",G879))</f>
        <v/>
      </c>
      <c r="BD879" s="136" t="str">
        <f>IF(AI860="","",IF(H879="","",H879))</f>
        <v/>
      </c>
      <c r="BE879" s="136" t="str">
        <f>IF(AI860="","",IF(I879="","",I879))</f>
        <v/>
      </c>
      <c r="BF879" s="136" t="str">
        <f>IF(AI860="","",IF(J879="","",J879))</f>
        <v/>
      </c>
      <c r="BG879" s="136" t="str">
        <f>IF(AI860="","",IF(K879="","",K879))</f>
        <v/>
      </c>
      <c r="BH879" s="136" t="str">
        <f>IF(AI860="","",IF(L879="","",L879))</f>
        <v/>
      </c>
      <c r="BI879" s="136" t="str">
        <f>IF(AI860="","",IF(M879="","",M879))</f>
        <v/>
      </c>
      <c r="BJ879" s="136" t="str">
        <f>IF(AI860="","",IF(N879="","",N879))</f>
        <v/>
      </c>
      <c r="BK879" s="136" t="str">
        <f>IF(AI860="","",IF(O879="","",O879))</f>
        <v/>
      </c>
      <c r="BM879" s="136" t="str">
        <f>BO879</f>
        <v>EG</v>
      </c>
      <c r="BN879" s="136" t="str">
        <f t="shared" si="494"/>
        <v>Estudo em Grupo</v>
      </c>
      <c r="BO879" s="136" t="str">
        <f t="shared" si="494"/>
        <v>EG</v>
      </c>
      <c r="BP879" s="136">
        <f>COUNTIFS(AX864:BK911,BO879)*0.5</f>
        <v>0</v>
      </c>
      <c r="BQ879" s="136" t="str">
        <f t="shared" si="495"/>
        <v>Estudo em Grupo</v>
      </c>
      <c r="BR879" s="136" t="str">
        <f t="shared" si="495"/>
        <v>EG</v>
      </c>
      <c r="BS879" s="136" t="str">
        <f t="shared" si="496"/>
        <v>Estudo em Grupo</v>
      </c>
      <c r="BT879" s="136">
        <f t="shared" si="502"/>
        <v>46.5</v>
      </c>
      <c r="BU879" s="136">
        <f t="shared" si="503"/>
        <v>55.5</v>
      </c>
      <c r="CA879" s="136">
        <f>'INFO BASE'!L959</f>
        <v>0</v>
      </c>
      <c r="CB879" s="136">
        <f>'INFO BASE'!M959</f>
        <v>0</v>
      </c>
      <c r="CD879" s="136" t="str">
        <f>IF('INFO BASE'!E893="","",'INFO BASE'!E893)</f>
        <v/>
      </c>
      <c r="CR879" s="177">
        <f t="shared" si="484"/>
        <v>1</v>
      </c>
      <c r="CS879" s="177">
        <f t="shared" si="485"/>
        <v>1</v>
      </c>
      <c r="CT879" s="177">
        <f t="shared" si="484"/>
        <v>1</v>
      </c>
      <c r="CU879" s="177">
        <f t="shared" si="486"/>
        <v>1</v>
      </c>
      <c r="CV879" s="177">
        <f t="shared" si="484"/>
        <v>1</v>
      </c>
      <c r="CW879" s="177">
        <f t="shared" si="487"/>
        <v>1</v>
      </c>
      <c r="CX879" s="177">
        <f t="shared" si="484"/>
        <v>1</v>
      </c>
      <c r="CY879" s="177">
        <f t="shared" si="488"/>
        <v>1</v>
      </c>
      <c r="CZ879" s="177">
        <f t="shared" si="484"/>
        <v>1</v>
      </c>
      <c r="DA879" s="177">
        <f t="shared" si="489"/>
        <v>1</v>
      </c>
      <c r="DB879" s="177">
        <f t="shared" si="484"/>
        <v>1</v>
      </c>
      <c r="DC879" s="177">
        <f t="shared" si="490"/>
        <v>1</v>
      </c>
      <c r="DD879" s="177">
        <f t="shared" si="491"/>
        <v>1</v>
      </c>
      <c r="DE879" s="177">
        <f t="shared" si="492"/>
        <v>1</v>
      </c>
    </row>
    <row r="880" spans="1:109" ht="18" customHeight="1" x14ac:dyDescent="0.3">
      <c r="A880" s="81">
        <v>0.33333333333334397</v>
      </c>
      <c r="B880" s="153"/>
      <c r="C880" s="130"/>
      <c r="D880" s="135"/>
      <c r="E880" s="130"/>
      <c r="F880" s="135"/>
      <c r="G880" s="130"/>
      <c r="H880" s="135"/>
      <c r="I880" s="130"/>
      <c r="J880" s="135"/>
      <c r="K880" s="130"/>
      <c r="L880" s="135"/>
      <c r="M880" s="130"/>
      <c r="N880" s="135"/>
      <c r="O880" s="154"/>
      <c r="P880" s="6">
        <v>0</v>
      </c>
      <c r="Q880" s="110" t="str">
        <f t="shared" si="500"/>
        <v>Estudo Autónomo</v>
      </c>
      <c r="R880" s="105" t="str">
        <f t="shared" si="501"/>
        <v>CDI</v>
      </c>
      <c r="S880" s="88">
        <f t="shared" si="498"/>
        <v>-1</v>
      </c>
      <c r="T880" s="89">
        <f>IF(VLOOKUP(Q880,'INFO BASE'!$B$40:$I$54,IF(R880='INFO BASE'!$B$32,3,IF(R880='INFO BASE'!$B$33,4,IF(R880='INFO BASE'!$B$34,5,IF(R880='INFO BASE'!$B$35,6,IF(R880='INFO BASE'!$B$36,7,IF(R880='INFO BASE'!$B$37,8,2)))))),0)=0,"",VLOOKUP(Q880,'INFO BASE'!$B$40:$I$54,IF(R880='INFO BASE'!$B$32,3,IF(R880='INFO BASE'!$B$33,4,IF(R880='INFO BASE'!$B$34,5,IF(R880='INFO BASE'!$B$35,6,IF(R880='INFO BASE'!$B$36,7,IF(R880='INFO BASE'!$B$37,8,2)))))),0))</f>
        <v>5</v>
      </c>
      <c r="U880" s="89">
        <f>(COUNTIFS(C864:C911,R880,B864:B911,R875)+COUNTIFS(E864:E911,R880,D864:D911,R875)+COUNTIFS(G864:G911,R880,F864:F911,R875)+COUNTIFS(I864:I911,R880,H864:H911,R875)+COUNTIFS(K864:K911,R880,J864:J911,R875)+COUNTIFS(M864:M911,R880,L864:L911,R875)+COUNTIFS(O864:O911,R880,N864:N911,R875))*0.5</f>
        <v>0</v>
      </c>
      <c r="V880" s="89">
        <f>(COUNTIFS(AI864:AI911,R875,AJ864:AJ911,R880)+COUNTIFS(AK864:AK911,R875,AL864:AL911,R880)+COUNTIFS(AM864:AM911,R875,AN864:AN911,R880)+COUNTIFS(AO864:AO911,R875,AP864:AP911,R880)+COUNTIFS(AQ864:AQ911,R875,AR864:AR911,R880)+COUNTIFS(AS864:AS911,R875,AT864:AT911,R880)+COUNTIFS(AU864:AU911,R875,AV864:AV911,R880))*0.5</f>
        <v>0</v>
      </c>
      <c r="W880" s="90" t="str">
        <f>IF(AH860="","-",IF(V880=0,U880,IFERROR((U880/V880)-1,"-")))</f>
        <v>-</v>
      </c>
      <c r="X880" s="200">
        <f t="shared" si="499"/>
        <v>0</v>
      </c>
      <c r="Y880" s="299"/>
      <c r="Z880" s="300"/>
      <c r="AA880" s="300"/>
      <c r="AB880" s="300"/>
      <c r="AC880" s="300"/>
      <c r="AD880" s="300"/>
      <c r="AE880" s="300"/>
      <c r="AF880" s="301"/>
      <c r="AH880" s="136">
        <v>0.33333333333334397</v>
      </c>
      <c r="AI880" s="136" t="str">
        <f>IF(AH860="","",IF(B880="","",B880))</f>
        <v/>
      </c>
      <c r="AJ880" s="136" t="str">
        <f>IF(AH860="","",IF(C880="","",C880))</f>
        <v/>
      </c>
      <c r="AK880" s="136" t="str">
        <f>IF(AH860="","",IF(D880="","",D880))</f>
        <v/>
      </c>
      <c r="AL880" s="136" t="str">
        <f>IF(AH860="","",IF(E880="","",E880))</f>
        <v/>
      </c>
      <c r="AM880" s="136" t="str">
        <f>IF(AH860="","",IF(F880="","",F880))</f>
        <v/>
      </c>
      <c r="AN880" s="136" t="str">
        <f>IF(AH860="","",IF(G880="","",G880))</f>
        <v/>
      </c>
      <c r="AO880" s="136" t="str">
        <f>IF(AH860="","",IF(H880="","",H880))</f>
        <v/>
      </c>
      <c r="AP880" s="136" t="str">
        <f>IF(AH860="","",IF(I880="","",I880))</f>
        <v/>
      </c>
      <c r="AQ880" s="136" t="str">
        <f>IF(AH860="","",IF(J880="","",J880))</f>
        <v/>
      </c>
      <c r="AR880" s="136" t="str">
        <f>IF(AH860="","",IF(K880="","",K880))</f>
        <v/>
      </c>
      <c r="AS880" s="136" t="str">
        <f>IF(AH860="","",IF(L880="","",L880))</f>
        <v/>
      </c>
      <c r="AT880" s="136" t="str">
        <f>IF(AH860="","",IF(M880="","",M880))</f>
        <v/>
      </c>
      <c r="AU880" s="136" t="str">
        <f>IF(AH860="","",IF(N880="","",N880))</f>
        <v/>
      </c>
      <c r="AV880" s="136" t="str">
        <f>IF(AH860="","",IF(O880="","",O880))</f>
        <v/>
      </c>
      <c r="AX880" s="136" t="str">
        <f>IF(AI860="","",IF(B880="","",B880))</f>
        <v/>
      </c>
      <c r="AY880" s="136" t="str">
        <f>IF(AI860="","",IF(C880="","",C880))</f>
        <v/>
      </c>
      <c r="AZ880" s="136" t="str">
        <f>IF(AI860="","",IF(D880="","",D880))</f>
        <v/>
      </c>
      <c r="BA880" s="136" t="str">
        <f>IF(AI860="","",IF(E880="","",E880))</f>
        <v/>
      </c>
      <c r="BB880" s="136" t="str">
        <f>IF(AI860="","",IF(F880="","",F880))</f>
        <v/>
      </c>
      <c r="BC880" s="136" t="str">
        <f>IF(AI860="","",IF(G880="","",G880))</f>
        <v/>
      </c>
      <c r="BD880" s="136" t="str">
        <f>IF(AI860="","",IF(H880="","",H880))</f>
        <v/>
      </c>
      <c r="BE880" s="136" t="str">
        <f>IF(AI860="","",IF(I880="","",I880))</f>
        <v/>
      </c>
      <c r="BF880" s="136" t="str">
        <f>IF(AI860="","",IF(J880="","",J880))</f>
        <v/>
      </c>
      <c r="BG880" s="136" t="str">
        <f>IF(AI860="","",IF(K880="","",K880))</f>
        <v/>
      </c>
      <c r="BH880" s="136" t="str">
        <f>IF(AI860="","",IF(L880="","",L880))</f>
        <v/>
      </c>
      <c r="BI880" s="136" t="str">
        <f>IF(AI860="","",IF(M880="","",M880))</f>
        <v/>
      </c>
      <c r="BJ880" s="136" t="str">
        <f>IF(AI860="","",IF(N880="","",N880))</f>
        <v/>
      </c>
      <c r="BK880" s="136" t="str">
        <f>IF(AI860="","",IF(O880="","",O880))</f>
        <v/>
      </c>
      <c r="BM880" s="136" t="str">
        <f>BM879</f>
        <v>EG</v>
      </c>
      <c r="BN880" s="136" t="str">
        <f t="shared" si="494"/>
        <v>Estudo em Grupo</v>
      </c>
      <c r="BO880" s="136" t="str">
        <f t="shared" si="494"/>
        <v>FP</v>
      </c>
      <c r="BP880" s="136">
        <f>(COUNTIFS(AX864:AX911,BM880,AY864:AY911,BO880)+COUNTIFS(AZ864:AZ911,BM880,BA864:BA911,BO880)+COUNTIFS(BB864:BB911,BM880,BC864:BC911,BO880)+COUNTIFS(BD864:BD911,BM880,BE864:BE911,BO880)+COUNTIFS(BF864:BF911,BM880,BG864:BG911,BO880)+COUNTIFS(BH864:BH911,BM880,BI864:BI911,BO880)+COUNTIFS(BJ864:BJ911,BM880,BK864:BK911,BO880))*0.5</f>
        <v>0</v>
      </c>
      <c r="BQ880" s="136" t="str">
        <f t="shared" si="495"/>
        <v>Estudo em Grupo</v>
      </c>
      <c r="BR880" s="136" t="str">
        <f t="shared" si="495"/>
        <v>FP</v>
      </c>
      <c r="BS880" s="136" t="str">
        <f t="shared" si="496"/>
        <v>Estudo em Grupo</v>
      </c>
      <c r="BT880" s="136">
        <f t="shared" si="502"/>
        <v>11</v>
      </c>
      <c r="BU880" s="136">
        <f t="shared" si="503"/>
        <v>12</v>
      </c>
      <c r="CA880" s="136">
        <f>'INFO BASE'!L960</f>
        <v>0</v>
      </c>
      <c r="CB880" s="136">
        <f>'INFO BASE'!M960</f>
        <v>0</v>
      </c>
      <c r="CD880" s="136" t="str">
        <f>IF('INFO BASE'!F894="","",'INFO BASE'!F894)</f>
        <v/>
      </c>
      <c r="CR880" s="177">
        <f t="shared" si="484"/>
        <v>1</v>
      </c>
      <c r="CS880" s="177">
        <f t="shared" si="485"/>
        <v>1</v>
      </c>
      <c r="CT880" s="177">
        <f t="shared" si="484"/>
        <v>1</v>
      </c>
      <c r="CU880" s="177">
        <f t="shared" si="486"/>
        <v>1</v>
      </c>
      <c r="CV880" s="177">
        <f t="shared" si="484"/>
        <v>1</v>
      </c>
      <c r="CW880" s="177">
        <f t="shared" si="487"/>
        <v>1</v>
      </c>
      <c r="CX880" s="177">
        <f t="shared" si="484"/>
        <v>1</v>
      </c>
      <c r="CY880" s="177">
        <f t="shared" si="488"/>
        <v>1</v>
      </c>
      <c r="CZ880" s="177">
        <f t="shared" si="484"/>
        <v>1</v>
      </c>
      <c r="DA880" s="177">
        <f t="shared" si="489"/>
        <v>1</v>
      </c>
      <c r="DB880" s="177">
        <f t="shared" si="484"/>
        <v>1</v>
      </c>
      <c r="DC880" s="177">
        <f t="shared" si="490"/>
        <v>1</v>
      </c>
      <c r="DD880" s="177">
        <f t="shared" si="491"/>
        <v>1</v>
      </c>
      <c r="DE880" s="177">
        <f t="shared" si="492"/>
        <v>1</v>
      </c>
    </row>
    <row r="881" spans="1:109" ht="18" customHeight="1" thickBot="1" x14ac:dyDescent="0.35">
      <c r="A881" s="81">
        <v>0.35416666666667801</v>
      </c>
      <c r="B881" s="153"/>
      <c r="C881" s="130"/>
      <c r="D881" s="135"/>
      <c r="E881" s="130"/>
      <c r="F881" s="135"/>
      <c r="G881" s="130"/>
      <c r="H881" s="135"/>
      <c r="I881" s="130"/>
      <c r="J881" s="135"/>
      <c r="K881" s="130"/>
      <c r="L881" s="135"/>
      <c r="M881" s="130"/>
      <c r="N881" s="135"/>
      <c r="O881" s="154"/>
      <c r="P881" s="6">
        <v>0</v>
      </c>
      <c r="Q881" s="112" t="str">
        <f t="shared" si="500"/>
        <v>Estudo Autónomo</v>
      </c>
      <c r="R881" s="107" t="str">
        <f t="shared" si="501"/>
        <v/>
      </c>
      <c r="S881" s="94" t="str">
        <f t="shared" si="498"/>
        <v>-</v>
      </c>
      <c r="T881" s="95" t="str">
        <f>IF(VLOOKUP(Q881,'INFO BASE'!$B$40:$I$54,IF(R881='INFO BASE'!$B$32,3,IF(R881='INFO BASE'!$B$33,4,IF(R881='INFO BASE'!$B$34,5,IF(R881='INFO BASE'!$B$35,6,IF(R881='INFO BASE'!$B$36,7,IF(R881='INFO BASE'!$B$37,8,2)))))),0)=0,"",VLOOKUP(Q881,'INFO BASE'!$B$40:$I$54,IF(R881='INFO BASE'!$B$32,3,IF(R881='INFO BASE'!$B$33,4,IF(R881='INFO BASE'!$B$34,5,IF(R881='INFO BASE'!$B$35,6,IF(R881='INFO BASE'!$B$36,7,IF(R881='INFO BASE'!$B$37,8,2)))))),0))</f>
        <v/>
      </c>
      <c r="U881" s="95">
        <f>(COUNTIFS(C864:C911,R881,B864:B911,R875)+COUNTIFS(E864:E911,R881,D864:D911,R875)+COUNTIFS(G864:G911,R881,F864:F911,R875)+COUNTIFS(I864:I911,R881,H864:H911,R875)+COUNTIFS(K864:K911,R881,J864:J911,R875)+COUNTIFS(M864:M911,R881,L864:L911,R875)+COUNTIFS(O864:O911,R881,N864:N911,R875))*0.5</f>
        <v>0</v>
      </c>
      <c r="V881" s="95">
        <f>(COUNTIFS(AI864:AI911,R875,AJ864:AJ911,R881)+COUNTIFS(AK864:AK911,R875,AL864:AL911,R881)+COUNTIFS(AM864:AM911,R875,AN864:AN911,R881)+COUNTIFS(AO864:AO911,R875,AP864:AP911,R881)+COUNTIFS(AQ864:AQ911,R875,AR864:AR911,R881)+COUNTIFS(AS864:AS911,R875,AT864:AT911,R881)+COUNTIFS(AU864:AU911,R875,AV864:AV911,R881))*0.5</f>
        <v>0</v>
      </c>
      <c r="W881" s="96" t="str">
        <f>IF(AH860="","-",IF(V881=0,U881,IFERROR((U881/V881)-1,"-")))</f>
        <v>-</v>
      </c>
      <c r="X881" s="201">
        <f t="shared" si="499"/>
        <v>0</v>
      </c>
      <c r="Y881" s="274"/>
      <c r="Z881" s="275"/>
      <c r="AA881" s="275"/>
      <c r="AB881" s="275"/>
      <c r="AC881" s="275"/>
      <c r="AD881" s="275"/>
      <c r="AE881" s="275"/>
      <c r="AF881" s="276"/>
      <c r="AH881" s="136">
        <v>0.35416666666667801</v>
      </c>
      <c r="AI881" s="136" t="str">
        <f>IF(AH860="","",IF(B881="","",B881))</f>
        <v/>
      </c>
      <c r="AJ881" s="136" t="str">
        <f>IF(AH860="","",IF(C881="","",C881))</f>
        <v/>
      </c>
      <c r="AK881" s="136" t="str">
        <f>IF(AH860="","",IF(D881="","",D881))</f>
        <v/>
      </c>
      <c r="AL881" s="136" t="str">
        <f>IF(AH860="","",IF(E881="","",E881))</f>
        <v/>
      </c>
      <c r="AM881" s="136" t="str">
        <f>IF(AH860="","",IF(F881="","",F881))</f>
        <v/>
      </c>
      <c r="AN881" s="136" t="str">
        <f>IF(AH860="","",IF(G881="","",G881))</f>
        <v/>
      </c>
      <c r="AO881" s="136" t="str">
        <f>IF(AH860="","",IF(H881="","",H881))</f>
        <v/>
      </c>
      <c r="AP881" s="136" t="str">
        <f>IF(AH860="","",IF(I881="","",I881))</f>
        <v/>
      </c>
      <c r="AQ881" s="136" t="str">
        <f>IF(AH860="","",IF(J881="","",J881))</f>
        <v/>
      </c>
      <c r="AR881" s="136" t="str">
        <f>IF(AH860="","",IF(K881="","",K881))</f>
        <v/>
      </c>
      <c r="AS881" s="136" t="str">
        <f>IF(AH860="","",IF(L881="","",L881))</f>
        <v/>
      </c>
      <c r="AT881" s="136" t="str">
        <f>IF(AH860="","",IF(M881="","",M881))</f>
        <v/>
      </c>
      <c r="AU881" s="136" t="str">
        <f>IF(AH860="","",IF(N881="","",N881))</f>
        <v/>
      </c>
      <c r="AV881" s="136" t="str">
        <f>IF(AH860="","",IF(O881="","",O881))</f>
        <v/>
      </c>
      <c r="AX881" s="136" t="str">
        <f>IF(AI860="","",IF(B881="","",B881))</f>
        <v/>
      </c>
      <c r="AY881" s="136" t="str">
        <f>IF(AI860="","",IF(C881="","",C881))</f>
        <v/>
      </c>
      <c r="AZ881" s="136" t="str">
        <f>IF(AI860="","",IF(D881="","",D881))</f>
        <v/>
      </c>
      <c r="BA881" s="136" t="str">
        <f>IF(AI860="","",IF(E881="","",E881))</f>
        <v/>
      </c>
      <c r="BB881" s="136" t="str">
        <f>IF(AI860="","",IF(F881="","",F881))</f>
        <v/>
      </c>
      <c r="BC881" s="136" t="str">
        <f>IF(AI860="","",IF(G881="","",G881))</f>
        <v/>
      </c>
      <c r="BD881" s="136" t="str">
        <f>IF(AI860="","",IF(H881="","",H881))</f>
        <v/>
      </c>
      <c r="BE881" s="136" t="str">
        <f>IF(AI860="","",IF(I881="","",I881))</f>
        <v/>
      </c>
      <c r="BF881" s="136" t="str">
        <f>IF(AI860="","",IF(J881="","",J881))</f>
        <v/>
      </c>
      <c r="BG881" s="136" t="str">
        <f>IF(AI860="","",IF(K881="","",K881))</f>
        <v/>
      </c>
      <c r="BH881" s="136" t="str">
        <f>IF(AI860="","",IF(L881="","",L881))</f>
        <v/>
      </c>
      <c r="BI881" s="136" t="str">
        <f>IF(AI860="","",IF(M881="","",M881))</f>
        <v/>
      </c>
      <c r="BJ881" s="136" t="str">
        <f>IF(AI860="","",IF(N881="","",N881))</f>
        <v/>
      </c>
      <c r="BK881" s="136" t="str">
        <f>IF(AI860="","",IF(O881="","",O881))</f>
        <v/>
      </c>
      <c r="BM881" s="136" t="str">
        <f t="shared" ref="BM881:BM885" si="504">BM880</f>
        <v>EG</v>
      </c>
      <c r="BN881" s="136" t="str">
        <f t="shared" si="494"/>
        <v>Estudo em Grupo</v>
      </c>
      <c r="BO881" s="136" t="str">
        <f t="shared" si="494"/>
        <v>IEI</v>
      </c>
      <c r="BP881" s="136">
        <f>(COUNTIFS(AX864:AX911,BM881,AY864:AY911,BO881)+COUNTIFS(AZ864:AZ911,BM881,BA864:BA911,BO881)+COUNTIFS(BB864:BB911,BM881,BC864:BC911,BO881)+COUNTIFS(BD864:BD911,BM881,BE864:BE911,BO881)+COUNTIFS(BF864:BF911,BM881,BG864:BG911,BO881)+COUNTIFS(BH864:BH911,BM881,BI864:BI911,BO881)+COUNTIFS(BJ864:BJ911,BM881,BK864:BK911,BO881))*0.5</f>
        <v>0</v>
      </c>
      <c r="BQ881" s="136" t="str">
        <f t="shared" si="495"/>
        <v>Estudo em Grupo</v>
      </c>
      <c r="BR881" s="136" t="str">
        <f t="shared" si="495"/>
        <v>IEI</v>
      </c>
      <c r="BS881" s="136" t="str">
        <f t="shared" si="496"/>
        <v>Estudo em Grupo</v>
      </c>
      <c r="BT881" s="136">
        <f t="shared" si="502"/>
        <v>2.5</v>
      </c>
      <c r="BU881" s="136">
        <f t="shared" si="503"/>
        <v>7</v>
      </c>
      <c r="CA881" s="136">
        <f>'INFO BASE'!L961</f>
        <v>0</v>
      </c>
      <c r="CB881" s="136">
        <f>'INFO BASE'!M961</f>
        <v>0</v>
      </c>
      <c r="CR881" s="177">
        <f t="shared" si="484"/>
        <v>1</v>
      </c>
      <c r="CS881" s="177">
        <f t="shared" si="485"/>
        <v>1</v>
      </c>
      <c r="CT881" s="177">
        <f t="shared" si="484"/>
        <v>1</v>
      </c>
      <c r="CU881" s="177">
        <f t="shared" si="486"/>
        <v>1</v>
      </c>
      <c r="CV881" s="177">
        <f t="shared" si="484"/>
        <v>1</v>
      </c>
      <c r="CW881" s="177">
        <f t="shared" si="487"/>
        <v>1</v>
      </c>
      <c r="CX881" s="177">
        <f t="shared" si="484"/>
        <v>1</v>
      </c>
      <c r="CY881" s="177">
        <f t="shared" si="488"/>
        <v>1</v>
      </c>
      <c r="CZ881" s="177">
        <f t="shared" si="484"/>
        <v>1</v>
      </c>
      <c r="DA881" s="177">
        <f t="shared" si="489"/>
        <v>1</v>
      </c>
      <c r="DB881" s="177">
        <f t="shared" si="484"/>
        <v>1</v>
      </c>
      <c r="DC881" s="177">
        <f t="shared" si="490"/>
        <v>1</v>
      </c>
      <c r="DD881" s="177">
        <f t="shared" si="491"/>
        <v>1</v>
      </c>
      <c r="DE881" s="177">
        <f t="shared" si="492"/>
        <v>1</v>
      </c>
    </row>
    <row r="882" spans="1:109" ht="18" customHeight="1" x14ac:dyDescent="0.3">
      <c r="A882" s="81">
        <v>0.37500000000001199</v>
      </c>
      <c r="B882" s="153"/>
      <c r="C882" s="130"/>
      <c r="D882" s="135"/>
      <c r="E882" s="130"/>
      <c r="F882" s="135"/>
      <c r="G882" s="130"/>
      <c r="H882" s="135"/>
      <c r="I882" s="130"/>
      <c r="J882" s="135"/>
      <c r="K882" s="130"/>
      <c r="L882" s="135"/>
      <c r="M882" s="130"/>
      <c r="N882" s="135"/>
      <c r="O882" s="154"/>
      <c r="P882" s="6">
        <v>0</v>
      </c>
      <c r="Q882" s="113" t="str">
        <f>IF('INFO BASE'!$C$18="","",'INFO BASE'!$C$18)</f>
        <v>Estudo em Grupo</v>
      </c>
      <c r="R882" s="82" t="str">
        <f t="shared" si="501"/>
        <v>EG</v>
      </c>
      <c r="S882" s="83">
        <f t="shared" si="498"/>
        <v>-1</v>
      </c>
      <c r="T882" s="84">
        <f>IF(VLOOKUP(Q882,'INFO BASE'!$B$40:$I$54,IF(R882='INFO BASE'!$B$32,3,IF(R882='INFO BASE'!$B$33,4,IF(R882='INFO BASE'!$B$34,5,IF(R882='INFO BASE'!$B$35,6,IF(R882='INFO BASE'!$B$36,7,IF(R882='INFO BASE'!$B$37,8,2)))))),0)=0,"",VLOOKUP(Q882,'INFO BASE'!$B$40:$I$54,IF(R882='INFO BASE'!$B$32,3,IF(R882='INFO BASE'!$B$33,4,IF(R882='INFO BASE'!$B$34,5,IF(R882='INFO BASE'!$B$35,6,IF(R882='INFO BASE'!$B$36,7,IF(R882='INFO BASE'!$B$37,8,2)))))),0))</f>
        <v>8</v>
      </c>
      <c r="U882" s="84">
        <f>IF(R882="","",COUNTIFS(SEMANA16,R882)*0.5)</f>
        <v>0</v>
      </c>
      <c r="V882" s="84">
        <f>IF(R882="","",COUNTIFS(AI864:AV911,R882)*0.5)</f>
        <v>0</v>
      </c>
      <c r="W882" s="85" t="str">
        <f>IF(AH860="","-",IF(V882=0,U882,IFERROR((U882/V882)-1,"-")))</f>
        <v>-</v>
      </c>
      <c r="X882" s="201">
        <f t="shared" si="499"/>
        <v>0</v>
      </c>
      <c r="Y882" s="277"/>
      <c r="Z882" s="278"/>
      <c r="AA882" s="278"/>
      <c r="AB882" s="278"/>
      <c r="AC882" s="278"/>
      <c r="AD882" s="278"/>
      <c r="AE882" s="278"/>
      <c r="AF882" s="279"/>
      <c r="AH882" s="136">
        <v>0.37500000000001199</v>
      </c>
      <c r="AI882" s="136" t="str">
        <f>IF(AH860="","",IF(B882="","",B882))</f>
        <v/>
      </c>
      <c r="AJ882" s="136" t="str">
        <f>IF(AH860="","",IF(C882="","",C882))</f>
        <v/>
      </c>
      <c r="AK882" s="136" t="str">
        <f>IF(AH860="","",IF(D882="","",D882))</f>
        <v/>
      </c>
      <c r="AL882" s="136" t="str">
        <f>IF(AH860="","",IF(E882="","",E882))</f>
        <v/>
      </c>
      <c r="AM882" s="136" t="str">
        <f>IF(AH860="","",IF(F882="","",F882))</f>
        <v/>
      </c>
      <c r="AN882" s="136" t="str">
        <f>IF(AH860="","",IF(G882="","",G882))</f>
        <v/>
      </c>
      <c r="AO882" s="136" t="str">
        <f>IF(AH860="","",IF(H882="","",H882))</f>
        <v/>
      </c>
      <c r="AP882" s="136" t="str">
        <f>IF(AH860="","",IF(I882="","",I882))</f>
        <v/>
      </c>
      <c r="AQ882" s="136" t="str">
        <f>IF(AH860="","",IF(J882="","",J882))</f>
        <v/>
      </c>
      <c r="AR882" s="136" t="str">
        <f>IF(AH860="","",IF(K882="","",K882))</f>
        <v/>
      </c>
      <c r="AS882" s="136" t="str">
        <f>IF(AH860="","",IF(L882="","",L882))</f>
        <v/>
      </c>
      <c r="AT882" s="136" t="str">
        <f>IF(AH860="","",IF(M882="","",M882))</f>
        <v/>
      </c>
      <c r="AU882" s="136" t="str">
        <f>IF(AH860="","",IF(N882="","",N882))</f>
        <v/>
      </c>
      <c r="AV882" s="136" t="str">
        <f>IF(AH860="","",IF(O882="","",O882))</f>
        <v/>
      </c>
      <c r="AX882" s="136" t="str">
        <f>IF(AI860="","",IF(B882="","",B882))</f>
        <v/>
      </c>
      <c r="AY882" s="136" t="str">
        <f>IF(AI860="","",IF(C882="","",C882))</f>
        <v/>
      </c>
      <c r="AZ882" s="136" t="str">
        <f>IF(AI860="","",IF(D882="","",D882))</f>
        <v/>
      </c>
      <c r="BA882" s="136" t="str">
        <f>IF(AI860="","",IF(E882="","",E882))</f>
        <v/>
      </c>
      <c r="BB882" s="136" t="str">
        <f>IF(AI860="","",IF(F882="","",F882))</f>
        <v/>
      </c>
      <c r="BC882" s="136" t="str">
        <f>IF(AI860="","",IF(G882="","",G882))</f>
        <v/>
      </c>
      <c r="BD882" s="136" t="str">
        <f>IF(AI860="","",IF(H882="","",H882))</f>
        <v/>
      </c>
      <c r="BE882" s="136" t="str">
        <f>IF(AI860="","",IF(I882="","",I882))</f>
        <v/>
      </c>
      <c r="BF882" s="136" t="str">
        <f>IF(AI860="","",IF(J882="","",J882))</f>
        <v/>
      </c>
      <c r="BG882" s="136" t="str">
        <f>IF(AI860="","",IF(K882="","",K882))</f>
        <v/>
      </c>
      <c r="BH882" s="136" t="str">
        <f>IF(AI860="","",IF(L882="","",L882))</f>
        <v/>
      </c>
      <c r="BI882" s="136" t="str">
        <f>IF(AI860="","",IF(M882="","",M882))</f>
        <v/>
      </c>
      <c r="BJ882" s="136" t="str">
        <f>IF(AI860="","",IF(N882="","",N882))</f>
        <v/>
      </c>
      <c r="BK882" s="136" t="str">
        <f>IF(AI860="","",IF(O882="","",O882))</f>
        <v/>
      </c>
      <c r="BM882" s="136" t="str">
        <f t="shared" si="504"/>
        <v>EG</v>
      </c>
      <c r="BN882" s="136" t="str">
        <f t="shared" si="494"/>
        <v>Estudo em Grupo</v>
      </c>
      <c r="BO882" s="136" t="str">
        <f t="shared" si="494"/>
        <v>IAC</v>
      </c>
      <c r="BP882" s="136">
        <f>(COUNTIFS(AX864:AX911,BM882,AY864:AY911,BO882)+COUNTIFS(AZ864:AZ911,BM882,BA864:BA911,BO882)+COUNTIFS(BB864:BB911,BM882,BC864:BC911,BO882)+COUNTIFS(BD864:BD911,BM882,BE864:BE911,BO882)+COUNTIFS(BF864:BF911,BM882,BG864:BG911,BO882)+COUNTIFS(BH864:BH911,BM882,BI864:BI911,BO882)+COUNTIFS(BJ864:BJ911,BM882,BK864:BK911,BO882))*0.5</f>
        <v>0</v>
      </c>
      <c r="BQ882" s="136" t="str">
        <f t="shared" si="495"/>
        <v>Estudo em Grupo</v>
      </c>
      <c r="BR882" s="136" t="str">
        <f t="shared" si="495"/>
        <v>IAC</v>
      </c>
      <c r="BS882" s="136" t="str">
        <f t="shared" si="496"/>
        <v>Estudo em Grupo</v>
      </c>
      <c r="BT882" s="136">
        <f t="shared" si="502"/>
        <v>6</v>
      </c>
      <c r="BU882" s="136">
        <f t="shared" si="503"/>
        <v>10.5</v>
      </c>
      <c r="CA882" s="136">
        <f>'INFO BASE'!L962</f>
        <v>0</v>
      </c>
      <c r="CB882" s="136">
        <f>'INFO BASE'!M962</f>
        <v>0</v>
      </c>
      <c r="CR882" s="177">
        <f t="shared" si="484"/>
        <v>1</v>
      </c>
      <c r="CS882" s="177">
        <f t="shared" si="485"/>
        <v>1</v>
      </c>
      <c r="CT882" s="177">
        <f t="shared" si="484"/>
        <v>1</v>
      </c>
      <c r="CU882" s="177">
        <f t="shared" si="486"/>
        <v>1</v>
      </c>
      <c r="CV882" s="177">
        <f t="shared" si="484"/>
        <v>1</v>
      </c>
      <c r="CW882" s="177">
        <f t="shared" si="487"/>
        <v>1</v>
      </c>
      <c r="CX882" s="177">
        <f t="shared" si="484"/>
        <v>1</v>
      </c>
      <c r="CY882" s="177">
        <f t="shared" si="488"/>
        <v>1</v>
      </c>
      <c r="CZ882" s="177">
        <f t="shared" si="484"/>
        <v>1</v>
      </c>
      <c r="DA882" s="177">
        <f t="shared" si="489"/>
        <v>1</v>
      </c>
      <c r="DB882" s="177">
        <f t="shared" si="484"/>
        <v>1</v>
      </c>
      <c r="DC882" s="177">
        <f t="shared" si="490"/>
        <v>1</v>
      </c>
      <c r="DD882" s="177">
        <f t="shared" si="491"/>
        <v>1</v>
      </c>
      <c r="DE882" s="177">
        <f t="shared" si="492"/>
        <v>1</v>
      </c>
    </row>
    <row r="883" spans="1:109" ht="18" customHeight="1" x14ac:dyDescent="0.3">
      <c r="A883" s="81">
        <v>0.39583333333334603</v>
      </c>
      <c r="B883" s="153"/>
      <c r="C883" s="130"/>
      <c r="D883" s="135"/>
      <c r="E883" s="130"/>
      <c r="F883" s="135"/>
      <c r="G883" s="130"/>
      <c r="H883" s="135"/>
      <c r="I883" s="130"/>
      <c r="J883" s="135"/>
      <c r="K883" s="130"/>
      <c r="L883" s="135"/>
      <c r="M883" s="130"/>
      <c r="N883" s="135"/>
      <c r="O883" s="154"/>
      <c r="P883" s="6">
        <v>0</v>
      </c>
      <c r="Q883" s="114" t="str">
        <f t="shared" ref="Q883:Q888" si="505">Q882</f>
        <v>Estudo em Grupo</v>
      </c>
      <c r="R883" s="105" t="str">
        <f t="shared" si="501"/>
        <v>FP</v>
      </c>
      <c r="S883" s="88">
        <f t="shared" si="498"/>
        <v>-1</v>
      </c>
      <c r="T883" s="89">
        <f>IF(VLOOKUP(Q883,'INFO BASE'!$B$40:$I$54,IF(R883='INFO BASE'!$B$32,3,IF(R883='INFO BASE'!$B$33,4,IF(R883='INFO BASE'!$B$34,5,IF(R883='INFO BASE'!$B$35,6,IF(R883='INFO BASE'!$B$36,7,IF(R883='INFO BASE'!$B$37,8,2)))))),0)=0,"",VLOOKUP(Q883,'INFO BASE'!$B$40:$I$54,IF(R883='INFO BASE'!$B$32,3,IF(R883='INFO BASE'!$B$33,4,IF(R883='INFO BASE'!$B$34,5,IF(R883='INFO BASE'!$B$35,6,IF(R883='INFO BASE'!$B$36,7,IF(R883='INFO BASE'!$B$37,8,2)))))),0))</f>
        <v>2</v>
      </c>
      <c r="U883" s="89">
        <f>(COUNTIFS(C864:C911,R883,B864:B911,R882)+COUNTIFS(E864:E911,R883,D864:D911,R882)+COUNTIFS(G864:G911,R883,F864:F911,R882)+COUNTIFS(I864:I911,R883,H864:H911,R882)+COUNTIFS(K864:K911,R883,J864:J911,R882)+COUNTIFS(M864:M911,R883,L864:L911,R882)+COUNTIFS(O864:O911,R883,N864:N911,R882))*0.5</f>
        <v>0</v>
      </c>
      <c r="V883" s="89">
        <f>(COUNTIFS(AI864:AI911,R882,AJ864:AJ911,R876)+COUNTIFS(AK864:AK911,R882,AL864:AL911,R876)+COUNTIFS(AM864:AM911,R882,AN864:AN911,R876)+COUNTIFS(AO864:AO911,R882,AP864:AP911,R876)+COUNTIFS(AQ864:AQ911,R882,AR864:AR911,R876)+COUNTIFS(AS864:AS911,R882,AT864:AT911,R876)+COUNTIFS(AU864:AU911,R882,AV864:AV911,R876))*0.5</f>
        <v>0</v>
      </c>
      <c r="W883" s="90" t="str">
        <f>IF(AH860="","-",IF(V883=0,U883,IFERROR((U883/V883)-1,"-")))</f>
        <v>-</v>
      </c>
      <c r="X883" s="201">
        <f t="shared" si="499"/>
        <v>0</v>
      </c>
      <c r="Y883" s="271"/>
      <c r="Z883" s="272"/>
      <c r="AA883" s="272"/>
      <c r="AB883" s="272"/>
      <c r="AC883" s="272"/>
      <c r="AD883" s="272"/>
      <c r="AE883" s="272"/>
      <c r="AF883" s="273"/>
      <c r="AH883" s="136">
        <v>0.39583333333334603</v>
      </c>
      <c r="AI883" s="136" t="str">
        <f>IF(AH860="","",IF(B883="","",B883))</f>
        <v/>
      </c>
      <c r="AJ883" s="136" t="str">
        <f>IF(AH860="","",IF(C883="","",C883))</f>
        <v/>
      </c>
      <c r="AK883" s="136" t="str">
        <f>IF(AH860="","",IF(D883="","",D883))</f>
        <v/>
      </c>
      <c r="AL883" s="136" t="str">
        <f>IF(AH860="","",IF(E883="","",E883))</f>
        <v/>
      </c>
      <c r="AM883" s="136" t="str">
        <f>IF(AH860="","",IF(F883="","",F883))</f>
        <v/>
      </c>
      <c r="AN883" s="136" t="str">
        <f>IF(AH860="","",IF(G883="","",G883))</f>
        <v/>
      </c>
      <c r="AO883" s="136" t="str">
        <f>IF(AH860="","",IF(H883="","",H883))</f>
        <v/>
      </c>
      <c r="AP883" s="136" t="str">
        <f>IF(AH860="","",IF(I883="","",I883))</f>
        <v/>
      </c>
      <c r="AQ883" s="136" t="str">
        <f>IF(AH860="","",IF(J883="","",J883))</f>
        <v/>
      </c>
      <c r="AR883" s="136" t="str">
        <f>IF(AH860="","",IF(K883="","",K883))</f>
        <v/>
      </c>
      <c r="AS883" s="136" t="str">
        <f>IF(AH860="","",IF(L883="","",L883))</f>
        <v/>
      </c>
      <c r="AT883" s="136" t="str">
        <f>IF(AH860="","",IF(M883="","",M883))</f>
        <v/>
      </c>
      <c r="AU883" s="136" t="str">
        <f>IF(AH860="","",IF(N883="","",N883))</f>
        <v/>
      </c>
      <c r="AV883" s="136" t="str">
        <f>IF(AH860="","",IF(O883="","",O883))</f>
        <v/>
      </c>
      <c r="AX883" s="136" t="str">
        <f>IF(AI860="","",IF(B883="","",B883))</f>
        <v/>
      </c>
      <c r="AY883" s="136" t="str">
        <f>IF(AI860="","",IF(C883="","",C883))</f>
        <v/>
      </c>
      <c r="AZ883" s="136" t="str">
        <f>IF(AI860="","",IF(D883="","",D883))</f>
        <v/>
      </c>
      <c r="BA883" s="136" t="str">
        <f>IF(AI860="","",IF(E883="","",E883))</f>
        <v/>
      </c>
      <c r="BB883" s="136" t="str">
        <f>IF(AI860="","",IF(F883="","",F883))</f>
        <v/>
      </c>
      <c r="BC883" s="136" t="str">
        <f>IF(AI860="","",IF(G883="","",G883))</f>
        <v/>
      </c>
      <c r="BD883" s="136" t="str">
        <f>IF(AI860="","",IF(H883="","",H883))</f>
        <v/>
      </c>
      <c r="BE883" s="136" t="str">
        <f>IF(AI860="","",IF(I883="","",I883))</f>
        <v/>
      </c>
      <c r="BF883" s="136" t="str">
        <f>IF(AI860="","",IF(J883="","",J883))</f>
        <v/>
      </c>
      <c r="BG883" s="136" t="str">
        <f>IF(AI860="","",IF(K883="","",K883))</f>
        <v/>
      </c>
      <c r="BH883" s="136" t="str">
        <f>IF(AI860="","",IF(L883="","",L883))</f>
        <v/>
      </c>
      <c r="BI883" s="136" t="str">
        <f>IF(AI860="","",IF(M883="","",M883))</f>
        <v/>
      </c>
      <c r="BJ883" s="136" t="str">
        <f>IF(AI860="","",IF(N883="","",N883))</f>
        <v/>
      </c>
      <c r="BK883" s="136" t="str">
        <f>IF(AI860="","",IF(O883="","",O883))</f>
        <v/>
      </c>
      <c r="BM883" s="136" t="str">
        <f t="shared" si="504"/>
        <v>EG</v>
      </c>
      <c r="BN883" s="136" t="str">
        <f t="shared" si="494"/>
        <v>Estudo em Grupo</v>
      </c>
      <c r="BO883" s="136" t="str">
        <f t="shared" si="494"/>
        <v>AL</v>
      </c>
      <c r="BP883" s="136">
        <f>(COUNTIFS(AX864:AX911,BM883,AY864:AY911,BO883)+COUNTIFS(AZ864:AZ911,BM883,BA864:BA911,BO883)+COUNTIFS(BB864:BB911,BM883,BC864:BC911,BO883)+COUNTIFS(BD864:BD911,BM883,BE864:BE911,BO883)+COUNTIFS(BF864:BF911,BM883,BG864:BG911,BO883)+COUNTIFS(BH864:BH911,BM883,BI864:BI911,BO883)+COUNTIFS(BJ864:BJ911,BM883,BK864:BK911,BO883))*0.5</f>
        <v>0</v>
      </c>
      <c r="BQ883" s="136" t="str">
        <f t="shared" si="495"/>
        <v>Estudo em Grupo</v>
      </c>
      <c r="BR883" s="136" t="str">
        <f t="shared" si="495"/>
        <v>AL</v>
      </c>
      <c r="BS883" s="136" t="str">
        <f t="shared" si="496"/>
        <v>Estudo em Grupo</v>
      </c>
      <c r="BT883" s="136">
        <f t="shared" si="502"/>
        <v>16.5</v>
      </c>
      <c r="BU883" s="136">
        <f t="shared" si="503"/>
        <v>17.5</v>
      </c>
      <c r="CA883" s="136">
        <f>'INFO BASE'!L963</f>
        <v>0</v>
      </c>
      <c r="CB883" s="136">
        <f>'INFO BASE'!M963</f>
        <v>0</v>
      </c>
      <c r="CR883" s="177">
        <f t="shared" si="484"/>
        <v>1</v>
      </c>
      <c r="CS883" s="177">
        <f t="shared" si="485"/>
        <v>1</v>
      </c>
      <c r="CT883" s="177">
        <f t="shared" si="484"/>
        <v>1</v>
      </c>
      <c r="CU883" s="177">
        <f t="shared" si="486"/>
        <v>1</v>
      </c>
      <c r="CV883" s="177">
        <f t="shared" si="484"/>
        <v>1</v>
      </c>
      <c r="CW883" s="177">
        <f t="shared" si="487"/>
        <v>1</v>
      </c>
      <c r="CX883" s="177">
        <f t="shared" si="484"/>
        <v>1</v>
      </c>
      <c r="CY883" s="177">
        <f t="shared" si="488"/>
        <v>1</v>
      </c>
      <c r="CZ883" s="177">
        <f t="shared" si="484"/>
        <v>1</v>
      </c>
      <c r="DA883" s="177">
        <f t="shared" si="489"/>
        <v>1</v>
      </c>
      <c r="DB883" s="177">
        <f t="shared" si="484"/>
        <v>1</v>
      </c>
      <c r="DC883" s="177">
        <f t="shared" si="490"/>
        <v>1</v>
      </c>
      <c r="DD883" s="177">
        <f t="shared" si="491"/>
        <v>1</v>
      </c>
      <c r="DE883" s="177">
        <f t="shared" si="492"/>
        <v>1</v>
      </c>
    </row>
    <row r="884" spans="1:109" ht="18" customHeight="1" x14ac:dyDescent="0.3">
      <c r="A884" s="81">
        <v>0.41666666666668001</v>
      </c>
      <c r="B884" s="153"/>
      <c r="C884" s="130"/>
      <c r="D884" s="135"/>
      <c r="E884" s="130"/>
      <c r="F884" s="135"/>
      <c r="G884" s="130"/>
      <c r="H884" s="135"/>
      <c r="I884" s="130"/>
      <c r="J884" s="135"/>
      <c r="K884" s="130"/>
      <c r="L884" s="135"/>
      <c r="M884" s="130"/>
      <c r="N884" s="135"/>
      <c r="O884" s="154"/>
      <c r="P884" s="6">
        <v>0</v>
      </c>
      <c r="Q884" s="114" t="str">
        <f t="shared" si="505"/>
        <v>Estudo em Grupo</v>
      </c>
      <c r="R884" s="105" t="str">
        <f t="shared" si="501"/>
        <v>IEI</v>
      </c>
      <c r="S884" s="88" t="str">
        <f t="shared" si="498"/>
        <v>-</v>
      </c>
      <c r="T884" s="89" t="str">
        <f>IF(VLOOKUP(Q884,'INFO BASE'!$B$40:$I$54,IF(R884='INFO BASE'!$B$32,3,IF(R884='INFO BASE'!$B$33,4,IF(R884='INFO BASE'!$B$34,5,IF(R884='INFO BASE'!$B$35,6,IF(R884='INFO BASE'!$B$36,7,IF(R884='INFO BASE'!$B$37,8,2)))))),0)=0,"",VLOOKUP(Q884,'INFO BASE'!$B$40:$I$54,IF(R884='INFO BASE'!$B$32,3,IF(R884='INFO BASE'!$B$33,4,IF(R884='INFO BASE'!$B$34,5,IF(R884='INFO BASE'!$B$35,6,IF(R884='INFO BASE'!$B$36,7,IF(R884='INFO BASE'!$B$37,8,2)))))),0))</f>
        <v/>
      </c>
      <c r="U884" s="89">
        <f>(COUNTIFS(C864:C911,R884,B864:B911,R882)+COUNTIFS(E864:E911,R884,D864:D911,R882)+COUNTIFS(G864:G911,R884,F864:F911,R882)+COUNTIFS(I864:I911,R884,H864:H911,R882)+COUNTIFS(K864:K911,R884,J864:J911,R882)+COUNTIFS(M864:M911,R884,L864:L911,R882)+COUNTIFS(O864:O911,R884,N864:N911,R882))*0.5</f>
        <v>0</v>
      </c>
      <c r="V884" s="89">
        <f>(COUNTIFS(AI864:AI911,R882,AJ864:AJ911,R877)+COUNTIFS(AK864:AK911,R882,AL864:AL911,R877)+COUNTIFS(AM864:AM911,R882,AN864:AN911,R877)+COUNTIFS(AO864:AO911,R882,AP864:AP911,R877)+COUNTIFS(AQ864:AQ911,R882,AR864:AR911,R877)+COUNTIFS(AS864:AS911,R882,AT864:AT911,R877)+COUNTIFS(AU864:AU911,R882,AV864:AV911,R877))*0.5</f>
        <v>0</v>
      </c>
      <c r="W884" s="90" t="str">
        <f>IF(AH860="","-",IF(V884=0,U884,IFERROR((U884/V884)-1,"-")))</f>
        <v>-</v>
      </c>
      <c r="X884" s="201">
        <f t="shared" si="499"/>
        <v>0</v>
      </c>
      <c r="Y884" s="271"/>
      <c r="Z884" s="272"/>
      <c r="AA884" s="272"/>
      <c r="AB884" s="272"/>
      <c r="AC884" s="272"/>
      <c r="AD884" s="272"/>
      <c r="AE884" s="272"/>
      <c r="AF884" s="273"/>
      <c r="AH884" s="136">
        <v>0.41666666666668001</v>
      </c>
      <c r="AI884" s="136" t="str">
        <f>IF(AH860="","",IF(B884="","",B884))</f>
        <v/>
      </c>
      <c r="AJ884" s="136" t="str">
        <f>IF(AH860="","",IF(C884="","",C884))</f>
        <v/>
      </c>
      <c r="AK884" s="136" t="str">
        <f>IF(AH860="","",IF(D884="","",D884))</f>
        <v/>
      </c>
      <c r="AL884" s="136" t="str">
        <f>IF(AH860="","",IF(E884="","",E884))</f>
        <v/>
      </c>
      <c r="AM884" s="136" t="str">
        <f>IF(AH860="","",IF(F884="","",F884))</f>
        <v/>
      </c>
      <c r="AN884" s="136" t="str">
        <f>IF(AH860="","",IF(G884="","",G884))</f>
        <v/>
      </c>
      <c r="AO884" s="136" t="str">
        <f>IF(AH860="","",IF(H884="","",H884))</f>
        <v/>
      </c>
      <c r="AP884" s="136" t="str">
        <f>IF(AH860="","",IF(I884="","",I884))</f>
        <v/>
      </c>
      <c r="AQ884" s="136" t="str">
        <f>IF(AH860="","",IF(J884="","",J884))</f>
        <v/>
      </c>
      <c r="AR884" s="136" t="str">
        <f>IF(AH860="","",IF(K884="","",K884))</f>
        <v/>
      </c>
      <c r="AS884" s="136" t="str">
        <f>IF(AH860="","",IF(L884="","",L884))</f>
        <v/>
      </c>
      <c r="AT884" s="136" t="str">
        <f>IF(AH860="","",IF(M884="","",M884))</f>
        <v/>
      </c>
      <c r="AU884" s="136" t="str">
        <f>IF(AH860="","",IF(N884="","",N884))</f>
        <v/>
      </c>
      <c r="AV884" s="136" t="str">
        <f>IF(AH860="","",IF(O884="","",O884))</f>
        <v/>
      </c>
      <c r="AX884" s="136" t="str">
        <f>IF(AI860="","",IF(B884="","",B884))</f>
        <v/>
      </c>
      <c r="AY884" s="136" t="str">
        <f>IF(AI860="","",IF(C884="","",C884))</f>
        <v/>
      </c>
      <c r="AZ884" s="136" t="str">
        <f>IF(AI860="","",IF(D884="","",D884))</f>
        <v/>
      </c>
      <c r="BA884" s="136" t="str">
        <f>IF(AI860="","",IF(E884="","",E884))</f>
        <v/>
      </c>
      <c r="BB884" s="136" t="str">
        <f>IF(AI860="","",IF(F884="","",F884))</f>
        <v/>
      </c>
      <c r="BC884" s="136" t="str">
        <f>IF(AI860="","",IF(G884="","",G884))</f>
        <v/>
      </c>
      <c r="BD884" s="136" t="str">
        <f>IF(AI860="","",IF(H884="","",H884))</f>
        <v/>
      </c>
      <c r="BE884" s="136" t="str">
        <f>IF(AI860="","",IF(I884="","",I884))</f>
        <v/>
      </c>
      <c r="BF884" s="136" t="str">
        <f>IF(AI860="","",IF(J884="","",J884))</f>
        <v/>
      </c>
      <c r="BG884" s="136" t="str">
        <f>IF(AI860="","",IF(K884="","",K884))</f>
        <v/>
      </c>
      <c r="BH884" s="136" t="str">
        <f>IF(AI860="","",IF(L884="","",L884))</f>
        <v/>
      </c>
      <c r="BI884" s="136" t="str">
        <f>IF(AI860="","",IF(M884="","",M884))</f>
        <v/>
      </c>
      <c r="BJ884" s="136" t="str">
        <f>IF(AI860="","",IF(N884="","",N884))</f>
        <v/>
      </c>
      <c r="BK884" s="136" t="str">
        <f>IF(AI860="","",IF(O884="","",O884))</f>
        <v/>
      </c>
      <c r="BM884" s="136" t="str">
        <f t="shared" si="504"/>
        <v>EG</v>
      </c>
      <c r="BN884" s="136" t="str">
        <f t="shared" si="494"/>
        <v>Estudo em Grupo</v>
      </c>
      <c r="BO884" s="136" t="str">
        <f t="shared" si="494"/>
        <v>CDI</v>
      </c>
      <c r="BP884" s="136">
        <f>(COUNTIFS(AX864:AX911,BM884,AY864:AY911,BO884)+COUNTIFS(AZ864:AZ911,BM884,BA864:BA911,BO884)+COUNTIFS(BB864:BB911,BM884,BC864:BC911,BO884)+COUNTIFS(BD864:BD911,BM884,BE864:BE911,BO884)+COUNTIFS(BF864:BF911,BM884,BG864:BG911,BO884)+COUNTIFS(BH864:BH911,BM884,BI864:BI911,BO884)+COUNTIFS(BJ864:BJ911,BM884,BK864:BK911,BO884))*0.5</f>
        <v>0</v>
      </c>
      <c r="BQ884" s="136" t="str">
        <f t="shared" si="495"/>
        <v>Estudo em Grupo</v>
      </c>
      <c r="BR884" s="136" t="str">
        <f t="shared" si="495"/>
        <v>CDI</v>
      </c>
      <c r="BS884" s="136" t="str">
        <f t="shared" si="496"/>
        <v>Estudo em Grupo</v>
      </c>
      <c r="BT884" s="136">
        <f t="shared" si="502"/>
        <v>10.5</v>
      </c>
      <c r="BU884" s="136">
        <f t="shared" si="503"/>
        <v>8.5</v>
      </c>
      <c r="CA884" s="136">
        <f>'INFO BASE'!L964</f>
        <v>0</v>
      </c>
      <c r="CB884" s="136">
        <f>'INFO BASE'!M964</f>
        <v>0</v>
      </c>
      <c r="CR884" s="177">
        <f t="shared" si="484"/>
        <v>1</v>
      </c>
      <c r="CS884" s="177">
        <f t="shared" si="485"/>
        <v>1</v>
      </c>
      <c r="CT884" s="177">
        <f t="shared" si="484"/>
        <v>1</v>
      </c>
      <c r="CU884" s="177">
        <f t="shared" si="486"/>
        <v>1</v>
      </c>
      <c r="CV884" s="177">
        <f t="shared" si="484"/>
        <v>1</v>
      </c>
      <c r="CW884" s="177">
        <f t="shared" si="487"/>
        <v>1</v>
      </c>
      <c r="CX884" s="177">
        <f t="shared" si="484"/>
        <v>1</v>
      </c>
      <c r="CY884" s="177">
        <f t="shared" si="488"/>
        <v>1</v>
      </c>
      <c r="CZ884" s="177">
        <f t="shared" si="484"/>
        <v>1</v>
      </c>
      <c r="DA884" s="177">
        <f t="shared" si="489"/>
        <v>1</v>
      </c>
      <c r="DB884" s="177">
        <f t="shared" si="484"/>
        <v>1</v>
      </c>
      <c r="DC884" s="177">
        <f t="shared" si="490"/>
        <v>1</v>
      </c>
      <c r="DD884" s="177">
        <f t="shared" si="491"/>
        <v>1</v>
      </c>
      <c r="DE884" s="177">
        <f t="shared" si="492"/>
        <v>1</v>
      </c>
    </row>
    <row r="885" spans="1:109" ht="18" customHeight="1" x14ac:dyDescent="0.3">
      <c r="A885" s="81">
        <v>0.43750000000001399</v>
      </c>
      <c r="B885" s="153"/>
      <c r="C885" s="130"/>
      <c r="D885" s="135"/>
      <c r="E885" s="130"/>
      <c r="F885" s="135"/>
      <c r="G885" s="130"/>
      <c r="H885" s="135"/>
      <c r="I885" s="130"/>
      <c r="J885" s="135"/>
      <c r="K885" s="130"/>
      <c r="L885" s="135"/>
      <c r="M885" s="130"/>
      <c r="N885" s="135"/>
      <c r="O885" s="154"/>
      <c r="P885" s="6">
        <v>0</v>
      </c>
      <c r="Q885" s="115" t="str">
        <f t="shared" si="505"/>
        <v>Estudo em Grupo</v>
      </c>
      <c r="R885" s="105" t="str">
        <f t="shared" si="501"/>
        <v>IAC</v>
      </c>
      <c r="S885" s="88">
        <f t="shared" si="498"/>
        <v>-1</v>
      </c>
      <c r="T885" s="89">
        <f>IF(VLOOKUP(Q885,'INFO BASE'!$B$40:$I$54,IF(R885='INFO BASE'!$B$32,3,IF(R885='INFO BASE'!$B$33,4,IF(R885='INFO BASE'!$B$34,5,IF(R885='INFO BASE'!$B$35,6,IF(R885='INFO BASE'!$B$36,7,IF(R885='INFO BASE'!$B$37,8,2)))))),0)=0,"",VLOOKUP(Q885,'INFO BASE'!$B$40:$I$54,IF(R885='INFO BASE'!$B$32,3,IF(R885='INFO BASE'!$B$33,4,IF(R885='INFO BASE'!$B$34,5,IF(R885='INFO BASE'!$B$35,6,IF(R885='INFO BASE'!$B$36,7,IF(R885='INFO BASE'!$B$37,8,2)))))),0))</f>
        <v>2</v>
      </c>
      <c r="U885" s="89">
        <f>(COUNTIFS(C864:C911,R885,B864:B911,R882)+COUNTIFS(E864:E911,R885,D864:D911,R882)+COUNTIFS(G864:G911,R885,F864:F911,R882)+COUNTIFS(I864:I911,R885,H864:H911,R882)+COUNTIFS(K864:K911,R885,J864:J911,R882)+COUNTIFS(M864:M911,R885,L864:L911,R882)+COUNTIFS(O864:O911,R885,N864:N911,R882))*0.5</f>
        <v>0</v>
      </c>
      <c r="V885" s="89">
        <f>(COUNTIFS(AI864:AI911,R882,AJ864:AJ911,R878)+COUNTIFS(AK864:AK911,R882,AL864:AL911,R878)+COUNTIFS(AM864:AM911,R882,AN864:AN911,R878)+COUNTIFS(AO864:AO911,R882,AP864:AP911,R878)+COUNTIFS(AQ864:AQ911,R882,AR864:AR911,R878)+COUNTIFS(AS864:AS911,R882,AT864:AT911,R878)+COUNTIFS(AU864:AU911,R882,AV864:AV911,R878))*0.5</f>
        <v>0</v>
      </c>
      <c r="W885" s="90" t="str">
        <f>IF(AH860="","-",IF(V885=0,U885,IFERROR((U885/V885)-1,"-")))</f>
        <v>-</v>
      </c>
      <c r="X885" s="201">
        <f t="shared" si="499"/>
        <v>0</v>
      </c>
      <c r="Y885" s="271"/>
      <c r="Z885" s="272"/>
      <c r="AA885" s="272"/>
      <c r="AB885" s="272"/>
      <c r="AC885" s="272"/>
      <c r="AD885" s="272"/>
      <c r="AE885" s="272"/>
      <c r="AF885" s="273"/>
      <c r="AH885" s="136">
        <v>0.43750000000001399</v>
      </c>
      <c r="AI885" s="136" t="str">
        <f>IF(AH860="","",IF(B885="","",B885))</f>
        <v/>
      </c>
      <c r="AJ885" s="136" t="str">
        <f>IF(AH860="","",IF(C885="","",C885))</f>
        <v/>
      </c>
      <c r="AK885" s="136" t="str">
        <f>IF(AH860="","",IF(D885="","",D885))</f>
        <v/>
      </c>
      <c r="AL885" s="136" t="str">
        <f>IF(AH860="","",IF(E885="","",E885))</f>
        <v/>
      </c>
      <c r="AM885" s="136" t="str">
        <f>IF(AH860="","",IF(F885="","",F885))</f>
        <v/>
      </c>
      <c r="AN885" s="136" t="str">
        <f>IF(AH860="","",IF(G885="","",G885))</f>
        <v/>
      </c>
      <c r="AO885" s="136" t="str">
        <f>IF(AH860="","",IF(H885="","",H885))</f>
        <v/>
      </c>
      <c r="AP885" s="136" t="str">
        <f>IF(AH860="","",IF(I885="","",I885))</f>
        <v/>
      </c>
      <c r="AQ885" s="136" t="str">
        <f>IF(AH860="","",IF(J885="","",J885))</f>
        <v/>
      </c>
      <c r="AR885" s="136" t="str">
        <f>IF(AH860="","",IF(K885="","",K885))</f>
        <v/>
      </c>
      <c r="AS885" s="136" t="str">
        <f>IF(AH860="","",IF(L885="","",L885))</f>
        <v/>
      </c>
      <c r="AT885" s="136" t="str">
        <f>IF(AH860="","",IF(M885="","",M885))</f>
        <v/>
      </c>
      <c r="AU885" s="136" t="str">
        <f>IF(AH860="","",IF(N885="","",N885))</f>
        <v/>
      </c>
      <c r="AV885" s="136" t="str">
        <f>IF(AH860="","",IF(O885="","",O885))</f>
        <v/>
      </c>
      <c r="AX885" s="136" t="str">
        <f>IF(AI860="","",IF(B885="","",B885))</f>
        <v/>
      </c>
      <c r="AY885" s="136" t="str">
        <f>IF(AI860="","",IF(C885="","",C885))</f>
        <v/>
      </c>
      <c r="AZ885" s="136" t="str">
        <f>IF(AI860="","",IF(D885="","",D885))</f>
        <v/>
      </c>
      <c r="BA885" s="136" t="str">
        <f>IF(AI860="","",IF(E885="","",E885))</f>
        <v/>
      </c>
      <c r="BB885" s="136" t="str">
        <f>IF(AI860="","",IF(F885="","",F885))</f>
        <v/>
      </c>
      <c r="BC885" s="136" t="str">
        <f>IF(AI860="","",IF(G885="","",G885))</f>
        <v/>
      </c>
      <c r="BD885" s="136" t="str">
        <f>IF(AI860="","",IF(H885="","",H885))</f>
        <v/>
      </c>
      <c r="BE885" s="136" t="str">
        <f>IF(AI860="","",IF(I885="","",I885))</f>
        <v/>
      </c>
      <c r="BF885" s="136" t="str">
        <f>IF(AI860="","",IF(J885="","",J885))</f>
        <v/>
      </c>
      <c r="BG885" s="136" t="str">
        <f>IF(AI860="","",IF(K885="","",K885))</f>
        <v/>
      </c>
      <c r="BH885" s="136" t="str">
        <f>IF(AI860="","",IF(L885="","",L885))</f>
        <v/>
      </c>
      <c r="BI885" s="136" t="str">
        <f>IF(AI860="","",IF(M885="","",M885))</f>
        <v/>
      </c>
      <c r="BJ885" s="136" t="str">
        <f>IF(AI860="","",IF(N885="","",N885))</f>
        <v/>
      </c>
      <c r="BK885" s="136" t="str">
        <f>IF(AI860="","",IF(O885="","",O885))</f>
        <v/>
      </c>
      <c r="BM885" s="136" t="str">
        <f t="shared" si="504"/>
        <v>EG</v>
      </c>
      <c r="BN885" s="136" t="str">
        <f t="shared" si="494"/>
        <v>Estudo em Grupo</v>
      </c>
      <c r="BO885" s="136" t="str">
        <f t="shared" si="494"/>
        <v/>
      </c>
      <c r="BP885" s="136">
        <f>(COUNTIFS(AX864:AX911,BM885,AY864:AY911,BO885)+COUNTIFS(AZ864:AZ911,BM885,BA864:BA911,BO885)+COUNTIFS(BB864:BB911,BM885,BC864:BC911,BO885)+COUNTIFS(BD864:BD911,BM885,BE864:BE911,BO885)+COUNTIFS(BF864:BF911,BM885,BG864:BG911,BO885)+COUNTIFS(BH864:BH911,BM885,BI864:BI911,BO885)+COUNTIFS(BJ864:BJ911,BM885,BK864:BK911,BO885))*0.5</f>
        <v>0</v>
      </c>
      <c r="BQ885" s="136" t="str">
        <f t="shared" si="495"/>
        <v>Estudo em Grupo</v>
      </c>
      <c r="BR885" s="136" t="str">
        <f t="shared" si="495"/>
        <v/>
      </c>
      <c r="BS885" s="136" t="str">
        <f t="shared" si="496"/>
        <v>Estudo em Grupo</v>
      </c>
      <c r="BT885" s="136">
        <f t="shared" si="502"/>
        <v>0</v>
      </c>
      <c r="BU885" s="136">
        <f t="shared" si="503"/>
        <v>0</v>
      </c>
      <c r="CA885" s="136">
        <f>'INFO BASE'!L965</f>
        <v>0</v>
      </c>
      <c r="CB885" s="136">
        <f>'INFO BASE'!M965</f>
        <v>0</v>
      </c>
      <c r="CR885" s="177">
        <f t="shared" si="484"/>
        <v>1</v>
      </c>
      <c r="CS885" s="177">
        <f t="shared" si="485"/>
        <v>1</v>
      </c>
      <c r="CT885" s="177">
        <f t="shared" si="484"/>
        <v>1</v>
      </c>
      <c r="CU885" s="177">
        <f t="shared" si="486"/>
        <v>1</v>
      </c>
      <c r="CV885" s="177">
        <f t="shared" si="484"/>
        <v>1</v>
      </c>
      <c r="CW885" s="177">
        <f t="shared" si="487"/>
        <v>1</v>
      </c>
      <c r="CX885" s="177">
        <f t="shared" si="484"/>
        <v>1</v>
      </c>
      <c r="CY885" s="177">
        <f t="shared" si="488"/>
        <v>1</v>
      </c>
      <c r="CZ885" s="177">
        <f t="shared" si="484"/>
        <v>1</v>
      </c>
      <c r="DA885" s="177">
        <f t="shared" si="489"/>
        <v>1</v>
      </c>
      <c r="DB885" s="177">
        <f t="shared" si="484"/>
        <v>1</v>
      </c>
      <c r="DC885" s="177">
        <f t="shared" si="490"/>
        <v>1</v>
      </c>
      <c r="DD885" s="177">
        <f t="shared" si="491"/>
        <v>1</v>
      </c>
      <c r="DE885" s="177">
        <f t="shared" si="492"/>
        <v>1</v>
      </c>
    </row>
    <row r="886" spans="1:109" ht="18" customHeight="1" x14ac:dyDescent="0.3">
      <c r="A886" s="81">
        <v>0.45833333333334803</v>
      </c>
      <c r="B886" s="153"/>
      <c r="C886" s="130"/>
      <c r="D886" s="135"/>
      <c r="E886" s="130"/>
      <c r="F886" s="135"/>
      <c r="G886" s="130"/>
      <c r="H886" s="135"/>
      <c r="I886" s="130"/>
      <c r="J886" s="135"/>
      <c r="K886" s="130"/>
      <c r="L886" s="135"/>
      <c r="M886" s="130"/>
      <c r="N886" s="135"/>
      <c r="O886" s="154"/>
      <c r="P886" s="6">
        <v>0</v>
      </c>
      <c r="Q886" s="114" t="str">
        <f t="shared" si="505"/>
        <v>Estudo em Grupo</v>
      </c>
      <c r="R886" s="105" t="str">
        <f t="shared" si="501"/>
        <v>AL</v>
      </c>
      <c r="S886" s="88">
        <f t="shared" si="498"/>
        <v>-1</v>
      </c>
      <c r="T886" s="89">
        <f>IF(VLOOKUP(Q886,'INFO BASE'!$B$40:$I$54,IF(R886='INFO BASE'!$B$32,3,IF(R886='INFO BASE'!$B$33,4,IF(R886='INFO BASE'!$B$34,5,IF(R886='INFO BASE'!$B$35,6,IF(R886='INFO BASE'!$B$36,7,IF(R886='INFO BASE'!$B$37,8,2)))))),0)=0,"",VLOOKUP(Q886,'INFO BASE'!$B$40:$I$54,IF(R886='INFO BASE'!$B$32,3,IF(R886='INFO BASE'!$B$33,4,IF(R886='INFO BASE'!$B$34,5,IF(R886='INFO BASE'!$B$35,6,IF(R886='INFO BASE'!$B$36,7,IF(R886='INFO BASE'!$B$37,8,2)))))),0))</f>
        <v>2</v>
      </c>
      <c r="U886" s="89">
        <f>(COUNTIFS(C864:C911,R886,B864:B911,R882)+COUNTIFS(E864:E911,R886,D864:D911,R882)+COUNTIFS(G864:G911,R886,F864:F911,R882)+COUNTIFS(I864:I911,R886,H864:H911,R882)+COUNTIFS(K864:K911,R886,J864:J911,R882)+COUNTIFS(M864:M911,R886,L864:L911,R882)+COUNTIFS(O864:O911,R886,N864:N911,R882))*0.5</f>
        <v>0</v>
      </c>
      <c r="V886" s="89">
        <f>(COUNTIFS(AI864:AI911,R882,AJ864:AJ911,R879)+COUNTIFS(AK864:AK911,R882,AL864:AL911,R879)+COUNTIFS(AM864:AM911,R882,AN864:AN911,R879)+COUNTIFS(AO864:AO911,R882,AP864:AP911,R879)+COUNTIFS(AQ864:AQ911,R882,AR864:AR911,R879)+COUNTIFS(AS864:AS911,R882,AT864:AT911,R879)+COUNTIFS(AU864:AU911,R882,AV864:AV911,R879))*0.5</f>
        <v>0</v>
      </c>
      <c r="W886" s="90" t="str">
        <f>IF(AH860="","-",IF(V886=0,U886,IFERROR((U886/V886)-1,"-")))</f>
        <v>-</v>
      </c>
      <c r="X886" s="201">
        <f t="shared" si="499"/>
        <v>0</v>
      </c>
      <c r="Y886" s="271"/>
      <c r="Z886" s="272"/>
      <c r="AA886" s="272"/>
      <c r="AB886" s="272"/>
      <c r="AC886" s="272"/>
      <c r="AD886" s="272"/>
      <c r="AE886" s="272"/>
      <c r="AF886" s="273"/>
      <c r="AH886" s="136">
        <v>0.45833333333334803</v>
      </c>
      <c r="AI886" s="136" t="str">
        <f>IF(AH860="","",IF(B886="","",B886))</f>
        <v/>
      </c>
      <c r="AJ886" s="136" t="str">
        <f>IF(AH860="","",IF(C886="","",C886))</f>
        <v/>
      </c>
      <c r="AK886" s="136" t="str">
        <f>IF(AH860="","",IF(D886="","",D886))</f>
        <v/>
      </c>
      <c r="AL886" s="136" t="str">
        <f>IF(AH860="","",IF(E886="","",E886))</f>
        <v/>
      </c>
      <c r="AM886" s="136" t="str">
        <f>IF(AH860="","",IF(F886="","",F886))</f>
        <v/>
      </c>
      <c r="AN886" s="136" t="str">
        <f>IF(AH860="","",IF(G886="","",G886))</f>
        <v/>
      </c>
      <c r="AO886" s="136" t="str">
        <f>IF(AH860="","",IF(H886="","",H886))</f>
        <v/>
      </c>
      <c r="AP886" s="136" t="str">
        <f>IF(AH860="","",IF(I886="","",I886))</f>
        <v/>
      </c>
      <c r="AQ886" s="136" t="str">
        <f>IF(AH860="","",IF(J886="","",J886))</f>
        <v/>
      </c>
      <c r="AR886" s="136" t="str">
        <f>IF(AH860="","",IF(K886="","",K886))</f>
        <v/>
      </c>
      <c r="AS886" s="136" t="str">
        <f>IF(AH860="","",IF(L886="","",L886))</f>
        <v/>
      </c>
      <c r="AT886" s="136" t="str">
        <f>IF(AH860="","",IF(M886="","",M886))</f>
        <v/>
      </c>
      <c r="AU886" s="136" t="str">
        <f>IF(AH860="","",IF(N886="","",N886))</f>
        <v/>
      </c>
      <c r="AV886" s="136" t="str">
        <f>IF(AH860="","",IF(O886="","",O886))</f>
        <v/>
      </c>
      <c r="AX886" s="136" t="str">
        <f>IF(AI860="","",IF(B886="","",B886))</f>
        <v/>
      </c>
      <c r="AY886" s="136" t="str">
        <f>IF(AI860="","",IF(C886="","",C886))</f>
        <v/>
      </c>
      <c r="AZ886" s="136" t="str">
        <f>IF(AI860="","",IF(D886="","",D886))</f>
        <v/>
      </c>
      <c r="BA886" s="136" t="str">
        <f>IF(AI860="","",IF(E886="","",E886))</f>
        <v/>
      </c>
      <c r="BB886" s="136" t="str">
        <f>IF(AI860="","",IF(F886="","",F886))</f>
        <v/>
      </c>
      <c r="BC886" s="136" t="str">
        <f>IF(AI860="","",IF(G886="","",G886))</f>
        <v/>
      </c>
      <c r="BD886" s="136" t="str">
        <f>IF(AI860="","",IF(H886="","",H886))</f>
        <v/>
      </c>
      <c r="BE886" s="136" t="str">
        <f>IF(AI860="","",IF(I886="","",I886))</f>
        <v/>
      </c>
      <c r="BF886" s="136" t="str">
        <f>IF(AI860="","",IF(J886="","",J886))</f>
        <v/>
      </c>
      <c r="BG886" s="136" t="str">
        <f>IF(AI860="","",IF(K886="","",K886))</f>
        <v/>
      </c>
      <c r="BH886" s="136" t="str">
        <f>IF(AI860="","",IF(L886="","",L886))</f>
        <v/>
      </c>
      <c r="BI886" s="136" t="str">
        <f>IF(AI860="","",IF(M886="","",M886))</f>
        <v/>
      </c>
      <c r="BJ886" s="136" t="str">
        <f>IF(AI860="","",IF(N886="","",N886))</f>
        <v/>
      </c>
      <c r="BK886" s="136" t="str">
        <f>IF(AI860="","",IF(O886="","",O886))</f>
        <v/>
      </c>
      <c r="BM886" s="136" t="str">
        <f>BO886</f>
        <v>TG</v>
      </c>
      <c r="BN886" s="136" t="str">
        <f t="shared" si="494"/>
        <v>Trabalho de Grupo</v>
      </c>
      <c r="BO886" s="136" t="str">
        <f t="shared" si="494"/>
        <v>TG</v>
      </c>
      <c r="BP886" s="136">
        <f>COUNTIFS(AX864:BK911,BO886)*0.5</f>
        <v>0</v>
      </c>
      <c r="BQ886" s="136" t="str">
        <f t="shared" si="495"/>
        <v>Trabalho de Grupo</v>
      </c>
      <c r="BR886" s="136" t="str">
        <f t="shared" si="495"/>
        <v>TG</v>
      </c>
      <c r="BS886" s="136" t="str">
        <f t="shared" si="496"/>
        <v>Trabalho de Grupo</v>
      </c>
      <c r="BT886" s="136">
        <f t="shared" si="502"/>
        <v>0</v>
      </c>
      <c r="BU886" s="136">
        <f t="shared" si="503"/>
        <v>0</v>
      </c>
      <c r="CA886" s="136">
        <f>'INFO BASE'!L966</f>
        <v>0</v>
      </c>
      <c r="CB886" s="136">
        <f>'INFO BASE'!M966</f>
        <v>0</v>
      </c>
      <c r="CR886" s="177">
        <f t="shared" si="484"/>
        <v>1</v>
      </c>
      <c r="CS886" s="177">
        <f t="shared" si="485"/>
        <v>1</v>
      </c>
      <c r="CT886" s="177">
        <f t="shared" si="484"/>
        <v>1</v>
      </c>
      <c r="CU886" s="177">
        <f t="shared" si="486"/>
        <v>1</v>
      </c>
      <c r="CV886" s="177">
        <f t="shared" si="484"/>
        <v>1</v>
      </c>
      <c r="CW886" s="177">
        <f t="shared" si="487"/>
        <v>1</v>
      </c>
      <c r="CX886" s="177">
        <f t="shared" si="484"/>
        <v>1</v>
      </c>
      <c r="CY886" s="177">
        <f t="shared" si="488"/>
        <v>1</v>
      </c>
      <c r="CZ886" s="177">
        <f t="shared" si="484"/>
        <v>1</v>
      </c>
      <c r="DA886" s="177">
        <f t="shared" si="489"/>
        <v>1</v>
      </c>
      <c r="DB886" s="177">
        <f t="shared" si="484"/>
        <v>1</v>
      </c>
      <c r="DC886" s="177">
        <f t="shared" si="490"/>
        <v>1</v>
      </c>
      <c r="DD886" s="177">
        <f t="shared" si="491"/>
        <v>1</v>
      </c>
      <c r="DE886" s="177">
        <f t="shared" si="492"/>
        <v>1</v>
      </c>
    </row>
    <row r="887" spans="1:109" ht="18" customHeight="1" x14ac:dyDescent="0.3">
      <c r="A887" s="81">
        <v>0.47916666666668201</v>
      </c>
      <c r="B887" s="153"/>
      <c r="C887" s="130"/>
      <c r="D887" s="135"/>
      <c r="E887" s="130"/>
      <c r="F887" s="135"/>
      <c r="G887" s="130"/>
      <c r="H887" s="135"/>
      <c r="I887" s="130"/>
      <c r="J887" s="135"/>
      <c r="K887" s="130"/>
      <c r="L887" s="135"/>
      <c r="M887" s="130"/>
      <c r="N887" s="135"/>
      <c r="O887" s="154"/>
      <c r="P887" s="6">
        <v>0</v>
      </c>
      <c r="Q887" s="114" t="str">
        <f t="shared" si="505"/>
        <v>Estudo em Grupo</v>
      </c>
      <c r="R887" s="105" t="str">
        <f t="shared" si="501"/>
        <v>CDI</v>
      </c>
      <c r="S887" s="88">
        <f t="shared" si="498"/>
        <v>-1</v>
      </c>
      <c r="T887" s="89">
        <f>IF(VLOOKUP(Q887,'INFO BASE'!$B$40:$I$54,IF(R887='INFO BASE'!$B$32,3,IF(R887='INFO BASE'!$B$33,4,IF(R887='INFO BASE'!$B$34,5,IF(R887='INFO BASE'!$B$35,6,IF(R887='INFO BASE'!$B$36,7,IF(R887='INFO BASE'!$B$37,8,2)))))),0)=0,"",VLOOKUP(Q887,'INFO BASE'!$B$40:$I$54,IF(R887='INFO BASE'!$B$32,3,IF(R887='INFO BASE'!$B$33,4,IF(R887='INFO BASE'!$B$34,5,IF(R887='INFO BASE'!$B$35,6,IF(R887='INFO BASE'!$B$36,7,IF(R887='INFO BASE'!$B$37,8,2)))))),0))</f>
        <v>2</v>
      </c>
      <c r="U887" s="89">
        <f>(COUNTIFS(C864:C911,R887,B864:B911,R882)+COUNTIFS(E864:E911,R887,D864:D911,R882)+COUNTIFS(G864:G911,R887,F864:F911,R882)+COUNTIFS(I864:I911,R887,H864:H911,R882)+COUNTIFS(K864:K911,R887,J864:J911,R882)+COUNTIFS(M864:M911,R887,L864:L911,R882)+COUNTIFS(O864:O911,R887,N864:N911,R882))*0.5</f>
        <v>0</v>
      </c>
      <c r="V887" s="89">
        <f>(COUNTIFS(AI864:AI911,R882,AJ864:AJ911,R880)+COUNTIFS(AK864:AK911,R882,AL864:AL911,R880)+COUNTIFS(AM864:AM911,R882,AN864:AN911,R880)+COUNTIFS(AO864:AO911,R882,AP864:AP911,R880)+COUNTIFS(AQ864:AQ911,R882,AR864:AR911,R880)+COUNTIFS(AS864:AS911,R882,AT864:AT911,R880)+COUNTIFS(AU864:AU911,R882,AV864:AV911,R880))*0.5</f>
        <v>0</v>
      </c>
      <c r="W887" s="90" t="str">
        <f>IF(AH860="","-",IF(V887=0,U887,IFERROR((U887/V887)-1,"-")))</f>
        <v>-</v>
      </c>
      <c r="X887" s="201">
        <f t="shared" si="499"/>
        <v>0</v>
      </c>
      <c r="Y887" s="271"/>
      <c r="Z887" s="272"/>
      <c r="AA887" s="272"/>
      <c r="AB887" s="272"/>
      <c r="AC887" s="272"/>
      <c r="AD887" s="272"/>
      <c r="AE887" s="272"/>
      <c r="AF887" s="273"/>
      <c r="AH887" s="136">
        <v>0.47916666666668201</v>
      </c>
      <c r="AI887" s="136" t="str">
        <f>IF(AH860="","",IF(B887="","",B887))</f>
        <v/>
      </c>
      <c r="AJ887" s="136" t="str">
        <f>IF(AH860="","",IF(C887="","",C887))</f>
        <v/>
      </c>
      <c r="AK887" s="136" t="str">
        <f>IF(AH860="","",IF(D887="","",D887))</f>
        <v/>
      </c>
      <c r="AL887" s="136" t="str">
        <f>IF(AH860="","",IF(E887="","",E887))</f>
        <v/>
      </c>
      <c r="AM887" s="136" t="str">
        <f>IF(AH860="","",IF(F887="","",F887))</f>
        <v/>
      </c>
      <c r="AN887" s="136" t="str">
        <f>IF(AH860="","",IF(G887="","",G887))</f>
        <v/>
      </c>
      <c r="AO887" s="136" t="str">
        <f>IF(AH860="","",IF(H887="","",H887))</f>
        <v/>
      </c>
      <c r="AP887" s="136" t="str">
        <f>IF(AH860="","",IF(I887="","",I887))</f>
        <v/>
      </c>
      <c r="AQ887" s="136" t="str">
        <f>IF(AH860="","",IF(J887="","",J887))</f>
        <v/>
      </c>
      <c r="AR887" s="136" t="str">
        <f>IF(AH860="","",IF(K887="","",K887))</f>
        <v/>
      </c>
      <c r="AS887" s="136" t="str">
        <f>IF(AH860="","",IF(L887="","",L887))</f>
        <v/>
      </c>
      <c r="AT887" s="136" t="str">
        <f>IF(AH860="","",IF(M887="","",M887))</f>
        <v/>
      </c>
      <c r="AU887" s="136" t="str">
        <f>IF(AH860="","",IF(N887="","",N887))</f>
        <v/>
      </c>
      <c r="AV887" s="136" t="str">
        <f>IF(AH860="","",IF(O887="","",O887))</f>
        <v/>
      </c>
      <c r="AX887" s="136" t="str">
        <f>IF(AI860="","",IF(B887="","",B887))</f>
        <v/>
      </c>
      <c r="AY887" s="136" t="str">
        <f>IF(AI860="","",IF(C887="","",C887))</f>
        <v/>
      </c>
      <c r="AZ887" s="136" t="str">
        <f>IF(AI860="","",IF(D887="","",D887))</f>
        <v/>
      </c>
      <c r="BA887" s="136" t="str">
        <f>IF(AI860="","",IF(E887="","",E887))</f>
        <v/>
      </c>
      <c r="BB887" s="136" t="str">
        <f>IF(AI860="","",IF(F887="","",F887))</f>
        <v/>
      </c>
      <c r="BC887" s="136" t="str">
        <f>IF(AI860="","",IF(G887="","",G887))</f>
        <v/>
      </c>
      <c r="BD887" s="136" t="str">
        <f>IF(AI860="","",IF(H887="","",H887))</f>
        <v/>
      </c>
      <c r="BE887" s="136" t="str">
        <f>IF(AI860="","",IF(I887="","",I887))</f>
        <v/>
      </c>
      <c r="BF887" s="136" t="str">
        <f>IF(AI860="","",IF(J887="","",J887))</f>
        <v/>
      </c>
      <c r="BG887" s="136" t="str">
        <f>IF(AI860="","",IF(K887="","",K887))</f>
        <v/>
      </c>
      <c r="BH887" s="136" t="str">
        <f>IF(AI860="","",IF(L887="","",L887))</f>
        <v/>
      </c>
      <c r="BI887" s="136" t="str">
        <f>IF(AI860="","",IF(M887="","",M887))</f>
        <v/>
      </c>
      <c r="BJ887" s="136" t="str">
        <f>IF(AI860="","",IF(N887="","",N887))</f>
        <v/>
      </c>
      <c r="BK887" s="136" t="str">
        <f>IF(AI860="","",IF(O887="","",O887))</f>
        <v/>
      </c>
      <c r="BM887" s="136" t="str">
        <f>BM886</f>
        <v>TG</v>
      </c>
      <c r="BN887" s="136" t="str">
        <f t="shared" si="494"/>
        <v>Trabalho de Grupo</v>
      </c>
      <c r="BO887" s="136" t="str">
        <f t="shared" si="494"/>
        <v>FP</v>
      </c>
      <c r="BP887" s="136">
        <f>(COUNTIFS(AX864:AX911,BM887,AY864:AY911,BO887)+COUNTIFS(AZ864:AZ911,BM887,BA864:BA911,BO887)+COUNTIFS(BB864:BB911,BM887,BC864:BC911,BO887)+COUNTIFS(BD864:BD911,BM887,BE864:BE911,BO887)+COUNTIFS(BF864:BF911,BM887,BG864:BG911,BO887)+COUNTIFS(BH864:BH911,BM887,BI864:BI911,BO887)+COUNTIFS(BJ864:BJ911,BM887,BK864:BK911,BO887))*0.5</f>
        <v>0</v>
      </c>
      <c r="BQ887" s="136" t="str">
        <f t="shared" si="495"/>
        <v>Trabalho de Grupo</v>
      </c>
      <c r="BR887" s="136" t="str">
        <f t="shared" si="495"/>
        <v>FP</v>
      </c>
      <c r="BS887" s="136" t="str">
        <f t="shared" si="496"/>
        <v>Trabalho de Grupo</v>
      </c>
      <c r="BT887" s="136">
        <f t="shared" si="502"/>
        <v>0</v>
      </c>
      <c r="BU887" s="136">
        <f t="shared" si="503"/>
        <v>0</v>
      </c>
      <c r="CR887" s="177">
        <f t="shared" si="484"/>
        <v>1</v>
      </c>
      <c r="CS887" s="177">
        <f t="shared" si="485"/>
        <v>1</v>
      </c>
      <c r="CT887" s="177">
        <f t="shared" si="484"/>
        <v>1</v>
      </c>
      <c r="CU887" s="177">
        <f t="shared" si="486"/>
        <v>1</v>
      </c>
      <c r="CV887" s="177">
        <f t="shared" si="484"/>
        <v>1</v>
      </c>
      <c r="CW887" s="177">
        <f t="shared" si="487"/>
        <v>1</v>
      </c>
      <c r="CX887" s="177">
        <f t="shared" si="484"/>
        <v>1</v>
      </c>
      <c r="CY887" s="177">
        <f t="shared" si="488"/>
        <v>1</v>
      </c>
      <c r="CZ887" s="177">
        <f t="shared" si="484"/>
        <v>1</v>
      </c>
      <c r="DA887" s="177">
        <f t="shared" si="489"/>
        <v>1</v>
      </c>
      <c r="DB887" s="177">
        <f t="shared" si="484"/>
        <v>1</v>
      </c>
      <c r="DC887" s="177">
        <f t="shared" si="490"/>
        <v>1</v>
      </c>
      <c r="DD887" s="177">
        <f t="shared" si="491"/>
        <v>1</v>
      </c>
      <c r="DE887" s="177">
        <f t="shared" si="492"/>
        <v>1</v>
      </c>
    </row>
    <row r="888" spans="1:109" ht="18" customHeight="1" thickBot="1" x14ac:dyDescent="0.35">
      <c r="A888" s="81">
        <v>0.50000000000001599</v>
      </c>
      <c r="B888" s="153"/>
      <c r="C888" s="130"/>
      <c r="D888" s="135"/>
      <c r="E888" s="130"/>
      <c r="F888" s="135"/>
      <c r="G888" s="130"/>
      <c r="H888" s="135"/>
      <c r="I888" s="130"/>
      <c r="J888" s="135"/>
      <c r="K888" s="130"/>
      <c r="L888" s="135"/>
      <c r="M888" s="130"/>
      <c r="N888" s="135"/>
      <c r="O888" s="154"/>
      <c r="P888" s="6">
        <v>0</v>
      </c>
      <c r="Q888" s="116" t="str">
        <f t="shared" si="505"/>
        <v>Estudo em Grupo</v>
      </c>
      <c r="R888" s="107" t="str">
        <f t="shared" si="501"/>
        <v/>
      </c>
      <c r="S888" s="94" t="str">
        <f t="shared" si="498"/>
        <v>-</v>
      </c>
      <c r="T888" s="95" t="str">
        <f>IF(VLOOKUP(Q888,'INFO BASE'!$B$40:$I$54,IF(R888='INFO BASE'!$B$32,3,IF(R888='INFO BASE'!$B$33,4,IF(R888='INFO BASE'!$B$34,5,IF(R888='INFO BASE'!$B$35,6,IF(R888='INFO BASE'!$B$36,7,IF(R888='INFO BASE'!$B$37,8,2)))))),0)=0,"",VLOOKUP(Q888,'INFO BASE'!$B$40:$I$54,IF(R888='INFO BASE'!$B$32,3,IF(R888='INFO BASE'!$B$33,4,IF(R888='INFO BASE'!$B$34,5,IF(R888='INFO BASE'!$B$35,6,IF(R888='INFO BASE'!$B$36,7,IF(R888='INFO BASE'!$B$37,8,2)))))),0))</f>
        <v/>
      </c>
      <c r="U888" s="95">
        <f>(COUNTIFS(C864:C911,R888,B864:B911,R882)+COUNTIFS(E864:E911,R888,D864:D911,R882)+COUNTIFS(G864:G911,R888,F864:F911,R882)+COUNTIFS(I864:I911,R888,H864:H911,R882)+COUNTIFS(K864:K911,R888,J864:J911,R882)+COUNTIFS(M864:M911,R888,L864:L911,R882)+COUNTIFS(O864:O911,R888,N864:N911,R882))*0.5</f>
        <v>0</v>
      </c>
      <c r="V888" s="95">
        <f>(COUNTIFS(AI864:AI911,R882,AJ864:AJ911,R881)+COUNTIFS(AK864:AK911,R882,AL864:AL911,R881)+COUNTIFS(AM864:AM911,R882,AN864:AN911,R881)+COUNTIFS(AO864:AO911,R882,AP864:AP911,R881)+COUNTIFS(AQ864:AQ911,R882,AR864:AR911,R881)+COUNTIFS(AS864:AS911,R882,AT864:AT911,R881)+COUNTIFS(AU864:AU911,R882,AV864:AV911,R881))*0.5</f>
        <v>0</v>
      </c>
      <c r="W888" s="96" t="str">
        <f>IF(AH860="","-",IF(V888=0,U888,IFERROR((U888/V888)-1,"-")))</f>
        <v>-</v>
      </c>
      <c r="X888" s="201">
        <f t="shared" si="499"/>
        <v>0</v>
      </c>
      <c r="Y888" s="274"/>
      <c r="Z888" s="275"/>
      <c r="AA888" s="275"/>
      <c r="AB888" s="275"/>
      <c r="AC888" s="275"/>
      <c r="AD888" s="275"/>
      <c r="AE888" s="275"/>
      <c r="AF888" s="276"/>
      <c r="AH888" s="136">
        <v>0.50000000000001599</v>
      </c>
      <c r="AI888" s="136" t="str">
        <f>IF(AH860="","",IF(B888="","",B888))</f>
        <v/>
      </c>
      <c r="AJ888" s="136" t="str">
        <f>IF(AH860="","",IF(C888="","",C888))</f>
        <v/>
      </c>
      <c r="AK888" s="136" t="str">
        <f>IF(AH860="","",IF(D888="","",D888))</f>
        <v/>
      </c>
      <c r="AL888" s="136" t="str">
        <f>IF(AH860="","",IF(E888="","",E888))</f>
        <v/>
      </c>
      <c r="AM888" s="136" t="str">
        <f>IF(AH860="","",IF(F888="","",F888))</f>
        <v/>
      </c>
      <c r="AN888" s="136" t="str">
        <f>IF(AH860="","",IF(G888="","",G888))</f>
        <v/>
      </c>
      <c r="AO888" s="136" t="str">
        <f>IF(AH860="","",IF(H888="","",H888))</f>
        <v/>
      </c>
      <c r="AP888" s="136" t="str">
        <f>IF(AH860="","",IF(I888="","",I888))</f>
        <v/>
      </c>
      <c r="AQ888" s="136" t="str">
        <f>IF(AH860="","",IF(J888="","",J888))</f>
        <v/>
      </c>
      <c r="AR888" s="136" t="str">
        <f>IF(AH860="","",IF(K888="","",K888))</f>
        <v/>
      </c>
      <c r="AS888" s="136" t="str">
        <f>IF(AH860="","",IF(L888="","",L888))</f>
        <v/>
      </c>
      <c r="AT888" s="136" t="str">
        <f>IF(AH860="","",IF(M888="","",M888))</f>
        <v/>
      </c>
      <c r="AU888" s="136" t="str">
        <f>IF(AH860="","",IF(N888="","",N888))</f>
        <v/>
      </c>
      <c r="AV888" s="136" t="str">
        <f>IF(AH860="","",IF(O888="","",O888))</f>
        <v/>
      </c>
      <c r="AX888" s="136" t="str">
        <f>IF(AI860="","",IF(B888="","",B888))</f>
        <v/>
      </c>
      <c r="AY888" s="136" t="str">
        <f>IF(AI860="","",IF(C888="","",C888))</f>
        <v/>
      </c>
      <c r="AZ888" s="136" t="str">
        <f>IF(AI860="","",IF(D888="","",D888))</f>
        <v/>
      </c>
      <c r="BA888" s="136" t="str">
        <f>IF(AI860="","",IF(E888="","",E888))</f>
        <v/>
      </c>
      <c r="BB888" s="136" t="str">
        <f>IF(AI860="","",IF(F888="","",F888))</f>
        <v/>
      </c>
      <c r="BC888" s="136" t="str">
        <f>IF(AI860="","",IF(G888="","",G888))</f>
        <v/>
      </c>
      <c r="BD888" s="136" t="str">
        <f>IF(AI860="","",IF(H888="","",H888))</f>
        <v/>
      </c>
      <c r="BE888" s="136" t="str">
        <f>IF(AI860="","",IF(I888="","",I888))</f>
        <v/>
      </c>
      <c r="BF888" s="136" t="str">
        <f>IF(AI860="","",IF(J888="","",J888))</f>
        <v/>
      </c>
      <c r="BG888" s="136" t="str">
        <f>IF(AI860="","",IF(K888="","",K888))</f>
        <v/>
      </c>
      <c r="BH888" s="136" t="str">
        <f>IF(AI860="","",IF(L888="","",L888))</f>
        <v/>
      </c>
      <c r="BI888" s="136" t="str">
        <f>IF(AI860="","",IF(M888="","",M888))</f>
        <v/>
      </c>
      <c r="BJ888" s="136" t="str">
        <f>IF(AI860="","",IF(N888="","",N888))</f>
        <v/>
      </c>
      <c r="BK888" s="136" t="str">
        <f>IF(AI860="","",IF(O888="","",O888))</f>
        <v/>
      </c>
      <c r="BM888" s="136" t="str">
        <f t="shared" ref="BM888:BM892" si="506">BM887</f>
        <v>TG</v>
      </c>
      <c r="BN888" s="136" t="str">
        <f t="shared" si="494"/>
        <v>Trabalho de Grupo</v>
      </c>
      <c r="BO888" s="136" t="str">
        <f t="shared" si="494"/>
        <v>IEI</v>
      </c>
      <c r="BP888" s="136">
        <f>(COUNTIFS(AX864:AX911,BM888,AY864:AY911,BO888)+COUNTIFS(AZ864:AZ911,BM888,BA864:BA911,BO888)+COUNTIFS(BB864:BB911,BM888,BC864:BC911,BO888)+COUNTIFS(BD864:BD911,BM888,BE864:BE911,BO888)+COUNTIFS(BF864:BF911,BM888,BG864:BG911,BO888)+COUNTIFS(BH864:BH911,BM888,BI864:BI911,BO888)+COUNTIFS(BJ864:BJ911,BM888,BK864:BK911,BO888))*0.5</f>
        <v>0</v>
      </c>
      <c r="BQ888" s="136" t="str">
        <f t="shared" si="495"/>
        <v>Trabalho de Grupo</v>
      </c>
      <c r="BR888" s="136" t="str">
        <f t="shared" si="495"/>
        <v>IEI</v>
      </c>
      <c r="BS888" s="136" t="str">
        <f t="shared" si="496"/>
        <v>Trabalho de Grupo</v>
      </c>
      <c r="BT888" s="136">
        <f t="shared" si="502"/>
        <v>0</v>
      </c>
      <c r="BU888" s="136">
        <f t="shared" si="503"/>
        <v>0</v>
      </c>
      <c r="CA888" s="136">
        <f>'INFO BASE'!L967</f>
        <v>0</v>
      </c>
      <c r="CB888" s="136">
        <f>'INFO BASE'!M967</f>
        <v>0</v>
      </c>
      <c r="CR888" s="177">
        <f t="shared" si="484"/>
        <v>1</v>
      </c>
      <c r="CS888" s="177">
        <f t="shared" si="485"/>
        <v>1</v>
      </c>
      <c r="CT888" s="177">
        <f t="shared" si="484"/>
        <v>1</v>
      </c>
      <c r="CU888" s="177">
        <f t="shared" si="486"/>
        <v>1</v>
      </c>
      <c r="CV888" s="177">
        <f t="shared" si="484"/>
        <v>1</v>
      </c>
      <c r="CW888" s="177">
        <f t="shared" si="487"/>
        <v>1</v>
      </c>
      <c r="CX888" s="177">
        <f t="shared" si="484"/>
        <v>1</v>
      </c>
      <c r="CY888" s="177">
        <f t="shared" si="488"/>
        <v>1</v>
      </c>
      <c r="CZ888" s="177">
        <f t="shared" si="484"/>
        <v>1</v>
      </c>
      <c r="DA888" s="177">
        <f t="shared" si="489"/>
        <v>1</v>
      </c>
      <c r="DB888" s="177">
        <f t="shared" si="484"/>
        <v>1</v>
      </c>
      <c r="DC888" s="177">
        <f t="shared" si="490"/>
        <v>1</v>
      </c>
      <c r="DD888" s="177">
        <f t="shared" si="491"/>
        <v>1</v>
      </c>
      <c r="DE888" s="177">
        <f t="shared" si="492"/>
        <v>1</v>
      </c>
    </row>
    <row r="889" spans="1:109" ht="18" customHeight="1" x14ac:dyDescent="0.3">
      <c r="A889" s="81">
        <v>0.52083333333335002</v>
      </c>
      <c r="B889" s="153"/>
      <c r="C889" s="130"/>
      <c r="D889" s="135"/>
      <c r="E889" s="130"/>
      <c r="F889" s="135"/>
      <c r="G889" s="130"/>
      <c r="H889" s="135"/>
      <c r="I889" s="130"/>
      <c r="J889" s="135"/>
      <c r="K889" s="130"/>
      <c r="L889" s="135"/>
      <c r="M889" s="130"/>
      <c r="N889" s="135"/>
      <c r="O889" s="154"/>
      <c r="P889" s="6">
        <v>0</v>
      </c>
      <c r="Q889" s="117" t="str">
        <f>IF('INFO BASE'!$C$19="","",'INFO BASE'!$C$19)</f>
        <v>Trabalho de Grupo</v>
      </c>
      <c r="R889" s="82" t="str">
        <f t="shared" si="501"/>
        <v>TG</v>
      </c>
      <c r="S889" s="83">
        <f t="shared" si="498"/>
        <v>-1</v>
      </c>
      <c r="T889" s="84">
        <f>IF(VLOOKUP(Q889,'INFO BASE'!$B$40:$I$54,IF(R889='INFO BASE'!$B$32,3,IF(R889='INFO BASE'!$B$33,4,IF(R889='INFO BASE'!$B$34,5,IF(R889='INFO BASE'!$B$35,6,IF(R889='INFO BASE'!$B$36,7,IF(R889='INFO BASE'!$B$37,8,2)))))),0)=0,"",VLOOKUP(Q889,'INFO BASE'!$B$40:$I$54,IF(R889='INFO BASE'!$B$32,3,IF(R889='INFO BASE'!$B$33,4,IF(R889='INFO BASE'!$B$34,5,IF(R889='INFO BASE'!$B$35,6,IF(R889='INFO BASE'!$B$36,7,IF(R889='INFO BASE'!$B$37,8,2)))))),0))</f>
        <v>15</v>
      </c>
      <c r="U889" s="84">
        <f>IF(R889="","",COUNTIFS(SEMANA16,R889)*0.5)</f>
        <v>0</v>
      </c>
      <c r="V889" s="84">
        <f>IF(R889="","",COUNTIFS(AI864:AV911,R889)*0.5)</f>
        <v>0</v>
      </c>
      <c r="W889" s="85" t="str">
        <f>IF(AH860="","-",IF(V889=0,U889,IFERROR((U889/V889)-1,"-")))</f>
        <v>-</v>
      </c>
      <c r="X889" s="201">
        <f t="shared" si="499"/>
        <v>0</v>
      </c>
      <c r="Y889" s="277"/>
      <c r="Z889" s="278"/>
      <c r="AA889" s="278"/>
      <c r="AB889" s="278"/>
      <c r="AC889" s="278"/>
      <c r="AD889" s="278"/>
      <c r="AE889" s="278"/>
      <c r="AF889" s="279"/>
      <c r="AH889" s="136">
        <v>0.52083333333335002</v>
      </c>
      <c r="AI889" s="136" t="str">
        <f>IF(AH860="","",IF(B889="","",B889))</f>
        <v/>
      </c>
      <c r="AJ889" s="136" t="str">
        <f>IF(AH860="","",IF(C889="","",C889))</f>
        <v/>
      </c>
      <c r="AK889" s="136" t="str">
        <f>IF(AH860="","",IF(D889="","",D889))</f>
        <v/>
      </c>
      <c r="AL889" s="136" t="str">
        <f>IF(AH860="","",IF(E889="","",E889))</f>
        <v/>
      </c>
      <c r="AM889" s="136" t="str">
        <f>IF(AH860="","",IF(F889="","",F889))</f>
        <v/>
      </c>
      <c r="AN889" s="136" t="str">
        <f>IF(AH860="","",IF(G889="","",G889))</f>
        <v/>
      </c>
      <c r="AO889" s="136" t="str">
        <f>IF(AH860="","",IF(H889="","",H889))</f>
        <v/>
      </c>
      <c r="AP889" s="136" t="str">
        <f>IF(AH860="","",IF(I889="","",I889))</f>
        <v/>
      </c>
      <c r="AQ889" s="136" t="str">
        <f>IF(AH860="","",IF(J889="","",J889))</f>
        <v/>
      </c>
      <c r="AR889" s="136" t="str">
        <f>IF(AH860="","",IF(K889="","",K889))</f>
        <v/>
      </c>
      <c r="AS889" s="136" t="str">
        <f>IF(AH860="","",IF(L889="","",L889))</f>
        <v/>
      </c>
      <c r="AT889" s="136" t="str">
        <f>IF(AH860="","",IF(M889="","",M889))</f>
        <v/>
      </c>
      <c r="AU889" s="136" t="str">
        <f>IF(AH860="","",IF(N889="","",N889))</f>
        <v/>
      </c>
      <c r="AV889" s="136" t="str">
        <f>IF(AH860="","",IF(O889="","",O889))</f>
        <v/>
      </c>
      <c r="AX889" s="136" t="str">
        <f>IF(AI860="","",IF(B889="","",B889))</f>
        <v/>
      </c>
      <c r="AY889" s="136" t="str">
        <f>IF(AI860="","",IF(C889="","",C889))</f>
        <v/>
      </c>
      <c r="AZ889" s="136" t="str">
        <f>IF(AI860="","",IF(D889="","",D889))</f>
        <v/>
      </c>
      <c r="BA889" s="136" t="str">
        <f>IF(AI860="","",IF(E889="","",E889))</f>
        <v/>
      </c>
      <c r="BB889" s="136" t="str">
        <f>IF(AI860="","",IF(F889="","",F889))</f>
        <v/>
      </c>
      <c r="BC889" s="136" t="str">
        <f>IF(AI860="","",IF(G889="","",G889))</f>
        <v/>
      </c>
      <c r="BD889" s="136" t="str">
        <f>IF(AI860="","",IF(H889="","",H889))</f>
        <v/>
      </c>
      <c r="BE889" s="136" t="str">
        <f>IF(AI860="","",IF(I889="","",I889))</f>
        <v/>
      </c>
      <c r="BF889" s="136" t="str">
        <f>IF(AI860="","",IF(J889="","",J889))</f>
        <v/>
      </c>
      <c r="BG889" s="136" t="str">
        <f>IF(AI860="","",IF(K889="","",K889))</f>
        <v/>
      </c>
      <c r="BH889" s="136" t="str">
        <f>IF(AI860="","",IF(L889="","",L889))</f>
        <v/>
      </c>
      <c r="BI889" s="136" t="str">
        <f>IF(AI860="","",IF(M889="","",M889))</f>
        <v/>
      </c>
      <c r="BJ889" s="136" t="str">
        <f>IF(AI860="","",IF(N889="","",N889))</f>
        <v/>
      </c>
      <c r="BK889" s="136" t="str">
        <f>IF(AI860="","",IF(O889="","",O889))</f>
        <v/>
      </c>
      <c r="BM889" s="136" t="str">
        <f t="shared" si="506"/>
        <v>TG</v>
      </c>
      <c r="BN889" s="136" t="str">
        <f t="shared" si="494"/>
        <v>Trabalho de Grupo</v>
      </c>
      <c r="BO889" s="136" t="str">
        <f t="shared" si="494"/>
        <v>IAC</v>
      </c>
      <c r="BP889" s="136">
        <f>(COUNTIFS(AX864:AX911,BM889,AY864:AY911,BO889)+COUNTIFS(AZ864:AZ911,BM889,BA864:BA911,BO889)+COUNTIFS(BB864:BB911,BM889,BC864:BC911,BO889)+COUNTIFS(BD864:BD911,BM889,BE864:BE911,BO889)+COUNTIFS(BF864:BF911,BM889,BG864:BG911,BO889)+COUNTIFS(BH864:BH911,BM889,BI864:BI911,BO889)+COUNTIFS(BJ864:BJ911,BM889,BK864:BK911,BO889))*0.5</f>
        <v>0</v>
      </c>
      <c r="BQ889" s="136" t="str">
        <f t="shared" si="495"/>
        <v>Trabalho de Grupo</v>
      </c>
      <c r="BR889" s="136" t="str">
        <f t="shared" si="495"/>
        <v>IAC</v>
      </c>
      <c r="BS889" s="136" t="str">
        <f t="shared" si="496"/>
        <v>Trabalho de Grupo</v>
      </c>
      <c r="BT889" s="136">
        <f t="shared" si="502"/>
        <v>0</v>
      </c>
      <c r="BU889" s="136">
        <f t="shared" si="503"/>
        <v>0</v>
      </c>
      <c r="CA889" s="136">
        <f>'INFO BASE'!L968</f>
        <v>0</v>
      </c>
      <c r="CB889" s="136">
        <f>'INFO BASE'!M968</f>
        <v>0</v>
      </c>
      <c r="CR889" s="177">
        <f t="shared" si="484"/>
        <v>1</v>
      </c>
      <c r="CS889" s="177">
        <f t="shared" si="485"/>
        <v>1</v>
      </c>
      <c r="CT889" s="177">
        <f t="shared" si="484"/>
        <v>1</v>
      </c>
      <c r="CU889" s="177">
        <f t="shared" si="486"/>
        <v>1</v>
      </c>
      <c r="CV889" s="177">
        <f t="shared" si="484"/>
        <v>1</v>
      </c>
      <c r="CW889" s="177">
        <f t="shared" si="487"/>
        <v>1</v>
      </c>
      <c r="CX889" s="177">
        <f t="shared" si="484"/>
        <v>1</v>
      </c>
      <c r="CY889" s="177">
        <f t="shared" si="488"/>
        <v>1</v>
      </c>
      <c r="CZ889" s="177">
        <f t="shared" si="484"/>
        <v>1</v>
      </c>
      <c r="DA889" s="177">
        <f t="shared" si="489"/>
        <v>1</v>
      </c>
      <c r="DB889" s="177">
        <f t="shared" si="484"/>
        <v>1</v>
      </c>
      <c r="DC889" s="177">
        <f t="shared" si="490"/>
        <v>1</v>
      </c>
      <c r="DD889" s="177">
        <f t="shared" si="491"/>
        <v>1</v>
      </c>
      <c r="DE889" s="177">
        <f t="shared" si="492"/>
        <v>1</v>
      </c>
    </row>
    <row r="890" spans="1:109" ht="18" customHeight="1" x14ac:dyDescent="0.3">
      <c r="A890" s="81">
        <v>0.54166666666668395</v>
      </c>
      <c r="B890" s="153"/>
      <c r="C890" s="130"/>
      <c r="D890" s="135"/>
      <c r="E890" s="130"/>
      <c r="F890" s="135"/>
      <c r="G890" s="130"/>
      <c r="H890" s="135"/>
      <c r="I890" s="130"/>
      <c r="J890" s="135"/>
      <c r="K890" s="130"/>
      <c r="L890" s="135"/>
      <c r="M890" s="130"/>
      <c r="N890" s="135"/>
      <c r="O890" s="154"/>
      <c r="P890" s="6">
        <v>0</v>
      </c>
      <c r="Q890" s="118" t="str">
        <f t="shared" ref="Q890:Q895" si="507">Q889</f>
        <v>Trabalho de Grupo</v>
      </c>
      <c r="R890" s="105" t="str">
        <f t="shared" si="501"/>
        <v>FP</v>
      </c>
      <c r="S890" s="88">
        <f t="shared" si="498"/>
        <v>-1</v>
      </c>
      <c r="T890" s="89">
        <f>IF(VLOOKUP(Q890,'INFO BASE'!$B$40:$I$54,IF(R890='INFO BASE'!$B$32,3,IF(R890='INFO BASE'!$B$33,4,IF(R890='INFO BASE'!$B$34,5,IF(R890='INFO BASE'!$B$35,6,IF(R890='INFO BASE'!$B$36,7,IF(R890='INFO BASE'!$B$37,8,2)))))),0)=0,"",VLOOKUP(Q890,'INFO BASE'!$B$40:$I$54,IF(R890='INFO BASE'!$B$32,3,IF(R890='INFO BASE'!$B$33,4,IF(R890='INFO BASE'!$B$34,5,IF(R890='INFO BASE'!$B$35,6,IF(R890='INFO BASE'!$B$36,7,IF(R890='INFO BASE'!$B$37,8,2)))))),0))</f>
        <v>3</v>
      </c>
      <c r="U890" s="89">
        <f>(COUNTIFS(C864:C911,R890,B864:B911,R889)+COUNTIFS(E864:E911,R890,D864:D911,R889)+COUNTIFS(G864:G911,R890,F864:F911,R889)+COUNTIFS(I864:I911,R890,H864:H911,R889)+COUNTIFS(K864:K911,R890,J864:J911,R889)+COUNTIFS(M864:M911,R890,L864:L911,R889)+COUNTIFS(O864:O911,R890,N864:N911,R889))*0.5</f>
        <v>0</v>
      </c>
      <c r="V890" s="89">
        <f>(COUNTIFS(AI864:AI911,R889,AJ864:AJ911,R883)+COUNTIFS(AK864:AK911,R889,AL864:AL911,R883)+COUNTIFS(AM864:AM911,R889,AN864:AN911,R883)+COUNTIFS(AO864:AO911,R889,AP864:AP911,R883)+COUNTIFS(AQ864:AQ911,R889,AR864:AR911,R883)+COUNTIFS(AS864:AS911,R889,AT864:AT911,R883)+COUNTIFS(AU864:AU911,R889,AV864:AV911,R883))*0.5</f>
        <v>0</v>
      </c>
      <c r="W890" s="90" t="str">
        <f>IF(AH860="","-",IF(V890=0,U890,IFERROR((U890/V890)-1,"-")))</f>
        <v>-</v>
      </c>
      <c r="X890" s="201">
        <f t="shared" si="499"/>
        <v>0</v>
      </c>
      <c r="Y890" s="271"/>
      <c r="Z890" s="272"/>
      <c r="AA890" s="272"/>
      <c r="AB890" s="272"/>
      <c r="AC890" s="272"/>
      <c r="AD890" s="272"/>
      <c r="AE890" s="272"/>
      <c r="AF890" s="273"/>
      <c r="AH890" s="136">
        <v>0.54166666666668395</v>
      </c>
      <c r="AI890" s="136" t="str">
        <f>IF(AH860="","",IF(B890="","",B890))</f>
        <v/>
      </c>
      <c r="AJ890" s="136" t="str">
        <f>IF(AH860="","",IF(C890="","",C890))</f>
        <v/>
      </c>
      <c r="AK890" s="136" t="str">
        <f>IF(AH860="","",IF(D890="","",D890))</f>
        <v/>
      </c>
      <c r="AL890" s="136" t="str">
        <f>IF(AH860="","",IF(E890="","",E890))</f>
        <v/>
      </c>
      <c r="AM890" s="136" t="str">
        <f>IF(AH860="","",IF(F890="","",F890))</f>
        <v/>
      </c>
      <c r="AN890" s="136" t="str">
        <f>IF(AH860="","",IF(G890="","",G890))</f>
        <v/>
      </c>
      <c r="AO890" s="136" t="str">
        <f>IF(AH860="","",IF(H890="","",H890))</f>
        <v/>
      </c>
      <c r="AP890" s="136" t="str">
        <f>IF(AH860="","",IF(I890="","",I890))</f>
        <v/>
      </c>
      <c r="AQ890" s="136" t="str">
        <f>IF(AH860="","",IF(J890="","",J890))</f>
        <v/>
      </c>
      <c r="AR890" s="136" t="str">
        <f>IF(AH860="","",IF(K890="","",K890))</f>
        <v/>
      </c>
      <c r="AS890" s="136" t="str">
        <f>IF(AH860="","",IF(L890="","",L890))</f>
        <v/>
      </c>
      <c r="AT890" s="136" t="str">
        <f>IF(AH860="","",IF(M890="","",M890))</f>
        <v/>
      </c>
      <c r="AU890" s="136" t="str">
        <f>IF(AH860="","",IF(N890="","",N890))</f>
        <v/>
      </c>
      <c r="AV890" s="136" t="str">
        <f>IF(AH860="","",IF(O890="","",O890))</f>
        <v/>
      </c>
      <c r="AX890" s="136" t="str">
        <f>IF(AI860="","",IF(B890="","",B890))</f>
        <v/>
      </c>
      <c r="AY890" s="136" t="str">
        <f>IF(AI860="","",IF(C890="","",C890))</f>
        <v/>
      </c>
      <c r="AZ890" s="136" t="str">
        <f>IF(AI860="","",IF(D890="","",D890))</f>
        <v/>
      </c>
      <c r="BA890" s="136" t="str">
        <f>IF(AI860="","",IF(E890="","",E890))</f>
        <v/>
      </c>
      <c r="BB890" s="136" t="str">
        <f>IF(AI860="","",IF(F890="","",F890))</f>
        <v/>
      </c>
      <c r="BC890" s="136" t="str">
        <f>IF(AI860="","",IF(G890="","",G890))</f>
        <v/>
      </c>
      <c r="BD890" s="136" t="str">
        <f>IF(AI860="","",IF(H890="","",H890))</f>
        <v/>
      </c>
      <c r="BE890" s="136" t="str">
        <f>IF(AI860="","",IF(I890="","",I890))</f>
        <v/>
      </c>
      <c r="BF890" s="136" t="str">
        <f>IF(AI860="","",IF(J890="","",J890))</f>
        <v/>
      </c>
      <c r="BG890" s="136" t="str">
        <f>IF(AI860="","",IF(K890="","",K890))</f>
        <v/>
      </c>
      <c r="BH890" s="136" t="str">
        <f>IF(AI860="","",IF(L890="","",L890))</f>
        <v/>
      </c>
      <c r="BI890" s="136" t="str">
        <f>IF(AI860="","",IF(M890="","",M890))</f>
        <v/>
      </c>
      <c r="BJ890" s="136" t="str">
        <f>IF(AI860="","",IF(N890="","",N890))</f>
        <v/>
      </c>
      <c r="BK890" s="136" t="str">
        <f>IF(AI860="","",IF(O890="","",O890))</f>
        <v/>
      </c>
      <c r="BM890" s="136" t="str">
        <f t="shared" si="506"/>
        <v>TG</v>
      </c>
      <c r="BN890" s="136" t="str">
        <f t="shared" si="494"/>
        <v>Trabalho de Grupo</v>
      </c>
      <c r="BO890" s="136" t="str">
        <f t="shared" si="494"/>
        <v>AL</v>
      </c>
      <c r="BP890" s="136">
        <f>(COUNTIFS(AX864:AX911,BM890,AY864:AY911,BO890)+COUNTIFS(AZ864:AZ911,BM890,BA864:BA911,BO890)+COUNTIFS(BB864:BB911,BM890,BC864:BC911,BO890)+COUNTIFS(BD864:BD911,BM890,BE864:BE911,BO890)+COUNTIFS(BF864:BF911,BM890,BG864:BG911,BO890)+COUNTIFS(BH864:BH911,BM890,BI864:BI911,BO890)+COUNTIFS(BJ864:BJ911,BM890,BK864:BK911,BO890))*0.5</f>
        <v>0</v>
      </c>
      <c r="BQ890" s="136" t="str">
        <f t="shared" si="495"/>
        <v>Trabalho de Grupo</v>
      </c>
      <c r="BR890" s="136" t="str">
        <f t="shared" si="495"/>
        <v>AL</v>
      </c>
      <c r="BS890" s="136" t="str">
        <f t="shared" si="496"/>
        <v>Trabalho de Grupo</v>
      </c>
      <c r="BT890" s="136">
        <f t="shared" si="502"/>
        <v>0</v>
      </c>
      <c r="BU890" s="136">
        <f t="shared" si="503"/>
        <v>0</v>
      </c>
      <c r="CA890" s="136">
        <f>'INFO BASE'!L969</f>
        <v>0</v>
      </c>
      <c r="CB890" s="136">
        <f>'INFO BASE'!M969</f>
        <v>0</v>
      </c>
      <c r="CR890" s="177">
        <f t="shared" si="484"/>
        <v>1</v>
      </c>
      <c r="CS890" s="177">
        <f t="shared" si="485"/>
        <v>1</v>
      </c>
      <c r="CT890" s="177">
        <f t="shared" si="484"/>
        <v>1</v>
      </c>
      <c r="CU890" s="177">
        <f t="shared" si="486"/>
        <v>1</v>
      </c>
      <c r="CV890" s="177">
        <f t="shared" si="484"/>
        <v>1</v>
      </c>
      <c r="CW890" s="177">
        <f t="shared" si="487"/>
        <v>1</v>
      </c>
      <c r="CX890" s="177">
        <f t="shared" si="484"/>
        <v>1</v>
      </c>
      <c r="CY890" s="177">
        <f t="shared" si="488"/>
        <v>1</v>
      </c>
      <c r="CZ890" s="177">
        <f t="shared" si="484"/>
        <v>1</v>
      </c>
      <c r="DA890" s="177">
        <f t="shared" si="489"/>
        <v>1</v>
      </c>
      <c r="DB890" s="177">
        <f t="shared" si="484"/>
        <v>1</v>
      </c>
      <c r="DC890" s="177">
        <f t="shared" si="490"/>
        <v>1</v>
      </c>
      <c r="DD890" s="177">
        <f t="shared" si="491"/>
        <v>1</v>
      </c>
      <c r="DE890" s="177">
        <f t="shared" si="492"/>
        <v>1</v>
      </c>
    </row>
    <row r="891" spans="1:109" ht="18" customHeight="1" x14ac:dyDescent="0.3">
      <c r="A891" s="81">
        <v>0.56250000000001799</v>
      </c>
      <c r="B891" s="153"/>
      <c r="C891" s="130"/>
      <c r="D891" s="135"/>
      <c r="E891" s="130"/>
      <c r="F891" s="135"/>
      <c r="G891" s="130"/>
      <c r="H891" s="135"/>
      <c r="I891" s="130"/>
      <c r="J891" s="135"/>
      <c r="K891" s="130"/>
      <c r="L891" s="135"/>
      <c r="M891" s="130"/>
      <c r="N891" s="135"/>
      <c r="O891" s="154"/>
      <c r="P891" s="6">
        <v>0</v>
      </c>
      <c r="Q891" s="118" t="str">
        <f t="shared" si="507"/>
        <v>Trabalho de Grupo</v>
      </c>
      <c r="R891" s="105" t="str">
        <f t="shared" si="501"/>
        <v>IEI</v>
      </c>
      <c r="S891" s="88">
        <f t="shared" si="498"/>
        <v>-1</v>
      </c>
      <c r="T891" s="89">
        <f>IF(VLOOKUP(Q891,'INFO BASE'!$B$40:$I$54,IF(R891='INFO BASE'!$B$32,3,IF(R891='INFO BASE'!$B$33,4,IF(R891='INFO BASE'!$B$34,5,IF(R891='INFO BASE'!$B$35,6,IF(R891='INFO BASE'!$B$36,7,IF(R891='INFO BASE'!$B$37,8,2)))))),0)=0,"",VLOOKUP(Q891,'INFO BASE'!$B$40:$I$54,IF(R891='INFO BASE'!$B$32,3,IF(R891='INFO BASE'!$B$33,4,IF(R891='INFO BASE'!$B$34,5,IF(R891='INFO BASE'!$B$35,6,IF(R891='INFO BASE'!$B$36,7,IF(R891='INFO BASE'!$B$37,8,2)))))),0))</f>
        <v>3</v>
      </c>
      <c r="U891" s="89">
        <f>(COUNTIFS(C864:C911,R891,B864:B911,R889)+COUNTIFS(E864:E911,R891,D864:D911,R889)+COUNTIFS(G864:G911,R891,F864:F911,R889)+COUNTIFS(I864:I911,R891,H864:H911,R889)+COUNTIFS(K864:K911,R891,J864:J911,R889)+COUNTIFS(M864:M911,R891,L864:L911,R889)+COUNTIFS(O864:O911,R891,N864:N911,R889))*0.5</f>
        <v>0</v>
      </c>
      <c r="V891" s="89">
        <f>(COUNTIFS(AI864:AI911,R889,AJ864:AJ911,R884)+COUNTIFS(AK864:AK911,R889,AL864:AL911,R884)+COUNTIFS(AM864:AM911,R889,AN864:AN911,R884)+COUNTIFS(AO864:AO911,R889,AP864:AP911,R884)+COUNTIFS(AQ864:AQ911,R889,AR864:AR911,R884)+COUNTIFS(AS864:AS911,R889,AT864:AT911,R884)+COUNTIFS(AU864:AU911,R889,AV864:AV911,R884))*0.5</f>
        <v>0</v>
      </c>
      <c r="W891" s="90" t="str">
        <f>IF(AH860="","-",IF(V891=0,U891,IFERROR((U891/V891)-1,"-")))</f>
        <v>-</v>
      </c>
      <c r="X891" s="201">
        <f t="shared" si="499"/>
        <v>0</v>
      </c>
      <c r="Y891" s="271"/>
      <c r="Z891" s="272"/>
      <c r="AA891" s="272"/>
      <c r="AB891" s="272"/>
      <c r="AC891" s="272"/>
      <c r="AD891" s="272"/>
      <c r="AE891" s="272"/>
      <c r="AF891" s="273"/>
      <c r="AH891" s="136">
        <v>0.56250000000001799</v>
      </c>
      <c r="AI891" s="136" t="str">
        <f>IF(AH860="","",IF(B891="","",B891))</f>
        <v/>
      </c>
      <c r="AJ891" s="136" t="str">
        <f>IF(AH860="","",IF(C891="","",C891))</f>
        <v/>
      </c>
      <c r="AK891" s="136" t="str">
        <f>IF(AH860="","",IF(D891="","",D891))</f>
        <v/>
      </c>
      <c r="AL891" s="136" t="str">
        <f>IF(AH860="","",IF(E891="","",E891))</f>
        <v/>
      </c>
      <c r="AM891" s="136" t="str">
        <f>IF(AH860="","",IF(F891="","",F891))</f>
        <v/>
      </c>
      <c r="AN891" s="136" t="str">
        <f>IF(AH860="","",IF(G891="","",G891))</f>
        <v/>
      </c>
      <c r="AO891" s="136" t="str">
        <f>IF(AH860="","",IF(H891="","",H891))</f>
        <v/>
      </c>
      <c r="AP891" s="136" t="str">
        <f>IF(AH860="","",IF(I891="","",I891))</f>
        <v/>
      </c>
      <c r="AQ891" s="136" t="str">
        <f>IF(AH860="","",IF(J891="","",J891))</f>
        <v/>
      </c>
      <c r="AR891" s="136" t="str">
        <f>IF(AH860="","",IF(K891="","",K891))</f>
        <v/>
      </c>
      <c r="AS891" s="136" t="str">
        <f>IF(AH860="","",IF(L891="","",L891))</f>
        <v/>
      </c>
      <c r="AT891" s="136" t="str">
        <f>IF(AH860="","",IF(M891="","",M891))</f>
        <v/>
      </c>
      <c r="AU891" s="136" t="str">
        <f>IF(AH860="","",IF(N891="","",N891))</f>
        <v/>
      </c>
      <c r="AV891" s="136" t="str">
        <f>IF(AH860="","",IF(O891="","",O891))</f>
        <v/>
      </c>
      <c r="AX891" s="136" t="str">
        <f>IF(AI860="","",IF(B891="","",B891))</f>
        <v/>
      </c>
      <c r="AY891" s="136" t="str">
        <f>IF(AI860="","",IF(C891="","",C891))</f>
        <v/>
      </c>
      <c r="AZ891" s="136" t="str">
        <f>IF(AI860="","",IF(D891="","",D891))</f>
        <v/>
      </c>
      <c r="BA891" s="136" t="str">
        <f>IF(AI860="","",IF(E891="","",E891))</f>
        <v/>
      </c>
      <c r="BB891" s="136" t="str">
        <f>IF(AI860="","",IF(F891="","",F891))</f>
        <v/>
      </c>
      <c r="BC891" s="136" t="str">
        <f>IF(AI860="","",IF(G891="","",G891))</f>
        <v/>
      </c>
      <c r="BD891" s="136" t="str">
        <f>IF(AI860="","",IF(H891="","",H891))</f>
        <v/>
      </c>
      <c r="BE891" s="136" t="str">
        <f>IF(AI860="","",IF(I891="","",I891))</f>
        <v/>
      </c>
      <c r="BF891" s="136" t="str">
        <f>IF(AI860="","",IF(J891="","",J891))</f>
        <v/>
      </c>
      <c r="BG891" s="136" t="str">
        <f>IF(AI860="","",IF(K891="","",K891))</f>
        <v/>
      </c>
      <c r="BH891" s="136" t="str">
        <f>IF(AI860="","",IF(L891="","",L891))</f>
        <v/>
      </c>
      <c r="BI891" s="136" t="str">
        <f>IF(AI860="","",IF(M891="","",M891))</f>
        <v/>
      </c>
      <c r="BJ891" s="136" t="str">
        <f>IF(AI860="","",IF(N891="","",N891))</f>
        <v/>
      </c>
      <c r="BK891" s="136" t="str">
        <f>IF(AI860="","",IF(O891="","",O891))</f>
        <v/>
      </c>
      <c r="BM891" s="136" t="str">
        <f t="shared" si="506"/>
        <v>TG</v>
      </c>
      <c r="BN891" s="136" t="str">
        <f t="shared" si="494"/>
        <v>Trabalho de Grupo</v>
      </c>
      <c r="BO891" s="136" t="str">
        <f t="shared" si="494"/>
        <v>CDI</v>
      </c>
      <c r="BP891" s="136">
        <f>(COUNTIFS(AX864:AX911,BM891,AY864:AY911,BO891)+COUNTIFS(AZ864:AZ911,BM891,BA864:BA911,BO891)+COUNTIFS(BB864:BB911,BM891,BC864:BC911,BO891)+COUNTIFS(BD864:BD911,BM891,BE864:BE911,BO891)+COUNTIFS(BF864:BF911,BM891,BG864:BG911,BO891)+COUNTIFS(BH864:BH911,BM891,BI864:BI911,BO891)+COUNTIFS(BJ864:BJ911,BM891,BK864:BK911,BO891))*0.5</f>
        <v>0</v>
      </c>
      <c r="BQ891" s="136" t="str">
        <f t="shared" si="495"/>
        <v>Trabalho de Grupo</v>
      </c>
      <c r="BR891" s="136" t="str">
        <f t="shared" si="495"/>
        <v>CDI</v>
      </c>
      <c r="BS891" s="136" t="str">
        <f t="shared" si="496"/>
        <v>Trabalho de Grupo</v>
      </c>
      <c r="BT891" s="136">
        <f t="shared" si="502"/>
        <v>0</v>
      </c>
      <c r="BU891" s="136">
        <f t="shared" si="503"/>
        <v>0</v>
      </c>
      <c r="CA891" s="136">
        <f>'INFO BASE'!L970</f>
        <v>0</v>
      </c>
      <c r="CB891" s="136">
        <f>'INFO BASE'!M970</f>
        <v>0</v>
      </c>
      <c r="CR891" s="177">
        <f t="shared" si="484"/>
        <v>1</v>
      </c>
      <c r="CS891" s="177">
        <f t="shared" si="485"/>
        <v>1</v>
      </c>
      <c r="CT891" s="177">
        <f t="shared" si="484"/>
        <v>1</v>
      </c>
      <c r="CU891" s="177">
        <f t="shared" si="486"/>
        <v>1</v>
      </c>
      <c r="CV891" s="177">
        <f t="shared" si="484"/>
        <v>1</v>
      </c>
      <c r="CW891" s="177">
        <f t="shared" si="487"/>
        <v>1</v>
      </c>
      <c r="CX891" s="177">
        <f t="shared" si="484"/>
        <v>1</v>
      </c>
      <c r="CY891" s="177">
        <f t="shared" si="488"/>
        <v>1</v>
      </c>
      <c r="CZ891" s="177">
        <f t="shared" si="484"/>
        <v>1</v>
      </c>
      <c r="DA891" s="177">
        <f t="shared" si="489"/>
        <v>1</v>
      </c>
      <c r="DB891" s="177">
        <f t="shared" si="484"/>
        <v>1</v>
      </c>
      <c r="DC891" s="177">
        <f t="shared" si="490"/>
        <v>1</v>
      </c>
      <c r="DD891" s="177">
        <f t="shared" si="491"/>
        <v>1</v>
      </c>
      <c r="DE891" s="177">
        <f t="shared" si="492"/>
        <v>1</v>
      </c>
    </row>
    <row r="892" spans="1:109" ht="18" customHeight="1" x14ac:dyDescent="0.3">
      <c r="A892" s="81">
        <v>0.58333333333335202</v>
      </c>
      <c r="B892" s="153"/>
      <c r="C892" s="130"/>
      <c r="D892" s="135"/>
      <c r="E892" s="130"/>
      <c r="F892" s="135"/>
      <c r="G892" s="130"/>
      <c r="H892" s="135"/>
      <c r="I892" s="130"/>
      <c r="J892" s="135"/>
      <c r="K892" s="130"/>
      <c r="L892" s="135"/>
      <c r="M892" s="130"/>
      <c r="N892" s="135"/>
      <c r="O892" s="154"/>
      <c r="P892" s="6">
        <v>0</v>
      </c>
      <c r="Q892" s="119" t="str">
        <f t="shared" si="507"/>
        <v>Trabalho de Grupo</v>
      </c>
      <c r="R892" s="105" t="str">
        <f t="shared" si="501"/>
        <v>IAC</v>
      </c>
      <c r="S892" s="88">
        <f t="shared" si="498"/>
        <v>-1</v>
      </c>
      <c r="T892" s="89">
        <f>IF(VLOOKUP(Q892,'INFO BASE'!$B$40:$I$54,IF(R892='INFO BASE'!$B$32,3,IF(R892='INFO BASE'!$B$33,4,IF(R892='INFO BASE'!$B$34,5,IF(R892='INFO BASE'!$B$35,6,IF(R892='INFO BASE'!$B$36,7,IF(R892='INFO BASE'!$B$37,8,2)))))),0)=0,"",VLOOKUP(Q892,'INFO BASE'!$B$40:$I$54,IF(R892='INFO BASE'!$B$32,3,IF(R892='INFO BASE'!$B$33,4,IF(R892='INFO BASE'!$B$34,5,IF(R892='INFO BASE'!$B$35,6,IF(R892='INFO BASE'!$B$36,7,IF(R892='INFO BASE'!$B$37,8,2)))))),0))</f>
        <v>3</v>
      </c>
      <c r="U892" s="89">
        <f>(COUNTIFS(C864:C911,R892,B864:B911,R889)+COUNTIFS(E864:E911,R892,D864:D911,R889)+COUNTIFS(G864:G911,R892,F864:F911,R889)+COUNTIFS(I864:I911,R892,H864:H911,R889)+COUNTIFS(K864:K911,R892,J864:J911,R889)+COUNTIFS(M864:M911,R892,L864:L911,R889)+COUNTIFS(O864:O911,R892,N864:N911,R889))*0.5</f>
        <v>0</v>
      </c>
      <c r="V892" s="89">
        <f>(COUNTIFS(AI864:AI911,R889,AJ864:AJ911,R885)+COUNTIFS(AK864:AK911,R889,AL864:AL911,R885)+COUNTIFS(AM864:AM911,R889,AN864:AN911,R885)+COUNTIFS(AO864:AO911,R889,AP864:AP911,R885)+COUNTIFS(AQ864:AQ911,R889,AR864:AR911,R885)+COUNTIFS(AS864:AS911,R889,AT864:AT911,R885)+COUNTIFS(AU864:AU911,R889,AV864:AV911,R885))*0.5</f>
        <v>0</v>
      </c>
      <c r="W892" s="90" t="str">
        <f>IF(AH860="","-",IF(V892=0,U892,IFERROR((U892/V892)-1,"-")))</f>
        <v>-</v>
      </c>
      <c r="X892" s="201">
        <f t="shared" si="499"/>
        <v>0</v>
      </c>
      <c r="Y892" s="271"/>
      <c r="Z892" s="272"/>
      <c r="AA892" s="272"/>
      <c r="AB892" s="272"/>
      <c r="AC892" s="272"/>
      <c r="AD892" s="272"/>
      <c r="AE892" s="272"/>
      <c r="AF892" s="273"/>
      <c r="AH892" s="136">
        <v>0.58333333333335202</v>
      </c>
      <c r="AI892" s="136" t="str">
        <f>IF(AH860="","",IF(B892="","",B892))</f>
        <v/>
      </c>
      <c r="AJ892" s="136" t="str">
        <f>IF(AH860="","",IF(C892="","",C892))</f>
        <v/>
      </c>
      <c r="AK892" s="136" t="str">
        <f>IF(AH860="","",IF(D892="","",D892))</f>
        <v/>
      </c>
      <c r="AL892" s="136" t="str">
        <f>IF(AH860="","",IF(E892="","",E892))</f>
        <v/>
      </c>
      <c r="AM892" s="136" t="str">
        <f>IF(AH860="","",IF(F892="","",F892))</f>
        <v/>
      </c>
      <c r="AN892" s="136" t="str">
        <f>IF(AH860="","",IF(G892="","",G892))</f>
        <v/>
      </c>
      <c r="AO892" s="136" t="str">
        <f>IF(AH860="","",IF(H892="","",H892))</f>
        <v/>
      </c>
      <c r="AP892" s="136" t="str">
        <f>IF(AH860="","",IF(I892="","",I892))</f>
        <v/>
      </c>
      <c r="AQ892" s="136" t="str">
        <f>IF(AH860="","",IF(J892="","",J892))</f>
        <v/>
      </c>
      <c r="AR892" s="136" t="str">
        <f>IF(AH860="","",IF(K892="","",K892))</f>
        <v/>
      </c>
      <c r="AS892" s="136" t="str">
        <f>IF(AH860="","",IF(L892="","",L892))</f>
        <v/>
      </c>
      <c r="AT892" s="136" t="str">
        <f>IF(AH860="","",IF(M892="","",M892))</f>
        <v/>
      </c>
      <c r="AU892" s="136" t="str">
        <f>IF(AH860="","",IF(N892="","",N892))</f>
        <v/>
      </c>
      <c r="AV892" s="136" t="str">
        <f>IF(AH860="","",IF(O892="","",O892))</f>
        <v/>
      </c>
      <c r="AX892" s="136" t="str">
        <f>IF(AI860="","",IF(B892="","",B892))</f>
        <v/>
      </c>
      <c r="AY892" s="136" t="str">
        <f>IF(AI860="","",IF(C892="","",C892))</f>
        <v/>
      </c>
      <c r="AZ892" s="136" t="str">
        <f>IF(AI860="","",IF(D892="","",D892))</f>
        <v/>
      </c>
      <c r="BA892" s="136" t="str">
        <f>IF(AI860="","",IF(E892="","",E892))</f>
        <v/>
      </c>
      <c r="BB892" s="136" t="str">
        <f>IF(AI860="","",IF(F892="","",F892))</f>
        <v/>
      </c>
      <c r="BC892" s="136" t="str">
        <f>IF(AI860="","",IF(G892="","",G892))</f>
        <v/>
      </c>
      <c r="BD892" s="136" t="str">
        <f>IF(AI860="","",IF(H892="","",H892))</f>
        <v/>
      </c>
      <c r="BE892" s="136" t="str">
        <f>IF(AI860="","",IF(I892="","",I892))</f>
        <v/>
      </c>
      <c r="BF892" s="136" t="str">
        <f>IF(AI860="","",IF(J892="","",J892))</f>
        <v/>
      </c>
      <c r="BG892" s="136" t="str">
        <f>IF(AI860="","",IF(K892="","",K892))</f>
        <v/>
      </c>
      <c r="BH892" s="136" t="str">
        <f>IF(AI860="","",IF(L892="","",L892))</f>
        <v/>
      </c>
      <c r="BI892" s="136" t="str">
        <f>IF(AI860="","",IF(M892="","",M892))</f>
        <v/>
      </c>
      <c r="BJ892" s="136" t="str">
        <f>IF(AI860="","",IF(N892="","",N892))</f>
        <v/>
      </c>
      <c r="BK892" s="136" t="str">
        <f>IF(AI860="","",IF(O892="","",O892))</f>
        <v/>
      </c>
      <c r="BM892" s="136" t="str">
        <f t="shared" si="506"/>
        <v>TG</v>
      </c>
      <c r="BN892" s="136" t="str">
        <f t="shared" si="494"/>
        <v>Trabalho de Grupo</v>
      </c>
      <c r="BO892" s="136" t="str">
        <f t="shared" si="494"/>
        <v/>
      </c>
      <c r="BP892" s="136">
        <f>(COUNTIFS(AX864:AX911,BM892,AY864:AY911,BO892)+COUNTIFS(AZ864:AZ911,BM892,BA864:BA911,BO892)+COUNTIFS(BB864:BB911,BM892,BC864:BC911,BO892)+COUNTIFS(BD864:BD911,BM892,BE864:BE911,BO892)+COUNTIFS(BF864:BF911,BM892,BG864:BG911,BO892)+COUNTIFS(BH864:BH911,BM892,BI864:BI911,BO892)+COUNTIFS(BJ864:BJ911,BM892,BK864:BK911,BO892))*0.5</f>
        <v>0</v>
      </c>
      <c r="BQ892" s="136" t="str">
        <f t="shared" si="495"/>
        <v>Trabalho de Grupo</v>
      </c>
      <c r="BR892" s="136" t="str">
        <f t="shared" si="495"/>
        <v/>
      </c>
      <c r="BS892" s="136" t="str">
        <f t="shared" si="496"/>
        <v>Trabalho de Grupo</v>
      </c>
      <c r="BT892" s="136">
        <f t="shared" si="502"/>
        <v>0</v>
      </c>
      <c r="BU892" s="136">
        <f t="shared" si="503"/>
        <v>0</v>
      </c>
      <c r="CA892" s="136">
        <f>'INFO BASE'!L971</f>
        <v>0</v>
      </c>
      <c r="CB892" s="136">
        <f>'INFO BASE'!M971</f>
        <v>0</v>
      </c>
      <c r="CR892" s="177">
        <f t="shared" si="484"/>
        <v>1</v>
      </c>
      <c r="CS892" s="177">
        <f t="shared" si="485"/>
        <v>1</v>
      </c>
      <c r="CT892" s="177">
        <f t="shared" si="484"/>
        <v>1</v>
      </c>
      <c r="CU892" s="177">
        <f t="shared" si="486"/>
        <v>1</v>
      </c>
      <c r="CV892" s="177">
        <f t="shared" si="484"/>
        <v>1</v>
      </c>
      <c r="CW892" s="177">
        <f t="shared" si="487"/>
        <v>1</v>
      </c>
      <c r="CX892" s="177">
        <f t="shared" si="484"/>
        <v>1</v>
      </c>
      <c r="CY892" s="177">
        <f t="shared" si="488"/>
        <v>1</v>
      </c>
      <c r="CZ892" s="177">
        <f t="shared" si="484"/>
        <v>1</v>
      </c>
      <c r="DA892" s="177">
        <f t="shared" si="489"/>
        <v>1</v>
      </c>
      <c r="DB892" s="177">
        <f t="shared" si="484"/>
        <v>1</v>
      </c>
      <c r="DC892" s="177">
        <f t="shared" si="490"/>
        <v>1</v>
      </c>
      <c r="DD892" s="177">
        <f t="shared" si="491"/>
        <v>1</v>
      </c>
      <c r="DE892" s="177">
        <f t="shared" si="492"/>
        <v>1</v>
      </c>
    </row>
    <row r="893" spans="1:109" ht="18" customHeight="1" x14ac:dyDescent="0.3">
      <c r="A893" s="81">
        <v>0.60416666666668595</v>
      </c>
      <c r="B893" s="153"/>
      <c r="C893" s="130"/>
      <c r="D893" s="135"/>
      <c r="E893" s="130"/>
      <c r="F893" s="135"/>
      <c r="G893" s="130"/>
      <c r="H893" s="135"/>
      <c r="I893" s="130"/>
      <c r="J893" s="135"/>
      <c r="K893" s="130"/>
      <c r="L893" s="135"/>
      <c r="M893" s="130"/>
      <c r="N893" s="135"/>
      <c r="O893" s="154"/>
      <c r="P893" s="6">
        <v>0</v>
      </c>
      <c r="Q893" s="118" t="str">
        <f t="shared" si="507"/>
        <v>Trabalho de Grupo</v>
      </c>
      <c r="R893" s="105" t="str">
        <f t="shared" si="501"/>
        <v>AL</v>
      </c>
      <c r="S893" s="88">
        <f t="shared" si="498"/>
        <v>-1</v>
      </c>
      <c r="T893" s="89">
        <f>IF(VLOOKUP(Q893,'INFO BASE'!$B$40:$I$54,IF(R893='INFO BASE'!$B$32,3,IF(R893='INFO BASE'!$B$33,4,IF(R893='INFO BASE'!$B$34,5,IF(R893='INFO BASE'!$B$35,6,IF(R893='INFO BASE'!$B$36,7,IF(R893='INFO BASE'!$B$37,8,2)))))),0)=0,"",VLOOKUP(Q893,'INFO BASE'!$B$40:$I$54,IF(R893='INFO BASE'!$B$32,3,IF(R893='INFO BASE'!$B$33,4,IF(R893='INFO BASE'!$B$34,5,IF(R893='INFO BASE'!$B$35,6,IF(R893='INFO BASE'!$B$36,7,IF(R893='INFO BASE'!$B$37,8,2)))))),0))</f>
        <v>3</v>
      </c>
      <c r="U893" s="89">
        <f>(COUNTIFS(C864:C911,R893,B864:B911,R889)+COUNTIFS(E864:E911,R893,D864:D911,R889)+COUNTIFS(G864:G911,R893,F864:F911,R889)+COUNTIFS(I864:I911,R893,H864:H911,R889)+COUNTIFS(K864:K911,R893,J864:J911,R889)+COUNTIFS(M864:M911,R893,L864:L911,R889)+COUNTIFS(O864:O911,R893,N864:N911,R889))*0.5</f>
        <v>0</v>
      </c>
      <c r="V893" s="89">
        <f>(COUNTIFS(AI864:AI911,R889,AJ864:AJ911,R886)+COUNTIFS(AK864:AK911,R889,AL864:AL911,R886)+COUNTIFS(AM864:AM911,R889,AN864:AN911,R886)+COUNTIFS(AO864:AO911,R889,AP864:AP911,R886)+COUNTIFS(AQ864:AQ911,R889,AR864:AR911,R886)+COUNTIFS(AS864:AS911,R889,AT864:AT911,R886)+COUNTIFS(AU864:AU911,R889,AV864:AV911,R886))*0.5</f>
        <v>0</v>
      </c>
      <c r="W893" s="90" t="str">
        <f>IF(AH860="","-",IF(V893=0,U893,IFERROR((U893/V893)-1,"-")))</f>
        <v>-</v>
      </c>
      <c r="X893" s="201">
        <f t="shared" si="499"/>
        <v>0</v>
      </c>
      <c r="Y893" s="271"/>
      <c r="Z893" s="272"/>
      <c r="AA893" s="272"/>
      <c r="AB893" s="272"/>
      <c r="AC893" s="272"/>
      <c r="AD893" s="272"/>
      <c r="AE893" s="272"/>
      <c r="AF893" s="273"/>
      <c r="AH893" s="136">
        <v>0.60416666666668595</v>
      </c>
      <c r="AI893" s="136" t="str">
        <f>IF(AH860="","",IF(B893="","",B893))</f>
        <v/>
      </c>
      <c r="AJ893" s="136" t="str">
        <f>IF(AH860="","",IF(C893="","",C893))</f>
        <v/>
      </c>
      <c r="AK893" s="136" t="str">
        <f>IF(AH860="","",IF(D893="","",D893))</f>
        <v/>
      </c>
      <c r="AL893" s="136" t="str">
        <f>IF(AH860="","",IF(E893="","",E893))</f>
        <v/>
      </c>
      <c r="AM893" s="136" t="str">
        <f>IF(AH860="","",IF(F893="","",F893))</f>
        <v/>
      </c>
      <c r="AN893" s="136" t="str">
        <f>IF(AH860="","",IF(G893="","",G893))</f>
        <v/>
      </c>
      <c r="AO893" s="136" t="str">
        <f>IF(AH860="","",IF(H893="","",H893))</f>
        <v/>
      </c>
      <c r="AP893" s="136" t="str">
        <f>IF(AH860="","",IF(I893="","",I893))</f>
        <v/>
      </c>
      <c r="AQ893" s="136" t="str">
        <f>IF(AH860="","",IF(J893="","",J893))</f>
        <v/>
      </c>
      <c r="AR893" s="136" t="str">
        <f>IF(AH860="","",IF(K893="","",K893))</f>
        <v/>
      </c>
      <c r="AS893" s="136" t="str">
        <f>IF(AH860="","",IF(L893="","",L893))</f>
        <v/>
      </c>
      <c r="AT893" s="136" t="str">
        <f>IF(AH860="","",IF(M893="","",M893))</f>
        <v/>
      </c>
      <c r="AU893" s="136" t="str">
        <f>IF(AH860="","",IF(N893="","",N893))</f>
        <v/>
      </c>
      <c r="AV893" s="136" t="str">
        <f>IF(AH860="","",IF(O893="","",O893))</f>
        <v/>
      </c>
      <c r="AX893" s="136" t="str">
        <f>IF(AI860="","",IF(B893="","",B893))</f>
        <v/>
      </c>
      <c r="AY893" s="136" t="str">
        <f>IF(AI860="","",IF(C893="","",C893))</f>
        <v/>
      </c>
      <c r="AZ893" s="136" t="str">
        <f>IF(AI860="","",IF(D893="","",D893))</f>
        <v/>
      </c>
      <c r="BA893" s="136" t="str">
        <f>IF(AI860="","",IF(E893="","",E893))</f>
        <v/>
      </c>
      <c r="BB893" s="136" t="str">
        <f>IF(AI860="","",IF(F893="","",F893))</f>
        <v/>
      </c>
      <c r="BC893" s="136" t="str">
        <f>IF(AI860="","",IF(G893="","",G893))</f>
        <v/>
      </c>
      <c r="BD893" s="136" t="str">
        <f>IF(AI860="","",IF(H893="","",H893))</f>
        <v/>
      </c>
      <c r="BE893" s="136" t="str">
        <f>IF(AI860="","",IF(I893="","",I893))</f>
        <v/>
      </c>
      <c r="BF893" s="136" t="str">
        <f>IF(AI860="","",IF(J893="","",J893))</f>
        <v/>
      </c>
      <c r="BG893" s="136" t="str">
        <f>IF(AI860="","",IF(K893="","",K893))</f>
        <v/>
      </c>
      <c r="BH893" s="136" t="str">
        <f>IF(AI860="","",IF(L893="","",L893))</f>
        <v/>
      </c>
      <c r="BI893" s="136" t="str">
        <f>IF(AI860="","",IF(M893="","",M893))</f>
        <v/>
      </c>
      <c r="BJ893" s="136" t="str">
        <f>IF(AI860="","",IF(N893="","",N893))</f>
        <v/>
      </c>
      <c r="BK893" s="136" t="str">
        <f>IF(AI860="","",IF(O893="","",O893))</f>
        <v/>
      </c>
      <c r="BM893" s="136" t="str">
        <f>BO893</f>
        <v>AT</v>
      </c>
      <c r="BN893" s="136" t="str">
        <f t="shared" si="494"/>
        <v>Aulas Teóricas</v>
      </c>
      <c r="BO893" s="136" t="str">
        <f t="shared" si="494"/>
        <v>AT</v>
      </c>
      <c r="BP893" s="136">
        <f>COUNTIFS(AX864:BK911,BO893)*0.5</f>
        <v>0</v>
      </c>
      <c r="BQ893" s="136" t="str">
        <f t="shared" si="495"/>
        <v>Aulas Teóricas</v>
      </c>
      <c r="BR893" s="136" t="str">
        <f t="shared" si="495"/>
        <v>AT</v>
      </c>
      <c r="BS893" s="136" t="str">
        <f t="shared" si="496"/>
        <v>Aulas Teóricas</v>
      </c>
      <c r="BT893" s="136">
        <f t="shared" si="502"/>
        <v>120</v>
      </c>
      <c r="BU893" s="136">
        <f t="shared" si="503"/>
        <v>120</v>
      </c>
      <c r="CA893" s="136">
        <f>'INFO BASE'!L972</f>
        <v>0</v>
      </c>
      <c r="CB893" s="136">
        <f>'INFO BASE'!M972</f>
        <v>0</v>
      </c>
      <c r="CR893" s="177">
        <f t="shared" si="484"/>
        <v>1</v>
      </c>
      <c r="CS893" s="177">
        <f t="shared" si="485"/>
        <v>1</v>
      </c>
      <c r="CT893" s="177">
        <f t="shared" si="484"/>
        <v>1</v>
      </c>
      <c r="CU893" s="177">
        <f t="shared" si="486"/>
        <v>1</v>
      </c>
      <c r="CV893" s="177">
        <f t="shared" si="484"/>
        <v>1</v>
      </c>
      <c r="CW893" s="177">
        <f t="shared" si="487"/>
        <v>1</v>
      </c>
      <c r="CX893" s="177">
        <f t="shared" si="484"/>
        <v>1</v>
      </c>
      <c r="CY893" s="177">
        <f t="shared" si="488"/>
        <v>1</v>
      </c>
      <c r="CZ893" s="177">
        <f t="shared" si="484"/>
        <v>1</v>
      </c>
      <c r="DA893" s="177">
        <f t="shared" si="489"/>
        <v>1</v>
      </c>
      <c r="DB893" s="177">
        <f t="shared" si="484"/>
        <v>1</v>
      </c>
      <c r="DC893" s="177">
        <f t="shared" si="490"/>
        <v>1</v>
      </c>
      <c r="DD893" s="177">
        <f t="shared" si="491"/>
        <v>1</v>
      </c>
      <c r="DE893" s="177">
        <f t="shared" si="492"/>
        <v>1</v>
      </c>
    </row>
    <row r="894" spans="1:109" ht="18" customHeight="1" x14ac:dyDescent="0.3">
      <c r="A894" s="81">
        <v>0.62500000000001998</v>
      </c>
      <c r="B894" s="153"/>
      <c r="C894" s="130"/>
      <c r="D894" s="135"/>
      <c r="E894" s="130"/>
      <c r="F894" s="135"/>
      <c r="G894" s="130"/>
      <c r="H894" s="135"/>
      <c r="I894" s="130"/>
      <c r="J894" s="135"/>
      <c r="K894" s="130"/>
      <c r="L894" s="135"/>
      <c r="M894" s="130"/>
      <c r="N894" s="135"/>
      <c r="O894" s="154"/>
      <c r="P894" s="6">
        <v>0</v>
      </c>
      <c r="Q894" s="118" t="str">
        <f t="shared" si="507"/>
        <v>Trabalho de Grupo</v>
      </c>
      <c r="R894" s="105" t="str">
        <f t="shared" si="501"/>
        <v>CDI</v>
      </c>
      <c r="S894" s="88">
        <f t="shared" si="498"/>
        <v>-1</v>
      </c>
      <c r="T894" s="89">
        <f>IF(VLOOKUP(Q894,'INFO BASE'!$B$40:$I$54,IF(R894='INFO BASE'!$B$32,3,IF(R894='INFO BASE'!$B$33,4,IF(R894='INFO BASE'!$B$34,5,IF(R894='INFO BASE'!$B$35,6,IF(R894='INFO BASE'!$B$36,7,IF(R894='INFO BASE'!$B$37,8,2)))))),0)=0,"",VLOOKUP(Q894,'INFO BASE'!$B$40:$I$54,IF(R894='INFO BASE'!$B$32,3,IF(R894='INFO BASE'!$B$33,4,IF(R894='INFO BASE'!$B$34,5,IF(R894='INFO BASE'!$B$35,6,IF(R894='INFO BASE'!$B$36,7,IF(R894='INFO BASE'!$B$37,8,2)))))),0))</f>
        <v>3</v>
      </c>
      <c r="U894" s="89">
        <f>(COUNTIFS(C864:C911,R894,B864:B911,R889)+COUNTIFS(E864:E911,R894,D864:D911,R889)+COUNTIFS(G864:G911,R894,F864:F911,R889)+COUNTIFS(I864:I911,R894,H864:H911,R889)+COUNTIFS(K864:K911,R894,J864:J911,R889)+COUNTIFS(M864:M911,R894,L864:L911,R889)+COUNTIFS(O864:O911,R894,N864:N911,R889))*0.5</f>
        <v>0</v>
      </c>
      <c r="V894" s="89">
        <f>(COUNTIFS(AI864:AI911,R889,AJ864:AJ911,R887)+COUNTIFS(AK864:AK911,R889,AL864:AL911,R887)+COUNTIFS(AM864:AM911,R889,AN864:AN911,R887)+COUNTIFS(AO864:AO911,R889,AP864:AP911,R887)+COUNTIFS(AQ864:AQ911,R889,AR864:AR911,R887)+COUNTIFS(AS864:AS911,R889,AT864:AT911,R887)+COUNTIFS(AU864:AU911,R889,AV864:AV911,R887))*0.5</f>
        <v>0</v>
      </c>
      <c r="W894" s="90" t="str">
        <f>IF(AH860="","-",IF(V894=0,U894,IFERROR((U894/V894)-1,"-")))</f>
        <v>-</v>
      </c>
      <c r="X894" s="201">
        <f t="shared" si="499"/>
        <v>0</v>
      </c>
      <c r="Y894" s="271"/>
      <c r="Z894" s="272"/>
      <c r="AA894" s="272"/>
      <c r="AB894" s="272"/>
      <c r="AC894" s="272"/>
      <c r="AD894" s="272"/>
      <c r="AE894" s="272"/>
      <c r="AF894" s="273"/>
      <c r="AH894" s="136">
        <v>0.62500000000001998</v>
      </c>
      <c r="AI894" s="136" t="str">
        <f>IF(AH860="","",IF(B894="","",B894))</f>
        <v/>
      </c>
      <c r="AJ894" s="136" t="str">
        <f>IF(AH860="","",IF(C894="","",C894))</f>
        <v/>
      </c>
      <c r="AK894" s="136" t="str">
        <f>IF(AH860="","",IF(D894="","",D894))</f>
        <v/>
      </c>
      <c r="AL894" s="136" t="str">
        <f>IF(AH860="","",IF(E894="","",E894))</f>
        <v/>
      </c>
      <c r="AM894" s="136" t="str">
        <f>IF(AH860="","",IF(F894="","",F894))</f>
        <v/>
      </c>
      <c r="AN894" s="136" t="str">
        <f>IF(AH860="","",IF(G894="","",G894))</f>
        <v/>
      </c>
      <c r="AO894" s="136" t="str">
        <f>IF(AH860="","",IF(H894="","",H894))</f>
        <v/>
      </c>
      <c r="AP894" s="136" t="str">
        <f>IF(AH860="","",IF(I894="","",I894))</f>
        <v/>
      </c>
      <c r="AQ894" s="136" t="str">
        <f>IF(AH860="","",IF(J894="","",J894))</f>
        <v/>
      </c>
      <c r="AR894" s="136" t="str">
        <f>IF(AH860="","",IF(K894="","",K894))</f>
        <v/>
      </c>
      <c r="AS894" s="136" t="str">
        <f>IF(AH860="","",IF(L894="","",L894))</f>
        <v/>
      </c>
      <c r="AT894" s="136" t="str">
        <f>IF(AH860="","",IF(M894="","",M894))</f>
        <v/>
      </c>
      <c r="AU894" s="136" t="str">
        <f>IF(AH860="","",IF(N894="","",N894))</f>
        <v/>
      </c>
      <c r="AV894" s="136" t="str">
        <f>IF(AH860="","",IF(O894="","",O894))</f>
        <v/>
      </c>
      <c r="AX894" s="136" t="str">
        <f>IF(AI860="","",IF(B894="","",B894))</f>
        <v/>
      </c>
      <c r="AY894" s="136" t="str">
        <f>IF(AI860="","",IF(C894="","",C894))</f>
        <v/>
      </c>
      <c r="AZ894" s="136" t="str">
        <f>IF(AI860="","",IF(D894="","",D894))</f>
        <v/>
      </c>
      <c r="BA894" s="136" t="str">
        <f>IF(AI860="","",IF(E894="","",E894))</f>
        <v/>
      </c>
      <c r="BB894" s="136" t="str">
        <f>IF(AI860="","",IF(F894="","",F894))</f>
        <v/>
      </c>
      <c r="BC894" s="136" t="str">
        <f>IF(AI860="","",IF(G894="","",G894))</f>
        <v/>
      </c>
      <c r="BD894" s="136" t="str">
        <f>IF(AI860="","",IF(H894="","",H894))</f>
        <v/>
      </c>
      <c r="BE894" s="136" t="str">
        <f>IF(AI860="","",IF(I894="","",I894))</f>
        <v/>
      </c>
      <c r="BF894" s="136" t="str">
        <f>IF(AI860="","",IF(J894="","",J894))</f>
        <v/>
      </c>
      <c r="BG894" s="136" t="str">
        <f>IF(AI860="","",IF(K894="","",K894))</f>
        <v/>
      </c>
      <c r="BH894" s="136" t="str">
        <f>IF(AI860="","",IF(L894="","",L894))</f>
        <v/>
      </c>
      <c r="BI894" s="136" t="str">
        <f>IF(AI860="","",IF(M894="","",M894))</f>
        <v/>
      </c>
      <c r="BJ894" s="136" t="str">
        <f>IF(AI860="","",IF(N894="","",N894))</f>
        <v/>
      </c>
      <c r="BK894" s="136" t="str">
        <f>IF(AI860="","",IF(O894="","",O894))</f>
        <v/>
      </c>
      <c r="BM894" s="136" t="str">
        <f>BM893</f>
        <v>AT</v>
      </c>
      <c r="BN894" s="136" t="str">
        <f t="shared" si="494"/>
        <v>Aulas Teóricas</v>
      </c>
      <c r="BO894" s="136" t="str">
        <f t="shared" si="494"/>
        <v>FP</v>
      </c>
      <c r="BP894" s="136">
        <f>(COUNTIFS(AX864:AX911,BM894,AY864:AY911,BO894)+COUNTIFS(AZ864:AZ911,BM894,BA864:BA911,BO894)+COUNTIFS(BB864:BB911,BM894,BC864:BC911,BO894)+COUNTIFS(BD864:BD911,BM894,BE864:BE911,BO894)+COUNTIFS(BF864:BF911,BM894,BG864:BG911,BO894)+COUNTIFS(BH864:BH911,BM894,BI864:BI911,BO894)+COUNTIFS(BJ864:BJ911,BM894,BK864:BK911,BO894))*0.5</f>
        <v>0</v>
      </c>
      <c r="BQ894" s="136" t="str">
        <f t="shared" si="495"/>
        <v>Aulas Teóricas</v>
      </c>
      <c r="BR894" s="136" t="str">
        <f t="shared" si="495"/>
        <v>FP</v>
      </c>
      <c r="BS894" s="136" t="str">
        <f t="shared" si="496"/>
        <v>Aulas Teóricas</v>
      </c>
      <c r="BT894" s="136">
        <f t="shared" si="502"/>
        <v>24</v>
      </c>
      <c r="BU894" s="136">
        <f t="shared" si="503"/>
        <v>24</v>
      </c>
      <c r="CR894" s="177">
        <f t="shared" si="484"/>
        <v>1</v>
      </c>
      <c r="CS894" s="177">
        <f t="shared" si="485"/>
        <v>1</v>
      </c>
      <c r="CT894" s="177">
        <f t="shared" si="484"/>
        <v>1</v>
      </c>
      <c r="CU894" s="177">
        <f t="shared" si="486"/>
        <v>1</v>
      </c>
      <c r="CV894" s="177">
        <f t="shared" si="484"/>
        <v>1</v>
      </c>
      <c r="CW894" s="177">
        <f t="shared" si="487"/>
        <v>1</v>
      </c>
      <c r="CX894" s="177">
        <f t="shared" si="484"/>
        <v>1</v>
      </c>
      <c r="CY894" s="177">
        <f t="shared" si="488"/>
        <v>1</v>
      </c>
      <c r="CZ894" s="177">
        <f t="shared" si="484"/>
        <v>1</v>
      </c>
      <c r="DA894" s="177">
        <f t="shared" si="489"/>
        <v>1</v>
      </c>
      <c r="DB894" s="177">
        <f t="shared" si="484"/>
        <v>1</v>
      </c>
      <c r="DC894" s="177">
        <f t="shared" si="490"/>
        <v>1</v>
      </c>
      <c r="DD894" s="177">
        <f t="shared" si="491"/>
        <v>1</v>
      </c>
      <c r="DE894" s="177">
        <f t="shared" si="492"/>
        <v>1</v>
      </c>
    </row>
    <row r="895" spans="1:109" ht="18" customHeight="1" thickBot="1" x14ac:dyDescent="0.35">
      <c r="A895" s="81">
        <v>0.64583333333335402</v>
      </c>
      <c r="B895" s="153"/>
      <c r="C895" s="130"/>
      <c r="D895" s="135"/>
      <c r="E895" s="130"/>
      <c r="F895" s="135"/>
      <c r="G895" s="130"/>
      <c r="H895" s="135"/>
      <c r="I895" s="130"/>
      <c r="J895" s="135"/>
      <c r="K895" s="130"/>
      <c r="L895" s="135"/>
      <c r="M895" s="130"/>
      <c r="N895" s="135"/>
      <c r="O895" s="154"/>
      <c r="P895" s="6">
        <v>0</v>
      </c>
      <c r="Q895" s="120" t="str">
        <f t="shared" si="507"/>
        <v>Trabalho de Grupo</v>
      </c>
      <c r="R895" s="107" t="str">
        <f t="shared" si="501"/>
        <v/>
      </c>
      <c r="S895" s="94" t="str">
        <f t="shared" si="498"/>
        <v>-</v>
      </c>
      <c r="T895" s="95" t="str">
        <f>IF(VLOOKUP(Q895,'INFO BASE'!$B$40:$I$54,IF(R895='INFO BASE'!$B$32,3,IF(R895='INFO BASE'!$B$33,4,IF(R895='INFO BASE'!$B$34,5,IF(R895='INFO BASE'!$B$35,6,IF(R895='INFO BASE'!$B$36,7,IF(R895='INFO BASE'!$B$37,8,2)))))),0)=0,"",VLOOKUP(Q895,'INFO BASE'!$B$40:$I$54,IF(R895='INFO BASE'!$B$32,3,IF(R895='INFO BASE'!$B$33,4,IF(R895='INFO BASE'!$B$34,5,IF(R895='INFO BASE'!$B$35,6,IF(R895='INFO BASE'!$B$36,7,IF(R895='INFO BASE'!$B$37,8,2)))))),0))</f>
        <v/>
      </c>
      <c r="U895" s="95">
        <f>(COUNTIFS(C864:C911,R895,B864:B911,R889)+COUNTIFS(E864:E911,R895,D864:D911,R889)+COUNTIFS(G864:G911,R895,F864:F911,R889)+COUNTIFS(I864:I911,R895,H864:H911,R889)+COUNTIFS(K864:K911,R895,J864:J911,R889)+COUNTIFS(M864:M911,R895,L864:L911,R889)+COUNTIFS(O864:O911,R895,N864:N911,R889))*0.5</f>
        <v>0</v>
      </c>
      <c r="V895" s="95">
        <f>(COUNTIFS(AI864:AI911,R889,AJ864:AJ911,R888)+COUNTIFS(AK864:AK911,R889,AL864:AL911,R888)+COUNTIFS(AM864:AM911,R889,AN864:AN911,R888)+COUNTIFS(AO864:AO911,R889,AP864:AP911,R888)+COUNTIFS(AQ864:AQ911,R889,AR864:AR911,R888)+COUNTIFS(AS864:AS911,R889,AT864:AT911,R888)+COUNTIFS(AU864:AU911,R889,AV864:AV911,R888))*0.5</f>
        <v>0</v>
      </c>
      <c r="W895" s="96" t="str">
        <f>IF(AH860="","-",IF(V895=0,U895,IFERROR((U895/V895)-1,"-")))</f>
        <v>-</v>
      </c>
      <c r="X895" s="201">
        <f t="shared" si="499"/>
        <v>0</v>
      </c>
      <c r="Y895" s="274"/>
      <c r="Z895" s="275"/>
      <c r="AA895" s="275"/>
      <c r="AB895" s="275"/>
      <c r="AC895" s="275"/>
      <c r="AD895" s="275"/>
      <c r="AE895" s="275"/>
      <c r="AF895" s="276"/>
      <c r="AH895" s="136">
        <v>0.64583333333335402</v>
      </c>
      <c r="AI895" s="136" t="str">
        <f>IF(AH860="","",IF(B895="","",B895))</f>
        <v/>
      </c>
      <c r="AJ895" s="136" t="str">
        <f>IF(AH860="","",IF(C895="","",C895))</f>
        <v/>
      </c>
      <c r="AK895" s="136" t="str">
        <f>IF(AH860="","",IF(D895="","",D895))</f>
        <v/>
      </c>
      <c r="AL895" s="136" t="str">
        <f>IF(AH860="","",IF(E895="","",E895))</f>
        <v/>
      </c>
      <c r="AM895" s="136" t="str">
        <f>IF(AH860="","",IF(F895="","",F895))</f>
        <v/>
      </c>
      <c r="AN895" s="136" t="str">
        <f>IF(AH860="","",IF(G895="","",G895))</f>
        <v/>
      </c>
      <c r="AO895" s="136" t="str">
        <f>IF(AH860="","",IF(H895="","",H895))</f>
        <v/>
      </c>
      <c r="AP895" s="136" t="str">
        <f>IF(AH860="","",IF(I895="","",I895))</f>
        <v/>
      </c>
      <c r="AQ895" s="136" t="str">
        <f>IF(AH860="","",IF(J895="","",J895))</f>
        <v/>
      </c>
      <c r="AR895" s="136" t="str">
        <f>IF(AH860="","",IF(K895="","",K895))</f>
        <v/>
      </c>
      <c r="AS895" s="136" t="str">
        <f>IF(AH860="","",IF(L895="","",L895))</f>
        <v/>
      </c>
      <c r="AT895" s="136" t="str">
        <f>IF(AH860="","",IF(M895="","",M895))</f>
        <v/>
      </c>
      <c r="AU895" s="136" t="str">
        <f>IF(AH860="","",IF(N895="","",N895))</f>
        <v/>
      </c>
      <c r="AV895" s="136" t="str">
        <f>IF(AH860="","",IF(O895="","",O895))</f>
        <v/>
      </c>
      <c r="AX895" s="136" t="str">
        <f>IF(AI860="","",IF(B895="","",B895))</f>
        <v/>
      </c>
      <c r="AY895" s="136" t="str">
        <f>IF(AI860="","",IF(C895="","",C895))</f>
        <v/>
      </c>
      <c r="AZ895" s="136" t="str">
        <f>IF(AI860="","",IF(D895="","",D895))</f>
        <v/>
      </c>
      <c r="BA895" s="136" t="str">
        <f>IF(AI860="","",IF(E895="","",E895))</f>
        <v/>
      </c>
      <c r="BB895" s="136" t="str">
        <f>IF(AI860="","",IF(F895="","",F895))</f>
        <v/>
      </c>
      <c r="BC895" s="136" t="str">
        <f>IF(AI860="","",IF(G895="","",G895))</f>
        <v/>
      </c>
      <c r="BD895" s="136" t="str">
        <f>IF(AI860="","",IF(H895="","",H895))</f>
        <v/>
      </c>
      <c r="BE895" s="136" t="str">
        <f>IF(AI860="","",IF(I895="","",I895))</f>
        <v/>
      </c>
      <c r="BF895" s="136" t="str">
        <f>IF(AI860="","",IF(J895="","",J895))</f>
        <v/>
      </c>
      <c r="BG895" s="136" t="str">
        <f>IF(AI860="","",IF(K895="","",K895))</f>
        <v/>
      </c>
      <c r="BH895" s="136" t="str">
        <f>IF(AI860="","",IF(L895="","",L895))</f>
        <v/>
      </c>
      <c r="BI895" s="136" t="str">
        <f>IF(AI860="","",IF(M895="","",M895))</f>
        <v/>
      </c>
      <c r="BJ895" s="136" t="str">
        <f>IF(AI860="","",IF(N895="","",N895))</f>
        <v/>
      </c>
      <c r="BK895" s="136" t="str">
        <f>IF(AI860="","",IF(O895="","",O895))</f>
        <v/>
      </c>
      <c r="BM895" s="136" t="str">
        <f t="shared" ref="BM895:BM899" si="508">BM894</f>
        <v>AT</v>
      </c>
      <c r="BN895" s="136" t="str">
        <f t="shared" si="494"/>
        <v>Aulas Teóricas</v>
      </c>
      <c r="BO895" s="136" t="str">
        <f t="shared" si="494"/>
        <v>IEI</v>
      </c>
      <c r="BP895" s="136">
        <f>(COUNTIFS(AX864:AX911,BM895,AY864:AY911,BO895)+COUNTIFS(AZ864:AZ911,BM895,BA864:BA911,BO895)+COUNTIFS(BB864:BB911,BM895,BC864:BC911,BO895)+COUNTIFS(BD864:BD911,BM895,BE864:BE911,BO895)+COUNTIFS(BF864:BF911,BM895,BG864:BG911,BO895)+COUNTIFS(BH864:BH911,BM895,BI864:BI911,BO895)+COUNTIFS(BJ864:BJ911,BM895,BK864:BK911,BO895))*0.5</f>
        <v>0</v>
      </c>
      <c r="BQ895" s="136" t="str">
        <f t="shared" si="495"/>
        <v>Aulas Teóricas</v>
      </c>
      <c r="BR895" s="136" t="str">
        <f t="shared" si="495"/>
        <v>IEI</v>
      </c>
      <c r="BS895" s="136" t="str">
        <f t="shared" si="496"/>
        <v>Aulas Teóricas</v>
      </c>
      <c r="BT895" s="136">
        <f t="shared" si="502"/>
        <v>24</v>
      </c>
      <c r="BU895" s="136">
        <f t="shared" si="503"/>
        <v>24</v>
      </c>
      <c r="CA895" s="136">
        <f>'INFO BASE'!L973</f>
        <v>0</v>
      </c>
      <c r="CB895" s="136">
        <f>'INFO BASE'!M973</f>
        <v>0</v>
      </c>
      <c r="CR895" s="177">
        <f t="shared" si="484"/>
        <v>1</v>
      </c>
      <c r="CS895" s="177">
        <f t="shared" si="485"/>
        <v>1</v>
      </c>
      <c r="CT895" s="177">
        <f t="shared" si="484"/>
        <v>1</v>
      </c>
      <c r="CU895" s="177">
        <f t="shared" si="486"/>
        <v>1</v>
      </c>
      <c r="CV895" s="177">
        <f t="shared" si="484"/>
        <v>1</v>
      </c>
      <c r="CW895" s="177">
        <f t="shared" si="487"/>
        <v>1</v>
      </c>
      <c r="CX895" s="177">
        <f t="shared" si="484"/>
        <v>1</v>
      </c>
      <c r="CY895" s="177">
        <f t="shared" si="488"/>
        <v>1</v>
      </c>
      <c r="CZ895" s="177">
        <f t="shared" si="484"/>
        <v>1</v>
      </c>
      <c r="DA895" s="177">
        <f t="shared" si="489"/>
        <v>1</v>
      </c>
      <c r="DB895" s="177">
        <f t="shared" si="484"/>
        <v>1</v>
      </c>
      <c r="DC895" s="177">
        <f t="shared" si="490"/>
        <v>1</v>
      </c>
      <c r="DD895" s="177">
        <f t="shared" si="491"/>
        <v>1</v>
      </c>
      <c r="DE895" s="177">
        <f t="shared" si="492"/>
        <v>1</v>
      </c>
    </row>
    <row r="896" spans="1:109" ht="18" customHeight="1" x14ac:dyDescent="0.3">
      <c r="A896" s="81">
        <v>0.66666666666668795</v>
      </c>
      <c r="B896" s="153"/>
      <c r="C896" s="130"/>
      <c r="D896" s="135"/>
      <c r="E896" s="130"/>
      <c r="F896" s="135"/>
      <c r="G896" s="130"/>
      <c r="H896" s="135"/>
      <c r="I896" s="130"/>
      <c r="J896" s="135"/>
      <c r="K896" s="130"/>
      <c r="L896" s="135"/>
      <c r="M896" s="130"/>
      <c r="N896" s="135"/>
      <c r="O896" s="154"/>
      <c r="P896" s="6">
        <v>0</v>
      </c>
      <c r="Q896" s="121" t="str">
        <f>IF('INFO BASE'!$C$20="","",'INFO BASE'!$C$20)</f>
        <v>Aulas Teóricas</v>
      </c>
      <c r="R896" s="82" t="str">
        <f t="shared" si="501"/>
        <v>AT</v>
      </c>
      <c r="S896" s="83">
        <f t="shared" si="498"/>
        <v>-1</v>
      </c>
      <c r="T896" s="84">
        <f>IF(VLOOKUP(Q896,'INFO BASE'!$B$40:$I$54,IF(R896='INFO BASE'!$B$32,3,IF(R896='INFO BASE'!$B$33,4,IF(R896='INFO BASE'!$B$34,5,IF(R896='INFO BASE'!$B$35,6,IF(R896='INFO BASE'!$B$36,7,IF(R896='INFO BASE'!$B$37,8,2)))))),0)=0,"",VLOOKUP(Q896,'INFO BASE'!$B$40:$I$54,IF(R896='INFO BASE'!$B$32,3,IF(R896='INFO BASE'!$B$33,4,IF(R896='INFO BASE'!$B$34,5,IF(R896='INFO BASE'!$B$35,6,IF(R896='INFO BASE'!$B$36,7,IF(R896='INFO BASE'!$B$37,8,2)))))),0))</f>
        <v>15</v>
      </c>
      <c r="U896" s="84">
        <f>IF(R896="","",COUNTIFS(SEMANA16,R896)*0.5)</f>
        <v>0</v>
      </c>
      <c r="V896" s="84">
        <f>IF(R896="","",COUNTIFS(AI864:AV911,R896)*0.5)</f>
        <v>0</v>
      </c>
      <c r="W896" s="85" t="str">
        <f>IF(AH860="","-",IF(V896=0,U896,IFERROR((U896/V896)-1,"-")))</f>
        <v>-</v>
      </c>
      <c r="X896" s="201">
        <f t="shared" si="499"/>
        <v>0</v>
      </c>
      <c r="Y896" s="277"/>
      <c r="Z896" s="278"/>
      <c r="AA896" s="278"/>
      <c r="AB896" s="278"/>
      <c r="AC896" s="278"/>
      <c r="AD896" s="278"/>
      <c r="AE896" s="278"/>
      <c r="AF896" s="279"/>
      <c r="AH896" s="136">
        <v>0.66666666666668795</v>
      </c>
      <c r="AI896" s="136" t="str">
        <f>IF(AH860="","",IF(B896="","",B896))</f>
        <v/>
      </c>
      <c r="AJ896" s="136" t="str">
        <f>IF(AH860="","",IF(C896="","",C896))</f>
        <v/>
      </c>
      <c r="AK896" s="136" t="str">
        <f>IF(AH860="","",IF(D896="","",D896))</f>
        <v/>
      </c>
      <c r="AL896" s="136" t="str">
        <f>IF(AH860="","",IF(E896="","",E896))</f>
        <v/>
      </c>
      <c r="AM896" s="136" t="str">
        <f>IF(AH860="","",IF(F896="","",F896))</f>
        <v/>
      </c>
      <c r="AN896" s="136" t="str">
        <f>IF(AH860="","",IF(G896="","",G896))</f>
        <v/>
      </c>
      <c r="AO896" s="136" t="str">
        <f>IF(AH860="","",IF(H896="","",H896))</f>
        <v/>
      </c>
      <c r="AP896" s="136" t="str">
        <f>IF(AH860="","",IF(I896="","",I896))</f>
        <v/>
      </c>
      <c r="AQ896" s="136" t="str">
        <f>IF(AH860="","",IF(J896="","",J896))</f>
        <v/>
      </c>
      <c r="AR896" s="136" t="str">
        <f>IF(AH860="","",IF(K896="","",K896))</f>
        <v/>
      </c>
      <c r="AS896" s="136" t="str">
        <f>IF(AH860="","",IF(L896="","",L896))</f>
        <v/>
      </c>
      <c r="AT896" s="136" t="str">
        <f>IF(AH860="","",IF(M896="","",M896))</f>
        <v/>
      </c>
      <c r="AU896" s="136" t="str">
        <f>IF(AH860="","",IF(N896="","",N896))</f>
        <v/>
      </c>
      <c r="AV896" s="136" t="str">
        <f>IF(AH860="","",IF(O896="","",O896))</f>
        <v/>
      </c>
      <c r="AX896" s="136" t="str">
        <f>IF(AI860="","",IF(B896="","",B896))</f>
        <v/>
      </c>
      <c r="AY896" s="136" t="str">
        <f>IF(AI860="","",IF(C896="","",C896))</f>
        <v/>
      </c>
      <c r="AZ896" s="136" t="str">
        <f>IF(AI860="","",IF(D896="","",D896))</f>
        <v/>
      </c>
      <c r="BA896" s="136" t="str">
        <f>IF(AI860="","",IF(E896="","",E896))</f>
        <v/>
      </c>
      <c r="BB896" s="136" t="str">
        <f>IF(AI860="","",IF(F896="","",F896))</f>
        <v/>
      </c>
      <c r="BC896" s="136" t="str">
        <f>IF(AI860="","",IF(G896="","",G896))</f>
        <v/>
      </c>
      <c r="BD896" s="136" t="str">
        <f>IF(AI860="","",IF(H896="","",H896))</f>
        <v/>
      </c>
      <c r="BE896" s="136" t="str">
        <f>IF(AI860="","",IF(I896="","",I896))</f>
        <v/>
      </c>
      <c r="BF896" s="136" t="str">
        <f>IF(AI860="","",IF(J896="","",J896))</f>
        <v/>
      </c>
      <c r="BG896" s="136" t="str">
        <f>IF(AI860="","",IF(K896="","",K896))</f>
        <v/>
      </c>
      <c r="BH896" s="136" t="str">
        <f>IF(AI860="","",IF(L896="","",L896))</f>
        <v/>
      </c>
      <c r="BI896" s="136" t="str">
        <f>IF(AI860="","",IF(M896="","",M896))</f>
        <v/>
      </c>
      <c r="BJ896" s="136" t="str">
        <f>IF(AI860="","",IF(N896="","",N896))</f>
        <v/>
      </c>
      <c r="BK896" s="136" t="str">
        <f>IF(AI860="","",IF(O896="","",O896))</f>
        <v/>
      </c>
      <c r="BM896" s="136" t="str">
        <f t="shared" si="508"/>
        <v>AT</v>
      </c>
      <c r="BN896" s="136" t="str">
        <f t="shared" si="494"/>
        <v>Aulas Teóricas</v>
      </c>
      <c r="BO896" s="136" t="str">
        <f t="shared" si="494"/>
        <v>IAC</v>
      </c>
      <c r="BP896" s="136">
        <f>(COUNTIFS(AX864:AX911,BM896,AY864:AY911,BO896)+COUNTIFS(AZ864:AZ911,BM896,BA864:BA911,BO896)+COUNTIFS(BB864:BB911,BM896,BC864:BC911,BO896)+COUNTIFS(BD864:BD911,BM896,BE864:BE911,BO896)+COUNTIFS(BF864:BF911,BM896,BG864:BG911,BO896)+COUNTIFS(BH864:BH911,BM896,BI864:BI911,BO896)+COUNTIFS(BJ864:BJ911,BM896,BK864:BK911,BO896))*0.5</f>
        <v>0</v>
      </c>
      <c r="BQ896" s="136" t="str">
        <f t="shared" si="495"/>
        <v>Aulas Teóricas</v>
      </c>
      <c r="BR896" s="136" t="str">
        <f t="shared" si="495"/>
        <v>IAC</v>
      </c>
      <c r="BS896" s="136" t="str">
        <f t="shared" si="496"/>
        <v>Aulas Teóricas</v>
      </c>
      <c r="BT896" s="136">
        <f t="shared" si="502"/>
        <v>24</v>
      </c>
      <c r="BU896" s="136">
        <f t="shared" si="503"/>
        <v>24</v>
      </c>
      <c r="CA896" s="136">
        <f>'INFO BASE'!L974</f>
        <v>0</v>
      </c>
      <c r="CB896" s="136">
        <f>'INFO BASE'!M974</f>
        <v>0</v>
      </c>
      <c r="CR896" s="177">
        <f t="shared" si="484"/>
        <v>1</v>
      </c>
      <c r="CS896" s="177">
        <f t="shared" si="485"/>
        <v>1</v>
      </c>
      <c r="CT896" s="177">
        <f t="shared" si="484"/>
        <v>1</v>
      </c>
      <c r="CU896" s="177">
        <f t="shared" si="486"/>
        <v>1</v>
      </c>
      <c r="CV896" s="177">
        <f t="shared" si="484"/>
        <v>1</v>
      </c>
      <c r="CW896" s="177">
        <f t="shared" si="487"/>
        <v>1</v>
      </c>
      <c r="CX896" s="177">
        <f t="shared" si="484"/>
        <v>1</v>
      </c>
      <c r="CY896" s="177">
        <f t="shared" si="488"/>
        <v>1</v>
      </c>
      <c r="CZ896" s="177">
        <f t="shared" si="484"/>
        <v>1</v>
      </c>
      <c r="DA896" s="177">
        <f t="shared" si="489"/>
        <v>1</v>
      </c>
      <c r="DB896" s="177">
        <f t="shared" si="484"/>
        <v>1</v>
      </c>
      <c r="DC896" s="177">
        <f t="shared" si="490"/>
        <v>1</v>
      </c>
      <c r="DD896" s="177">
        <f t="shared" si="491"/>
        <v>1</v>
      </c>
      <c r="DE896" s="177">
        <f t="shared" si="492"/>
        <v>1</v>
      </c>
    </row>
    <row r="897" spans="1:120" ht="18" customHeight="1" x14ac:dyDescent="0.3">
      <c r="A897" s="81">
        <v>0.68750000000002198</v>
      </c>
      <c r="B897" s="153"/>
      <c r="C897" s="130"/>
      <c r="D897" s="135"/>
      <c r="E897" s="130"/>
      <c r="F897" s="135"/>
      <c r="G897" s="130"/>
      <c r="H897" s="135"/>
      <c r="I897" s="130"/>
      <c r="J897" s="135"/>
      <c r="K897" s="130"/>
      <c r="L897" s="135"/>
      <c r="M897" s="130"/>
      <c r="N897" s="135"/>
      <c r="O897" s="154"/>
      <c r="P897" s="6">
        <v>0</v>
      </c>
      <c r="Q897" s="122" t="str">
        <f t="shared" ref="Q897:Q902" si="509">Q896</f>
        <v>Aulas Teóricas</v>
      </c>
      <c r="R897" s="105" t="str">
        <f t="shared" si="501"/>
        <v>FP</v>
      </c>
      <c r="S897" s="88">
        <f t="shared" si="498"/>
        <v>-1</v>
      </c>
      <c r="T897" s="89">
        <f>IF(VLOOKUP(Q897,'INFO BASE'!$B$40:$I$54,IF(R897='INFO BASE'!$B$32,3,IF(R897='INFO BASE'!$B$33,4,IF(R897='INFO BASE'!$B$34,5,IF(R897='INFO BASE'!$B$35,6,IF(R897='INFO BASE'!$B$36,7,IF(R897='INFO BASE'!$B$37,8,2)))))),0)=0,"",VLOOKUP(Q897,'INFO BASE'!$B$40:$I$54,IF(R897='INFO BASE'!$B$32,3,IF(R897='INFO BASE'!$B$33,4,IF(R897='INFO BASE'!$B$34,5,IF(R897='INFO BASE'!$B$35,6,IF(R897='INFO BASE'!$B$36,7,IF(R897='INFO BASE'!$B$37,8,2)))))),0))</f>
        <v>3</v>
      </c>
      <c r="U897" s="89">
        <f>(COUNTIFS(C864:C911,R897,B864:B911,R896)+COUNTIFS(E864:E911,R897,D864:D911,R896)+COUNTIFS(G864:G911,R897,F864:F911,R896)+COUNTIFS(I864:I911,R897,H864:H911,R896)+COUNTIFS(K864:K911,R897,J864:J911,R896)+COUNTIFS(M864:M911,R897,L864:L911,R896)+COUNTIFS(O864:O911,R897,N864:N911,R896))*0.5</f>
        <v>0</v>
      </c>
      <c r="V897" s="89">
        <f>(COUNTIFS(AI864:AI911,R896,AJ864:AJ911,R890)+COUNTIFS(AK864:AK911,R896,AL864:AL911,R890)+COUNTIFS(AM864:AM911,R896,AN864:AN911,R890)+COUNTIFS(AO864:AO911,R896,AP864:AP911,R890)+COUNTIFS(AQ864:AQ911,R896,AR864:AR911,R890)+COUNTIFS(AS864:AS911,R896,AT864:AT911,R890)+COUNTIFS(AU864:AU911,R896,AV864:AV911,R890))*0.5</f>
        <v>0</v>
      </c>
      <c r="W897" s="90" t="str">
        <f>IF(AH860="","-",IF(V897=0,U897,IFERROR((U897/V897)-1,"-")))</f>
        <v>-</v>
      </c>
      <c r="X897" s="201">
        <f t="shared" si="499"/>
        <v>0</v>
      </c>
      <c r="Y897" s="271"/>
      <c r="Z897" s="272"/>
      <c r="AA897" s="272"/>
      <c r="AB897" s="272"/>
      <c r="AC897" s="272"/>
      <c r="AD897" s="272"/>
      <c r="AE897" s="272"/>
      <c r="AF897" s="273"/>
      <c r="AH897" s="136">
        <v>0.68750000000002198</v>
      </c>
      <c r="AI897" s="136" t="str">
        <f>IF(AH860="","",IF(B897="","",B897))</f>
        <v/>
      </c>
      <c r="AJ897" s="136" t="str">
        <f>IF(AH860="","",IF(C897="","",C897))</f>
        <v/>
      </c>
      <c r="AK897" s="136" t="str">
        <f>IF(AH860="","",IF(D897="","",D897))</f>
        <v/>
      </c>
      <c r="AL897" s="136" t="str">
        <f>IF(AH860="","",IF(E897="","",E897))</f>
        <v/>
      </c>
      <c r="AM897" s="136" t="str">
        <f>IF(AH860="","",IF(F897="","",F897))</f>
        <v/>
      </c>
      <c r="AN897" s="136" t="str">
        <f>IF(AH860="","",IF(G897="","",G897))</f>
        <v/>
      </c>
      <c r="AO897" s="136" t="str">
        <f>IF(AH860="","",IF(H897="","",H897))</f>
        <v/>
      </c>
      <c r="AP897" s="136" t="str">
        <f>IF(AH860="","",IF(I897="","",I897))</f>
        <v/>
      </c>
      <c r="AQ897" s="136" t="str">
        <f>IF(AH860="","",IF(J897="","",J897))</f>
        <v/>
      </c>
      <c r="AR897" s="136" t="str">
        <f>IF(AH860="","",IF(K897="","",K897))</f>
        <v/>
      </c>
      <c r="AS897" s="136" t="str">
        <f>IF(AH860="","",IF(L897="","",L897))</f>
        <v/>
      </c>
      <c r="AT897" s="136" t="str">
        <f>IF(AH860="","",IF(M897="","",M897))</f>
        <v/>
      </c>
      <c r="AU897" s="136" t="str">
        <f>IF(AH860="","",IF(N897="","",N897))</f>
        <v/>
      </c>
      <c r="AV897" s="136" t="str">
        <f>IF(AH860="","",IF(O897="","",O897))</f>
        <v/>
      </c>
      <c r="AX897" s="136" t="str">
        <f>IF(AI860="","",IF(B897="","",B897))</f>
        <v/>
      </c>
      <c r="AY897" s="136" t="str">
        <f>IF(AI860="","",IF(C897="","",C897))</f>
        <v/>
      </c>
      <c r="AZ897" s="136" t="str">
        <f>IF(AI860="","",IF(D897="","",D897))</f>
        <v/>
      </c>
      <c r="BA897" s="136" t="str">
        <f>IF(AI860="","",IF(E897="","",E897))</f>
        <v/>
      </c>
      <c r="BB897" s="136" t="str">
        <f>IF(AI860="","",IF(F897="","",F897))</f>
        <v/>
      </c>
      <c r="BC897" s="136" t="str">
        <f>IF(AI860="","",IF(G897="","",G897))</f>
        <v/>
      </c>
      <c r="BD897" s="136" t="str">
        <f>IF(AI860="","",IF(H897="","",H897))</f>
        <v/>
      </c>
      <c r="BE897" s="136" t="str">
        <f>IF(AI860="","",IF(I897="","",I897))</f>
        <v/>
      </c>
      <c r="BF897" s="136" t="str">
        <f>IF(AI860="","",IF(J897="","",J897))</f>
        <v/>
      </c>
      <c r="BG897" s="136" t="str">
        <f>IF(AI860="","",IF(K897="","",K897))</f>
        <v/>
      </c>
      <c r="BH897" s="136" t="str">
        <f>IF(AI860="","",IF(L897="","",L897))</f>
        <v/>
      </c>
      <c r="BI897" s="136" t="str">
        <f>IF(AI860="","",IF(M897="","",M897))</f>
        <v/>
      </c>
      <c r="BJ897" s="136" t="str">
        <f>IF(AI860="","",IF(N897="","",N897))</f>
        <v/>
      </c>
      <c r="BK897" s="136" t="str">
        <f>IF(AI860="","",IF(O897="","",O897))</f>
        <v/>
      </c>
      <c r="BM897" s="136" t="str">
        <f t="shared" si="508"/>
        <v>AT</v>
      </c>
      <c r="BN897" s="136" t="str">
        <f t="shared" si="494"/>
        <v>Aulas Teóricas</v>
      </c>
      <c r="BO897" s="136" t="str">
        <f t="shared" si="494"/>
        <v>AL</v>
      </c>
      <c r="BP897" s="136">
        <f>(COUNTIFS(AX864:AX911,BM897,AY864:AY911,BO897)+COUNTIFS(AZ864:AZ911,BM897,BA864:BA911,BO897)+COUNTIFS(BB864:BB911,BM897,BC864:BC911,BO897)+COUNTIFS(BD864:BD911,BM897,BE864:BE911,BO897)+COUNTIFS(BF864:BF911,BM897,BG864:BG911,BO897)+COUNTIFS(BH864:BH911,BM897,BI864:BI911,BO897)+COUNTIFS(BJ864:BJ911,BM897,BK864:BK911,BO897))*0.5</f>
        <v>0</v>
      </c>
      <c r="BQ897" s="136" t="str">
        <f t="shared" si="495"/>
        <v>Aulas Teóricas</v>
      </c>
      <c r="BR897" s="136" t="str">
        <f t="shared" si="495"/>
        <v>AL</v>
      </c>
      <c r="BS897" s="136" t="str">
        <f t="shared" si="496"/>
        <v>Aulas Teóricas</v>
      </c>
      <c r="BT897" s="136">
        <f t="shared" si="502"/>
        <v>24</v>
      </c>
      <c r="BU897" s="136">
        <f t="shared" si="503"/>
        <v>24</v>
      </c>
      <c r="CA897" s="136">
        <f>'INFO BASE'!L975</f>
        <v>0</v>
      </c>
      <c r="CB897" s="136">
        <f>'INFO BASE'!M975</f>
        <v>0</v>
      </c>
      <c r="CR897" s="177">
        <f t="shared" si="484"/>
        <v>1</v>
      </c>
      <c r="CS897" s="177">
        <f t="shared" si="485"/>
        <v>1</v>
      </c>
      <c r="CT897" s="177">
        <f t="shared" si="484"/>
        <v>1</v>
      </c>
      <c r="CU897" s="177">
        <f t="shared" si="486"/>
        <v>1</v>
      </c>
      <c r="CV897" s="177">
        <f t="shared" si="484"/>
        <v>1</v>
      </c>
      <c r="CW897" s="177">
        <f t="shared" si="487"/>
        <v>1</v>
      </c>
      <c r="CX897" s="177">
        <f t="shared" si="484"/>
        <v>1</v>
      </c>
      <c r="CY897" s="177">
        <f t="shared" si="488"/>
        <v>1</v>
      </c>
      <c r="CZ897" s="177">
        <f t="shared" si="484"/>
        <v>1</v>
      </c>
      <c r="DA897" s="177">
        <f t="shared" si="489"/>
        <v>1</v>
      </c>
      <c r="DB897" s="177">
        <f t="shared" si="484"/>
        <v>1</v>
      </c>
      <c r="DC897" s="177">
        <f t="shared" si="490"/>
        <v>1</v>
      </c>
      <c r="DD897" s="177">
        <f t="shared" si="491"/>
        <v>1</v>
      </c>
      <c r="DE897" s="177">
        <f t="shared" si="492"/>
        <v>1</v>
      </c>
    </row>
    <row r="898" spans="1:120" ht="18" customHeight="1" x14ac:dyDescent="0.3">
      <c r="A898" s="81">
        <v>0.70833333333335602</v>
      </c>
      <c r="B898" s="153"/>
      <c r="C898" s="130"/>
      <c r="D898" s="135"/>
      <c r="E898" s="130"/>
      <c r="F898" s="135"/>
      <c r="G898" s="130"/>
      <c r="H898" s="135"/>
      <c r="I898" s="130"/>
      <c r="J898" s="135"/>
      <c r="K898" s="130"/>
      <c r="L898" s="135"/>
      <c r="M898" s="130"/>
      <c r="N898" s="135"/>
      <c r="O898" s="154"/>
      <c r="P898" s="6">
        <v>0</v>
      </c>
      <c r="Q898" s="122" t="str">
        <f t="shared" si="509"/>
        <v>Aulas Teóricas</v>
      </c>
      <c r="R898" s="105" t="str">
        <f t="shared" si="501"/>
        <v>IEI</v>
      </c>
      <c r="S898" s="88">
        <f t="shared" si="498"/>
        <v>-1</v>
      </c>
      <c r="T898" s="106">
        <f>IF(VLOOKUP(Q898,'INFO BASE'!$B$40:$I$54,IF(R898='INFO BASE'!$B$32,3,IF(R898='INFO BASE'!$B$33,4,IF(R898='INFO BASE'!$B$34,5,IF(R898='INFO BASE'!$B$35,6,IF(R898='INFO BASE'!$B$36,7,IF(R898='INFO BASE'!$B$37,8,2)))))),0)=0,"",VLOOKUP(Q898,'INFO BASE'!$B$40:$I$54,IF(R898='INFO BASE'!$B$32,3,IF(R898='INFO BASE'!$B$33,4,IF(R898='INFO BASE'!$B$34,5,IF(R898='INFO BASE'!$B$35,6,IF(R898='INFO BASE'!$B$36,7,IF(R898='INFO BASE'!$B$37,8,2)))))),0))</f>
        <v>3</v>
      </c>
      <c r="U898" s="106">
        <f>(COUNTIFS(C864:C911,R898,B864:B911,R896)+COUNTIFS(E864:E911,R898,D864:D911,R896)+COUNTIFS(G864:G911,R898,F864:F911,R896)+COUNTIFS(I864:I911,R898,H864:H911,R896)+COUNTIFS(K864:K911,R898,J864:J911,R896)+COUNTIFS(M864:M911,R898,L864:L911,R896)+COUNTIFS(O864:O911,R898,N864:N911,R896))*0.5</f>
        <v>0</v>
      </c>
      <c r="V898" s="89">
        <f>(COUNTIFS(AI864:AI911,R896,AJ864:AJ911,R891)+COUNTIFS(AK864:AK911,R896,AL864:AL911,R891)+COUNTIFS(AM864:AM911,R896,AN864:AN911,R891)+COUNTIFS(AO864:AO911,R896,AP864:AP911,R891)+COUNTIFS(AQ864:AQ911,R896,AR864:AR911,R891)+COUNTIFS(AS864:AS911,R896,AT864:AT911,R891)+COUNTIFS(AU864:AU911,R896,AV864:AV911,R891))*0.5</f>
        <v>0</v>
      </c>
      <c r="W898" s="90" t="str">
        <f>IF(AH860="","-",IF(V898=0,U898,IFERROR((U898/V898)-1,"-")))</f>
        <v>-</v>
      </c>
      <c r="X898" s="201">
        <f t="shared" si="499"/>
        <v>0</v>
      </c>
      <c r="Y898" s="271"/>
      <c r="Z898" s="272"/>
      <c r="AA898" s="272"/>
      <c r="AB898" s="272"/>
      <c r="AC898" s="272"/>
      <c r="AD898" s="272"/>
      <c r="AE898" s="272"/>
      <c r="AF898" s="273"/>
      <c r="AH898" s="136">
        <v>0.70833333333335602</v>
      </c>
      <c r="AI898" s="136" t="str">
        <f>IF(AH860="","",IF(B898="","",B898))</f>
        <v/>
      </c>
      <c r="AJ898" s="136" t="str">
        <f>IF(AH860="","",IF(C898="","",C898))</f>
        <v/>
      </c>
      <c r="AK898" s="136" t="str">
        <f>IF(AH860="","",IF(D898="","",D898))</f>
        <v/>
      </c>
      <c r="AL898" s="136" t="str">
        <f>IF(AH860="","",IF(E898="","",E898))</f>
        <v/>
      </c>
      <c r="AM898" s="136" t="str">
        <f>IF(AH860="","",IF(F898="","",F898))</f>
        <v/>
      </c>
      <c r="AN898" s="136" t="str">
        <f>IF(AH860="","",IF(G898="","",G898))</f>
        <v/>
      </c>
      <c r="AO898" s="136" t="str">
        <f>IF(AH860="","",IF(H898="","",H898))</f>
        <v/>
      </c>
      <c r="AP898" s="136" t="str">
        <f>IF(AH860="","",IF(I898="","",I898))</f>
        <v/>
      </c>
      <c r="AQ898" s="136" t="str">
        <f>IF(AH860="","",IF(J898="","",J898))</f>
        <v/>
      </c>
      <c r="AR898" s="136" t="str">
        <f>IF(AH860="","",IF(K898="","",K898))</f>
        <v/>
      </c>
      <c r="AS898" s="136" t="str">
        <f>IF(AH860="","",IF(L898="","",L898))</f>
        <v/>
      </c>
      <c r="AT898" s="136" t="str">
        <f>IF(AH860="","",IF(M898="","",M898))</f>
        <v/>
      </c>
      <c r="AU898" s="136" t="str">
        <f>IF(AH860="","",IF(N898="","",N898))</f>
        <v/>
      </c>
      <c r="AV898" s="136" t="str">
        <f>IF(AH860="","",IF(O898="","",O898))</f>
        <v/>
      </c>
      <c r="AX898" s="136" t="str">
        <f>IF(AI860="","",IF(B898="","",B898))</f>
        <v/>
      </c>
      <c r="AY898" s="136" t="str">
        <f>IF(AI860="","",IF(C898="","",C898))</f>
        <v/>
      </c>
      <c r="AZ898" s="136" t="str">
        <f>IF(AI860="","",IF(D898="","",D898))</f>
        <v/>
      </c>
      <c r="BA898" s="136" t="str">
        <f>IF(AI860="","",IF(E898="","",E898))</f>
        <v/>
      </c>
      <c r="BB898" s="136" t="str">
        <f>IF(AI860="","",IF(F898="","",F898))</f>
        <v/>
      </c>
      <c r="BC898" s="136" t="str">
        <f>IF(AI860="","",IF(G898="","",G898))</f>
        <v/>
      </c>
      <c r="BD898" s="136" t="str">
        <f>IF(AI860="","",IF(H898="","",H898))</f>
        <v/>
      </c>
      <c r="BE898" s="136" t="str">
        <f>IF(AI860="","",IF(I898="","",I898))</f>
        <v/>
      </c>
      <c r="BF898" s="136" t="str">
        <f>IF(AI860="","",IF(J898="","",J898))</f>
        <v/>
      </c>
      <c r="BG898" s="136" t="str">
        <f>IF(AI860="","",IF(K898="","",K898))</f>
        <v/>
      </c>
      <c r="BH898" s="136" t="str">
        <f>IF(AI860="","",IF(L898="","",L898))</f>
        <v/>
      </c>
      <c r="BI898" s="136" t="str">
        <f>IF(AI860="","",IF(M898="","",M898))</f>
        <v/>
      </c>
      <c r="BJ898" s="136" t="str">
        <f>IF(AI860="","",IF(N898="","",N898))</f>
        <v/>
      </c>
      <c r="BK898" s="136" t="str">
        <f>IF(AI860="","",IF(O898="","",O898))</f>
        <v/>
      </c>
      <c r="BM898" s="136" t="str">
        <f t="shared" si="508"/>
        <v>AT</v>
      </c>
      <c r="BN898" s="136" t="str">
        <f t="shared" si="494"/>
        <v>Aulas Teóricas</v>
      </c>
      <c r="BO898" s="136" t="str">
        <f t="shared" si="494"/>
        <v>CDI</v>
      </c>
      <c r="BP898" s="136">
        <f>(COUNTIFS(AX864:AX911,BM898,AY864:AY911,BO898)+COUNTIFS(AZ864:AZ911,BM898,BA864:BA911,BO898)+COUNTIFS(BB864:BB911,BM898,BC864:BC911,BO898)+COUNTIFS(BD864:BD911,BM898,BE864:BE911,BO898)+COUNTIFS(BF864:BF911,BM898,BG864:BG911,BO898)+COUNTIFS(BH864:BH911,BM898,BI864:BI911,BO898)+COUNTIFS(BJ864:BJ911,BM898,BK864:BK911,BO898))*0.5</f>
        <v>0</v>
      </c>
      <c r="BQ898" s="136" t="str">
        <f t="shared" si="495"/>
        <v>Aulas Teóricas</v>
      </c>
      <c r="BR898" s="136" t="str">
        <f t="shared" si="495"/>
        <v>CDI</v>
      </c>
      <c r="BS898" s="136" t="str">
        <f t="shared" si="496"/>
        <v>Aulas Teóricas</v>
      </c>
      <c r="BT898" s="136">
        <f t="shared" si="502"/>
        <v>24</v>
      </c>
      <c r="BU898" s="136">
        <f t="shared" si="503"/>
        <v>24</v>
      </c>
      <c r="CA898" s="136">
        <f>'INFO BASE'!L976</f>
        <v>0</v>
      </c>
      <c r="CB898" s="136">
        <f>'INFO BASE'!M976</f>
        <v>0</v>
      </c>
      <c r="CR898" s="177">
        <f t="shared" si="484"/>
        <v>1</v>
      </c>
      <c r="CS898" s="177">
        <f t="shared" si="485"/>
        <v>1</v>
      </c>
      <c r="CT898" s="177">
        <f t="shared" si="484"/>
        <v>1</v>
      </c>
      <c r="CU898" s="177">
        <f t="shared" si="486"/>
        <v>1</v>
      </c>
      <c r="CV898" s="177">
        <f t="shared" si="484"/>
        <v>1</v>
      </c>
      <c r="CW898" s="177">
        <f t="shared" si="487"/>
        <v>1</v>
      </c>
      <c r="CX898" s="177">
        <f t="shared" si="484"/>
        <v>1</v>
      </c>
      <c r="CY898" s="177">
        <f t="shared" si="488"/>
        <v>1</v>
      </c>
      <c r="CZ898" s="177">
        <f t="shared" si="484"/>
        <v>1</v>
      </c>
      <c r="DA898" s="177">
        <f t="shared" si="489"/>
        <v>1</v>
      </c>
      <c r="DB898" s="177">
        <f t="shared" si="484"/>
        <v>1</v>
      </c>
      <c r="DC898" s="177">
        <f t="shared" si="490"/>
        <v>1</v>
      </c>
      <c r="DD898" s="177">
        <f t="shared" si="491"/>
        <v>1</v>
      </c>
      <c r="DE898" s="177">
        <f t="shared" si="492"/>
        <v>1</v>
      </c>
    </row>
    <row r="899" spans="1:120" ht="18" customHeight="1" x14ac:dyDescent="0.3">
      <c r="A899" s="81">
        <v>0.72916666666669006</v>
      </c>
      <c r="B899" s="153"/>
      <c r="C899" s="130"/>
      <c r="D899" s="135"/>
      <c r="E899" s="130"/>
      <c r="F899" s="135"/>
      <c r="G899" s="130"/>
      <c r="H899" s="135"/>
      <c r="I899" s="130"/>
      <c r="J899" s="135"/>
      <c r="K899" s="130"/>
      <c r="L899" s="135"/>
      <c r="M899" s="130"/>
      <c r="N899" s="135"/>
      <c r="O899" s="154"/>
      <c r="P899" s="6">
        <v>0</v>
      </c>
      <c r="Q899" s="123" t="str">
        <f t="shared" si="509"/>
        <v>Aulas Teóricas</v>
      </c>
      <c r="R899" s="105" t="str">
        <f t="shared" si="501"/>
        <v>IAC</v>
      </c>
      <c r="S899" s="88">
        <f t="shared" si="498"/>
        <v>-1</v>
      </c>
      <c r="T899" s="106">
        <f>IF(VLOOKUP(Q899,'INFO BASE'!$B$40:$I$54,IF(R899='INFO BASE'!$B$32,3,IF(R899='INFO BASE'!$B$33,4,IF(R899='INFO BASE'!$B$34,5,IF(R899='INFO BASE'!$B$35,6,IF(R899='INFO BASE'!$B$36,7,IF(R899='INFO BASE'!$B$37,8,2)))))),0)=0,"",VLOOKUP(Q899,'INFO BASE'!$B$40:$I$54,IF(R899='INFO BASE'!$B$32,3,IF(R899='INFO BASE'!$B$33,4,IF(R899='INFO BASE'!$B$34,5,IF(R899='INFO BASE'!$B$35,6,IF(R899='INFO BASE'!$B$36,7,IF(R899='INFO BASE'!$B$37,8,2)))))),0))</f>
        <v>3</v>
      </c>
      <c r="U899" s="106">
        <f>(COUNTIFS(C864:C911,R899,B864:B911,R896)+COUNTIFS(E864:E911,R899,D864:D911,R896)+COUNTIFS(G864:G911,R899,F864:F911,R896)+COUNTIFS(I864:I911,R899,H864:H911,R896)+COUNTIFS(K864:K911,R899,J864:J911,R896)+COUNTIFS(M864:M911,R899,L864:L911,R896)+COUNTIFS(O864:O911,R899,N864:N911,R896))*0.5</f>
        <v>0</v>
      </c>
      <c r="V899" s="89">
        <f>(COUNTIFS(AI864:AI911,R896,AJ864:AJ911,R892)+COUNTIFS(AK864:AK911,R896,AL864:AL911,R892)+COUNTIFS(AM864:AM911,R896,AN864:AN911,R892)+COUNTIFS(AO864:AO911,R896,AP864:AP911,R892)+COUNTIFS(AQ864:AQ911,R896,AR864:AR911,R892)+COUNTIFS(AS864:AS911,R896,AT864:AT911,R892)+COUNTIFS(AU864:AU911,R896,AV864:AV911,R892))*0.5</f>
        <v>0</v>
      </c>
      <c r="W899" s="90" t="str">
        <f>IF(AH860="","-",IF(V899=0,U899,IFERROR((U899/V899)-1,"-")))</f>
        <v>-</v>
      </c>
      <c r="X899" s="201">
        <f t="shared" si="499"/>
        <v>0</v>
      </c>
      <c r="Y899" s="271"/>
      <c r="Z899" s="272"/>
      <c r="AA899" s="272"/>
      <c r="AB899" s="272"/>
      <c r="AC899" s="272"/>
      <c r="AD899" s="272"/>
      <c r="AE899" s="272"/>
      <c r="AF899" s="273"/>
      <c r="AH899" s="136">
        <v>0.72916666666669006</v>
      </c>
      <c r="AI899" s="136" t="str">
        <f>IF(AH860="","",IF(B899="","",B899))</f>
        <v/>
      </c>
      <c r="AJ899" s="136" t="str">
        <f>IF(AH860="","",IF(C899="","",C899))</f>
        <v/>
      </c>
      <c r="AK899" s="136" t="str">
        <f>IF(AH860="","",IF(D899="","",D899))</f>
        <v/>
      </c>
      <c r="AL899" s="136" t="str">
        <f>IF(AH860="","",IF(E899="","",E899))</f>
        <v/>
      </c>
      <c r="AM899" s="136" t="str">
        <f>IF(AH860="","",IF(F899="","",F899))</f>
        <v/>
      </c>
      <c r="AN899" s="136" t="str">
        <f>IF(AH860="","",IF(G899="","",G899))</f>
        <v/>
      </c>
      <c r="AO899" s="136" t="str">
        <f>IF(AH860="","",IF(H899="","",H899))</f>
        <v/>
      </c>
      <c r="AP899" s="136" t="str">
        <f>IF(AH860="","",IF(I899="","",I899))</f>
        <v/>
      </c>
      <c r="AQ899" s="136" t="str">
        <f>IF(AH860="","",IF(J899="","",J899))</f>
        <v/>
      </c>
      <c r="AR899" s="136" t="str">
        <f>IF(AH860="","",IF(K899="","",K899))</f>
        <v/>
      </c>
      <c r="AS899" s="136" t="str">
        <f>IF(AH860="","",IF(L899="","",L899))</f>
        <v/>
      </c>
      <c r="AT899" s="136" t="str">
        <f>IF(AH860="","",IF(M899="","",M899))</f>
        <v/>
      </c>
      <c r="AU899" s="136" t="str">
        <f>IF(AH860="","",IF(N899="","",N899))</f>
        <v/>
      </c>
      <c r="AV899" s="136" t="str">
        <f>IF(AH860="","",IF(O899="","",O899))</f>
        <v/>
      </c>
      <c r="AX899" s="136" t="str">
        <f>IF(AI860="","",IF(B899="","",B899))</f>
        <v/>
      </c>
      <c r="AY899" s="136" t="str">
        <f>IF(AI860="","",IF(C899="","",C899))</f>
        <v/>
      </c>
      <c r="AZ899" s="136" t="str">
        <f>IF(AI860="","",IF(D899="","",D899))</f>
        <v/>
      </c>
      <c r="BA899" s="136" t="str">
        <f>IF(AI860="","",IF(E899="","",E899))</f>
        <v/>
      </c>
      <c r="BB899" s="136" t="str">
        <f>IF(AI860="","",IF(F899="","",F899))</f>
        <v/>
      </c>
      <c r="BC899" s="136" t="str">
        <f>IF(AI860="","",IF(G899="","",G899))</f>
        <v/>
      </c>
      <c r="BD899" s="136" t="str">
        <f>IF(AI860="","",IF(H899="","",H899))</f>
        <v/>
      </c>
      <c r="BE899" s="136" t="str">
        <f>IF(AI860="","",IF(I899="","",I899))</f>
        <v/>
      </c>
      <c r="BF899" s="136" t="str">
        <f>IF(AI860="","",IF(J899="","",J899))</f>
        <v/>
      </c>
      <c r="BG899" s="136" t="str">
        <f>IF(AI860="","",IF(K899="","",K899))</f>
        <v/>
      </c>
      <c r="BH899" s="136" t="str">
        <f>IF(AI860="","",IF(L899="","",L899))</f>
        <v/>
      </c>
      <c r="BI899" s="136" t="str">
        <f>IF(AI860="","",IF(M899="","",M899))</f>
        <v/>
      </c>
      <c r="BJ899" s="136" t="str">
        <f>IF(AI860="","",IF(N899="","",N899))</f>
        <v/>
      </c>
      <c r="BK899" s="136" t="str">
        <f>IF(AI860="","",IF(O899="","",O899))</f>
        <v/>
      </c>
      <c r="BM899" s="136" t="str">
        <f t="shared" si="508"/>
        <v>AT</v>
      </c>
      <c r="BN899" s="136" t="str">
        <f t="shared" si="494"/>
        <v>Aulas Teóricas</v>
      </c>
      <c r="BO899" s="136" t="str">
        <f t="shared" si="494"/>
        <v/>
      </c>
      <c r="BP899" s="136">
        <f>(COUNTIFS(AX864:AX911,BM899,AY864:AY911,BO899)+COUNTIFS(AZ864:AZ911,BM899,BA864:BA911,BO899)+COUNTIFS(BB864:BB911,BM899,BC864:BC911,BO899)+COUNTIFS(BD864:BD911,BM899,BE864:BE911,BO899)+COUNTIFS(BF864:BF911,BM899,BG864:BG911,BO899)+COUNTIFS(BH864:BH911,BM899,BI864:BI911,BO899)+COUNTIFS(BJ864:BJ911,BM899,BK864:BK911,BO899))*0.5</f>
        <v>0</v>
      </c>
      <c r="BQ899" s="136" t="str">
        <f t="shared" si="495"/>
        <v>Aulas Teóricas</v>
      </c>
      <c r="BR899" s="136" t="str">
        <f t="shared" si="495"/>
        <v/>
      </c>
      <c r="BS899" s="136" t="str">
        <f t="shared" si="496"/>
        <v>Aulas Teóricas</v>
      </c>
      <c r="BT899" s="136">
        <f t="shared" si="502"/>
        <v>0</v>
      </c>
      <c r="BU899" s="136">
        <f t="shared" si="503"/>
        <v>0</v>
      </c>
      <c r="CA899" s="136">
        <f>'INFO BASE'!L977</f>
        <v>0</v>
      </c>
      <c r="CB899" s="136">
        <f>'INFO BASE'!M977</f>
        <v>0</v>
      </c>
      <c r="CR899" s="177">
        <f t="shared" si="484"/>
        <v>1</v>
      </c>
      <c r="CS899" s="177">
        <f t="shared" si="485"/>
        <v>1</v>
      </c>
      <c r="CT899" s="177">
        <f t="shared" si="484"/>
        <v>1</v>
      </c>
      <c r="CU899" s="177">
        <f t="shared" si="486"/>
        <v>1</v>
      </c>
      <c r="CV899" s="177">
        <f t="shared" si="484"/>
        <v>1</v>
      </c>
      <c r="CW899" s="177">
        <f t="shared" si="487"/>
        <v>1</v>
      </c>
      <c r="CX899" s="177">
        <f t="shared" si="484"/>
        <v>1</v>
      </c>
      <c r="CY899" s="177">
        <f t="shared" si="488"/>
        <v>1</v>
      </c>
      <c r="CZ899" s="177">
        <f t="shared" si="484"/>
        <v>1</v>
      </c>
      <c r="DA899" s="177">
        <f t="shared" si="489"/>
        <v>1</v>
      </c>
      <c r="DB899" s="177">
        <f t="shared" si="484"/>
        <v>1</v>
      </c>
      <c r="DC899" s="177">
        <f t="shared" si="490"/>
        <v>1</v>
      </c>
      <c r="DD899" s="177">
        <f t="shared" si="491"/>
        <v>1</v>
      </c>
      <c r="DE899" s="177">
        <f t="shared" si="492"/>
        <v>1</v>
      </c>
    </row>
    <row r="900" spans="1:120" ht="18" customHeight="1" x14ac:dyDescent="0.3">
      <c r="A900" s="81">
        <v>0.75000000000002398</v>
      </c>
      <c r="B900" s="153"/>
      <c r="C900" s="130"/>
      <c r="D900" s="135"/>
      <c r="E900" s="130"/>
      <c r="F900" s="135"/>
      <c r="G900" s="130"/>
      <c r="H900" s="135"/>
      <c r="I900" s="130"/>
      <c r="J900" s="135"/>
      <c r="K900" s="130"/>
      <c r="L900" s="135"/>
      <c r="M900" s="130"/>
      <c r="N900" s="135"/>
      <c r="O900" s="154"/>
      <c r="P900" s="6">
        <v>0</v>
      </c>
      <c r="Q900" s="122" t="str">
        <f t="shared" si="509"/>
        <v>Aulas Teóricas</v>
      </c>
      <c r="R900" s="105" t="str">
        <f t="shared" si="501"/>
        <v>AL</v>
      </c>
      <c r="S900" s="88">
        <f t="shared" si="498"/>
        <v>-1</v>
      </c>
      <c r="T900" s="106">
        <f>IF(VLOOKUP(Q900,'INFO BASE'!$B$40:$I$54,IF(R900='INFO BASE'!$B$32,3,IF(R900='INFO BASE'!$B$33,4,IF(R900='INFO BASE'!$B$34,5,IF(R900='INFO BASE'!$B$35,6,IF(R900='INFO BASE'!$B$36,7,IF(R900='INFO BASE'!$B$37,8,2)))))),0)=0,"",VLOOKUP(Q900,'INFO BASE'!$B$40:$I$54,IF(R900='INFO BASE'!$B$32,3,IF(R900='INFO BASE'!$B$33,4,IF(R900='INFO BASE'!$B$34,5,IF(R900='INFO BASE'!$B$35,6,IF(R900='INFO BASE'!$B$36,7,IF(R900='INFO BASE'!$B$37,8,2)))))),0))</f>
        <v>3</v>
      </c>
      <c r="U900" s="106">
        <f>(COUNTIFS(C864:C911,R900,B864:B911,R896)+COUNTIFS(E864:E911,R900,D864:D911,R896)+COUNTIFS(G864:G911,R900,F864:F911,R896)+COUNTIFS(I864:I911,R900,H864:H911,R896)+COUNTIFS(K864:K911,R900,J864:J911,R896)+COUNTIFS(M864:M911,R900,L864:L911,R896)+COUNTIFS(O864:O911,R900,N864:N911,R896))*0.5</f>
        <v>0</v>
      </c>
      <c r="V900" s="89">
        <f>(COUNTIFS(AI864:AI911,R896,AJ864:AJ911,R893)+COUNTIFS(AK864:AK911,R896,AL864:AL911,R893)+COUNTIFS(AM864:AM911,R896,AN864:AN911,R893)+COUNTIFS(AO864:AO911,R896,AP864:AP911,R893)+COUNTIFS(AQ864:AQ911,R896,AR864:AR911,R893)+COUNTIFS(AS864:AS911,R896,AT864:AT911,R893)+COUNTIFS(AU864:AU911,R896,AV864:AV911,R893))*0.5</f>
        <v>0</v>
      </c>
      <c r="W900" s="90" t="str">
        <f>IF(AH860="","-",IF(V900=0,U900,IFERROR((U900/V900)-1,"-")))</f>
        <v>-</v>
      </c>
      <c r="X900" s="201">
        <f t="shared" si="499"/>
        <v>0</v>
      </c>
      <c r="Y900" s="271"/>
      <c r="Z900" s="272"/>
      <c r="AA900" s="272"/>
      <c r="AB900" s="272"/>
      <c r="AC900" s="272"/>
      <c r="AD900" s="272"/>
      <c r="AE900" s="272"/>
      <c r="AF900" s="273"/>
      <c r="AH900" s="136">
        <v>0.75000000000002398</v>
      </c>
      <c r="AI900" s="136" t="str">
        <f>IF(AH860="","",IF(B900="","",B900))</f>
        <v/>
      </c>
      <c r="AJ900" s="136" t="str">
        <f>IF(AH860="","",IF(C900="","",C900))</f>
        <v/>
      </c>
      <c r="AK900" s="136" t="str">
        <f>IF(AH860="","",IF(D900="","",D900))</f>
        <v/>
      </c>
      <c r="AL900" s="136" t="str">
        <f>IF(AH860="","",IF(E900="","",E900))</f>
        <v/>
      </c>
      <c r="AM900" s="136" t="str">
        <f>IF(AH860="","",IF(F900="","",F900))</f>
        <v/>
      </c>
      <c r="AN900" s="136" t="str">
        <f>IF(AH860="","",IF(G900="","",G900))</f>
        <v/>
      </c>
      <c r="AO900" s="136" t="str">
        <f>IF(AH860="","",IF(H900="","",H900))</f>
        <v/>
      </c>
      <c r="AP900" s="136" t="str">
        <f>IF(AH860="","",IF(I900="","",I900))</f>
        <v/>
      </c>
      <c r="AQ900" s="136" t="str">
        <f>IF(AH860="","",IF(J900="","",J900))</f>
        <v/>
      </c>
      <c r="AR900" s="136" t="str">
        <f>IF(AH860="","",IF(K900="","",K900))</f>
        <v/>
      </c>
      <c r="AS900" s="136" t="str">
        <f>IF(AH860="","",IF(L900="","",L900))</f>
        <v/>
      </c>
      <c r="AT900" s="136" t="str">
        <f>IF(AH860="","",IF(M900="","",M900))</f>
        <v/>
      </c>
      <c r="AU900" s="136" t="str">
        <f>IF(AH860="","",IF(N900="","",N900))</f>
        <v/>
      </c>
      <c r="AV900" s="136" t="str">
        <f>IF(AH860="","",IF(O900="","",O900))</f>
        <v/>
      </c>
      <c r="AX900" s="136" t="str">
        <f>IF(AI860="","",IF(B900="","",B900))</f>
        <v/>
      </c>
      <c r="AY900" s="136" t="str">
        <f>IF(AI860="","",IF(C900="","",C900))</f>
        <v/>
      </c>
      <c r="AZ900" s="136" t="str">
        <f>IF(AI860="","",IF(D900="","",D900))</f>
        <v/>
      </c>
      <c r="BA900" s="136" t="str">
        <f>IF(AI860="","",IF(E900="","",E900))</f>
        <v/>
      </c>
      <c r="BB900" s="136" t="str">
        <f>IF(AI860="","",IF(F900="","",F900))</f>
        <v/>
      </c>
      <c r="BC900" s="136" t="str">
        <f>IF(AI860="","",IF(G900="","",G900))</f>
        <v/>
      </c>
      <c r="BD900" s="136" t="str">
        <f>IF(AI860="","",IF(H900="","",H900))</f>
        <v/>
      </c>
      <c r="BE900" s="136" t="str">
        <f>IF(AI860="","",IF(I900="","",I900))</f>
        <v/>
      </c>
      <c r="BF900" s="136" t="str">
        <f>IF(AI860="","",IF(J900="","",J900))</f>
        <v/>
      </c>
      <c r="BG900" s="136" t="str">
        <f>IF(AI860="","",IF(K900="","",K900))</f>
        <v/>
      </c>
      <c r="BH900" s="136" t="str">
        <f>IF(AI860="","",IF(L900="","",L900))</f>
        <v/>
      </c>
      <c r="BI900" s="136" t="str">
        <f>IF(AI860="","",IF(M900="","",M900))</f>
        <v/>
      </c>
      <c r="BJ900" s="136" t="str">
        <f>IF(AI860="","",IF(N900="","",N900))</f>
        <v/>
      </c>
      <c r="BK900" s="136" t="str">
        <f>IF(AI860="","",IF(O900="","",O900))</f>
        <v/>
      </c>
      <c r="BN900" s="136" t="str">
        <f t="shared" si="494"/>
        <v>Aulas Práticas</v>
      </c>
      <c r="BO900" s="136" t="str">
        <f t="shared" si="494"/>
        <v>APA</v>
      </c>
      <c r="BP900" s="136">
        <f>IF(BO900="","",COUNTIFS(AX864:BK911,BO900)*0.5)</f>
        <v>0</v>
      </c>
      <c r="BQ900" s="136" t="str">
        <f t="shared" si="495"/>
        <v>Aulas Práticas</v>
      </c>
      <c r="BR900" s="136" t="str">
        <f t="shared" si="495"/>
        <v>APA</v>
      </c>
      <c r="BS900" s="136" t="str">
        <f t="shared" si="496"/>
        <v>Aulas Práticas</v>
      </c>
      <c r="BT900" s="136">
        <f t="shared" si="502"/>
        <v>0</v>
      </c>
      <c r="BU900" s="136">
        <f t="shared" si="503"/>
        <v>0</v>
      </c>
      <c r="CA900" s="136">
        <f>'INFO BASE'!L978</f>
        <v>0</v>
      </c>
      <c r="CB900" s="136">
        <f>'INFO BASE'!M978</f>
        <v>0</v>
      </c>
      <c r="CR900" s="177">
        <f t="shared" si="484"/>
        <v>1</v>
      </c>
      <c r="CS900" s="177">
        <f t="shared" si="485"/>
        <v>1</v>
      </c>
      <c r="CT900" s="177">
        <f t="shared" si="484"/>
        <v>1</v>
      </c>
      <c r="CU900" s="177">
        <f t="shared" si="486"/>
        <v>1</v>
      </c>
      <c r="CV900" s="177">
        <f t="shared" si="484"/>
        <v>1</v>
      </c>
      <c r="CW900" s="177">
        <f t="shared" si="487"/>
        <v>1</v>
      </c>
      <c r="CX900" s="177">
        <f t="shared" si="484"/>
        <v>1</v>
      </c>
      <c r="CY900" s="177">
        <f t="shared" si="488"/>
        <v>1</v>
      </c>
      <c r="CZ900" s="177">
        <f t="shared" si="484"/>
        <v>1</v>
      </c>
      <c r="DA900" s="177">
        <f t="shared" si="489"/>
        <v>1</v>
      </c>
      <c r="DB900" s="177">
        <f t="shared" si="484"/>
        <v>1</v>
      </c>
      <c r="DC900" s="177">
        <f t="shared" si="490"/>
        <v>1</v>
      </c>
      <c r="DD900" s="177">
        <f t="shared" si="491"/>
        <v>1</v>
      </c>
      <c r="DE900" s="177">
        <f t="shared" si="492"/>
        <v>1</v>
      </c>
    </row>
    <row r="901" spans="1:120" ht="18" customHeight="1" x14ac:dyDescent="0.3">
      <c r="A901" s="81">
        <v>0.77083333333335802</v>
      </c>
      <c r="B901" s="153"/>
      <c r="C901" s="130"/>
      <c r="D901" s="135"/>
      <c r="E901" s="130"/>
      <c r="F901" s="135"/>
      <c r="G901" s="130"/>
      <c r="H901" s="135"/>
      <c r="I901" s="130"/>
      <c r="J901" s="135"/>
      <c r="K901" s="130"/>
      <c r="L901" s="135"/>
      <c r="M901" s="130"/>
      <c r="N901" s="135"/>
      <c r="O901" s="154"/>
      <c r="P901" s="6">
        <v>0</v>
      </c>
      <c r="Q901" s="122" t="str">
        <f t="shared" si="509"/>
        <v>Aulas Teóricas</v>
      </c>
      <c r="R901" s="105" t="str">
        <f t="shared" si="501"/>
        <v>CDI</v>
      </c>
      <c r="S901" s="88">
        <f t="shared" si="498"/>
        <v>-1</v>
      </c>
      <c r="T901" s="106">
        <f>IF(VLOOKUP(Q901,'INFO BASE'!$B$40:$I$54,IF(R901='INFO BASE'!$B$32,3,IF(R901='INFO BASE'!$B$33,4,IF(R901='INFO BASE'!$B$34,5,IF(R901='INFO BASE'!$B$35,6,IF(R901='INFO BASE'!$B$36,7,IF(R901='INFO BASE'!$B$37,8,2)))))),0)=0,"",VLOOKUP(Q901,'INFO BASE'!$B$40:$I$54,IF(R901='INFO BASE'!$B$32,3,IF(R901='INFO BASE'!$B$33,4,IF(R901='INFO BASE'!$B$34,5,IF(R901='INFO BASE'!$B$35,6,IF(R901='INFO BASE'!$B$36,7,IF(R901='INFO BASE'!$B$37,8,2)))))),0))</f>
        <v>3</v>
      </c>
      <c r="U901" s="106">
        <f>(COUNTIFS(C864:C911,R901,B864:B911,R896)+COUNTIFS(E864:E911,R901,D864:D911,R896)+COUNTIFS(G864:G911,R901,F864:F911,R896)+COUNTIFS(I864:I911,R901,H864:H911,R896)+COUNTIFS(K864:K911,R901,J864:J911,R896)+COUNTIFS(M864:M911,R901,L864:L911,R896)+COUNTIFS(O864:O911,R901,N864:N911,R896))*0.5</f>
        <v>0</v>
      </c>
      <c r="V901" s="89">
        <f>(COUNTIFS(AI864:AI911,R896,AJ864:AJ911,R894)+COUNTIFS(AK864:AK911,R896,AL864:AL911,R894)+COUNTIFS(AM864:AM911,R896,AN864:AN911,R894)+COUNTIFS(AO864:AO911,R896,AP864:AP911,R894)+COUNTIFS(AQ864:AQ911,R896,AR864:AR911,R894)+COUNTIFS(AS864:AS911,R896,AT864:AT911,R894)+COUNTIFS(AU864:AU911,R896,AV864:AV911,R894))*0.5</f>
        <v>0</v>
      </c>
      <c r="W901" s="90" t="str">
        <f>IF(AH860="","-",IF(V901=0,U901,IFERROR((U901/V901)-1,"-")))</f>
        <v>-</v>
      </c>
      <c r="X901" s="201">
        <f t="shared" si="499"/>
        <v>0</v>
      </c>
      <c r="Y901" s="271"/>
      <c r="Z901" s="272"/>
      <c r="AA901" s="272"/>
      <c r="AB901" s="272"/>
      <c r="AC901" s="272"/>
      <c r="AD901" s="272"/>
      <c r="AE901" s="272"/>
      <c r="AF901" s="273"/>
      <c r="AH901" s="136">
        <v>0.77083333333335802</v>
      </c>
      <c r="AI901" s="136" t="str">
        <f>IF(AH860="","",IF(B901="","",B901))</f>
        <v/>
      </c>
      <c r="AJ901" s="136" t="str">
        <f>IF(AH860="","",IF(C901="","",C901))</f>
        <v/>
      </c>
      <c r="AK901" s="136" t="str">
        <f>IF(AH860="","",IF(D901="","",D901))</f>
        <v/>
      </c>
      <c r="AL901" s="136" t="str">
        <f>IF(AH860="","",IF(E901="","",E901))</f>
        <v/>
      </c>
      <c r="AM901" s="136" t="str">
        <f>IF(AH860="","",IF(F901="","",F901))</f>
        <v/>
      </c>
      <c r="AN901" s="136" t="str">
        <f>IF(AH860="","",IF(G901="","",G901))</f>
        <v/>
      </c>
      <c r="AO901" s="136" t="str">
        <f>IF(AH860="","",IF(H901="","",H901))</f>
        <v/>
      </c>
      <c r="AP901" s="136" t="str">
        <f>IF(AH860="","",IF(I901="","",I901))</f>
        <v/>
      </c>
      <c r="AQ901" s="136" t="str">
        <f>IF(AH860="","",IF(J901="","",J901))</f>
        <v/>
      </c>
      <c r="AR901" s="136" t="str">
        <f>IF(AH860="","",IF(K901="","",K901))</f>
        <v/>
      </c>
      <c r="AS901" s="136" t="str">
        <f>IF(AH860="","",IF(L901="","",L901))</f>
        <v/>
      </c>
      <c r="AT901" s="136" t="str">
        <f>IF(AH860="","",IF(M901="","",M901))</f>
        <v/>
      </c>
      <c r="AU901" s="136" t="str">
        <f>IF(AH860="","",IF(N901="","",N901))</f>
        <v/>
      </c>
      <c r="AV901" s="136" t="str">
        <f>IF(AH860="","",IF(O901="","",O901))</f>
        <v/>
      </c>
      <c r="AX901" s="136" t="str">
        <f>IF(AI860="","",IF(B901="","",B901))</f>
        <v/>
      </c>
      <c r="AY901" s="136" t="str">
        <f>IF(AI860="","",IF(C901="","",C901))</f>
        <v/>
      </c>
      <c r="AZ901" s="136" t="str">
        <f>IF(AI860="","",IF(D901="","",D901))</f>
        <v/>
      </c>
      <c r="BA901" s="136" t="str">
        <f>IF(AI860="","",IF(E901="","",E901))</f>
        <v/>
      </c>
      <c r="BB901" s="136" t="str">
        <f>IF(AI860="","",IF(F901="","",F901))</f>
        <v/>
      </c>
      <c r="BC901" s="136" t="str">
        <f>IF(AI860="","",IF(G901="","",G901))</f>
        <v/>
      </c>
      <c r="BD901" s="136" t="str">
        <f>IF(AI860="","",IF(H901="","",H901))</f>
        <v/>
      </c>
      <c r="BE901" s="136" t="str">
        <f>IF(AI860="","",IF(I901="","",I901))</f>
        <v/>
      </c>
      <c r="BF901" s="136" t="str">
        <f>IF(AI860="","",IF(J901="","",J901))</f>
        <v/>
      </c>
      <c r="BG901" s="136" t="str">
        <f>IF(AI860="","",IF(K901="","",K901))</f>
        <v/>
      </c>
      <c r="BH901" s="136" t="str">
        <f>IF(AI860="","",IF(L901="","",L901))</f>
        <v/>
      </c>
      <c r="BI901" s="136" t="str">
        <f>IF(AI860="","",IF(M901="","",M901))</f>
        <v/>
      </c>
      <c r="BJ901" s="136" t="str">
        <f>IF(AI860="","",IF(N901="","",N901))</f>
        <v/>
      </c>
      <c r="BK901" s="136" t="str">
        <f>IF(AI860="","",IF(O901="","",O901))</f>
        <v/>
      </c>
      <c r="BN901" s="136" t="str">
        <f t="shared" si="494"/>
        <v>Aulas Problemas</v>
      </c>
      <c r="BO901" s="136" t="str">
        <f t="shared" si="494"/>
        <v>APB</v>
      </c>
      <c r="BP901" s="136">
        <f>IF(BO901="","",COUNTIFS(AX864:BK911,BO901)*0.5)</f>
        <v>0</v>
      </c>
      <c r="BQ901" s="136" t="str">
        <f t="shared" si="495"/>
        <v>Aulas Problemas</v>
      </c>
      <c r="BR901" s="136" t="str">
        <f t="shared" si="495"/>
        <v>APB</v>
      </c>
      <c r="BS901" s="136" t="str">
        <f t="shared" si="496"/>
        <v>Aulas Problemas</v>
      </c>
      <c r="BT901" s="136">
        <f t="shared" si="502"/>
        <v>36</v>
      </c>
      <c r="BU901" s="136">
        <f t="shared" si="503"/>
        <v>36</v>
      </c>
      <c r="CR901" s="177">
        <f t="shared" si="484"/>
        <v>1</v>
      </c>
      <c r="CS901" s="177">
        <f t="shared" si="485"/>
        <v>1</v>
      </c>
      <c r="CT901" s="177">
        <f t="shared" si="484"/>
        <v>1</v>
      </c>
      <c r="CU901" s="177">
        <f t="shared" si="486"/>
        <v>1</v>
      </c>
      <c r="CV901" s="177">
        <f t="shared" si="484"/>
        <v>1</v>
      </c>
      <c r="CW901" s="177">
        <f t="shared" si="487"/>
        <v>1</v>
      </c>
      <c r="CX901" s="177">
        <f t="shared" si="484"/>
        <v>1</v>
      </c>
      <c r="CY901" s="177">
        <f t="shared" si="488"/>
        <v>1</v>
      </c>
      <c r="CZ901" s="177">
        <f t="shared" si="484"/>
        <v>1</v>
      </c>
      <c r="DA901" s="177">
        <f t="shared" si="489"/>
        <v>1</v>
      </c>
      <c r="DB901" s="177">
        <f t="shared" si="484"/>
        <v>1</v>
      </c>
      <c r="DC901" s="177">
        <f t="shared" si="490"/>
        <v>1</v>
      </c>
      <c r="DD901" s="177">
        <f t="shared" si="491"/>
        <v>1</v>
      </c>
      <c r="DE901" s="177">
        <f t="shared" si="492"/>
        <v>1</v>
      </c>
    </row>
    <row r="902" spans="1:120" ht="18" customHeight="1" thickBot="1" x14ac:dyDescent="0.35">
      <c r="A902" s="81">
        <v>0.79166666666669205</v>
      </c>
      <c r="B902" s="153"/>
      <c r="C902" s="130"/>
      <c r="D902" s="135"/>
      <c r="E902" s="130"/>
      <c r="F902" s="135"/>
      <c r="G902" s="130"/>
      <c r="H902" s="135"/>
      <c r="I902" s="130"/>
      <c r="J902" s="135"/>
      <c r="K902" s="130"/>
      <c r="L902" s="135"/>
      <c r="M902" s="130"/>
      <c r="N902" s="135"/>
      <c r="O902" s="154"/>
      <c r="P902" s="6">
        <v>0</v>
      </c>
      <c r="Q902" s="124" t="str">
        <f t="shared" si="509"/>
        <v>Aulas Teóricas</v>
      </c>
      <c r="R902" s="107" t="str">
        <f t="shared" si="501"/>
        <v/>
      </c>
      <c r="S902" s="94" t="str">
        <f t="shared" si="498"/>
        <v>-</v>
      </c>
      <c r="T902" s="108" t="str">
        <f>IF(VLOOKUP(Q902,'INFO BASE'!$B$40:$I$54,IF(R902='INFO BASE'!$B$32,3,IF(R902='INFO BASE'!$B$33,4,IF(R902='INFO BASE'!$B$34,5,IF(R902='INFO BASE'!$B$35,6,IF(R902='INFO BASE'!$B$36,7,IF(R902='INFO BASE'!$B$37,8,2)))))),0)=0,"",VLOOKUP(Q902,'INFO BASE'!$B$40:$I$54,IF(R902='INFO BASE'!$B$32,3,IF(R902='INFO BASE'!$B$33,4,IF(R902='INFO BASE'!$B$34,5,IF(R902='INFO BASE'!$B$35,6,IF(R902='INFO BASE'!$B$36,7,IF(R902='INFO BASE'!$B$37,8,2)))))),0))</f>
        <v/>
      </c>
      <c r="U902" s="108">
        <f>(COUNTIFS(C864:C911,R902,B864:B911,R896)+COUNTIFS(E864:E911,R902,D864:D911,R896)+COUNTIFS(G864:G911,R902,F864:F911,R896)+COUNTIFS(I864:I911,R902,H864:H911,R896)+COUNTIFS(K864:K911,R902,J864:J911,R896)+COUNTIFS(M864:M911,R902,L864:L911,R896)+COUNTIFS(O864:O911,R902,N864:N911,R896))*0.5</f>
        <v>0</v>
      </c>
      <c r="V902" s="95">
        <f>(COUNTIFS(AI864:AI911,R896,AJ864:AJ911,R895)+COUNTIFS(AK864:AK911,R896,AL864:AL911,R895)+COUNTIFS(AM864:AM911,R896,AN864:AN911,R895)+COUNTIFS(AO864:AO911,R896,AP864:AP911,R895)+COUNTIFS(AQ864:AQ911,R896,AR864:AR911,R895)+COUNTIFS(AS864:AS911,R896,AT864:AT911,R895)+COUNTIFS(AU864:AU911,R896,AV864:AV911,R895))*0.5</f>
        <v>0</v>
      </c>
      <c r="W902" s="96" t="str">
        <f>IF(AH860="","-",IF(V902=0,U902,IFERROR((U902/V902)-1,"-")))</f>
        <v>-</v>
      </c>
      <c r="X902" s="201">
        <f t="shared" si="499"/>
        <v>0</v>
      </c>
      <c r="Y902" s="274"/>
      <c r="Z902" s="275"/>
      <c r="AA902" s="275"/>
      <c r="AB902" s="275"/>
      <c r="AC902" s="275"/>
      <c r="AD902" s="275"/>
      <c r="AE902" s="275"/>
      <c r="AF902" s="276"/>
      <c r="AH902" s="136">
        <v>0.79166666666669205</v>
      </c>
      <c r="AI902" s="136" t="str">
        <f>IF(AH860="","",IF(B902="","",B902))</f>
        <v/>
      </c>
      <c r="AJ902" s="136" t="str">
        <f>IF(AH860="","",IF(C902="","",C902))</f>
        <v/>
      </c>
      <c r="AK902" s="136" t="str">
        <f>IF(AH860="","",IF(D902="","",D902))</f>
        <v/>
      </c>
      <c r="AL902" s="136" t="str">
        <f>IF(AH860="","",IF(E902="","",E902))</f>
        <v/>
      </c>
      <c r="AM902" s="136" t="str">
        <f>IF(AH860="","",IF(F902="","",F902))</f>
        <v/>
      </c>
      <c r="AN902" s="136" t="str">
        <f>IF(AH860="","",IF(G902="","",G902))</f>
        <v/>
      </c>
      <c r="AO902" s="136" t="str">
        <f>IF(AH860="","",IF(H902="","",H902))</f>
        <v/>
      </c>
      <c r="AP902" s="136" t="str">
        <f>IF(AH860="","",IF(I902="","",I902))</f>
        <v/>
      </c>
      <c r="AQ902" s="136" t="str">
        <f>IF(AH860="","",IF(J902="","",J902))</f>
        <v/>
      </c>
      <c r="AR902" s="136" t="str">
        <f>IF(AH860="","",IF(K902="","",K902))</f>
        <v/>
      </c>
      <c r="AS902" s="136" t="str">
        <f>IF(AH860="","",IF(L902="","",L902))</f>
        <v/>
      </c>
      <c r="AT902" s="136" t="str">
        <f>IF(AH860="","",IF(M902="","",M902))</f>
        <v/>
      </c>
      <c r="AU902" s="136" t="str">
        <f>IF(AH860="","",IF(N902="","",N902))</f>
        <v/>
      </c>
      <c r="AV902" s="136" t="str">
        <f>IF(AH860="","",IF(O902="","",O902))</f>
        <v/>
      </c>
      <c r="AX902" s="136" t="str">
        <f>IF(AI860="","",IF(B902="","",B902))</f>
        <v/>
      </c>
      <c r="AY902" s="136" t="str">
        <f>IF(AI860="","",IF(C902="","",C902))</f>
        <v/>
      </c>
      <c r="AZ902" s="136" t="str">
        <f>IF(AI860="","",IF(D902="","",D902))</f>
        <v/>
      </c>
      <c r="BA902" s="136" t="str">
        <f>IF(AI860="","",IF(E902="","",E902))</f>
        <v/>
      </c>
      <c r="BB902" s="136" t="str">
        <f>IF(AI860="","",IF(F902="","",F902))</f>
        <v/>
      </c>
      <c r="BC902" s="136" t="str">
        <f>IF(AI860="","",IF(G902="","",G902))</f>
        <v/>
      </c>
      <c r="BD902" s="136" t="str">
        <f>IF(AI860="","",IF(H902="","",H902))</f>
        <v/>
      </c>
      <c r="BE902" s="136" t="str">
        <f>IF(AI860="","",IF(I902="","",I902))</f>
        <v/>
      </c>
      <c r="BF902" s="136" t="str">
        <f>IF(AI860="","",IF(J902="","",J902))</f>
        <v/>
      </c>
      <c r="BG902" s="136" t="str">
        <f>IF(AI860="","",IF(K902="","",K902))</f>
        <v/>
      </c>
      <c r="BH902" s="136" t="str">
        <f>IF(AI860="","",IF(L902="","",L902))</f>
        <v/>
      </c>
      <c r="BI902" s="136" t="str">
        <f>IF(AI860="","",IF(M902="","",M902))</f>
        <v/>
      </c>
      <c r="BJ902" s="136" t="str">
        <f>IF(AI860="","",IF(N902="","",N902))</f>
        <v/>
      </c>
      <c r="BK902" s="136" t="str">
        <f>IF(AI860="","",IF(O902="","",O902))</f>
        <v/>
      </c>
      <c r="BN902" s="136" t="str">
        <f t="shared" si="494"/>
        <v>Laboratórios</v>
      </c>
      <c r="BO902" s="136" t="str">
        <f t="shared" si="494"/>
        <v>LAB</v>
      </c>
      <c r="BP902" s="136">
        <f>IF(BO902="","",COUNTIFS(AX864:BK911,BO902)*0.5)</f>
        <v>0</v>
      </c>
      <c r="BQ902" s="136" t="str">
        <f t="shared" si="495"/>
        <v>Laboratórios</v>
      </c>
      <c r="BR902" s="136" t="str">
        <f t="shared" si="495"/>
        <v>LAB</v>
      </c>
      <c r="BS902" s="136" t="str">
        <f t="shared" si="496"/>
        <v>Laboratórios</v>
      </c>
      <c r="BT902" s="136">
        <f t="shared" si="502"/>
        <v>10.5</v>
      </c>
      <c r="BU902" s="136">
        <f t="shared" si="503"/>
        <v>10.5</v>
      </c>
      <c r="CA902" s="136">
        <f>'INFO BASE'!L979</f>
        <v>0</v>
      </c>
      <c r="CB902" s="136">
        <f>'INFO BASE'!M979</f>
        <v>0</v>
      </c>
      <c r="CR902" s="177">
        <f t="shared" si="484"/>
        <v>1</v>
      </c>
      <c r="CS902" s="177">
        <f t="shared" si="485"/>
        <v>1</v>
      </c>
      <c r="CT902" s="177">
        <f t="shared" si="484"/>
        <v>1</v>
      </c>
      <c r="CU902" s="177">
        <f t="shared" si="486"/>
        <v>1</v>
      </c>
      <c r="CV902" s="177">
        <f t="shared" si="484"/>
        <v>1</v>
      </c>
      <c r="CW902" s="177">
        <f t="shared" si="487"/>
        <v>1</v>
      </c>
      <c r="CX902" s="177">
        <f t="shared" si="484"/>
        <v>1</v>
      </c>
      <c r="CY902" s="177">
        <f t="shared" si="488"/>
        <v>1</v>
      </c>
      <c r="CZ902" s="177">
        <f t="shared" si="484"/>
        <v>1</v>
      </c>
      <c r="DA902" s="177">
        <f t="shared" si="489"/>
        <v>1</v>
      </c>
      <c r="DB902" s="177">
        <f t="shared" si="484"/>
        <v>1</v>
      </c>
      <c r="DC902" s="177">
        <f t="shared" si="490"/>
        <v>1</v>
      </c>
      <c r="DD902" s="177">
        <f t="shared" si="491"/>
        <v>1</v>
      </c>
      <c r="DE902" s="177">
        <f t="shared" si="492"/>
        <v>1</v>
      </c>
    </row>
    <row r="903" spans="1:120" ht="18" customHeight="1" x14ac:dyDescent="0.3">
      <c r="A903" s="81">
        <v>0.81250000000002598</v>
      </c>
      <c r="B903" s="153"/>
      <c r="C903" s="130"/>
      <c r="D903" s="135"/>
      <c r="E903" s="130"/>
      <c r="F903" s="135"/>
      <c r="G903" s="130"/>
      <c r="H903" s="135"/>
      <c r="I903" s="130"/>
      <c r="J903" s="135"/>
      <c r="K903" s="130"/>
      <c r="L903" s="135"/>
      <c r="M903" s="130"/>
      <c r="N903" s="135"/>
      <c r="O903" s="154"/>
      <c r="P903" s="6">
        <v>0</v>
      </c>
      <c r="Q903" s="97" t="str">
        <f>IF('INFO BASE'!$C$21="","",'INFO BASE'!$C$21)</f>
        <v>Aulas Práticas</v>
      </c>
      <c r="R903" s="82" t="str">
        <f t="shared" si="501"/>
        <v>APA</v>
      </c>
      <c r="S903" s="83" t="str">
        <f t="shared" si="498"/>
        <v>-</v>
      </c>
      <c r="T903" s="98" t="str">
        <f>IF(VLOOKUP(Q903,'INFO BASE'!$B$40:$I$54,IF(R903='INFO BASE'!$B$32,3,IF(R903='INFO BASE'!$B$33,4,IF(R903='INFO BASE'!$B$34,5,IF(R903='INFO BASE'!$B$35,6,IF(R903='INFO BASE'!$B$36,7,IF(R903='INFO BASE'!$B$37,8,2)))))),0)=0,"",VLOOKUP(Q903,'INFO BASE'!$B$40:$I$54,IF(R903='INFO BASE'!$B$32,3,IF(R903='INFO BASE'!$B$33,4,IF(R903='INFO BASE'!$B$34,5,IF(R903='INFO BASE'!$B$35,6,IF(R903='INFO BASE'!$B$36,7,IF(R903='INFO BASE'!$B$37,8,2)))))),0))</f>
        <v/>
      </c>
      <c r="U903" s="84">
        <f t="shared" ref="U903:U911" si="510">IF(R903="","",COUNTIFS(SEMANA16,R903)*0.5)</f>
        <v>0</v>
      </c>
      <c r="V903" s="84">
        <f>IF(R903="","",COUNTIFS(AI864:AV911,R903)*0.5)</f>
        <v>0</v>
      </c>
      <c r="W903" s="85" t="str">
        <f>IF(AH860="","-",IF(V903=0,U903,IFERROR((U903/V903)-1,"-")))</f>
        <v>-</v>
      </c>
      <c r="X903" s="201">
        <f t="shared" si="499"/>
        <v>0</v>
      </c>
      <c r="Y903" s="277"/>
      <c r="Z903" s="278"/>
      <c r="AA903" s="278"/>
      <c r="AB903" s="278"/>
      <c r="AC903" s="278"/>
      <c r="AD903" s="278"/>
      <c r="AE903" s="278"/>
      <c r="AF903" s="279"/>
      <c r="AH903" s="136">
        <v>0.81250000000002598</v>
      </c>
      <c r="AI903" s="136" t="str">
        <f>IF(AH860="","",IF(B903="","",B903))</f>
        <v/>
      </c>
      <c r="AJ903" s="136" t="str">
        <f>IF(AH860="","",IF(C903="","",C903))</f>
        <v/>
      </c>
      <c r="AK903" s="136" t="str">
        <f>IF(AH860="","",IF(D903="","",D903))</f>
        <v/>
      </c>
      <c r="AL903" s="136" t="str">
        <f>IF(AH860="","",IF(E903="","",E903))</f>
        <v/>
      </c>
      <c r="AM903" s="136" t="str">
        <f>IF(AH860="","",IF(F903="","",F903))</f>
        <v/>
      </c>
      <c r="AN903" s="136" t="str">
        <f>IF(AH860="","",IF(G903="","",G903))</f>
        <v/>
      </c>
      <c r="AO903" s="136" t="str">
        <f>IF(AH860="","",IF(H903="","",H903))</f>
        <v/>
      </c>
      <c r="AP903" s="136" t="str">
        <f>IF(AH860="","",IF(I903="","",I903))</f>
        <v/>
      </c>
      <c r="AQ903" s="136" t="str">
        <f>IF(AH860="","",IF(J903="","",J903))</f>
        <v/>
      </c>
      <c r="AR903" s="136" t="str">
        <f>IF(AH860="","",IF(K903="","",K903))</f>
        <v/>
      </c>
      <c r="AS903" s="136" t="str">
        <f>IF(AH860="","",IF(L903="","",L903))</f>
        <v/>
      </c>
      <c r="AT903" s="136" t="str">
        <f>IF(AH860="","",IF(M903="","",M903))</f>
        <v/>
      </c>
      <c r="AU903" s="136" t="str">
        <f>IF(AH860="","",IF(N903="","",N903))</f>
        <v/>
      </c>
      <c r="AV903" s="136" t="str">
        <f>IF(AH860="","",IF(O903="","",O903))</f>
        <v/>
      </c>
      <c r="AX903" s="136" t="str">
        <f>IF(AI860="","",IF(B903="","",B903))</f>
        <v/>
      </c>
      <c r="AY903" s="136" t="str">
        <f>IF(AI860="","",IF(C903="","",C903))</f>
        <v/>
      </c>
      <c r="AZ903" s="136" t="str">
        <f>IF(AI860="","",IF(D903="","",D903))</f>
        <v/>
      </c>
      <c r="BA903" s="136" t="str">
        <f>IF(AI860="","",IF(E903="","",E903))</f>
        <v/>
      </c>
      <c r="BB903" s="136" t="str">
        <f>IF(AI860="","",IF(F903="","",F903))</f>
        <v/>
      </c>
      <c r="BC903" s="136" t="str">
        <f>IF(AI860="","",IF(G903="","",G903))</f>
        <v/>
      </c>
      <c r="BD903" s="136" t="str">
        <f>IF(AI860="","",IF(H903="","",H903))</f>
        <v/>
      </c>
      <c r="BE903" s="136" t="str">
        <f>IF(AI860="","",IF(I903="","",I903))</f>
        <v/>
      </c>
      <c r="BF903" s="136" t="str">
        <f>IF(AI860="","",IF(J903="","",J903))</f>
        <v/>
      </c>
      <c r="BG903" s="136" t="str">
        <f>IF(AI860="","",IF(K903="","",K903))</f>
        <v/>
      </c>
      <c r="BH903" s="136" t="str">
        <f>IF(AI860="","",IF(L903="","",L903))</f>
        <v/>
      </c>
      <c r="BI903" s="136" t="str">
        <f>IF(AI860="","",IF(M903="","",M903))</f>
        <v/>
      </c>
      <c r="BJ903" s="136" t="str">
        <f>IF(AI860="","",IF(N903="","",N903))</f>
        <v/>
      </c>
      <c r="BK903" s="136" t="str">
        <f>IF(AI860="","",IF(O903="","",O903))</f>
        <v/>
      </c>
      <c r="BN903" s="136" t="str">
        <f t="shared" si="494"/>
        <v>Momento Avaliativo</v>
      </c>
      <c r="BO903" s="136" t="str">
        <f t="shared" si="494"/>
        <v>MA</v>
      </c>
      <c r="BP903" s="136">
        <f>IF(BO903="","",COUNTIFS(AX864:BK911,BO903)*0.5)</f>
        <v>0</v>
      </c>
      <c r="BQ903" s="136" t="str">
        <f t="shared" si="495"/>
        <v>Momento Avaliativo</v>
      </c>
      <c r="BR903" s="136" t="str">
        <f t="shared" si="495"/>
        <v>MA</v>
      </c>
      <c r="BS903" s="136" t="str">
        <f t="shared" si="496"/>
        <v>Momento Avaliativo</v>
      </c>
      <c r="BT903" s="136">
        <f t="shared" si="502"/>
        <v>1.5</v>
      </c>
      <c r="BU903" s="136">
        <f t="shared" si="503"/>
        <v>1.5</v>
      </c>
      <c r="CA903" s="136">
        <f>'INFO BASE'!L980</f>
        <v>0</v>
      </c>
      <c r="CB903" s="136">
        <f>'INFO BASE'!M980</f>
        <v>0</v>
      </c>
      <c r="CR903" s="177">
        <f t="shared" si="484"/>
        <v>1</v>
      </c>
      <c r="CS903" s="177">
        <f t="shared" si="485"/>
        <v>1</v>
      </c>
      <c r="CT903" s="177">
        <f t="shared" si="484"/>
        <v>1</v>
      </c>
      <c r="CU903" s="177">
        <f t="shared" si="486"/>
        <v>1</v>
      </c>
      <c r="CV903" s="177">
        <f t="shared" si="484"/>
        <v>1</v>
      </c>
      <c r="CW903" s="177">
        <f t="shared" si="487"/>
        <v>1</v>
      </c>
      <c r="CX903" s="177">
        <f t="shared" si="484"/>
        <v>1</v>
      </c>
      <c r="CY903" s="177">
        <f t="shared" si="488"/>
        <v>1</v>
      </c>
      <c r="CZ903" s="177">
        <f t="shared" si="484"/>
        <v>1</v>
      </c>
      <c r="DA903" s="177">
        <f t="shared" si="489"/>
        <v>1</v>
      </c>
      <c r="DB903" s="177">
        <f t="shared" si="484"/>
        <v>1</v>
      </c>
      <c r="DC903" s="177">
        <f t="shared" si="490"/>
        <v>1</v>
      </c>
      <c r="DD903" s="177">
        <f t="shared" si="491"/>
        <v>1</v>
      </c>
      <c r="DE903" s="177">
        <f t="shared" si="492"/>
        <v>1</v>
      </c>
    </row>
    <row r="904" spans="1:120" ht="18" customHeight="1" x14ac:dyDescent="0.3">
      <c r="A904" s="81">
        <v>0.83333333333336002</v>
      </c>
      <c r="B904" s="153"/>
      <c r="C904" s="130"/>
      <c r="D904" s="135"/>
      <c r="E904" s="130"/>
      <c r="F904" s="135"/>
      <c r="G904" s="130"/>
      <c r="H904" s="135"/>
      <c r="I904" s="130"/>
      <c r="J904" s="135"/>
      <c r="K904" s="130"/>
      <c r="L904" s="135"/>
      <c r="M904" s="130"/>
      <c r="N904" s="135"/>
      <c r="O904" s="154"/>
      <c r="P904" s="6">
        <v>0</v>
      </c>
      <c r="Q904" s="99" t="str">
        <f>IF('INFO BASE'!$C$22="","",'INFO BASE'!$C$22)</f>
        <v>Aulas Problemas</v>
      </c>
      <c r="R904" s="87" t="str">
        <f t="shared" si="501"/>
        <v>APB</v>
      </c>
      <c r="S904" s="88">
        <f t="shared" si="498"/>
        <v>-1</v>
      </c>
      <c r="T904" s="100">
        <f>IF(VLOOKUP(Q904,'INFO BASE'!$B$40:$I$54,IF(R904='INFO BASE'!$B$32,3,IF(R904='INFO BASE'!$B$33,4,IF(R904='INFO BASE'!$B$34,5,IF(R904='INFO BASE'!$B$35,6,IF(R904='INFO BASE'!$B$36,7,IF(R904='INFO BASE'!$B$37,8,2)))))),0)=0,"",VLOOKUP(Q904,'INFO BASE'!$B$40:$I$54,IF(R904='INFO BASE'!$B$32,3,IF(R904='INFO BASE'!$B$33,4,IF(R904='INFO BASE'!$B$34,5,IF(R904='INFO BASE'!$B$35,6,IF(R904='INFO BASE'!$B$36,7,IF(R904='INFO BASE'!$B$37,8,2)))))),0))</f>
        <v>6</v>
      </c>
      <c r="U904" s="89">
        <f t="shared" si="510"/>
        <v>0</v>
      </c>
      <c r="V904" s="100">
        <f>IF(R904="","",COUNTIFS(AI864:AV911,R904)*0.5)</f>
        <v>0</v>
      </c>
      <c r="W904" s="90" t="str">
        <f>IF(AH860="","-",IF(V904=0,U904,IFERROR((U904/V904)-1,"-")))</f>
        <v>-</v>
      </c>
      <c r="X904" s="201">
        <f t="shared" si="499"/>
        <v>0</v>
      </c>
      <c r="Y904" s="271"/>
      <c r="Z904" s="272"/>
      <c r="AA904" s="272"/>
      <c r="AB904" s="272"/>
      <c r="AC904" s="272"/>
      <c r="AD904" s="272"/>
      <c r="AE904" s="272"/>
      <c r="AF904" s="273"/>
      <c r="AH904" s="136">
        <v>0.83333333333336002</v>
      </c>
      <c r="AI904" s="136" t="str">
        <f>IF(AH860="","",IF(B904="","",B904))</f>
        <v/>
      </c>
      <c r="AJ904" s="136" t="str">
        <f>IF(AH860="","",IF(C904="","",C904))</f>
        <v/>
      </c>
      <c r="AK904" s="136" t="str">
        <f>IF(AH860="","",IF(D904="","",D904))</f>
        <v/>
      </c>
      <c r="AL904" s="136" t="str">
        <f>IF(AH860="","",IF(E904="","",E904))</f>
        <v/>
      </c>
      <c r="AM904" s="136" t="str">
        <f>IF(AH860="","",IF(F904="","",F904))</f>
        <v/>
      </c>
      <c r="AN904" s="136" t="str">
        <f>IF(AH860="","",IF(G904="","",G904))</f>
        <v/>
      </c>
      <c r="AO904" s="136" t="str">
        <f>IF(AH860="","",IF(H904="","",H904))</f>
        <v/>
      </c>
      <c r="AP904" s="136" t="str">
        <f>IF(AH860="","",IF(I904="","",I904))</f>
        <v/>
      </c>
      <c r="AQ904" s="136" t="str">
        <f>IF(AH860="","",IF(J904="","",J904))</f>
        <v/>
      </c>
      <c r="AR904" s="136" t="str">
        <f>IF(AH860="","",IF(K904="","",K904))</f>
        <v/>
      </c>
      <c r="AS904" s="136" t="str">
        <f>IF(AH860="","",IF(L904="","",L904))</f>
        <v/>
      </c>
      <c r="AT904" s="136" t="str">
        <f>IF(AH860="","",IF(M904="","",M904))</f>
        <v/>
      </c>
      <c r="AU904" s="136" t="str">
        <f>IF(AH860="","",IF(N904="","",N904))</f>
        <v/>
      </c>
      <c r="AV904" s="136" t="str">
        <f>IF(AH860="","",IF(O904="","",O904))</f>
        <v/>
      </c>
      <c r="AX904" s="136" t="str">
        <f>IF(AI860="","",IF(B904="","",B904))</f>
        <v/>
      </c>
      <c r="AY904" s="136" t="str">
        <f>IF(AI860="","",IF(C904="","",C904))</f>
        <v/>
      </c>
      <c r="AZ904" s="136" t="str">
        <f>IF(AI860="","",IF(D904="","",D904))</f>
        <v/>
      </c>
      <c r="BA904" s="136" t="str">
        <f>IF(AI860="","",IF(E904="","",E904))</f>
        <v/>
      </c>
      <c r="BB904" s="136" t="str">
        <f>IF(AI860="","",IF(F904="","",F904))</f>
        <v/>
      </c>
      <c r="BC904" s="136" t="str">
        <f>IF(AI860="","",IF(G904="","",G904))</f>
        <v/>
      </c>
      <c r="BD904" s="136" t="str">
        <f>IF(AI860="","",IF(H904="","",H904))</f>
        <v/>
      </c>
      <c r="BE904" s="136" t="str">
        <f>IF(AI860="","",IF(I904="","",I904))</f>
        <v/>
      </c>
      <c r="BF904" s="136" t="str">
        <f>IF(AI860="","",IF(J904="","",J904))</f>
        <v/>
      </c>
      <c r="BG904" s="136" t="str">
        <f>IF(AI860="","",IF(K904="","",K904))</f>
        <v/>
      </c>
      <c r="BH904" s="136" t="str">
        <f>IF(AI860="","",IF(L904="","",L904))</f>
        <v/>
      </c>
      <c r="BI904" s="136" t="str">
        <f>IF(AI860="","",IF(M904="","",M904))</f>
        <v/>
      </c>
      <c r="BJ904" s="136" t="str">
        <f>IF(AI860="","",IF(N904="","",N904))</f>
        <v/>
      </c>
      <c r="BK904" s="136" t="str">
        <f>IF(AI860="","",IF(O904="","",O904))</f>
        <v/>
      </c>
      <c r="BN904" s="136" t="str">
        <f t="shared" si="494"/>
        <v>Horário de Dúvidas</v>
      </c>
      <c r="BO904" s="136" t="str">
        <f t="shared" si="494"/>
        <v>HDV</v>
      </c>
      <c r="BP904" s="136">
        <f>IF(BO904="","",COUNTIFS(AX864:BK911,BO904)*0.5)</f>
        <v>0</v>
      </c>
      <c r="BQ904" s="136" t="str">
        <f t="shared" si="495"/>
        <v>Horário de Dúvidas</v>
      </c>
      <c r="BR904" s="136" t="str">
        <f t="shared" si="495"/>
        <v>HDV</v>
      </c>
      <c r="BS904" s="136" t="str">
        <f t="shared" si="496"/>
        <v>Horário de Dúvidas</v>
      </c>
      <c r="BT904" s="136">
        <f t="shared" si="502"/>
        <v>0</v>
      </c>
      <c r="BU904" s="136">
        <f t="shared" si="503"/>
        <v>0</v>
      </c>
      <c r="CA904" s="136">
        <f>'INFO BASE'!L981</f>
        <v>0</v>
      </c>
      <c r="CB904" s="136">
        <f>'INFO BASE'!M981</f>
        <v>0</v>
      </c>
      <c r="CR904" s="177">
        <f t="shared" si="484"/>
        <v>1</v>
      </c>
      <c r="CS904" s="177">
        <f t="shared" si="485"/>
        <v>1</v>
      </c>
      <c r="CT904" s="177">
        <f t="shared" si="484"/>
        <v>1</v>
      </c>
      <c r="CU904" s="177">
        <f t="shared" si="486"/>
        <v>1</v>
      </c>
      <c r="CV904" s="177">
        <f t="shared" si="484"/>
        <v>1</v>
      </c>
      <c r="CW904" s="177">
        <f t="shared" si="487"/>
        <v>1</v>
      </c>
      <c r="CX904" s="177">
        <f t="shared" si="484"/>
        <v>1</v>
      </c>
      <c r="CY904" s="177">
        <f t="shared" si="488"/>
        <v>1</v>
      </c>
      <c r="CZ904" s="177">
        <f t="shared" si="484"/>
        <v>1</v>
      </c>
      <c r="DA904" s="177">
        <f t="shared" si="489"/>
        <v>1</v>
      </c>
      <c r="DB904" s="177">
        <f t="shared" si="484"/>
        <v>1</v>
      </c>
      <c r="DC904" s="177">
        <f t="shared" si="490"/>
        <v>1</v>
      </c>
      <c r="DD904" s="177">
        <f t="shared" si="491"/>
        <v>1</v>
      </c>
      <c r="DE904" s="177">
        <f t="shared" si="492"/>
        <v>1</v>
      </c>
    </row>
    <row r="905" spans="1:120" ht="18" customHeight="1" thickBot="1" x14ac:dyDescent="0.35">
      <c r="A905" s="81">
        <v>0.85416666666669405</v>
      </c>
      <c r="B905" s="153"/>
      <c r="C905" s="130"/>
      <c r="D905" s="135"/>
      <c r="E905" s="130"/>
      <c r="F905" s="135"/>
      <c r="G905" s="130"/>
      <c r="H905" s="135"/>
      <c r="I905" s="130"/>
      <c r="J905" s="135"/>
      <c r="K905" s="130"/>
      <c r="L905" s="135"/>
      <c r="M905" s="130"/>
      <c r="N905" s="135"/>
      <c r="O905" s="154"/>
      <c r="P905" s="6">
        <v>0</v>
      </c>
      <c r="Q905" s="101" t="str">
        <f>IF('INFO BASE'!$C$23="","",'INFO BASE'!$C$23)</f>
        <v>Laboratórios</v>
      </c>
      <c r="R905" s="93" t="str">
        <f t="shared" si="501"/>
        <v>LAB</v>
      </c>
      <c r="S905" s="94">
        <f t="shared" si="498"/>
        <v>-1</v>
      </c>
      <c r="T905" s="95">
        <f>IF(VLOOKUP(Q905,'INFO BASE'!$B$40:$I$54,IF(R905='INFO BASE'!$B$32,3,IF(R905='INFO BASE'!$B$33,4,IF(R905='INFO BASE'!$B$34,5,IF(R905='INFO BASE'!$B$35,6,IF(R905='INFO BASE'!$B$36,7,IF(R905='INFO BASE'!$B$37,8,2)))))),0)=0,"",VLOOKUP(Q905,'INFO BASE'!$B$40:$I$54,IF(R905='INFO BASE'!$B$32,3,IF(R905='INFO BASE'!$B$33,4,IF(R905='INFO BASE'!$B$34,5,IF(R905='INFO BASE'!$B$35,6,IF(R905='INFO BASE'!$B$36,7,IF(R905='INFO BASE'!$B$37,8,2)))))),0))</f>
        <v>1.5</v>
      </c>
      <c r="U905" s="95">
        <f t="shared" si="510"/>
        <v>0</v>
      </c>
      <c r="V905" s="95">
        <f>IF(R905="","",COUNTIFS(AI864:AV911,R905)*0.5)</f>
        <v>0</v>
      </c>
      <c r="W905" s="96" t="str">
        <f>IF(AH860="","-",IF(V905=0,U905,IFERROR((U905/V905)-1,"-")))</f>
        <v>-</v>
      </c>
      <c r="X905" s="201">
        <f t="shared" si="499"/>
        <v>0</v>
      </c>
      <c r="Y905" s="271"/>
      <c r="Z905" s="272"/>
      <c r="AA905" s="272"/>
      <c r="AB905" s="272"/>
      <c r="AC905" s="272"/>
      <c r="AD905" s="272"/>
      <c r="AE905" s="272"/>
      <c r="AF905" s="273"/>
      <c r="AH905" s="136">
        <v>0.85416666666669405</v>
      </c>
      <c r="AI905" s="136" t="str">
        <f>IF(AH860="","",IF(B905="","",B905))</f>
        <v/>
      </c>
      <c r="AJ905" s="136" t="str">
        <f>IF(AH860="","",IF(C905="","",C905))</f>
        <v/>
      </c>
      <c r="AK905" s="136" t="str">
        <f>IF(AH860="","",IF(D905="","",D905))</f>
        <v/>
      </c>
      <c r="AL905" s="136" t="str">
        <f>IF(AH860="","",IF(E905="","",E905))</f>
        <v/>
      </c>
      <c r="AM905" s="136" t="str">
        <f>IF(AH860="","",IF(F905="","",F905))</f>
        <v/>
      </c>
      <c r="AN905" s="136" t="str">
        <f>IF(AH860="","",IF(G905="","",G905))</f>
        <v/>
      </c>
      <c r="AO905" s="136" t="str">
        <f>IF(AH860="","",IF(H905="","",H905))</f>
        <v/>
      </c>
      <c r="AP905" s="136" t="str">
        <f>IF(AH860="","",IF(I905="","",I905))</f>
        <v/>
      </c>
      <c r="AQ905" s="136" t="str">
        <f>IF(AH860="","",IF(J905="","",J905))</f>
        <v/>
      </c>
      <c r="AR905" s="136" t="str">
        <f>IF(AH860="","",IF(K905="","",K905))</f>
        <v/>
      </c>
      <c r="AS905" s="136" t="str">
        <f>IF(AH860="","",IF(L905="","",L905))</f>
        <v/>
      </c>
      <c r="AT905" s="136" t="str">
        <f>IF(AH860="","",IF(M905="","",M905))</f>
        <v/>
      </c>
      <c r="AU905" s="136" t="str">
        <f>IF(AH860="","",IF(N905="","",N905))</f>
        <v/>
      </c>
      <c r="AV905" s="136" t="str">
        <f>IF(AH860="","",IF(O905="","",O905))</f>
        <v/>
      </c>
      <c r="AX905" s="136" t="str">
        <f>IF(AI860="","",IF(B905="","",B905))</f>
        <v/>
      </c>
      <c r="AY905" s="136" t="str">
        <f>IF(AI860="","",IF(C905="","",C905))</f>
        <v/>
      </c>
      <c r="AZ905" s="136" t="str">
        <f>IF(AI860="","",IF(D905="","",D905))</f>
        <v/>
      </c>
      <c r="BA905" s="136" t="str">
        <f>IF(AI860="","",IF(E905="","",E905))</f>
        <v/>
      </c>
      <c r="BB905" s="136" t="str">
        <f>IF(AI860="","",IF(F905="","",F905))</f>
        <v/>
      </c>
      <c r="BC905" s="136" t="str">
        <f>IF(AI860="","",IF(G905="","",G905))</f>
        <v/>
      </c>
      <c r="BD905" s="136" t="str">
        <f>IF(AI860="","",IF(H905="","",H905))</f>
        <v/>
      </c>
      <c r="BE905" s="136" t="str">
        <f>IF(AI860="","",IF(I905="","",I905))</f>
        <v/>
      </c>
      <c r="BF905" s="136" t="str">
        <f>IF(AI860="","",IF(J905="","",J905))</f>
        <v/>
      </c>
      <c r="BG905" s="136" t="str">
        <f>IF(AI860="","",IF(K905="","",K905))</f>
        <v/>
      </c>
      <c r="BH905" s="136" t="str">
        <f>IF(AI860="","",IF(L905="","",L905))</f>
        <v/>
      </c>
      <c r="BI905" s="136" t="str">
        <f>IF(AI860="","",IF(M905="","",M905))</f>
        <v/>
      </c>
      <c r="BJ905" s="136" t="str">
        <f>IF(AI860="","",IF(N905="","",N905))</f>
        <v/>
      </c>
      <c r="BK905" s="136" t="str">
        <f>IF(AI860="","",IF(O905="","",O905))</f>
        <v/>
      </c>
      <c r="BN905" s="136" t="str">
        <f t="shared" si="494"/>
        <v>Privado</v>
      </c>
      <c r="BO905" s="136" t="str">
        <f t="shared" si="494"/>
        <v>PV</v>
      </c>
      <c r="BP905" s="136">
        <f>IF(BO905="","",COUNTIFS(AX864:BK911,BO905)*0.5)</f>
        <v>0</v>
      </c>
      <c r="BQ905" s="136" t="str">
        <f t="shared" si="495"/>
        <v>Privado</v>
      </c>
      <c r="BR905" s="136" t="str">
        <f t="shared" si="495"/>
        <v>PV</v>
      </c>
      <c r="BS905" s="136" t="str">
        <f t="shared" si="496"/>
        <v>Privado</v>
      </c>
      <c r="BT905" s="136">
        <f t="shared" si="502"/>
        <v>384</v>
      </c>
      <c r="BU905" s="136">
        <f t="shared" si="503"/>
        <v>369</v>
      </c>
      <c r="CA905" s="136">
        <f>'INFO BASE'!L982</f>
        <v>0</v>
      </c>
      <c r="CB905" s="136">
        <f>'INFO BASE'!M982</f>
        <v>0</v>
      </c>
      <c r="CR905" s="177">
        <f t="shared" si="484"/>
        <v>1</v>
      </c>
      <c r="CS905" s="177">
        <f t="shared" si="485"/>
        <v>1</v>
      </c>
      <c r="CT905" s="177">
        <f t="shared" si="484"/>
        <v>1</v>
      </c>
      <c r="CU905" s="177">
        <f t="shared" si="486"/>
        <v>1</v>
      </c>
      <c r="CV905" s="177">
        <f t="shared" si="484"/>
        <v>1</v>
      </c>
      <c r="CW905" s="177">
        <f t="shared" si="487"/>
        <v>1</v>
      </c>
      <c r="CX905" s="177">
        <f t="shared" si="484"/>
        <v>1</v>
      </c>
      <c r="CY905" s="177">
        <f t="shared" si="488"/>
        <v>1</v>
      </c>
      <c r="CZ905" s="177">
        <f t="shared" si="484"/>
        <v>1</v>
      </c>
      <c r="DA905" s="177">
        <f t="shared" si="489"/>
        <v>1</v>
      </c>
      <c r="DB905" s="177">
        <f t="shared" si="484"/>
        <v>1</v>
      </c>
      <c r="DC905" s="177">
        <f t="shared" si="490"/>
        <v>1</v>
      </c>
      <c r="DD905" s="177">
        <f t="shared" si="491"/>
        <v>1</v>
      </c>
      <c r="DE905" s="177">
        <f t="shared" si="492"/>
        <v>1</v>
      </c>
    </row>
    <row r="906" spans="1:120" ht="18" customHeight="1" x14ac:dyDescent="0.3">
      <c r="A906" s="81">
        <v>0.87500000000002798</v>
      </c>
      <c r="B906" s="153"/>
      <c r="C906" s="130"/>
      <c r="D906" s="135"/>
      <c r="E906" s="130"/>
      <c r="F906" s="135"/>
      <c r="G906" s="130"/>
      <c r="H906" s="135"/>
      <c r="I906" s="130"/>
      <c r="J906" s="135"/>
      <c r="K906" s="130"/>
      <c r="L906" s="135"/>
      <c r="M906" s="130"/>
      <c r="N906" s="135"/>
      <c r="O906" s="154"/>
      <c r="P906" s="6">
        <v>0</v>
      </c>
      <c r="Q906" s="102" t="str">
        <f>IF('INFO BASE'!$C$24="","",'INFO BASE'!$C$24)</f>
        <v>Momento Avaliativo</v>
      </c>
      <c r="R906" s="82" t="str">
        <f t="shared" si="501"/>
        <v>MA</v>
      </c>
      <c r="S906" s="83" t="str">
        <f t="shared" si="498"/>
        <v>-</v>
      </c>
      <c r="T906" s="84" t="str">
        <f>IF(VLOOKUP(Q906,'INFO BASE'!$B$40:$I$54,IF(R906='INFO BASE'!$B$32,3,IF(R906='INFO BASE'!$B$33,4,IF(R906='INFO BASE'!$B$34,5,IF(R906='INFO BASE'!$B$35,6,IF(R906='INFO BASE'!$B$36,7,IF(R906='INFO BASE'!$B$37,8,2)))))),0)=0,"",VLOOKUP(Q906,'INFO BASE'!$B$40:$I$54,IF(R906='INFO BASE'!$B$32,3,IF(R906='INFO BASE'!$B$33,4,IF(R906='INFO BASE'!$B$34,5,IF(R906='INFO BASE'!$B$35,6,IF(R906='INFO BASE'!$B$36,7,IF(R906='INFO BASE'!$B$37,8,2)))))),0))</f>
        <v/>
      </c>
      <c r="U906" s="84">
        <f t="shared" si="510"/>
        <v>0</v>
      </c>
      <c r="V906" s="84">
        <f>IF(R906="","",COUNTIFS(AI864:AV911,R906)*0.5)</f>
        <v>0</v>
      </c>
      <c r="W906" s="85" t="str">
        <f>IF(AH860="","-",IF(V906=0,U906,IFERROR((U906/V906)-1,"-")))</f>
        <v>-</v>
      </c>
      <c r="X906" s="201">
        <f t="shared" si="499"/>
        <v>0</v>
      </c>
      <c r="Y906" s="277"/>
      <c r="Z906" s="278"/>
      <c r="AA906" s="278"/>
      <c r="AB906" s="278"/>
      <c r="AC906" s="278"/>
      <c r="AD906" s="278"/>
      <c r="AE906" s="278"/>
      <c r="AF906" s="279"/>
      <c r="AH906" s="136">
        <v>0.87500000000002798</v>
      </c>
      <c r="AI906" s="136" t="str">
        <f>IF(AH860="","",IF(B906="","",B906))</f>
        <v/>
      </c>
      <c r="AJ906" s="136" t="str">
        <f>IF(AH860="","",IF(C906="","",C906))</f>
        <v/>
      </c>
      <c r="AK906" s="136" t="str">
        <f>IF(AH860="","",IF(D906="","",D906))</f>
        <v/>
      </c>
      <c r="AL906" s="136" t="str">
        <f>IF(AH860="","",IF(E906="","",E906))</f>
        <v/>
      </c>
      <c r="AM906" s="136" t="str">
        <f>IF(AH860="","",IF(F906="","",F906))</f>
        <v/>
      </c>
      <c r="AN906" s="136" t="str">
        <f>IF(AH860="","",IF(G906="","",G906))</f>
        <v/>
      </c>
      <c r="AO906" s="136" t="str">
        <f>IF(AH860="","",IF(H906="","",H906))</f>
        <v/>
      </c>
      <c r="AP906" s="136" t="str">
        <f>IF(AH860="","",IF(I906="","",I906))</f>
        <v/>
      </c>
      <c r="AQ906" s="136" t="str">
        <f>IF(AH860="","",IF(J906="","",J906))</f>
        <v/>
      </c>
      <c r="AR906" s="136" t="str">
        <f>IF(AH860="","",IF(K906="","",K906))</f>
        <v/>
      </c>
      <c r="AS906" s="136" t="str">
        <f>IF(AH860="","",IF(L906="","",L906))</f>
        <v/>
      </c>
      <c r="AT906" s="136" t="str">
        <f>IF(AH860="","",IF(M906="","",M906))</f>
        <v/>
      </c>
      <c r="AU906" s="136" t="str">
        <f>IF(AH860="","",IF(N906="","",N906))</f>
        <v/>
      </c>
      <c r="AV906" s="136" t="str">
        <f>IF(AH860="","",IF(O906="","",O906))</f>
        <v/>
      </c>
      <c r="AX906" s="136" t="str">
        <f>IF(AI860="","",IF(B906="","",B906))</f>
        <v/>
      </c>
      <c r="AY906" s="136" t="str">
        <f>IF(AI860="","",IF(C906="","",C906))</f>
        <v/>
      </c>
      <c r="AZ906" s="136" t="str">
        <f>IF(AI860="","",IF(D906="","",D906))</f>
        <v/>
      </c>
      <c r="BA906" s="136" t="str">
        <f>IF(AI860="","",IF(E906="","",E906))</f>
        <v/>
      </c>
      <c r="BB906" s="136" t="str">
        <f>IF(AI860="","",IF(F906="","",F906))</f>
        <v/>
      </c>
      <c r="BC906" s="136" t="str">
        <f>IF(AI860="","",IF(G906="","",G906))</f>
        <v/>
      </c>
      <c r="BD906" s="136" t="str">
        <f>IF(AI860="","",IF(H906="","",H906))</f>
        <v/>
      </c>
      <c r="BE906" s="136" t="str">
        <f>IF(AI860="","",IF(I906="","",I906))</f>
        <v/>
      </c>
      <c r="BF906" s="136" t="str">
        <f>IF(AI860="","",IF(J906="","",J906))</f>
        <v/>
      </c>
      <c r="BG906" s="136" t="str">
        <f>IF(AI860="","",IF(K906="","",K906))</f>
        <v/>
      </c>
      <c r="BH906" s="136" t="str">
        <f>IF(AI860="","",IF(L906="","",L906))</f>
        <v/>
      </c>
      <c r="BI906" s="136" t="str">
        <f>IF(AI860="","",IF(M906="","",M906))</f>
        <v/>
      </c>
      <c r="BJ906" s="136" t="str">
        <f>IF(AI860="","",IF(N906="","",N906))</f>
        <v/>
      </c>
      <c r="BK906" s="136" t="str">
        <f>IF(AI860="","",IF(O906="","",O906))</f>
        <v/>
      </c>
      <c r="BN906" s="136" t="str">
        <f t="shared" si="494"/>
        <v>Deslocação</v>
      </c>
      <c r="BO906" s="136" t="str">
        <f t="shared" si="494"/>
        <v>HD</v>
      </c>
      <c r="BP906" s="136">
        <f>IF(BO906="","",COUNTIFS(AX864:BK911,BO906)*0.5)</f>
        <v>0</v>
      </c>
      <c r="BQ906" s="136" t="str">
        <f t="shared" si="495"/>
        <v>Deslocação</v>
      </c>
      <c r="BR906" s="136" t="str">
        <f t="shared" si="495"/>
        <v>HD</v>
      </c>
      <c r="BS906" s="136" t="str">
        <f t="shared" si="496"/>
        <v>Deslocação</v>
      </c>
      <c r="BT906" s="136">
        <f t="shared" si="502"/>
        <v>116.5</v>
      </c>
      <c r="BU906" s="136">
        <f t="shared" si="503"/>
        <v>115</v>
      </c>
      <c r="CA906" s="136">
        <f>'INFO BASE'!L983</f>
        <v>0</v>
      </c>
      <c r="CB906" s="136">
        <f>'INFO BASE'!M983</f>
        <v>0</v>
      </c>
      <c r="CR906" s="177">
        <f t="shared" si="484"/>
        <v>1</v>
      </c>
      <c r="CS906" s="177">
        <f t="shared" si="485"/>
        <v>1</v>
      </c>
      <c r="CT906" s="177">
        <f t="shared" si="484"/>
        <v>1</v>
      </c>
      <c r="CU906" s="177">
        <f t="shared" si="486"/>
        <v>1</v>
      </c>
      <c r="CV906" s="177">
        <f t="shared" si="484"/>
        <v>1</v>
      </c>
      <c r="CW906" s="177">
        <f t="shared" si="487"/>
        <v>1</v>
      </c>
      <c r="CX906" s="177">
        <f t="shared" si="484"/>
        <v>1</v>
      </c>
      <c r="CY906" s="177">
        <f t="shared" si="488"/>
        <v>1</v>
      </c>
      <c r="CZ906" s="177">
        <f t="shared" si="484"/>
        <v>1</v>
      </c>
      <c r="DA906" s="177">
        <f t="shared" si="489"/>
        <v>1</v>
      </c>
      <c r="DB906" s="177">
        <f t="shared" si="484"/>
        <v>1</v>
      </c>
      <c r="DC906" s="177">
        <f t="shared" si="490"/>
        <v>1</v>
      </c>
      <c r="DD906" s="177">
        <f t="shared" si="491"/>
        <v>1</v>
      </c>
      <c r="DE906" s="177">
        <f t="shared" si="492"/>
        <v>1</v>
      </c>
    </row>
    <row r="907" spans="1:120" ht="18" customHeight="1" x14ac:dyDescent="0.3">
      <c r="A907" s="81">
        <v>0.89583333333336201</v>
      </c>
      <c r="B907" s="153"/>
      <c r="C907" s="130"/>
      <c r="D907" s="135"/>
      <c r="E907" s="130"/>
      <c r="F907" s="135"/>
      <c r="G907" s="130"/>
      <c r="H907" s="135"/>
      <c r="I907" s="130"/>
      <c r="J907" s="135"/>
      <c r="K907" s="130"/>
      <c r="L907" s="135"/>
      <c r="M907" s="130"/>
      <c r="N907" s="135"/>
      <c r="O907" s="154"/>
      <c r="P907" s="6">
        <v>0</v>
      </c>
      <c r="Q907" s="103" t="str">
        <f>IF('INFO BASE'!$C$25="","",'INFO BASE'!$C$25)</f>
        <v>Horário de Dúvidas</v>
      </c>
      <c r="R907" s="87" t="str">
        <f t="shared" si="501"/>
        <v>HDV</v>
      </c>
      <c r="S907" s="88">
        <f t="shared" si="498"/>
        <v>-1</v>
      </c>
      <c r="T907" s="89">
        <f>IF(VLOOKUP(Q907,'INFO BASE'!$B$40:$I$54,IF(R907='INFO BASE'!$B$32,3,IF(R907='INFO BASE'!$B$33,4,IF(R907='INFO BASE'!$B$34,5,IF(R907='INFO BASE'!$B$35,6,IF(R907='INFO BASE'!$B$36,7,IF(R907='INFO BASE'!$B$37,8,2)))))),0)=0,"",VLOOKUP(Q907,'INFO BASE'!$B$40:$I$54,IF(R907='INFO BASE'!$B$32,3,IF(R907='INFO BASE'!$B$33,4,IF(R907='INFO BASE'!$B$34,5,IF(R907='INFO BASE'!$B$35,6,IF(R907='INFO BASE'!$B$36,7,IF(R907='INFO BASE'!$B$37,8,2)))))),0))</f>
        <v>3</v>
      </c>
      <c r="U907" s="89">
        <f t="shared" si="510"/>
        <v>0</v>
      </c>
      <c r="V907" s="89">
        <f>IF(R907="","",COUNTIFS(AI864:AV911,R907)*0.5)</f>
        <v>0</v>
      </c>
      <c r="W907" s="90" t="str">
        <f>IF(AH860="","-",IF(V907=0,U907,IFERROR((U907/V907)-1,"-")))</f>
        <v>-</v>
      </c>
      <c r="X907" s="201">
        <f t="shared" si="499"/>
        <v>0</v>
      </c>
      <c r="Y907" s="271"/>
      <c r="Z907" s="272"/>
      <c r="AA907" s="272"/>
      <c r="AB907" s="272"/>
      <c r="AC907" s="272"/>
      <c r="AD907" s="272"/>
      <c r="AE907" s="272"/>
      <c r="AF907" s="273"/>
      <c r="AH907" s="136">
        <v>0.89583333333336201</v>
      </c>
      <c r="AI907" s="136" t="str">
        <f>IF(AH860="","",IF(B907="","",B907))</f>
        <v/>
      </c>
      <c r="AJ907" s="136" t="str">
        <f>IF(AH860="","",IF(C907="","",C907))</f>
        <v/>
      </c>
      <c r="AK907" s="136" t="str">
        <f>IF(AH860="","",IF(D907="","",D907))</f>
        <v/>
      </c>
      <c r="AL907" s="136" t="str">
        <f>IF(AH860="","",IF(E907="","",E907))</f>
        <v/>
      </c>
      <c r="AM907" s="136" t="str">
        <f>IF(AH860="","",IF(F907="","",F907))</f>
        <v/>
      </c>
      <c r="AN907" s="136" t="str">
        <f>IF(AH860="","",IF(G907="","",G907))</f>
        <v/>
      </c>
      <c r="AO907" s="136" t="str">
        <f>IF(AH860="","",IF(H907="","",H907))</f>
        <v/>
      </c>
      <c r="AP907" s="136" t="str">
        <f>IF(AH860="","",IF(I907="","",I907))</f>
        <v/>
      </c>
      <c r="AQ907" s="136" t="str">
        <f>IF(AH860="","",IF(J907="","",J907))</f>
        <v/>
      </c>
      <c r="AR907" s="136" t="str">
        <f>IF(AH860="","",IF(K907="","",K907))</f>
        <v/>
      </c>
      <c r="AS907" s="136" t="str">
        <f>IF(AH860="","",IF(L907="","",L907))</f>
        <v/>
      </c>
      <c r="AT907" s="136" t="str">
        <f>IF(AH860="","",IF(M907="","",M907))</f>
        <v/>
      </c>
      <c r="AU907" s="136" t="str">
        <f>IF(AH860="","",IF(N907="","",N907))</f>
        <v/>
      </c>
      <c r="AV907" s="136" t="str">
        <f>IF(AH860="","",IF(O907="","",O907))</f>
        <v/>
      </c>
      <c r="AX907" s="136" t="str">
        <f>IF(AI860="","",IF(B907="","",B907))</f>
        <v/>
      </c>
      <c r="AY907" s="136" t="str">
        <f>IF(AI860="","",IF(C907="","",C907))</f>
        <v/>
      </c>
      <c r="AZ907" s="136" t="str">
        <f>IF(AI860="","",IF(D907="","",D907))</f>
        <v/>
      </c>
      <c r="BA907" s="136" t="str">
        <f>IF(AI860="","",IF(E907="","",E907))</f>
        <v/>
      </c>
      <c r="BB907" s="136" t="str">
        <f>IF(AI860="","",IF(F907="","",F907))</f>
        <v/>
      </c>
      <c r="BC907" s="136" t="str">
        <f>IF(AI860="","",IF(G907="","",G907))</f>
        <v/>
      </c>
      <c r="BD907" s="136" t="str">
        <f>IF(AI860="","",IF(H907="","",H907))</f>
        <v/>
      </c>
      <c r="BE907" s="136" t="str">
        <f>IF(AI860="","",IF(I907="","",I907))</f>
        <v/>
      </c>
      <c r="BF907" s="136" t="str">
        <f>IF(AI860="","",IF(J907="","",J907))</f>
        <v/>
      </c>
      <c r="BG907" s="136" t="str">
        <f>IF(AI860="","",IF(K907="","",K907))</f>
        <v/>
      </c>
      <c r="BH907" s="136" t="str">
        <f>IF(AI860="","",IF(L907="","",L907))</f>
        <v/>
      </c>
      <c r="BI907" s="136" t="str">
        <f>IF(AI860="","",IF(M907="","",M907))</f>
        <v/>
      </c>
      <c r="BJ907" s="136" t="str">
        <f>IF(AI860="","",IF(N907="","",N907))</f>
        <v/>
      </c>
      <c r="BK907" s="136" t="str">
        <f>IF(AI860="","",IF(O907="","",O907))</f>
        <v/>
      </c>
      <c r="BN907" s="136" t="str">
        <f t="shared" si="494"/>
        <v>Refeição</v>
      </c>
      <c r="BO907" s="136" t="str">
        <f t="shared" si="494"/>
        <v>HR</v>
      </c>
      <c r="BP907" s="136">
        <f>IF(BO907="","",COUNTIFS(AX864:BK911,BO907)*0.5)</f>
        <v>0</v>
      </c>
      <c r="BQ907" s="136" t="str">
        <f t="shared" si="495"/>
        <v>Refeição</v>
      </c>
      <c r="BR907" s="136" t="str">
        <f t="shared" si="495"/>
        <v>HR</v>
      </c>
      <c r="BS907" s="136" t="str">
        <f t="shared" si="496"/>
        <v>Refeição</v>
      </c>
      <c r="BT907" s="136">
        <f t="shared" si="502"/>
        <v>126</v>
      </c>
      <c r="BU907" s="136">
        <f t="shared" si="503"/>
        <v>124</v>
      </c>
      <c r="CA907" s="136">
        <f>'INFO BASE'!L984</f>
        <v>0</v>
      </c>
      <c r="CB907" s="136">
        <f>'INFO BASE'!M984</f>
        <v>0</v>
      </c>
      <c r="CR907" s="177">
        <f t="shared" si="484"/>
        <v>1</v>
      </c>
      <c r="CS907" s="177">
        <f t="shared" si="485"/>
        <v>1</v>
      </c>
      <c r="CT907" s="177">
        <f t="shared" si="484"/>
        <v>1</v>
      </c>
      <c r="CU907" s="177">
        <f t="shared" si="486"/>
        <v>1</v>
      </c>
      <c r="CV907" s="177">
        <f t="shared" si="484"/>
        <v>1</v>
      </c>
      <c r="CW907" s="177">
        <f t="shared" si="487"/>
        <v>1</v>
      </c>
      <c r="CX907" s="177">
        <f t="shared" ref="CX907:CX911" si="511">IF(H907="",1,H907)</f>
        <v>1</v>
      </c>
      <c r="CY907" s="177">
        <f t="shared" si="488"/>
        <v>1</v>
      </c>
      <c r="CZ907" s="177">
        <f t="shared" ref="CZ907:CZ911" si="512">IF(J907="",1,J907)</f>
        <v>1</v>
      </c>
      <c r="DA907" s="177">
        <f t="shared" si="489"/>
        <v>1</v>
      </c>
      <c r="DB907" s="177">
        <f t="shared" ref="DB907:DB911" si="513">IF(L907="",1,L907)</f>
        <v>1</v>
      </c>
      <c r="DC907" s="177">
        <f t="shared" si="490"/>
        <v>1</v>
      </c>
      <c r="DD907" s="177">
        <f t="shared" si="491"/>
        <v>1</v>
      </c>
      <c r="DE907" s="177">
        <f t="shared" si="492"/>
        <v>1</v>
      </c>
    </row>
    <row r="908" spans="1:120" ht="18" customHeight="1" x14ac:dyDescent="0.3">
      <c r="A908" s="81">
        <v>0.91666666666669605</v>
      </c>
      <c r="B908" s="153"/>
      <c r="C908" s="130"/>
      <c r="D908" s="135"/>
      <c r="E908" s="130"/>
      <c r="F908" s="135"/>
      <c r="G908" s="130"/>
      <c r="H908" s="135"/>
      <c r="I908" s="130"/>
      <c r="J908" s="135"/>
      <c r="K908" s="130"/>
      <c r="L908" s="135"/>
      <c r="M908" s="130"/>
      <c r="N908" s="135"/>
      <c r="O908" s="154"/>
      <c r="P908" s="6">
        <v>0.2</v>
      </c>
      <c r="Q908" s="104" t="str">
        <f>IF('INFO BASE'!$C$26="","",'INFO BASE'!$C$26)</f>
        <v>Privado</v>
      </c>
      <c r="R908" s="87" t="str">
        <f t="shared" si="501"/>
        <v>PV</v>
      </c>
      <c r="S908" s="88">
        <f t="shared" si="498"/>
        <v>-1</v>
      </c>
      <c r="T908" s="89">
        <f>IF(VLOOKUP(Q908,'INFO BASE'!$B$40:$I$54,IF(R908='INFO BASE'!$B$32,3,IF(R908='INFO BASE'!$B$33,4,IF(R908='INFO BASE'!$B$34,5,IF(R908='INFO BASE'!$B$35,6,IF(R908='INFO BASE'!$B$36,7,IF(R908='INFO BASE'!$B$37,8,2)))))),0)=0,"",VLOOKUP(Q908,'INFO BASE'!$B$40:$I$54,IF(R908='INFO BASE'!$B$32,3,IF(R908='INFO BASE'!$B$33,4,IF(R908='INFO BASE'!$B$34,5,IF(R908='INFO BASE'!$B$35,6,IF(R908='INFO BASE'!$B$36,7,IF(R908='INFO BASE'!$B$37,8,2)))))),0))</f>
        <v>26.5</v>
      </c>
      <c r="U908" s="89">
        <f t="shared" si="510"/>
        <v>0</v>
      </c>
      <c r="V908" s="89">
        <f>IF(R908="","",COUNTIFS(AI864:AV911,R908)*0.5)</f>
        <v>0</v>
      </c>
      <c r="W908" s="90" t="str">
        <f>IF(AH860="","-",IF(V908=0,U908,IFERROR((U908/V908)-1,"-")))</f>
        <v>-</v>
      </c>
      <c r="X908" s="202">
        <f t="shared" si="499"/>
        <v>0</v>
      </c>
      <c r="Y908" s="271"/>
      <c r="Z908" s="272"/>
      <c r="AA908" s="272"/>
      <c r="AB908" s="272"/>
      <c r="AC908" s="272"/>
      <c r="AD908" s="272"/>
      <c r="AE908" s="272"/>
      <c r="AF908" s="273"/>
      <c r="AH908" s="136">
        <v>0.91666666666669605</v>
      </c>
      <c r="AI908" s="136" t="str">
        <f>IF(AH860="","",IF(B908="","",B908))</f>
        <v/>
      </c>
      <c r="AJ908" s="136" t="str">
        <f>IF(AH860="","",IF(C908="","",C908))</f>
        <v/>
      </c>
      <c r="AK908" s="136" t="str">
        <f>IF(AH860="","",IF(D908="","",D908))</f>
        <v/>
      </c>
      <c r="AL908" s="136" t="str">
        <f>IF(AH860="","",IF(E908="","",E908))</f>
        <v/>
      </c>
      <c r="AM908" s="136" t="str">
        <f>IF(AH860="","",IF(F908="","",F908))</f>
        <v/>
      </c>
      <c r="AN908" s="136" t="str">
        <f>IF(AH860="","",IF(G908="","",G908))</f>
        <v/>
      </c>
      <c r="AO908" s="136" t="str">
        <f>IF(AH860="","",IF(H908="","",H908))</f>
        <v/>
      </c>
      <c r="AP908" s="136" t="str">
        <f>IF(AH860="","",IF(I908="","",I908))</f>
        <v/>
      </c>
      <c r="AQ908" s="136" t="str">
        <f>IF(AH860="","",IF(J908="","",J908))</f>
        <v/>
      </c>
      <c r="AR908" s="136" t="str">
        <f>IF(AH860="","",IF(K908="","",K908))</f>
        <v/>
      </c>
      <c r="AS908" s="136" t="str">
        <f>IF(AH860="","",IF(L908="","",L908))</f>
        <v/>
      </c>
      <c r="AT908" s="136" t="str">
        <f>IF(AH860="","",IF(M908="","",M908))</f>
        <v/>
      </c>
      <c r="AU908" s="136" t="str">
        <f>IF(AH860="","",IF(N908="","",N908))</f>
        <v/>
      </c>
      <c r="AV908" s="136" t="str">
        <f>IF(AH860="","",IF(O908="","",O908))</f>
        <v/>
      </c>
      <c r="AX908" s="136" t="str">
        <f>IF(AI860="","",IF(B908="","",B908))</f>
        <v/>
      </c>
      <c r="AY908" s="136" t="str">
        <f>IF(AI860="","",IF(C908="","",C908))</f>
        <v/>
      </c>
      <c r="AZ908" s="136" t="str">
        <f>IF(AI860="","",IF(D908="","",D908))</f>
        <v/>
      </c>
      <c r="BA908" s="136" t="str">
        <f>IF(AI860="","",IF(E908="","",E908))</f>
        <v/>
      </c>
      <c r="BB908" s="136" t="str">
        <f>IF(AI860="","",IF(F908="","",F908))</f>
        <v/>
      </c>
      <c r="BC908" s="136" t="str">
        <f>IF(AI860="","",IF(G908="","",G908))</f>
        <v/>
      </c>
      <c r="BD908" s="136" t="str">
        <f>IF(AI860="","",IF(H908="","",H908))</f>
        <v/>
      </c>
      <c r="BE908" s="136" t="str">
        <f>IF(AI860="","",IF(I908="","",I908))</f>
        <v/>
      </c>
      <c r="BF908" s="136" t="str">
        <f>IF(AI860="","",IF(J908="","",J908))</f>
        <v/>
      </c>
      <c r="BG908" s="136" t="str">
        <f>IF(AI860="","",IF(K908="","",K908))</f>
        <v/>
      </c>
      <c r="BH908" s="136" t="str">
        <f>IF(AI860="","",IF(L908="","",L908))</f>
        <v/>
      </c>
      <c r="BI908" s="136" t="str">
        <f>IF(AI860="","",IF(M908="","",M908))</f>
        <v/>
      </c>
      <c r="BJ908" s="136" t="str">
        <f>IF(AI860="","",IF(N908="","",N908))</f>
        <v/>
      </c>
      <c r="BK908" s="136" t="str">
        <f>IF(AI860="","",IF(O908="","",O908))</f>
        <v/>
      </c>
      <c r="BN908" s="136" t="str">
        <f t="shared" si="494"/>
        <v>Sono</v>
      </c>
      <c r="BO908" s="136" t="str">
        <f t="shared" si="494"/>
        <v>HS</v>
      </c>
      <c r="BP908" s="136">
        <f>IF(BO908="","",COUNTIFS(AX864:BK911,BO908)*0.5)</f>
        <v>0</v>
      </c>
      <c r="BQ908" s="136" t="str">
        <f t="shared" si="495"/>
        <v>Sono</v>
      </c>
      <c r="BR908" s="136" t="str">
        <f t="shared" si="495"/>
        <v>HS</v>
      </c>
      <c r="BS908" s="136" t="str">
        <f t="shared" si="496"/>
        <v>Sono</v>
      </c>
      <c r="BT908" s="136">
        <f t="shared" si="502"/>
        <v>417</v>
      </c>
      <c r="BU908" s="136">
        <f t="shared" si="503"/>
        <v>417.5</v>
      </c>
      <c r="CA908" s="136">
        <f>'INFO BASE'!L985</f>
        <v>0</v>
      </c>
      <c r="CB908" s="136">
        <f>'INFO BASE'!M985</f>
        <v>0</v>
      </c>
      <c r="CR908" s="177">
        <f t="shared" ref="CR908:CR911" si="514">IF(B908="",1,B908)</f>
        <v>1</v>
      </c>
      <c r="CS908" s="177">
        <f t="shared" si="485"/>
        <v>1</v>
      </c>
      <c r="CT908" s="177">
        <f t="shared" ref="CT908:CT911" si="515">IF(D908="",1,D908)</f>
        <v>1</v>
      </c>
      <c r="CU908" s="177">
        <f t="shared" si="486"/>
        <v>1</v>
      </c>
      <c r="CV908" s="177">
        <f t="shared" ref="CV908:CV911" si="516">IF(F908="",1,F908)</f>
        <v>1</v>
      </c>
      <c r="CW908" s="177">
        <f t="shared" si="487"/>
        <v>1</v>
      </c>
      <c r="CX908" s="177">
        <f t="shared" si="511"/>
        <v>1</v>
      </c>
      <c r="CY908" s="177">
        <f t="shared" si="488"/>
        <v>1</v>
      </c>
      <c r="CZ908" s="177">
        <f t="shared" si="512"/>
        <v>1</v>
      </c>
      <c r="DA908" s="177">
        <f t="shared" si="489"/>
        <v>1</v>
      </c>
      <c r="DB908" s="177">
        <f t="shared" si="513"/>
        <v>1</v>
      </c>
      <c r="DC908" s="177">
        <f t="shared" si="490"/>
        <v>1</v>
      </c>
      <c r="DD908" s="177">
        <f t="shared" si="491"/>
        <v>1</v>
      </c>
      <c r="DE908" s="177">
        <f t="shared" si="492"/>
        <v>1</v>
      </c>
    </row>
    <row r="909" spans="1:120" ht="18" customHeight="1" x14ac:dyDescent="0.3">
      <c r="A909" s="81">
        <v>0.93750000000002998</v>
      </c>
      <c r="B909" s="153"/>
      <c r="C909" s="130"/>
      <c r="D909" s="135"/>
      <c r="E909" s="130"/>
      <c r="F909" s="135"/>
      <c r="G909" s="130"/>
      <c r="H909" s="135"/>
      <c r="I909" s="130"/>
      <c r="J909" s="135"/>
      <c r="K909" s="130"/>
      <c r="L909" s="135"/>
      <c r="M909" s="130"/>
      <c r="N909" s="135"/>
      <c r="O909" s="154"/>
      <c r="P909" s="6">
        <v>0.2</v>
      </c>
      <c r="Q909" s="86" t="str">
        <f>IF('INFO BASE'!$C$27="","",'INFO BASE'!$C$27)</f>
        <v>Deslocação</v>
      </c>
      <c r="R909" s="87" t="str">
        <f t="shared" si="501"/>
        <v>HD</v>
      </c>
      <c r="S909" s="88">
        <f t="shared" si="498"/>
        <v>-1</v>
      </c>
      <c r="T909" s="89">
        <f>IF(VLOOKUP(Q909,'INFO BASE'!$B$40:$I$54,IF(R909='INFO BASE'!$B$32,3,IF(R909='INFO BASE'!$B$33,4,IF(R909='INFO BASE'!$B$34,5,IF(R909='INFO BASE'!$B$35,6,IF(R909='INFO BASE'!$B$36,7,IF(R909='INFO BASE'!$B$37,8,2)))))),0)=0,"",VLOOKUP(Q909,'INFO BASE'!$B$40:$I$54,IF(R909='INFO BASE'!$B$32,3,IF(R909='INFO BASE'!$B$33,4,IF(R909='INFO BASE'!$B$34,5,IF(R909='INFO BASE'!$B$35,6,IF(R909='INFO BASE'!$B$36,7,IF(R909='INFO BASE'!$B$37,8,2)))))),0))</f>
        <v>10</v>
      </c>
      <c r="U909" s="89">
        <f t="shared" si="510"/>
        <v>0</v>
      </c>
      <c r="V909" s="89">
        <f>IF(R909="","",COUNTIFS(AI864:AV911,R909)*0.5)</f>
        <v>0</v>
      </c>
      <c r="W909" s="90" t="str">
        <f>IF(AH860="","-",IF(V909=0,U909,IFERROR((U909/V909)-1,"-")))</f>
        <v>-</v>
      </c>
      <c r="X909" s="203">
        <f t="shared" si="499"/>
        <v>0</v>
      </c>
      <c r="Y909" s="271"/>
      <c r="Z909" s="272"/>
      <c r="AA909" s="272"/>
      <c r="AB909" s="272"/>
      <c r="AC909" s="272"/>
      <c r="AD909" s="272"/>
      <c r="AE909" s="272"/>
      <c r="AF909" s="273"/>
      <c r="AH909" s="136">
        <v>0.93750000000002998</v>
      </c>
      <c r="AI909" s="136" t="str">
        <f>IF(AH860="","",IF(B909="","",B909))</f>
        <v/>
      </c>
      <c r="AJ909" s="136" t="str">
        <f>IF(AH860="","",IF(C909="","",C909))</f>
        <v/>
      </c>
      <c r="AK909" s="136" t="str">
        <f>IF(AH860="","",IF(D909="","",D909))</f>
        <v/>
      </c>
      <c r="AL909" s="136" t="str">
        <f>IF(AH860="","",IF(E909="","",E909))</f>
        <v/>
      </c>
      <c r="AM909" s="136" t="str">
        <f>IF(AH860="","",IF(F909="","",F909))</f>
        <v/>
      </c>
      <c r="AN909" s="136" t="str">
        <f>IF(AH860="","",IF(G909="","",G909))</f>
        <v/>
      </c>
      <c r="AO909" s="136" t="str">
        <f>IF(AH860="","",IF(H909="","",H909))</f>
        <v/>
      </c>
      <c r="AP909" s="136" t="str">
        <f>IF(AH860="","",IF(I909="","",I909))</f>
        <v/>
      </c>
      <c r="AQ909" s="136" t="str">
        <f>IF(AH860="","",IF(J909="","",J909))</f>
        <v/>
      </c>
      <c r="AR909" s="136" t="str">
        <f>IF(AH860="","",IF(K909="","",K909))</f>
        <v/>
      </c>
      <c r="AS909" s="136" t="str">
        <f>IF(AH860="","",IF(L909="","",L909))</f>
        <v/>
      </c>
      <c r="AT909" s="136" t="str">
        <f>IF(AH860="","",IF(M909="","",M909))</f>
        <v/>
      </c>
      <c r="AU909" s="136" t="str">
        <f>IF(AH860="","",IF(N909="","",N909))</f>
        <v/>
      </c>
      <c r="AV909" s="136" t="str">
        <f>IF(AH860="","",IF(O909="","",O909))</f>
        <v/>
      </c>
      <c r="AX909" s="136" t="str">
        <f>IF(AI860="","",IF(B909="","",B909))</f>
        <v/>
      </c>
      <c r="AY909" s="136" t="str">
        <f>IF(AI860="","",IF(C909="","",C909))</f>
        <v/>
      </c>
      <c r="AZ909" s="136" t="str">
        <f>IF(AI860="","",IF(D909="","",D909))</f>
        <v/>
      </c>
      <c r="BA909" s="136" t="str">
        <f>IF(AI860="","",IF(E909="","",E909))</f>
        <v/>
      </c>
      <c r="BB909" s="136" t="str">
        <f>IF(AI860="","",IF(F909="","",F909))</f>
        <v/>
      </c>
      <c r="BC909" s="136" t="str">
        <f>IF(AI860="","",IF(G909="","",G909))</f>
        <v/>
      </c>
      <c r="BD909" s="136" t="str">
        <f>IF(AI860="","",IF(H909="","",H909))</f>
        <v/>
      </c>
      <c r="BE909" s="136" t="str">
        <f>IF(AI860="","",IF(I909="","",I909))</f>
        <v/>
      </c>
      <c r="BF909" s="136" t="str">
        <f>IF(AI860="","",IF(J909="","",J909))</f>
        <v/>
      </c>
      <c r="BG909" s="136" t="str">
        <f>IF(AI860="","",IF(K909="","",K909))</f>
        <v/>
      </c>
      <c r="BH909" s="136" t="str">
        <f>IF(AI860="","",IF(L909="","",L909))</f>
        <v/>
      </c>
      <c r="BI909" s="136" t="str">
        <f>IF(AI860="","",IF(M909="","",M909))</f>
        <v/>
      </c>
      <c r="BJ909" s="136" t="str">
        <f>IF(AI860="","",IF(N909="","",N909))</f>
        <v/>
      </c>
      <c r="BK909" s="136" t="str">
        <f>IF(AI860="","",IF(O909="","",O909))</f>
        <v/>
      </c>
      <c r="BP909" s="136" t="str">
        <f>IF(BO909="","",COUNTIFS(AX864:BK911,BO909)*0.5)</f>
        <v/>
      </c>
      <c r="CA909" s="136">
        <f>'INFO BASE'!L986</f>
        <v>0</v>
      </c>
      <c r="CB909" s="136">
        <f>'INFO BASE'!M986</f>
        <v>0</v>
      </c>
      <c r="CR909" s="177">
        <f t="shared" si="514"/>
        <v>1</v>
      </c>
      <c r="CS909" s="177">
        <f t="shared" si="485"/>
        <v>1</v>
      </c>
      <c r="CT909" s="177">
        <f t="shared" si="515"/>
        <v>1</v>
      </c>
      <c r="CU909" s="177">
        <f t="shared" si="486"/>
        <v>1</v>
      </c>
      <c r="CV909" s="177">
        <f t="shared" si="516"/>
        <v>1</v>
      </c>
      <c r="CW909" s="177">
        <f t="shared" si="487"/>
        <v>1</v>
      </c>
      <c r="CX909" s="177">
        <f t="shared" si="511"/>
        <v>1</v>
      </c>
      <c r="CY909" s="177">
        <f t="shared" si="488"/>
        <v>1</v>
      </c>
      <c r="CZ909" s="177">
        <f t="shared" si="512"/>
        <v>1</v>
      </c>
      <c r="DA909" s="177">
        <f t="shared" si="489"/>
        <v>1</v>
      </c>
      <c r="DB909" s="177">
        <f t="shared" si="513"/>
        <v>1</v>
      </c>
      <c r="DC909" s="177">
        <f t="shared" si="490"/>
        <v>1</v>
      </c>
      <c r="DD909" s="177">
        <f t="shared" si="491"/>
        <v>1</v>
      </c>
      <c r="DE909" s="177">
        <f t="shared" si="492"/>
        <v>1</v>
      </c>
    </row>
    <row r="910" spans="1:120" ht="18" customHeight="1" x14ac:dyDescent="0.3">
      <c r="A910" s="81">
        <v>0.95833333333336401</v>
      </c>
      <c r="B910" s="153"/>
      <c r="C910" s="130"/>
      <c r="D910" s="135"/>
      <c r="E910" s="130"/>
      <c r="F910" s="135"/>
      <c r="G910" s="130"/>
      <c r="H910" s="135"/>
      <c r="I910" s="130"/>
      <c r="J910" s="135"/>
      <c r="K910" s="130"/>
      <c r="L910" s="135"/>
      <c r="M910" s="130"/>
      <c r="N910" s="135"/>
      <c r="O910" s="154"/>
      <c r="P910" s="6">
        <v>0.2</v>
      </c>
      <c r="Q910" s="91" t="str">
        <f>IF('INFO BASE'!$C$28="","",'INFO BASE'!$C$28)</f>
        <v>Refeição</v>
      </c>
      <c r="R910" s="87" t="str">
        <f t="shared" si="501"/>
        <v>HR</v>
      </c>
      <c r="S910" s="88">
        <f t="shared" si="498"/>
        <v>-1</v>
      </c>
      <c r="T910" s="89">
        <f>IF(VLOOKUP(Q910,'INFO BASE'!$B$40:$I$54,IF(R910='INFO BASE'!$B$32,3,IF(R910='INFO BASE'!$B$33,4,IF(R910='INFO BASE'!$B$34,5,IF(R910='INFO BASE'!$B$35,6,IF(R910='INFO BASE'!$B$36,7,IF(R910='INFO BASE'!$B$37,8,2)))))),0)=0,"",VLOOKUP(Q910,'INFO BASE'!$B$40:$I$54,IF(R910='INFO BASE'!$B$32,3,IF(R910='INFO BASE'!$B$33,4,IF(R910='INFO BASE'!$B$34,5,IF(R910='INFO BASE'!$B$35,6,IF(R910='INFO BASE'!$B$36,7,IF(R910='INFO BASE'!$B$37,8,2)))))),0))</f>
        <v>15</v>
      </c>
      <c r="U910" s="89">
        <f t="shared" si="510"/>
        <v>0</v>
      </c>
      <c r="V910" s="89">
        <f>IF(R910="","",COUNTIFS(AI864:AV911,R910)*0.5)</f>
        <v>0</v>
      </c>
      <c r="W910" s="90" t="str">
        <f>IF(AH860="","-",IF(V910=0,U910,IFERROR((U910/V910)-1,"-")))</f>
        <v>-</v>
      </c>
      <c r="X910" s="204">
        <f t="shared" si="499"/>
        <v>0</v>
      </c>
      <c r="Y910" s="271"/>
      <c r="Z910" s="272"/>
      <c r="AA910" s="272"/>
      <c r="AB910" s="272"/>
      <c r="AC910" s="272"/>
      <c r="AD910" s="272"/>
      <c r="AE910" s="272"/>
      <c r="AF910" s="273"/>
      <c r="AH910" s="136">
        <v>0.95833333333336401</v>
      </c>
      <c r="AI910" s="136" t="str">
        <f>IF(AH860="","",IF(B910="","",B910))</f>
        <v/>
      </c>
      <c r="AJ910" s="136" t="str">
        <f>IF(AH860="","",IF(C910="","",C910))</f>
        <v/>
      </c>
      <c r="AK910" s="136" t="str">
        <f>IF(AH860="","",IF(D910="","",D910))</f>
        <v/>
      </c>
      <c r="AL910" s="136" t="str">
        <f>IF(AH860="","",IF(E910="","",E910))</f>
        <v/>
      </c>
      <c r="AM910" s="136" t="str">
        <f>IF(AH860="","",IF(F910="","",F910))</f>
        <v/>
      </c>
      <c r="AN910" s="136" t="str">
        <f>IF(AH860="","",IF(G910="","",G910))</f>
        <v/>
      </c>
      <c r="AO910" s="136" t="str">
        <f>IF(AH860="","",IF(H910="","",H910))</f>
        <v/>
      </c>
      <c r="AP910" s="136" t="str">
        <f>IF(AH860="","",IF(I910="","",I910))</f>
        <v/>
      </c>
      <c r="AQ910" s="136" t="str">
        <f>IF(AH860="","",IF(J910="","",J910))</f>
        <v/>
      </c>
      <c r="AR910" s="136" t="str">
        <f>IF(AH860="","",IF(K910="","",K910))</f>
        <v/>
      </c>
      <c r="AS910" s="136" t="str">
        <f>IF(AH860="","",IF(L910="","",L910))</f>
        <v/>
      </c>
      <c r="AT910" s="136" t="str">
        <f>IF(AH860="","",IF(M910="","",M910))</f>
        <v/>
      </c>
      <c r="AU910" s="136" t="str">
        <f>IF(AH860="","",IF(N910="","",N910))</f>
        <v/>
      </c>
      <c r="AV910" s="136" t="str">
        <f>IF(AH860="","",IF(O910="","",O910))</f>
        <v/>
      </c>
      <c r="AX910" s="136" t="str">
        <f>IF(AI860="","",IF(B910="","",B910))</f>
        <v/>
      </c>
      <c r="AY910" s="136" t="str">
        <f>IF(AI860="","",IF(C910="","",C910))</f>
        <v/>
      </c>
      <c r="AZ910" s="136" t="str">
        <f>IF(AI860="","",IF(D910="","",D910))</f>
        <v/>
      </c>
      <c r="BA910" s="136" t="str">
        <f>IF(AI860="","",IF(E910="","",E910))</f>
        <v/>
      </c>
      <c r="BB910" s="136" t="str">
        <f>IF(AI860="","",IF(F910="","",F910))</f>
        <v/>
      </c>
      <c r="BC910" s="136" t="str">
        <f>IF(AI860="","",IF(G910="","",G910))</f>
        <v/>
      </c>
      <c r="BD910" s="136" t="str">
        <f>IF(AI860="","",IF(H910="","",H910))</f>
        <v/>
      </c>
      <c r="BE910" s="136" t="str">
        <f>IF(AI860="","",IF(I910="","",I910))</f>
        <v/>
      </c>
      <c r="BF910" s="136" t="str">
        <f>IF(AI860="","",IF(J910="","",J910))</f>
        <v/>
      </c>
      <c r="BG910" s="136" t="str">
        <f>IF(AI860="","",IF(K910="","",K910))</f>
        <v/>
      </c>
      <c r="BH910" s="136" t="str">
        <f>IF(AI860="","",IF(L910="","",L910))</f>
        <v/>
      </c>
      <c r="BI910" s="136" t="str">
        <f>IF(AI860="","",IF(M910="","",M910))</f>
        <v/>
      </c>
      <c r="BJ910" s="136" t="str">
        <f>IF(AI860="","",IF(N910="","",N910))</f>
        <v/>
      </c>
      <c r="BK910" s="136" t="str">
        <f>IF(AI860="","",IF(O910="","",O910))</f>
        <v/>
      </c>
      <c r="BP910" s="136" t="str">
        <f>IF(BO910="","",COUNTIFS(AX864:BK911,BO910)*0.5)</f>
        <v/>
      </c>
      <c r="CA910" s="136">
        <f>'INFO BASE'!L987</f>
        <v>0</v>
      </c>
      <c r="CB910" s="136">
        <f>'INFO BASE'!M987</f>
        <v>0</v>
      </c>
      <c r="CR910" s="177">
        <f t="shared" si="514"/>
        <v>1</v>
      </c>
      <c r="CS910" s="177">
        <f t="shared" si="485"/>
        <v>1</v>
      </c>
      <c r="CT910" s="177">
        <f t="shared" si="515"/>
        <v>1</v>
      </c>
      <c r="CU910" s="177">
        <f t="shared" si="486"/>
        <v>1</v>
      </c>
      <c r="CV910" s="177">
        <f t="shared" si="516"/>
        <v>1</v>
      </c>
      <c r="CW910" s="177">
        <f t="shared" si="487"/>
        <v>1</v>
      </c>
      <c r="CX910" s="177">
        <f t="shared" si="511"/>
        <v>1</v>
      </c>
      <c r="CY910" s="177">
        <f t="shared" si="488"/>
        <v>1</v>
      </c>
      <c r="CZ910" s="177">
        <f t="shared" si="512"/>
        <v>1</v>
      </c>
      <c r="DA910" s="177">
        <f t="shared" si="489"/>
        <v>1</v>
      </c>
      <c r="DB910" s="177">
        <f t="shared" si="513"/>
        <v>1</v>
      </c>
      <c r="DC910" s="177">
        <f t="shared" si="490"/>
        <v>1</v>
      </c>
      <c r="DD910" s="177">
        <f t="shared" si="491"/>
        <v>1</v>
      </c>
      <c r="DE910" s="177">
        <f t="shared" si="492"/>
        <v>1</v>
      </c>
    </row>
    <row r="911" spans="1:120" ht="18" customHeight="1" thickBot="1" x14ac:dyDescent="0.35">
      <c r="A911" s="180">
        <v>0.97916666666669805</v>
      </c>
      <c r="B911" s="155"/>
      <c r="C911" s="156"/>
      <c r="D911" s="157"/>
      <c r="E911" s="156"/>
      <c r="F911" s="157"/>
      <c r="G911" s="156"/>
      <c r="H911" s="157"/>
      <c r="I911" s="156"/>
      <c r="J911" s="157"/>
      <c r="K911" s="156"/>
      <c r="L911" s="157"/>
      <c r="M911" s="156"/>
      <c r="N911" s="157"/>
      <c r="O911" s="158"/>
      <c r="P911" s="6">
        <v>0.2</v>
      </c>
      <c r="Q911" s="92" t="str">
        <f>IF('INFO BASE'!$C$29="","",'INFO BASE'!$C$29)</f>
        <v>Sono</v>
      </c>
      <c r="R911" s="93" t="str">
        <f t="shared" si="501"/>
        <v>HS</v>
      </c>
      <c r="S911" s="94">
        <f t="shared" si="498"/>
        <v>-1</v>
      </c>
      <c r="T911" s="95">
        <f>IF(VLOOKUP(Q911,'INFO BASE'!$B$40:$I$54,IF(R911='INFO BASE'!$B$32,3,IF(R911='INFO BASE'!$B$33,4,IF(R911='INFO BASE'!$B$34,5,IF(R911='INFO BASE'!$B$35,6,IF(R911='INFO BASE'!$B$36,7,IF(R911='INFO BASE'!$B$37,8,2)))))),0)=0,"",VLOOKUP(Q911,'INFO BASE'!$B$40:$I$54,IF(R911='INFO BASE'!$B$32,3,IF(R911='INFO BASE'!$B$33,4,IF(R911='INFO BASE'!$B$34,5,IF(R911='INFO BASE'!$B$35,6,IF(R911='INFO BASE'!$B$36,7,IF(R911='INFO BASE'!$B$37,8,2)))))),0))</f>
        <v>49</v>
      </c>
      <c r="U911" s="95">
        <f t="shared" si="510"/>
        <v>0</v>
      </c>
      <c r="V911" s="95">
        <f>IF(R911="","",COUNTIFS(AI864:AV911,R911)*0.5)</f>
        <v>0</v>
      </c>
      <c r="W911" s="96" t="str">
        <f>IF(AH860="","-",IF(V911=0,U911,IFERROR((U911/V911)-1,"-")))</f>
        <v>-</v>
      </c>
      <c r="X911" s="204">
        <f t="shared" si="499"/>
        <v>0</v>
      </c>
      <c r="Y911" s="274"/>
      <c r="Z911" s="275"/>
      <c r="AA911" s="275"/>
      <c r="AB911" s="275"/>
      <c r="AC911" s="275"/>
      <c r="AD911" s="275"/>
      <c r="AE911" s="275"/>
      <c r="AF911" s="276"/>
      <c r="AH911" s="136">
        <v>0.97916666666669805</v>
      </c>
      <c r="AI911" s="136" t="str">
        <f>IF(AH860="","",IF(B911="","",B911))</f>
        <v/>
      </c>
      <c r="AJ911" s="136" t="str">
        <f>IF(AH860="","",IF(C911="","",C911))</f>
        <v/>
      </c>
      <c r="AK911" s="136" t="str">
        <f>IF(AH860="","",IF(D911="","",D911))</f>
        <v/>
      </c>
      <c r="AL911" s="136" t="str">
        <f>IF(AH860="","",IF(E911="","",E911))</f>
        <v/>
      </c>
      <c r="AM911" s="136" t="str">
        <f>IF(AH860="","",IF(F911="","",F911))</f>
        <v/>
      </c>
      <c r="AN911" s="136" t="str">
        <f>IF(AH860="","",IF(G911="","",G911))</f>
        <v/>
      </c>
      <c r="AO911" s="136" t="str">
        <f>IF(AH860="","",IF(H911="","",H911))</f>
        <v/>
      </c>
      <c r="AP911" s="136" t="str">
        <f>IF(AH860="","",IF(I911="","",I911))</f>
        <v/>
      </c>
      <c r="AQ911" s="136" t="str">
        <f>IF(AH860="","",IF(J911="","",J911))</f>
        <v/>
      </c>
      <c r="AR911" s="136" t="str">
        <f>IF(AH860="","",IF(K911="","",K911))</f>
        <v/>
      </c>
      <c r="AS911" s="136" t="str">
        <f>IF(AH860="","",IF(L911="","",L911))</f>
        <v/>
      </c>
      <c r="AT911" s="136" t="str">
        <f>IF(AH860="","",IF(M911="","",M911))</f>
        <v/>
      </c>
      <c r="AU911" s="136" t="str">
        <f>IF(AH860="","",IF(N911="","",N911))</f>
        <v/>
      </c>
      <c r="AV911" s="136" t="str">
        <f>IF(AH860="","",IF(O911="","",O911))</f>
        <v/>
      </c>
      <c r="AX911" s="136" t="str">
        <f>IF(AI860="","",IF(B911="","",B911))</f>
        <v/>
      </c>
      <c r="AY911" s="136" t="str">
        <f>IF(AI860="","",IF(C911="","",C911))</f>
        <v/>
      </c>
      <c r="AZ911" s="136" t="str">
        <f>IF(AI860="","",IF(D911="","",D911))</f>
        <v/>
      </c>
      <c r="BA911" s="136" t="str">
        <f>IF(AI860="","",IF(E911="","",E911))</f>
        <v/>
      </c>
      <c r="BB911" s="136" t="str">
        <f>IF(AI860="","",IF(F911="","",F911))</f>
        <v/>
      </c>
      <c r="BC911" s="136" t="str">
        <f>IF(AI860="","",IF(G911="","",G911))</f>
        <v/>
      </c>
      <c r="BD911" s="136" t="str">
        <f>IF(AI860="","",IF(H911="","",H911))</f>
        <v/>
      </c>
      <c r="BE911" s="136" t="str">
        <f>IF(AI860="","",IF(I911="","",I911))</f>
        <v/>
      </c>
      <c r="BF911" s="136" t="str">
        <f>IF(AI860="","",IF(J911="","",J911))</f>
        <v/>
      </c>
      <c r="BG911" s="136" t="str">
        <f>IF(AI860="","",IF(K911="","",K911))</f>
        <v/>
      </c>
      <c r="BH911" s="136" t="str">
        <f>IF(AI860="","",IF(L911="","",L911))</f>
        <v/>
      </c>
      <c r="BI911" s="136" t="str">
        <f>IF(AI860="","",IF(M911="","",M911))</f>
        <v/>
      </c>
      <c r="BJ911" s="136" t="str">
        <f>IF(AI860="","",IF(N911="","",N911))</f>
        <v/>
      </c>
      <c r="BK911" s="136" t="str">
        <f>IF(AI860="","",IF(O911="","",O911))</f>
        <v/>
      </c>
      <c r="BP911" s="136" t="str">
        <f>IF(BO911="","",COUNTIFS(AX864:BK911,BO911)*0.5)</f>
        <v/>
      </c>
      <c r="CA911" s="136">
        <f>'INFO BASE'!L988</f>
        <v>0</v>
      </c>
      <c r="CB911" s="136">
        <f>'INFO BASE'!M988</f>
        <v>0</v>
      </c>
      <c r="CR911" s="177">
        <f t="shared" si="514"/>
        <v>1</v>
      </c>
      <c r="CS911" s="177">
        <f t="shared" si="485"/>
        <v>1</v>
      </c>
      <c r="CT911" s="177">
        <f t="shared" si="515"/>
        <v>1</v>
      </c>
      <c r="CU911" s="177">
        <f t="shared" si="486"/>
        <v>1</v>
      </c>
      <c r="CV911" s="177">
        <f t="shared" si="516"/>
        <v>1</v>
      </c>
      <c r="CW911" s="177">
        <f t="shared" si="487"/>
        <v>1</v>
      </c>
      <c r="CX911" s="177">
        <f t="shared" si="511"/>
        <v>1</v>
      </c>
      <c r="CY911" s="177">
        <f t="shared" si="488"/>
        <v>1</v>
      </c>
      <c r="CZ911" s="177">
        <f t="shared" si="512"/>
        <v>1</v>
      </c>
      <c r="DA911" s="177">
        <f t="shared" si="489"/>
        <v>1</v>
      </c>
      <c r="DB911" s="177">
        <f t="shared" si="513"/>
        <v>1</v>
      </c>
      <c r="DC911" s="177">
        <f t="shared" si="490"/>
        <v>1</v>
      </c>
      <c r="DD911" s="177">
        <f t="shared" si="491"/>
        <v>1</v>
      </c>
      <c r="DE911" s="177">
        <f t="shared" si="492"/>
        <v>1</v>
      </c>
    </row>
    <row r="912" spans="1:120" s="139" customFormat="1" ht="15" thickTop="1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7">
        <v>1</v>
      </c>
      <c r="Y912" s="6">
        <f>COUNTA(Y875:AF911)</f>
        <v>0</v>
      </c>
      <c r="Z912" s="6">
        <f>SUM(X875:X911)</f>
        <v>0</v>
      </c>
      <c r="AA912" s="6">
        <f>IF(Z912&gt;Y912,"ERRO",0)</f>
        <v>0</v>
      </c>
      <c r="AB912" s="6"/>
      <c r="AC912" s="6"/>
      <c r="AD912" s="6"/>
      <c r="AE912" s="6"/>
      <c r="AF912" s="6"/>
      <c r="AG912" s="6"/>
      <c r="BM912" s="136"/>
      <c r="BN912" s="136"/>
      <c r="BO912" s="136"/>
      <c r="BP912" s="136"/>
      <c r="BQ912" s="136"/>
      <c r="BR912" s="136"/>
      <c r="BS912" s="136"/>
      <c r="BT912" s="136"/>
      <c r="BU912" s="136"/>
      <c r="DN912" s="194"/>
      <c r="DO912" s="194"/>
      <c r="DP912" s="194"/>
    </row>
    <row r="913" spans="1:120" s="139" customFormat="1" hidden="1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7">
        <v>1</v>
      </c>
      <c r="Y913" s="6" t="s">
        <v>220</v>
      </c>
      <c r="Z913" s="6" t="s">
        <v>219</v>
      </c>
      <c r="AA913" s="6" t="s">
        <v>221</v>
      </c>
      <c r="AB913" s="6"/>
      <c r="AC913" s="6"/>
      <c r="AD913" s="6"/>
      <c r="AE913" s="6"/>
      <c r="AF913" s="6"/>
      <c r="AG913" s="6"/>
      <c r="BM913" s="136"/>
      <c r="BN913" s="136"/>
      <c r="BO913" s="136"/>
      <c r="BP913" s="136"/>
      <c r="BQ913" s="136"/>
      <c r="BR913" s="136"/>
      <c r="BS913" s="136"/>
      <c r="BT913" s="136"/>
      <c r="BU913" s="136"/>
      <c r="DN913" s="194"/>
      <c r="DO913" s="194"/>
      <c r="DP913" s="194"/>
    </row>
    <row r="914" spans="1:120" hidden="1" x14ac:dyDescent="0.3">
      <c r="X914" s="7">
        <v>1</v>
      </c>
    </row>
    <row r="915" spans="1:120" hidden="1" x14ac:dyDescent="0.3">
      <c r="X915" s="7">
        <v>1</v>
      </c>
      <c r="CR915" s="136">
        <f>48*14</f>
        <v>672</v>
      </c>
    </row>
    <row r="916" spans="1:120" hidden="1" x14ac:dyDescent="0.3">
      <c r="X916" s="7">
        <v>1</v>
      </c>
    </row>
    <row r="917" spans="1:120" ht="15" hidden="1" customHeight="1" x14ac:dyDescent="0.3"/>
    <row r="918" spans="1:120" ht="15" hidden="1" customHeight="1" x14ac:dyDescent="0.3"/>
    <row r="919" spans="1:120" ht="15" hidden="1" customHeight="1" x14ac:dyDescent="0.3"/>
    <row r="920" spans="1:120" ht="15" hidden="1" customHeight="1" x14ac:dyDescent="0.3"/>
    <row r="921" spans="1:120" ht="15" hidden="1" customHeight="1" x14ac:dyDescent="0.3"/>
    <row r="922" spans="1:120" ht="15" hidden="1" customHeight="1" x14ac:dyDescent="0.3"/>
    <row r="923" spans="1:120" ht="15" hidden="1" customHeight="1" x14ac:dyDescent="0.3"/>
    <row r="924" spans="1:120" ht="15" hidden="1" customHeight="1" x14ac:dyDescent="0.3"/>
    <row r="925" spans="1:120" ht="15" hidden="1" customHeight="1" x14ac:dyDescent="0.3"/>
    <row r="926" spans="1:120" ht="15" hidden="1" customHeight="1" x14ac:dyDescent="0.3"/>
    <row r="927" spans="1:120" ht="15" hidden="1" customHeight="1" x14ac:dyDescent="0.3"/>
    <row r="928" spans="1:120" ht="15" hidden="1" customHeight="1" x14ac:dyDescent="0.3"/>
    <row r="929" ht="15" hidden="1" customHeight="1" x14ac:dyDescent="0.3"/>
    <row r="930" ht="15" hidden="1" customHeight="1" x14ac:dyDescent="0.3"/>
    <row r="931" ht="15" hidden="1" customHeight="1" x14ac:dyDescent="0.3"/>
    <row r="932" ht="15" hidden="1" customHeight="1" x14ac:dyDescent="0.3"/>
    <row r="933" ht="15" hidden="1" customHeight="1" x14ac:dyDescent="0.3"/>
    <row r="934" ht="15" hidden="1" customHeight="1" x14ac:dyDescent="0.3"/>
    <row r="935" ht="15" hidden="1" customHeight="1" x14ac:dyDescent="0.3"/>
    <row r="936" ht="15" hidden="1" customHeight="1" x14ac:dyDescent="0.3"/>
    <row r="937" ht="15" hidden="1" customHeight="1" x14ac:dyDescent="0.3"/>
    <row r="938" ht="15" hidden="1" customHeight="1" x14ac:dyDescent="0.3"/>
    <row r="939" ht="15" hidden="1" customHeight="1" x14ac:dyDescent="0.3"/>
    <row r="940" ht="15" hidden="1" customHeight="1" x14ac:dyDescent="0.3"/>
    <row r="941" ht="15" hidden="1" customHeight="1" x14ac:dyDescent="0.3"/>
    <row r="942" ht="15" hidden="1" customHeight="1" x14ac:dyDescent="0.3"/>
    <row r="943" ht="15" hidden="1" customHeight="1" x14ac:dyDescent="0.3"/>
    <row r="944" ht="15" hidden="1" customHeight="1" x14ac:dyDescent="0.3"/>
    <row r="945" ht="15" hidden="1" customHeight="1" x14ac:dyDescent="0.3"/>
    <row r="946" ht="15" hidden="1" customHeight="1" x14ac:dyDescent="0.3"/>
    <row r="947" ht="15" hidden="1" customHeight="1" x14ac:dyDescent="0.3"/>
    <row r="948" ht="15" hidden="1" customHeight="1" x14ac:dyDescent="0.3"/>
    <row r="949" ht="15" hidden="1" customHeight="1" x14ac:dyDescent="0.3"/>
    <row r="950" ht="15" hidden="1" customHeight="1" x14ac:dyDescent="0.3"/>
    <row r="951" ht="15" hidden="1" customHeight="1" x14ac:dyDescent="0.3"/>
    <row r="952" ht="15" hidden="1" customHeight="1" x14ac:dyDescent="0.3"/>
    <row r="953" ht="15" hidden="1" customHeight="1" x14ac:dyDescent="0.3"/>
    <row r="954" ht="15" hidden="1" customHeight="1" x14ac:dyDescent="0.3"/>
    <row r="955" ht="15" hidden="1" customHeight="1" x14ac:dyDescent="0.3"/>
    <row r="956" ht="15" hidden="1" customHeight="1" x14ac:dyDescent="0.3"/>
    <row r="957" ht="15" hidden="1" customHeight="1" x14ac:dyDescent="0.3"/>
    <row r="958" ht="15" hidden="1" customHeight="1" x14ac:dyDescent="0.3"/>
    <row r="959" ht="15" hidden="1" customHeight="1" x14ac:dyDescent="0.3"/>
    <row r="960" ht="15" hidden="1" customHeight="1" x14ac:dyDescent="0.3"/>
    <row r="961" ht="15" hidden="1" customHeight="1" x14ac:dyDescent="0.3"/>
    <row r="962" ht="15" hidden="1" customHeight="1" x14ac:dyDescent="0.3"/>
    <row r="963" ht="15" hidden="1" customHeight="1" x14ac:dyDescent="0.3"/>
    <row r="964" ht="15" hidden="1" customHeight="1" x14ac:dyDescent="0.3"/>
    <row r="965" ht="15" hidden="1" customHeight="1" x14ac:dyDescent="0.3"/>
    <row r="966" ht="15" hidden="1" customHeight="1" x14ac:dyDescent="0.3"/>
    <row r="967" ht="15" hidden="1" customHeight="1" x14ac:dyDescent="0.3"/>
    <row r="968" ht="15" hidden="1" customHeight="1" x14ac:dyDescent="0.3"/>
    <row r="969" ht="15" hidden="1" customHeight="1" x14ac:dyDescent="0.3"/>
    <row r="970" ht="15" hidden="1" customHeight="1" x14ac:dyDescent="0.3"/>
    <row r="971" ht="15" hidden="1" customHeight="1" x14ac:dyDescent="0.3"/>
    <row r="972" ht="15" hidden="1" customHeight="1" x14ac:dyDescent="0.3"/>
    <row r="973" ht="15" hidden="1" customHeight="1" x14ac:dyDescent="0.3"/>
    <row r="974" ht="15" hidden="1" customHeight="1" x14ac:dyDescent="0.3"/>
    <row r="975" ht="15" hidden="1" customHeight="1" x14ac:dyDescent="0.3"/>
    <row r="976" ht="15" hidden="1" customHeight="1" x14ac:dyDescent="0.3"/>
    <row r="977" ht="15" hidden="1" customHeight="1" x14ac:dyDescent="0.3"/>
    <row r="978" ht="15" hidden="1" customHeight="1" x14ac:dyDescent="0.3"/>
    <row r="979" ht="15" hidden="1" customHeight="1" x14ac:dyDescent="0.3"/>
    <row r="980" ht="15" hidden="1" customHeight="1" x14ac:dyDescent="0.3"/>
    <row r="981" ht="15" hidden="1" customHeight="1" x14ac:dyDescent="0.3"/>
    <row r="982" ht="15" hidden="1" customHeight="1" x14ac:dyDescent="0.3"/>
    <row r="983" ht="15" hidden="1" customHeight="1" x14ac:dyDescent="0.3"/>
    <row r="984" ht="15" hidden="1" customHeight="1" x14ac:dyDescent="0.3"/>
    <row r="985" ht="15" hidden="1" customHeight="1" x14ac:dyDescent="0.3"/>
    <row r="986" ht="15" hidden="1" customHeight="1" x14ac:dyDescent="0.3"/>
    <row r="987" ht="15" hidden="1" customHeight="1" x14ac:dyDescent="0.3"/>
    <row r="988" ht="15" hidden="1" customHeight="1" x14ac:dyDescent="0.3"/>
    <row r="989" ht="15" hidden="1" customHeight="1" x14ac:dyDescent="0.3"/>
    <row r="990" ht="15" hidden="1" customHeight="1" x14ac:dyDescent="0.3"/>
    <row r="991" ht="15" hidden="1" customHeight="1" x14ac:dyDescent="0.3"/>
    <row r="992" ht="15" hidden="1" customHeight="1" x14ac:dyDescent="0.3"/>
    <row r="993" ht="15" hidden="1" customHeight="1" x14ac:dyDescent="0.3"/>
    <row r="994" ht="15" hidden="1" customHeight="1" x14ac:dyDescent="0.3"/>
    <row r="995" ht="15" hidden="1" customHeight="1" x14ac:dyDescent="0.3"/>
    <row r="996" ht="15" hidden="1" customHeight="1" x14ac:dyDescent="0.3"/>
    <row r="997" ht="15" hidden="1" customHeight="1" x14ac:dyDescent="0.3"/>
    <row r="998" ht="15" hidden="1" customHeight="1" x14ac:dyDescent="0.3"/>
    <row r="999" ht="15" hidden="1" customHeight="1" x14ac:dyDescent="0.3"/>
    <row r="1000" ht="15" hidden="1" customHeight="1" x14ac:dyDescent="0.3"/>
    <row r="1001" ht="15" hidden="1" customHeight="1" x14ac:dyDescent="0.3"/>
    <row r="1002" ht="15" hidden="1" customHeight="1" x14ac:dyDescent="0.3"/>
    <row r="1003" ht="15" hidden="1" customHeight="1" x14ac:dyDescent="0.3"/>
    <row r="1004" ht="15" hidden="1" customHeight="1" x14ac:dyDescent="0.3"/>
    <row r="1005" ht="15" hidden="1" customHeight="1" x14ac:dyDescent="0.3"/>
    <row r="1006" ht="15" hidden="1" customHeight="1" x14ac:dyDescent="0.3"/>
    <row r="1007" ht="15" hidden="1" customHeight="1" x14ac:dyDescent="0.3"/>
    <row r="1008" ht="15" hidden="1" customHeight="1" x14ac:dyDescent="0.3"/>
    <row r="1009" ht="15" hidden="1" customHeight="1" x14ac:dyDescent="0.3"/>
    <row r="1010" ht="15" hidden="1" customHeight="1" x14ac:dyDescent="0.3"/>
    <row r="1011" ht="15" hidden="1" customHeight="1" x14ac:dyDescent="0.3"/>
    <row r="1012" ht="15" hidden="1" customHeight="1" x14ac:dyDescent="0.3"/>
    <row r="1013" ht="15" hidden="1" customHeight="1" x14ac:dyDescent="0.3"/>
    <row r="1014" ht="15" hidden="1" customHeight="1" x14ac:dyDescent="0.3"/>
    <row r="1015" ht="15" hidden="1" customHeight="1" x14ac:dyDescent="0.3"/>
    <row r="1016" ht="15" hidden="1" customHeight="1" x14ac:dyDescent="0.3"/>
    <row r="1017" ht="15" hidden="1" customHeight="1" x14ac:dyDescent="0.3"/>
    <row r="1018" ht="15" hidden="1" customHeight="1" x14ac:dyDescent="0.3"/>
    <row r="1019" ht="15" hidden="1" customHeight="1" x14ac:dyDescent="0.3"/>
    <row r="1020" ht="15" hidden="1" customHeight="1" x14ac:dyDescent="0.3"/>
    <row r="1021" ht="15" hidden="1" customHeight="1" x14ac:dyDescent="0.3"/>
    <row r="1022" ht="15" hidden="1" customHeight="1" x14ac:dyDescent="0.3"/>
    <row r="1023" ht="15" hidden="1" customHeight="1" x14ac:dyDescent="0.3"/>
    <row r="1024" ht="15" hidden="1" customHeight="1" x14ac:dyDescent="0.3"/>
    <row r="1025" ht="15" hidden="1" customHeight="1" x14ac:dyDescent="0.3"/>
    <row r="1026" ht="15" hidden="1" customHeight="1" x14ac:dyDescent="0.3"/>
    <row r="1027" ht="15" hidden="1" customHeight="1" x14ac:dyDescent="0.3"/>
    <row r="1028" ht="15" hidden="1" customHeight="1" x14ac:dyDescent="0.3"/>
    <row r="1029" ht="15" hidden="1" customHeight="1" x14ac:dyDescent="0.3"/>
    <row r="1030" ht="15" hidden="1" customHeight="1" x14ac:dyDescent="0.3"/>
    <row r="1031" ht="15" hidden="1" customHeight="1" x14ac:dyDescent="0.3"/>
    <row r="1032" ht="15" hidden="1" customHeight="1" x14ac:dyDescent="0.3"/>
    <row r="1033" ht="15" hidden="1" customHeight="1" x14ac:dyDescent="0.3"/>
    <row r="1034" ht="15" hidden="1" customHeight="1" x14ac:dyDescent="0.3"/>
    <row r="1035" ht="15" hidden="1" customHeight="1" x14ac:dyDescent="0.3"/>
    <row r="1036" ht="15" hidden="1" customHeight="1" x14ac:dyDescent="0.3"/>
    <row r="1037" ht="15" hidden="1" customHeight="1" x14ac:dyDescent="0.3"/>
    <row r="1038" ht="15" hidden="1" customHeight="1" x14ac:dyDescent="0.3"/>
    <row r="1039" ht="15" hidden="1" customHeight="1" x14ac:dyDescent="0.3"/>
    <row r="1040" ht="15" hidden="1" customHeight="1" x14ac:dyDescent="0.3"/>
    <row r="1041" ht="15" hidden="1" customHeight="1" x14ac:dyDescent="0.3"/>
    <row r="1042" ht="15" hidden="1" customHeight="1" x14ac:dyDescent="0.3"/>
    <row r="1043" ht="15" hidden="1" customHeight="1" x14ac:dyDescent="0.3"/>
    <row r="1044" ht="15" hidden="1" customHeight="1" x14ac:dyDescent="0.3"/>
    <row r="1045" ht="15" hidden="1" customHeight="1" x14ac:dyDescent="0.3"/>
    <row r="1046" ht="15" hidden="1" customHeight="1" x14ac:dyDescent="0.3"/>
    <row r="1047" ht="15" hidden="1" customHeight="1" x14ac:dyDescent="0.3"/>
    <row r="1048" ht="15" hidden="1" customHeight="1" x14ac:dyDescent="0.3"/>
    <row r="1049" ht="15" hidden="1" customHeight="1" x14ac:dyDescent="0.3"/>
    <row r="1050" ht="15" hidden="1" customHeight="1" x14ac:dyDescent="0.3"/>
    <row r="1051" ht="15" hidden="1" customHeight="1" x14ac:dyDescent="0.3"/>
    <row r="1052" ht="15" hidden="1" customHeight="1" x14ac:dyDescent="0.3"/>
    <row r="1053" ht="15" hidden="1" customHeight="1" x14ac:dyDescent="0.3"/>
    <row r="1054" ht="15" hidden="1" customHeight="1" x14ac:dyDescent="0.3"/>
    <row r="1055" ht="15" hidden="1" customHeight="1" x14ac:dyDescent="0.3"/>
    <row r="1056" ht="15" hidden="1" customHeight="1" x14ac:dyDescent="0.3"/>
    <row r="1057" ht="15" hidden="1" customHeight="1" x14ac:dyDescent="0.3"/>
    <row r="1058" ht="15" hidden="1" customHeight="1" x14ac:dyDescent="0.3"/>
    <row r="1059" ht="15" hidden="1" customHeight="1" x14ac:dyDescent="0.3"/>
    <row r="1060" ht="15" hidden="1" customHeight="1" x14ac:dyDescent="0.3"/>
    <row r="1061" ht="15" hidden="1" customHeight="1" x14ac:dyDescent="0.3"/>
    <row r="1062" ht="15" hidden="1" customHeight="1" x14ac:dyDescent="0.3"/>
    <row r="1063" ht="15" hidden="1" customHeight="1" x14ac:dyDescent="0.3"/>
    <row r="1064" ht="15" hidden="1" customHeight="1" x14ac:dyDescent="0.3"/>
    <row r="1065" ht="15" hidden="1" customHeight="1" x14ac:dyDescent="0.3"/>
    <row r="1066" ht="15" hidden="1" customHeight="1" x14ac:dyDescent="0.3"/>
    <row r="1067" ht="15" hidden="1" customHeight="1" x14ac:dyDescent="0.3"/>
    <row r="1068" ht="15" hidden="1" customHeight="1" x14ac:dyDescent="0.3"/>
    <row r="1069" ht="15" hidden="1" customHeight="1" x14ac:dyDescent="0.3"/>
    <row r="1070" ht="15" hidden="1" customHeight="1" x14ac:dyDescent="0.3"/>
    <row r="1071" ht="15" hidden="1" customHeight="1" x14ac:dyDescent="0.3"/>
    <row r="1072" ht="15" hidden="1" customHeight="1" x14ac:dyDescent="0.3"/>
    <row r="1073" ht="15" hidden="1" customHeight="1" x14ac:dyDescent="0.3"/>
    <row r="1074" ht="15" hidden="1" customHeight="1" x14ac:dyDescent="0.3"/>
    <row r="1075" ht="15" hidden="1" customHeight="1" x14ac:dyDescent="0.3"/>
    <row r="1076" ht="15" hidden="1" customHeight="1" x14ac:dyDescent="0.3"/>
    <row r="1077" ht="15" hidden="1" customHeight="1" x14ac:dyDescent="0.3"/>
    <row r="1078" ht="15" hidden="1" customHeight="1" x14ac:dyDescent="0.3"/>
    <row r="1079" ht="15" hidden="1" customHeight="1" x14ac:dyDescent="0.3"/>
    <row r="1080" ht="15" hidden="1" customHeight="1" x14ac:dyDescent="0.3"/>
    <row r="1081" ht="15" hidden="1" customHeight="1" x14ac:dyDescent="0.3"/>
    <row r="1082" ht="15" hidden="1" customHeight="1" x14ac:dyDescent="0.3"/>
    <row r="1083" ht="15" hidden="1" customHeight="1" x14ac:dyDescent="0.3"/>
    <row r="1084" ht="15" hidden="1" customHeight="1" x14ac:dyDescent="0.3"/>
    <row r="1085" ht="15" hidden="1" customHeight="1" x14ac:dyDescent="0.3"/>
    <row r="1086" ht="15" hidden="1" customHeight="1" x14ac:dyDescent="0.3"/>
    <row r="1087" ht="15" hidden="1" customHeight="1" x14ac:dyDescent="0.3"/>
    <row r="1088" ht="15" hidden="1" customHeight="1" x14ac:dyDescent="0.3"/>
    <row r="1089" ht="15" hidden="1" customHeight="1" x14ac:dyDescent="0.3"/>
    <row r="1090" ht="15" hidden="1" customHeight="1" x14ac:dyDescent="0.3"/>
    <row r="1091" ht="15" hidden="1" customHeight="1" x14ac:dyDescent="0.3"/>
    <row r="1092" ht="15" hidden="1" customHeight="1" x14ac:dyDescent="0.3"/>
    <row r="1093" ht="15" hidden="1" customHeight="1" x14ac:dyDescent="0.3"/>
    <row r="1094" ht="15" hidden="1" customHeight="1" x14ac:dyDescent="0.3"/>
    <row r="1095" ht="15" hidden="1" customHeight="1" x14ac:dyDescent="0.3"/>
    <row r="1096" ht="15" hidden="1" customHeight="1" x14ac:dyDescent="0.3"/>
    <row r="1097" ht="15" hidden="1" customHeight="1" x14ac:dyDescent="0.3"/>
    <row r="1098" ht="15" hidden="1" customHeight="1" x14ac:dyDescent="0.3"/>
    <row r="1099" ht="15" hidden="1" customHeight="1" x14ac:dyDescent="0.3"/>
    <row r="1100" ht="15" hidden="1" customHeight="1" x14ac:dyDescent="0.3"/>
    <row r="1101" ht="15" hidden="1" customHeight="1" x14ac:dyDescent="0.3"/>
    <row r="1102" ht="15" hidden="1" customHeight="1" x14ac:dyDescent="0.3"/>
    <row r="1103" ht="15" hidden="1" customHeight="1" x14ac:dyDescent="0.3"/>
    <row r="1104" ht="15" hidden="1" customHeight="1" x14ac:dyDescent="0.3"/>
    <row r="1105" ht="15" hidden="1" customHeight="1" x14ac:dyDescent="0.3"/>
    <row r="1106" ht="15" hidden="1" customHeight="1" x14ac:dyDescent="0.3"/>
    <row r="1107" ht="15" hidden="1" customHeight="1" x14ac:dyDescent="0.3"/>
    <row r="1108" ht="15" hidden="1" customHeight="1" x14ac:dyDescent="0.3"/>
    <row r="1109" ht="15" hidden="1" customHeight="1" x14ac:dyDescent="0.3"/>
    <row r="1110" ht="15" hidden="1" customHeight="1" x14ac:dyDescent="0.3"/>
    <row r="1111" ht="15" hidden="1" customHeight="1" x14ac:dyDescent="0.3"/>
    <row r="1112" ht="15" hidden="1" customHeight="1" x14ac:dyDescent="0.3"/>
    <row r="1113" ht="15" hidden="1" customHeight="1" x14ac:dyDescent="0.3"/>
    <row r="1114" ht="15" hidden="1" customHeight="1" x14ac:dyDescent="0.3"/>
    <row r="1115" ht="15" hidden="1" customHeight="1" x14ac:dyDescent="0.3"/>
    <row r="1116" ht="15" hidden="1" customHeight="1" x14ac:dyDescent="0.3"/>
    <row r="1117" ht="15" hidden="1" customHeight="1" x14ac:dyDescent="0.3"/>
    <row r="1118" ht="15" hidden="1" customHeight="1" x14ac:dyDescent="0.3"/>
    <row r="1119" ht="15" hidden="1" customHeight="1" x14ac:dyDescent="0.3"/>
    <row r="1120" ht="15" hidden="1" customHeight="1" x14ac:dyDescent="0.3"/>
    <row r="1121" ht="15" hidden="1" customHeight="1" x14ac:dyDescent="0.3"/>
    <row r="1122" ht="15" hidden="1" customHeight="1" x14ac:dyDescent="0.3"/>
    <row r="1123" ht="15" hidden="1" customHeight="1" x14ac:dyDescent="0.3"/>
    <row r="1124" ht="15" hidden="1" customHeight="1" x14ac:dyDescent="0.3"/>
    <row r="1125" ht="15" hidden="1" customHeight="1" x14ac:dyDescent="0.3"/>
    <row r="1126" ht="15" hidden="1" customHeight="1" x14ac:dyDescent="0.3"/>
    <row r="1127" ht="15" hidden="1" customHeight="1" x14ac:dyDescent="0.3"/>
    <row r="1128" ht="15" hidden="1" customHeight="1" x14ac:dyDescent="0.3"/>
    <row r="1129" ht="15" hidden="1" customHeight="1" x14ac:dyDescent="0.3"/>
    <row r="1130" ht="15" hidden="1" customHeight="1" x14ac:dyDescent="0.3"/>
    <row r="1131" ht="15" hidden="1" customHeight="1" x14ac:dyDescent="0.3"/>
    <row r="1132" ht="15" hidden="1" customHeight="1" x14ac:dyDescent="0.3"/>
    <row r="1133" ht="15" hidden="1" customHeight="1" x14ac:dyDescent="0.3"/>
    <row r="1134" ht="15" hidden="1" customHeight="1" x14ac:dyDescent="0.3"/>
    <row r="1135" ht="15" hidden="1" customHeight="1" x14ac:dyDescent="0.3"/>
    <row r="1136" ht="15" hidden="1" customHeight="1" x14ac:dyDescent="0.3"/>
    <row r="1137" ht="15" hidden="1" customHeight="1" x14ac:dyDescent="0.3"/>
    <row r="1138" ht="15" hidden="1" customHeight="1" x14ac:dyDescent="0.3"/>
    <row r="1139" ht="15" hidden="1" customHeight="1" x14ac:dyDescent="0.3"/>
    <row r="1140" ht="15" hidden="1" customHeight="1" x14ac:dyDescent="0.3"/>
    <row r="1141" ht="15" hidden="1" customHeight="1" x14ac:dyDescent="0.3"/>
    <row r="1142" ht="15" hidden="1" customHeight="1" x14ac:dyDescent="0.3"/>
    <row r="1143" ht="15" hidden="1" customHeight="1" x14ac:dyDescent="0.3"/>
    <row r="1144" ht="15" hidden="1" customHeight="1" x14ac:dyDescent="0.3"/>
    <row r="1145" ht="15" hidden="1" customHeight="1" x14ac:dyDescent="0.3"/>
    <row r="1146" ht="15" hidden="1" customHeight="1" x14ac:dyDescent="0.3"/>
    <row r="1147" ht="15" hidden="1" customHeight="1" x14ac:dyDescent="0.3"/>
    <row r="1148" ht="15" hidden="1" customHeight="1" x14ac:dyDescent="0.3"/>
    <row r="1149" ht="15" hidden="1" customHeight="1" x14ac:dyDescent="0.3"/>
    <row r="1150" ht="15" hidden="1" customHeight="1" x14ac:dyDescent="0.3"/>
    <row r="1151" ht="15" hidden="1" customHeight="1" x14ac:dyDescent="0.3"/>
    <row r="1152" ht="15" hidden="1" customHeight="1" x14ac:dyDescent="0.3"/>
    <row r="1153" ht="15" hidden="1" customHeight="1" x14ac:dyDescent="0.3"/>
    <row r="1154" ht="15" hidden="1" customHeight="1" x14ac:dyDescent="0.3"/>
    <row r="1155" ht="15" hidden="1" customHeight="1" x14ac:dyDescent="0.3"/>
    <row r="1156" ht="15" hidden="1" customHeight="1" x14ac:dyDescent="0.3"/>
    <row r="1157" ht="15" hidden="1" customHeight="1" x14ac:dyDescent="0.3"/>
    <row r="1158" ht="15" hidden="1" customHeight="1" x14ac:dyDescent="0.3"/>
    <row r="1159" ht="15" hidden="1" customHeight="1" x14ac:dyDescent="0.3"/>
    <row r="1160" ht="15" hidden="1" customHeight="1" x14ac:dyDescent="0.3"/>
    <row r="1161" ht="15" hidden="1" customHeight="1" x14ac:dyDescent="0.3"/>
    <row r="1162" ht="15" hidden="1" customHeight="1" x14ac:dyDescent="0.3"/>
    <row r="1163" ht="15" hidden="1" customHeight="1" x14ac:dyDescent="0.3"/>
    <row r="1164" ht="15" hidden="1" customHeight="1" x14ac:dyDescent="0.3"/>
    <row r="1165" ht="15" hidden="1" customHeight="1" x14ac:dyDescent="0.3"/>
    <row r="1166" ht="15" hidden="1" customHeight="1" x14ac:dyDescent="0.3"/>
    <row r="1167" ht="15" hidden="1" customHeight="1" x14ac:dyDescent="0.3"/>
    <row r="1168" ht="15" hidden="1" customHeight="1" x14ac:dyDescent="0.3"/>
    <row r="1169" ht="15" hidden="1" customHeight="1" x14ac:dyDescent="0.3"/>
    <row r="1170" ht="15" hidden="1" customHeight="1" x14ac:dyDescent="0.3"/>
    <row r="1171" ht="15" hidden="1" customHeight="1" x14ac:dyDescent="0.3"/>
    <row r="1172" ht="15" hidden="1" customHeight="1" x14ac:dyDescent="0.3"/>
    <row r="1173" ht="15" hidden="1" customHeight="1" x14ac:dyDescent="0.3"/>
    <row r="1174" ht="15" hidden="1" customHeight="1" x14ac:dyDescent="0.3"/>
    <row r="1175" ht="15" hidden="1" customHeight="1" x14ac:dyDescent="0.3"/>
    <row r="1176" ht="15" hidden="1" customHeight="1" x14ac:dyDescent="0.3"/>
    <row r="1177" ht="15" hidden="1" customHeight="1" x14ac:dyDescent="0.3"/>
    <row r="1178" ht="15" hidden="1" customHeight="1" x14ac:dyDescent="0.3"/>
    <row r="1179" ht="15" hidden="1" customHeight="1" x14ac:dyDescent="0.3"/>
    <row r="1180" ht="15" hidden="1" customHeight="1" x14ac:dyDescent="0.3"/>
    <row r="1181" ht="15" hidden="1" customHeight="1" x14ac:dyDescent="0.3"/>
    <row r="1182" ht="15" hidden="1" customHeight="1" x14ac:dyDescent="0.3"/>
    <row r="1183" ht="15" hidden="1" customHeight="1" x14ac:dyDescent="0.3"/>
    <row r="1184" ht="15" hidden="1" customHeight="1" x14ac:dyDescent="0.3"/>
    <row r="1185" ht="15" hidden="1" customHeight="1" x14ac:dyDescent="0.3"/>
    <row r="1186" ht="15" hidden="1" customHeight="1" x14ac:dyDescent="0.3"/>
    <row r="1187" ht="15" hidden="1" customHeight="1" x14ac:dyDescent="0.3"/>
    <row r="1188" ht="15" hidden="1" customHeight="1" x14ac:dyDescent="0.3"/>
    <row r="1189" ht="15" hidden="1" customHeight="1" x14ac:dyDescent="0.3"/>
    <row r="1190" ht="15" hidden="1" customHeight="1" x14ac:dyDescent="0.3"/>
    <row r="1191" ht="15" hidden="1" customHeight="1" x14ac:dyDescent="0.3"/>
    <row r="1192" ht="15" hidden="1" customHeight="1" x14ac:dyDescent="0.3"/>
    <row r="1193" ht="15" hidden="1" customHeight="1" x14ac:dyDescent="0.3"/>
    <row r="1194" ht="15" hidden="1" customHeight="1" x14ac:dyDescent="0.3"/>
    <row r="1195" ht="15" hidden="1" customHeight="1" x14ac:dyDescent="0.3"/>
    <row r="1196" ht="15" hidden="1" customHeight="1" x14ac:dyDescent="0.3"/>
    <row r="1197" ht="15" hidden="1" customHeight="1" x14ac:dyDescent="0.3"/>
    <row r="1198" ht="15" hidden="1" customHeight="1" x14ac:dyDescent="0.3"/>
    <row r="1199" ht="15" hidden="1" customHeight="1" x14ac:dyDescent="0.3"/>
    <row r="1200" ht="15" hidden="1" customHeight="1" x14ac:dyDescent="0.3"/>
    <row r="1201" ht="15" hidden="1" customHeight="1" x14ac:dyDescent="0.3"/>
    <row r="1202" ht="15" hidden="1" customHeight="1" x14ac:dyDescent="0.3"/>
    <row r="1203" ht="15" hidden="1" customHeight="1" x14ac:dyDescent="0.3"/>
    <row r="1204" ht="15" hidden="1" customHeight="1" x14ac:dyDescent="0.3"/>
    <row r="1205" ht="15" hidden="1" customHeight="1" x14ac:dyDescent="0.3"/>
    <row r="1206" ht="15" hidden="1" customHeight="1" x14ac:dyDescent="0.3"/>
    <row r="1207" ht="15" hidden="1" customHeight="1" x14ac:dyDescent="0.3"/>
    <row r="1208" ht="15" hidden="1" customHeight="1" x14ac:dyDescent="0.3"/>
    <row r="1209" ht="15" hidden="1" customHeight="1" x14ac:dyDescent="0.3"/>
    <row r="1210" ht="15" hidden="1" customHeight="1" x14ac:dyDescent="0.3"/>
    <row r="1211" ht="15" hidden="1" customHeight="1" x14ac:dyDescent="0.3"/>
    <row r="1212" ht="15" hidden="1" customHeight="1" x14ac:dyDescent="0.3"/>
    <row r="1213" ht="15" hidden="1" customHeight="1" x14ac:dyDescent="0.3"/>
    <row r="1214" ht="15" hidden="1" customHeight="1" x14ac:dyDescent="0.3"/>
    <row r="1215" ht="15" hidden="1" customHeight="1" x14ac:dyDescent="0.3"/>
    <row r="1216" ht="15" hidden="1" customHeight="1" x14ac:dyDescent="0.3"/>
    <row r="1217" ht="15" hidden="1" customHeight="1" x14ac:dyDescent="0.3"/>
    <row r="1218" ht="15" hidden="1" customHeight="1" x14ac:dyDescent="0.3"/>
    <row r="1219" ht="15" hidden="1" customHeight="1" x14ac:dyDescent="0.3"/>
    <row r="1220" ht="15" hidden="1" customHeight="1" x14ac:dyDescent="0.3"/>
    <row r="1221" ht="15" hidden="1" customHeight="1" x14ac:dyDescent="0.3"/>
    <row r="1222" ht="15" hidden="1" customHeight="1" x14ac:dyDescent="0.3"/>
    <row r="1223" ht="15" hidden="1" customHeight="1" x14ac:dyDescent="0.3"/>
    <row r="1224" ht="15" hidden="1" customHeight="1" x14ac:dyDescent="0.3"/>
    <row r="1225" ht="15" hidden="1" customHeight="1" x14ac:dyDescent="0.3"/>
    <row r="1226" ht="15" hidden="1" customHeight="1" x14ac:dyDescent="0.3"/>
    <row r="1227" ht="15" hidden="1" customHeight="1" x14ac:dyDescent="0.3"/>
    <row r="1228" ht="15" hidden="1" customHeight="1" x14ac:dyDescent="0.3"/>
    <row r="1229" ht="15" hidden="1" customHeight="1" x14ac:dyDescent="0.3"/>
    <row r="1230" ht="15" hidden="1" customHeight="1" x14ac:dyDescent="0.3"/>
    <row r="1231" ht="15" hidden="1" customHeight="1" x14ac:dyDescent="0.3"/>
    <row r="1232" ht="15" hidden="1" customHeight="1" x14ac:dyDescent="0.3"/>
    <row r="1233" ht="15" hidden="1" customHeight="1" x14ac:dyDescent="0.3"/>
    <row r="1234" ht="15" hidden="1" customHeight="1" x14ac:dyDescent="0.3"/>
    <row r="1235" ht="15" hidden="1" customHeight="1" x14ac:dyDescent="0.3"/>
    <row r="1236" ht="15" hidden="1" customHeight="1" x14ac:dyDescent="0.3"/>
    <row r="1237" ht="15" hidden="1" customHeight="1" x14ac:dyDescent="0.3"/>
    <row r="1238" ht="15" hidden="1" customHeight="1" x14ac:dyDescent="0.3"/>
    <row r="1239" ht="15" hidden="1" customHeight="1" x14ac:dyDescent="0.3"/>
    <row r="1240" ht="15" hidden="1" customHeight="1" x14ac:dyDescent="0.3"/>
    <row r="1241" ht="15" hidden="1" customHeight="1" x14ac:dyDescent="0.3"/>
    <row r="1242" ht="15" hidden="1" customHeight="1" x14ac:dyDescent="0.3"/>
    <row r="1243" ht="15" hidden="1" customHeight="1" x14ac:dyDescent="0.3"/>
    <row r="1244" ht="15" hidden="1" customHeight="1" x14ac:dyDescent="0.3"/>
    <row r="1245" ht="15" hidden="1" customHeight="1" x14ac:dyDescent="0.3"/>
    <row r="1246" ht="15" hidden="1" customHeight="1" x14ac:dyDescent="0.3"/>
    <row r="1247" ht="15" hidden="1" customHeight="1" x14ac:dyDescent="0.3"/>
    <row r="1248" ht="15" hidden="1" customHeight="1" x14ac:dyDescent="0.3"/>
    <row r="1249" ht="15" hidden="1" customHeight="1" x14ac:dyDescent="0.3"/>
    <row r="1250" ht="15" hidden="1" customHeight="1" x14ac:dyDescent="0.3"/>
    <row r="1251" ht="15" hidden="1" customHeight="1" x14ac:dyDescent="0.3"/>
    <row r="1252" ht="15" hidden="1" customHeight="1" x14ac:dyDescent="0.3"/>
    <row r="1253" ht="15" hidden="1" customHeight="1" x14ac:dyDescent="0.3"/>
    <row r="1254" ht="15" hidden="1" customHeight="1" x14ac:dyDescent="0.3"/>
    <row r="1255" ht="15" hidden="1" customHeight="1" x14ac:dyDescent="0.3"/>
    <row r="1256" ht="15" hidden="1" customHeight="1" x14ac:dyDescent="0.3"/>
    <row r="1257" ht="15" hidden="1" customHeight="1" x14ac:dyDescent="0.3"/>
    <row r="1258" ht="15" hidden="1" customHeight="1" x14ac:dyDescent="0.3"/>
    <row r="1259" ht="15" hidden="1" customHeight="1" x14ac:dyDescent="0.3"/>
    <row r="1260" ht="15" hidden="1" customHeight="1" x14ac:dyDescent="0.3"/>
    <row r="1261" ht="15" hidden="1" customHeight="1" x14ac:dyDescent="0.3"/>
    <row r="1262" ht="15" hidden="1" customHeight="1" x14ac:dyDescent="0.3"/>
    <row r="1263" ht="15" hidden="1" customHeight="1" x14ac:dyDescent="0.3"/>
    <row r="1264" ht="15" hidden="1" customHeight="1" x14ac:dyDescent="0.3"/>
    <row r="1265" ht="15" hidden="1" customHeight="1" x14ac:dyDescent="0.3"/>
    <row r="1266" ht="15" hidden="1" customHeight="1" x14ac:dyDescent="0.3"/>
    <row r="1267" ht="15" hidden="1" customHeight="1" x14ac:dyDescent="0.3"/>
    <row r="1268" ht="15" hidden="1" customHeight="1" x14ac:dyDescent="0.3"/>
    <row r="1269" ht="15" hidden="1" customHeight="1" x14ac:dyDescent="0.3"/>
    <row r="1270" ht="15" hidden="1" customHeight="1" x14ac:dyDescent="0.3"/>
    <row r="1271" ht="15" hidden="1" customHeight="1" x14ac:dyDescent="0.3"/>
    <row r="1272" ht="15" hidden="1" customHeight="1" x14ac:dyDescent="0.3"/>
    <row r="1273" ht="15" hidden="1" customHeight="1" x14ac:dyDescent="0.3"/>
    <row r="1274" ht="15" hidden="1" customHeight="1" x14ac:dyDescent="0.3"/>
    <row r="1275" ht="15" hidden="1" customHeight="1" x14ac:dyDescent="0.3"/>
    <row r="1276" ht="15" hidden="1" customHeight="1" x14ac:dyDescent="0.3"/>
    <row r="1277" ht="15" hidden="1" customHeight="1" x14ac:dyDescent="0.3"/>
    <row r="1278" ht="15" hidden="1" customHeight="1" x14ac:dyDescent="0.3"/>
    <row r="1279" ht="15" hidden="1" customHeight="1" x14ac:dyDescent="0.3"/>
    <row r="1280" ht="15" hidden="1" customHeight="1" x14ac:dyDescent="0.3"/>
    <row r="1281" ht="15" hidden="1" customHeight="1" x14ac:dyDescent="0.3"/>
    <row r="1282" ht="15" hidden="1" customHeight="1" x14ac:dyDescent="0.3"/>
    <row r="1283" ht="15" hidden="1" customHeight="1" x14ac:dyDescent="0.3"/>
    <row r="1284" ht="15" hidden="1" customHeight="1" x14ac:dyDescent="0.3"/>
    <row r="1285" ht="15" hidden="1" customHeight="1" x14ac:dyDescent="0.3"/>
    <row r="1286" ht="15" hidden="1" customHeight="1" x14ac:dyDescent="0.3"/>
    <row r="1287" ht="15" hidden="1" customHeight="1" x14ac:dyDescent="0.3"/>
    <row r="1288" ht="15" hidden="1" customHeight="1" x14ac:dyDescent="0.3"/>
    <row r="1289" ht="15" hidden="1" customHeight="1" x14ac:dyDescent="0.3"/>
    <row r="1290" ht="15" hidden="1" customHeight="1" x14ac:dyDescent="0.3"/>
    <row r="1291" ht="15" hidden="1" customHeight="1" x14ac:dyDescent="0.3"/>
    <row r="1292" ht="15" hidden="1" customHeight="1" x14ac:dyDescent="0.3"/>
    <row r="1293" ht="15" hidden="1" customHeight="1" x14ac:dyDescent="0.3"/>
    <row r="1294" ht="15" hidden="1" customHeight="1" x14ac:dyDescent="0.3"/>
    <row r="1295" ht="15" hidden="1" customHeight="1" x14ac:dyDescent="0.3"/>
    <row r="1296" ht="15" hidden="1" customHeight="1" x14ac:dyDescent="0.3"/>
    <row r="1297" ht="15" hidden="1" customHeight="1" x14ac:dyDescent="0.3"/>
    <row r="1298" ht="15" hidden="1" customHeight="1" x14ac:dyDescent="0.3"/>
    <row r="1299" ht="15" hidden="1" customHeight="1" x14ac:dyDescent="0.3"/>
    <row r="1300" ht="15" hidden="1" customHeight="1" x14ac:dyDescent="0.3"/>
    <row r="1301" ht="15" hidden="1" customHeight="1" x14ac:dyDescent="0.3"/>
    <row r="1302" ht="15" hidden="1" customHeight="1" x14ac:dyDescent="0.3"/>
    <row r="1303" ht="15" hidden="1" customHeight="1" x14ac:dyDescent="0.3"/>
    <row r="1304" ht="15" hidden="1" customHeight="1" x14ac:dyDescent="0.3"/>
    <row r="1305" ht="15" hidden="1" customHeight="1" x14ac:dyDescent="0.3"/>
    <row r="1306" ht="15" hidden="1" customHeight="1" x14ac:dyDescent="0.3"/>
    <row r="1307" ht="15" hidden="1" customHeight="1" x14ac:dyDescent="0.3"/>
    <row r="1308" ht="15" hidden="1" customHeight="1" x14ac:dyDescent="0.3"/>
    <row r="1309" ht="15" hidden="1" customHeight="1" x14ac:dyDescent="0.3"/>
    <row r="1310" ht="15" hidden="1" customHeight="1" x14ac:dyDescent="0.3"/>
    <row r="1311" ht="15" hidden="1" customHeight="1" x14ac:dyDescent="0.3"/>
    <row r="1312" ht="15" hidden="1" customHeight="1" x14ac:dyDescent="0.3"/>
    <row r="1313" ht="15" hidden="1" customHeight="1" x14ac:dyDescent="0.3"/>
    <row r="1314" ht="15" hidden="1" customHeight="1" x14ac:dyDescent="0.3"/>
    <row r="1315" ht="15" hidden="1" customHeight="1" x14ac:dyDescent="0.3"/>
    <row r="1316" ht="15" hidden="1" customHeight="1" x14ac:dyDescent="0.3"/>
    <row r="1317" ht="15" hidden="1" customHeight="1" x14ac:dyDescent="0.3"/>
    <row r="1318" ht="15" hidden="1" customHeight="1" x14ac:dyDescent="0.3"/>
    <row r="1319" ht="15" hidden="1" customHeight="1" x14ac:dyDescent="0.3"/>
    <row r="1320" ht="15" hidden="1" customHeight="1" x14ac:dyDescent="0.3"/>
    <row r="1321" ht="15" hidden="1" customHeight="1" x14ac:dyDescent="0.3"/>
    <row r="1322" ht="15" hidden="1" customHeight="1" x14ac:dyDescent="0.3"/>
    <row r="1323" ht="15" hidden="1" customHeight="1" x14ac:dyDescent="0.3"/>
    <row r="1324" ht="15" hidden="1" customHeight="1" x14ac:dyDescent="0.3"/>
    <row r="1325" ht="15" hidden="1" customHeight="1" x14ac:dyDescent="0.3"/>
    <row r="1326" ht="15" hidden="1" customHeight="1" x14ac:dyDescent="0.3"/>
    <row r="1327" ht="15" hidden="1" customHeight="1" x14ac:dyDescent="0.3"/>
    <row r="1328" ht="15" hidden="1" customHeight="1" x14ac:dyDescent="0.3"/>
    <row r="1329" ht="15" hidden="1" customHeight="1" x14ac:dyDescent="0.3"/>
    <row r="1330" ht="15" hidden="1" customHeight="1" x14ac:dyDescent="0.3"/>
    <row r="1331" ht="15" hidden="1" customHeight="1" x14ac:dyDescent="0.3"/>
    <row r="1332" ht="15" hidden="1" customHeight="1" x14ac:dyDescent="0.3"/>
    <row r="1333" ht="15" hidden="1" customHeight="1" x14ac:dyDescent="0.3"/>
    <row r="1334" ht="15" hidden="1" customHeight="1" x14ac:dyDescent="0.3"/>
    <row r="1335" ht="15" hidden="1" customHeight="1" x14ac:dyDescent="0.3"/>
    <row r="1336" ht="15" hidden="1" customHeight="1" x14ac:dyDescent="0.3"/>
    <row r="1337" ht="15" hidden="1" customHeight="1" x14ac:dyDescent="0.3"/>
    <row r="1338" ht="15" hidden="1" customHeight="1" x14ac:dyDescent="0.3"/>
    <row r="1339" ht="15" hidden="1" customHeight="1" x14ac:dyDescent="0.3"/>
    <row r="1340" ht="15" hidden="1" customHeight="1" x14ac:dyDescent="0.3"/>
    <row r="1341" ht="15" hidden="1" customHeight="1" x14ac:dyDescent="0.3"/>
    <row r="1342" ht="15" hidden="1" customHeight="1" x14ac:dyDescent="0.3"/>
    <row r="1343" ht="15" hidden="1" customHeight="1" x14ac:dyDescent="0.3"/>
    <row r="1344" ht="15" hidden="1" customHeight="1" x14ac:dyDescent="0.3"/>
    <row r="1345" ht="15" hidden="1" customHeight="1" x14ac:dyDescent="0.3"/>
    <row r="1346" ht="15" hidden="1" customHeight="1" x14ac:dyDescent="0.3"/>
    <row r="1347" ht="15" hidden="1" customHeight="1" x14ac:dyDescent="0.3"/>
    <row r="1348" ht="15" hidden="1" customHeight="1" x14ac:dyDescent="0.3"/>
    <row r="1349" ht="15" hidden="1" customHeight="1" x14ac:dyDescent="0.3"/>
    <row r="1350" ht="15" hidden="1" customHeight="1" x14ac:dyDescent="0.3"/>
    <row r="1351" ht="15" hidden="1" customHeight="1" x14ac:dyDescent="0.3"/>
    <row r="1352" ht="15" hidden="1" customHeight="1" x14ac:dyDescent="0.3"/>
    <row r="1353" ht="15" hidden="1" customHeight="1" x14ac:dyDescent="0.3"/>
    <row r="1354" ht="15" hidden="1" customHeight="1" x14ac:dyDescent="0.3"/>
    <row r="1355" ht="15" hidden="1" customHeight="1" x14ac:dyDescent="0.3"/>
    <row r="1356" ht="15" hidden="1" customHeight="1" x14ac:dyDescent="0.3"/>
    <row r="1357" ht="15" hidden="1" customHeight="1" x14ac:dyDescent="0.3"/>
    <row r="1358" ht="15" hidden="1" customHeight="1" x14ac:dyDescent="0.3"/>
    <row r="1359" ht="15" hidden="1" customHeight="1" x14ac:dyDescent="0.3"/>
    <row r="1360" ht="15" hidden="1" customHeight="1" x14ac:dyDescent="0.3"/>
    <row r="1361" ht="15" hidden="1" customHeight="1" x14ac:dyDescent="0.3"/>
    <row r="1362" ht="15" hidden="1" customHeight="1" x14ac:dyDescent="0.3"/>
    <row r="1363" ht="15" hidden="1" customHeight="1" x14ac:dyDescent="0.3"/>
    <row r="1364" ht="15" hidden="1" customHeight="1" x14ac:dyDescent="0.3"/>
    <row r="1365" ht="15" hidden="1" customHeight="1" x14ac:dyDescent="0.3"/>
    <row r="1366" ht="15" hidden="1" customHeight="1" x14ac:dyDescent="0.3"/>
    <row r="1367" ht="15" hidden="1" customHeight="1" x14ac:dyDescent="0.3"/>
    <row r="1368" ht="15" hidden="1" customHeight="1" x14ac:dyDescent="0.3"/>
    <row r="1369" ht="15" hidden="1" customHeight="1" x14ac:dyDescent="0.3"/>
    <row r="1370" ht="15" hidden="1" customHeight="1" x14ac:dyDescent="0.3"/>
    <row r="1371" ht="15" hidden="1" customHeight="1" x14ac:dyDescent="0.3"/>
    <row r="1372" ht="15" hidden="1" customHeight="1" x14ac:dyDescent="0.3"/>
    <row r="1373" ht="15" hidden="1" customHeight="1" x14ac:dyDescent="0.3"/>
    <row r="1374" ht="15" hidden="1" customHeight="1" x14ac:dyDescent="0.3"/>
    <row r="1375" ht="15" hidden="1" customHeight="1" x14ac:dyDescent="0.3"/>
    <row r="1376" ht="15" hidden="1" customHeight="1" x14ac:dyDescent="0.3"/>
    <row r="1377" ht="15" hidden="1" customHeight="1" x14ac:dyDescent="0.3"/>
    <row r="1378" ht="15" hidden="1" customHeight="1" x14ac:dyDescent="0.3"/>
    <row r="1379" ht="15" hidden="1" customHeight="1" x14ac:dyDescent="0.3"/>
    <row r="1380" ht="15" hidden="1" customHeight="1" x14ac:dyDescent="0.3"/>
    <row r="1381" ht="15" hidden="1" customHeight="1" x14ac:dyDescent="0.3"/>
    <row r="1382" ht="15" hidden="1" customHeight="1" x14ac:dyDescent="0.3"/>
    <row r="1383" ht="15" hidden="1" customHeight="1" x14ac:dyDescent="0.3"/>
    <row r="1384" ht="15" hidden="1" customHeight="1" x14ac:dyDescent="0.3"/>
    <row r="1385" ht="15" hidden="1" customHeight="1" x14ac:dyDescent="0.3"/>
    <row r="1386" ht="15" hidden="1" customHeight="1" x14ac:dyDescent="0.3"/>
    <row r="1387" ht="15" hidden="1" customHeight="1" x14ac:dyDescent="0.3"/>
    <row r="1388" ht="15" hidden="1" customHeight="1" x14ac:dyDescent="0.3"/>
    <row r="1389" ht="15" hidden="1" customHeight="1" x14ac:dyDescent="0.3"/>
    <row r="1390" ht="15" hidden="1" customHeight="1" x14ac:dyDescent="0.3"/>
    <row r="1391" ht="15" hidden="1" customHeight="1" x14ac:dyDescent="0.3"/>
    <row r="1392" ht="15" hidden="1" customHeight="1" x14ac:dyDescent="0.3"/>
    <row r="1393" ht="15" hidden="1" customHeight="1" x14ac:dyDescent="0.3"/>
    <row r="1394" ht="15" hidden="1" customHeight="1" x14ac:dyDescent="0.3"/>
    <row r="1395" ht="15" hidden="1" customHeight="1" x14ac:dyDescent="0.3"/>
    <row r="1396" ht="15" hidden="1" customHeight="1" x14ac:dyDescent="0.3"/>
    <row r="1397" ht="15" hidden="1" customHeight="1" x14ac:dyDescent="0.3"/>
    <row r="1398" ht="15" hidden="1" customHeight="1" x14ac:dyDescent="0.3"/>
    <row r="1399" ht="15" hidden="1" customHeight="1" x14ac:dyDescent="0.3"/>
    <row r="1400" ht="15" hidden="1" customHeight="1" x14ac:dyDescent="0.3"/>
    <row r="1401" ht="15" hidden="1" customHeight="1" x14ac:dyDescent="0.3"/>
    <row r="1402" ht="15" hidden="1" customHeight="1" x14ac:dyDescent="0.3"/>
    <row r="1403" ht="15" hidden="1" customHeight="1" x14ac:dyDescent="0.3"/>
    <row r="1404" ht="15" hidden="1" customHeight="1" x14ac:dyDescent="0.3"/>
    <row r="1405" ht="15" hidden="1" customHeight="1" x14ac:dyDescent="0.3"/>
    <row r="1406" ht="15" hidden="1" customHeight="1" x14ac:dyDescent="0.3"/>
    <row r="1407" ht="15" hidden="1" customHeight="1" x14ac:dyDescent="0.3"/>
    <row r="1408" ht="15" hidden="1" customHeight="1" x14ac:dyDescent="0.3"/>
    <row r="1409" ht="15" hidden="1" customHeight="1" x14ac:dyDescent="0.3"/>
    <row r="1410" ht="15" hidden="1" customHeight="1" x14ac:dyDescent="0.3"/>
    <row r="1411" ht="15" hidden="1" customHeight="1" x14ac:dyDescent="0.3"/>
    <row r="1412" ht="15" hidden="1" customHeight="1" x14ac:dyDescent="0.3"/>
    <row r="1413" ht="15" hidden="1" customHeight="1" x14ac:dyDescent="0.3"/>
    <row r="1414" ht="15" hidden="1" customHeight="1" x14ac:dyDescent="0.3"/>
    <row r="1415" ht="15" hidden="1" customHeight="1" x14ac:dyDescent="0.3"/>
    <row r="1416" ht="15" hidden="1" customHeight="1" x14ac:dyDescent="0.3"/>
    <row r="1417" ht="15" hidden="1" customHeight="1" x14ac:dyDescent="0.3"/>
    <row r="1418" ht="15" hidden="1" customHeight="1" x14ac:dyDescent="0.3"/>
    <row r="1419" ht="15" hidden="1" customHeight="1" x14ac:dyDescent="0.3"/>
    <row r="1420" ht="15" hidden="1" customHeight="1" x14ac:dyDescent="0.3"/>
    <row r="1421" ht="15" hidden="1" customHeight="1" x14ac:dyDescent="0.3"/>
    <row r="1422" ht="15" hidden="1" customHeight="1" x14ac:dyDescent="0.3"/>
    <row r="1423" ht="15" hidden="1" customHeight="1" x14ac:dyDescent="0.3"/>
    <row r="1424" ht="15" hidden="1" customHeight="1" x14ac:dyDescent="0.3"/>
    <row r="1425" ht="15" hidden="1" customHeight="1" x14ac:dyDescent="0.3"/>
    <row r="1426" ht="15" hidden="1" customHeight="1" x14ac:dyDescent="0.3"/>
    <row r="1427" ht="15" hidden="1" customHeight="1" x14ac:dyDescent="0.3"/>
    <row r="1428" ht="15" hidden="1" customHeight="1" x14ac:dyDescent="0.3"/>
    <row r="1429" ht="15" hidden="1" customHeight="1" x14ac:dyDescent="0.3"/>
    <row r="1430" ht="15" hidden="1" customHeight="1" x14ac:dyDescent="0.3"/>
    <row r="1431" ht="15" hidden="1" customHeight="1" x14ac:dyDescent="0.3"/>
    <row r="1432" ht="15" hidden="1" customHeight="1" x14ac:dyDescent="0.3"/>
    <row r="1433" ht="15" hidden="1" customHeight="1" x14ac:dyDescent="0.3"/>
    <row r="1434" ht="15" hidden="1" customHeight="1" x14ac:dyDescent="0.3"/>
    <row r="1435" ht="15" hidden="1" customHeight="1" x14ac:dyDescent="0.3"/>
    <row r="1436" ht="15" hidden="1" customHeight="1" x14ac:dyDescent="0.3"/>
    <row r="1437" ht="15" hidden="1" customHeight="1" x14ac:dyDescent="0.3"/>
    <row r="1438" ht="15" hidden="1" customHeight="1" x14ac:dyDescent="0.3"/>
    <row r="1439" ht="15" hidden="1" customHeight="1" x14ac:dyDescent="0.3"/>
    <row r="1440" ht="15" hidden="1" customHeight="1" x14ac:dyDescent="0.3"/>
    <row r="1441" ht="15" hidden="1" customHeight="1" x14ac:dyDescent="0.3"/>
    <row r="1442" ht="15" hidden="1" customHeight="1" x14ac:dyDescent="0.3"/>
    <row r="1443" ht="15" hidden="1" customHeight="1" x14ac:dyDescent="0.3"/>
    <row r="1444" ht="15" hidden="1" customHeight="1" x14ac:dyDescent="0.3"/>
    <row r="1445" ht="15" hidden="1" customHeight="1" x14ac:dyDescent="0.3"/>
    <row r="1446" ht="15" hidden="1" customHeight="1" x14ac:dyDescent="0.3"/>
    <row r="1447" ht="15" hidden="1" customHeight="1" x14ac:dyDescent="0.3"/>
    <row r="1448" ht="15" hidden="1" customHeight="1" x14ac:dyDescent="0.3"/>
    <row r="1449" ht="15" hidden="1" customHeight="1" x14ac:dyDescent="0.3"/>
    <row r="1450" ht="15" hidden="1" customHeight="1" x14ac:dyDescent="0.3"/>
    <row r="1451" ht="15" hidden="1" customHeight="1" x14ac:dyDescent="0.3"/>
    <row r="1452" ht="15" hidden="1" customHeight="1" x14ac:dyDescent="0.3"/>
    <row r="1453" ht="15" hidden="1" customHeight="1" x14ac:dyDescent="0.3"/>
    <row r="1454" ht="15" hidden="1" customHeight="1" x14ac:dyDescent="0.3"/>
    <row r="1455" ht="15" hidden="1" customHeight="1" x14ac:dyDescent="0.3"/>
    <row r="1456" ht="15" hidden="1" customHeight="1" x14ac:dyDescent="0.3"/>
    <row r="1457" ht="15" hidden="1" customHeight="1" x14ac:dyDescent="0.3"/>
    <row r="1458" ht="15" hidden="1" customHeight="1" x14ac:dyDescent="0.3"/>
    <row r="1459" ht="15" hidden="1" customHeight="1" x14ac:dyDescent="0.3"/>
    <row r="1460" ht="15" hidden="1" customHeight="1" x14ac:dyDescent="0.3"/>
    <row r="1461" ht="15" hidden="1" customHeight="1" x14ac:dyDescent="0.3"/>
    <row r="1462" ht="15" hidden="1" customHeight="1" x14ac:dyDescent="0.3"/>
    <row r="1463" ht="15" hidden="1" customHeight="1" x14ac:dyDescent="0.3"/>
    <row r="1464" ht="15" hidden="1" customHeight="1" x14ac:dyDescent="0.3"/>
    <row r="1465" ht="15" hidden="1" customHeight="1" x14ac:dyDescent="0.3"/>
    <row r="1466" ht="15" hidden="1" customHeight="1" x14ac:dyDescent="0.3"/>
    <row r="1467" ht="15" hidden="1" customHeight="1" x14ac:dyDescent="0.3"/>
    <row r="1468" ht="15" hidden="1" customHeight="1" x14ac:dyDescent="0.3"/>
    <row r="1469" ht="15" hidden="1" customHeight="1" x14ac:dyDescent="0.3"/>
    <row r="1470" ht="15" hidden="1" customHeight="1" x14ac:dyDescent="0.3"/>
    <row r="1471" ht="15" hidden="1" customHeight="1" x14ac:dyDescent="0.3"/>
    <row r="1472" ht="15" hidden="1" customHeight="1" x14ac:dyDescent="0.3"/>
    <row r="1473" ht="15" hidden="1" customHeight="1" x14ac:dyDescent="0.3"/>
    <row r="1474" ht="15" hidden="1" customHeight="1" x14ac:dyDescent="0.3"/>
    <row r="1475" ht="15" hidden="1" customHeight="1" x14ac:dyDescent="0.3"/>
    <row r="1476" ht="15" hidden="1" customHeight="1" x14ac:dyDescent="0.3"/>
    <row r="1477" ht="15" hidden="1" customHeight="1" x14ac:dyDescent="0.3"/>
    <row r="1478" ht="15" hidden="1" customHeight="1" x14ac:dyDescent="0.3"/>
    <row r="1479" ht="15" hidden="1" customHeight="1" x14ac:dyDescent="0.3"/>
    <row r="1480" ht="15" hidden="1" customHeight="1" x14ac:dyDescent="0.3"/>
    <row r="1481" ht="15" hidden="1" customHeight="1" x14ac:dyDescent="0.3"/>
    <row r="1482" ht="15" hidden="1" customHeight="1" x14ac:dyDescent="0.3"/>
    <row r="1483" ht="15" hidden="1" customHeight="1" x14ac:dyDescent="0.3"/>
    <row r="1484" ht="15" hidden="1" customHeight="1" x14ac:dyDescent="0.3"/>
    <row r="1485" ht="15" hidden="1" customHeight="1" x14ac:dyDescent="0.3"/>
    <row r="1486" ht="15" hidden="1" customHeight="1" x14ac:dyDescent="0.3"/>
    <row r="1487" ht="15" hidden="1" customHeight="1" x14ac:dyDescent="0.3"/>
    <row r="1488" ht="15" hidden="1" customHeight="1" x14ac:dyDescent="0.3"/>
    <row r="1489" ht="15" hidden="1" customHeight="1" x14ac:dyDescent="0.3"/>
    <row r="1490" ht="15" hidden="1" customHeight="1" x14ac:dyDescent="0.3"/>
    <row r="1491" ht="15" hidden="1" customHeight="1" x14ac:dyDescent="0.3"/>
    <row r="1492" ht="15" hidden="1" customHeight="1" x14ac:dyDescent="0.3"/>
    <row r="1493" ht="15" hidden="1" customHeight="1" x14ac:dyDescent="0.3"/>
    <row r="1494" ht="15" hidden="1" customHeight="1" x14ac:dyDescent="0.3"/>
    <row r="1495" ht="15" hidden="1" customHeight="1" x14ac:dyDescent="0.3"/>
    <row r="1496" ht="15" hidden="1" customHeight="1" x14ac:dyDescent="0.3"/>
    <row r="1497" ht="15" hidden="1" customHeight="1" x14ac:dyDescent="0.3"/>
    <row r="1498" ht="15" hidden="1" customHeight="1" x14ac:dyDescent="0.3"/>
    <row r="1499" ht="15" hidden="1" customHeight="1" x14ac:dyDescent="0.3"/>
    <row r="1500" ht="15" hidden="1" customHeight="1" x14ac:dyDescent="0.3"/>
    <row r="1501" ht="15" hidden="1" customHeight="1" x14ac:dyDescent="0.3"/>
    <row r="1502" ht="15" hidden="1" customHeight="1" x14ac:dyDescent="0.3"/>
    <row r="1503" ht="15" hidden="1" customHeight="1" x14ac:dyDescent="0.3"/>
    <row r="1504" ht="15" hidden="1" customHeight="1" x14ac:dyDescent="0.3"/>
    <row r="1505" ht="15" hidden="1" customHeight="1" x14ac:dyDescent="0.3"/>
    <row r="1506" ht="15" hidden="1" customHeight="1" x14ac:dyDescent="0.3"/>
    <row r="1507" ht="15" hidden="1" customHeight="1" x14ac:dyDescent="0.3"/>
    <row r="1508" ht="15" hidden="1" customHeight="1" x14ac:dyDescent="0.3"/>
    <row r="1509" ht="15" hidden="1" customHeight="1" x14ac:dyDescent="0.3"/>
    <row r="1510" ht="15" hidden="1" customHeight="1" x14ac:dyDescent="0.3"/>
    <row r="1511" ht="15" hidden="1" customHeight="1" x14ac:dyDescent="0.3"/>
    <row r="1512" ht="15" hidden="1" customHeight="1" x14ac:dyDescent="0.3"/>
    <row r="1513" ht="15" hidden="1" customHeight="1" x14ac:dyDescent="0.3"/>
    <row r="1514" ht="15" hidden="1" customHeight="1" x14ac:dyDescent="0.3"/>
    <row r="1515" ht="15" hidden="1" customHeight="1" x14ac:dyDescent="0.3"/>
    <row r="1516" ht="15" hidden="1" customHeight="1" x14ac:dyDescent="0.3"/>
    <row r="1517" ht="15" hidden="1" customHeight="1" x14ac:dyDescent="0.3"/>
    <row r="1518" ht="15" hidden="1" customHeight="1" x14ac:dyDescent="0.3"/>
    <row r="1519" ht="15" hidden="1" customHeight="1" x14ac:dyDescent="0.3"/>
    <row r="1520" ht="15" hidden="1" customHeight="1" x14ac:dyDescent="0.3"/>
    <row r="1521" ht="15" hidden="1" customHeight="1" x14ac:dyDescent="0.3"/>
    <row r="1522" ht="15" hidden="1" customHeight="1" x14ac:dyDescent="0.3"/>
    <row r="1523" ht="15" hidden="1" customHeight="1" x14ac:dyDescent="0.3"/>
    <row r="1524" ht="15" hidden="1" customHeight="1" x14ac:dyDescent="0.3"/>
    <row r="1525" ht="15" hidden="1" customHeight="1" x14ac:dyDescent="0.3"/>
    <row r="1526" ht="15" hidden="1" customHeight="1" x14ac:dyDescent="0.3"/>
    <row r="1527" ht="15" hidden="1" customHeight="1" x14ac:dyDescent="0.3"/>
    <row r="1528" ht="15" hidden="1" customHeight="1" x14ac:dyDescent="0.3"/>
    <row r="1529" ht="15" hidden="1" customHeight="1" x14ac:dyDescent="0.3"/>
    <row r="1530" ht="15" hidden="1" customHeight="1" x14ac:dyDescent="0.3"/>
    <row r="1531" ht="15" hidden="1" customHeight="1" x14ac:dyDescent="0.3"/>
    <row r="1532" ht="15" hidden="1" customHeight="1" x14ac:dyDescent="0.3"/>
    <row r="1533" ht="15" hidden="1" customHeight="1" x14ac:dyDescent="0.3"/>
    <row r="1534" ht="15" hidden="1" customHeight="1" x14ac:dyDescent="0.3"/>
    <row r="1535" ht="15" hidden="1" customHeight="1" x14ac:dyDescent="0.3"/>
    <row r="1536" ht="15" hidden="1" customHeight="1" x14ac:dyDescent="0.3"/>
    <row r="1537" ht="15" hidden="1" customHeight="1" x14ac:dyDescent="0.3"/>
    <row r="1538" ht="15" hidden="1" customHeight="1" x14ac:dyDescent="0.3"/>
    <row r="1539" ht="15" hidden="1" customHeight="1" x14ac:dyDescent="0.3"/>
    <row r="1540" ht="15" hidden="1" customHeight="1" x14ac:dyDescent="0.3"/>
    <row r="1541" ht="15" hidden="1" customHeight="1" x14ac:dyDescent="0.3"/>
    <row r="1542" ht="15" hidden="1" customHeight="1" x14ac:dyDescent="0.3"/>
    <row r="1543" ht="15" hidden="1" customHeight="1" x14ac:dyDescent="0.3"/>
    <row r="1544" ht="15" hidden="1" customHeight="1" x14ac:dyDescent="0.3"/>
    <row r="1545" ht="15" hidden="1" customHeight="1" x14ac:dyDescent="0.3"/>
    <row r="1546" ht="15" hidden="1" customHeight="1" x14ac:dyDescent="0.3"/>
    <row r="1547" ht="15" hidden="1" customHeight="1" x14ac:dyDescent="0.3"/>
    <row r="1548" ht="15" hidden="1" customHeight="1" x14ac:dyDescent="0.3"/>
    <row r="1549" ht="15" hidden="1" customHeight="1" x14ac:dyDescent="0.3"/>
    <row r="1550" ht="15" hidden="1" customHeight="1" x14ac:dyDescent="0.3"/>
    <row r="1551" ht="15" hidden="1" customHeight="1" x14ac:dyDescent="0.3"/>
    <row r="1552" ht="15" hidden="1" customHeight="1" x14ac:dyDescent="0.3"/>
    <row r="1553" ht="15" hidden="1" customHeight="1" x14ac:dyDescent="0.3"/>
    <row r="1554" ht="15" hidden="1" customHeight="1" x14ac:dyDescent="0.3"/>
    <row r="1555" ht="15" hidden="1" customHeight="1" x14ac:dyDescent="0.3"/>
    <row r="1556" ht="15" hidden="1" customHeight="1" x14ac:dyDescent="0.3"/>
    <row r="1557" ht="15" hidden="1" customHeight="1" x14ac:dyDescent="0.3"/>
    <row r="1558" ht="15" hidden="1" customHeight="1" x14ac:dyDescent="0.3"/>
    <row r="1559" ht="15" hidden="1" customHeight="1" x14ac:dyDescent="0.3"/>
    <row r="1560" ht="15" hidden="1" customHeight="1" x14ac:dyDescent="0.3"/>
    <row r="1561" ht="15" hidden="1" customHeight="1" x14ac:dyDescent="0.3"/>
    <row r="1562" ht="15" hidden="1" customHeight="1" x14ac:dyDescent="0.3"/>
    <row r="1563" ht="15" hidden="1" customHeight="1" x14ac:dyDescent="0.3"/>
    <row r="1564" ht="15" hidden="1" customHeight="1" x14ac:dyDescent="0.3"/>
    <row r="1565" ht="15" hidden="1" customHeight="1" x14ac:dyDescent="0.3"/>
    <row r="1566" ht="15" hidden="1" customHeight="1" x14ac:dyDescent="0.3"/>
    <row r="1567" ht="15" hidden="1" customHeight="1" x14ac:dyDescent="0.3"/>
    <row r="1568" ht="15" hidden="1" customHeight="1" x14ac:dyDescent="0.3"/>
    <row r="1569" ht="15" hidden="1" customHeight="1" x14ac:dyDescent="0.3"/>
    <row r="1570" ht="15" hidden="1" customHeight="1" x14ac:dyDescent="0.3"/>
    <row r="1571" ht="15" hidden="1" customHeight="1" x14ac:dyDescent="0.3"/>
    <row r="1572" ht="15" hidden="1" customHeight="1" x14ac:dyDescent="0.3"/>
    <row r="1573" ht="15" hidden="1" customHeight="1" x14ac:dyDescent="0.3"/>
    <row r="1574" ht="15" hidden="1" customHeight="1" x14ac:dyDescent="0.3"/>
    <row r="1575" ht="15" hidden="1" customHeight="1" x14ac:dyDescent="0.3"/>
    <row r="1576" ht="15" hidden="1" customHeight="1" x14ac:dyDescent="0.3"/>
    <row r="1577" ht="15" hidden="1" customHeight="1" x14ac:dyDescent="0.3"/>
    <row r="1578" ht="15" hidden="1" customHeight="1" x14ac:dyDescent="0.3"/>
    <row r="1579" ht="15" hidden="1" customHeight="1" x14ac:dyDescent="0.3"/>
    <row r="1580" ht="15" hidden="1" customHeight="1" x14ac:dyDescent="0.3"/>
    <row r="1581" ht="15" hidden="1" customHeight="1" x14ac:dyDescent="0.3"/>
    <row r="1582" ht="15" hidden="1" customHeight="1" x14ac:dyDescent="0.3"/>
    <row r="1583" ht="15" hidden="1" customHeight="1" x14ac:dyDescent="0.3"/>
    <row r="1584" ht="15" hidden="1" customHeight="1" x14ac:dyDescent="0.3"/>
    <row r="1585" ht="15" hidden="1" customHeight="1" x14ac:dyDescent="0.3"/>
    <row r="1586" ht="15" hidden="1" customHeight="1" x14ac:dyDescent="0.3"/>
    <row r="1587" ht="15" hidden="1" customHeight="1" x14ac:dyDescent="0.3"/>
    <row r="1588" ht="15" hidden="1" customHeight="1" x14ac:dyDescent="0.3"/>
    <row r="1589" ht="15" hidden="1" customHeight="1" x14ac:dyDescent="0.3"/>
    <row r="1590" ht="15" hidden="1" customHeight="1" x14ac:dyDescent="0.3"/>
    <row r="1591" ht="15" hidden="1" customHeight="1" x14ac:dyDescent="0.3"/>
    <row r="1592" ht="15" hidden="1" customHeight="1" x14ac:dyDescent="0.3"/>
    <row r="1593" ht="15" hidden="1" customHeight="1" x14ac:dyDescent="0.3"/>
    <row r="1594" ht="15" hidden="1" customHeight="1" x14ac:dyDescent="0.3"/>
    <row r="1595" ht="15" hidden="1" customHeight="1" x14ac:dyDescent="0.3"/>
    <row r="1596" ht="15" hidden="1" customHeight="1" x14ac:dyDescent="0.3"/>
    <row r="1597" ht="15" hidden="1" customHeight="1" x14ac:dyDescent="0.3"/>
    <row r="1598" ht="15" hidden="1" customHeight="1" x14ac:dyDescent="0.3"/>
    <row r="1599" ht="15" hidden="1" customHeight="1" x14ac:dyDescent="0.3"/>
    <row r="1600" ht="15" hidden="1" customHeight="1" x14ac:dyDescent="0.3"/>
    <row r="1601" ht="15" hidden="1" customHeight="1" x14ac:dyDescent="0.3"/>
    <row r="1602" ht="15" hidden="1" customHeight="1" x14ac:dyDescent="0.3"/>
    <row r="1603" ht="15" hidden="1" customHeight="1" x14ac:dyDescent="0.3"/>
    <row r="1604" ht="15" hidden="1" customHeight="1" x14ac:dyDescent="0.3"/>
    <row r="1605" ht="15" hidden="1" customHeight="1" x14ac:dyDescent="0.3"/>
    <row r="1606" ht="15" hidden="1" customHeight="1" x14ac:dyDescent="0.3"/>
    <row r="1607" ht="15" hidden="1" customHeight="1" x14ac:dyDescent="0.3"/>
    <row r="1608" ht="15" hidden="1" customHeight="1" x14ac:dyDescent="0.3"/>
    <row r="1609" ht="15" hidden="1" customHeight="1" x14ac:dyDescent="0.3"/>
    <row r="1610" ht="15" hidden="1" customHeight="1" x14ac:dyDescent="0.3"/>
    <row r="1611" ht="15" hidden="1" customHeight="1" x14ac:dyDescent="0.3"/>
    <row r="1612" ht="14.55" hidden="1" customHeight="1" x14ac:dyDescent="0.3"/>
    <row r="1613" ht="14.55" hidden="1" customHeight="1" x14ac:dyDescent="0.3"/>
    <row r="1614" ht="14.55" hidden="1" customHeight="1" x14ac:dyDescent="0.3"/>
    <row r="1615" ht="14.55" hidden="1" customHeight="1" x14ac:dyDescent="0.3"/>
    <row r="1616" ht="14.55" hidden="1" customHeight="1" x14ac:dyDescent="0.3"/>
    <row r="1617" ht="14.55" hidden="1" customHeight="1" x14ac:dyDescent="0.3"/>
    <row r="1618" ht="14.55" hidden="1" customHeight="1" x14ac:dyDescent="0.3"/>
    <row r="1619" ht="14.55" hidden="1" customHeight="1" x14ac:dyDescent="0.3"/>
    <row r="1620" ht="14.55" hidden="1" customHeight="1" x14ac:dyDescent="0.3"/>
    <row r="1621" ht="14.55" hidden="1" customHeight="1" x14ac:dyDescent="0.3"/>
    <row r="1622" ht="14.55" hidden="1" customHeight="1" x14ac:dyDescent="0.3"/>
    <row r="1623" ht="14.55" hidden="1" customHeight="1" x14ac:dyDescent="0.3"/>
    <row r="1624" ht="14.55" hidden="1" customHeight="1" x14ac:dyDescent="0.3"/>
    <row r="1625" ht="14.55" hidden="1" customHeight="1" x14ac:dyDescent="0.3"/>
    <row r="1626" ht="14.55" hidden="1" customHeight="1" x14ac:dyDescent="0.3"/>
    <row r="1627" ht="14.55" hidden="1" customHeight="1" x14ac:dyDescent="0.3"/>
    <row r="1628" ht="14.55" hidden="1" customHeight="1" x14ac:dyDescent="0.3"/>
    <row r="1629" ht="14.55" hidden="1" customHeight="1" x14ac:dyDescent="0.3"/>
    <row r="1630" ht="14.55" hidden="1" customHeight="1" x14ac:dyDescent="0.3"/>
    <row r="1631" ht="14.55" hidden="1" customHeight="1" x14ac:dyDescent="0.3"/>
    <row r="1632" ht="14.55" hidden="1" customHeight="1" x14ac:dyDescent="0.3"/>
    <row r="1633" ht="14.55" hidden="1" customHeight="1" x14ac:dyDescent="0.3"/>
    <row r="1634" ht="14.55" hidden="1" customHeight="1" x14ac:dyDescent="0.3"/>
    <row r="1635" ht="14.55" hidden="1" customHeight="1" x14ac:dyDescent="0.3"/>
    <row r="1636" ht="14.55" hidden="1" customHeight="1" x14ac:dyDescent="0.3"/>
    <row r="1637" ht="14.55" hidden="1" customHeight="1" x14ac:dyDescent="0.3"/>
    <row r="1638" ht="14.55" hidden="1" customHeight="1" x14ac:dyDescent="0.3"/>
    <row r="1639" ht="14.55" hidden="1" customHeight="1" x14ac:dyDescent="0.3"/>
    <row r="1640" ht="14.55" hidden="1" customHeight="1" x14ac:dyDescent="0.3"/>
    <row r="1641" ht="14.55" hidden="1" customHeight="1" x14ac:dyDescent="0.3"/>
    <row r="1642" ht="14.55" hidden="1" customHeight="1" x14ac:dyDescent="0.3"/>
    <row r="1643" ht="14.55" hidden="1" customHeight="1" x14ac:dyDescent="0.3"/>
    <row r="1644" ht="14.55" hidden="1" customHeight="1" x14ac:dyDescent="0.3"/>
    <row r="1645" ht="14.55" hidden="1" customHeight="1" x14ac:dyDescent="0.3"/>
    <row r="1646" ht="14.55" hidden="1" customHeight="1" x14ac:dyDescent="0.3"/>
    <row r="1647" ht="14.55" hidden="1" customHeight="1" x14ac:dyDescent="0.3"/>
    <row r="1648" ht="14.55" hidden="1" customHeight="1" x14ac:dyDescent="0.3"/>
    <row r="1649" ht="14.55" hidden="1" customHeight="1" x14ac:dyDescent="0.3"/>
    <row r="1650" ht="14.55" hidden="1" customHeight="1" x14ac:dyDescent="0.3"/>
    <row r="1651" ht="14.55" hidden="1" customHeight="1" x14ac:dyDescent="0.3"/>
    <row r="1652" ht="14.55" hidden="1" customHeight="1" x14ac:dyDescent="0.3"/>
    <row r="1653" ht="14.55" hidden="1" customHeight="1" x14ac:dyDescent="0.3"/>
    <row r="1654" ht="14.55" hidden="1" customHeight="1" x14ac:dyDescent="0.3"/>
    <row r="1655" ht="14.55" hidden="1" customHeight="1" x14ac:dyDescent="0.3"/>
    <row r="1656" ht="14.55" hidden="1" customHeight="1" x14ac:dyDescent="0.3"/>
    <row r="1657" ht="14.55" hidden="1" customHeight="1" x14ac:dyDescent="0.3"/>
    <row r="1658" ht="14.55" hidden="1" customHeight="1" x14ac:dyDescent="0.3"/>
    <row r="1659" ht="14.55" hidden="1" customHeight="1" x14ac:dyDescent="0.3"/>
    <row r="1660" ht="14.55" hidden="1" customHeight="1" x14ac:dyDescent="0.3"/>
    <row r="1661" ht="14.55" hidden="1" customHeight="1" x14ac:dyDescent="0.3"/>
    <row r="1662" ht="14.55" hidden="1" customHeight="1" x14ac:dyDescent="0.3"/>
    <row r="1663" ht="14.55" hidden="1" customHeight="1" x14ac:dyDescent="0.3"/>
    <row r="1664" ht="14.55" hidden="1" customHeight="1" x14ac:dyDescent="0.3"/>
  </sheetData>
  <sheetProtection algorithmName="SHA-512" hashValue="R0j2FMVxBfb66kK6Bs+2iUYeqM6hx10ssHx4f479xu+uOzfc1gwdO4+EQrJxv7vQVdRRbKGo0wYWL8CfkEIniA==" saltValue="/7dxgPZN7QbUKd/Tx4FL0w==" spinCount="100000" sheet="1" objects="1" scenarios="1" selectLockedCells="1"/>
  <mergeCells count="1151">
    <mergeCell ref="B863:C863"/>
    <mergeCell ref="D863:E863"/>
    <mergeCell ref="F863:G863"/>
    <mergeCell ref="H863:I863"/>
    <mergeCell ref="J863:K863"/>
    <mergeCell ref="L863:M863"/>
    <mergeCell ref="N863:O863"/>
    <mergeCell ref="B692:C692"/>
    <mergeCell ref="D692:E692"/>
    <mergeCell ref="F692:G692"/>
    <mergeCell ref="H692:I692"/>
    <mergeCell ref="J692:K692"/>
    <mergeCell ref="L692:M692"/>
    <mergeCell ref="N692:O692"/>
    <mergeCell ref="B749:C749"/>
    <mergeCell ref="D749:E749"/>
    <mergeCell ref="F749:G749"/>
    <mergeCell ref="H749:I749"/>
    <mergeCell ref="J749:K749"/>
    <mergeCell ref="L749:M749"/>
    <mergeCell ref="N749:O749"/>
    <mergeCell ref="B806:C806"/>
    <mergeCell ref="D806:E806"/>
    <mergeCell ref="F806:G806"/>
    <mergeCell ref="H806:I806"/>
    <mergeCell ref="J806:K806"/>
    <mergeCell ref="L806:M806"/>
    <mergeCell ref="N806:O806"/>
    <mergeCell ref="B748:C748"/>
    <mergeCell ref="D748:E748"/>
    <mergeCell ref="F748:G748"/>
    <mergeCell ref="H748:I748"/>
    <mergeCell ref="B521:C521"/>
    <mergeCell ref="D521:E521"/>
    <mergeCell ref="F521:G521"/>
    <mergeCell ref="H521:I521"/>
    <mergeCell ref="J521:K521"/>
    <mergeCell ref="L521:M521"/>
    <mergeCell ref="N521:O521"/>
    <mergeCell ref="B578:C578"/>
    <mergeCell ref="D578:E578"/>
    <mergeCell ref="F578:G578"/>
    <mergeCell ref="H578:I578"/>
    <mergeCell ref="J578:K578"/>
    <mergeCell ref="L578:M578"/>
    <mergeCell ref="N578:O578"/>
    <mergeCell ref="B635:C635"/>
    <mergeCell ref="D635:E635"/>
    <mergeCell ref="F635:G635"/>
    <mergeCell ref="H635:I635"/>
    <mergeCell ref="J635:K635"/>
    <mergeCell ref="L635:M635"/>
    <mergeCell ref="N635:O635"/>
    <mergeCell ref="B350:C350"/>
    <mergeCell ref="D350:E350"/>
    <mergeCell ref="F350:G350"/>
    <mergeCell ref="H350:I350"/>
    <mergeCell ref="J350:K350"/>
    <mergeCell ref="L350:M350"/>
    <mergeCell ref="N350:O350"/>
    <mergeCell ref="B407:C407"/>
    <mergeCell ref="D407:E407"/>
    <mergeCell ref="F407:G407"/>
    <mergeCell ref="H407:I407"/>
    <mergeCell ref="J407:K407"/>
    <mergeCell ref="L407:M407"/>
    <mergeCell ref="N407:O407"/>
    <mergeCell ref="B464:C464"/>
    <mergeCell ref="D464:E464"/>
    <mergeCell ref="F464:G464"/>
    <mergeCell ref="H464:I464"/>
    <mergeCell ref="J464:K464"/>
    <mergeCell ref="L464:M464"/>
    <mergeCell ref="N464:O464"/>
    <mergeCell ref="B406:C406"/>
    <mergeCell ref="D406:E406"/>
    <mergeCell ref="F406:G406"/>
    <mergeCell ref="H406:I406"/>
    <mergeCell ref="J406:K406"/>
    <mergeCell ref="L406:M406"/>
    <mergeCell ref="N406:O406"/>
    <mergeCell ref="F463:G463"/>
    <mergeCell ref="H463:I463"/>
    <mergeCell ref="J463:K463"/>
    <mergeCell ref="L463:M463"/>
    <mergeCell ref="B293:C293"/>
    <mergeCell ref="D293:E293"/>
    <mergeCell ref="F293:G293"/>
    <mergeCell ref="H293:I293"/>
    <mergeCell ref="J293:K293"/>
    <mergeCell ref="L293:M293"/>
    <mergeCell ref="N293:O293"/>
    <mergeCell ref="N235:O235"/>
    <mergeCell ref="B292:C292"/>
    <mergeCell ref="D292:E292"/>
    <mergeCell ref="F292:G292"/>
    <mergeCell ref="H292:I292"/>
    <mergeCell ref="J292:K292"/>
    <mergeCell ref="L292:M292"/>
    <mergeCell ref="N292:O292"/>
    <mergeCell ref="D235:E235"/>
    <mergeCell ref="F235:G235"/>
    <mergeCell ref="H235:I235"/>
    <mergeCell ref="J235:K235"/>
    <mergeCell ref="L235:M235"/>
    <mergeCell ref="F65:G65"/>
    <mergeCell ref="H65:I65"/>
    <mergeCell ref="J65:K65"/>
    <mergeCell ref="L65:M65"/>
    <mergeCell ref="N65:O65"/>
    <mergeCell ref="B122:C122"/>
    <mergeCell ref="D122:E122"/>
    <mergeCell ref="F122:G122"/>
    <mergeCell ref="H122:I122"/>
    <mergeCell ref="J122:K122"/>
    <mergeCell ref="L122:M122"/>
    <mergeCell ref="N122:O122"/>
    <mergeCell ref="B63:O63"/>
    <mergeCell ref="B64:C64"/>
    <mergeCell ref="D64:E64"/>
    <mergeCell ref="F64:G64"/>
    <mergeCell ref="H64:I64"/>
    <mergeCell ref="J64:K64"/>
    <mergeCell ref="L64:M64"/>
    <mergeCell ref="N64:O64"/>
    <mergeCell ref="B65:C65"/>
    <mergeCell ref="D65:E65"/>
    <mergeCell ref="B121:C121"/>
    <mergeCell ref="D121:E121"/>
    <mergeCell ref="F121:G121"/>
    <mergeCell ref="H121:I121"/>
    <mergeCell ref="B120:O120"/>
    <mergeCell ref="Y909:AF909"/>
    <mergeCell ref="Y910:AF910"/>
    <mergeCell ref="Y911:AF911"/>
    <mergeCell ref="Y341:AF341"/>
    <mergeCell ref="Y396:AF396"/>
    <mergeCell ref="Y397:AF397"/>
    <mergeCell ref="Y398:AF398"/>
    <mergeCell ref="Y453:AF453"/>
    <mergeCell ref="Y454:AF454"/>
    <mergeCell ref="Y455:AF455"/>
    <mergeCell ref="Y510:AF510"/>
    <mergeCell ref="Y511:AF511"/>
    <mergeCell ref="Y512:AF512"/>
    <mergeCell ref="Y567:AF567"/>
    <mergeCell ref="Y568:AF568"/>
    <mergeCell ref="Y569:AF569"/>
    <mergeCell ref="Y624:AF624"/>
    <mergeCell ref="Y625:AF625"/>
    <mergeCell ref="Y626:AF626"/>
    <mergeCell ref="Y681:AF681"/>
    <mergeCell ref="Y478:AF478"/>
    <mergeCell ref="Y377:AF377"/>
    <mergeCell ref="Y378:AF378"/>
    <mergeCell ref="Y379:AF379"/>
    <mergeCell ref="Y380:AF380"/>
    <mergeCell ref="Y381:AF381"/>
    <mergeCell ref="Y382:AF382"/>
    <mergeCell ref="Y383:AF383"/>
    <mergeCell ref="Y384:AF384"/>
    <mergeCell ref="Y385:AF385"/>
    <mergeCell ref="Y369:AF369"/>
    <mergeCell ref="Y370:AF370"/>
    <mergeCell ref="Y54:AF54"/>
    <mergeCell ref="Y55:AF55"/>
    <mergeCell ref="Y56:AF56"/>
    <mergeCell ref="Y111:AF111"/>
    <mergeCell ref="Y112:AF112"/>
    <mergeCell ref="Y113:AF113"/>
    <mergeCell ref="Y168:AF168"/>
    <mergeCell ref="Y169:AF169"/>
    <mergeCell ref="Y170:AF170"/>
    <mergeCell ref="Y225:AF225"/>
    <mergeCell ref="Y226:AF226"/>
    <mergeCell ref="Y227:AF227"/>
    <mergeCell ref="Y282:AF282"/>
    <mergeCell ref="Y283:AF283"/>
    <mergeCell ref="Y284:AF284"/>
    <mergeCell ref="Y339:AF339"/>
    <mergeCell ref="Y340:AF340"/>
    <mergeCell ref="Y77:AF77"/>
    <mergeCell ref="Y78:AF78"/>
    <mergeCell ref="Y79:AF79"/>
    <mergeCell ref="Y80:AF80"/>
    <mergeCell ref="Y81:AF81"/>
    <mergeCell ref="Y82:AF82"/>
    <mergeCell ref="Y83:AF83"/>
    <mergeCell ref="Y96:AF96"/>
    <mergeCell ref="Y97:AF97"/>
    <mergeCell ref="Y98:AF98"/>
    <mergeCell ref="Y99:AF99"/>
    <mergeCell ref="Y100:AF100"/>
    <mergeCell ref="Y101:AF101"/>
    <mergeCell ref="Y102:AF102"/>
    <mergeCell ref="Y86:AF86"/>
    <mergeCell ref="J748:K748"/>
    <mergeCell ref="B804:O804"/>
    <mergeCell ref="B861:O861"/>
    <mergeCell ref="A802:AF802"/>
    <mergeCell ref="N634:O634"/>
    <mergeCell ref="B691:C691"/>
    <mergeCell ref="D691:E691"/>
    <mergeCell ref="F691:G691"/>
    <mergeCell ref="H691:I691"/>
    <mergeCell ref="J691:K691"/>
    <mergeCell ref="L691:M691"/>
    <mergeCell ref="N691:O691"/>
    <mergeCell ref="B634:C634"/>
    <mergeCell ref="D634:E634"/>
    <mergeCell ref="F634:G634"/>
    <mergeCell ref="H634:I634"/>
    <mergeCell ref="J634:K634"/>
    <mergeCell ref="B747:O747"/>
    <mergeCell ref="A745:AF745"/>
    <mergeCell ref="Y649:AF649"/>
    <mergeCell ref="Y650:AF650"/>
    <mergeCell ref="Y651:AF651"/>
    <mergeCell ref="Y652:AF652"/>
    <mergeCell ref="Y653:AF653"/>
    <mergeCell ref="Y654:AF654"/>
    <mergeCell ref="Y655:AF655"/>
    <mergeCell ref="Y656:AF656"/>
    <mergeCell ref="Y657:AF657"/>
    <mergeCell ref="Y670:AF670"/>
    <mergeCell ref="Y671:AF671"/>
    <mergeCell ref="Y672:AF672"/>
    <mergeCell ref="Y673:AF673"/>
    <mergeCell ref="B349:C349"/>
    <mergeCell ref="D349:E349"/>
    <mergeCell ref="F349:G349"/>
    <mergeCell ref="H349:I349"/>
    <mergeCell ref="J349:K349"/>
    <mergeCell ref="B405:O405"/>
    <mergeCell ref="J520:K520"/>
    <mergeCell ref="L520:M520"/>
    <mergeCell ref="N520:O520"/>
    <mergeCell ref="L862:M862"/>
    <mergeCell ref="N862:O862"/>
    <mergeCell ref="B862:C862"/>
    <mergeCell ref="D862:E862"/>
    <mergeCell ref="F862:G862"/>
    <mergeCell ref="H862:I862"/>
    <mergeCell ref="J862:K862"/>
    <mergeCell ref="L748:M748"/>
    <mergeCell ref="N748:O748"/>
    <mergeCell ref="B805:C805"/>
    <mergeCell ref="D805:E805"/>
    <mergeCell ref="F805:G805"/>
    <mergeCell ref="H805:I805"/>
    <mergeCell ref="J805:K805"/>
    <mergeCell ref="L805:M805"/>
    <mergeCell ref="N805:O805"/>
    <mergeCell ref="B462:O462"/>
    <mergeCell ref="B519:O519"/>
    <mergeCell ref="B576:O576"/>
    <mergeCell ref="B633:O633"/>
    <mergeCell ref="B690:O690"/>
    <mergeCell ref="B463:C463"/>
    <mergeCell ref="D463:E463"/>
    <mergeCell ref="B177:O177"/>
    <mergeCell ref="B234:O234"/>
    <mergeCell ref="B291:O291"/>
    <mergeCell ref="L121:M121"/>
    <mergeCell ref="N121:O121"/>
    <mergeCell ref="B178:C178"/>
    <mergeCell ref="D178:E178"/>
    <mergeCell ref="F178:G178"/>
    <mergeCell ref="H178:I178"/>
    <mergeCell ref="J178:K178"/>
    <mergeCell ref="L178:M178"/>
    <mergeCell ref="N178:O178"/>
    <mergeCell ref="B235:C235"/>
    <mergeCell ref="B179:C179"/>
    <mergeCell ref="D179:E179"/>
    <mergeCell ref="F179:G179"/>
    <mergeCell ref="H179:I179"/>
    <mergeCell ref="J179:K179"/>
    <mergeCell ref="L179:M179"/>
    <mergeCell ref="N179:O179"/>
    <mergeCell ref="B236:C236"/>
    <mergeCell ref="D236:E236"/>
    <mergeCell ref="F236:G236"/>
    <mergeCell ref="H236:I236"/>
    <mergeCell ref="J236:K236"/>
    <mergeCell ref="L236:M236"/>
    <mergeCell ref="N236:O236"/>
    <mergeCell ref="N463:O463"/>
    <mergeCell ref="B520:C520"/>
    <mergeCell ref="D520:E520"/>
    <mergeCell ref="F520:G520"/>
    <mergeCell ref="H520:I520"/>
    <mergeCell ref="A574:AF574"/>
    <mergeCell ref="A631:AF631"/>
    <mergeCell ref="A688:AF688"/>
    <mergeCell ref="Y477:AF477"/>
    <mergeCell ref="L349:M349"/>
    <mergeCell ref="N349:O349"/>
    <mergeCell ref="B577:C577"/>
    <mergeCell ref="D577:E577"/>
    <mergeCell ref="F577:G577"/>
    <mergeCell ref="H577:I577"/>
    <mergeCell ref="J577:K577"/>
    <mergeCell ref="L577:M577"/>
    <mergeCell ref="N577:O577"/>
    <mergeCell ref="L634:M634"/>
    <mergeCell ref="Y371:AF371"/>
    <mergeCell ref="Y372:AF372"/>
    <mergeCell ref="Y373:AF373"/>
    <mergeCell ref="Y374:AF374"/>
    <mergeCell ref="Y395:AF395"/>
    <mergeCell ref="Y419:AF419"/>
    <mergeCell ref="Y420:AF420"/>
    <mergeCell ref="Y421:AF421"/>
    <mergeCell ref="Y422:AF422"/>
    <mergeCell ref="Y423:AF423"/>
    <mergeCell ref="Y424:AF424"/>
    <mergeCell ref="Y425:AF425"/>
    <mergeCell ref="Y426:AF426"/>
    <mergeCell ref="J7:K7"/>
    <mergeCell ref="A1:O1"/>
    <mergeCell ref="A4:AF4"/>
    <mergeCell ref="Q1:AF2"/>
    <mergeCell ref="Q9:W16"/>
    <mergeCell ref="B6:O6"/>
    <mergeCell ref="B2:C2"/>
    <mergeCell ref="D2:E2"/>
    <mergeCell ref="F2:G2"/>
    <mergeCell ref="H2:I2"/>
    <mergeCell ref="J2:K2"/>
    <mergeCell ref="L2:M2"/>
    <mergeCell ref="N2:O2"/>
    <mergeCell ref="L7:M7"/>
    <mergeCell ref="N7:O7"/>
    <mergeCell ref="B7:C7"/>
    <mergeCell ref="D7:E7"/>
    <mergeCell ref="F7:G7"/>
    <mergeCell ref="H7:I7"/>
    <mergeCell ref="B8:C8"/>
    <mergeCell ref="D8:E8"/>
    <mergeCell ref="F8:G8"/>
    <mergeCell ref="H8:I8"/>
    <mergeCell ref="J8:K8"/>
    <mergeCell ref="L8:M8"/>
    <mergeCell ref="N8:O8"/>
    <mergeCell ref="Y7:AF7"/>
    <mergeCell ref="Y9:AF9"/>
    <mergeCell ref="Y10:AF10"/>
    <mergeCell ref="Y11:AF11"/>
    <mergeCell ref="Y12:AF12"/>
    <mergeCell ref="Y13:AF13"/>
    <mergeCell ref="Y84:AF84"/>
    <mergeCell ref="Y85:AF85"/>
    <mergeCell ref="Y52:AF52"/>
    <mergeCell ref="B348:O348"/>
    <mergeCell ref="J121:K121"/>
    <mergeCell ref="Y53:AF53"/>
    <mergeCell ref="Q18:Q19"/>
    <mergeCell ref="R18:R19"/>
    <mergeCell ref="S18:S19"/>
    <mergeCell ref="T18:T19"/>
    <mergeCell ref="U18:U19"/>
    <mergeCell ref="V18:V19"/>
    <mergeCell ref="W18:W19"/>
    <mergeCell ref="Y45:AF45"/>
    <mergeCell ref="Y46:AF46"/>
    <mergeCell ref="Y47:AF47"/>
    <mergeCell ref="Y48:AF48"/>
    <mergeCell ref="Y49:AF49"/>
    <mergeCell ref="Y18:AF19"/>
    <mergeCell ref="Y38:AF38"/>
    <mergeCell ref="Y39:AF39"/>
    <mergeCell ref="Y40:AF40"/>
    <mergeCell ref="Y41:AF41"/>
    <mergeCell ref="Y42:AF42"/>
    <mergeCell ref="Y43:AF43"/>
    <mergeCell ref="Y44:AF44"/>
    <mergeCell ref="Y50:AF50"/>
    <mergeCell ref="Y51:AF51"/>
    <mergeCell ref="Y29:AF29"/>
    <mergeCell ref="Y30:AF30"/>
    <mergeCell ref="Y31:AF31"/>
    <mergeCell ref="Y32:AF32"/>
    <mergeCell ref="Y33:AF33"/>
    <mergeCell ref="Y34:AF34"/>
    <mergeCell ref="Y376:AF376"/>
    <mergeCell ref="A859:AF859"/>
    <mergeCell ref="Q873:Q874"/>
    <mergeCell ref="R873:R874"/>
    <mergeCell ref="S873:S874"/>
    <mergeCell ref="T873:T874"/>
    <mergeCell ref="U873:U874"/>
    <mergeCell ref="V873:V874"/>
    <mergeCell ref="W873:W874"/>
    <mergeCell ref="Y873:AF874"/>
    <mergeCell ref="A61:AF61"/>
    <mergeCell ref="A118:AF118"/>
    <mergeCell ref="A175:AF175"/>
    <mergeCell ref="A232:AF232"/>
    <mergeCell ref="A289:AF289"/>
    <mergeCell ref="A346:AF346"/>
    <mergeCell ref="A403:AF403"/>
    <mergeCell ref="A460:AF460"/>
    <mergeCell ref="A517:AF517"/>
    <mergeCell ref="Y303:AF304"/>
    <mergeCell ref="Y246:AF247"/>
    <mergeCell ref="Y189:AF190"/>
    <mergeCell ref="Y132:AF133"/>
    <mergeCell ref="Y75:AF76"/>
    <mergeCell ref="Y87:AF87"/>
    <mergeCell ref="Y88:AF88"/>
    <mergeCell ref="Y89:AF89"/>
    <mergeCell ref="Y90:AF90"/>
    <mergeCell ref="Y91:AF91"/>
    <mergeCell ref="Y92:AF92"/>
    <mergeCell ref="Y93:AF93"/>
    <mergeCell ref="Y94:AF94"/>
    <mergeCell ref="Y375:AF375"/>
    <mergeCell ref="Y135:AF135"/>
    <mergeCell ref="Y136:AF136"/>
    <mergeCell ref="Y137:AF137"/>
    <mergeCell ref="Y138:AF138"/>
    <mergeCell ref="Y139:AF139"/>
    <mergeCell ref="Y140:AF140"/>
    <mergeCell ref="Y141:AF141"/>
    <mergeCell ref="Y142:AF142"/>
    <mergeCell ref="Y143:AF143"/>
    <mergeCell ref="Y103:AF103"/>
    <mergeCell ref="Y104:AF104"/>
    <mergeCell ref="Y105:AF105"/>
    <mergeCell ref="Y106:AF106"/>
    <mergeCell ref="Y107:AF107"/>
    <mergeCell ref="Y108:AF108"/>
    <mergeCell ref="Y109:AF109"/>
    <mergeCell ref="Y110:AF110"/>
    <mergeCell ref="Y134:AF134"/>
    <mergeCell ref="Y153:AF153"/>
    <mergeCell ref="Y154:AF154"/>
    <mergeCell ref="Y155:AF155"/>
    <mergeCell ref="Y156:AF156"/>
    <mergeCell ref="Y157:AF157"/>
    <mergeCell ref="Y158:AF158"/>
    <mergeCell ref="Y159:AF159"/>
    <mergeCell ref="Y160:AF160"/>
    <mergeCell ref="Y161:AF161"/>
    <mergeCell ref="Y144:AF144"/>
    <mergeCell ref="Y145:AF145"/>
    <mergeCell ref="Y146:AF146"/>
    <mergeCell ref="Y147:AF147"/>
    <mergeCell ref="Y148:AF148"/>
    <mergeCell ref="Y149:AF149"/>
    <mergeCell ref="Y150:AF150"/>
    <mergeCell ref="Y151:AF151"/>
    <mergeCell ref="Y152:AF152"/>
    <mergeCell ref="Y194:AF194"/>
    <mergeCell ref="Y195:AF195"/>
    <mergeCell ref="Y196:AF196"/>
    <mergeCell ref="Y197:AF197"/>
    <mergeCell ref="Y198:AF198"/>
    <mergeCell ref="Y199:AF199"/>
    <mergeCell ref="Y200:AF200"/>
    <mergeCell ref="Y201:AF201"/>
    <mergeCell ref="Y202:AF202"/>
    <mergeCell ref="Y162:AF162"/>
    <mergeCell ref="Y163:AF163"/>
    <mergeCell ref="Y164:AF164"/>
    <mergeCell ref="Y165:AF165"/>
    <mergeCell ref="Y166:AF166"/>
    <mergeCell ref="Y167:AF167"/>
    <mergeCell ref="Y191:AF191"/>
    <mergeCell ref="Y192:AF192"/>
    <mergeCell ref="Y193:AF193"/>
    <mergeCell ref="Y182:AF182"/>
    <mergeCell ref="Y183:AF183"/>
    <mergeCell ref="Y184:AF184"/>
    <mergeCell ref="Y185:AF185"/>
    <mergeCell ref="Y186:AF186"/>
    <mergeCell ref="Y187:AF187"/>
    <mergeCell ref="Y180:AF180"/>
    <mergeCell ref="Y212:AF212"/>
    <mergeCell ref="Y213:AF213"/>
    <mergeCell ref="Y214:AF214"/>
    <mergeCell ref="Y215:AF215"/>
    <mergeCell ref="Y216:AF216"/>
    <mergeCell ref="Y217:AF217"/>
    <mergeCell ref="Y218:AF218"/>
    <mergeCell ref="Y219:AF219"/>
    <mergeCell ref="Y220:AF220"/>
    <mergeCell ref="Y203:AF203"/>
    <mergeCell ref="Y204:AF204"/>
    <mergeCell ref="Y205:AF205"/>
    <mergeCell ref="Y206:AF206"/>
    <mergeCell ref="Y207:AF207"/>
    <mergeCell ref="Y208:AF208"/>
    <mergeCell ref="Y209:AF209"/>
    <mergeCell ref="Y210:AF210"/>
    <mergeCell ref="Y211:AF211"/>
    <mergeCell ref="Y253:AF253"/>
    <mergeCell ref="Y254:AF254"/>
    <mergeCell ref="Y255:AF255"/>
    <mergeCell ref="Y256:AF256"/>
    <mergeCell ref="Y257:AF257"/>
    <mergeCell ref="Y258:AF258"/>
    <mergeCell ref="Y259:AF259"/>
    <mergeCell ref="Y260:AF260"/>
    <mergeCell ref="Y261:AF261"/>
    <mergeCell ref="Y221:AF221"/>
    <mergeCell ref="Y222:AF222"/>
    <mergeCell ref="Y223:AF223"/>
    <mergeCell ref="Y224:AF224"/>
    <mergeCell ref="Y248:AF248"/>
    <mergeCell ref="Y249:AF249"/>
    <mergeCell ref="Y250:AF250"/>
    <mergeCell ref="Y251:AF251"/>
    <mergeCell ref="Y252:AF252"/>
    <mergeCell ref="Y237:AF237"/>
    <mergeCell ref="Y238:AF238"/>
    <mergeCell ref="Y239:AF239"/>
    <mergeCell ref="Y240:AF240"/>
    <mergeCell ref="Y241:AF241"/>
    <mergeCell ref="Y242:AF242"/>
    <mergeCell ref="Y243:AF243"/>
    <mergeCell ref="Y244:AF244"/>
    <mergeCell ref="Y235:AF235"/>
    <mergeCell ref="Y271:AF271"/>
    <mergeCell ref="Y272:AF272"/>
    <mergeCell ref="Y273:AF273"/>
    <mergeCell ref="Y274:AF274"/>
    <mergeCell ref="Y275:AF275"/>
    <mergeCell ref="Y276:AF276"/>
    <mergeCell ref="Y277:AF277"/>
    <mergeCell ref="Y278:AF278"/>
    <mergeCell ref="Y279:AF279"/>
    <mergeCell ref="Y262:AF262"/>
    <mergeCell ref="Y263:AF263"/>
    <mergeCell ref="Y264:AF264"/>
    <mergeCell ref="Y265:AF265"/>
    <mergeCell ref="Y266:AF266"/>
    <mergeCell ref="Y267:AF267"/>
    <mergeCell ref="Y268:AF268"/>
    <mergeCell ref="Y269:AF269"/>
    <mergeCell ref="Y270:AF270"/>
    <mergeCell ref="Y280:AF280"/>
    <mergeCell ref="Y281:AF281"/>
    <mergeCell ref="Y305:AF305"/>
    <mergeCell ref="Y306:AF306"/>
    <mergeCell ref="Y307:AF307"/>
    <mergeCell ref="Y308:AF308"/>
    <mergeCell ref="Y309:AF309"/>
    <mergeCell ref="Y310:AF310"/>
    <mergeCell ref="Y311:AF311"/>
    <mergeCell ref="Y294:AF294"/>
    <mergeCell ref="Y295:AF295"/>
    <mergeCell ref="Y296:AF296"/>
    <mergeCell ref="Y297:AF297"/>
    <mergeCell ref="Y298:AF298"/>
    <mergeCell ref="Y299:AF299"/>
    <mergeCell ref="Y300:AF300"/>
    <mergeCell ref="Y301:AF301"/>
    <mergeCell ref="Y292:AF292"/>
    <mergeCell ref="Y321:AF321"/>
    <mergeCell ref="Y322:AF322"/>
    <mergeCell ref="Y323:AF323"/>
    <mergeCell ref="Y324:AF324"/>
    <mergeCell ref="Y325:AF325"/>
    <mergeCell ref="Y326:AF326"/>
    <mergeCell ref="Y327:AF327"/>
    <mergeCell ref="Y328:AF328"/>
    <mergeCell ref="Y329:AF329"/>
    <mergeCell ref="Y312:AF312"/>
    <mergeCell ref="Y313:AF313"/>
    <mergeCell ref="Y314:AF314"/>
    <mergeCell ref="Y315:AF315"/>
    <mergeCell ref="Y316:AF316"/>
    <mergeCell ref="Y317:AF317"/>
    <mergeCell ref="Y318:AF318"/>
    <mergeCell ref="Y319:AF319"/>
    <mergeCell ref="Y320:AF320"/>
    <mergeCell ref="Y334:AF334"/>
    <mergeCell ref="Y335:AF335"/>
    <mergeCell ref="Y336:AF336"/>
    <mergeCell ref="Y337:AF337"/>
    <mergeCell ref="Y338:AF338"/>
    <mergeCell ref="Y360:AF361"/>
    <mergeCell ref="Y362:AF362"/>
    <mergeCell ref="Y363:AF363"/>
    <mergeCell ref="Y364:AF364"/>
    <mergeCell ref="Y365:AF365"/>
    <mergeCell ref="Y366:AF366"/>
    <mergeCell ref="Y367:AF367"/>
    <mergeCell ref="Y368:AF368"/>
    <mergeCell ref="Y351:AF351"/>
    <mergeCell ref="Y352:AF352"/>
    <mergeCell ref="Y353:AF353"/>
    <mergeCell ref="Y354:AF354"/>
    <mergeCell ref="Y355:AF355"/>
    <mergeCell ref="Y356:AF356"/>
    <mergeCell ref="Y357:AF357"/>
    <mergeCell ref="Y358:AF358"/>
    <mergeCell ref="Y349:AF349"/>
    <mergeCell ref="Y427:AF427"/>
    <mergeCell ref="Y428:AF428"/>
    <mergeCell ref="Y429:AF429"/>
    <mergeCell ref="Y430:AF430"/>
    <mergeCell ref="Y431:AF431"/>
    <mergeCell ref="Y432:AF432"/>
    <mergeCell ref="Y433:AF433"/>
    <mergeCell ref="Y434:AF434"/>
    <mergeCell ref="Y435:AF435"/>
    <mergeCell ref="Y386:AF386"/>
    <mergeCell ref="Y387:AF387"/>
    <mergeCell ref="Y388:AF388"/>
    <mergeCell ref="Y389:AF389"/>
    <mergeCell ref="Y390:AF390"/>
    <mergeCell ref="Y391:AF391"/>
    <mergeCell ref="Y392:AF392"/>
    <mergeCell ref="Y393:AF393"/>
    <mergeCell ref="Y394:AF394"/>
    <mergeCell ref="Y417:AF418"/>
    <mergeCell ref="Y408:AF408"/>
    <mergeCell ref="Y409:AF409"/>
    <mergeCell ref="Y410:AF410"/>
    <mergeCell ref="Y411:AF411"/>
    <mergeCell ref="Y412:AF412"/>
    <mergeCell ref="Y413:AF413"/>
    <mergeCell ref="Y414:AF414"/>
    <mergeCell ref="Y415:AF415"/>
    <mergeCell ref="Y406:AF406"/>
    <mergeCell ref="Y445:AF445"/>
    <mergeCell ref="Y446:AF446"/>
    <mergeCell ref="Y447:AF447"/>
    <mergeCell ref="Y448:AF448"/>
    <mergeCell ref="Y449:AF449"/>
    <mergeCell ref="Y450:AF450"/>
    <mergeCell ref="Y451:AF451"/>
    <mergeCell ref="Y452:AF452"/>
    <mergeCell ref="Y476:AF476"/>
    <mergeCell ref="Y474:AF475"/>
    <mergeCell ref="Y479:AF479"/>
    <mergeCell ref="Y465:AF465"/>
    <mergeCell ref="Y466:AF466"/>
    <mergeCell ref="Y467:AF467"/>
    <mergeCell ref="Y468:AF468"/>
    <mergeCell ref="Y436:AF436"/>
    <mergeCell ref="Y437:AF437"/>
    <mergeCell ref="Y438:AF438"/>
    <mergeCell ref="Y439:AF439"/>
    <mergeCell ref="Y440:AF440"/>
    <mergeCell ref="Y441:AF441"/>
    <mergeCell ref="Y442:AF442"/>
    <mergeCell ref="Y443:AF443"/>
    <mergeCell ref="Y444:AF444"/>
    <mergeCell ref="Y463:AF463"/>
    <mergeCell ref="Y489:AF489"/>
    <mergeCell ref="Y490:AF490"/>
    <mergeCell ref="Y491:AF491"/>
    <mergeCell ref="Y492:AF492"/>
    <mergeCell ref="Y493:AF493"/>
    <mergeCell ref="Y494:AF494"/>
    <mergeCell ref="Y495:AF495"/>
    <mergeCell ref="Y496:AF496"/>
    <mergeCell ref="Y497:AF497"/>
    <mergeCell ref="Y480:AF480"/>
    <mergeCell ref="Y481:AF481"/>
    <mergeCell ref="Y482:AF482"/>
    <mergeCell ref="Y483:AF483"/>
    <mergeCell ref="Y484:AF484"/>
    <mergeCell ref="Y485:AF485"/>
    <mergeCell ref="Y486:AF486"/>
    <mergeCell ref="Y487:AF487"/>
    <mergeCell ref="Y488:AF488"/>
    <mergeCell ref="Y507:AF507"/>
    <mergeCell ref="Y508:AF508"/>
    <mergeCell ref="Y509:AF509"/>
    <mergeCell ref="Y533:AF533"/>
    <mergeCell ref="Y534:AF534"/>
    <mergeCell ref="Y535:AF535"/>
    <mergeCell ref="Y536:AF536"/>
    <mergeCell ref="Y537:AF537"/>
    <mergeCell ref="Y538:AF538"/>
    <mergeCell ref="Y531:AF532"/>
    <mergeCell ref="Y498:AF498"/>
    <mergeCell ref="Y499:AF499"/>
    <mergeCell ref="Y500:AF500"/>
    <mergeCell ref="Y501:AF501"/>
    <mergeCell ref="Y502:AF502"/>
    <mergeCell ref="Y503:AF503"/>
    <mergeCell ref="Y504:AF504"/>
    <mergeCell ref="Y505:AF505"/>
    <mergeCell ref="Y506:AF506"/>
    <mergeCell ref="Y524:AF524"/>
    <mergeCell ref="Y525:AF525"/>
    <mergeCell ref="Y526:AF526"/>
    <mergeCell ref="Y527:AF527"/>
    <mergeCell ref="Y528:AF528"/>
    <mergeCell ref="Y529:AF529"/>
    <mergeCell ref="Y520:AF520"/>
    <mergeCell ref="Y548:AF548"/>
    <mergeCell ref="Y549:AF549"/>
    <mergeCell ref="Y550:AF550"/>
    <mergeCell ref="Y551:AF551"/>
    <mergeCell ref="Y552:AF552"/>
    <mergeCell ref="Y553:AF553"/>
    <mergeCell ref="Y554:AF554"/>
    <mergeCell ref="Y555:AF555"/>
    <mergeCell ref="Y556:AF556"/>
    <mergeCell ref="Y539:AF539"/>
    <mergeCell ref="Y540:AF540"/>
    <mergeCell ref="Y541:AF541"/>
    <mergeCell ref="Y542:AF542"/>
    <mergeCell ref="Y543:AF543"/>
    <mergeCell ref="Y544:AF544"/>
    <mergeCell ref="Y545:AF545"/>
    <mergeCell ref="Y546:AF546"/>
    <mergeCell ref="Y547:AF547"/>
    <mergeCell ref="Y566:AF566"/>
    <mergeCell ref="Y590:AF590"/>
    <mergeCell ref="Y591:AF591"/>
    <mergeCell ref="Y592:AF592"/>
    <mergeCell ref="Y593:AF593"/>
    <mergeCell ref="Y594:AF594"/>
    <mergeCell ref="Y595:AF595"/>
    <mergeCell ref="Y596:AF596"/>
    <mergeCell ref="Y597:AF597"/>
    <mergeCell ref="Y598:AF598"/>
    <mergeCell ref="Y588:AF589"/>
    <mergeCell ref="Y584:AF584"/>
    <mergeCell ref="Y585:AF585"/>
    <mergeCell ref="Y586:AF586"/>
    <mergeCell ref="Y557:AF557"/>
    <mergeCell ref="Y558:AF558"/>
    <mergeCell ref="Y559:AF559"/>
    <mergeCell ref="Y560:AF560"/>
    <mergeCell ref="Y561:AF561"/>
    <mergeCell ref="Y562:AF562"/>
    <mergeCell ref="Y563:AF563"/>
    <mergeCell ref="Y564:AF564"/>
    <mergeCell ref="Y565:AF565"/>
    <mergeCell ref="Y579:AF579"/>
    <mergeCell ref="Y580:AF580"/>
    <mergeCell ref="Y581:AF581"/>
    <mergeCell ref="Y582:AF582"/>
    <mergeCell ref="Y583:AF583"/>
    <mergeCell ref="Y577:AF577"/>
    <mergeCell ref="Y608:AF608"/>
    <mergeCell ref="Y609:AF609"/>
    <mergeCell ref="Y610:AF610"/>
    <mergeCell ref="Y611:AF611"/>
    <mergeCell ref="Y612:AF612"/>
    <mergeCell ref="Y613:AF613"/>
    <mergeCell ref="Y614:AF614"/>
    <mergeCell ref="Y615:AF615"/>
    <mergeCell ref="Y616:AF616"/>
    <mergeCell ref="Y599:AF599"/>
    <mergeCell ref="Y600:AF600"/>
    <mergeCell ref="Y601:AF601"/>
    <mergeCell ref="Y602:AF602"/>
    <mergeCell ref="Y603:AF603"/>
    <mergeCell ref="Y604:AF604"/>
    <mergeCell ref="Y605:AF605"/>
    <mergeCell ref="Y606:AF606"/>
    <mergeCell ref="Y607:AF607"/>
    <mergeCell ref="Y617:AF617"/>
    <mergeCell ref="Y618:AF618"/>
    <mergeCell ref="Y619:AF619"/>
    <mergeCell ref="Y620:AF620"/>
    <mergeCell ref="Y621:AF621"/>
    <mergeCell ref="Y622:AF622"/>
    <mergeCell ref="Y623:AF623"/>
    <mergeCell ref="Y647:AF647"/>
    <mergeCell ref="Y648:AF648"/>
    <mergeCell ref="Y645:AF646"/>
    <mergeCell ref="Y636:AF636"/>
    <mergeCell ref="Y637:AF637"/>
    <mergeCell ref="Y638:AF638"/>
    <mergeCell ref="Y639:AF639"/>
    <mergeCell ref="Y640:AF640"/>
    <mergeCell ref="Y641:AF641"/>
    <mergeCell ref="Y642:AF642"/>
    <mergeCell ref="Y643:AF643"/>
    <mergeCell ref="Y634:AF634"/>
    <mergeCell ref="Y674:AF674"/>
    <mergeCell ref="Y675:AF675"/>
    <mergeCell ref="Y658:AF658"/>
    <mergeCell ref="Y659:AF659"/>
    <mergeCell ref="Y660:AF660"/>
    <mergeCell ref="Y661:AF661"/>
    <mergeCell ref="Y662:AF662"/>
    <mergeCell ref="Y663:AF663"/>
    <mergeCell ref="Y664:AF664"/>
    <mergeCell ref="Y665:AF665"/>
    <mergeCell ref="Y666:AF666"/>
    <mergeCell ref="Y708:AF708"/>
    <mergeCell ref="Y709:AF709"/>
    <mergeCell ref="Y667:AF667"/>
    <mergeCell ref="Y668:AF668"/>
    <mergeCell ref="Y669:AF669"/>
    <mergeCell ref="Y682:AF682"/>
    <mergeCell ref="Y683:AF683"/>
    <mergeCell ref="Y698:AF698"/>
    <mergeCell ref="Y699:AF699"/>
    <mergeCell ref="Y700:AF700"/>
    <mergeCell ref="Y710:AF710"/>
    <mergeCell ref="Y711:AF711"/>
    <mergeCell ref="Y712:AF712"/>
    <mergeCell ref="Y713:AF713"/>
    <mergeCell ref="Y714:AF714"/>
    <mergeCell ref="Y715:AF715"/>
    <mergeCell ref="Y716:AF716"/>
    <mergeCell ref="Y676:AF676"/>
    <mergeCell ref="Y677:AF677"/>
    <mergeCell ref="Y678:AF678"/>
    <mergeCell ref="Y679:AF679"/>
    <mergeCell ref="Y680:AF680"/>
    <mergeCell ref="Y704:AF704"/>
    <mergeCell ref="Y705:AF705"/>
    <mergeCell ref="Y706:AF706"/>
    <mergeCell ref="Y707:AF707"/>
    <mergeCell ref="Y702:AF703"/>
    <mergeCell ref="Y693:AF693"/>
    <mergeCell ref="Y694:AF694"/>
    <mergeCell ref="Y695:AF695"/>
    <mergeCell ref="Y696:AF696"/>
    <mergeCell ref="Y697:AF697"/>
    <mergeCell ref="Y691:AF691"/>
    <mergeCell ref="Y735:AF735"/>
    <mergeCell ref="Y736:AF736"/>
    <mergeCell ref="Y737:AF737"/>
    <mergeCell ref="Y761:AF761"/>
    <mergeCell ref="Y762:AF762"/>
    <mergeCell ref="Y763:AF763"/>
    <mergeCell ref="Y764:AF764"/>
    <mergeCell ref="Y765:AF765"/>
    <mergeCell ref="Y766:AF766"/>
    <mergeCell ref="Y759:AF760"/>
    <mergeCell ref="Y738:AF738"/>
    <mergeCell ref="Y739:AF739"/>
    <mergeCell ref="Y740:AF740"/>
    <mergeCell ref="Y750:AF750"/>
    <mergeCell ref="Y717:AF717"/>
    <mergeCell ref="Y718:AF718"/>
    <mergeCell ref="Y719:AF719"/>
    <mergeCell ref="Y720:AF720"/>
    <mergeCell ref="Y721:AF721"/>
    <mergeCell ref="Y722:AF722"/>
    <mergeCell ref="Y723:AF723"/>
    <mergeCell ref="Y724:AF724"/>
    <mergeCell ref="Y725:AF725"/>
    <mergeCell ref="Y787:AF787"/>
    <mergeCell ref="Y788:AF788"/>
    <mergeCell ref="Y789:AF789"/>
    <mergeCell ref="Y790:AF790"/>
    <mergeCell ref="Y791:AF791"/>
    <mergeCell ref="Y792:AF792"/>
    <mergeCell ref="Y775:AF775"/>
    <mergeCell ref="Y776:AF776"/>
    <mergeCell ref="Y777:AF777"/>
    <mergeCell ref="Y778:AF778"/>
    <mergeCell ref="Y779:AF779"/>
    <mergeCell ref="Y780:AF780"/>
    <mergeCell ref="Y781:AF781"/>
    <mergeCell ref="Y782:AF782"/>
    <mergeCell ref="Y783:AF783"/>
    <mergeCell ref="Y767:AF767"/>
    <mergeCell ref="Y768:AF768"/>
    <mergeCell ref="Y769:AF769"/>
    <mergeCell ref="Y770:AF770"/>
    <mergeCell ref="Y771:AF771"/>
    <mergeCell ref="Y772:AF772"/>
    <mergeCell ref="Y773:AF773"/>
    <mergeCell ref="Y774:AF774"/>
    <mergeCell ref="Y819:AF819"/>
    <mergeCell ref="Y820:AF820"/>
    <mergeCell ref="Y821:AF821"/>
    <mergeCell ref="Y822:AF822"/>
    <mergeCell ref="Y823:AF823"/>
    <mergeCell ref="Y824:AF824"/>
    <mergeCell ref="Y816:AF817"/>
    <mergeCell ref="Y795:AF795"/>
    <mergeCell ref="Y796:AF796"/>
    <mergeCell ref="Y797:AF797"/>
    <mergeCell ref="Y850:AF850"/>
    <mergeCell ref="Y834:AF834"/>
    <mergeCell ref="Y835:AF835"/>
    <mergeCell ref="Y836:AF836"/>
    <mergeCell ref="Y837:AF837"/>
    <mergeCell ref="Y838:AF838"/>
    <mergeCell ref="Y839:AF839"/>
    <mergeCell ref="Y840:AF840"/>
    <mergeCell ref="Y841:AF841"/>
    <mergeCell ref="Y847:AF847"/>
    <mergeCell ref="Y848:AF848"/>
    <mergeCell ref="Y849:AF849"/>
    <mergeCell ref="Y832:AF832"/>
    <mergeCell ref="Y833:AF833"/>
    <mergeCell ref="Y818:AF818"/>
    <mergeCell ref="Y842:AF842"/>
    <mergeCell ref="Y843:AF843"/>
    <mergeCell ref="Y844:AF844"/>
    <mergeCell ref="Y845:AF845"/>
    <mergeCell ref="Y846:AF846"/>
    <mergeCell ref="Y904:AF904"/>
    <mergeCell ref="Y905:AF905"/>
    <mergeCell ref="Y906:AF906"/>
    <mergeCell ref="Y907:AF907"/>
    <mergeCell ref="Y908:AF908"/>
    <mergeCell ref="Q816:Q817"/>
    <mergeCell ref="R816:R817"/>
    <mergeCell ref="S816:S817"/>
    <mergeCell ref="T816:T817"/>
    <mergeCell ref="U816:U817"/>
    <mergeCell ref="V816:V817"/>
    <mergeCell ref="W816:W817"/>
    <mergeCell ref="Y892:AF892"/>
    <mergeCell ref="Y893:AF893"/>
    <mergeCell ref="Y894:AF894"/>
    <mergeCell ref="Y895:AF895"/>
    <mergeCell ref="Y896:AF896"/>
    <mergeCell ref="Y897:AF897"/>
    <mergeCell ref="Y898:AF898"/>
    <mergeCell ref="Y899:AF899"/>
    <mergeCell ref="Y900:AF900"/>
    <mergeCell ref="Y883:AF883"/>
    <mergeCell ref="Y884:AF884"/>
    <mergeCell ref="Y882:AF882"/>
    <mergeCell ref="Y871:AF871"/>
    <mergeCell ref="Y825:AF825"/>
    <mergeCell ref="Y826:AF826"/>
    <mergeCell ref="Y827:AF827"/>
    <mergeCell ref="Y828:AF828"/>
    <mergeCell ref="Y829:AF829"/>
    <mergeCell ref="Y830:AF830"/>
    <mergeCell ref="Y831:AF831"/>
    <mergeCell ref="W759:W760"/>
    <mergeCell ref="V759:V760"/>
    <mergeCell ref="U759:U760"/>
    <mergeCell ref="T759:T760"/>
    <mergeCell ref="S759:S760"/>
    <mergeCell ref="R759:R760"/>
    <mergeCell ref="Q759:Q760"/>
    <mergeCell ref="Q702:Q703"/>
    <mergeCell ref="R702:R703"/>
    <mergeCell ref="S702:S703"/>
    <mergeCell ref="T702:T703"/>
    <mergeCell ref="U702:U703"/>
    <mergeCell ref="V702:V703"/>
    <mergeCell ref="W702:W703"/>
    <mergeCell ref="Q807:W814"/>
    <mergeCell ref="Y756:AF756"/>
    <mergeCell ref="Y757:AF757"/>
    <mergeCell ref="Y807:AF807"/>
    <mergeCell ref="Y808:AF808"/>
    <mergeCell ref="Y809:AF809"/>
    <mergeCell ref="Y810:AF810"/>
    <mergeCell ref="Y811:AF811"/>
    <mergeCell ref="Y812:AF812"/>
    <mergeCell ref="Y813:AF813"/>
    <mergeCell ref="Y793:AF793"/>
    <mergeCell ref="Y794:AF794"/>
    <mergeCell ref="Y814:AF814"/>
    <mergeCell ref="Y805:AF805"/>
    <mergeCell ref="Y748:AF748"/>
    <mergeCell ref="Y784:AF784"/>
    <mergeCell ref="Y785:AF785"/>
    <mergeCell ref="Y786:AF786"/>
    <mergeCell ref="Y901:AF901"/>
    <mergeCell ref="Y902:AF902"/>
    <mergeCell ref="Y903:AF903"/>
    <mergeCell ref="Y885:AF885"/>
    <mergeCell ref="Y886:AF886"/>
    <mergeCell ref="Y887:AF887"/>
    <mergeCell ref="Y888:AF888"/>
    <mergeCell ref="Y889:AF889"/>
    <mergeCell ref="Y890:AF890"/>
    <mergeCell ref="Y891:AF891"/>
    <mergeCell ref="Y851:AF851"/>
    <mergeCell ref="Y875:AF875"/>
    <mergeCell ref="Y876:AF876"/>
    <mergeCell ref="Y877:AF877"/>
    <mergeCell ref="Y878:AF878"/>
    <mergeCell ref="Y879:AF879"/>
    <mergeCell ref="Y880:AF880"/>
    <mergeCell ref="Y881:AF881"/>
    <mergeCell ref="Y852:AF852"/>
    <mergeCell ref="Y853:AF853"/>
    <mergeCell ref="Y854:AF854"/>
    <mergeCell ref="Y866:AF866"/>
    <mergeCell ref="Y867:AF867"/>
    <mergeCell ref="Y868:AF868"/>
    <mergeCell ref="Y869:AF869"/>
    <mergeCell ref="Y870:AF870"/>
    <mergeCell ref="Y864:AF864"/>
    <mergeCell ref="Y865:AF865"/>
    <mergeCell ref="Y862:AF862"/>
    <mergeCell ref="V531:V532"/>
    <mergeCell ref="U531:U532"/>
    <mergeCell ref="T531:T532"/>
    <mergeCell ref="S531:S532"/>
    <mergeCell ref="R531:R532"/>
    <mergeCell ref="Q531:Q532"/>
    <mergeCell ref="Q474:Q475"/>
    <mergeCell ref="R474:R475"/>
    <mergeCell ref="S474:S475"/>
    <mergeCell ref="T474:T475"/>
    <mergeCell ref="U474:U475"/>
    <mergeCell ref="V474:V475"/>
    <mergeCell ref="W474:W475"/>
    <mergeCell ref="W645:W646"/>
    <mergeCell ref="V645:V646"/>
    <mergeCell ref="U645:U646"/>
    <mergeCell ref="T645:T646"/>
    <mergeCell ref="S645:S646"/>
    <mergeCell ref="R645:R646"/>
    <mergeCell ref="Q645:Q646"/>
    <mergeCell ref="Q588:Q589"/>
    <mergeCell ref="R588:R589"/>
    <mergeCell ref="S588:S589"/>
    <mergeCell ref="T588:T589"/>
    <mergeCell ref="U588:U589"/>
    <mergeCell ref="V588:V589"/>
    <mergeCell ref="W588:W589"/>
    <mergeCell ref="Q579:W586"/>
    <mergeCell ref="Q636:W643"/>
    <mergeCell ref="Y21:AF21"/>
    <mergeCell ref="Y22:AF22"/>
    <mergeCell ref="Y23:AF23"/>
    <mergeCell ref="Y24:AF24"/>
    <mergeCell ref="Y25:AF25"/>
    <mergeCell ref="Y26:AF26"/>
    <mergeCell ref="Y27:AF27"/>
    <mergeCell ref="Y28:AF28"/>
    <mergeCell ref="Q66:W73"/>
    <mergeCell ref="BZ67:BZ98"/>
    <mergeCell ref="Y95:AF95"/>
    <mergeCell ref="V246:V247"/>
    <mergeCell ref="W246:W247"/>
    <mergeCell ref="W417:W418"/>
    <mergeCell ref="V417:V418"/>
    <mergeCell ref="U417:U418"/>
    <mergeCell ref="T417:T418"/>
    <mergeCell ref="S417:S418"/>
    <mergeCell ref="R417:R418"/>
    <mergeCell ref="Q417:Q418"/>
    <mergeCell ref="Q360:Q361"/>
    <mergeCell ref="R360:R361"/>
    <mergeCell ref="S360:S361"/>
    <mergeCell ref="T360:T361"/>
    <mergeCell ref="U360:U361"/>
    <mergeCell ref="V360:V361"/>
    <mergeCell ref="W360:W361"/>
    <mergeCell ref="Q408:W415"/>
    <mergeCell ref="Y330:AF330"/>
    <mergeCell ref="Y331:AF331"/>
    <mergeCell ref="Y332:AF332"/>
    <mergeCell ref="Y333:AF333"/>
    <mergeCell ref="Q864:W871"/>
    <mergeCell ref="V303:V304"/>
    <mergeCell ref="U303:U304"/>
    <mergeCell ref="T303:T304"/>
    <mergeCell ref="S303:S304"/>
    <mergeCell ref="R303:R304"/>
    <mergeCell ref="Q123:W130"/>
    <mergeCell ref="Q180:W187"/>
    <mergeCell ref="Q237:W244"/>
    <mergeCell ref="Q294:W301"/>
    <mergeCell ref="Q351:W358"/>
    <mergeCell ref="Q465:W472"/>
    <mergeCell ref="Q522:W529"/>
    <mergeCell ref="W189:W190"/>
    <mergeCell ref="V189:V190"/>
    <mergeCell ref="U189:U190"/>
    <mergeCell ref="T189:T190"/>
    <mergeCell ref="S189:S190"/>
    <mergeCell ref="R189:R190"/>
    <mergeCell ref="Q189:Q190"/>
    <mergeCell ref="Q132:Q133"/>
    <mergeCell ref="R132:R133"/>
    <mergeCell ref="S132:S133"/>
    <mergeCell ref="T132:T133"/>
    <mergeCell ref="U132:U133"/>
    <mergeCell ref="V132:V133"/>
    <mergeCell ref="W132:W133"/>
    <mergeCell ref="W303:W304"/>
    <mergeCell ref="Q303:Q304"/>
    <mergeCell ref="Q246:Q247"/>
    <mergeCell ref="R246:R247"/>
    <mergeCell ref="W531:W532"/>
    <mergeCell ref="Y14:AF14"/>
    <mergeCell ref="Y15:AF15"/>
    <mergeCell ref="Y16:AF16"/>
    <mergeCell ref="Y66:AF66"/>
    <mergeCell ref="BZ99:BZ130"/>
    <mergeCell ref="BZ131:BZ162"/>
    <mergeCell ref="BZ163:BZ194"/>
    <mergeCell ref="Q693:W700"/>
    <mergeCell ref="Q750:W757"/>
    <mergeCell ref="S246:S247"/>
    <mergeCell ref="T246:T247"/>
    <mergeCell ref="U246:U247"/>
    <mergeCell ref="W75:W76"/>
    <mergeCell ref="V75:V76"/>
    <mergeCell ref="U75:U76"/>
    <mergeCell ref="T75:T76"/>
    <mergeCell ref="S75:S76"/>
    <mergeCell ref="R75:R76"/>
    <mergeCell ref="Q75:Q76"/>
    <mergeCell ref="BZ3:BZ34"/>
    <mergeCell ref="BZ35:BZ66"/>
    <mergeCell ref="Y35:AF35"/>
    <mergeCell ref="Y36:AF36"/>
    <mergeCell ref="Y37:AF37"/>
    <mergeCell ref="Y755:AF755"/>
    <mergeCell ref="Y20:AF20"/>
    <mergeCell ref="Y469:AF469"/>
    <mergeCell ref="Y470:AF470"/>
    <mergeCell ref="Y471:AF471"/>
    <mergeCell ref="Y472:AF472"/>
    <mergeCell ref="Y522:AF522"/>
    <mergeCell ref="Y523:AF523"/>
    <mergeCell ref="Y178:AF178"/>
    <mergeCell ref="Y121:AF121"/>
    <mergeCell ref="Y64:AF64"/>
    <mergeCell ref="Y751:AF751"/>
    <mergeCell ref="Y752:AF752"/>
    <mergeCell ref="Y753:AF753"/>
    <mergeCell ref="Y754:AF754"/>
    <mergeCell ref="Y67:AF67"/>
    <mergeCell ref="Y68:AF68"/>
    <mergeCell ref="Y69:AF69"/>
    <mergeCell ref="Y70:AF70"/>
    <mergeCell ref="Y71:AF71"/>
    <mergeCell ref="Y72:AF72"/>
    <mergeCell ref="Y73:AF73"/>
    <mergeCell ref="Y123:AF123"/>
    <mergeCell ref="Y124:AF124"/>
    <mergeCell ref="Y125:AF125"/>
    <mergeCell ref="Y126:AF126"/>
    <mergeCell ref="Y127:AF127"/>
    <mergeCell ref="Y128:AF128"/>
    <mergeCell ref="Y129:AF129"/>
    <mergeCell ref="Y130:AF130"/>
    <mergeCell ref="Y181:AF181"/>
    <mergeCell ref="Y726:AF726"/>
    <mergeCell ref="Y727:AF727"/>
    <mergeCell ref="Y728:AF728"/>
    <mergeCell ref="Y729:AF729"/>
    <mergeCell ref="Y730:AF730"/>
    <mergeCell ref="Y731:AF731"/>
    <mergeCell ref="Y732:AF732"/>
    <mergeCell ref="Y733:AF733"/>
    <mergeCell ref="Y734:AF734"/>
  </mergeCells>
  <phoneticPr fontId="29" type="noConversion"/>
  <conditionalFormatting sqref="A8:A56 B65 D65 B8 D8 F8 H8 J8 N8 L8 F65 H65 J65 N65 L65">
    <cfRule type="containsBlanks" dxfId="502" priority="8309">
      <formula>LEN(TRIM(A8))=0</formula>
    </cfRule>
  </conditionalFormatting>
  <conditionalFormatting sqref="A65:A113">
    <cfRule type="containsBlanks" dxfId="501" priority="2171">
      <formula>LEN(TRIM(A65))=0</formula>
    </cfRule>
  </conditionalFormatting>
  <conditionalFormatting sqref="A122:A170">
    <cfRule type="containsBlanks" dxfId="500" priority="2125">
      <formula>LEN(TRIM(A122))=0</formula>
    </cfRule>
  </conditionalFormatting>
  <conditionalFormatting sqref="A179:A227">
    <cfRule type="containsBlanks" dxfId="499" priority="2079">
      <formula>LEN(TRIM(A179))=0</formula>
    </cfRule>
  </conditionalFormatting>
  <conditionalFormatting sqref="A236:A284">
    <cfRule type="containsBlanks" dxfId="498" priority="2033">
      <formula>LEN(TRIM(A236))=0</formula>
    </cfRule>
  </conditionalFormatting>
  <conditionalFormatting sqref="A293:A341">
    <cfRule type="containsBlanks" dxfId="497" priority="1987">
      <formula>LEN(TRIM(A293))=0</formula>
    </cfRule>
  </conditionalFormatting>
  <conditionalFormatting sqref="A350:A398">
    <cfRule type="containsBlanks" dxfId="496" priority="1941">
      <formula>LEN(TRIM(A350))=0</formula>
    </cfRule>
  </conditionalFormatting>
  <conditionalFormatting sqref="A407:A455">
    <cfRule type="containsBlanks" dxfId="495" priority="1895">
      <formula>LEN(TRIM(A407))=0</formula>
    </cfRule>
  </conditionalFormatting>
  <conditionalFormatting sqref="B9:O56 B522:O569 B579:O626 B636:O683 B693:O740 B750:O797 B807:O854 B864:O911 B66:O113 B123:O170 B180:O227 B237:O284 B294:O341 B351:O398 B408:O455 B465:O512">
    <cfRule type="cellIs" dxfId="494" priority="1346" operator="equal">
      <formula>$R$56</formula>
    </cfRule>
    <cfRule type="cellIs" dxfId="493" priority="1347" operator="equal">
      <formula>$R$55</formula>
    </cfRule>
    <cfRule type="cellIs" dxfId="492" priority="1348" operator="equal">
      <formula>$R$54</formula>
    </cfRule>
    <cfRule type="cellIs" dxfId="491" priority="1349" operator="equal">
      <formula>$R$53</formula>
    </cfRule>
    <cfRule type="cellIs" dxfId="490" priority="1350" operator="equal">
      <formula>$R$52</formula>
    </cfRule>
    <cfRule type="cellIs" dxfId="489" priority="1351" operator="equal">
      <formula>$R$51</formula>
    </cfRule>
    <cfRule type="cellIs" dxfId="488" priority="1352" operator="equal">
      <formula>$R$50</formula>
    </cfRule>
    <cfRule type="cellIs" dxfId="487" priority="1353" operator="equal">
      <formula>$R$41</formula>
    </cfRule>
    <cfRule type="cellIs" dxfId="486" priority="1354" operator="equal">
      <formula>$R$34</formula>
    </cfRule>
    <cfRule type="cellIs" dxfId="485" priority="1355" operator="equal">
      <formula>$R$26</formula>
    </cfRule>
    <cfRule type="cellIs" dxfId="484" priority="1356" operator="equal">
      <formula>$R$25</formula>
    </cfRule>
    <cfRule type="cellIs" dxfId="483" priority="1357" operator="equal">
      <formula>$R$24</formula>
    </cfRule>
    <cfRule type="cellIs" dxfId="482" priority="1358" operator="equal">
      <formula>$R$23</formula>
    </cfRule>
    <cfRule type="cellIs" dxfId="481" priority="1359" operator="equal">
      <formula>$R$22</formula>
    </cfRule>
    <cfRule type="cellIs" dxfId="480" priority="1360" operator="equal">
      <formula>$R$21</formula>
    </cfRule>
    <cfRule type="cellIs" dxfId="479" priority="1361" operator="equal">
      <formula>$R$20</formula>
    </cfRule>
  </conditionalFormatting>
  <conditionalFormatting sqref="B9:O56 B522:O569 B579:O626 B636:O683 B693:O740 B750:O797 B807:O854 B864:O911 B66:O113 B123:O170 B180:O227 B237:O284 B294:O341 B351:O398 B408:O455 B465:O512">
    <cfRule type="cellIs" dxfId="478" priority="1343" operator="equal">
      <formula>$R$49</formula>
    </cfRule>
    <cfRule type="cellIs" dxfId="477" priority="1344" operator="equal">
      <formula>$R$48</formula>
    </cfRule>
    <cfRule type="cellIs" dxfId="476" priority="1345" operator="equal">
      <formula>$R$27</formula>
    </cfRule>
  </conditionalFormatting>
  <conditionalFormatting sqref="A464:A512">
    <cfRule type="containsBlanks" dxfId="475" priority="1304">
      <formula>LEN(TRIM(A464))=0</formula>
    </cfRule>
  </conditionalFormatting>
  <conditionalFormatting sqref="A521:A569">
    <cfRule type="containsBlanks" dxfId="474" priority="1294">
      <formula>LEN(TRIM(A521))=0</formula>
    </cfRule>
  </conditionalFormatting>
  <conditionalFormatting sqref="A578:A626">
    <cfRule type="containsBlanks" dxfId="473" priority="1284">
      <formula>LEN(TRIM(A578))=0</formula>
    </cfRule>
  </conditionalFormatting>
  <conditionalFormatting sqref="A635:A683">
    <cfRule type="containsBlanks" dxfId="472" priority="1274">
      <formula>LEN(TRIM(A635))=0</formula>
    </cfRule>
  </conditionalFormatting>
  <conditionalFormatting sqref="A692:A740">
    <cfRule type="containsBlanks" dxfId="471" priority="1264">
      <formula>LEN(TRIM(A692))=0</formula>
    </cfRule>
  </conditionalFormatting>
  <conditionalFormatting sqref="A749:A797">
    <cfRule type="containsBlanks" dxfId="470" priority="1254">
      <formula>LEN(TRIM(A749))=0</formula>
    </cfRule>
  </conditionalFormatting>
  <conditionalFormatting sqref="A806:A854">
    <cfRule type="containsBlanks" dxfId="469" priority="1244">
      <formula>LEN(TRIM(A806))=0</formula>
    </cfRule>
  </conditionalFormatting>
  <conditionalFormatting sqref="A863:A911">
    <cfRule type="containsBlanks" dxfId="468" priority="989">
      <formula>LEN(TRIM(A863))=0</formula>
    </cfRule>
  </conditionalFormatting>
  <conditionalFormatting sqref="C9:C60 B64:B65 C522:C573 C579:C630 C636:C687 C693:C744 C750:C801 C807:C858 C864:C911 C62 C119 C176 C233 C290 C347 C404 C461 C518 C575 C632 C689 C746 C803 C860 C66:C117 C123:C174 C180:C231 C237:C288 C294:C345 C351:C402 C408:C459 C465:C516">
    <cfRule type="expression" dxfId="467" priority="604">
      <formula>$CS9=1</formula>
    </cfRule>
  </conditionalFormatting>
  <conditionalFormatting sqref="E9:E60 D64:D65 E522:E573 E579:E630 E636:E687 E693:E744 E750:E801 E807:E858 E864:E911 E62 E119 E176 E233 E290 E347 E404 E461 E518 E575 E632 E689 E746 E803 E860 E66:E117 E123:E174 E180:E231 E237:E288 E294:E345 E351:E402 E408:E459 E465:E516">
    <cfRule type="expression" dxfId="466" priority="603">
      <formula>$CU9=1</formula>
    </cfRule>
  </conditionalFormatting>
  <conditionalFormatting sqref="G9:G60 G522:G573 G579:G630 G636:G687 G693:G744 G750:G801 G807:G858 G864:G911 G62 G119 G176 G233 G290 G347 G404 G461 G518 G575 G632 G689 G746 G803 G860 F64:F65 G66:G117 G123:G174 G180:G231 G237:G288 G294:G345 G351:G402 G408:G459 G465:G516">
    <cfRule type="expression" dxfId="465" priority="602">
      <formula>$CW9=1</formula>
    </cfRule>
  </conditionalFormatting>
  <conditionalFormatting sqref="I9:I60 I522:I573 I579:I630 I636:I687 I693:I744 I750:I801 I807:I858 I864:I911 I62 I119 I176 I233 I290 I347 I404 I461 I518 I575 I632 I689 I746 I803 I860 H64:H65 I66:I117 I123:I174 I180:I231 I237:I288 I294:I345 I351:I402 I408:I459 I465:I516">
    <cfRule type="expression" dxfId="464" priority="601">
      <formula>$CY9=1</formula>
    </cfRule>
  </conditionalFormatting>
  <conditionalFormatting sqref="K9:K60 K522:K573 K579:K630 K636:K687 K693:K744 K750:K801 K807:K858 K864:K911 K62 K119 K176 K233 K290 K347 K404 K461 K518 K575 K632 K689 K746 K803 K860 J64:J65 K66:K117 K123:K174 K180:K231 K237:K288 K294:K345 K351:K402 K408:K459 K465:K516">
    <cfRule type="expression" dxfId="463" priority="600">
      <formula>$DA9=1</formula>
    </cfRule>
  </conditionalFormatting>
  <conditionalFormatting sqref="M9:M60 M522:M573 M579:M630 M636:M687 M693:M744 M750:M801 M807:M858 M864:M911 M62 M119 M176 M233 M290 M347 M404 M461 M518 M575 M632 M689 M746 M803 M860 L64:L65 M66:M117 M123:M174 M180:M231 M237:M288 M294:M345 M351:M402 M408:M459 M465:M516">
    <cfRule type="expression" dxfId="462" priority="599">
      <formula>$DC9=1</formula>
    </cfRule>
  </conditionalFormatting>
  <conditionalFormatting sqref="O9:O60 O522:O573 O579:O630 O636:O687 O693:O744 O750:O801 O807:O858 O864:O911 O62 O119 O176 O233 O290 O347 O404 O461 O518 O575 O632 O689 O746 O803 O860 N64:N65 O66:O117 O123:O174 O180:O231 O237:O288 O294:O345 O351:O402 O408:O459 O465:O516">
    <cfRule type="expression" dxfId="461" priority="598">
      <formula>$DE9=1</formula>
    </cfRule>
  </conditionalFormatting>
  <conditionalFormatting sqref="Q9:U16 W9:W16">
    <cfRule type="expression" dxfId="460" priority="597">
      <formula>$Q$6=1</formula>
    </cfRule>
  </conditionalFormatting>
  <conditionalFormatting sqref="B9:B60 B522:B573 B579:B630 B636:B687 B693:B744 B750:B801 B807:B858 B864:B911 B62 B119 B176 B233 B290 B347 B404 B461 B518 B575 B632 B689 B746 B803 B860 B66:B117 B123:B174 B180:B231 B237:B288 B294:B345 B351:B402 B408:B459 B465:B516">
    <cfRule type="expression" dxfId="459" priority="596">
      <formula>$CR9=1</formula>
    </cfRule>
  </conditionalFormatting>
  <conditionalFormatting sqref="D9:D60 D522:D573 D579:D630 D636:D687 D693:D744 D750:D801 D807:D858 D864:D911 D62 D119 D176 D233 D290 D347 D404 D461 D518 D575 D632 D689 D746 D803 D860 D66:D117 D123:D174 D180:D231 D237:D288 D294:D345 D351:D402 D408:D459 D465:D516">
    <cfRule type="expression" dxfId="458" priority="595">
      <formula>$CT9=1</formula>
    </cfRule>
  </conditionalFormatting>
  <conditionalFormatting sqref="F9:F60 F522:F573 F579:F630 F636:F687 F693:F744 F750:F801 F807:F858 F864:F911 F62 F119 F176 F233 F290 F347 F404 F461 F518 F575 F632 F689 F746 F803 F860 F66:F117 F123:F174 F180:F231 F237:F288 F294:F345 F351:F402 F408:F459 F465:F516">
    <cfRule type="expression" dxfId="457" priority="594">
      <formula>$CV9=1</formula>
    </cfRule>
  </conditionalFormatting>
  <conditionalFormatting sqref="H9:H60 H522:H573 H579:H630 H636:H687 H693:H744 H750:H801 H807:H858 H864:H911 H62 H119 H176 H233 H290 H347 H404 H461 H518 H575 H632 H689 H746 H803 H860 H66:H117 H123:H174 H180:H231 H237:H288 H294:H345 H351:H402 H408:H459 H465:H516">
    <cfRule type="expression" dxfId="456" priority="593">
      <formula>$CX9=1</formula>
    </cfRule>
  </conditionalFormatting>
  <conditionalFormatting sqref="J9:J60 J522:J573 J579:J630 J636:J687 J693:J744 J750:J801 J807:J858 J864:J911 J62 J119 J176 J233 J290 J347 J404 J461 J518 J575 J632 J689 J746 J803 J860 J66:J117 J123:J174 J180:J231 J237:J288 J294:J345 J351:J402 J408:J459 J465:J516">
    <cfRule type="expression" dxfId="455" priority="592">
      <formula>$CZ9=1</formula>
    </cfRule>
  </conditionalFormatting>
  <conditionalFormatting sqref="L9:L60 L522:L573 L579:L630 L636:L687 L693:L744 L750:L801 L807:L858 L864:L911 L62 L119 L176 L233 L290 L347 L404 L461 L518 L575 L632 L689 L746 L803 L860 L66:L117 L123:L174 L180:L231 L237:L288 L294:L345 L351:L402 L408:L459 L465:L516">
    <cfRule type="expression" dxfId="454" priority="591">
      <formula>$DB9=1</formula>
    </cfRule>
  </conditionalFormatting>
  <conditionalFormatting sqref="N9:N60 N522:N573 N579:N630 N636:N687 N693:N744 N750:N801 N807:N858 N864:N911 N62 N119 N176 N233 N290 N347 N404 N461 N518 N575 N632 N689 N746 N803 N860 N66:N117 N123:N174 N180:N231 N237:N288 N294:N345 N351:N402 N408:N459 N465:N516">
    <cfRule type="expression" dxfId="453" priority="589">
      <formula>$DD9=1</formula>
    </cfRule>
  </conditionalFormatting>
  <conditionalFormatting sqref="B6">
    <cfRule type="dataBar" priority="586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{E429E626-4B0A-4C99-A658-049B453079A0}</x14:id>
        </ext>
      </extLst>
    </cfRule>
  </conditionalFormatting>
  <conditionalFormatting sqref="B861">
    <cfRule type="dataBar" priority="55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{8C5E30EB-BE66-4581-B80A-B24030851BC6}</x14:id>
        </ext>
      </extLst>
    </cfRule>
  </conditionalFormatting>
  <conditionalFormatting sqref="Q66:U73 W66:W73">
    <cfRule type="expression" dxfId="452" priority="554">
      <formula>$Q$63=1</formula>
    </cfRule>
  </conditionalFormatting>
  <conditionalFormatting sqref="Q123:U130 W123:W130">
    <cfRule type="expression" dxfId="451" priority="553">
      <formula>$Q$120=1</formula>
    </cfRule>
  </conditionalFormatting>
  <conditionalFormatting sqref="Q180:U187 W180:W187">
    <cfRule type="expression" dxfId="450" priority="552">
      <formula>$Q$177=1</formula>
    </cfRule>
  </conditionalFormatting>
  <conditionalFormatting sqref="Q237:U244 W237:W244">
    <cfRule type="expression" dxfId="449" priority="551">
      <formula>$Q$234=1</formula>
    </cfRule>
  </conditionalFormatting>
  <conditionalFormatting sqref="Q294:U301 W294:W301">
    <cfRule type="expression" dxfId="448" priority="550">
      <formula>$Q$291=1</formula>
    </cfRule>
  </conditionalFormatting>
  <conditionalFormatting sqref="Q351:U358 W351:W358">
    <cfRule type="expression" dxfId="447" priority="549">
      <formula>$Q$348=1</formula>
    </cfRule>
  </conditionalFormatting>
  <conditionalFormatting sqref="Q522:U529 W522:W529">
    <cfRule type="expression" dxfId="446" priority="546">
      <formula>$Q$519=1</formula>
    </cfRule>
  </conditionalFormatting>
  <conditionalFormatting sqref="Q579:U586 W579:W586">
    <cfRule type="expression" dxfId="445" priority="545">
      <formula>$Q$576=1</formula>
    </cfRule>
  </conditionalFormatting>
  <conditionalFormatting sqref="Q636:U643 W636:W643">
    <cfRule type="expression" dxfId="444" priority="544">
      <formula>$Q$633=1</formula>
    </cfRule>
  </conditionalFormatting>
  <conditionalFormatting sqref="Q693:U700 W693:W700">
    <cfRule type="expression" dxfId="443" priority="543">
      <formula>$Q$690=1</formula>
    </cfRule>
  </conditionalFormatting>
  <conditionalFormatting sqref="Q750:U757 W750:W757">
    <cfRule type="expression" dxfId="442" priority="542">
      <formula>$Q$747=1</formula>
    </cfRule>
  </conditionalFormatting>
  <conditionalFormatting sqref="Q807:U814 W807:W814">
    <cfRule type="expression" dxfId="441" priority="541">
      <formula>$Q$804=1</formula>
    </cfRule>
  </conditionalFormatting>
  <conditionalFormatting sqref="Q864:U871 W864:W871">
    <cfRule type="expression" dxfId="440" priority="540">
      <formula>$Q$861=1</formula>
    </cfRule>
  </conditionalFormatting>
  <conditionalFormatting sqref="Q408:U415 W408:W415">
    <cfRule type="expression" dxfId="439" priority="539">
      <formula>$Q$405=1</formula>
    </cfRule>
  </conditionalFormatting>
  <conditionalFormatting sqref="Q465:U472 W465:W472">
    <cfRule type="expression" dxfId="438" priority="538">
      <formula>$Q$462=1</formula>
    </cfRule>
  </conditionalFormatting>
  <conditionalFormatting sqref="B63">
    <cfRule type="dataBar" priority="524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{8421F87A-5A50-4BB8-9E85-CDB771B0BF27}</x14:id>
        </ext>
      </extLst>
    </cfRule>
  </conditionalFormatting>
  <conditionalFormatting sqref="B804">
    <cfRule type="dataBar" priority="53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{FEAB0AE7-BFEB-4921-83A4-CE066DA9FD87}</x14:id>
        </ext>
      </extLst>
    </cfRule>
  </conditionalFormatting>
  <conditionalFormatting sqref="B747">
    <cfRule type="dataBar" priority="536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{7CCF01B6-42EB-4BEE-8C22-1100D6772624}</x14:id>
        </ext>
      </extLst>
    </cfRule>
  </conditionalFormatting>
  <conditionalFormatting sqref="B690">
    <cfRule type="dataBar" priority="535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{851AE881-B189-4DEE-9E97-0E5E3C03D581}</x14:id>
        </ext>
      </extLst>
    </cfRule>
  </conditionalFormatting>
  <conditionalFormatting sqref="B633">
    <cfRule type="dataBar" priority="534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{85AAFA8F-0F5A-4FE4-84E7-32143B8DFA4C}</x14:id>
        </ext>
      </extLst>
    </cfRule>
  </conditionalFormatting>
  <conditionalFormatting sqref="B576">
    <cfRule type="dataBar" priority="53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{93369201-D013-46E5-9FF8-9DB8DF872FF6}</x14:id>
        </ext>
      </extLst>
    </cfRule>
  </conditionalFormatting>
  <conditionalFormatting sqref="B519">
    <cfRule type="dataBar" priority="53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{6631A57A-1FB6-439D-8583-1379911D6C77}</x14:id>
        </ext>
      </extLst>
    </cfRule>
  </conditionalFormatting>
  <conditionalFormatting sqref="B462">
    <cfRule type="dataBar" priority="53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{D83A91A8-D4D6-43C4-AE64-C2D6FA8D504E}</x14:id>
        </ext>
      </extLst>
    </cfRule>
  </conditionalFormatting>
  <conditionalFormatting sqref="B405">
    <cfRule type="dataBar" priority="53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{5B579A33-F81F-4B16-8F5F-CB70B6306E82}</x14:id>
        </ext>
      </extLst>
    </cfRule>
  </conditionalFormatting>
  <conditionalFormatting sqref="B348">
    <cfRule type="dataBar" priority="52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{60511E9C-A7E9-4B52-BD19-8D2593D8717B}</x14:id>
        </ext>
      </extLst>
    </cfRule>
  </conditionalFormatting>
  <conditionalFormatting sqref="B291">
    <cfRule type="dataBar" priority="52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{EC981A9B-155C-4DD8-A387-116CA342844E}</x14:id>
        </ext>
      </extLst>
    </cfRule>
  </conditionalFormatting>
  <conditionalFormatting sqref="B234">
    <cfRule type="dataBar" priority="52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{798829C9-5CA8-4CAB-9A3A-54B33454BE01}</x14:id>
        </ext>
      </extLst>
    </cfRule>
  </conditionalFormatting>
  <conditionalFormatting sqref="B177">
    <cfRule type="dataBar" priority="526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{2AB560B9-AE83-482A-96CC-7C404D3E107F}</x14:id>
        </ext>
      </extLst>
    </cfRule>
  </conditionalFormatting>
  <conditionalFormatting sqref="B120">
    <cfRule type="dataBar" priority="525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{2DBFC3C4-EB3D-4555-966A-6C8984AFBC61}</x14:id>
        </ext>
      </extLst>
    </cfRule>
  </conditionalFormatting>
  <conditionalFormatting sqref="Y1:AF6 Y17:AF63 Y8:AF8 Y9:Y16 Y74:AF120 Y188:AF234 Y245:AF291 Y302:AF348 Y416:AF462 Y473:AF519 Y530:AF576 Y587:AF633 Y644:AF690 Y701:AF747 Y758:AF804 Y815:AF861 Y872:AF1048576 Y863:AF863 Y862 Y806:AF806 Y749:AF749 Y692:AF692 Y635:AF635 Y578:AF578 Y521:AF521 Y464:AF464 Y407:AF407 Y350:AF350 Y293:AF293 Y236:AF236 Y179:AF179 Y122:AF122 Y65:AF65 Y131:AF177 Y359:AF405">
    <cfRule type="expression" dxfId="437" priority="431">
      <formula>$W1="-"</formula>
    </cfRule>
    <cfRule type="expression" dxfId="436" priority="432">
      <formula>$X1=0</formula>
    </cfRule>
  </conditionalFormatting>
  <conditionalFormatting sqref="B7">
    <cfRule type="expression" dxfId="435" priority="423">
      <formula>$CS7=1</formula>
    </cfRule>
  </conditionalFormatting>
  <conditionalFormatting sqref="D7">
    <cfRule type="expression" dxfId="434" priority="422">
      <formula>$CU7=1</formula>
    </cfRule>
  </conditionalFormatting>
  <conditionalFormatting sqref="F7">
    <cfRule type="expression" dxfId="433" priority="421">
      <formula>$CW7=1</formula>
    </cfRule>
  </conditionalFormatting>
  <conditionalFormatting sqref="H7">
    <cfRule type="expression" dxfId="432" priority="420">
      <formula>$CY7=1</formula>
    </cfRule>
  </conditionalFormatting>
  <conditionalFormatting sqref="J7">
    <cfRule type="expression" dxfId="431" priority="419">
      <formula>$DA7=1</formula>
    </cfRule>
  </conditionalFormatting>
  <conditionalFormatting sqref="L7">
    <cfRule type="expression" dxfId="430" priority="418">
      <formula>$DC7=1</formula>
    </cfRule>
  </conditionalFormatting>
  <conditionalFormatting sqref="N7">
    <cfRule type="expression" dxfId="429" priority="417">
      <formula>$DE7=1</formula>
    </cfRule>
  </conditionalFormatting>
  <conditionalFormatting sqref="B122 D122 F122 H122 J122 N122 L122">
    <cfRule type="containsBlanks" dxfId="428" priority="415">
      <formula>LEN(TRIM(B122))=0</formula>
    </cfRule>
  </conditionalFormatting>
  <conditionalFormatting sqref="B121:B122">
    <cfRule type="expression" dxfId="427" priority="400">
      <formula>$CS121=1</formula>
    </cfRule>
  </conditionalFormatting>
  <conditionalFormatting sqref="D121:D122">
    <cfRule type="expression" dxfId="426" priority="399">
      <formula>$CU121=1</formula>
    </cfRule>
  </conditionalFormatting>
  <conditionalFormatting sqref="F121:F122">
    <cfRule type="expression" dxfId="425" priority="398">
      <formula>$CW121=1</formula>
    </cfRule>
  </conditionalFormatting>
  <conditionalFormatting sqref="H121:H122">
    <cfRule type="expression" dxfId="424" priority="397">
      <formula>$CY121=1</formula>
    </cfRule>
  </conditionalFormatting>
  <conditionalFormatting sqref="J121:J122">
    <cfRule type="expression" dxfId="423" priority="396">
      <formula>$DA121=1</formula>
    </cfRule>
  </conditionalFormatting>
  <conditionalFormatting sqref="L121:L122">
    <cfRule type="expression" dxfId="422" priority="395">
      <formula>$DC121=1</formula>
    </cfRule>
  </conditionalFormatting>
  <conditionalFormatting sqref="N121:N122">
    <cfRule type="expression" dxfId="421" priority="394">
      <formula>$DE121=1</formula>
    </cfRule>
  </conditionalFormatting>
  <conditionalFormatting sqref="B179 D179 F179 H179 J179 N179 L179">
    <cfRule type="containsBlanks" dxfId="420" priority="392">
      <formula>LEN(TRIM(B179))=0</formula>
    </cfRule>
  </conditionalFormatting>
  <conditionalFormatting sqref="B178:B179">
    <cfRule type="expression" dxfId="419" priority="377">
      <formula>$CS178=1</formula>
    </cfRule>
  </conditionalFormatting>
  <conditionalFormatting sqref="D178:D179">
    <cfRule type="expression" dxfId="418" priority="376">
      <formula>$CU178=1</formula>
    </cfRule>
  </conditionalFormatting>
  <conditionalFormatting sqref="F178:F179">
    <cfRule type="expression" dxfId="417" priority="375">
      <formula>$CW178=1</formula>
    </cfRule>
  </conditionalFormatting>
  <conditionalFormatting sqref="H178:H179">
    <cfRule type="expression" dxfId="416" priority="374">
      <formula>$CY178=1</formula>
    </cfRule>
  </conditionalFormatting>
  <conditionalFormatting sqref="J178:J179">
    <cfRule type="expression" dxfId="415" priority="373">
      <formula>$DA178=1</formula>
    </cfRule>
  </conditionalFormatting>
  <conditionalFormatting sqref="L178:L179">
    <cfRule type="expression" dxfId="414" priority="372">
      <formula>$DC178=1</formula>
    </cfRule>
  </conditionalFormatting>
  <conditionalFormatting sqref="N178:N179">
    <cfRule type="expression" dxfId="413" priority="371">
      <formula>$DE178=1</formula>
    </cfRule>
  </conditionalFormatting>
  <conditionalFormatting sqref="B236 D236 F236 H236 J236 N236 L236">
    <cfRule type="containsBlanks" dxfId="412" priority="369">
      <formula>LEN(TRIM(B236))=0</formula>
    </cfRule>
  </conditionalFormatting>
  <conditionalFormatting sqref="B235:B236">
    <cfRule type="expression" dxfId="411" priority="354">
      <formula>$CS235=1</formula>
    </cfRule>
  </conditionalFormatting>
  <conditionalFormatting sqref="D235:D236">
    <cfRule type="expression" dxfId="410" priority="353">
      <formula>$CU235=1</formula>
    </cfRule>
  </conditionalFormatting>
  <conditionalFormatting sqref="F235:F236">
    <cfRule type="expression" dxfId="409" priority="352">
      <formula>$CW235=1</formula>
    </cfRule>
  </conditionalFormatting>
  <conditionalFormatting sqref="H235:H236">
    <cfRule type="expression" dxfId="408" priority="351">
      <formula>$CY235=1</formula>
    </cfRule>
  </conditionalFormatting>
  <conditionalFormatting sqref="J235:J236">
    <cfRule type="expression" dxfId="407" priority="350">
      <formula>$DA235=1</formula>
    </cfRule>
  </conditionalFormatting>
  <conditionalFormatting sqref="L235:L236">
    <cfRule type="expression" dxfId="406" priority="349">
      <formula>$DC235=1</formula>
    </cfRule>
  </conditionalFormatting>
  <conditionalFormatting sqref="N235:N236">
    <cfRule type="expression" dxfId="405" priority="348">
      <formula>$DE235=1</formula>
    </cfRule>
  </conditionalFormatting>
  <conditionalFormatting sqref="B293 D293 F293 H293 J293 N293 L293">
    <cfRule type="containsBlanks" dxfId="404" priority="346">
      <formula>LEN(TRIM(B293))=0</formula>
    </cfRule>
  </conditionalFormatting>
  <conditionalFormatting sqref="B292:B293">
    <cfRule type="expression" dxfId="403" priority="331">
      <formula>$CS292=1</formula>
    </cfRule>
  </conditionalFormatting>
  <conditionalFormatting sqref="D292:D293">
    <cfRule type="expression" dxfId="402" priority="330">
      <formula>$CU292=1</formula>
    </cfRule>
  </conditionalFormatting>
  <conditionalFormatting sqref="F292:F293">
    <cfRule type="expression" dxfId="401" priority="329">
      <formula>$CW292=1</formula>
    </cfRule>
  </conditionalFormatting>
  <conditionalFormatting sqref="H292:H293">
    <cfRule type="expression" dxfId="400" priority="328">
      <formula>$CY292=1</formula>
    </cfRule>
  </conditionalFormatting>
  <conditionalFormatting sqref="J292:J293">
    <cfRule type="expression" dxfId="399" priority="327">
      <formula>$DA292=1</formula>
    </cfRule>
  </conditionalFormatting>
  <conditionalFormatting sqref="L292:L293">
    <cfRule type="expression" dxfId="398" priority="326">
      <formula>$DC292=1</formula>
    </cfRule>
  </conditionalFormatting>
  <conditionalFormatting sqref="N292:N293">
    <cfRule type="expression" dxfId="397" priority="325">
      <formula>$DE292=1</formula>
    </cfRule>
  </conditionalFormatting>
  <conditionalFormatting sqref="B350 D350 F350 H350 J350 N350 L350">
    <cfRule type="containsBlanks" dxfId="396" priority="323">
      <formula>LEN(TRIM(B350))=0</formula>
    </cfRule>
  </conditionalFormatting>
  <conditionalFormatting sqref="B349:B350">
    <cfRule type="expression" dxfId="395" priority="308">
      <formula>$CS349=1</formula>
    </cfRule>
  </conditionalFormatting>
  <conditionalFormatting sqref="D349:D350">
    <cfRule type="expression" dxfId="394" priority="307">
      <formula>$CU349=1</formula>
    </cfRule>
  </conditionalFormatting>
  <conditionalFormatting sqref="F349:F350">
    <cfRule type="expression" dxfId="393" priority="306">
      <formula>$CW349=1</formula>
    </cfRule>
  </conditionalFormatting>
  <conditionalFormatting sqref="H349:H350">
    <cfRule type="expression" dxfId="392" priority="305">
      <formula>$CY349=1</formula>
    </cfRule>
  </conditionalFormatting>
  <conditionalFormatting sqref="J349:J350">
    <cfRule type="expression" dxfId="391" priority="304">
      <formula>$DA349=1</formula>
    </cfRule>
  </conditionalFormatting>
  <conditionalFormatting sqref="L349:L350">
    <cfRule type="expression" dxfId="390" priority="303">
      <formula>$DC349=1</formula>
    </cfRule>
  </conditionalFormatting>
  <conditionalFormatting sqref="N349:N350">
    <cfRule type="expression" dxfId="389" priority="302">
      <formula>$DE349=1</formula>
    </cfRule>
  </conditionalFormatting>
  <conditionalFormatting sqref="B407 D407 F407 H407 J407 N407 L407">
    <cfRule type="containsBlanks" dxfId="388" priority="300">
      <formula>LEN(TRIM(B407))=0</formula>
    </cfRule>
  </conditionalFormatting>
  <conditionalFormatting sqref="B406:B407">
    <cfRule type="expression" dxfId="387" priority="285">
      <formula>$CS406=1</formula>
    </cfRule>
  </conditionalFormatting>
  <conditionalFormatting sqref="D406:D407">
    <cfRule type="expression" dxfId="386" priority="284">
      <formula>$CU406=1</formula>
    </cfRule>
  </conditionalFormatting>
  <conditionalFormatting sqref="F406:F407">
    <cfRule type="expression" dxfId="385" priority="283">
      <formula>$CW406=1</formula>
    </cfRule>
  </conditionalFormatting>
  <conditionalFormatting sqref="H406:H407">
    <cfRule type="expression" dxfId="384" priority="282">
      <formula>$CY406=1</formula>
    </cfRule>
  </conditionalFormatting>
  <conditionalFormatting sqref="J406:J407">
    <cfRule type="expression" dxfId="383" priority="281">
      <formula>$DA406=1</formula>
    </cfRule>
  </conditionalFormatting>
  <conditionalFormatting sqref="L406:L407">
    <cfRule type="expression" dxfId="382" priority="280">
      <formula>$DC406=1</formula>
    </cfRule>
  </conditionalFormatting>
  <conditionalFormatting sqref="N406:N407">
    <cfRule type="expression" dxfId="381" priority="279">
      <formula>$DE406=1</formula>
    </cfRule>
  </conditionalFormatting>
  <conditionalFormatting sqref="B464 D464 F464 H464 J464 N464 L464">
    <cfRule type="containsBlanks" dxfId="380" priority="277">
      <formula>LEN(TRIM(B464))=0</formula>
    </cfRule>
  </conditionalFormatting>
  <conditionalFormatting sqref="B463:B464">
    <cfRule type="expression" dxfId="379" priority="262">
      <formula>$CS463=1</formula>
    </cfRule>
  </conditionalFormatting>
  <conditionalFormatting sqref="D463:D464">
    <cfRule type="expression" dxfId="378" priority="261">
      <formula>$CU463=1</formula>
    </cfRule>
  </conditionalFormatting>
  <conditionalFormatting sqref="F463:F464">
    <cfRule type="expression" dxfId="377" priority="260">
      <formula>$CW463=1</formula>
    </cfRule>
  </conditionalFormatting>
  <conditionalFormatting sqref="H463:H464">
    <cfRule type="expression" dxfId="376" priority="259">
      <formula>$CY463=1</formula>
    </cfRule>
  </conditionalFormatting>
  <conditionalFormatting sqref="J463:J464">
    <cfRule type="expression" dxfId="375" priority="258">
      <formula>$DA463=1</formula>
    </cfRule>
  </conditionalFormatting>
  <conditionalFormatting sqref="L463:L464">
    <cfRule type="expression" dxfId="374" priority="257">
      <formula>$DC463=1</formula>
    </cfRule>
  </conditionalFormatting>
  <conditionalFormatting sqref="N463:N464">
    <cfRule type="expression" dxfId="373" priority="256">
      <formula>$DE463=1</formula>
    </cfRule>
  </conditionalFormatting>
  <conditionalFormatting sqref="B521 D521 F521 H521 J521 N521 L521">
    <cfRule type="containsBlanks" dxfId="372" priority="254">
      <formula>LEN(TRIM(B521))=0</formula>
    </cfRule>
  </conditionalFormatting>
  <conditionalFormatting sqref="B520:B521">
    <cfRule type="expression" dxfId="371" priority="239">
      <formula>$CS520=1</formula>
    </cfRule>
  </conditionalFormatting>
  <conditionalFormatting sqref="D520:D521">
    <cfRule type="expression" dxfId="370" priority="238">
      <formula>$CU520=1</formula>
    </cfRule>
  </conditionalFormatting>
  <conditionalFormatting sqref="F520:F521">
    <cfRule type="expression" dxfId="369" priority="237">
      <formula>$CW520=1</formula>
    </cfRule>
  </conditionalFormatting>
  <conditionalFormatting sqref="H520:H521">
    <cfRule type="expression" dxfId="368" priority="236">
      <formula>$CY520=1</formula>
    </cfRule>
  </conditionalFormatting>
  <conditionalFormatting sqref="J520:J521">
    <cfRule type="expression" dxfId="367" priority="235">
      <formula>$DA520=1</formula>
    </cfRule>
  </conditionalFormatting>
  <conditionalFormatting sqref="L520:L521">
    <cfRule type="expression" dxfId="366" priority="234">
      <formula>$DC520=1</formula>
    </cfRule>
  </conditionalFormatting>
  <conditionalFormatting sqref="N520:N521">
    <cfRule type="expression" dxfId="365" priority="233">
      <formula>$DE520=1</formula>
    </cfRule>
  </conditionalFormatting>
  <conditionalFormatting sqref="B578 D578 F578 H578 J578 N578 L578">
    <cfRule type="containsBlanks" dxfId="364" priority="231">
      <formula>LEN(TRIM(B578))=0</formula>
    </cfRule>
  </conditionalFormatting>
  <conditionalFormatting sqref="B577:B578">
    <cfRule type="expression" dxfId="363" priority="216">
      <formula>$CS577=1</formula>
    </cfRule>
  </conditionalFormatting>
  <conditionalFormatting sqref="D577:D578">
    <cfRule type="expression" dxfId="362" priority="215">
      <formula>$CU577=1</formula>
    </cfRule>
  </conditionalFormatting>
  <conditionalFormatting sqref="F577:F578">
    <cfRule type="expression" dxfId="361" priority="214">
      <formula>$CW577=1</formula>
    </cfRule>
  </conditionalFormatting>
  <conditionalFormatting sqref="H577:H578">
    <cfRule type="expression" dxfId="360" priority="213">
      <formula>$CY577=1</formula>
    </cfRule>
  </conditionalFormatting>
  <conditionalFormatting sqref="J577:J578">
    <cfRule type="expression" dxfId="359" priority="212">
      <formula>$DA577=1</formula>
    </cfRule>
  </conditionalFormatting>
  <conditionalFormatting sqref="L577:L578">
    <cfRule type="expression" dxfId="358" priority="211">
      <formula>$DC577=1</formula>
    </cfRule>
  </conditionalFormatting>
  <conditionalFormatting sqref="N577:N578">
    <cfRule type="expression" dxfId="357" priority="210">
      <formula>$DE577=1</formula>
    </cfRule>
  </conditionalFormatting>
  <conditionalFormatting sqref="B635 D635 F635 H635 J635 N635 L635">
    <cfRule type="containsBlanks" dxfId="356" priority="208">
      <formula>LEN(TRIM(B635))=0</formula>
    </cfRule>
  </conditionalFormatting>
  <conditionalFormatting sqref="B634:B635">
    <cfRule type="expression" dxfId="355" priority="193">
      <formula>$CS634=1</formula>
    </cfRule>
  </conditionalFormatting>
  <conditionalFormatting sqref="D634:D635">
    <cfRule type="expression" dxfId="354" priority="192">
      <formula>$CU634=1</formula>
    </cfRule>
  </conditionalFormatting>
  <conditionalFormatting sqref="F634:F635">
    <cfRule type="expression" dxfId="353" priority="191">
      <formula>$CW634=1</formula>
    </cfRule>
  </conditionalFormatting>
  <conditionalFormatting sqref="H634:H635">
    <cfRule type="expression" dxfId="352" priority="190">
      <formula>$CY634=1</formula>
    </cfRule>
  </conditionalFormatting>
  <conditionalFormatting sqref="J634:J635">
    <cfRule type="expression" dxfId="351" priority="189">
      <formula>$DA634=1</formula>
    </cfRule>
  </conditionalFormatting>
  <conditionalFormatting sqref="L634:L635">
    <cfRule type="expression" dxfId="350" priority="188">
      <formula>$DC634=1</formula>
    </cfRule>
  </conditionalFormatting>
  <conditionalFormatting sqref="N634:N635">
    <cfRule type="expression" dxfId="349" priority="187">
      <formula>$DE634=1</formula>
    </cfRule>
  </conditionalFormatting>
  <conditionalFormatting sqref="B692 D692 F692 H692 J692 N692 L692">
    <cfRule type="containsBlanks" dxfId="348" priority="185">
      <formula>LEN(TRIM(B692))=0</formula>
    </cfRule>
  </conditionalFormatting>
  <conditionalFormatting sqref="B691:B692">
    <cfRule type="expression" dxfId="347" priority="170">
      <formula>$CS691=1</formula>
    </cfRule>
  </conditionalFormatting>
  <conditionalFormatting sqref="D691:D692">
    <cfRule type="expression" dxfId="346" priority="169">
      <formula>$CU691=1</formula>
    </cfRule>
  </conditionalFormatting>
  <conditionalFormatting sqref="F691:F692">
    <cfRule type="expression" dxfId="345" priority="168">
      <formula>$CW691=1</formula>
    </cfRule>
  </conditionalFormatting>
  <conditionalFormatting sqref="H691:H692">
    <cfRule type="expression" dxfId="344" priority="167">
      <formula>$CY691=1</formula>
    </cfRule>
  </conditionalFormatting>
  <conditionalFormatting sqref="J691:J692">
    <cfRule type="expression" dxfId="343" priority="166">
      <formula>$DA691=1</formula>
    </cfRule>
  </conditionalFormatting>
  <conditionalFormatting sqref="L691:L692">
    <cfRule type="expression" dxfId="342" priority="165">
      <formula>$DC691=1</formula>
    </cfRule>
  </conditionalFormatting>
  <conditionalFormatting sqref="N691:N692">
    <cfRule type="expression" dxfId="341" priority="164">
      <formula>$DE691=1</formula>
    </cfRule>
  </conditionalFormatting>
  <conditionalFormatting sqref="B749 D749 F749 H749 J749 N749 L749">
    <cfRule type="containsBlanks" dxfId="340" priority="162">
      <formula>LEN(TRIM(B749))=0</formula>
    </cfRule>
  </conditionalFormatting>
  <conditionalFormatting sqref="B748:B749">
    <cfRule type="expression" dxfId="339" priority="147">
      <formula>$CS748=1</formula>
    </cfRule>
  </conditionalFormatting>
  <conditionalFormatting sqref="D748:D749">
    <cfRule type="expression" dxfId="338" priority="146">
      <formula>$CU748=1</formula>
    </cfRule>
  </conditionalFormatting>
  <conditionalFormatting sqref="F748:F749">
    <cfRule type="expression" dxfId="337" priority="145">
      <formula>$CW748=1</formula>
    </cfRule>
  </conditionalFormatting>
  <conditionalFormatting sqref="H748:H749">
    <cfRule type="expression" dxfId="336" priority="144">
      <formula>$CY748=1</formula>
    </cfRule>
  </conditionalFormatting>
  <conditionalFormatting sqref="J748:J749">
    <cfRule type="expression" dxfId="335" priority="143">
      <formula>$DA748=1</formula>
    </cfRule>
  </conditionalFormatting>
  <conditionalFormatting sqref="L748:L749">
    <cfRule type="expression" dxfId="334" priority="142">
      <formula>$DC748=1</formula>
    </cfRule>
  </conditionalFormatting>
  <conditionalFormatting sqref="N748:N749">
    <cfRule type="expression" dxfId="333" priority="141">
      <formula>$DE748=1</formula>
    </cfRule>
  </conditionalFormatting>
  <conditionalFormatting sqref="B806 D806 F806 H806 J806 N806 L806">
    <cfRule type="containsBlanks" dxfId="332" priority="139">
      <formula>LEN(TRIM(B806))=0</formula>
    </cfRule>
  </conditionalFormatting>
  <conditionalFormatting sqref="B805:B806">
    <cfRule type="expression" dxfId="331" priority="124">
      <formula>$CS805=1</formula>
    </cfRule>
  </conditionalFormatting>
  <conditionalFormatting sqref="D805:D806">
    <cfRule type="expression" dxfId="330" priority="123">
      <formula>$CU805=1</formula>
    </cfRule>
  </conditionalFormatting>
  <conditionalFormatting sqref="F805:F806">
    <cfRule type="expression" dxfId="329" priority="122">
      <formula>$CW805=1</formula>
    </cfRule>
  </conditionalFormatting>
  <conditionalFormatting sqref="H805:H806">
    <cfRule type="expression" dxfId="328" priority="121">
      <formula>$CY805=1</formula>
    </cfRule>
  </conditionalFormatting>
  <conditionalFormatting sqref="J805:J806">
    <cfRule type="expression" dxfId="327" priority="120">
      <formula>$DA805=1</formula>
    </cfRule>
  </conditionalFormatting>
  <conditionalFormatting sqref="L805:L806">
    <cfRule type="expression" dxfId="326" priority="119">
      <formula>$DC805=1</formula>
    </cfRule>
  </conditionalFormatting>
  <conditionalFormatting sqref="N805:N806">
    <cfRule type="expression" dxfId="325" priority="118">
      <formula>$DE805=1</formula>
    </cfRule>
  </conditionalFormatting>
  <conditionalFormatting sqref="B863 D863 F863 H863 J863 N863 L863">
    <cfRule type="containsBlanks" dxfId="324" priority="116">
      <formula>LEN(TRIM(B863))=0</formula>
    </cfRule>
  </conditionalFormatting>
  <conditionalFormatting sqref="B862:B863">
    <cfRule type="expression" dxfId="323" priority="101">
      <formula>$CS862=1</formula>
    </cfRule>
  </conditionalFormatting>
  <conditionalFormatting sqref="D862:D863">
    <cfRule type="expression" dxfId="322" priority="100">
      <formula>$CU862=1</formula>
    </cfRule>
  </conditionalFormatting>
  <conditionalFormatting sqref="F862:F863">
    <cfRule type="expression" dxfId="321" priority="99">
      <formula>$CW862=1</formula>
    </cfRule>
  </conditionalFormatting>
  <conditionalFormatting sqref="H862:H863">
    <cfRule type="expression" dxfId="320" priority="98">
      <formula>$CY862=1</formula>
    </cfRule>
  </conditionalFormatting>
  <conditionalFormatting sqref="J862:J863">
    <cfRule type="expression" dxfId="319" priority="97">
      <formula>$DA862=1</formula>
    </cfRule>
  </conditionalFormatting>
  <conditionalFormatting sqref="L862:L863">
    <cfRule type="expression" dxfId="318" priority="96">
      <formula>$DC862=1</formula>
    </cfRule>
  </conditionalFormatting>
  <conditionalFormatting sqref="N862:N863">
    <cfRule type="expression" dxfId="317" priority="95">
      <formula>$DE862=1</formula>
    </cfRule>
  </conditionalFormatting>
  <conditionalFormatting sqref="V9:V16">
    <cfRule type="expression" dxfId="316" priority="78">
      <formula>$Q$6=1</formula>
    </cfRule>
  </conditionalFormatting>
  <conditionalFormatting sqref="V66:V73">
    <cfRule type="expression" dxfId="315" priority="77">
      <formula>$Q$63=1</formula>
    </cfRule>
  </conditionalFormatting>
  <conditionalFormatting sqref="V123:V130">
    <cfRule type="expression" dxfId="314" priority="76">
      <formula>$Q$120=1</formula>
    </cfRule>
  </conditionalFormatting>
  <conditionalFormatting sqref="V180:V187">
    <cfRule type="expression" dxfId="313" priority="75">
      <formula>$Q$177=1</formula>
    </cfRule>
  </conditionalFormatting>
  <conditionalFormatting sqref="V237:V244">
    <cfRule type="expression" dxfId="312" priority="74">
      <formula>$Q$234=1</formula>
    </cfRule>
  </conditionalFormatting>
  <conditionalFormatting sqref="V294:V301">
    <cfRule type="expression" dxfId="311" priority="73">
      <formula>$Q$291=1</formula>
    </cfRule>
  </conditionalFormatting>
  <conditionalFormatting sqref="V351:V358">
    <cfRule type="expression" dxfId="310" priority="72">
      <formula>$Q$348=1</formula>
    </cfRule>
  </conditionalFormatting>
  <conditionalFormatting sqref="V522:V529">
    <cfRule type="expression" dxfId="309" priority="71">
      <formula>$Q$519=1</formula>
    </cfRule>
  </conditionalFormatting>
  <conditionalFormatting sqref="V579:V586">
    <cfRule type="expression" dxfId="308" priority="70">
      <formula>$Q$576=1</formula>
    </cfRule>
  </conditionalFormatting>
  <conditionalFormatting sqref="V636:V643">
    <cfRule type="expression" dxfId="307" priority="69">
      <formula>$Q$633=1</formula>
    </cfRule>
  </conditionalFormatting>
  <conditionalFormatting sqref="V693:V700">
    <cfRule type="expression" dxfId="306" priority="68">
      <formula>$Q$690=1</formula>
    </cfRule>
  </conditionalFormatting>
  <conditionalFormatting sqref="V750:V757">
    <cfRule type="expression" dxfId="305" priority="67">
      <formula>$Q$747=1</formula>
    </cfRule>
  </conditionalFormatting>
  <conditionalFormatting sqref="V807:V814">
    <cfRule type="expression" dxfId="304" priority="66">
      <formula>$Q$804=1</formula>
    </cfRule>
  </conditionalFormatting>
  <conditionalFormatting sqref="V864:V871">
    <cfRule type="expression" dxfId="303" priority="65">
      <formula>$Q$861=1</formula>
    </cfRule>
  </conditionalFormatting>
  <conditionalFormatting sqref="V408:V415">
    <cfRule type="expression" dxfId="302" priority="64">
      <formula>$Q$405=1</formula>
    </cfRule>
  </conditionalFormatting>
  <conditionalFormatting sqref="V465:V472">
    <cfRule type="expression" dxfId="301" priority="63">
      <formula>$Q$462=1</formula>
    </cfRule>
  </conditionalFormatting>
  <conditionalFormatting sqref="Y66:Y73">
    <cfRule type="expression" dxfId="300" priority="61">
      <formula>$W66="-"</formula>
    </cfRule>
    <cfRule type="expression" dxfId="299" priority="62">
      <formula>$X66=0</formula>
    </cfRule>
  </conditionalFormatting>
  <conditionalFormatting sqref="Y123:Y130">
    <cfRule type="expression" dxfId="298" priority="59">
      <formula>$W123="-"</formula>
    </cfRule>
    <cfRule type="expression" dxfId="297" priority="60">
      <formula>$X123=0</formula>
    </cfRule>
  </conditionalFormatting>
  <conditionalFormatting sqref="Y180:Y187">
    <cfRule type="expression" dxfId="296" priority="57">
      <formula>$W180="-"</formula>
    </cfRule>
    <cfRule type="expression" dxfId="295" priority="58">
      <formula>$X180=0</formula>
    </cfRule>
  </conditionalFormatting>
  <conditionalFormatting sqref="Y237:Y244">
    <cfRule type="expression" dxfId="294" priority="55">
      <formula>$W237="-"</formula>
    </cfRule>
    <cfRule type="expression" dxfId="293" priority="56">
      <formula>$X237=0</formula>
    </cfRule>
  </conditionalFormatting>
  <conditionalFormatting sqref="Y294:Y301">
    <cfRule type="expression" dxfId="292" priority="53">
      <formula>$W294="-"</formula>
    </cfRule>
    <cfRule type="expression" dxfId="291" priority="54">
      <formula>$X294=0</formula>
    </cfRule>
  </conditionalFormatting>
  <conditionalFormatting sqref="Y351:Y358">
    <cfRule type="expression" dxfId="290" priority="51">
      <formula>$W351="-"</formula>
    </cfRule>
    <cfRule type="expression" dxfId="289" priority="52">
      <formula>$X351=0</formula>
    </cfRule>
  </conditionalFormatting>
  <conditionalFormatting sqref="Y408:Y415">
    <cfRule type="expression" dxfId="288" priority="49">
      <formula>$W408="-"</formula>
    </cfRule>
    <cfRule type="expression" dxfId="287" priority="50">
      <formula>$X408=0</formula>
    </cfRule>
  </conditionalFormatting>
  <conditionalFormatting sqref="Y465:Y472">
    <cfRule type="expression" dxfId="286" priority="47">
      <formula>$W465="-"</formula>
    </cfRule>
    <cfRule type="expression" dxfId="285" priority="48">
      <formula>$X465=0</formula>
    </cfRule>
  </conditionalFormatting>
  <conditionalFormatting sqref="Y522:Y529">
    <cfRule type="expression" dxfId="284" priority="45">
      <formula>$W522="-"</formula>
    </cfRule>
    <cfRule type="expression" dxfId="283" priority="46">
      <formula>$X522=0</formula>
    </cfRule>
  </conditionalFormatting>
  <conditionalFormatting sqref="Y579:Y586">
    <cfRule type="expression" dxfId="282" priority="43">
      <formula>$W579="-"</formula>
    </cfRule>
    <cfRule type="expression" dxfId="281" priority="44">
      <formula>$X579=0</formula>
    </cfRule>
  </conditionalFormatting>
  <conditionalFormatting sqref="Y636:Y643">
    <cfRule type="expression" dxfId="280" priority="41">
      <formula>$W636="-"</formula>
    </cfRule>
    <cfRule type="expression" dxfId="279" priority="42">
      <formula>$X636=0</formula>
    </cfRule>
  </conditionalFormatting>
  <conditionalFormatting sqref="Y693:Y700">
    <cfRule type="expression" dxfId="278" priority="39">
      <formula>$W693="-"</formula>
    </cfRule>
    <cfRule type="expression" dxfId="277" priority="40">
      <formula>$X693=0</formula>
    </cfRule>
  </conditionalFormatting>
  <conditionalFormatting sqref="Y750:Y757">
    <cfRule type="expression" dxfId="276" priority="37">
      <formula>$W750="-"</formula>
    </cfRule>
    <cfRule type="expression" dxfId="275" priority="38">
      <formula>$X750=0</formula>
    </cfRule>
  </conditionalFormatting>
  <conditionalFormatting sqref="Y807:Y814">
    <cfRule type="expression" dxfId="274" priority="35">
      <formula>$W807="-"</formula>
    </cfRule>
    <cfRule type="expression" dxfId="273" priority="36">
      <formula>$X807=0</formula>
    </cfRule>
  </conditionalFormatting>
  <conditionalFormatting sqref="Y864:Y871">
    <cfRule type="expression" dxfId="272" priority="31">
      <formula>$W864="-"</formula>
    </cfRule>
    <cfRule type="expression" dxfId="271" priority="32">
      <formula>$X864=0</formula>
    </cfRule>
  </conditionalFormatting>
  <conditionalFormatting sqref="Y805">
    <cfRule type="expression" dxfId="270" priority="29">
      <formula>$W805="-"</formula>
    </cfRule>
    <cfRule type="expression" dxfId="269" priority="30">
      <formula>$X805=0</formula>
    </cfRule>
  </conditionalFormatting>
  <conditionalFormatting sqref="Y748">
    <cfRule type="expression" dxfId="268" priority="27">
      <formula>$W748="-"</formula>
    </cfRule>
    <cfRule type="expression" dxfId="267" priority="28">
      <formula>$X748=0</formula>
    </cfRule>
  </conditionalFormatting>
  <conditionalFormatting sqref="Y691">
    <cfRule type="expression" dxfId="266" priority="25">
      <formula>$W691="-"</formula>
    </cfRule>
    <cfRule type="expression" dxfId="265" priority="26">
      <formula>$X691=0</formula>
    </cfRule>
  </conditionalFormatting>
  <conditionalFormatting sqref="Y634">
    <cfRule type="expression" dxfId="264" priority="23">
      <formula>$W634="-"</formula>
    </cfRule>
    <cfRule type="expression" dxfId="263" priority="24">
      <formula>$X634=0</formula>
    </cfRule>
  </conditionalFormatting>
  <conditionalFormatting sqref="Y577">
    <cfRule type="expression" dxfId="262" priority="21">
      <formula>$W577="-"</formula>
    </cfRule>
    <cfRule type="expression" dxfId="261" priority="22">
      <formula>$X577=0</formula>
    </cfRule>
  </conditionalFormatting>
  <conditionalFormatting sqref="Y520">
    <cfRule type="expression" dxfId="260" priority="19">
      <formula>$W520="-"</formula>
    </cfRule>
    <cfRule type="expression" dxfId="259" priority="20">
      <formula>$X520=0</formula>
    </cfRule>
  </conditionalFormatting>
  <conditionalFormatting sqref="Y463">
    <cfRule type="expression" dxfId="258" priority="17">
      <formula>$W463="-"</formula>
    </cfRule>
    <cfRule type="expression" dxfId="257" priority="18">
      <formula>$X463=0</formula>
    </cfRule>
  </conditionalFormatting>
  <conditionalFormatting sqref="Y406">
    <cfRule type="expression" dxfId="256" priority="15">
      <formula>$W406="-"</formula>
    </cfRule>
    <cfRule type="expression" dxfId="255" priority="16">
      <formula>$X406=0</formula>
    </cfRule>
  </conditionalFormatting>
  <conditionalFormatting sqref="Y349">
    <cfRule type="expression" dxfId="254" priority="13">
      <formula>$W349="-"</formula>
    </cfRule>
    <cfRule type="expression" dxfId="253" priority="14">
      <formula>$X349=0</formula>
    </cfRule>
  </conditionalFormatting>
  <conditionalFormatting sqref="Y292">
    <cfRule type="expression" dxfId="252" priority="11">
      <formula>$W292="-"</formula>
    </cfRule>
    <cfRule type="expression" dxfId="251" priority="12">
      <formula>$X292=0</formula>
    </cfRule>
  </conditionalFormatting>
  <conditionalFormatting sqref="Y235">
    <cfRule type="expression" dxfId="250" priority="9">
      <formula>$W235="-"</formula>
    </cfRule>
    <cfRule type="expression" dxfId="249" priority="10">
      <formula>$X235=0</formula>
    </cfRule>
  </conditionalFormatting>
  <conditionalFormatting sqref="Y178">
    <cfRule type="expression" dxfId="248" priority="7">
      <formula>$W178="-"</formula>
    </cfRule>
    <cfRule type="expression" dxfId="247" priority="8">
      <formula>$X178=0</formula>
    </cfRule>
  </conditionalFormatting>
  <conditionalFormatting sqref="Y121">
    <cfRule type="expression" dxfId="246" priority="5">
      <formula>$W121="-"</formula>
    </cfRule>
    <cfRule type="expression" dxfId="245" priority="6">
      <formula>$X121=0</formula>
    </cfRule>
  </conditionalFormatting>
  <conditionalFormatting sqref="Y64">
    <cfRule type="expression" dxfId="244" priority="3">
      <formula>$W64="-"</formula>
    </cfRule>
    <cfRule type="expression" dxfId="243" priority="4">
      <formula>$X64=0</formula>
    </cfRule>
  </conditionalFormatting>
  <conditionalFormatting sqref="Y7">
    <cfRule type="expression" dxfId="242" priority="1">
      <formula>$W7="-"</formula>
    </cfRule>
    <cfRule type="expression" dxfId="241" priority="2">
      <formula>$X7=0</formula>
    </cfRule>
  </conditionalFormatting>
  <dataValidations count="15">
    <dataValidation type="list" allowBlank="1" showInputMessage="1" showErrorMessage="1" errorTitle="Inserção Incorreta" error="Nestas células é suposto inserirem-se as siglas das categorias" sqref="F57:F59 L57:L59 J57:J59 B57:B59 D57:D59 H57:H59 N57:N59 N912:N1611 D912:D1611 B912:B1611 J912:J1611 L912:L1611 H912:H1611 H114:H117 L114:L117 J114:J117 B114:B117 D114:D117 N114:N117 F114:F117 F171:F174 H171:H174 L171:L174 J171:J174 B171:B174 D171:D174 N171:N174 N228:N231 F228:F231 H228:H231 L228:L231 J228:J231 B228:B231 D228:D231 D285:D288 N285:N288 F285:F288 H285:H288 L285:L288 J285:J288 B285:B288 B342:B345 D342:D345 N342:N345 F342:F345 H342:H345 L342:L345 J342:J345 J399:J402 B399:B402 D399:D402 N399:N402 F399:F402 H399:H402 L399:L402 L456:L459 J456:J459 B456:B459 D456:D459 N456:N459 F456:F459 H456:H459 L798:L801 H513:H516 L513:L516 J513:J516 B513:B516 D513:D516 N513:N516 F513:F516 F570:F573 H570:H573 L570:L573 J570:J573 B570:B573 D570:D573 N570:N573 N627:N630 F627:F630 H627:H630 L627:L630 J627:J630 B627:B630 D627:D630 D684:D687 N684:N687 F684:F687 H684:H687 L684:L687 J684:J687 B684:B687 B741:B744 D741:D744 N741:N744 F741:F744 H741:H744 L741:L744 J741:J744 J798:J801 B798:B801 D798:D801 N798:N801 F798:F801 H798:H801 H855:H858 L855:L858 J855:J858 B855:B858 D855:D858 N855:N858 F855:F858 F912:F1611">
      <formula1>SIGLASCATEGORIAS</formula1>
    </dataValidation>
    <dataValidation type="list" allowBlank="1" showInputMessage="1" showErrorMessage="1" errorTitle="Inserção Incorreta" error="Nestas células é suposto serem inseridas as Disciplinas" sqref="G57:G59 O57:O59 M57:M59 E57:E59 I57:I59 C57:C59 K57:K59">
      <formula1>OFFSET($CD$13,0,0,$CD$9,1)</formula1>
    </dataValidation>
    <dataValidation type="textLength" operator="lessThan" allowBlank="1" showInputMessage="1" showErrorMessage="1" sqref="Y26:Y53 Y539:Y566 Y596:Y623 Y767:Y794 Y482:Y509 Y83:Y110 Y881:Y908 Y254:Y281 Y425:Y452 Y368:Y395 Y140:Y167 Y653:Y680 Y824:Y851 Y710:Y737 Y311:Y338 Y197:Y224">
      <formula1>200</formula1>
    </dataValidation>
    <dataValidation type="list" allowBlank="1" showInputMessage="1" showErrorMessage="1" errorTitle="Disciplina Incorreta" error="Por favor insira a sigla de uma disciplina inserida na folha INFO BASE :) Obrigada" sqref="I114:I117 O912:O1611 K114:K117 M114:M117 C114:C117 E114:E117 E171:E174 C171:C174 M171:M174 K171:K174 O114:O117 I171:I174 G171:G174 G228:G231 E228:E231 C228:C231 M228:M231 K228:K231 O171:O174 I228:I231 I285:I288 G285:G288 E285:E288 C285:C288 M285:M288 K285:K288 O228:O231 O285:O288 I342:I345 G342:G345 E342:E345 C342:C345 M342:M345 K342:K345 K399:K402 O342:O345 I399:I402 G399:G402 E399:E402 C399:C402 M399:M402 M456:M459 K456:K459 O399:O402 I456:I459 G456:G459 E456:E459 C456:C459 C798:C801 M513:M516 K513:K516 O456:O459 I513:I516 G513:G516 E513:E516 C513:C516 E570:E573 C570:C573 M570:M573 K570:K573 O513:O516 I570:I573 G570:G573 G627:G630 E627:E630 C627:C630 M627:M630 K627:K630 O570:O573 I627:I630 I684:I687 G684:G687 E684:E687 C684:C687 M684:M687 K684:K687 O627:O630 O684:O687 I741:I744 G741:G744 E741:E744 C741:C744 M741:M744 K741:K744 K798:K801 O741:O744 I798:I801 G798:G801 E798:E801 C855:C858 M798:M801 M855:M858 K855:K858 O798:O801 I855:I858 G912:G1611 E855:E858 C912:C1611 G855:G858 K912:K1611 I912:I1611 O855:O858 G114:G117 E912:E1611 M912:M1611">
      <formula1>UC</formula1>
    </dataValidation>
    <dataValidation type="list" allowBlank="1" showInputMessage="1" showErrorMessage="1" errorTitle="Categorias" error="Por favor insira a sigla da categoria pretendida" sqref="N351:N398 L351:L398 J351:J398 H351:H398 F351:F398 D351:D398 N408:N455 N807:N854 L807:L854 J807:J854 H807:H854 F807:F854 D807:D854 J693:J740 N66:N113 L66:L113 J66:J113 H66:H113 F66:F113 D66:D113 D408:D455 N123:N170 L123:L170 J123:J170 H123:H170 F123:F170 D123:D170 F408:F455 N180:N227 L180:L227 J180:J227 H180:H227 F180:F227 D180:D227 H408:H455 N237:N284 L237:L284 J237:J284 H237:H284 F237:F284 D237:D284 J408:J455 N294:N341 L294:L341 J294:J341 H294:H341 F294:F341 D294:D341 L408:L455 N9:N56 L9:L56 J9:J56 H9:H56 F9:F56 D9:D56 L693:L740 N750:N797 L750:L797 J750:J797 H750:H797 F750:F797 D750:D797 N693:N740 N864:N911 L864:L911 J864:J911 H864:H911 F864:F911 D864:D911 D636:D683 N465:N512 L465:L512 J465:J512 H465:H512 F465:F512 D465:D512 D693:D740 N522:N569 L522:L569 J522:J569 H522:H569 F522:F569 D522:D569 F693:F740 N579:N626 L579:L626 J579:J626 H579:H626 F579:F626 D579:D626 H693:H740 N636:N683 L636:L683 J636:J683 H636:H683 F636:F683">
      <formula1>SIGLASCATEGORIAS</formula1>
    </dataValidation>
    <dataValidation type="list" errorStyle="information" allowBlank="1" showInputMessage="1" showErrorMessage="1" errorTitle="Disciplinas" error="Por favor insira nestas células as Disciplinas" sqref="C864:C911">
      <formula1>UniqueProduct</formula1>
    </dataValidation>
    <dataValidation type="list" errorStyle="information" allowBlank="1" showInputMessage="1" showErrorMessage="1" errorTitle="Disciplinas" error="Por favor insira nestas células as Disciplinas" sqref="E294:E341 E351:E398 E408:E455 E465:E512 E522:E569 E579:E626 E636:E683 E693:E740 E750:E797 E807:E854 E864:E911">
      <formula1>UniqueProductter</formula1>
    </dataValidation>
    <dataValidation type="list" allowBlank="1" showInputMessage="1" showErrorMessage="1" sqref="B9:B56 B66:B113 B123:B170 B180:B227 B237:B284 B294:B341 B351:B398 B408:B455 B465:B512 B522:B569 B579:B626 B636:B683 B693:B740 B750:B797 B807:B854 B864:B911">
      <formula1>UniqueRegion</formula1>
    </dataValidation>
    <dataValidation type="list" allowBlank="1" showInputMessage="1" showErrorMessage="1" sqref="C807:C854 C750:C797 C693:C740 C636:C683 C579:C626 C522:C569 C465:C512 C408:C455 C351:C398 C294:C341 C237:C284 C180:C227 C123:C170 C66:C113 C9:C56">
      <formula1>UniqueProduct</formula1>
    </dataValidation>
    <dataValidation type="list" errorStyle="information" allowBlank="1" showInputMessage="1" showErrorMessage="1" errorTitle="Disciplinas" error="Por favor insira nestas células as Disciplinas" sqref="G9:G56 G66:G113 G123:G170 G180:G227 G237:G284 G294:G341 G351:G398 G408:G455 G465:G512 G522:G569 G579:G626 G636:G683 G693:G740 G750:G797 G807:G854 G864:G911">
      <formula1>UniqueProductQt</formula1>
    </dataValidation>
    <dataValidation type="list" errorStyle="information" allowBlank="1" showInputMessage="1" showErrorMessage="1" errorTitle="Disciplinas" error="Por favor insira nestas células as Disciplinas" sqref="I864:I911 I807:I854 I750:I797 I693:I740 I636:I683 I579:I626 I522:I569 I465:I512 I408:I455 I351:I398 I294:I341 I237:I284 I180:I227 I123:I170 I66:I113 I9:I56">
      <formula1>UniqueProductQuit</formula1>
    </dataValidation>
    <dataValidation type="list" errorStyle="information" allowBlank="1" showInputMessage="1" showErrorMessage="1" errorTitle="Disciplinas" error="Por favor insira nestas células as Disciplinas" sqref="K9:K56 K66:K113 K123:K170 K180:K227 K237:K284 K294:K341 K351:K398 K408:K455 K465:K512 K522:K569 K579:K626 K636:K683 K693:K740 K750:K797 K807:K854 K864:K911">
      <formula1>UniqueProductSext</formula1>
    </dataValidation>
    <dataValidation type="list" errorStyle="information" allowBlank="1" showInputMessage="1" showErrorMessage="1" errorTitle="Disciplinas" error="Por favor insira nestas células as Disciplinas" sqref="M864:M911 M807:M854 M750:M797 M693:M740 M636:M683 M579:M626 M522:M569 M465:M512 M408:M455 M351:M398 M294:M341 M237:M284 M180:M227 M123:M170 M66:M113 M9:M56">
      <formula1>UniqueProductSb</formula1>
    </dataValidation>
    <dataValidation type="list" errorStyle="information" allowBlank="1" showInputMessage="1" showErrorMessage="1" errorTitle="Disciplinas" error="Por favor insira nestas células as Disciplinas" sqref="O9:O56 O66:O113 O123:O170 O180:O227 O237:O284 O294:O341 O351:O398 O408:O455 O465:O512 O522:O569 O579:O626 O636:O683 O693:O740 O750:O797 O807:O854 O864:O911">
      <formula1>UniqueproductDg</formula1>
    </dataValidation>
    <dataValidation type="list" allowBlank="1" showInputMessage="1" showErrorMessage="1" sqref="E9:E56 E66:E113 E123:E170 E180:E227 E237:E284">
      <formula1>UniqueProductter</formula1>
    </dataValidation>
  </dataValidations>
  <printOptions horizontalCentered="1" verticalCentered="1"/>
  <pageMargins left="0.23622047244094502" right="0.23622047244094502" top="0.53307086614173205" bottom="0.23622047244094502" header="0.31496062992126" footer="0.31496062992126"/>
  <pageSetup paperSize="9" scale="56" orientation="landscape" r:id="rId1"/>
  <headerFooter>
    <oddHeader>&amp;C&amp;B &amp;14HORÁRIO André Fonseca_84698: SEMANA 8&amp;R&amp;D &amp;T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29E626-4B0A-4C99-A658-049B453079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8C5E30EB-BE66-4581-B80A-B24030851B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B861</xm:sqref>
        </x14:conditionalFormatting>
        <x14:conditionalFormatting xmlns:xm="http://schemas.microsoft.com/office/excel/2006/main">
          <x14:cfRule type="dataBar" id="{8421F87A-5A50-4BB8-9E85-CDB771B0BF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FEAB0AE7-BFEB-4921-83A4-CE066DA9FD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B804</xm:sqref>
        </x14:conditionalFormatting>
        <x14:conditionalFormatting xmlns:xm="http://schemas.microsoft.com/office/excel/2006/main">
          <x14:cfRule type="dataBar" id="{7CCF01B6-42EB-4BEE-8C22-1100D67726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B747</xm:sqref>
        </x14:conditionalFormatting>
        <x14:conditionalFormatting xmlns:xm="http://schemas.microsoft.com/office/excel/2006/main">
          <x14:cfRule type="dataBar" id="{851AE881-B189-4DEE-9E97-0E5E3C03D5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B690</xm:sqref>
        </x14:conditionalFormatting>
        <x14:conditionalFormatting xmlns:xm="http://schemas.microsoft.com/office/excel/2006/main">
          <x14:cfRule type="dataBar" id="{85AAFA8F-0F5A-4FE4-84E7-32143B8DFA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B633</xm:sqref>
        </x14:conditionalFormatting>
        <x14:conditionalFormatting xmlns:xm="http://schemas.microsoft.com/office/excel/2006/main">
          <x14:cfRule type="dataBar" id="{93369201-D013-46E5-9FF8-9DB8DF872F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B576</xm:sqref>
        </x14:conditionalFormatting>
        <x14:conditionalFormatting xmlns:xm="http://schemas.microsoft.com/office/excel/2006/main">
          <x14:cfRule type="dataBar" id="{6631A57A-1FB6-439D-8583-1379911D6C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B519</xm:sqref>
        </x14:conditionalFormatting>
        <x14:conditionalFormatting xmlns:xm="http://schemas.microsoft.com/office/excel/2006/main">
          <x14:cfRule type="dataBar" id="{D83A91A8-D4D6-43C4-AE64-C2D6FA8D50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B462</xm:sqref>
        </x14:conditionalFormatting>
        <x14:conditionalFormatting xmlns:xm="http://schemas.microsoft.com/office/excel/2006/main">
          <x14:cfRule type="dataBar" id="{5B579A33-F81F-4B16-8F5F-CB70B6306E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B405</xm:sqref>
        </x14:conditionalFormatting>
        <x14:conditionalFormatting xmlns:xm="http://schemas.microsoft.com/office/excel/2006/main">
          <x14:cfRule type="dataBar" id="{60511E9C-A7E9-4B52-BD19-8D2593D871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B348</xm:sqref>
        </x14:conditionalFormatting>
        <x14:conditionalFormatting xmlns:xm="http://schemas.microsoft.com/office/excel/2006/main">
          <x14:cfRule type="dataBar" id="{EC981A9B-155C-4DD8-A387-116CA34284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B291</xm:sqref>
        </x14:conditionalFormatting>
        <x14:conditionalFormatting xmlns:xm="http://schemas.microsoft.com/office/excel/2006/main">
          <x14:cfRule type="dataBar" id="{798829C9-5CA8-4CAB-9A3A-54B33454BE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B234</xm:sqref>
        </x14:conditionalFormatting>
        <x14:conditionalFormatting xmlns:xm="http://schemas.microsoft.com/office/excel/2006/main">
          <x14:cfRule type="dataBar" id="{2AB560B9-AE83-482A-96CC-7C404D3E10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B177</xm:sqref>
        </x14:conditionalFormatting>
        <x14:conditionalFormatting xmlns:xm="http://schemas.microsoft.com/office/excel/2006/main">
          <x14:cfRule type="dataBar" id="{2DBFC3C4-EB3D-4555-966A-6C8984AFBC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B120</xm:sqref>
        </x14:conditionalFormatting>
        <x14:conditionalFormatting xmlns:xm="http://schemas.microsoft.com/office/excel/2006/main">
          <x14:cfRule type="iconSet" priority="6048" id="{65836F85-EED6-43E1-889F-F9B45627282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S43:S47</xm:sqref>
        </x14:conditionalFormatting>
        <x14:conditionalFormatting xmlns:xm="http://schemas.microsoft.com/office/excel/2006/main">
          <x14:cfRule type="iconSet" priority="8698" id="{22446F5E-CA77-4DD9-9612-7C2B0E7DAE15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S34:S42 S20:S26 S48:S56</xm:sqref>
        </x14:conditionalFormatting>
        <x14:conditionalFormatting xmlns:xm="http://schemas.microsoft.com/office/excel/2006/main">
          <x14:cfRule type="iconSet" priority="8701" id="{D425F158-1E69-46B4-B8E9-D0E7C0DC680C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W20:W60 W856:W858 W119 W176 W233 W290 W347 W404 W912:W1249 W122 W179 W236 W293 W350 W407 W62:W63 W419:W459 W362:W402 W305:W345 W248:W288 W191:W231 W134:W174 W77:W117 W74:W75 W131:W132 W188:W189 W245:W246 W302:W303 W359:W360 W416:W417 W65</xm:sqref>
        </x14:conditionalFormatting>
        <x14:conditionalFormatting xmlns:xm="http://schemas.microsoft.com/office/excel/2006/main">
          <x14:cfRule type="iconSet" priority="2194" id="{B2F7F356-6B32-427E-838C-F5A8762C740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S27:S33</xm:sqref>
        </x14:conditionalFormatting>
        <x14:conditionalFormatting xmlns:xm="http://schemas.microsoft.com/office/excel/2006/main">
          <x14:cfRule type="iconSet" priority="2195" id="{0C692E1C-7DFA-43E8-BB65-92E0439BF65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W27:W33</xm:sqref>
        </x14:conditionalFormatting>
        <x14:conditionalFormatting xmlns:xm="http://schemas.microsoft.com/office/excel/2006/main">
          <x14:cfRule type="containsText" priority="9759" operator="containsText" id="{91461979-561F-4BF4-9657-76C5CB3B857A}">
            <xm:f>NOT(ISERROR(SEARCH($R$24,B8)))</xm:f>
            <xm:f>$R$24</xm:f>
            <x14:dxf>
              <fill>
                <patternFill>
                  <bgColor rgb="FFAFEEEE"/>
                </patternFill>
              </fill>
            </x14:dxf>
          </x14:cfRule>
          <x14:cfRule type="containsText" priority="9760" operator="containsText" id="{23D3CA0A-7AE4-4031-B856-2814D89201D2}">
            <xm:f>NOT(ISERROR(SEARCH($R$39,B8)))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9761" operator="containsText" id="{57714171-61FA-4428-B64A-FA34976DE06B}">
            <xm:f>NOT(ISERROR(SEARCH($R$23,B8)))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9762" operator="containsText" id="{00975664-897A-4E01-AF48-542390CFF48A}">
            <xm:f>NOT(ISERROR(SEARCH($R$36,B8)))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9763" operator="containsText" id="{E0263897-9601-451F-9204-B94AD1484E19}">
            <xm:f>NOT(ISERROR(SEARCH($R$21,B8)))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9764" operator="containsText" id="{6068BE0C-1D58-47CB-85CC-9ABDF65DEE66}">
            <xm:f>NOT(ISERROR(SEARCH($R$50,B8)))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9765" operator="containsText" id="{F3B5CB14-061E-415E-A89E-3957A28F9E91}">
            <xm:f>NOT(ISERROR(SEARCH($R$56,B8)))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9766" operator="containsText" id="{865987AF-7055-481B-9CA5-1AD8FE497116}">
            <xm:f>NOT(ISERROR(SEARCH($R$34,B8)))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9767" operator="containsText" id="{5ACD771D-210C-4831-AE1B-28647C1846E4}">
            <xm:f>NOT(ISERROR(SEARCH($R$20,B8)))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9768" operator="containsText" id="{6B89F3DA-33D2-43A7-BADD-1406F6F31E7D}">
            <xm:f>NOT(ISERROR(SEARCH($R$52,B8)))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9769" operator="containsText" id="{622CEA97-835C-422F-A158-190301EBD32C}">
            <xm:f>NOT(ISERROR(SEARCH($R$51,B8)))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9770" operator="containsText" id="{101F1675-6EEF-4217-9806-DCFA41378996}">
            <xm:f>NOT(ISERROR(SEARCH($R$41,B8)))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9771" operator="containsText" id="{251C0064-1E3A-4CB5-9807-3B14E505CEAD}">
            <xm:f>NOT(ISERROR(SEARCH($R$54,B8)))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9772" operator="containsText" id="{7FAE63F9-F1D8-4675-AA6E-997A804001BD}">
            <xm:f>NOT(ISERROR(SEARCH($R$53,B8)))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9773" operator="containsText" id="{C9ABB414-7783-4ECB-A17F-5426D66EE063}">
            <xm:f>NOT(ISERROR(SEARCH($R$55,B8)))</xm:f>
            <xm:f>$R$55</xm:f>
            <x14:dxf>
              <fill>
                <patternFill>
                  <bgColor rgb="FFBFBFBF"/>
                </patternFill>
              </fill>
            </x14:dxf>
          </x14:cfRule>
          <xm:sqref>B8 D8 F8 H8 J8 N8 L8</xm:sqref>
        </x14:conditionalFormatting>
        <x14:conditionalFormatting xmlns:xm="http://schemas.microsoft.com/office/excel/2006/main">
          <x14:cfRule type="iconSet" priority="2149" id="{E6F99C01-85C4-421A-9B89-7EF4A17793F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S100:S104</xm:sqref>
        </x14:conditionalFormatting>
        <x14:conditionalFormatting xmlns:xm="http://schemas.microsoft.com/office/excel/2006/main">
          <x14:cfRule type="iconSet" priority="2153" id="{CC8F74A0-8E66-481A-9541-16828FF6929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S91:S99 S77:S83 S105:S113</xm:sqref>
        </x14:conditionalFormatting>
        <x14:conditionalFormatting xmlns:xm="http://schemas.microsoft.com/office/excel/2006/main">
          <x14:cfRule type="iconSet" priority="2154" id="{0904C6AF-4AAA-453E-BE5C-B586D03BAD27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W107:W113 W91:W99 W77:W83</xm:sqref>
        </x14:conditionalFormatting>
        <x14:conditionalFormatting xmlns:xm="http://schemas.microsoft.com/office/excel/2006/main">
          <x14:cfRule type="iconSet" priority="2147" id="{4A518B25-F414-45B1-B39B-8CF6B69A36B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S84:S90</xm:sqref>
        </x14:conditionalFormatting>
        <x14:conditionalFormatting xmlns:xm="http://schemas.microsoft.com/office/excel/2006/main">
          <x14:cfRule type="iconSet" priority="2148" id="{5E3E89D4-8DCE-4100-946B-E7ECD291306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W84:W90</xm:sqref>
        </x14:conditionalFormatting>
        <x14:conditionalFormatting xmlns:xm="http://schemas.microsoft.com/office/excel/2006/main">
          <x14:cfRule type="containsText" priority="2172" operator="containsText" id="{981E6FAF-5410-4D33-870E-514028FAC5EA}">
            <xm:f>NOT(ISERROR(SEARCH($R$39,B65)))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2173" operator="containsText" id="{C75A62D8-4F1E-4EAA-B57B-FA059532DF0C}">
            <xm:f>NOT(ISERROR(SEARCH($R$23,B65)))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2174" operator="containsText" id="{1468147D-0A8B-4B3D-A411-25D1AF1DA6B6}">
            <xm:f>NOT(ISERROR(SEARCH($R$36,B65)))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2175" operator="containsText" id="{23D73BF9-771E-4DCF-A6B8-290309A069F3}">
            <xm:f>NOT(ISERROR(SEARCH($R$21,B65)))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2176" operator="containsText" id="{66770681-3D56-4B17-8F15-3E6707FCC265}">
            <xm:f>NOT(ISERROR(SEARCH($R$50,B65)))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2177" operator="containsText" id="{2EE5B50B-27DD-465C-8751-36EC221A9858}">
            <xm:f>NOT(ISERROR(SEARCH($R$56,B65)))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178" operator="containsText" id="{F6C30740-AC01-40BC-A3FA-1386D39DCBE8}">
            <xm:f>NOT(ISERROR(SEARCH($R$34,B65)))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179" operator="containsText" id="{39D1FB8E-8047-4607-9363-E012C3F518DA}">
            <xm:f>NOT(ISERROR(SEARCH($R$20,B65)))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180" operator="containsText" id="{754169FE-7523-4BA1-AC9A-4DB95CD5F3DD}">
            <xm:f>NOT(ISERROR(SEARCH($R$52,B65)))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181" operator="containsText" id="{85B33ECE-C877-4517-9FFD-1A514EAA3436}">
            <xm:f>NOT(ISERROR(SEARCH($R$51,B65)))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182" operator="containsText" id="{A5A5156F-B390-4BDA-B5EC-81D1D94D882A}">
            <xm:f>NOT(ISERROR(SEARCH($R$41,B65)))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183" operator="containsText" id="{AAE0AB65-3F1F-44F6-ADDF-B32163D27442}">
            <xm:f>NOT(ISERROR(SEARCH($R$54,B65)))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184" operator="containsText" id="{EBD6C90C-DD9F-4A57-BA84-568179B641D8}">
            <xm:f>NOT(ISERROR(SEARCH($R$53,B65)))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185" operator="containsText" id="{9E55AB16-0B04-4473-B77D-E3E4200A5887}">
            <xm:f>NOT(ISERROR(SEARCH($R$55,B65)))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9774" operator="containsText" id="{C6AD2EF3-74A0-4861-9CB5-E39561476247}">
            <xm:f>NOT(ISERROR(SEARCH($R$24,B65)))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B65 D65 F65 H65 J65 N65 L65</xm:sqref>
        </x14:conditionalFormatting>
        <x14:conditionalFormatting xmlns:xm="http://schemas.microsoft.com/office/excel/2006/main">
          <x14:cfRule type="iconSet" priority="2103" id="{D9985165-2029-48E1-9DBB-DB705F72E71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S157:S161</xm:sqref>
        </x14:conditionalFormatting>
        <x14:conditionalFormatting xmlns:xm="http://schemas.microsoft.com/office/excel/2006/main">
          <x14:cfRule type="iconSet" priority="2107" id="{8DDCD954-38C7-43E0-9D9B-5650D73E43A5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S148:S156 S134:S140 S162:S170</xm:sqref>
        </x14:conditionalFormatting>
        <x14:conditionalFormatting xmlns:xm="http://schemas.microsoft.com/office/excel/2006/main">
          <x14:cfRule type="iconSet" priority="2108" id="{10C66412-BF50-4102-8FAE-24619E683DB3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W164:W170 W148:W156 W134:W140</xm:sqref>
        </x14:conditionalFormatting>
        <x14:conditionalFormatting xmlns:xm="http://schemas.microsoft.com/office/excel/2006/main">
          <x14:cfRule type="iconSet" priority="2101" id="{EE119E97-D7C4-4BD4-89EB-09ABC1007D2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S141:S147</xm:sqref>
        </x14:conditionalFormatting>
        <x14:conditionalFormatting xmlns:xm="http://schemas.microsoft.com/office/excel/2006/main">
          <x14:cfRule type="iconSet" priority="2102" id="{2F4083B9-8093-43AA-A904-68971EED72AC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W141:W147</xm:sqref>
        </x14:conditionalFormatting>
        <x14:conditionalFormatting xmlns:xm="http://schemas.microsoft.com/office/excel/2006/main">
          <x14:cfRule type="iconSet" priority="2057" id="{6AB5D820-8133-4F38-A630-1C8C4106FA4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S214:S218</xm:sqref>
        </x14:conditionalFormatting>
        <x14:conditionalFormatting xmlns:xm="http://schemas.microsoft.com/office/excel/2006/main">
          <x14:cfRule type="iconSet" priority="2061" id="{21B9E74C-EF9B-4F9F-82BD-BC3817B47A1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S205:S213 S191:S197 S219:S227</xm:sqref>
        </x14:conditionalFormatting>
        <x14:conditionalFormatting xmlns:xm="http://schemas.microsoft.com/office/excel/2006/main">
          <x14:cfRule type="iconSet" priority="2062" id="{671E7B83-C96B-4C84-B7A7-DD1FFBBBF479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W221:W227 W205:W213 W191:W197</xm:sqref>
        </x14:conditionalFormatting>
        <x14:conditionalFormatting xmlns:xm="http://schemas.microsoft.com/office/excel/2006/main">
          <x14:cfRule type="iconSet" priority="2055" id="{56871A9F-6896-45BD-846D-91B9328B48D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S198:S204</xm:sqref>
        </x14:conditionalFormatting>
        <x14:conditionalFormatting xmlns:xm="http://schemas.microsoft.com/office/excel/2006/main">
          <x14:cfRule type="iconSet" priority="2056" id="{6B4F0655-167F-4EDD-B83F-2D90C43B9FB0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W198:W204</xm:sqref>
        </x14:conditionalFormatting>
        <x14:conditionalFormatting xmlns:xm="http://schemas.microsoft.com/office/excel/2006/main">
          <x14:cfRule type="iconSet" priority="2011" id="{ED0E8E9F-DB82-4C91-97DE-66C4FF40CEF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S271:S275</xm:sqref>
        </x14:conditionalFormatting>
        <x14:conditionalFormatting xmlns:xm="http://schemas.microsoft.com/office/excel/2006/main">
          <x14:cfRule type="iconSet" priority="2015" id="{33FE1E35-81C8-4C0C-9C76-3BFAE176090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S262:S270 S248:S254 S276:S284</xm:sqref>
        </x14:conditionalFormatting>
        <x14:conditionalFormatting xmlns:xm="http://schemas.microsoft.com/office/excel/2006/main">
          <x14:cfRule type="iconSet" priority="2016" id="{6924304C-0B16-49B4-8030-EDA694F8DE4F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W278:W284 W262:W270 W248:W254</xm:sqref>
        </x14:conditionalFormatting>
        <x14:conditionalFormatting xmlns:xm="http://schemas.microsoft.com/office/excel/2006/main">
          <x14:cfRule type="iconSet" priority="2009" id="{16BC47D6-7D4F-4EC7-97F7-F826CA058CF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S255:S261</xm:sqref>
        </x14:conditionalFormatting>
        <x14:conditionalFormatting xmlns:xm="http://schemas.microsoft.com/office/excel/2006/main">
          <x14:cfRule type="iconSet" priority="2010" id="{89F94CA2-60C4-41EE-84BD-48389C54A85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W255:W261</xm:sqref>
        </x14:conditionalFormatting>
        <x14:conditionalFormatting xmlns:xm="http://schemas.microsoft.com/office/excel/2006/main">
          <x14:cfRule type="iconSet" priority="1965" id="{A1A75156-A9C3-4A4E-A6DA-9A3ECD69B0A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S328:S332</xm:sqref>
        </x14:conditionalFormatting>
        <x14:conditionalFormatting xmlns:xm="http://schemas.microsoft.com/office/excel/2006/main">
          <x14:cfRule type="iconSet" priority="1969" id="{452B8D10-8B0B-44B0-BBB4-6F73B4F7C92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S319:S327 S305:S311 S333:S341</xm:sqref>
        </x14:conditionalFormatting>
        <x14:conditionalFormatting xmlns:xm="http://schemas.microsoft.com/office/excel/2006/main">
          <x14:cfRule type="iconSet" priority="1970" id="{3D5A8C53-BE56-45B9-A9BC-ED87BAB0EE2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W335:W341 W319:W327 W305:W311</xm:sqref>
        </x14:conditionalFormatting>
        <x14:conditionalFormatting xmlns:xm="http://schemas.microsoft.com/office/excel/2006/main">
          <x14:cfRule type="iconSet" priority="1963" id="{387C0107-4F12-4886-B50F-6923D994A28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S312:S318</xm:sqref>
        </x14:conditionalFormatting>
        <x14:conditionalFormatting xmlns:xm="http://schemas.microsoft.com/office/excel/2006/main">
          <x14:cfRule type="iconSet" priority="1964" id="{0453BCC4-2209-403E-8EA1-61D3600273A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W312:W318</xm:sqref>
        </x14:conditionalFormatting>
        <x14:conditionalFormatting xmlns:xm="http://schemas.microsoft.com/office/excel/2006/main">
          <x14:cfRule type="iconSet" priority="1919" id="{D111B92D-E037-4272-80FC-32FE1BE2B0C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S385:S389</xm:sqref>
        </x14:conditionalFormatting>
        <x14:conditionalFormatting xmlns:xm="http://schemas.microsoft.com/office/excel/2006/main">
          <x14:cfRule type="iconSet" priority="1923" id="{9B8C210B-4E02-40C3-8C08-D7093B6E619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S376:S384 S362:S368 S390:S398</xm:sqref>
        </x14:conditionalFormatting>
        <x14:conditionalFormatting xmlns:xm="http://schemas.microsoft.com/office/excel/2006/main">
          <x14:cfRule type="iconSet" priority="1924" id="{23EFF46F-56EC-4517-A696-C27CD634AB0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W392:W398 W376:W384 W362:W368</xm:sqref>
        </x14:conditionalFormatting>
        <x14:conditionalFormatting xmlns:xm="http://schemas.microsoft.com/office/excel/2006/main">
          <x14:cfRule type="iconSet" priority="1917" id="{4A4308B7-BB33-4AE2-8858-96C546AA782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S369:S375</xm:sqref>
        </x14:conditionalFormatting>
        <x14:conditionalFormatting xmlns:xm="http://schemas.microsoft.com/office/excel/2006/main">
          <x14:cfRule type="iconSet" priority="1918" id="{DEFEE0DE-5C53-4FAD-9D26-B4FD959405F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W369:W375</xm:sqref>
        </x14:conditionalFormatting>
        <x14:conditionalFormatting xmlns:xm="http://schemas.microsoft.com/office/excel/2006/main">
          <x14:cfRule type="iconSet" priority="1873" id="{A9060415-CE95-43F4-817B-8339E881874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S442:S446</xm:sqref>
        </x14:conditionalFormatting>
        <x14:conditionalFormatting xmlns:xm="http://schemas.microsoft.com/office/excel/2006/main">
          <x14:cfRule type="iconSet" priority="1877" id="{ADD50414-5D89-4AE1-A19E-6C08C844FA2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S433:S441 S419:S425 S447:S455</xm:sqref>
        </x14:conditionalFormatting>
        <x14:conditionalFormatting xmlns:xm="http://schemas.microsoft.com/office/excel/2006/main">
          <x14:cfRule type="iconSet" priority="1878" id="{406CDD48-17FB-496C-872E-63DAF1DC9967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W449:W455 W433:W441 W419:W425</xm:sqref>
        </x14:conditionalFormatting>
        <x14:conditionalFormatting xmlns:xm="http://schemas.microsoft.com/office/excel/2006/main">
          <x14:cfRule type="iconSet" priority="1871" id="{D5A8245A-1EC4-4BB2-AF3B-2EB65EF7DD2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S426:S432</xm:sqref>
        </x14:conditionalFormatting>
        <x14:conditionalFormatting xmlns:xm="http://schemas.microsoft.com/office/excel/2006/main">
          <x14:cfRule type="iconSet" priority="1872" id="{6CFCA00E-C164-4679-AF0D-31FDAFA0B42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W426:W432</xm:sqref>
        </x14:conditionalFormatting>
        <x14:conditionalFormatting xmlns:xm="http://schemas.microsoft.com/office/excel/2006/main">
          <x14:cfRule type="iconSet" priority="9780" id="{AA57294A-260E-4317-A8D7-976951D48F6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W84:W90</xm:sqref>
        </x14:conditionalFormatting>
        <x14:conditionalFormatting xmlns:xm="http://schemas.microsoft.com/office/excel/2006/main">
          <x14:cfRule type="iconSet" priority="9781" id="{B1EED6B2-B2C6-45E8-9749-7DA68D6FEE54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W84:W90</xm:sqref>
        </x14:conditionalFormatting>
        <x14:conditionalFormatting xmlns:xm="http://schemas.microsoft.com/office/excel/2006/main">
          <x14:cfRule type="iconSet" priority="9782" id="{AF526806-6A62-42D1-8284-6FB8F4EB5520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W141:W147</xm:sqref>
        </x14:conditionalFormatting>
        <x14:conditionalFormatting xmlns:xm="http://schemas.microsoft.com/office/excel/2006/main">
          <x14:cfRule type="iconSet" priority="9783" id="{EFAA2292-77AD-4716-8FF1-D01E39557533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W198:W204</xm:sqref>
        </x14:conditionalFormatting>
        <x14:conditionalFormatting xmlns:xm="http://schemas.microsoft.com/office/excel/2006/main">
          <x14:cfRule type="iconSet" priority="9784" id="{0EC0A5CE-617B-462C-9347-A5B73D66A176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W255:W261</xm:sqref>
        </x14:conditionalFormatting>
        <x14:conditionalFormatting xmlns:xm="http://schemas.microsoft.com/office/excel/2006/main">
          <x14:cfRule type="iconSet" priority="9785" id="{3C4B9DFD-C174-4A8C-BCC9-22CFFAC0EEBF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W312:W318</xm:sqref>
        </x14:conditionalFormatting>
        <x14:conditionalFormatting xmlns:xm="http://schemas.microsoft.com/office/excel/2006/main">
          <x14:cfRule type="iconSet" priority="9786" id="{45FAAFF0-8AD9-4FD1-8A9C-707869D8848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W369:W375</xm:sqref>
        </x14:conditionalFormatting>
        <x14:conditionalFormatting xmlns:xm="http://schemas.microsoft.com/office/excel/2006/main">
          <x14:cfRule type="iconSet" priority="9787" id="{64A02AD8-EACB-49D4-9C9F-CD740374687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W426:W432</xm:sqref>
        </x14:conditionalFormatting>
        <x14:conditionalFormatting xmlns:xm="http://schemas.microsoft.com/office/excel/2006/main">
          <x14:cfRule type="iconSet" priority="1319" id="{2E90F212-A448-4B37-A32E-1427D6A2152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W461 W518 W575 W632 W689 W746 W803 W464 W521 W578 W635 W692 W749 W806 W818:W855 W761:W801 W704:W744 W647:W687 W590:W630 W533:W573 W476:W516 W473:W474 W530:W531 W587:W588 W644:W645 W701:W702 W758:W759 W815:W816</xm:sqref>
        </x14:conditionalFormatting>
        <x14:conditionalFormatting xmlns:xm="http://schemas.microsoft.com/office/excel/2006/main">
          <x14:cfRule type="iconSet" priority="1297" id="{FBD92FB8-F96C-4985-A0CC-7FEBB287816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S499:S503</xm:sqref>
        </x14:conditionalFormatting>
        <x14:conditionalFormatting xmlns:xm="http://schemas.microsoft.com/office/excel/2006/main">
          <x14:cfRule type="iconSet" priority="1298" id="{E098E223-3150-4677-8BFA-22FE853184E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S490:S498 S476:S482 S504:S512</xm:sqref>
        </x14:conditionalFormatting>
        <x14:conditionalFormatting xmlns:xm="http://schemas.microsoft.com/office/excel/2006/main">
          <x14:cfRule type="iconSet" priority="1299" id="{1484A039-3EF5-40AD-9D7A-7E96E89B8F89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W506:W512 W490:W498 W476:W482</xm:sqref>
        </x14:conditionalFormatting>
        <x14:conditionalFormatting xmlns:xm="http://schemas.microsoft.com/office/excel/2006/main">
          <x14:cfRule type="iconSet" priority="1295" id="{A3D2E8B6-721A-4FB3-9DD2-928BDFF5C57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S483:S489</xm:sqref>
        </x14:conditionalFormatting>
        <x14:conditionalFormatting xmlns:xm="http://schemas.microsoft.com/office/excel/2006/main">
          <x14:cfRule type="iconSet" priority="1296" id="{F50C5ECF-14DB-44C5-A0FB-A530DEF7C573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W483:W489</xm:sqref>
        </x14:conditionalFormatting>
        <x14:conditionalFormatting xmlns:xm="http://schemas.microsoft.com/office/excel/2006/main">
          <x14:cfRule type="iconSet" priority="1287" id="{46F64352-3582-42CD-8124-FF6CB7302A7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S556:S560</xm:sqref>
        </x14:conditionalFormatting>
        <x14:conditionalFormatting xmlns:xm="http://schemas.microsoft.com/office/excel/2006/main">
          <x14:cfRule type="iconSet" priority="1288" id="{45DBD686-E9C8-4888-A83C-D26D9E9B014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S547:S555 S533:S539 S561:S569</xm:sqref>
        </x14:conditionalFormatting>
        <x14:conditionalFormatting xmlns:xm="http://schemas.microsoft.com/office/excel/2006/main">
          <x14:cfRule type="iconSet" priority="1289" id="{C218A6C6-752D-45CF-ABAF-E3CD4F2C91F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W563:W569 W547:W555 W533:W539</xm:sqref>
        </x14:conditionalFormatting>
        <x14:conditionalFormatting xmlns:xm="http://schemas.microsoft.com/office/excel/2006/main">
          <x14:cfRule type="iconSet" priority="1285" id="{4FA48C3A-61E8-44DD-AD39-0D4562DEF6D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S540:S546</xm:sqref>
        </x14:conditionalFormatting>
        <x14:conditionalFormatting xmlns:xm="http://schemas.microsoft.com/office/excel/2006/main">
          <x14:cfRule type="iconSet" priority="1286" id="{72055851-E4C9-4E96-BED5-BDA9259DE30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W540:W546</xm:sqref>
        </x14:conditionalFormatting>
        <x14:conditionalFormatting xmlns:xm="http://schemas.microsoft.com/office/excel/2006/main">
          <x14:cfRule type="iconSet" priority="1277" id="{5AA7860D-468A-4B7E-8464-00CD85DB57B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S613:S617</xm:sqref>
        </x14:conditionalFormatting>
        <x14:conditionalFormatting xmlns:xm="http://schemas.microsoft.com/office/excel/2006/main">
          <x14:cfRule type="iconSet" priority="1278" id="{76F710FA-5BB7-4971-9BB2-00AAB16A3D7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S604:S612 S590:S596 S618:S626</xm:sqref>
        </x14:conditionalFormatting>
        <x14:conditionalFormatting xmlns:xm="http://schemas.microsoft.com/office/excel/2006/main">
          <x14:cfRule type="iconSet" priority="1279" id="{7B9B6688-12FA-4A13-A2FA-47220261F51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W620:W626 W604:W612 W590:W596</xm:sqref>
        </x14:conditionalFormatting>
        <x14:conditionalFormatting xmlns:xm="http://schemas.microsoft.com/office/excel/2006/main">
          <x14:cfRule type="iconSet" priority="1275" id="{DEBF7D6C-2D92-42AD-9768-DC5B1ECFEAD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S597:S603</xm:sqref>
        </x14:conditionalFormatting>
        <x14:conditionalFormatting xmlns:xm="http://schemas.microsoft.com/office/excel/2006/main">
          <x14:cfRule type="iconSet" priority="1276" id="{0AABC425-14A8-44A0-9D12-3C92F71F93F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W597:W603</xm:sqref>
        </x14:conditionalFormatting>
        <x14:conditionalFormatting xmlns:xm="http://schemas.microsoft.com/office/excel/2006/main">
          <x14:cfRule type="iconSet" priority="1267" id="{817E5F91-E05D-4DD2-9BE3-4CAFAC3287C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S670:S674</xm:sqref>
        </x14:conditionalFormatting>
        <x14:conditionalFormatting xmlns:xm="http://schemas.microsoft.com/office/excel/2006/main">
          <x14:cfRule type="iconSet" priority="1268" id="{8CDBE868-5ABB-4614-9C14-BAA277F140B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S661:S669 S647:S653 S675:S683</xm:sqref>
        </x14:conditionalFormatting>
        <x14:conditionalFormatting xmlns:xm="http://schemas.microsoft.com/office/excel/2006/main">
          <x14:cfRule type="iconSet" priority="1269" id="{2AA3C47E-BA11-48F9-9B1C-9EDA43D02AC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W677:W683 W661:W669 W647:W653</xm:sqref>
        </x14:conditionalFormatting>
        <x14:conditionalFormatting xmlns:xm="http://schemas.microsoft.com/office/excel/2006/main">
          <x14:cfRule type="iconSet" priority="1265" id="{97416575-0412-4DDB-BDCD-59BACFEA8AC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S654:S660</xm:sqref>
        </x14:conditionalFormatting>
        <x14:conditionalFormatting xmlns:xm="http://schemas.microsoft.com/office/excel/2006/main">
          <x14:cfRule type="iconSet" priority="1266" id="{67D0451F-3C80-457C-9430-A3EC5958838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W654:W660</xm:sqref>
        </x14:conditionalFormatting>
        <x14:conditionalFormatting xmlns:xm="http://schemas.microsoft.com/office/excel/2006/main">
          <x14:cfRule type="iconSet" priority="1257" id="{5A06C875-AD40-4CDA-8388-172EA4DD45C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S727:S731</xm:sqref>
        </x14:conditionalFormatting>
        <x14:conditionalFormatting xmlns:xm="http://schemas.microsoft.com/office/excel/2006/main">
          <x14:cfRule type="iconSet" priority="1258" id="{BFFE0A9C-DE60-42FB-80F4-C3F0A7B5D90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S718:S726 S704:S710 S732:S740</xm:sqref>
        </x14:conditionalFormatting>
        <x14:conditionalFormatting xmlns:xm="http://schemas.microsoft.com/office/excel/2006/main">
          <x14:cfRule type="iconSet" priority="1259" id="{1CC70568-BFD1-43DC-B004-16D75A44E90F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W734:W740 W718:W726 W704:W710</xm:sqref>
        </x14:conditionalFormatting>
        <x14:conditionalFormatting xmlns:xm="http://schemas.microsoft.com/office/excel/2006/main">
          <x14:cfRule type="iconSet" priority="1255" id="{48C9A729-CBF0-4141-AB0B-9DAF55D224D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S711:S717</xm:sqref>
        </x14:conditionalFormatting>
        <x14:conditionalFormatting xmlns:xm="http://schemas.microsoft.com/office/excel/2006/main">
          <x14:cfRule type="iconSet" priority="1256" id="{057FABA1-6EC4-469B-8DE0-F895007E7B48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W711:W717</xm:sqref>
        </x14:conditionalFormatting>
        <x14:conditionalFormatting xmlns:xm="http://schemas.microsoft.com/office/excel/2006/main">
          <x14:cfRule type="iconSet" priority="1247" id="{E69BB85D-947E-453B-94CC-E17761FADCD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S784:S788</xm:sqref>
        </x14:conditionalFormatting>
        <x14:conditionalFormatting xmlns:xm="http://schemas.microsoft.com/office/excel/2006/main">
          <x14:cfRule type="iconSet" priority="1248" id="{D1649E77-D2E7-45F0-892D-1F42262E95E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S775:S783 S761:S767 S789:S797</xm:sqref>
        </x14:conditionalFormatting>
        <x14:conditionalFormatting xmlns:xm="http://schemas.microsoft.com/office/excel/2006/main">
          <x14:cfRule type="iconSet" priority="1249" id="{C44CB0B4-ECF1-4C4F-A7D9-FC534B4039B3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W791:W797 W775:W783 W761:W767</xm:sqref>
        </x14:conditionalFormatting>
        <x14:conditionalFormatting xmlns:xm="http://schemas.microsoft.com/office/excel/2006/main">
          <x14:cfRule type="iconSet" priority="1245" id="{78A1CDD4-2BFE-45C2-B1B2-C6D2BDA9165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S768:S774</xm:sqref>
        </x14:conditionalFormatting>
        <x14:conditionalFormatting xmlns:xm="http://schemas.microsoft.com/office/excel/2006/main">
          <x14:cfRule type="iconSet" priority="1246" id="{F7133095-4627-44B4-B521-3F55A9B64808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W768:W774</xm:sqref>
        </x14:conditionalFormatting>
        <x14:conditionalFormatting xmlns:xm="http://schemas.microsoft.com/office/excel/2006/main">
          <x14:cfRule type="iconSet" priority="1237" id="{5E99C92D-A693-4B08-9D07-6484CEA7C76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S841:S845</xm:sqref>
        </x14:conditionalFormatting>
        <x14:conditionalFormatting xmlns:xm="http://schemas.microsoft.com/office/excel/2006/main">
          <x14:cfRule type="iconSet" priority="1238" id="{60E14F5E-08C0-4CB4-867E-B2BC8F6E75A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S832:S840 S818:S824 S846:S854</xm:sqref>
        </x14:conditionalFormatting>
        <x14:conditionalFormatting xmlns:xm="http://schemas.microsoft.com/office/excel/2006/main">
          <x14:cfRule type="iconSet" priority="1239" id="{CB70C7B1-F255-4962-B62E-98BD0E9E8F1B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W848:W854 W832:W840 W818:W824</xm:sqref>
        </x14:conditionalFormatting>
        <x14:conditionalFormatting xmlns:xm="http://schemas.microsoft.com/office/excel/2006/main">
          <x14:cfRule type="iconSet" priority="1235" id="{C5F6C486-233C-4CF1-8DEB-8FEBFA626D1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S825:S831</xm:sqref>
        </x14:conditionalFormatting>
        <x14:conditionalFormatting xmlns:xm="http://schemas.microsoft.com/office/excel/2006/main">
          <x14:cfRule type="iconSet" priority="1236" id="{A92936DA-3DCD-478C-BFE0-5980C4D3EAEF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W825:W831</xm:sqref>
        </x14:conditionalFormatting>
        <x14:conditionalFormatting xmlns:xm="http://schemas.microsoft.com/office/excel/2006/main">
          <x14:cfRule type="iconSet" priority="1326" id="{7AABDADC-FA09-4959-AEB7-50BF4838074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W483:W489</xm:sqref>
        </x14:conditionalFormatting>
        <x14:conditionalFormatting xmlns:xm="http://schemas.microsoft.com/office/excel/2006/main">
          <x14:cfRule type="iconSet" priority="1327" id="{7E57ABB4-8ADE-4F4B-BF55-DC8E096AF0E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W483:W489</xm:sqref>
        </x14:conditionalFormatting>
        <x14:conditionalFormatting xmlns:xm="http://schemas.microsoft.com/office/excel/2006/main">
          <x14:cfRule type="iconSet" priority="1328" id="{99C489B9-76C6-4F00-9174-CA390A23D83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W540:W546</xm:sqref>
        </x14:conditionalFormatting>
        <x14:conditionalFormatting xmlns:xm="http://schemas.microsoft.com/office/excel/2006/main">
          <x14:cfRule type="iconSet" priority="1329" id="{23D26EAF-A5C1-46E8-A2ED-F6A2A9E7320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W597:W603</xm:sqref>
        </x14:conditionalFormatting>
        <x14:conditionalFormatting xmlns:xm="http://schemas.microsoft.com/office/excel/2006/main">
          <x14:cfRule type="iconSet" priority="1330" id="{B7D54B7C-7565-4371-8DDB-64B208739A6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W654:W660</xm:sqref>
        </x14:conditionalFormatting>
        <x14:conditionalFormatting xmlns:xm="http://schemas.microsoft.com/office/excel/2006/main">
          <x14:cfRule type="iconSet" priority="1331" id="{8C7474E8-69C8-43FC-9C24-E20E7C5047F9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W711:W717</xm:sqref>
        </x14:conditionalFormatting>
        <x14:conditionalFormatting xmlns:xm="http://schemas.microsoft.com/office/excel/2006/main">
          <x14:cfRule type="iconSet" priority="1332" id="{19637635-1BE6-4A79-BD76-D69F12E616F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W768:W774</xm:sqref>
        </x14:conditionalFormatting>
        <x14:conditionalFormatting xmlns:xm="http://schemas.microsoft.com/office/excel/2006/main">
          <x14:cfRule type="iconSet" priority="1333" id="{D600E1BD-C6D9-4935-98C2-73695967033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W825:W831</xm:sqref>
        </x14:conditionalFormatting>
        <x14:conditionalFormatting xmlns:xm="http://schemas.microsoft.com/office/excel/2006/main">
          <x14:cfRule type="iconSet" priority="990" id="{31EC8D43-E8CC-4FF4-84EF-6F866DC1D04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W860 W863 W875:W911 W872:W873</xm:sqref>
        </x14:conditionalFormatting>
        <x14:conditionalFormatting xmlns:xm="http://schemas.microsoft.com/office/excel/2006/main">
          <x14:cfRule type="iconSet" priority="982" id="{D43AF807-6DDB-4F51-8514-9D867831621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S898:S902</xm:sqref>
        </x14:conditionalFormatting>
        <x14:conditionalFormatting xmlns:xm="http://schemas.microsoft.com/office/excel/2006/main">
          <x14:cfRule type="iconSet" priority="983" id="{0B7D91CD-C525-4DFD-BFB6-4A5C573A720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S889:S897 S875:S881 S903:S911</xm:sqref>
        </x14:conditionalFormatting>
        <x14:conditionalFormatting xmlns:xm="http://schemas.microsoft.com/office/excel/2006/main">
          <x14:cfRule type="iconSet" priority="984" id="{E72DFEC8-34FD-4837-B0D2-907D2AFE1B26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W905:W911 W889:W897 W875:W881</xm:sqref>
        </x14:conditionalFormatting>
        <x14:conditionalFormatting xmlns:xm="http://schemas.microsoft.com/office/excel/2006/main">
          <x14:cfRule type="iconSet" priority="980" id="{286B81D9-3942-4080-BF6F-1857B877EBF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S882:S888</xm:sqref>
        </x14:conditionalFormatting>
        <x14:conditionalFormatting xmlns:xm="http://schemas.microsoft.com/office/excel/2006/main">
          <x14:cfRule type="iconSet" priority="981" id="{60CE8B69-5C46-4250-B7FF-F8C19320DC9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W882:W888</xm:sqref>
        </x14:conditionalFormatting>
        <x14:conditionalFormatting xmlns:xm="http://schemas.microsoft.com/office/excel/2006/main">
          <x14:cfRule type="iconSet" priority="991" id="{BC57D61C-23B3-4F7D-99E0-66F3B3FE3B65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W882:W888</xm:sqref>
        </x14:conditionalFormatting>
        <x14:conditionalFormatting xmlns:xm="http://schemas.microsoft.com/office/excel/2006/main">
          <x14:cfRule type="iconSet" priority="587" id="{0829C10B-8F55-42B2-B8D8-B7772733D18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</xm:sqref>
        </x14:conditionalFormatting>
        <x14:conditionalFormatting xmlns:xm="http://schemas.microsoft.com/office/excel/2006/main">
          <x14:cfRule type="iconSet" priority="585" id="{A4D9814A-8531-492E-9B10-8DD065274AC4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W120</xm:sqref>
        </x14:conditionalFormatting>
        <x14:conditionalFormatting xmlns:xm="http://schemas.microsoft.com/office/excel/2006/main">
          <x14:cfRule type="iconSet" priority="583" id="{A0142BE6-AD1F-42BB-9904-19C45A19135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W177</xm:sqref>
        </x14:conditionalFormatting>
        <x14:conditionalFormatting xmlns:xm="http://schemas.microsoft.com/office/excel/2006/main">
          <x14:cfRule type="iconSet" priority="581" id="{0492E2AB-B109-4BBF-B492-0F9881302774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W234</xm:sqref>
        </x14:conditionalFormatting>
        <x14:conditionalFormatting xmlns:xm="http://schemas.microsoft.com/office/excel/2006/main">
          <x14:cfRule type="iconSet" priority="579" id="{13B63489-949E-433E-97DF-A8E86A36F59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W291</xm:sqref>
        </x14:conditionalFormatting>
        <x14:conditionalFormatting xmlns:xm="http://schemas.microsoft.com/office/excel/2006/main">
          <x14:cfRule type="iconSet" priority="577" id="{0F1022E1-6780-4538-A1BE-D7DA395C897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W348</xm:sqref>
        </x14:conditionalFormatting>
        <x14:conditionalFormatting xmlns:xm="http://schemas.microsoft.com/office/excel/2006/main">
          <x14:cfRule type="iconSet" priority="575" id="{191D4B50-0E0D-47A2-ABC3-09514198D528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W405</xm:sqref>
        </x14:conditionalFormatting>
        <x14:conditionalFormatting xmlns:xm="http://schemas.microsoft.com/office/excel/2006/main">
          <x14:cfRule type="iconSet" priority="573" id="{B1420E27-A4EF-439A-8123-994DA9085F7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W462</xm:sqref>
        </x14:conditionalFormatting>
        <x14:conditionalFormatting xmlns:xm="http://schemas.microsoft.com/office/excel/2006/main">
          <x14:cfRule type="iconSet" priority="571" id="{AF9A5D1E-C56E-4871-9FA7-93FF09BE652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W519</xm:sqref>
        </x14:conditionalFormatting>
        <x14:conditionalFormatting xmlns:xm="http://schemas.microsoft.com/office/excel/2006/main">
          <x14:cfRule type="iconSet" priority="569" id="{B1B744A0-B645-40D7-83F8-8C149DC17DD6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W576</xm:sqref>
        </x14:conditionalFormatting>
        <x14:conditionalFormatting xmlns:xm="http://schemas.microsoft.com/office/excel/2006/main">
          <x14:cfRule type="iconSet" priority="567" id="{0251DBAE-0936-4F6A-BA46-9100D4A0A7D0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W633</xm:sqref>
        </x14:conditionalFormatting>
        <x14:conditionalFormatting xmlns:xm="http://schemas.microsoft.com/office/excel/2006/main">
          <x14:cfRule type="iconSet" priority="565" id="{A18A16F9-BA8C-4F59-AE5A-6189FD847F11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W690</xm:sqref>
        </x14:conditionalFormatting>
        <x14:conditionalFormatting xmlns:xm="http://schemas.microsoft.com/office/excel/2006/main">
          <x14:cfRule type="iconSet" priority="563" id="{299689D7-BBCD-4CAE-B236-50273F5EF8AA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W747</xm:sqref>
        </x14:conditionalFormatting>
        <x14:conditionalFormatting xmlns:xm="http://schemas.microsoft.com/office/excel/2006/main">
          <x14:cfRule type="iconSet" priority="561" id="{A263ECD2-D43C-4830-9FB6-17043CA5BECC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W804</xm:sqref>
        </x14:conditionalFormatting>
        <x14:conditionalFormatting xmlns:xm="http://schemas.microsoft.com/office/excel/2006/main">
          <x14:cfRule type="iconSet" priority="559" id="{F1C91926-C1EF-43D4-866E-2A581663A8AF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W861</xm:sqref>
        </x14:conditionalFormatting>
        <x14:conditionalFormatting xmlns:xm="http://schemas.microsoft.com/office/excel/2006/main">
          <x14:cfRule type="containsText" priority="401" operator="containsText" id="{FF7CB54B-F851-4338-8285-A59A4CA47E01}">
            <xm:f>NOT(ISERROR(SEARCH($R$39,B122)))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402" operator="containsText" id="{EA44FB02-E7C7-44EC-B639-BF33F2D0890B}">
            <xm:f>NOT(ISERROR(SEARCH($R$23,B122)))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403" operator="containsText" id="{86F41709-4721-43D5-BBE2-FA9A9FA1E380}">
            <xm:f>NOT(ISERROR(SEARCH($R$36,B122)))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404" operator="containsText" id="{CCD53640-C0C8-4B9F-A099-0F7A4F6E9A52}">
            <xm:f>NOT(ISERROR(SEARCH($R$21,B122)))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405" operator="containsText" id="{CB2361E5-739C-42F6-9E0B-5FD22821F665}">
            <xm:f>NOT(ISERROR(SEARCH($R$50,B122)))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406" operator="containsText" id="{7C2943B6-6E01-48A9-9454-9755096D7C33}">
            <xm:f>NOT(ISERROR(SEARCH($R$56,B122)))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407" operator="containsText" id="{48D473B3-48F7-44E0-AD6A-E197C9692C07}">
            <xm:f>NOT(ISERROR(SEARCH($R$34,B122)))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408" operator="containsText" id="{7DF66359-1291-4444-8D8C-416C41C63EAF}">
            <xm:f>NOT(ISERROR(SEARCH($R$20,B122)))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409" operator="containsText" id="{B704E752-B084-4484-8EA7-E46E7174C3BE}">
            <xm:f>NOT(ISERROR(SEARCH($R$52,B122)))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410" operator="containsText" id="{7E50B31E-AB8C-4767-9BB2-4E89377BAE24}">
            <xm:f>NOT(ISERROR(SEARCH($R$51,B122)))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411" operator="containsText" id="{66FC1EF3-CDF6-49BA-B45A-40F4A2970D05}">
            <xm:f>NOT(ISERROR(SEARCH($R$41,B122)))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412" operator="containsText" id="{7ACCA1C4-8992-4FCF-A5A9-FCA0FECDCBF2}">
            <xm:f>NOT(ISERROR(SEARCH($R$54,B122)))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413" operator="containsText" id="{B9E61F9B-DC06-49F1-AA30-200C9889314A}">
            <xm:f>NOT(ISERROR(SEARCH($R$53,B122)))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414" operator="containsText" id="{E5DEBAAF-2476-4673-8B93-45ED39A539D8}">
            <xm:f>NOT(ISERROR(SEARCH($R$55,B122)))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416" operator="containsText" id="{F7117DB8-D019-485C-9AB4-3F9015E3B563}">
            <xm:f>NOT(ISERROR(SEARCH($R$24,B122)))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B122 D122 F122 H122 J122 N122 L122</xm:sqref>
        </x14:conditionalFormatting>
        <x14:conditionalFormatting xmlns:xm="http://schemas.microsoft.com/office/excel/2006/main">
          <x14:cfRule type="containsText" priority="378" operator="containsText" id="{46C58B2C-7266-4BDA-9731-0795278C7CDE}">
            <xm:f>NOT(ISERROR(SEARCH($R$39,B179)))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379" operator="containsText" id="{3C5AB848-CB38-4763-BA1A-0D1BAAB000E6}">
            <xm:f>NOT(ISERROR(SEARCH($R$23,B179)))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380" operator="containsText" id="{625A6785-C9DA-40B6-9DC0-66CD23FB37AD}">
            <xm:f>NOT(ISERROR(SEARCH($R$36,B179)))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381" operator="containsText" id="{38B7BB4A-5B6E-4BEA-B370-A4C85C8631B3}">
            <xm:f>NOT(ISERROR(SEARCH($R$21,B179)))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382" operator="containsText" id="{E9200135-F769-4845-97D0-1986DA631163}">
            <xm:f>NOT(ISERROR(SEARCH($R$50,B179)))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383" operator="containsText" id="{6353C26F-13E9-4B5E-9DE8-C81941491CA7}">
            <xm:f>NOT(ISERROR(SEARCH($R$56,B179)))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384" operator="containsText" id="{B5425C09-BC3A-4F64-99C3-5890434CB1F0}">
            <xm:f>NOT(ISERROR(SEARCH($R$34,B179)))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385" operator="containsText" id="{AE7AC8AB-A133-430A-A6DC-E498DF94AD6E}">
            <xm:f>NOT(ISERROR(SEARCH($R$20,B179)))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386" operator="containsText" id="{EB288133-0A64-477F-963C-261442A595C7}">
            <xm:f>NOT(ISERROR(SEARCH($R$52,B179)))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387" operator="containsText" id="{3250170C-FC54-41B9-962F-B52C817FE26F}">
            <xm:f>NOT(ISERROR(SEARCH($R$51,B179)))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388" operator="containsText" id="{B034BCB4-0F11-4179-A1FF-715F8B680FEF}">
            <xm:f>NOT(ISERROR(SEARCH($R$41,B179)))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389" operator="containsText" id="{19B30744-1D68-4FFB-87E7-AC3A900D52F1}">
            <xm:f>NOT(ISERROR(SEARCH($R$54,B179)))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390" operator="containsText" id="{86734F33-1B71-4E62-AE21-FAA287F571CA}">
            <xm:f>NOT(ISERROR(SEARCH($R$53,B179)))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391" operator="containsText" id="{D011712D-C5C1-4D41-BB01-71CA3432AB44}">
            <xm:f>NOT(ISERROR(SEARCH($R$55,B179)))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393" operator="containsText" id="{DB7D69F7-5144-4B38-A4DD-8543E43DE5CE}">
            <xm:f>NOT(ISERROR(SEARCH($R$24,B179)))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B179 D179 F179 H179 J179 N179 L179</xm:sqref>
        </x14:conditionalFormatting>
        <x14:conditionalFormatting xmlns:xm="http://schemas.microsoft.com/office/excel/2006/main">
          <x14:cfRule type="containsText" priority="355" operator="containsText" id="{1C4FDA3F-D846-493A-B032-895793F5B08A}">
            <xm:f>NOT(ISERROR(SEARCH($R$39,B236)))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356" operator="containsText" id="{C076D28C-615A-404F-BFED-17C41C875800}">
            <xm:f>NOT(ISERROR(SEARCH($R$23,B236)))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357" operator="containsText" id="{FE0A2ED8-2584-4F94-BB36-320B9690B9B9}">
            <xm:f>NOT(ISERROR(SEARCH($R$36,B236)))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358" operator="containsText" id="{846169E1-630F-4B53-AB7C-705AF33437E7}">
            <xm:f>NOT(ISERROR(SEARCH($R$21,B236)))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359" operator="containsText" id="{824E43C9-CA0E-4859-978B-A5D662C070D2}">
            <xm:f>NOT(ISERROR(SEARCH($R$50,B236)))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360" operator="containsText" id="{89D19654-0B12-4C93-B3C5-523DF010F77D}">
            <xm:f>NOT(ISERROR(SEARCH($R$56,B236)))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361" operator="containsText" id="{E4644001-3B3F-46CB-8564-A3E5909B97B0}">
            <xm:f>NOT(ISERROR(SEARCH($R$34,B236)))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362" operator="containsText" id="{71A645A8-A206-4A24-ABAB-6B3040DC7E47}">
            <xm:f>NOT(ISERROR(SEARCH($R$20,B236)))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363" operator="containsText" id="{816CD560-EE2F-42B4-A8BF-883B4029AA59}">
            <xm:f>NOT(ISERROR(SEARCH($R$52,B236)))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364" operator="containsText" id="{3515B777-5167-4B50-8056-C3CA06D0A4BC}">
            <xm:f>NOT(ISERROR(SEARCH($R$51,B236)))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365" operator="containsText" id="{5D3B9B10-0361-4F85-965D-9FD8A98566DB}">
            <xm:f>NOT(ISERROR(SEARCH($R$41,B236)))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366" operator="containsText" id="{2DB1B9AE-44A0-4E07-A605-CDB02593E527}">
            <xm:f>NOT(ISERROR(SEARCH($R$54,B236)))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367" operator="containsText" id="{01263325-B196-45C4-8BD2-2429F0516F92}">
            <xm:f>NOT(ISERROR(SEARCH($R$53,B236)))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368" operator="containsText" id="{8D90CDAF-CE8B-4141-B64C-135672A44199}">
            <xm:f>NOT(ISERROR(SEARCH($R$55,B236)))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370" operator="containsText" id="{E98A3924-7611-49BA-84C2-A6CFD689AC1C}">
            <xm:f>NOT(ISERROR(SEARCH($R$24,B236)))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B236 D236 F236 H236 J236 N236 L236</xm:sqref>
        </x14:conditionalFormatting>
        <x14:conditionalFormatting xmlns:xm="http://schemas.microsoft.com/office/excel/2006/main">
          <x14:cfRule type="containsText" priority="332" operator="containsText" id="{7FE420AF-746A-4155-969F-A8FF1A0415A4}">
            <xm:f>NOT(ISERROR(SEARCH($R$39,B293)))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333" operator="containsText" id="{7BED00EF-13D1-46C9-B1BB-3CEC64B2C9DB}">
            <xm:f>NOT(ISERROR(SEARCH($R$23,B293)))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334" operator="containsText" id="{A72B6D38-A1E2-48D3-A71C-599552DF2DA1}">
            <xm:f>NOT(ISERROR(SEARCH($R$36,B293)))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335" operator="containsText" id="{FF695E85-64F0-4CC2-8E55-B045F0C63691}">
            <xm:f>NOT(ISERROR(SEARCH($R$21,B293)))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336" operator="containsText" id="{6060B5C6-6CB6-40CE-B67A-E772AE774B63}">
            <xm:f>NOT(ISERROR(SEARCH($R$50,B293)))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337" operator="containsText" id="{5FE88777-CCC5-404D-BA95-FA052F890D8C}">
            <xm:f>NOT(ISERROR(SEARCH($R$56,B293)))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338" operator="containsText" id="{99FA9447-A1D5-4B89-B262-3E06F001339B}">
            <xm:f>NOT(ISERROR(SEARCH($R$34,B293)))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339" operator="containsText" id="{95248B7C-C22F-4A91-8BF0-F34EEE1A7810}">
            <xm:f>NOT(ISERROR(SEARCH($R$20,B293)))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340" operator="containsText" id="{E9EF7EC7-6EB1-49AE-992D-E040CD339B67}">
            <xm:f>NOT(ISERROR(SEARCH($R$52,B293)))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341" operator="containsText" id="{A4EF5A0F-3F28-4C93-A3CB-719FF1876F89}">
            <xm:f>NOT(ISERROR(SEARCH($R$51,B293)))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342" operator="containsText" id="{72DDE896-8FC7-4D52-A517-ABA5C8A64284}">
            <xm:f>NOT(ISERROR(SEARCH($R$41,B293)))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343" operator="containsText" id="{56576034-A8AD-4B2F-B5D6-105AC92B0DE4}">
            <xm:f>NOT(ISERROR(SEARCH($R$54,B293)))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344" operator="containsText" id="{B58854C3-4F05-4A64-8D64-13F27E80FCB5}">
            <xm:f>NOT(ISERROR(SEARCH($R$53,B293)))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345" operator="containsText" id="{FD31D52F-FB3D-47F1-B156-8C31C66B7C9A}">
            <xm:f>NOT(ISERROR(SEARCH($R$55,B293)))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347" operator="containsText" id="{1EDAACD3-414C-4837-8961-3A13144807E3}">
            <xm:f>NOT(ISERROR(SEARCH($R$24,B293)))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B293 D293 F293 H293 J293 N293 L293</xm:sqref>
        </x14:conditionalFormatting>
        <x14:conditionalFormatting xmlns:xm="http://schemas.microsoft.com/office/excel/2006/main">
          <x14:cfRule type="containsText" priority="309" operator="containsText" id="{1E948123-8139-41D5-8136-52DE12F4172F}">
            <xm:f>NOT(ISERROR(SEARCH($R$39,B350)))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310" operator="containsText" id="{702F34C8-7987-41EA-83FD-C407CBA85383}">
            <xm:f>NOT(ISERROR(SEARCH($R$23,B350)))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311" operator="containsText" id="{43ED8C27-BB5A-4B65-AEF7-848B5F06327C}">
            <xm:f>NOT(ISERROR(SEARCH($R$36,B350)))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312" operator="containsText" id="{426CF80D-0B9D-4B95-94D0-4190E531477B}">
            <xm:f>NOT(ISERROR(SEARCH($R$21,B350)))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313" operator="containsText" id="{D213C0AC-5B27-4018-ADE4-78671E53694F}">
            <xm:f>NOT(ISERROR(SEARCH($R$50,B350)))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314" operator="containsText" id="{BEAEE873-EE43-46EC-8587-DF4053C8F47F}">
            <xm:f>NOT(ISERROR(SEARCH($R$56,B350)))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315" operator="containsText" id="{D11527DE-AC92-4E4B-A448-2E9EC51C4504}">
            <xm:f>NOT(ISERROR(SEARCH($R$34,B350)))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316" operator="containsText" id="{9018EE68-A7FB-483F-A0CF-4447FA791E3C}">
            <xm:f>NOT(ISERROR(SEARCH($R$20,B350)))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317" operator="containsText" id="{258EB333-2B8E-42F5-98B7-9A005DC1EA03}">
            <xm:f>NOT(ISERROR(SEARCH($R$52,B350)))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318" operator="containsText" id="{2C828CF6-9062-427E-9F79-51B0F589C1FB}">
            <xm:f>NOT(ISERROR(SEARCH($R$51,B350)))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319" operator="containsText" id="{08B308B0-9FDC-427C-B3AA-AE13F04ED320}">
            <xm:f>NOT(ISERROR(SEARCH($R$41,B350)))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320" operator="containsText" id="{9F025C20-423C-4840-844A-403ECAFCEC10}">
            <xm:f>NOT(ISERROR(SEARCH($R$54,B350)))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321" operator="containsText" id="{E924C38A-FF7E-4C1E-8BCB-A772F3044A13}">
            <xm:f>NOT(ISERROR(SEARCH($R$53,B350)))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322" operator="containsText" id="{C3EC09DE-08AF-420A-B2C6-709CF8F64214}">
            <xm:f>NOT(ISERROR(SEARCH($R$55,B350)))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324" operator="containsText" id="{AAF92A7D-B12C-476B-A460-8A9B1724DD15}">
            <xm:f>NOT(ISERROR(SEARCH($R$24,B350)))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B350 D350 F350 H350 J350 N350 L350</xm:sqref>
        </x14:conditionalFormatting>
        <x14:conditionalFormatting xmlns:xm="http://schemas.microsoft.com/office/excel/2006/main">
          <x14:cfRule type="containsText" priority="286" operator="containsText" id="{779BA7D6-FE45-483A-909F-4FF584A6A6D5}">
            <xm:f>NOT(ISERROR(SEARCH($R$39,B407)))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287" operator="containsText" id="{C63631DB-39AF-4730-9229-C798A15186C2}">
            <xm:f>NOT(ISERROR(SEARCH($R$23,B407)))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288" operator="containsText" id="{17E0F065-F9AF-4B16-B31C-1FAE4B65DA15}">
            <xm:f>NOT(ISERROR(SEARCH($R$36,B407)))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289" operator="containsText" id="{83C3DF2D-23FC-4090-92FF-B324EA60E321}">
            <xm:f>NOT(ISERROR(SEARCH($R$21,B407)))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290" operator="containsText" id="{EE89CB89-EEC5-4932-A838-147E95BE8378}">
            <xm:f>NOT(ISERROR(SEARCH($R$50,B407)))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291" operator="containsText" id="{C5F4D16A-EFC7-456D-9C84-68A5EC960C57}">
            <xm:f>NOT(ISERROR(SEARCH($R$56,B407)))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92" operator="containsText" id="{DEFB24B7-A51B-4195-B2A6-41E952029196}">
            <xm:f>NOT(ISERROR(SEARCH($R$34,B407)))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93" operator="containsText" id="{C110C077-8209-409A-91C1-E3474650D3C9}">
            <xm:f>NOT(ISERROR(SEARCH($R$20,B407)))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94" operator="containsText" id="{F38E9144-E27F-407D-91E0-AB4496438EC0}">
            <xm:f>NOT(ISERROR(SEARCH($R$52,B407)))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95" operator="containsText" id="{F4D45372-811D-46A5-998A-796CA1F82D6C}">
            <xm:f>NOT(ISERROR(SEARCH($R$51,B407)))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96" operator="containsText" id="{D7C4B84C-CA6D-45E1-AE0A-B5A7421107EC}">
            <xm:f>NOT(ISERROR(SEARCH($R$41,B407)))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97" operator="containsText" id="{656CB7A2-01B4-4F70-9D8A-B525CAD51326}">
            <xm:f>NOT(ISERROR(SEARCH($R$54,B407)))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98" operator="containsText" id="{CED93B28-3393-415B-8B3C-3C69A69F3C63}">
            <xm:f>NOT(ISERROR(SEARCH($R$53,B407)))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99" operator="containsText" id="{C7C7B43A-4BD6-4465-8A21-61E76DE3D129}">
            <xm:f>NOT(ISERROR(SEARCH($R$55,B407)))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301" operator="containsText" id="{012C625D-97EB-4B29-B026-6C08B8121AB0}">
            <xm:f>NOT(ISERROR(SEARCH($R$24,B407)))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B407 D407 F407 H407 J407 N407 L407</xm:sqref>
        </x14:conditionalFormatting>
        <x14:conditionalFormatting xmlns:xm="http://schemas.microsoft.com/office/excel/2006/main">
          <x14:cfRule type="containsText" priority="263" operator="containsText" id="{2E374E4F-9579-424A-B353-45033F66682D}">
            <xm:f>NOT(ISERROR(SEARCH($R$39,B464)))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264" operator="containsText" id="{581407A1-4E51-427F-BC03-98CAB79EFAC7}">
            <xm:f>NOT(ISERROR(SEARCH($R$23,B464)))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265" operator="containsText" id="{E2E5CC94-486B-4573-9506-48720780E718}">
            <xm:f>NOT(ISERROR(SEARCH($R$36,B464)))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266" operator="containsText" id="{16AF3F1C-F331-47EC-8978-53424425B338}">
            <xm:f>NOT(ISERROR(SEARCH($R$21,B464)))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267" operator="containsText" id="{31092507-24BD-48E1-A7F6-69F26BB7ACB2}">
            <xm:f>NOT(ISERROR(SEARCH($R$50,B464)))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268" operator="containsText" id="{D9F773F7-C844-4183-A09C-799DE732FEC8}">
            <xm:f>NOT(ISERROR(SEARCH($R$56,B464)))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69" operator="containsText" id="{D99F0CFD-FC69-47D6-A3BB-1A48CA6232E0}">
            <xm:f>NOT(ISERROR(SEARCH($R$34,B464)))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70" operator="containsText" id="{1B3ED0BC-80D5-42A4-8CB5-63F42149146E}">
            <xm:f>NOT(ISERROR(SEARCH($R$20,B464)))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71" operator="containsText" id="{01971D34-D2C5-4143-B7EF-4D713A3A1A5D}">
            <xm:f>NOT(ISERROR(SEARCH($R$52,B464)))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72" operator="containsText" id="{B82A2535-8372-4B84-99CB-9E5753CAEA56}">
            <xm:f>NOT(ISERROR(SEARCH($R$51,B464)))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73" operator="containsText" id="{02246880-4638-472D-B955-288261B663CB}">
            <xm:f>NOT(ISERROR(SEARCH($R$41,B464)))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74" operator="containsText" id="{C90C8904-8943-452F-85A5-B4D44B495B0C}">
            <xm:f>NOT(ISERROR(SEARCH($R$54,B464)))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75" operator="containsText" id="{006F5D30-4329-4B41-A318-41F324CC030C}">
            <xm:f>NOT(ISERROR(SEARCH($R$53,B464)))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76" operator="containsText" id="{8BB823F2-4C1C-41FC-ACCF-47F406B83400}">
            <xm:f>NOT(ISERROR(SEARCH($R$55,B464)))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278" operator="containsText" id="{FEA09336-21EF-4209-B659-7AAF3DF9C566}">
            <xm:f>NOT(ISERROR(SEARCH($R$24,B464)))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B464 D464 F464 H464 J464 N464 L464</xm:sqref>
        </x14:conditionalFormatting>
        <x14:conditionalFormatting xmlns:xm="http://schemas.microsoft.com/office/excel/2006/main">
          <x14:cfRule type="containsText" priority="240" operator="containsText" id="{717B9CB7-15F1-49D1-A5E0-D5D794A6C12F}">
            <xm:f>NOT(ISERROR(SEARCH($R$39,B521)))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241" operator="containsText" id="{D3BE6F5D-780A-44E8-9FA2-308A37DCED7B}">
            <xm:f>NOT(ISERROR(SEARCH($R$23,B521)))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242" operator="containsText" id="{D52C7C0E-801B-43C1-B25F-B5803714BDFF}">
            <xm:f>NOT(ISERROR(SEARCH($R$36,B521)))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243" operator="containsText" id="{8AFC7074-25B7-4835-8EAE-D325FF2A9AF0}">
            <xm:f>NOT(ISERROR(SEARCH($R$21,B521)))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244" operator="containsText" id="{46E6AA42-4A48-4173-9B76-05F18B44F025}">
            <xm:f>NOT(ISERROR(SEARCH($R$50,B521)))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245" operator="containsText" id="{99BAEF1E-C70F-4EE7-A864-ECCEE9623085}">
            <xm:f>NOT(ISERROR(SEARCH($R$56,B521)))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46" operator="containsText" id="{C3EAFA02-3E5F-425A-97BD-99BAF1645C52}">
            <xm:f>NOT(ISERROR(SEARCH($R$34,B521)))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47" operator="containsText" id="{10F6E10E-B685-431C-BD4B-218AFA9C46A0}">
            <xm:f>NOT(ISERROR(SEARCH($R$20,B521)))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48" operator="containsText" id="{1341417F-88EB-4222-8967-766FE9B7C09D}">
            <xm:f>NOT(ISERROR(SEARCH($R$52,B521)))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49" operator="containsText" id="{AC90D7F6-5084-4C89-AB34-A553C2B437EE}">
            <xm:f>NOT(ISERROR(SEARCH($R$51,B521)))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50" operator="containsText" id="{1A059966-1602-4081-B283-0F87BA273207}">
            <xm:f>NOT(ISERROR(SEARCH($R$41,B521)))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51" operator="containsText" id="{640B09CC-D20A-4B61-A1DF-519347CD3940}">
            <xm:f>NOT(ISERROR(SEARCH($R$54,B521)))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52" operator="containsText" id="{145B1E67-0E3D-4FAA-9A37-9BED91F271D5}">
            <xm:f>NOT(ISERROR(SEARCH($R$53,B521)))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53" operator="containsText" id="{1EE09E92-073B-45A3-88FB-084C1DBC536E}">
            <xm:f>NOT(ISERROR(SEARCH($R$55,B521)))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255" operator="containsText" id="{9FA1F6F7-93C4-4069-B5B3-61296C5B57C4}">
            <xm:f>NOT(ISERROR(SEARCH($R$24,B521)))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B521 D521 F521 H521 J521 N521 L521</xm:sqref>
        </x14:conditionalFormatting>
        <x14:conditionalFormatting xmlns:xm="http://schemas.microsoft.com/office/excel/2006/main">
          <x14:cfRule type="containsText" priority="217" operator="containsText" id="{8977E382-138B-4F87-BCD6-FAD68DAD69A8}">
            <xm:f>NOT(ISERROR(SEARCH($R$39,B578)))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218" operator="containsText" id="{6F6CA458-EF8E-46A1-98C6-05C847BBE955}">
            <xm:f>NOT(ISERROR(SEARCH($R$23,B578)))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219" operator="containsText" id="{9C71D69E-D2C5-4C9F-BFA8-01F5B5E6C055}">
            <xm:f>NOT(ISERROR(SEARCH($R$36,B578)))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220" operator="containsText" id="{12CEB484-244E-4516-93FB-FE380026CE27}">
            <xm:f>NOT(ISERROR(SEARCH($R$21,B578)))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221" operator="containsText" id="{54112AD2-F875-4451-BB17-A6BFCBE1BB83}">
            <xm:f>NOT(ISERROR(SEARCH($R$50,B578)))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222" operator="containsText" id="{0A4F7888-9634-4CB8-8D46-D5B9C4A339A2}">
            <xm:f>NOT(ISERROR(SEARCH($R$56,B578)))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23" operator="containsText" id="{51E5F0CC-C55B-479E-B0F6-C0CF82507F32}">
            <xm:f>NOT(ISERROR(SEARCH($R$34,B578)))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24" operator="containsText" id="{5433D6AE-A5AD-46C8-967A-ACC0E168EF06}">
            <xm:f>NOT(ISERROR(SEARCH($R$20,B578)))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25" operator="containsText" id="{42319E91-B2ED-4FEB-88CE-7047AEE6F15E}">
            <xm:f>NOT(ISERROR(SEARCH($R$52,B578)))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26" operator="containsText" id="{BB1FF1B7-E7C6-4D89-9DA8-61BCAEF8F544}">
            <xm:f>NOT(ISERROR(SEARCH($R$51,B578)))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27" operator="containsText" id="{FBDBE5D8-DAE4-4B5F-BC55-05B0D6CD9539}">
            <xm:f>NOT(ISERROR(SEARCH($R$41,B578)))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28" operator="containsText" id="{CCCBC35B-7B6F-4F92-A0AE-F2E05225B2AE}">
            <xm:f>NOT(ISERROR(SEARCH($R$54,B578)))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29" operator="containsText" id="{C66AF936-2BA2-42D6-A0F5-169BB96180B3}">
            <xm:f>NOT(ISERROR(SEARCH($R$53,B578)))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30" operator="containsText" id="{E82713EF-9E91-47F1-BC1C-95CE2F98B612}">
            <xm:f>NOT(ISERROR(SEARCH($R$55,B578)))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232" operator="containsText" id="{D20FAF0D-9432-45D4-A85E-9DFC55B79CEA}">
            <xm:f>NOT(ISERROR(SEARCH($R$24,B578)))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B578 D578 F578 H578 J578 N578 L578</xm:sqref>
        </x14:conditionalFormatting>
        <x14:conditionalFormatting xmlns:xm="http://schemas.microsoft.com/office/excel/2006/main">
          <x14:cfRule type="containsText" priority="194" operator="containsText" id="{B75DC295-5F0D-48F4-8A11-4634E9B33D67}">
            <xm:f>NOT(ISERROR(SEARCH($R$39,B635)))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195" operator="containsText" id="{1B3816D8-5094-412D-831E-D00486C1CE7A}">
            <xm:f>NOT(ISERROR(SEARCH($R$23,B635)))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196" operator="containsText" id="{0190A143-E850-4B6C-8759-805902050903}">
            <xm:f>NOT(ISERROR(SEARCH($R$36,B635)))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197" operator="containsText" id="{83820D10-9351-41ED-B3D1-A84D74AFD32B}">
            <xm:f>NOT(ISERROR(SEARCH($R$21,B635)))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198" operator="containsText" id="{BBFF8660-F591-436A-854F-8219389CE38D}">
            <xm:f>NOT(ISERROR(SEARCH($R$50,B635)))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199" operator="containsText" id="{8BBB95DC-153C-4C4D-9F18-F5710518D086}">
            <xm:f>NOT(ISERROR(SEARCH($R$56,B635)))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200" operator="containsText" id="{2F33BA0E-DA28-4E89-B0B9-A6F9F28466AA}">
            <xm:f>NOT(ISERROR(SEARCH($R$34,B635)))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201" operator="containsText" id="{3CBEFEE7-62AB-4A39-9317-42486551466C}">
            <xm:f>NOT(ISERROR(SEARCH($R$20,B635)))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202" operator="containsText" id="{7FEE7A29-D7EF-4254-A049-DCAB462D8A42}">
            <xm:f>NOT(ISERROR(SEARCH($R$52,B635)))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203" operator="containsText" id="{9EC6D00D-03DE-468A-9A30-A84E7EFD7547}">
            <xm:f>NOT(ISERROR(SEARCH($R$51,B635)))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204" operator="containsText" id="{8398FDF5-CA98-4FE1-A1EE-B7D2F94F3ED8}">
            <xm:f>NOT(ISERROR(SEARCH($R$41,B635)))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205" operator="containsText" id="{1E306D4E-3AB8-4409-BE55-B7861083CE8E}">
            <xm:f>NOT(ISERROR(SEARCH($R$54,B635)))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206" operator="containsText" id="{55EC6954-D3A0-4287-AB55-27626638AF5D}">
            <xm:f>NOT(ISERROR(SEARCH($R$53,B635)))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207" operator="containsText" id="{F53DB711-B1B2-4F67-B0D9-2BA1D9E17246}">
            <xm:f>NOT(ISERROR(SEARCH($R$55,B635)))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209" operator="containsText" id="{DBE5ABD7-4D6C-4A2E-8515-DBFF37E68E59}">
            <xm:f>NOT(ISERROR(SEARCH($R$24,B635)))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B635 D635 F635 H635 J635 N635 L635</xm:sqref>
        </x14:conditionalFormatting>
        <x14:conditionalFormatting xmlns:xm="http://schemas.microsoft.com/office/excel/2006/main">
          <x14:cfRule type="containsText" priority="171" operator="containsText" id="{B967A3F2-0972-4D98-AE5F-62BE79862420}">
            <xm:f>NOT(ISERROR(SEARCH($R$39,B692)))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172" operator="containsText" id="{3FF79A06-4CB5-4253-AB5D-C9BEC1F7C0DF}">
            <xm:f>NOT(ISERROR(SEARCH($R$23,B692)))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173" operator="containsText" id="{7EC9601D-6381-4CDC-8E50-1A2CFD21B761}">
            <xm:f>NOT(ISERROR(SEARCH($R$36,B692)))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174" operator="containsText" id="{E2ACFF51-F26C-4568-8EB4-E662D587D06A}">
            <xm:f>NOT(ISERROR(SEARCH($R$21,B692)))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175" operator="containsText" id="{1E993A42-6509-4950-9681-3F72387B02B5}">
            <xm:f>NOT(ISERROR(SEARCH($R$50,B692)))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176" operator="containsText" id="{88CFE7A6-B8ED-47F3-A1DC-9C947D17D8DB}">
            <xm:f>NOT(ISERROR(SEARCH($R$56,B692)))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177" operator="containsText" id="{E69FA126-87F4-447C-B8CD-9FFF6DBDCBBF}">
            <xm:f>NOT(ISERROR(SEARCH($R$34,B692)))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178" operator="containsText" id="{EE076D50-C4F9-40BD-B613-8672A779765C}">
            <xm:f>NOT(ISERROR(SEARCH($R$20,B692)))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179" operator="containsText" id="{6CCC48EE-09D6-40B7-AEC1-6D9648C5D863}">
            <xm:f>NOT(ISERROR(SEARCH($R$52,B692)))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180" operator="containsText" id="{6307A5D2-094A-456D-9767-DD60533913E9}">
            <xm:f>NOT(ISERROR(SEARCH($R$51,B692)))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181" operator="containsText" id="{46ECCAE4-8DBE-4FE1-8670-9AAB1A940B8C}">
            <xm:f>NOT(ISERROR(SEARCH($R$41,B692)))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182" operator="containsText" id="{7B4040BC-2608-47C3-899A-93BFE982DA3F}">
            <xm:f>NOT(ISERROR(SEARCH($R$54,B692)))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183" operator="containsText" id="{1068B9CC-597B-46E5-B1A5-4ABBA4314738}">
            <xm:f>NOT(ISERROR(SEARCH($R$53,B692)))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184" operator="containsText" id="{1CB2DE2C-3895-48A4-9EC3-1B7CD2E842CF}">
            <xm:f>NOT(ISERROR(SEARCH($R$55,B692)))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186" operator="containsText" id="{DB8F8E3D-88B3-480E-A55B-5776357C5549}">
            <xm:f>NOT(ISERROR(SEARCH($R$24,B692)))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B692 D692 F692 H692 J692 N692 L692</xm:sqref>
        </x14:conditionalFormatting>
        <x14:conditionalFormatting xmlns:xm="http://schemas.microsoft.com/office/excel/2006/main">
          <x14:cfRule type="containsText" priority="148" operator="containsText" id="{85747DA7-550F-419C-BFF4-112C0CC8ED88}">
            <xm:f>NOT(ISERROR(SEARCH($R$39,B749)))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149" operator="containsText" id="{C66C0CA5-5539-43C5-8159-9EFD22179C84}">
            <xm:f>NOT(ISERROR(SEARCH($R$23,B749)))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150" operator="containsText" id="{185352B5-B262-4B71-85E2-F3F66F26FB97}">
            <xm:f>NOT(ISERROR(SEARCH($R$36,B749)))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151" operator="containsText" id="{46FD2B01-D23B-4693-A398-E9BB3CCA0016}">
            <xm:f>NOT(ISERROR(SEARCH($R$21,B749)))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152" operator="containsText" id="{12C3F709-8B93-46BC-BA92-6F111DF1390E}">
            <xm:f>NOT(ISERROR(SEARCH($R$50,B749)))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153" operator="containsText" id="{50EDA7C9-732F-427D-BEE2-D31DD7CB2F42}">
            <xm:f>NOT(ISERROR(SEARCH($R$56,B749)))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154" operator="containsText" id="{71B1FD61-5D9C-411E-92F0-A68B45938874}">
            <xm:f>NOT(ISERROR(SEARCH($R$34,B749)))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155" operator="containsText" id="{53C5EFA5-F246-4899-9605-5B9572E5AF53}">
            <xm:f>NOT(ISERROR(SEARCH($R$20,B749)))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156" operator="containsText" id="{BD658422-D55E-433A-8A3E-D9E96CDBDAF8}">
            <xm:f>NOT(ISERROR(SEARCH($R$52,B749)))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157" operator="containsText" id="{ADA889D9-C225-475D-9DFC-BAC936E89E50}">
            <xm:f>NOT(ISERROR(SEARCH($R$51,B749)))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158" operator="containsText" id="{FF9493E2-5F9C-4024-BD5C-CA8ED51E70FB}">
            <xm:f>NOT(ISERROR(SEARCH($R$41,B749)))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159" operator="containsText" id="{E100F7D3-5FEA-4682-AD51-3B0EC648CA5A}">
            <xm:f>NOT(ISERROR(SEARCH($R$54,B749)))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160" operator="containsText" id="{0DDC824C-0418-4B90-AB1B-6A4E873C3C2F}">
            <xm:f>NOT(ISERROR(SEARCH($R$53,B749)))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161" operator="containsText" id="{DB422B06-F6DC-4ACC-A0D3-FFB612DCD6B9}">
            <xm:f>NOT(ISERROR(SEARCH($R$55,B749)))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163" operator="containsText" id="{642D605C-9B0C-446C-BE1D-A0BF06D8F917}">
            <xm:f>NOT(ISERROR(SEARCH($R$24,B749)))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B749 D749 F749 H749 J749 N749 L749</xm:sqref>
        </x14:conditionalFormatting>
        <x14:conditionalFormatting xmlns:xm="http://schemas.microsoft.com/office/excel/2006/main">
          <x14:cfRule type="containsText" priority="125" operator="containsText" id="{01E254B0-2F6C-4D8F-9A08-EBB06AA53C2B}">
            <xm:f>NOT(ISERROR(SEARCH($R$39,B806)))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126" operator="containsText" id="{C95C047E-BD02-45D8-8791-4D00F91E0020}">
            <xm:f>NOT(ISERROR(SEARCH($R$23,B806)))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127" operator="containsText" id="{B71386D7-74B3-4752-AB6A-D0FC7324148E}">
            <xm:f>NOT(ISERROR(SEARCH($R$36,B806)))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128" operator="containsText" id="{82759C5E-69CE-4BBE-9CD8-DDC162AC737E}">
            <xm:f>NOT(ISERROR(SEARCH($R$21,B806)))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129" operator="containsText" id="{E779046E-C018-435A-B16F-7E17FA56A5E1}">
            <xm:f>NOT(ISERROR(SEARCH($R$50,B806)))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130" operator="containsText" id="{83BBF167-8BB6-4A2C-BD73-F92E045B9F13}">
            <xm:f>NOT(ISERROR(SEARCH($R$56,B806)))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131" operator="containsText" id="{3ADF2A0E-B879-48E1-8E04-D66FA8893E1F}">
            <xm:f>NOT(ISERROR(SEARCH($R$34,B806)))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132" operator="containsText" id="{EAED7664-FD74-4077-AB42-9776BB8E905B}">
            <xm:f>NOT(ISERROR(SEARCH($R$20,B806)))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133" operator="containsText" id="{674C94A9-25BD-41BB-B5A2-6F8B3CC9E35A}">
            <xm:f>NOT(ISERROR(SEARCH($R$52,B806)))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134" operator="containsText" id="{7E54374B-95F0-4413-A210-0D6C2BFA732C}">
            <xm:f>NOT(ISERROR(SEARCH($R$51,B806)))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135" operator="containsText" id="{C9E2B766-C078-457D-9418-CE3903B5AC4B}">
            <xm:f>NOT(ISERROR(SEARCH($R$41,B806)))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136" operator="containsText" id="{66751553-9FCE-43DD-9E34-6639508155B8}">
            <xm:f>NOT(ISERROR(SEARCH($R$54,B806)))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137" operator="containsText" id="{50FA5389-DEF0-40C4-85DB-7D692FA1ACD6}">
            <xm:f>NOT(ISERROR(SEARCH($R$53,B806)))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138" operator="containsText" id="{F7326704-66B3-44F0-9FDA-B6D2F73C1B88}">
            <xm:f>NOT(ISERROR(SEARCH($R$55,B806)))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140" operator="containsText" id="{7277E000-D788-48E5-B728-E9EC76C9191A}">
            <xm:f>NOT(ISERROR(SEARCH($R$24,B806)))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B806 D806 F806 H806 J806 N806 L806</xm:sqref>
        </x14:conditionalFormatting>
        <x14:conditionalFormatting xmlns:xm="http://schemas.microsoft.com/office/excel/2006/main">
          <x14:cfRule type="containsText" priority="102" operator="containsText" id="{816FDDD5-F490-4EF4-BE09-9ADCC0F865CA}">
            <xm:f>NOT(ISERROR(SEARCH($R$39,B863)))</xm:f>
            <xm:f>$R$39</xm:f>
            <x14:dxf>
              <fill>
                <patternFill>
                  <bgColor rgb="FF87CECD"/>
                </patternFill>
              </fill>
            </x14:dxf>
          </x14:cfRule>
          <x14:cfRule type="containsText" priority="103" operator="containsText" id="{A1322799-3715-4057-A5A0-7BF3B1C84EC4}">
            <xm:f>NOT(ISERROR(SEARCH($R$23,B863)))</xm:f>
            <xm:f>$R$23</xm:f>
            <x14:dxf>
              <fill>
                <patternFill>
                  <bgColor rgb="FFA8FFFF"/>
                </patternFill>
              </fill>
            </x14:dxf>
          </x14:cfRule>
          <x14:cfRule type="containsText" priority="104" operator="containsText" id="{1DE9C89B-CD8C-4F72-BAD1-857B3B8E0263}">
            <xm:f>NOT(ISERROR(SEARCH($R$36,B863)))</xm:f>
            <xm:f>$R$36</xm:f>
            <x14:dxf>
              <fill>
                <patternFill>
                  <bgColor rgb="FF00FFFF"/>
                </patternFill>
              </fill>
            </x14:dxf>
          </x14:cfRule>
          <x14:cfRule type="containsText" priority="105" operator="containsText" id="{EFF0F100-CE25-44E9-988F-9213B0ADDAEB}">
            <xm:f>NOT(ISERROR(SEARCH($R$21,B863)))</xm:f>
            <xm:f>$R$21</xm:f>
            <x14:dxf>
              <fill>
                <patternFill>
                  <bgColor rgb="FFA8D4FF"/>
                </patternFill>
              </fill>
            </x14:dxf>
          </x14:cfRule>
          <x14:cfRule type="containsText" priority="106" operator="containsText" id="{E6E6B5A9-6F33-4C3E-B22C-DFF5D95429CB}">
            <xm:f>NOT(ISERROR(SEARCH($R$50,B863)))</xm:f>
            <xm:f>$R$50</xm:f>
            <x14:dxf>
              <fill>
                <patternFill>
                  <bgColor rgb="FFFFC9FF"/>
                </patternFill>
              </fill>
            </x14:dxf>
          </x14:cfRule>
          <x14:cfRule type="containsText" priority="107" operator="containsText" id="{DDA47B97-485C-4A14-857B-50909232E62E}">
            <xm:f>NOT(ISERROR(SEARCH($R$56,B863)))</xm:f>
            <xm:f>$R$56</xm:f>
            <x14:dxf>
              <fill>
                <patternFill>
                  <bgColor rgb="FFFFFFB3"/>
                </patternFill>
              </fill>
            </x14:dxf>
          </x14:cfRule>
          <x14:cfRule type="containsText" priority="108" operator="containsText" id="{DCE40AA4-42D0-4BEF-B692-24D173425A7D}">
            <xm:f>NOT(ISERROR(SEARCH($R$34,B863)))</xm:f>
            <xm:f>$R$34</xm:f>
            <x14:dxf>
              <fill>
                <patternFill>
                  <bgColor rgb="FFD8CFE3"/>
                </patternFill>
              </fill>
            </x14:dxf>
          </x14:cfRule>
          <x14:cfRule type="containsText" priority="109" operator="containsText" id="{8A6DCB2B-1BA9-4DBF-B7E9-344AC0C07BFD}">
            <xm:f>NOT(ISERROR(SEARCH($R$20,B863)))</xm:f>
            <xm:f>$R$20</xm:f>
            <x14:dxf>
              <fill>
                <patternFill>
                  <bgColor rgb="FFEDCCCB"/>
                </patternFill>
              </fill>
            </x14:dxf>
          </x14:cfRule>
          <x14:cfRule type="containsText" priority="110" operator="containsText" id="{94D553B3-0F9F-40E7-9CDC-00C54C498B06}">
            <xm:f>NOT(ISERROR(SEARCH($R$52,B863)))</xm:f>
            <xm:f>$R$52</xm:f>
            <x14:dxf>
              <fill>
                <patternFill>
                  <bgColor rgb="FFBDBDFF"/>
                </patternFill>
              </fill>
            </x14:dxf>
          </x14:cfRule>
          <x14:cfRule type="containsText" priority="111" operator="containsText" id="{D6EE6F84-E863-425D-8593-82EDC899011B}">
            <xm:f>NOT(ISERROR(SEARCH($R$51,B863)))</xm:f>
            <xm:f>$R$51</xm:f>
            <x14:dxf>
              <fill>
                <patternFill>
                  <bgColor rgb="FFFFBEAF"/>
                </patternFill>
              </fill>
            </x14:dxf>
          </x14:cfRule>
          <x14:cfRule type="containsText" priority="112" operator="containsText" id="{AD2E84AA-E421-4873-81F5-9792D4272467}">
            <xm:f>NOT(ISERROR(SEARCH($R$41,B863)))</xm:f>
            <xm:f>$R$41</xm:f>
            <x14:dxf>
              <fill>
                <patternFill>
                  <bgColor rgb="FFB7DEE8"/>
                </patternFill>
              </fill>
            </x14:dxf>
          </x14:cfRule>
          <x14:cfRule type="containsText" priority="113" operator="containsText" id="{2D17F5E3-E4FC-4CD1-B859-8B5E32962571}">
            <xm:f>NOT(ISERROR(SEARCH($R$54,B863)))</xm:f>
            <xm:f>$R$54</xm:f>
            <x14:dxf>
              <fill>
                <patternFill>
                  <bgColor rgb="FFD8E4BC"/>
                </patternFill>
              </fill>
            </x14:dxf>
          </x14:cfRule>
          <x14:cfRule type="containsText" priority="114" operator="containsText" id="{3D98792A-E563-4799-98D9-2D7D56373EBB}">
            <xm:f>NOT(ISERROR(SEARCH($R$53,B863)))</xm:f>
            <xm:f>$R$53</xm:f>
            <x14:dxf>
              <fill>
                <patternFill>
                  <bgColor rgb="FFFCD5B4"/>
                </patternFill>
              </fill>
            </x14:dxf>
          </x14:cfRule>
          <x14:cfRule type="containsText" priority="115" operator="containsText" id="{E8AC6696-3C36-444F-902D-F84C224D9429}">
            <xm:f>NOT(ISERROR(SEARCH($R$55,B863)))</xm:f>
            <xm:f>$R$55</xm:f>
            <x14:dxf>
              <fill>
                <patternFill>
                  <bgColor rgb="FFBFBFBF"/>
                </patternFill>
              </fill>
            </x14:dxf>
          </x14:cfRule>
          <x14:cfRule type="containsText" priority="117" operator="containsText" id="{A6B8F52C-90D4-4BE5-8A8A-371C848E67FC}">
            <xm:f>NOT(ISERROR(SEARCH($R$24,B863)))</xm:f>
            <xm:f>$R$24</xm:f>
            <x14:dxf>
              <fill>
                <patternFill>
                  <bgColor rgb="FFAFEEEE"/>
                </patternFill>
              </fill>
            </x14:dxf>
          </x14:cfRule>
          <xm:sqref>B863 D863 F863 H863 J863 N863 L863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78"/>
  <sheetViews>
    <sheetView showGridLines="0" topLeftCell="B1" zoomScaleNormal="100" workbookViewId="0">
      <pane ySplit="6" topLeftCell="A7" activePane="bottomLeft" state="frozen"/>
      <selection activeCell="B1" sqref="B1"/>
      <selection pane="bottomLeft" activeCell="N13" sqref="N13"/>
    </sheetView>
  </sheetViews>
  <sheetFormatPr defaultColWidth="0" defaultRowHeight="14.4" zeroHeight="1" x14ac:dyDescent="0.3"/>
  <cols>
    <col min="1" max="1" width="21" style="4" hidden="1" customWidth="1"/>
    <col min="2" max="5" width="12.44140625" style="1" customWidth="1"/>
    <col min="6" max="6" width="0" style="1" hidden="1" customWidth="1"/>
    <col min="7" max="10" width="12.44140625" style="1" customWidth="1"/>
    <col min="11" max="11" width="0" style="1" hidden="1" customWidth="1"/>
    <col min="12" max="15" width="12.44140625" style="1" customWidth="1"/>
    <col min="16" max="16" width="0" style="1" hidden="1" customWidth="1"/>
    <col min="17" max="20" width="12.44140625" style="1" customWidth="1"/>
    <col min="21" max="21" width="0" style="1" hidden="1" customWidth="1"/>
    <col min="22" max="25" width="12.44140625" style="1" customWidth="1"/>
    <col min="26" max="26" width="0" style="1" hidden="1" customWidth="1"/>
    <col min="27" max="30" width="12.44140625" style="1" customWidth="1"/>
    <col min="31" max="31" width="0" style="1" hidden="1" customWidth="1"/>
    <col min="32" max="16384" width="12.44140625" style="1" hidden="1"/>
  </cols>
  <sheetData>
    <row r="1" spans="1:31" x14ac:dyDescent="0.3"/>
    <row r="2" spans="1:31" x14ac:dyDescent="0.3">
      <c r="L2" s="335" t="s">
        <v>222</v>
      </c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</row>
    <row r="3" spans="1:31" ht="40.5" customHeight="1" thickBot="1" x14ac:dyDescent="0.35"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</row>
    <row r="4" spans="1:31" s="214" customFormat="1" ht="31.5" customHeight="1" thickTop="1" thickBot="1" x14ac:dyDescent="0.45">
      <c r="A4" s="211"/>
      <c r="B4" s="339" t="str">
        <f>'INFO BASE'!D40</f>
        <v>FP</v>
      </c>
      <c r="C4" s="340"/>
      <c r="D4" s="340"/>
      <c r="E4" s="340"/>
      <c r="F4" s="212"/>
      <c r="G4" s="341" t="str">
        <f>'INFO BASE'!E40</f>
        <v>IEI</v>
      </c>
      <c r="H4" s="340"/>
      <c r="I4" s="340"/>
      <c r="J4" s="340"/>
      <c r="K4" s="212"/>
      <c r="L4" s="341" t="str">
        <f>'INFO BASE'!F40</f>
        <v>IAC</v>
      </c>
      <c r="M4" s="340"/>
      <c r="N4" s="340"/>
      <c r="O4" s="340"/>
      <c r="P4" s="212"/>
      <c r="Q4" s="341" t="str">
        <f>'INFO BASE'!G40</f>
        <v>AL</v>
      </c>
      <c r="R4" s="340"/>
      <c r="S4" s="340"/>
      <c r="T4" s="340"/>
      <c r="U4" s="212"/>
      <c r="V4" s="341" t="str">
        <f>'INFO BASE'!H40</f>
        <v>CDI</v>
      </c>
      <c r="W4" s="340"/>
      <c r="X4" s="340"/>
      <c r="Y4" s="340"/>
      <c r="Z4" s="212"/>
      <c r="AA4" s="341" t="str">
        <f>'INFO BASE'!I40</f>
        <v/>
      </c>
      <c r="AB4" s="340"/>
      <c r="AC4" s="340"/>
      <c r="AD4" s="342"/>
      <c r="AE4" s="213"/>
    </row>
    <row r="5" spans="1:31" s="218" customFormat="1" ht="19.5" customHeight="1" thickBot="1" x14ac:dyDescent="0.35">
      <c r="A5" s="215"/>
      <c r="B5" s="343" t="str">
        <f>CONCATENATE("Nota atual ",SUM(F7:F36)," valores")</f>
        <v>Nota atual 0 valores</v>
      </c>
      <c r="C5" s="344"/>
      <c r="D5" s="344"/>
      <c r="E5" s="344"/>
      <c r="F5" s="216"/>
      <c r="G5" s="337" t="str">
        <f>CONCATENATE("Nota atual ",SUM(K7:K36)," valores")</f>
        <v>Nota atual 0 valores</v>
      </c>
      <c r="H5" s="337"/>
      <c r="I5" s="337"/>
      <c r="J5" s="337"/>
      <c r="K5" s="216"/>
      <c r="L5" s="337" t="str">
        <f>CONCATENATE("Nota atual ",SUM(P7:P36)," valores")</f>
        <v>Nota atual 0 valores</v>
      </c>
      <c r="M5" s="337"/>
      <c r="N5" s="337"/>
      <c r="O5" s="337"/>
      <c r="P5" s="216"/>
      <c r="Q5" s="337" t="str">
        <f>CONCATENATE("Nota atual ",SUM(U7:U36)," valores")</f>
        <v>Nota atual 0 valores</v>
      </c>
      <c r="R5" s="337"/>
      <c r="S5" s="337"/>
      <c r="T5" s="337"/>
      <c r="U5" s="216"/>
      <c r="V5" s="337" t="str">
        <f>CONCATENATE("Nota atual ",SUM(Z7:Z36)," valores")</f>
        <v>Nota atual 0 valores</v>
      </c>
      <c r="W5" s="337"/>
      <c r="X5" s="337"/>
      <c r="Y5" s="337"/>
      <c r="Z5" s="216"/>
      <c r="AA5" s="337" t="str">
        <f>CONCATENATE("Nota atual ",SUM(AE7:AE36)," valores")</f>
        <v>Nota atual 0 valores</v>
      </c>
      <c r="AB5" s="337"/>
      <c r="AC5" s="337"/>
      <c r="AD5" s="338"/>
      <c r="AE5" s="217"/>
    </row>
    <row r="6" spans="1:31" s="224" customFormat="1" ht="35.25" customHeight="1" thickTop="1" thickBot="1" x14ac:dyDescent="0.35">
      <c r="A6" s="205"/>
      <c r="B6" s="219" t="s">
        <v>199</v>
      </c>
      <c r="C6" s="220" t="s">
        <v>200</v>
      </c>
      <c r="D6" s="220" t="s">
        <v>217</v>
      </c>
      <c r="E6" s="221" t="s">
        <v>218</v>
      </c>
      <c r="F6" s="222"/>
      <c r="G6" s="219" t="s">
        <v>199</v>
      </c>
      <c r="H6" s="220" t="s">
        <v>200</v>
      </c>
      <c r="I6" s="220" t="s">
        <v>217</v>
      </c>
      <c r="J6" s="221" t="s">
        <v>218</v>
      </c>
      <c r="K6" s="222"/>
      <c r="L6" s="219" t="s">
        <v>199</v>
      </c>
      <c r="M6" s="220" t="s">
        <v>200</v>
      </c>
      <c r="N6" s="220" t="s">
        <v>217</v>
      </c>
      <c r="O6" s="221" t="s">
        <v>218</v>
      </c>
      <c r="P6" s="222"/>
      <c r="Q6" s="219" t="s">
        <v>199</v>
      </c>
      <c r="R6" s="220" t="s">
        <v>200</v>
      </c>
      <c r="S6" s="220" t="s">
        <v>217</v>
      </c>
      <c r="T6" s="221" t="s">
        <v>218</v>
      </c>
      <c r="U6" s="222"/>
      <c r="V6" s="219" t="s">
        <v>199</v>
      </c>
      <c r="W6" s="220" t="s">
        <v>200</v>
      </c>
      <c r="X6" s="220" t="s">
        <v>217</v>
      </c>
      <c r="Y6" s="221" t="s">
        <v>218</v>
      </c>
      <c r="Z6" s="222"/>
      <c r="AA6" s="219" t="s">
        <v>199</v>
      </c>
      <c r="AB6" s="220" t="s">
        <v>200</v>
      </c>
      <c r="AC6" s="220" t="s">
        <v>217</v>
      </c>
      <c r="AD6" s="221" t="s">
        <v>218</v>
      </c>
      <c r="AE6" s="223"/>
    </row>
    <row r="7" spans="1:31" ht="15" thickTop="1" x14ac:dyDescent="0.3">
      <c r="A7" s="205">
        <v>1</v>
      </c>
      <c r="B7" s="225" t="str">
        <f>IFERROR(VLOOKUP(A7,'INFO BASE'!$Q$66:$AC$97,13,0),"")</f>
        <v/>
      </c>
      <c r="C7" s="226" t="str">
        <f>IFERROR(VLOOKUP(A7,'INFO BASE'!$Q$66:$AB$97,2,0),"")</f>
        <v/>
      </c>
      <c r="D7" s="227"/>
      <c r="E7" s="228"/>
      <c r="F7" s="229">
        <f>D7*E7</f>
        <v>0</v>
      </c>
      <c r="G7" s="225" t="str">
        <f>IFERROR(VLOOKUP(A7,'INFO BASE'!$S$66:$AC$97,11,0),"")</f>
        <v/>
      </c>
      <c r="H7" s="226" t="str">
        <f>IFERROR(VLOOKUP(A7,'INFO BASE'!$S$66:$AB$97,2,0),"")</f>
        <v/>
      </c>
      <c r="I7" s="230"/>
      <c r="J7" s="228"/>
      <c r="K7" s="229">
        <f>I7*J7</f>
        <v>0</v>
      </c>
      <c r="L7" s="225" t="str">
        <f>IFERROR(VLOOKUP(A7,'INFO BASE'!$U$66:$AC$97,9,0),"")</f>
        <v>Teste 1</v>
      </c>
      <c r="M7" s="226">
        <f>IFERROR(VLOOKUP(A7,'INFO BASE'!$U$66:$AB$97,2,0),"")</f>
        <v>42306</v>
      </c>
      <c r="N7" s="230"/>
      <c r="O7" s="228"/>
      <c r="P7" s="229">
        <f>N7*O7</f>
        <v>0</v>
      </c>
      <c r="Q7" s="225" t="str">
        <f>IFERROR(VLOOKUP(A7,'INFO BASE'!$W$66:$AC$97,7,0),"")</f>
        <v>Teste 1</v>
      </c>
      <c r="R7" s="226">
        <f>IFERROR(VLOOKUP(A7,'INFO BASE'!$W$66:$AB$97,2,0),"")</f>
        <v>42289</v>
      </c>
      <c r="S7" s="230"/>
      <c r="T7" s="228"/>
      <c r="U7" s="229">
        <f>S7*T7</f>
        <v>0</v>
      </c>
      <c r="V7" s="225" t="str">
        <f>IFERROR(VLOOKUP(A7,'INFO BASE'!$Y$66:$AC$97,5,0),"")</f>
        <v>Teste 1</v>
      </c>
      <c r="W7" s="226">
        <f>IFERROR(VLOOKUP(A7,'INFO BASE'!$Y$66:$AB$97,2,0),"")</f>
        <v>42315</v>
      </c>
      <c r="X7" s="230"/>
      <c r="Y7" s="228"/>
      <c r="Z7" s="229">
        <f>X7*Y7</f>
        <v>0</v>
      </c>
      <c r="AA7" s="225" t="str">
        <f>IFERROR(VLOOKUP(A7,'INFO BASE'!$AA$66:$AC$97,3,0),"")</f>
        <v/>
      </c>
      <c r="AB7" s="226" t="str">
        <f>IFERROR(VLOOKUP(A7,'INFO BASE'!$AA$66:$AB$97,2,0),"")</f>
        <v/>
      </c>
      <c r="AC7" s="230"/>
      <c r="AD7" s="228"/>
      <c r="AE7" s="231">
        <f>AC7*AD7</f>
        <v>0</v>
      </c>
    </row>
    <row r="8" spans="1:31" x14ac:dyDescent="0.3">
      <c r="A8" s="205">
        <v>2</v>
      </c>
      <c r="B8" s="232" t="str">
        <f>IFERROR(VLOOKUP(A8,'INFO BASE'!$Q$66:$AC$97,13,0),"")</f>
        <v/>
      </c>
      <c r="C8" s="233" t="str">
        <f>IFERROR(VLOOKUP(A8,'INFO BASE'!$Q$66:$AB$97,2,0),"")</f>
        <v/>
      </c>
      <c r="D8" s="234"/>
      <c r="E8" s="235"/>
      <c r="F8" s="229">
        <f t="shared" ref="F8:F36" si="0">D8*E8</f>
        <v>0</v>
      </c>
      <c r="G8" s="232" t="str">
        <f>IFERROR(VLOOKUP(A8,'INFO BASE'!$S$66:$AC$97,11,0),"")</f>
        <v/>
      </c>
      <c r="H8" s="233" t="str">
        <f>IFERROR(VLOOKUP(A8,'INFO BASE'!$S$66:$AB$97,2,0),"")</f>
        <v/>
      </c>
      <c r="I8" s="236"/>
      <c r="J8" s="235"/>
      <c r="K8" s="229">
        <f t="shared" ref="K8:K36" si="1">I8*J8</f>
        <v>0</v>
      </c>
      <c r="L8" s="232" t="str">
        <f>IFERROR(VLOOKUP(A8,'INFO BASE'!$U$66:$AC$97,9,0),"")</f>
        <v/>
      </c>
      <c r="M8" s="233" t="str">
        <f>IFERROR(VLOOKUP(A8,'INFO BASE'!$U$66:$AB$97,2,0),"")</f>
        <v/>
      </c>
      <c r="N8" s="236"/>
      <c r="O8" s="235"/>
      <c r="P8" s="229">
        <f t="shared" ref="P8:P36" si="2">N8*O8</f>
        <v>0</v>
      </c>
      <c r="Q8" s="232" t="str">
        <f>IFERROR(VLOOKUP(A8,'INFO BASE'!$W$66:$AC$97,7,0),"")</f>
        <v/>
      </c>
      <c r="R8" s="233" t="str">
        <f>IFERROR(VLOOKUP(A8,'INFO BASE'!$W$66:$AB$97,2,0),"")</f>
        <v/>
      </c>
      <c r="S8" s="236"/>
      <c r="T8" s="235"/>
      <c r="U8" s="229">
        <f t="shared" ref="U8:U36" si="3">S8*T8</f>
        <v>0</v>
      </c>
      <c r="V8" s="232" t="str">
        <f>IFERROR(VLOOKUP(A8,'INFO BASE'!$Y$66:$AC$97,5,0),"")</f>
        <v/>
      </c>
      <c r="W8" s="233" t="str">
        <f>IFERROR(VLOOKUP(A8,'INFO BASE'!$Y$66:$AB$97,2,0),"")</f>
        <v/>
      </c>
      <c r="X8" s="236"/>
      <c r="Y8" s="235"/>
      <c r="Z8" s="229">
        <f t="shared" ref="Z8:Z36" si="4">X8*Y8</f>
        <v>0</v>
      </c>
      <c r="AA8" s="232" t="str">
        <f>IFERROR(VLOOKUP(A8,'INFO BASE'!$AA$66:$AC$97,3,0),"")</f>
        <v/>
      </c>
      <c r="AB8" s="233" t="str">
        <f>IFERROR(VLOOKUP(A8,'INFO BASE'!$AA$66:$AB$97,2,0),"")</f>
        <v/>
      </c>
      <c r="AC8" s="236"/>
      <c r="AD8" s="235"/>
      <c r="AE8" s="231">
        <f t="shared" ref="AE8:AE36" si="5">AC8*AD8</f>
        <v>0</v>
      </c>
    </row>
    <row r="9" spans="1:31" x14ac:dyDescent="0.3">
      <c r="A9" s="205">
        <v>3</v>
      </c>
      <c r="B9" s="232" t="str">
        <f>IFERROR(VLOOKUP(A9,'INFO BASE'!$Q$66:$AC$97,13,0),"")</f>
        <v/>
      </c>
      <c r="C9" s="233" t="str">
        <f>IFERROR(VLOOKUP(A9,'INFO BASE'!$Q$66:$AB$97,2,0),"")</f>
        <v/>
      </c>
      <c r="D9" s="236"/>
      <c r="E9" s="235"/>
      <c r="F9" s="229">
        <f t="shared" si="0"/>
        <v>0</v>
      </c>
      <c r="G9" s="232" t="str">
        <f>IFERROR(VLOOKUP(A9,'INFO BASE'!$S$66:$AC$97,11,0),"")</f>
        <v/>
      </c>
      <c r="H9" s="233" t="str">
        <f>IFERROR(VLOOKUP(A9,'INFO BASE'!$S$66:$AB$97,2,0),"")</f>
        <v/>
      </c>
      <c r="I9" s="236"/>
      <c r="J9" s="235"/>
      <c r="K9" s="229">
        <f t="shared" si="1"/>
        <v>0</v>
      </c>
      <c r="L9" s="232" t="str">
        <f>IFERROR(VLOOKUP(A9,'INFO BASE'!$U$66:$AC$97,9,0),"")</f>
        <v/>
      </c>
      <c r="M9" s="233" t="str">
        <f>IFERROR(VLOOKUP(A9,'INFO BASE'!$U$66:$AB$97,2,0),"")</f>
        <v/>
      </c>
      <c r="N9" s="236"/>
      <c r="O9" s="235"/>
      <c r="P9" s="229">
        <f t="shared" si="2"/>
        <v>0</v>
      </c>
      <c r="Q9" s="232" t="str">
        <f>IFERROR(VLOOKUP(A9,'INFO BASE'!$W$66:$AC$97,7,0),"")</f>
        <v/>
      </c>
      <c r="R9" s="233" t="str">
        <f>IFERROR(VLOOKUP(A9,'INFO BASE'!$W$66:$AB$97,2,0),"")</f>
        <v/>
      </c>
      <c r="S9" s="236"/>
      <c r="T9" s="235"/>
      <c r="U9" s="229">
        <f t="shared" si="3"/>
        <v>0</v>
      </c>
      <c r="V9" s="232" t="str">
        <f>IFERROR(VLOOKUP(A9,'INFO BASE'!$Y$66:$AC$97,5,0),"")</f>
        <v/>
      </c>
      <c r="W9" s="233" t="str">
        <f>IFERROR(VLOOKUP(A9,'INFO BASE'!$Y$66:$AB$97,2,0),"")</f>
        <v/>
      </c>
      <c r="X9" s="236"/>
      <c r="Y9" s="235"/>
      <c r="Z9" s="229">
        <f t="shared" si="4"/>
        <v>0</v>
      </c>
      <c r="AA9" s="232" t="str">
        <f>IFERROR(VLOOKUP(A9,'INFO BASE'!$AA$66:$AC$97,3,0),"")</f>
        <v/>
      </c>
      <c r="AB9" s="233" t="str">
        <f>IFERROR(VLOOKUP(A9,'INFO BASE'!$AA$66:$AB$97,2,0),"")</f>
        <v/>
      </c>
      <c r="AC9" s="236"/>
      <c r="AD9" s="235"/>
      <c r="AE9" s="231">
        <f t="shared" si="5"/>
        <v>0</v>
      </c>
    </row>
    <row r="10" spans="1:31" x14ac:dyDescent="0.3">
      <c r="A10" s="205">
        <v>4</v>
      </c>
      <c r="B10" s="232" t="str">
        <f>IFERROR(VLOOKUP(A10,'INFO BASE'!$Q$66:$AC$97,13,0),"")</f>
        <v/>
      </c>
      <c r="C10" s="233" t="str">
        <f>IFERROR(VLOOKUP(A10,'INFO BASE'!$Q$66:$AB$97,2,0),"")</f>
        <v/>
      </c>
      <c r="D10" s="236"/>
      <c r="E10" s="235"/>
      <c r="F10" s="229">
        <f t="shared" si="0"/>
        <v>0</v>
      </c>
      <c r="G10" s="232" t="str">
        <f>IFERROR(VLOOKUP(A10,'INFO BASE'!$S$66:$AC$97,11,0),"")</f>
        <v/>
      </c>
      <c r="H10" s="233" t="str">
        <f>IFERROR(VLOOKUP(A10,'INFO BASE'!$S$66:$AB$97,2,0),"")</f>
        <v/>
      </c>
      <c r="I10" s="236"/>
      <c r="J10" s="235"/>
      <c r="K10" s="229">
        <f t="shared" si="1"/>
        <v>0</v>
      </c>
      <c r="L10" s="232" t="str">
        <f>IFERROR(VLOOKUP(A10,'INFO BASE'!$U$66:$AC$97,9,0),"")</f>
        <v/>
      </c>
      <c r="M10" s="233" t="str">
        <f>IFERROR(VLOOKUP(A10,'INFO BASE'!$U$66:$AB$97,2,0),"")</f>
        <v/>
      </c>
      <c r="N10" s="236"/>
      <c r="O10" s="235"/>
      <c r="P10" s="229">
        <f t="shared" si="2"/>
        <v>0</v>
      </c>
      <c r="Q10" s="232" t="str">
        <f>IFERROR(VLOOKUP(A10,'INFO BASE'!$W$66:$AC$97,7,0),"")</f>
        <v/>
      </c>
      <c r="R10" s="233" t="str">
        <f>IFERROR(VLOOKUP(A10,'INFO BASE'!$W$66:$AB$97,2,0),"")</f>
        <v/>
      </c>
      <c r="S10" s="236"/>
      <c r="T10" s="235"/>
      <c r="U10" s="229">
        <f t="shared" si="3"/>
        <v>0</v>
      </c>
      <c r="V10" s="232" t="str">
        <f>IFERROR(VLOOKUP(A10,'INFO BASE'!$Y$66:$AC$97,5,0),"")</f>
        <v/>
      </c>
      <c r="W10" s="233" t="str">
        <f>IFERROR(VLOOKUP(A10,'INFO BASE'!$Y$66:$AB$97,2,0),"")</f>
        <v/>
      </c>
      <c r="X10" s="236"/>
      <c r="Y10" s="235"/>
      <c r="Z10" s="229">
        <f t="shared" si="4"/>
        <v>0</v>
      </c>
      <c r="AA10" s="232" t="str">
        <f>IFERROR(VLOOKUP(A10,'INFO BASE'!$AA$66:$AC$97,3,0),"")</f>
        <v/>
      </c>
      <c r="AB10" s="233" t="str">
        <f>IFERROR(VLOOKUP(A10,'INFO BASE'!$AA$66:$AB$97,2,0),"")</f>
        <v/>
      </c>
      <c r="AC10" s="236"/>
      <c r="AD10" s="235"/>
      <c r="AE10" s="231">
        <f t="shared" si="5"/>
        <v>0</v>
      </c>
    </row>
    <row r="11" spans="1:31" x14ac:dyDescent="0.3">
      <c r="A11" s="205">
        <v>5</v>
      </c>
      <c r="B11" s="232" t="str">
        <f>IFERROR(VLOOKUP(A11,'INFO BASE'!$Q$66:$AC$97,13,0),"")</f>
        <v/>
      </c>
      <c r="C11" s="233" t="str">
        <f>IFERROR(VLOOKUP(A11,'INFO BASE'!$Q$66:$AB$97,2,0),"")</f>
        <v/>
      </c>
      <c r="D11" s="236"/>
      <c r="E11" s="235"/>
      <c r="F11" s="229">
        <f t="shared" si="0"/>
        <v>0</v>
      </c>
      <c r="G11" s="232" t="str">
        <f>IFERROR(VLOOKUP(A11,'INFO BASE'!$S$66:$AC$97,11,0),"")</f>
        <v/>
      </c>
      <c r="H11" s="233" t="str">
        <f>IFERROR(VLOOKUP(A11,'INFO BASE'!$S$66:$AB$97,2,0),"")</f>
        <v/>
      </c>
      <c r="I11" s="236"/>
      <c r="J11" s="235"/>
      <c r="K11" s="229">
        <f t="shared" si="1"/>
        <v>0</v>
      </c>
      <c r="L11" s="232" t="str">
        <f>IFERROR(VLOOKUP(A11,'INFO BASE'!$U$66:$AC$97,9,0),"")</f>
        <v/>
      </c>
      <c r="M11" s="233" t="str">
        <f>IFERROR(VLOOKUP(A11,'INFO BASE'!$U$66:$AB$97,2,0),"")</f>
        <v/>
      </c>
      <c r="N11" s="236"/>
      <c r="O11" s="235"/>
      <c r="P11" s="229">
        <f t="shared" si="2"/>
        <v>0</v>
      </c>
      <c r="Q11" s="232" t="str">
        <f>IFERROR(VLOOKUP(A11,'INFO BASE'!$W$66:$AC$97,7,0),"")</f>
        <v/>
      </c>
      <c r="R11" s="233" t="str">
        <f>IFERROR(VLOOKUP(A11,'INFO BASE'!$W$66:$AB$97,2,0),"")</f>
        <v/>
      </c>
      <c r="S11" s="236"/>
      <c r="T11" s="235"/>
      <c r="U11" s="229">
        <f t="shared" si="3"/>
        <v>0</v>
      </c>
      <c r="V11" s="232" t="str">
        <f>IFERROR(VLOOKUP(A11,'INFO BASE'!$Y$66:$AC$97,5,0),"")</f>
        <v/>
      </c>
      <c r="W11" s="233" t="str">
        <f>IFERROR(VLOOKUP(A11,'INFO BASE'!$Y$66:$AB$97,2,0),"")</f>
        <v/>
      </c>
      <c r="X11" s="236"/>
      <c r="Y11" s="235"/>
      <c r="Z11" s="229">
        <f t="shared" si="4"/>
        <v>0</v>
      </c>
      <c r="AA11" s="232" t="str">
        <f>IFERROR(VLOOKUP(A11,'INFO BASE'!$AA$66:$AC$97,3,0),"")</f>
        <v/>
      </c>
      <c r="AB11" s="233" t="str">
        <f>IFERROR(VLOOKUP(A11,'INFO BASE'!$AA$66:$AB$97,2,0),"")</f>
        <v/>
      </c>
      <c r="AC11" s="236"/>
      <c r="AD11" s="235"/>
      <c r="AE11" s="231">
        <f t="shared" si="5"/>
        <v>0</v>
      </c>
    </row>
    <row r="12" spans="1:31" x14ac:dyDescent="0.3">
      <c r="A12" s="205">
        <v>6</v>
      </c>
      <c r="B12" s="232" t="str">
        <f>IFERROR(VLOOKUP(A12,'INFO BASE'!$Q$66:$AC$97,13,0),"")</f>
        <v/>
      </c>
      <c r="C12" s="233" t="str">
        <f>IFERROR(VLOOKUP(A12,'INFO BASE'!$Q$66:$AB$97,2,0),"")</f>
        <v/>
      </c>
      <c r="D12" s="236"/>
      <c r="E12" s="235"/>
      <c r="F12" s="229">
        <f t="shared" si="0"/>
        <v>0</v>
      </c>
      <c r="G12" s="232" t="str">
        <f>IFERROR(VLOOKUP(A12,'INFO BASE'!$S$66:$AC$97,11,0),"")</f>
        <v/>
      </c>
      <c r="H12" s="233" t="str">
        <f>IFERROR(VLOOKUP(A12,'INFO BASE'!$S$66:$AB$97,2,0),"")</f>
        <v/>
      </c>
      <c r="I12" s="236"/>
      <c r="J12" s="235"/>
      <c r="K12" s="229">
        <f t="shared" si="1"/>
        <v>0</v>
      </c>
      <c r="L12" s="232" t="str">
        <f>IFERROR(VLOOKUP(A12,'INFO BASE'!$U$66:$AC$97,9,0),"")</f>
        <v/>
      </c>
      <c r="M12" s="233" t="str">
        <f>IFERROR(VLOOKUP(A12,'INFO BASE'!$U$66:$AB$97,2,0),"")</f>
        <v/>
      </c>
      <c r="N12" s="236"/>
      <c r="O12" s="235"/>
      <c r="P12" s="229">
        <f t="shared" si="2"/>
        <v>0</v>
      </c>
      <c r="Q12" s="232" t="str">
        <f>IFERROR(VLOOKUP(A12,'INFO BASE'!$W$66:$AC$97,7,0),"")</f>
        <v/>
      </c>
      <c r="R12" s="233" t="str">
        <f>IFERROR(VLOOKUP(A12,'INFO BASE'!$W$66:$AB$97,2,0),"")</f>
        <v/>
      </c>
      <c r="S12" s="236"/>
      <c r="T12" s="235"/>
      <c r="U12" s="229">
        <f t="shared" si="3"/>
        <v>0</v>
      </c>
      <c r="V12" s="232" t="str">
        <f>IFERROR(VLOOKUP(A12,'INFO BASE'!$Y$66:$AC$97,5,0),"")</f>
        <v/>
      </c>
      <c r="W12" s="233" t="str">
        <f>IFERROR(VLOOKUP(A12,'INFO BASE'!$Y$66:$AB$97,2,0),"")</f>
        <v/>
      </c>
      <c r="X12" s="236"/>
      <c r="Y12" s="235"/>
      <c r="Z12" s="229">
        <f t="shared" si="4"/>
        <v>0</v>
      </c>
      <c r="AA12" s="232" t="str">
        <f>IFERROR(VLOOKUP(A12,'INFO BASE'!$AA$66:$AC$97,3,0),"")</f>
        <v/>
      </c>
      <c r="AB12" s="233" t="str">
        <f>IFERROR(VLOOKUP(A12,'INFO BASE'!$AA$66:$AB$97,2,0),"")</f>
        <v/>
      </c>
      <c r="AC12" s="236"/>
      <c r="AD12" s="235"/>
      <c r="AE12" s="231">
        <f t="shared" si="5"/>
        <v>0</v>
      </c>
    </row>
    <row r="13" spans="1:31" x14ac:dyDescent="0.3">
      <c r="A13" s="205">
        <v>7</v>
      </c>
      <c r="B13" s="232" t="str">
        <f>IFERROR(VLOOKUP(A13,'INFO BASE'!$Q$66:$AC$97,13,0),"")</f>
        <v/>
      </c>
      <c r="C13" s="233" t="str">
        <f>IFERROR(VLOOKUP(A13,'INFO BASE'!$Q$66:$AB$97,2,0),"")</f>
        <v/>
      </c>
      <c r="D13" s="236"/>
      <c r="E13" s="235"/>
      <c r="F13" s="229">
        <f t="shared" si="0"/>
        <v>0</v>
      </c>
      <c r="G13" s="232" t="str">
        <f>IFERROR(VLOOKUP(A13,'INFO BASE'!$S$66:$AC$97,11,0),"")</f>
        <v/>
      </c>
      <c r="H13" s="233" t="str">
        <f>IFERROR(VLOOKUP(A13,'INFO BASE'!$S$66:$AB$97,2,0),"")</f>
        <v/>
      </c>
      <c r="I13" s="236"/>
      <c r="J13" s="235"/>
      <c r="K13" s="229">
        <f t="shared" si="1"/>
        <v>0</v>
      </c>
      <c r="L13" s="232" t="str">
        <f>IFERROR(VLOOKUP(A13,'INFO BASE'!$U$66:$AC$97,9,0),"")</f>
        <v/>
      </c>
      <c r="M13" s="233" t="str">
        <f>IFERROR(VLOOKUP(A13,'INFO BASE'!$U$66:$AB$97,2,0),"")</f>
        <v/>
      </c>
      <c r="N13" s="236"/>
      <c r="O13" s="235"/>
      <c r="P13" s="229">
        <f t="shared" si="2"/>
        <v>0</v>
      </c>
      <c r="Q13" s="232" t="str">
        <f>IFERROR(VLOOKUP(A13,'INFO BASE'!$W$66:$AC$97,7,0),"")</f>
        <v/>
      </c>
      <c r="R13" s="233" t="str">
        <f>IFERROR(VLOOKUP(A13,'INFO BASE'!$W$66:$AB$97,2,0),"")</f>
        <v/>
      </c>
      <c r="S13" s="236"/>
      <c r="T13" s="235"/>
      <c r="U13" s="229">
        <f t="shared" si="3"/>
        <v>0</v>
      </c>
      <c r="V13" s="232" t="str">
        <f>IFERROR(VLOOKUP(A13,'INFO BASE'!$Y$66:$AC$97,5,0),"")</f>
        <v/>
      </c>
      <c r="W13" s="233" t="str">
        <f>IFERROR(VLOOKUP(A13,'INFO BASE'!$Y$66:$AB$97,2,0),"")</f>
        <v/>
      </c>
      <c r="X13" s="236"/>
      <c r="Y13" s="235"/>
      <c r="Z13" s="229">
        <f t="shared" si="4"/>
        <v>0</v>
      </c>
      <c r="AA13" s="232" t="str">
        <f>IFERROR(VLOOKUP(A13,'INFO BASE'!$AA$66:$AC$97,3,0),"")</f>
        <v/>
      </c>
      <c r="AB13" s="233" t="str">
        <f>IFERROR(VLOOKUP(A13,'INFO BASE'!$AA$66:$AB$97,2,0),"")</f>
        <v/>
      </c>
      <c r="AC13" s="236"/>
      <c r="AD13" s="235"/>
      <c r="AE13" s="231">
        <f t="shared" si="5"/>
        <v>0</v>
      </c>
    </row>
    <row r="14" spans="1:31" x14ac:dyDescent="0.3">
      <c r="A14" s="205">
        <v>8</v>
      </c>
      <c r="B14" s="232" t="str">
        <f>IFERROR(VLOOKUP(A14,'INFO BASE'!$Q$66:$AC$97,13,0),"")</f>
        <v/>
      </c>
      <c r="C14" s="233" t="str">
        <f>IFERROR(VLOOKUP(A14,'INFO BASE'!$Q$66:$AB$97,2,0),"")</f>
        <v/>
      </c>
      <c r="D14" s="236"/>
      <c r="E14" s="235"/>
      <c r="F14" s="229">
        <f t="shared" si="0"/>
        <v>0</v>
      </c>
      <c r="G14" s="232" t="str">
        <f>IFERROR(VLOOKUP(A14,'INFO BASE'!$S$66:$AC$97,11,0),"")</f>
        <v/>
      </c>
      <c r="H14" s="233" t="str">
        <f>IFERROR(VLOOKUP(A14,'INFO BASE'!$S$66:$AB$97,2,0),"")</f>
        <v/>
      </c>
      <c r="I14" s="236"/>
      <c r="J14" s="235"/>
      <c r="K14" s="229">
        <f t="shared" si="1"/>
        <v>0</v>
      </c>
      <c r="L14" s="232" t="str">
        <f>IFERROR(VLOOKUP(A14,'INFO BASE'!$U$66:$AC$97,9,0),"")</f>
        <v/>
      </c>
      <c r="M14" s="233" t="str">
        <f>IFERROR(VLOOKUP(A14,'INFO BASE'!$U$66:$AB$97,2,0),"")</f>
        <v/>
      </c>
      <c r="N14" s="236"/>
      <c r="O14" s="235"/>
      <c r="P14" s="229">
        <f t="shared" si="2"/>
        <v>0</v>
      </c>
      <c r="Q14" s="232" t="str">
        <f>IFERROR(VLOOKUP(A14,'INFO BASE'!$W$66:$AC$97,7,0),"")</f>
        <v/>
      </c>
      <c r="R14" s="233" t="str">
        <f>IFERROR(VLOOKUP(A14,'INFO BASE'!$W$66:$AB$97,2,0),"")</f>
        <v/>
      </c>
      <c r="S14" s="236"/>
      <c r="T14" s="235"/>
      <c r="U14" s="229">
        <f t="shared" si="3"/>
        <v>0</v>
      </c>
      <c r="V14" s="232" t="str">
        <f>IFERROR(VLOOKUP(A14,'INFO BASE'!$Y$66:$AC$97,5,0),"")</f>
        <v/>
      </c>
      <c r="W14" s="233" t="str">
        <f>IFERROR(VLOOKUP(A14,'INFO BASE'!$Y$66:$AB$97,2,0),"")</f>
        <v/>
      </c>
      <c r="X14" s="236"/>
      <c r="Y14" s="235"/>
      <c r="Z14" s="229">
        <f t="shared" si="4"/>
        <v>0</v>
      </c>
      <c r="AA14" s="232" t="str">
        <f>IFERROR(VLOOKUP(A14,'INFO BASE'!$AA$66:$AC$97,3,0),"")</f>
        <v/>
      </c>
      <c r="AB14" s="233" t="str">
        <f>IFERROR(VLOOKUP(A14,'INFO BASE'!$AA$66:$AB$97,2,0),"")</f>
        <v/>
      </c>
      <c r="AC14" s="236"/>
      <c r="AD14" s="235"/>
      <c r="AE14" s="231">
        <f t="shared" si="5"/>
        <v>0</v>
      </c>
    </row>
    <row r="15" spans="1:31" x14ac:dyDescent="0.3">
      <c r="A15" s="205">
        <v>9</v>
      </c>
      <c r="B15" s="232" t="str">
        <f>IFERROR(VLOOKUP(A15,'INFO BASE'!$Q$66:$AC$97,13,0),"")</f>
        <v/>
      </c>
      <c r="C15" s="233" t="str">
        <f>IFERROR(VLOOKUP(A15,'INFO BASE'!$Q$66:$AB$97,2,0),"")</f>
        <v/>
      </c>
      <c r="D15" s="236"/>
      <c r="E15" s="235"/>
      <c r="F15" s="229">
        <f t="shared" si="0"/>
        <v>0</v>
      </c>
      <c r="G15" s="232" t="str">
        <f>IFERROR(VLOOKUP(A15,'INFO BASE'!$S$66:$AC$97,11,0),"")</f>
        <v/>
      </c>
      <c r="H15" s="233" t="str">
        <f>IFERROR(VLOOKUP(A15,'INFO BASE'!$S$66:$AB$97,2,0),"")</f>
        <v/>
      </c>
      <c r="I15" s="236"/>
      <c r="J15" s="235"/>
      <c r="K15" s="229">
        <f t="shared" si="1"/>
        <v>0</v>
      </c>
      <c r="L15" s="232" t="str">
        <f>IFERROR(VLOOKUP(A15,'INFO BASE'!$U$66:$AC$97,9,0),"")</f>
        <v/>
      </c>
      <c r="M15" s="233" t="str">
        <f>IFERROR(VLOOKUP(A15,'INFO BASE'!$U$66:$AB$97,2,0),"")</f>
        <v/>
      </c>
      <c r="N15" s="236"/>
      <c r="O15" s="235"/>
      <c r="P15" s="229">
        <f t="shared" si="2"/>
        <v>0</v>
      </c>
      <c r="Q15" s="232" t="str">
        <f>IFERROR(VLOOKUP(A15,'INFO BASE'!$W$66:$AC$97,7,0),"")</f>
        <v/>
      </c>
      <c r="R15" s="233" t="str">
        <f>IFERROR(VLOOKUP(A15,'INFO BASE'!$W$66:$AB$97,2,0),"")</f>
        <v/>
      </c>
      <c r="S15" s="236"/>
      <c r="T15" s="235"/>
      <c r="U15" s="229">
        <f t="shared" si="3"/>
        <v>0</v>
      </c>
      <c r="V15" s="232" t="str">
        <f>IFERROR(VLOOKUP(A15,'INFO BASE'!$Y$66:$AC$97,5,0),"")</f>
        <v/>
      </c>
      <c r="W15" s="233" t="str">
        <f>IFERROR(VLOOKUP(A15,'INFO BASE'!$Y$66:$AB$97,2,0),"")</f>
        <v/>
      </c>
      <c r="X15" s="236"/>
      <c r="Y15" s="235"/>
      <c r="Z15" s="229">
        <f t="shared" si="4"/>
        <v>0</v>
      </c>
      <c r="AA15" s="232" t="str">
        <f>IFERROR(VLOOKUP(A15,'INFO BASE'!$AA$66:$AC$97,3,0),"")</f>
        <v/>
      </c>
      <c r="AB15" s="233" t="str">
        <f>IFERROR(VLOOKUP(A15,'INFO BASE'!$AA$66:$AB$97,2,0),"")</f>
        <v/>
      </c>
      <c r="AC15" s="236"/>
      <c r="AD15" s="235"/>
      <c r="AE15" s="231">
        <f t="shared" si="5"/>
        <v>0</v>
      </c>
    </row>
    <row r="16" spans="1:31" x14ac:dyDescent="0.3">
      <c r="A16" s="205">
        <v>10</v>
      </c>
      <c r="B16" s="232" t="str">
        <f>IFERROR(VLOOKUP(A16,'INFO BASE'!$Q$66:$AC$97,13,0),"")</f>
        <v/>
      </c>
      <c r="C16" s="233" t="str">
        <f>IFERROR(VLOOKUP(A16,'INFO BASE'!$Q$66:$AB$97,2,0),"")</f>
        <v/>
      </c>
      <c r="D16" s="236"/>
      <c r="E16" s="235"/>
      <c r="F16" s="229">
        <f t="shared" si="0"/>
        <v>0</v>
      </c>
      <c r="G16" s="232" t="str">
        <f>IFERROR(VLOOKUP(A16,'INFO BASE'!$S$66:$AC$97,11,0),"")</f>
        <v/>
      </c>
      <c r="H16" s="233" t="str">
        <f>IFERROR(VLOOKUP(A16,'INFO BASE'!$S$66:$AB$97,2,0),"")</f>
        <v/>
      </c>
      <c r="I16" s="236"/>
      <c r="J16" s="235"/>
      <c r="K16" s="229">
        <f t="shared" si="1"/>
        <v>0</v>
      </c>
      <c r="L16" s="232" t="str">
        <f>IFERROR(VLOOKUP(A16,'INFO BASE'!$U$66:$AC$97,9,0),"")</f>
        <v/>
      </c>
      <c r="M16" s="233" t="str">
        <f>IFERROR(VLOOKUP(A16,'INFO BASE'!$U$66:$AB$97,2,0),"")</f>
        <v/>
      </c>
      <c r="N16" s="236"/>
      <c r="O16" s="235"/>
      <c r="P16" s="229">
        <f t="shared" si="2"/>
        <v>0</v>
      </c>
      <c r="Q16" s="232" t="str">
        <f>IFERROR(VLOOKUP(A16,'INFO BASE'!$W$66:$AC$97,7,0),"")</f>
        <v/>
      </c>
      <c r="R16" s="233" t="str">
        <f>IFERROR(VLOOKUP(A16,'INFO BASE'!$W$66:$AB$97,2,0),"")</f>
        <v/>
      </c>
      <c r="S16" s="236"/>
      <c r="T16" s="235"/>
      <c r="U16" s="229">
        <f t="shared" si="3"/>
        <v>0</v>
      </c>
      <c r="V16" s="232" t="str">
        <f>IFERROR(VLOOKUP(A16,'INFO BASE'!$Y$66:$AC$97,5,0),"")</f>
        <v/>
      </c>
      <c r="W16" s="233" t="str">
        <f>IFERROR(VLOOKUP(A16,'INFO BASE'!$Y$66:$AB$97,2,0),"")</f>
        <v/>
      </c>
      <c r="X16" s="236"/>
      <c r="Y16" s="235"/>
      <c r="Z16" s="229">
        <f t="shared" si="4"/>
        <v>0</v>
      </c>
      <c r="AA16" s="232" t="str">
        <f>IFERROR(VLOOKUP(A16,'INFO BASE'!$AA$66:$AC$97,3,0),"")</f>
        <v/>
      </c>
      <c r="AB16" s="233" t="str">
        <f>IFERROR(VLOOKUP(A16,'INFO BASE'!$AA$66:$AB$97,2,0),"")</f>
        <v/>
      </c>
      <c r="AC16" s="236"/>
      <c r="AD16" s="235"/>
      <c r="AE16" s="231">
        <f t="shared" si="5"/>
        <v>0</v>
      </c>
    </row>
    <row r="17" spans="1:31" x14ac:dyDescent="0.3">
      <c r="A17" s="205">
        <v>11</v>
      </c>
      <c r="B17" s="232" t="str">
        <f>IFERROR(VLOOKUP(A17,'INFO BASE'!$Q$66:$AC$97,13,0),"")</f>
        <v/>
      </c>
      <c r="C17" s="233" t="str">
        <f>IFERROR(VLOOKUP(A17,'INFO BASE'!$Q$66:$AB$97,2,0),"")</f>
        <v/>
      </c>
      <c r="D17" s="236"/>
      <c r="E17" s="235"/>
      <c r="F17" s="229">
        <f t="shared" si="0"/>
        <v>0</v>
      </c>
      <c r="G17" s="232" t="str">
        <f>IFERROR(VLOOKUP(A17,'INFO BASE'!$S$66:$AC$97,11,0),"")</f>
        <v/>
      </c>
      <c r="H17" s="233" t="str">
        <f>IFERROR(VLOOKUP(A17,'INFO BASE'!$S$66:$AB$97,2,0),"")</f>
        <v/>
      </c>
      <c r="I17" s="236"/>
      <c r="J17" s="235"/>
      <c r="K17" s="229">
        <f t="shared" si="1"/>
        <v>0</v>
      </c>
      <c r="L17" s="232" t="str">
        <f>IFERROR(VLOOKUP(A17,'INFO BASE'!$U$66:$AC$97,9,0),"")</f>
        <v/>
      </c>
      <c r="M17" s="233" t="str">
        <f>IFERROR(VLOOKUP(A17,'INFO BASE'!$U$66:$AB$97,2,0),"")</f>
        <v/>
      </c>
      <c r="N17" s="236"/>
      <c r="O17" s="235"/>
      <c r="P17" s="229">
        <f t="shared" si="2"/>
        <v>0</v>
      </c>
      <c r="Q17" s="232" t="str">
        <f>IFERROR(VLOOKUP(A17,'INFO BASE'!$W$66:$AC$97,7,0),"")</f>
        <v/>
      </c>
      <c r="R17" s="233" t="str">
        <f>IFERROR(VLOOKUP(A17,'INFO BASE'!$W$66:$AB$97,2,0),"")</f>
        <v/>
      </c>
      <c r="S17" s="236"/>
      <c r="T17" s="235"/>
      <c r="U17" s="229">
        <f t="shared" si="3"/>
        <v>0</v>
      </c>
      <c r="V17" s="232" t="str">
        <f>IFERROR(VLOOKUP(A17,'INFO BASE'!$Y$66:$AC$97,5,0),"")</f>
        <v/>
      </c>
      <c r="W17" s="233" t="str">
        <f>IFERROR(VLOOKUP(A17,'INFO BASE'!$Y$66:$AB$97,2,0),"")</f>
        <v/>
      </c>
      <c r="X17" s="236"/>
      <c r="Y17" s="235"/>
      <c r="Z17" s="229">
        <f t="shared" si="4"/>
        <v>0</v>
      </c>
      <c r="AA17" s="232" t="str">
        <f>IFERROR(VLOOKUP(A17,'INFO BASE'!$AA$66:$AC$97,3,0),"")</f>
        <v/>
      </c>
      <c r="AB17" s="233" t="str">
        <f>IFERROR(VLOOKUP(A17,'INFO BASE'!$AA$66:$AB$97,2,0),"")</f>
        <v/>
      </c>
      <c r="AC17" s="236"/>
      <c r="AD17" s="235"/>
      <c r="AE17" s="231">
        <f t="shared" si="5"/>
        <v>0</v>
      </c>
    </row>
    <row r="18" spans="1:31" x14ac:dyDescent="0.3">
      <c r="A18" s="205">
        <v>12</v>
      </c>
      <c r="B18" s="232" t="str">
        <f>IFERROR(VLOOKUP(A18,'INFO BASE'!$Q$66:$AC$97,13,0),"")</f>
        <v/>
      </c>
      <c r="C18" s="233" t="str">
        <f>IFERROR(VLOOKUP(A18,'INFO BASE'!$Q$66:$AB$97,2,0),"")</f>
        <v/>
      </c>
      <c r="D18" s="236"/>
      <c r="E18" s="235"/>
      <c r="F18" s="229">
        <f t="shared" si="0"/>
        <v>0</v>
      </c>
      <c r="G18" s="232" t="str">
        <f>IFERROR(VLOOKUP(A18,'INFO BASE'!$S$66:$AC$97,11,0),"")</f>
        <v/>
      </c>
      <c r="H18" s="233" t="str">
        <f>IFERROR(VLOOKUP(A18,'INFO BASE'!$S$66:$AB$97,2,0),"")</f>
        <v/>
      </c>
      <c r="I18" s="236"/>
      <c r="J18" s="235"/>
      <c r="K18" s="229">
        <f t="shared" si="1"/>
        <v>0</v>
      </c>
      <c r="L18" s="232" t="str">
        <f>IFERROR(VLOOKUP(A18,'INFO BASE'!$U$66:$AC$97,9,0),"")</f>
        <v/>
      </c>
      <c r="M18" s="233" t="str">
        <f>IFERROR(VLOOKUP(A18,'INFO BASE'!$U$66:$AB$97,2,0),"")</f>
        <v/>
      </c>
      <c r="N18" s="236"/>
      <c r="O18" s="235"/>
      <c r="P18" s="229">
        <f t="shared" si="2"/>
        <v>0</v>
      </c>
      <c r="Q18" s="232" t="str">
        <f>IFERROR(VLOOKUP(A18,'INFO BASE'!$W$66:$AC$97,7,0),"")</f>
        <v/>
      </c>
      <c r="R18" s="233" t="str">
        <f>IFERROR(VLOOKUP(A18,'INFO BASE'!$W$66:$AB$97,2,0),"")</f>
        <v/>
      </c>
      <c r="S18" s="236"/>
      <c r="T18" s="235"/>
      <c r="U18" s="229">
        <f t="shared" si="3"/>
        <v>0</v>
      </c>
      <c r="V18" s="232" t="str">
        <f>IFERROR(VLOOKUP(A18,'INFO BASE'!$Y$66:$AC$97,5,0),"")</f>
        <v/>
      </c>
      <c r="W18" s="233" t="str">
        <f>IFERROR(VLOOKUP(A18,'INFO BASE'!$Y$66:$AB$97,2,0),"")</f>
        <v/>
      </c>
      <c r="X18" s="236"/>
      <c r="Y18" s="235"/>
      <c r="Z18" s="229">
        <f t="shared" si="4"/>
        <v>0</v>
      </c>
      <c r="AA18" s="232" t="str">
        <f>IFERROR(VLOOKUP(A18,'INFO BASE'!$AA$66:$AC$97,3,0),"")</f>
        <v/>
      </c>
      <c r="AB18" s="233" t="str">
        <f>IFERROR(VLOOKUP(A18,'INFO BASE'!$AA$66:$AB$97,2,0),"")</f>
        <v/>
      </c>
      <c r="AC18" s="236"/>
      <c r="AD18" s="235"/>
      <c r="AE18" s="231">
        <f t="shared" si="5"/>
        <v>0</v>
      </c>
    </row>
    <row r="19" spans="1:31" x14ac:dyDescent="0.3">
      <c r="A19" s="205">
        <v>13</v>
      </c>
      <c r="B19" s="232" t="str">
        <f>IFERROR(VLOOKUP(A19,'INFO BASE'!$Q$66:$AC$97,13,0),"")</f>
        <v/>
      </c>
      <c r="C19" s="233" t="str">
        <f>IFERROR(VLOOKUP(A19,'INFO BASE'!$Q$66:$AB$97,2,0),"")</f>
        <v/>
      </c>
      <c r="D19" s="236"/>
      <c r="E19" s="235"/>
      <c r="F19" s="229">
        <f t="shared" si="0"/>
        <v>0</v>
      </c>
      <c r="G19" s="232" t="str">
        <f>IFERROR(VLOOKUP(A19,'INFO BASE'!$S$66:$AC$97,11,0),"")</f>
        <v/>
      </c>
      <c r="H19" s="233" t="str">
        <f>IFERROR(VLOOKUP(A19,'INFO BASE'!$S$66:$AB$97,2,0),"")</f>
        <v/>
      </c>
      <c r="I19" s="236"/>
      <c r="J19" s="235"/>
      <c r="K19" s="229">
        <f t="shared" si="1"/>
        <v>0</v>
      </c>
      <c r="L19" s="232" t="str">
        <f>IFERROR(VLOOKUP(A19,'INFO BASE'!$U$66:$AC$97,9,0),"")</f>
        <v/>
      </c>
      <c r="M19" s="233" t="str">
        <f>IFERROR(VLOOKUP(A19,'INFO BASE'!$U$66:$AB$97,2,0),"")</f>
        <v/>
      </c>
      <c r="N19" s="236"/>
      <c r="O19" s="235"/>
      <c r="P19" s="229">
        <f t="shared" si="2"/>
        <v>0</v>
      </c>
      <c r="Q19" s="232" t="str">
        <f>IFERROR(VLOOKUP(A19,'INFO BASE'!$W$66:$AC$97,7,0),"")</f>
        <v/>
      </c>
      <c r="R19" s="233" t="str">
        <f>IFERROR(VLOOKUP(A19,'INFO BASE'!$W$66:$AB$97,2,0),"")</f>
        <v/>
      </c>
      <c r="S19" s="236"/>
      <c r="T19" s="235"/>
      <c r="U19" s="229">
        <f t="shared" si="3"/>
        <v>0</v>
      </c>
      <c r="V19" s="232" t="str">
        <f>IFERROR(VLOOKUP(A19,'INFO BASE'!$Y$66:$AC$97,5,0),"")</f>
        <v/>
      </c>
      <c r="W19" s="233" t="str">
        <f>IFERROR(VLOOKUP(A19,'INFO BASE'!$Y$66:$AB$97,2,0),"")</f>
        <v/>
      </c>
      <c r="X19" s="236"/>
      <c r="Y19" s="235"/>
      <c r="Z19" s="229">
        <f t="shared" si="4"/>
        <v>0</v>
      </c>
      <c r="AA19" s="232" t="str">
        <f>IFERROR(VLOOKUP(A19,'INFO BASE'!$AA$66:$AC$97,3,0),"")</f>
        <v/>
      </c>
      <c r="AB19" s="233" t="str">
        <f>IFERROR(VLOOKUP(A19,'INFO BASE'!$AA$66:$AB$97,2,0),"")</f>
        <v/>
      </c>
      <c r="AC19" s="236"/>
      <c r="AD19" s="235"/>
      <c r="AE19" s="231">
        <f t="shared" si="5"/>
        <v>0</v>
      </c>
    </row>
    <row r="20" spans="1:31" x14ac:dyDescent="0.3">
      <c r="A20" s="205">
        <v>14</v>
      </c>
      <c r="B20" s="232" t="str">
        <f>IFERROR(VLOOKUP(A20,'INFO BASE'!$Q$66:$AC$97,13,0),"")</f>
        <v/>
      </c>
      <c r="C20" s="233" t="str">
        <f>IFERROR(VLOOKUP(A20,'INFO BASE'!$Q$66:$AB$97,2,0),"")</f>
        <v/>
      </c>
      <c r="D20" s="236"/>
      <c r="E20" s="235"/>
      <c r="F20" s="229">
        <f t="shared" si="0"/>
        <v>0</v>
      </c>
      <c r="G20" s="232" t="str">
        <f>IFERROR(VLOOKUP(A20,'INFO BASE'!$S$66:$AC$97,11,0),"")</f>
        <v/>
      </c>
      <c r="H20" s="233" t="str">
        <f>IFERROR(VLOOKUP(A20,'INFO BASE'!$S$66:$AB$97,2,0),"")</f>
        <v/>
      </c>
      <c r="I20" s="236"/>
      <c r="J20" s="235"/>
      <c r="K20" s="229">
        <f t="shared" si="1"/>
        <v>0</v>
      </c>
      <c r="L20" s="232" t="str">
        <f>IFERROR(VLOOKUP(A20,'INFO BASE'!$U$66:$AC$97,9,0),"")</f>
        <v/>
      </c>
      <c r="M20" s="233" t="str">
        <f>IFERROR(VLOOKUP(A20,'INFO BASE'!$U$66:$AB$97,2,0),"")</f>
        <v/>
      </c>
      <c r="N20" s="236"/>
      <c r="O20" s="235"/>
      <c r="P20" s="229">
        <f t="shared" si="2"/>
        <v>0</v>
      </c>
      <c r="Q20" s="232" t="str">
        <f>IFERROR(VLOOKUP(A20,'INFO BASE'!$W$66:$AC$97,7,0),"")</f>
        <v/>
      </c>
      <c r="R20" s="233" t="str">
        <f>IFERROR(VLOOKUP(A20,'INFO BASE'!$W$66:$AB$97,2,0),"")</f>
        <v/>
      </c>
      <c r="S20" s="236"/>
      <c r="T20" s="235"/>
      <c r="U20" s="229">
        <f t="shared" si="3"/>
        <v>0</v>
      </c>
      <c r="V20" s="232" t="str">
        <f>IFERROR(VLOOKUP(A20,'INFO BASE'!$Y$66:$AC$97,5,0),"")</f>
        <v/>
      </c>
      <c r="W20" s="233" t="str">
        <f>IFERROR(VLOOKUP(A20,'INFO BASE'!$Y$66:$AB$97,2,0),"")</f>
        <v/>
      </c>
      <c r="X20" s="236"/>
      <c r="Y20" s="235"/>
      <c r="Z20" s="229">
        <f t="shared" si="4"/>
        <v>0</v>
      </c>
      <c r="AA20" s="232" t="str">
        <f>IFERROR(VLOOKUP(A20,'INFO BASE'!$AA$66:$AC$97,3,0),"")</f>
        <v/>
      </c>
      <c r="AB20" s="233" t="str">
        <f>IFERROR(VLOOKUP(A20,'INFO BASE'!$AA$66:$AB$97,2,0),"")</f>
        <v/>
      </c>
      <c r="AC20" s="236"/>
      <c r="AD20" s="235"/>
      <c r="AE20" s="231">
        <f t="shared" si="5"/>
        <v>0</v>
      </c>
    </row>
    <row r="21" spans="1:31" x14ac:dyDescent="0.3">
      <c r="A21" s="205">
        <v>15</v>
      </c>
      <c r="B21" s="232" t="str">
        <f>IFERROR(VLOOKUP(A21,'INFO BASE'!$Q$66:$AC$97,13,0),"")</f>
        <v/>
      </c>
      <c r="C21" s="233" t="str">
        <f>IFERROR(VLOOKUP(A21,'INFO BASE'!$Q$66:$AB$97,2,0),"")</f>
        <v/>
      </c>
      <c r="D21" s="236"/>
      <c r="E21" s="235"/>
      <c r="F21" s="229">
        <f t="shared" si="0"/>
        <v>0</v>
      </c>
      <c r="G21" s="232" t="str">
        <f>IFERROR(VLOOKUP(A21,'INFO BASE'!$S$66:$AC$97,11,0),"")</f>
        <v/>
      </c>
      <c r="H21" s="233" t="str">
        <f>IFERROR(VLOOKUP(A21,'INFO BASE'!$S$66:$AB$97,2,0),"")</f>
        <v/>
      </c>
      <c r="I21" s="236"/>
      <c r="J21" s="235"/>
      <c r="K21" s="229">
        <f t="shared" si="1"/>
        <v>0</v>
      </c>
      <c r="L21" s="232" t="str">
        <f>IFERROR(VLOOKUP(A21,'INFO BASE'!$U$66:$AC$97,9,0),"")</f>
        <v/>
      </c>
      <c r="M21" s="233" t="str">
        <f>IFERROR(VLOOKUP(A21,'INFO BASE'!$U$66:$AB$97,2,0),"")</f>
        <v/>
      </c>
      <c r="N21" s="236"/>
      <c r="O21" s="235"/>
      <c r="P21" s="229">
        <f t="shared" si="2"/>
        <v>0</v>
      </c>
      <c r="Q21" s="232" t="str">
        <f>IFERROR(VLOOKUP(A21,'INFO BASE'!$W$66:$AC$97,7,0),"")</f>
        <v/>
      </c>
      <c r="R21" s="233" t="str">
        <f>IFERROR(VLOOKUP(A21,'INFO BASE'!$W$66:$AB$97,2,0),"")</f>
        <v/>
      </c>
      <c r="S21" s="236"/>
      <c r="T21" s="235"/>
      <c r="U21" s="229">
        <f t="shared" si="3"/>
        <v>0</v>
      </c>
      <c r="V21" s="232" t="str">
        <f>IFERROR(VLOOKUP(A21,'INFO BASE'!$Y$66:$AC$97,5,0),"")</f>
        <v/>
      </c>
      <c r="W21" s="233" t="str">
        <f>IFERROR(VLOOKUP(A21,'INFO BASE'!$Y$66:$AB$97,2,0),"")</f>
        <v/>
      </c>
      <c r="X21" s="236"/>
      <c r="Y21" s="235"/>
      <c r="Z21" s="229">
        <f t="shared" si="4"/>
        <v>0</v>
      </c>
      <c r="AA21" s="232" t="str">
        <f>IFERROR(VLOOKUP(A21,'INFO BASE'!$AA$66:$AC$97,3,0),"")</f>
        <v/>
      </c>
      <c r="AB21" s="233" t="str">
        <f>IFERROR(VLOOKUP(A21,'INFO BASE'!$AA$66:$AB$97,2,0),"")</f>
        <v/>
      </c>
      <c r="AC21" s="236"/>
      <c r="AD21" s="235"/>
      <c r="AE21" s="231">
        <f t="shared" si="5"/>
        <v>0</v>
      </c>
    </row>
    <row r="22" spans="1:31" x14ac:dyDescent="0.3">
      <c r="A22" s="205">
        <v>16</v>
      </c>
      <c r="B22" s="232" t="str">
        <f>IFERROR(VLOOKUP(A22,'INFO BASE'!$Q$66:$AC$97,13,0),"")</f>
        <v/>
      </c>
      <c r="C22" s="233" t="str">
        <f>IFERROR(VLOOKUP(A22,'INFO BASE'!$Q$66:$AB$97,2,0),"")</f>
        <v/>
      </c>
      <c r="D22" s="236"/>
      <c r="E22" s="235"/>
      <c r="F22" s="229">
        <f t="shared" si="0"/>
        <v>0</v>
      </c>
      <c r="G22" s="232" t="str">
        <f>IFERROR(VLOOKUP(A22,'INFO BASE'!$S$66:$AC$97,11,0),"")</f>
        <v/>
      </c>
      <c r="H22" s="233" t="str">
        <f>IFERROR(VLOOKUP(A22,'INFO BASE'!$S$66:$AB$97,2,0),"")</f>
        <v/>
      </c>
      <c r="I22" s="236"/>
      <c r="J22" s="235"/>
      <c r="K22" s="229">
        <f t="shared" si="1"/>
        <v>0</v>
      </c>
      <c r="L22" s="232" t="str">
        <f>IFERROR(VLOOKUP(A22,'INFO BASE'!$U$66:$AC$97,9,0),"")</f>
        <v/>
      </c>
      <c r="M22" s="233" t="str">
        <f>IFERROR(VLOOKUP(A22,'INFO BASE'!$U$66:$AB$97,2,0),"")</f>
        <v/>
      </c>
      <c r="N22" s="236"/>
      <c r="O22" s="235"/>
      <c r="P22" s="229">
        <f t="shared" si="2"/>
        <v>0</v>
      </c>
      <c r="Q22" s="232" t="str">
        <f>IFERROR(VLOOKUP(A22,'INFO BASE'!$W$66:$AC$97,7,0),"")</f>
        <v/>
      </c>
      <c r="R22" s="233" t="str">
        <f>IFERROR(VLOOKUP(A22,'INFO BASE'!$W$66:$AB$97,2,0),"")</f>
        <v/>
      </c>
      <c r="S22" s="236"/>
      <c r="T22" s="235"/>
      <c r="U22" s="229">
        <f t="shared" si="3"/>
        <v>0</v>
      </c>
      <c r="V22" s="232" t="str">
        <f>IFERROR(VLOOKUP(A22,'INFO BASE'!$Y$66:$AC$97,5,0),"")</f>
        <v/>
      </c>
      <c r="W22" s="233" t="str">
        <f>IFERROR(VLOOKUP(A22,'INFO BASE'!$Y$66:$AB$97,2,0),"")</f>
        <v/>
      </c>
      <c r="X22" s="237"/>
      <c r="Y22" s="238"/>
      <c r="Z22" s="229">
        <f t="shared" si="4"/>
        <v>0</v>
      </c>
      <c r="AA22" s="232" t="str">
        <f>IFERROR(VLOOKUP(A22,'INFO BASE'!$AA$66:$AC$97,3,0),"")</f>
        <v/>
      </c>
      <c r="AB22" s="233" t="str">
        <f>IFERROR(VLOOKUP(A22,'INFO BASE'!$AA$66:$AB$97,2,0),"")</f>
        <v/>
      </c>
      <c r="AC22" s="236"/>
      <c r="AD22" s="235"/>
      <c r="AE22" s="231">
        <f t="shared" si="5"/>
        <v>0</v>
      </c>
    </row>
    <row r="23" spans="1:31" x14ac:dyDescent="0.3">
      <c r="A23" s="205">
        <v>17</v>
      </c>
      <c r="B23" s="232" t="str">
        <f>IFERROR(VLOOKUP(A23,'INFO BASE'!$Q$66:$AC$97,13,0),"")</f>
        <v/>
      </c>
      <c r="C23" s="233" t="str">
        <f>IFERROR(VLOOKUP(A23,'INFO BASE'!$Q$66:$AB$97,2,0),"")</f>
        <v/>
      </c>
      <c r="D23" s="237"/>
      <c r="E23" s="238"/>
      <c r="F23" s="229">
        <f t="shared" si="0"/>
        <v>0</v>
      </c>
      <c r="G23" s="232" t="str">
        <f>IFERROR(VLOOKUP(A23,'INFO BASE'!$S$66:$AC$97,11,0),"")</f>
        <v/>
      </c>
      <c r="H23" s="233" t="str">
        <f>IFERROR(VLOOKUP(A23,'INFO BASE'!$S$66:$AB$97,2,0),"")</f>
        <v/>
      </c>
      <c r="I23" s="237"/>
      <c r="J23" s="238"/>
      <c r="K23" s="229">
        <f t="shared" si="1"/>
        <v>0</v>
      </c>
      <c r="L23" s="232" t="str">
        <f>IFERROR(VLOOKUP(A23,'INFO BASE'!$U$66:$AC$97,9,0),"")</f>
        <v/>
      </c>
      <c r="M23" s="233" t="str">
        <f>IFERROR(VLOOKUP(A23,'INFO BASE'!$U$66:$AB$97,2,0),"")</f>
        <v/>
      </c>
      <c r="N23" s="237"/>
      <c r="O23" s="238"/>
      <c r="P23" s="229">
        <f t="shared" si="2"/>
        <v>0</v>
      </c>
      <c r="Q23" s="232" t="str">
        <f>IFERROR(VLOOKUP(A23,'INFO BASE'!$W$66:$AC$97,7,0),"")</f>
        <v/>
      </c>
      <c r="R23" s="233" t="str">
        <f>IFERROR(VLOOKUP(A23,'INFO BASE'!$W$66:$AB$97,2,0),"")</f>
        <v/>
      </c>
      <c r="S23" s="237"/>
      <c r="T23" s="238"/>
      <c r="U23" s="229">
        <f t="shared" si="3"/>
        <v>0</v>
      </c>
      <c r="V23" s="232" t="str">
        <f>IFERROR(VLOOKUP(A23,'INFO BASE'!$Y$66:$AC$97,5,0),"")</f>
        <v/>
      </c>
      <c r="W23" s="233" t="str">
        <f>IFERROR(VLOOKUP(A23,'INFO BASE'!$Y$66:$AB$97,2,0),"")</f>
        <v/>
      </c>
      <c r="X23" s="237"/>
      <c r="Y23" s="238"/>
      <c r="Z23" s="229">
        <f t="shared" si="4"/>
        <v>0</v>
      </c>
      <c r="AA23" s="232" t="str">
        <f>IFERROR(VLOOKUP(A23,'INFO BASE'!$AA$66:$AC$97,3,0),"")</f>
        <v/>
      </c>
      <c r="AB23" s="233" t="str">
        <f>IFERROR(VLOOKUP(A23,'INFO BASE'!$AA$66:$AB$97,2,0),"")</f>
        <v/>
      </c>
      <c r="AC23" s="236"/>
      <c r="AD23" s="235"/>
      <c r="AE23" s="231">
        <f t="shared" si="5"/>
        <v>0</v>
      </c>
    </row>
    <row r="24" spans="1:31" x14ac:dyDescent="0.3">
      <c r="A24" s="205">
        <v>18</v>
      </c>
      <c r="B24" s="232" t="str">
        <f>IFERROR(VLOOKUP(A24,'INFO BASE'!$Q$66:$AC$97,13,0),"")</f>
        <v/>
      </c>
      <c r="C24" s="233" t="str">
        <f>IFERROR(VLOOKUP(A24,'INFO BASE'!$Q$66:$AB$97,2,0),"")</f>
        <v/>
      </c>
      <c r="D24" s="237"/>
      <c r="E24" s="238"/>
      <c r="F24" s="229">
        <f t="shared" si="0"/>
        <v>0</v>
      </c>
      <c r="G24" s="232" t="str">
        <f>IFERROR(VLOOKUP(A24,'INFO BASE'!$S$66:$AC$97,11,0),"")</f>
        <v/>
      </c>
      <c r="H24" s="233" t="str">
        <f>IFERROR(VLOOKUP(A24,'INFO BASE'!$S$66:$AB$97,2,0),"")</f>
        <v/>
      </c>
      <c r="I24" s="237"/>
      <c r="J24" s="238"/>
      <c r="K24" s="229">
        <f t="shared" si="1"/>
        <v>0</v>
      </c>
      <c r="L24" s="232" t="str">
        <f>IFERROR(VLOOKUP(A24,'INFO BASE'!$U$66:$AC$97,9,0),"")</f>
        <v/>
      </c>
      <c r="M24" s="233" t="str">
        <f>IFERROR(VLOOKUP(A24,'INFO BASE'!$U$66:$AB$97,2,0),"")</f>
        <v/>
      </c>
      <c r="N24" s="237"/>
      <c r="O24" s="238"/>
      <c r="P24" s="229">
        <f t="shared" si="2"/>
        <v>0</v>
      </c>
      <c r="Q24" s="232" t="str">
        <f>IFERROR(VLOOKUP(A24,'INFO BASE'!$W$66:$AC$97,7,0),"")</f>
        <v/>
      </c>
      <c r="R24" s="233" t="str">
        <f>IFERROR(VLOOKUP(A24,'INFO BASE'!$W$66:$AB$97,2,0),"")</f>
        <v/>
      </c>
      <c r="S24" s="237"/>
      <c r="T24" s="238"/>
      <c r="U24" s="229">
        <f t="shared" si="3"/>
        <v>0</v>
      </c>
      <c r="V24" s="232" t="str">
        <f>IFERROR(VLOOKUP(A24,'INFO BASE'!$Y$66:$AC$97,5,0),"")</f>
        <v/>
      </c>
      <c r="W24" s="233" t="str">
        <f>IFERROR(VLOOKUP(A24,'INFO BASE'!$Y$66:$AB$97,2,0),"")</f>
        <v/>
      </c>
      <c r="X24" s="237"/>
      <c r="Y24" s="238"/>
      <c r="Z24" s="229">
        <f t="shared" si="4"/>
        <v>0</v>
      </c>
      <c r="AA24" s="232" t="str">
        <f>IFERROR(VLOOKUP(A24,'INFO BASE'!$AA$66:$AC$97,3,0),"")</f>
        <v/>
      </c>
      <c r="AB24" s="233" t="str">
        <f>IFERROR(VLOOKUP(A24,'INFO BASE'!$AA$66:$AB$97,2,0),"")</f>
        <v/>
      </c>
      <c r="AC24" s="236"/>
      <c r="AD24" s="235"/>
      <c r="AE24" s="231">
        <f t="shared" si="5"/>
        <v>0</v>
      </c>
    </row>
    <row r="25" spans="1:31" x14ac:dyDescent="0.3">
      <c r="A25" s="205">
        <v>19</v>
      </c>
      <c r="B25" s="232" t="str">
        <f>IFERROR(VLOOKUP(A25,'INFO BASE'!$Q$66:$AC$97,13,0),"")</f>
        <v/>
      </c>
      <c r="C25" s="233" t="str">
        <f>IFERROR(VLOOKUP(A25,'INFO BASE'!$Q$66:$AB$97,2,0),"")</f>
        <v/>
      </c>
      <c r="D25" s="237"/>
      <c r="E25" s="238"/>
      <c r="F25" s="229">
        <f t="shared" si="0"/>
        <v>0</v>
      </c>
      <c r="G25" s="232" t="str">
        <f>IFERROR(VLOOKUP(A25,'INFO BASE'!$S$66:$AC$97,11,0),"")</f>
        <v/>
      </c>
      <c r="H25" s="233" t="str">
        <f>IFERROR(VLOOKUP(A25,'INFO BASE'!$S$66:$AB$97,2,0),"")</f>
        <v/>
      </c>
      <c r="I25" s="237"/>
      <c r="J25" s="238"/>
      <c r="K25" s="229">
        <f t="shared" si="1"/>
        <v>0</v>
      </c>
      <c r="L25" s="232" t="str">
        <f>IFERROR(VLOOKUP(A25,'INFO BASE'!$U$66:$AC$97,9,0),"")</f>
        <v/>
      </c>
      <c r="M25" s="233" t="str">
        <f>IFERROR(VLOOKUP(A25,'INFO BASE'!$U$66:$AB$97,2,0),"")</f>
        <v/>
      </c>
      <c r="N25" s="237"/>
      <c r="O25" s="238"/>
      <c r="P25" s="229">
        <f t="shared" si="2"/>
        <v>0</v>
      </c>
      <c r="Q25" s="232" t="str">
        <f>IFERROR(VLOOKUP(A25,'INFO BASE'!$W$66:$AC$97,7,0),"")</f>
        <v/>
      </c>
      <c r="R25" s="233" t="str">
        <f>IFERROR(VLOOKUP(A25,'INFO BASE'!$W$66:$AB$97,2,0),"")</f>
        <v/>
      </c>
      <c r="S25" s="237"/>
      <c r="T25" s="238"/>
      <c r="U25" s="229">
        <f t="shared" si="3"/>
        <v>0</v>
      </c>
      <c r="V25" s="232" t="str">
        <f>IFERROR(VLOOKUP(A25,'INFO BASE'!$Y$66:$AC$97,5,0),"")</f>
        <v/>
      </c>
      <c r="W25" s="233" t="str">
        <f>IFERROR(VLOOKUP(A25,'INFO BASE'!$Y$66:$AB$97,2,0),"")</f>
        <v/>
      </c>
      <c r="X25" s="237"/>
      <c r="Y25" s="238"/>
      <c r="Z25" s="229">
        <f t="shared" si="4"/>
        <v>0</v>
      </c>
      <c r="AA25" s="232" t="str">
        <f>IFERROR(VLOOKUP(A25,'INFO BASE'!$AA$66:$AC$97,3,0),"")</f>
        <v/>
      </c>
      <c r="AB25" s="233" t="str">
        <f>IFERROR(VLOOKUP(A25,'INFO BASE'!$AA$66:$AB$97,2,0),"")</f>
        <v/>
      </c>
      <c r="AC25" s="236"/>
      <c r="AD25" s="235"/>
      <c r="AE25" s="231">
        <f t="shared" si="5"/>
        <v>0</v>
      </c>
    </row>
    <row r="26" spans="1:31" x14ac:dyDescent="0.3">
      <c r="A26" s="205">
        <v>20</v>
      </c>
      <c r="B26" s="232" t="str">
        <f>IFERROR(VLOOKUP(A26,'INFO BASE'!$Q$66:$AC$97,13,0),"")</f>
        <v/>
      </c>
      <c r="C26" s="233" t="str">
        <f>IFERROR(VLOOKUP(A26,'INFO BASE'!$Q$66:$AB$97,2,0),"")</f>
        <v/>
      </c>
      <c r="D26" s="237"/>
      <c r="E26" s="238"/>
      <c r="F26" s="229">
        <f t="shared" si="0"/>
        <v>0</v>
      </c>
      <c r="G26" s="232" t="str">
        <f>IFERROR(VLOOKUP(A26,'INFO BASE'!$S$66:$AC$97,11,0),"")</f>
        <v/>
      </c>
      <c r="H26" s="233" t="str">
        <f>IFERROR(VLOOKUP(A26,'INFO BASE'!$S$66:$AB$97,2,0),"")</f>
        <v/>
      </c>
      <c r="I26" s="237"/>
      <c r="J26" s="238"/>
      <c r="K26" s="229">
        <f t="shared" si="1"/>
        <v>0</v>
      </c>
      <c r="L26" s="232" t="str">
        <f>IFERROR(VLOOKUP(A26,'INFO BASE'!$U$66:$AC$97,9,0),"")</f>
        <v/>
      </c>
      <c r="M26" s="233" t="str">
        <f>IFERROR(VLOOKUP(A26,'INFO BASE'!$U$66:$AB$97,2,0),"")</f>
        <v/>
      </c>
      <c r="N26" s="237"/>
      <c r="O26" s="238"/>
      <c r="P26" s="229">
        <f t="shared" si="2"/>
        <v>0</v>
      </c>
      <c r="Q26" s="232" t="str">
        <f>IFERROR(VLOOKUP(A26,'INFO BASE'!$W$66:$AC$97,7,0),"")</f>
        <v/>
      </c>
      <c r="R26" s="233" t="str">
        <f>IFERROR(VLOOKUP(A26,'INFO BASE'!$W$66:$AB$97,2,0),"")</f>
        <v/>
      </c>
      <c r="S26" s="237"/>
      <c r="T26" s="238"/>
      <c r="U26" s="229">
        <f t="shared" si="3"/>
        <v>0</v>
      </c>
      <c r="V26" s="232" t="str">
        <f>IFERROR(VLOOKUP(A26,'INFO BASE'!$Y$66:$AC$97,5,0),"")</f>
        <v/>
      </c>
      <c r="W26" s="233" t="str">
        <f>IFERROR(VLOOKUP(A26,'INFO BASE'!$Y$66:$AB$97,2,0),"")</f>
        <v/>
      </c>
      <c r="X26" s="237"/>
      <c r="Y26" s="238"/>
      <c r="Z26" s="229">
        <f t="shared" si="4"/>
        <v>0</v>
      </c>
      <c r="AA26" s="232" t="str">
        <f>IFERROR(VLOOKUP(A26,'INFO BASE'!$AA$66:$AC$97,3,0),"")</f>
        <v/>
      </c>
      <c r="AB26" s="233" t="str">
        <f>IFERROR(VLOOKUP(A26,'INFO BASE'!$AA$66:$AB$97,2,0),"")</f>
        <v/>
      </c>
      <c r="AC26" s="236"/>
      <c r="AD26" s="235"/>
      <c r="AE26" s="231">
        <f t="shared" si="5"/>
        <v>0</v>
      </c>
    </row>
    <row r="27" spans="1:31" x14ac:dyDescent="0.3">
      <c r="A27" s="205">
        <v>21</v>
      </c>
      <c r="B27" s="232" t="str">
        <f>IFERROR(VLOOKUP(A27,'INFO BASE'!$Q$66:$AC$97,13,0),"")</f>
        <v/>
      </c>
      <c r="C27" s="233" t="str">
        <f>IFERROR(VLOOKUP(A27,'INFO BASE'!$Q$66:$AB$97,2,0),"")</f>
        <v/>
      </c>
      <c r="D27" s="237"/>
      <c r="E27" s="238"/>
      <c r="F27" s="229">
        <f t="shared" si="0"/>
        <v>0</v>
      </c>
      <c r="G27" s="232" t="str">
        <f>IFERROR(VLOOKUP(A27,'INFO BASE'!$S$66:$AC$97,11,0),"")</f>
        <v/>
      </c>
      <c r="H27" s="233" t="str">
        <f>IFERROR(VLOOKUP(A27,'INFO BASE'!$S$66:$AB$97,2,0),"")</f>
        <v/>
      </c>
      <c r="I27" s="237"/>
      <c r="J27" s="238"/>
      <c r="K27" s="229">
        <f t="shared" si="1"/>
        <v>0</v>
      </c>
      <c r="L27" s="232" t="str">
        <f>IFERROR(VLOOKUP(A27,'INFO BASE'!$U$66:$AC$97,9,0),"")</f>
        <v/>
      </c>
      <c r="M27" s="233" t="str">
        <f>IFERROR(VLOOKUP(A27,'INFO BASE'!$U$66:$AB$97,2,0),"")</f>
        <v/>
      </c>
      <c r="N27" s="237"/>
      <c r="O27" s="238"/>
      <c r="P27" s="229">
        <f t="shared" si="2"/>
        <v>0</v>
      </c>
      <c r="Q27" s="232" t="str">
        <f>IFERROR(VLOOKUP(A27,'INFO BASE'!$W$66:$AC$97,7,0),"")</f>
        <v/>
      </c>
      <c r="R27" s="233" t="str">
        <f>IFERROR(VLOOKUP(A27,'INFO BASE'!$W$66:$AB$97,2,0),"")</f>
        <v/>
      </c>
      <c r="S27" s="237"/>
      <c r="T27" s="238"/>
      <c r="U27" s="229">
        <f t="shared" si="3"/>
        <v>0</v>
      </c>
      <c r="V27" s="232" t="str">
        <f>IFERROR(VLOOKUP(A27,'INFO BASE'!$Y$66:$AC$97,5,0),"")</f>
        <v/>
      </c>
      <c r="W27" s="233" t="str">
        <f>IFERROR(VLOOKUP(A27,'INFO BASE'!$Y$66:$AB$97,2,0),"")</f>
        <v/>
      </c>
      <c r="X27" s="237"/>
      <c r="Y27" s="238"/>
      <c r="Z27" s="229">
        <f t="shared" si="4"/>
        <v>0</v>
      </c>
      <c r="AA27" s="232" t="str">
        <f>IFERROR(VLOOKUP(A27,'INFO BASE'!$AA$66:$AC$97,3,0),"")</f>
        <v/>
      </c>
      <c r="AB27" s="233" t="str">
        <f>IFERROR(VLOOKUP(A27,'INFO BASE'!$AA$66:$AB$97,2,0),"")</f>
        <v/>
      </c>
      <c r="AC27" s="236"/>
      <c r="AD27" s="235"/>
      <c r="AE27" s="231">
        <f t="shared" si="5"/>
        <v>0</v>
      </c>
    </row>
    <row r="28" spans="1:31" x14ac:dyDescent="0.3">
      <c r="A28" s="205">
        <v>22</v>
      </c>
      <c r="B28" s="232" t="str">
        <f>IFERROR(VLOOKUP(A28,'INFO BASE'!$Q$66:$AC$97,13,0),"")</f>
        <v/>
      </c>
      <c r="C28" s="233" t="str">
        <f>IFERROR(VLOOKUP(A28,'INFO BASE'!$Q$66:$AB$97,2,0),"")</f>
        <v/>
      </c>
      <c r="D28" s="237"/>
      <c r="E28" s="238"/>
      <c r="F28" s="229">
        <f t="shared" si="0"/>
        <v>0</v>
      </c>
      <c r="G28" s="232" t="str">
        <f>IFERROR(VLOOKUP(A28,'INFO BASE'!$S$66:$AC$97,11,0),"")</f>
        <v/>
      </c>
      <c r="H28" s="233" t="str">
        <f>IFERROR(VLOOKUP(A28,'INFO BASE'!$S$66:$AB$97,2,0),"")</f>
        <v/>
      </c>
      <c r="I28" s="237"/>
      <c r="J28" s="238"/>
      <c r="K28" s="229">
        <f t="shared" si="1"/>
        <v>0</v>
      </c>
      <c r="L28" s="232" t="str">
        <f>IFERROR(VLOOKUP(A28,'INFO BASE'!$U$66:$AC$97,9,0),"")</f>
        <v/>
      </c>
      <c r="M28" s="233" t="str">
        <f>IFERROR(VLOOKUP(A28,'INFO BASE'!$U$66:$AB$97,2,0),"")</f>
        <v/>
      </c>
      <c r="N28" s="237"/>
      <c r="O28" s="238"/>
      <c r="P28" s="229">
        <f t="shared" si="2"/>
        <v>0</v>
      </c>
      <c r="Q28" s="232" t="str">
        <f>IFERROR(VLOOKUP(A28,'INFO BASE'!$W$66:$AC$97,7,0),"")</f>
        <v/>
      </c>
      <c r="R28" s="233" t="str">
        <f>IFERROR(VLOOKUP(A28,'INFO BASE'!$W$66:$AB$97,2,0),"")</f>
        <v/>
      </c>
      <c r="S28" s="237"/>
      <c r="T28" s="238"/>
      <c r="U28" s="229">
        <f t="shared" si="3"/>
        <v>0</v>
      </c>
      <c r="V28" s="232" t="str">
        <f>IFERROR(VLOOKUP(A28,'INFO BASE'!$Y$66:$AC$97,5,0),"")</f>
        <v/>
      </c>
      <c r="W28" s="233" t="str">
        <f>IFERROR(VLOOKUP(A28,'INFO BASE'!$Y$66:$AB$97,2,0),"")</f>
        <v/>
      </c>
      <c r="X28" s="237"/>
      <c r="Y28" s="238"/>
      <c r="Z28" s="229">
        <f t="shared" si="4"/>
        <v>0</v>
      </c>
      <c r="AA28" s="232" t="str">
        <f>IFERROR(VLOOKUP(A28,'INFO BASE'!$AA$66:$AC$97,3,0),"")</f>
        <v/>
      </c>
      <c r="AB28" s="233" t="str">
        <f>IFERROR(VLOOKUP(A28,'INFO BASE'!$AA$66:$AB$97,2,0),"")</f>
        <v/>
      </c>
      <c r="AC28" s="236"/>
      <c r="AD28" s="235"/>
      <c r="AE28" s="231">
        <f t="shared" si="5"/>
        <v>0</v>
      </c>
    </row>
    <row r="29" spans="1:31" x14ac:dyDescent="0.3">
      <c r="A29" s="205">
        <v>23</v>
      </c>
      <c r="B29" s="232" t="str">
        <f>IFERROR(VLOOKUP(A29,'INFO BASE'!$Q$66:$AC$97,13,0),"")</f>
        <v/>
      </c>
      <c r="C29" s="233" t="str">
        <f>IFERROR(VLOOKUP(A29,'INFO BASE'!$Q$66:$AB$97,2,0),"")</f>
        <v/>
      </c>
      <c r="D29" s="237"/>
      <c r="E29" s="238"/>
      <c r="F29" s="229">
        <f t="shared" si="0"/>
        <v>0</v>
      </c>
      <c r="G29" s="232" t="str">
        <f>IFERROR(VLOOKUP(A29,'INFO BASE'!$S$66:$AC$97,11,0),"")</f>
        <v/>
      </c>
      <c r="H29" s="233" t="str">
        <f>IFERROR(VLOOKUP(A29,'INFO BASE'!$S$66:$AB$97,2,0),"")</f>
        <v/>
      </c>
      <c r="I29" s="237"/>
      <c r="J29" s="238"/>
      <c r="K29" s="229">
        <f t="shared" si="1"/>
        <v>0</v>
      </c>
      <c r="L29" s="232" t="str">
        <f>IFERROR(VLOOKUP(A29,'INFO BASE'!$U$66:$AC$97,9,0),"")</f>
        <v/>
      </c>
      <c r="M29" s="233" t="str">
        <f>IFERROR(VLOOKUP(A29,'INFO BASE'!$U$66:$AB$97,2,0),"")</f>
        <v/>
      </c>
      <c r="N29" s="237"/>
      <c r="O29" s="238"/>
      <c r="P29" s="229">
        <f t="shared" si="2"/>
        <v>0</v>
      </c>
      <c r="Q29" s="232" t="str">
        <f>IFERROR(VLOOKUP(A29,'INFO BASE'!$W$66:$AC$97,7,0),"")</f>
        <v/>
      </c>
      <c r="R29" s="233" t="str">
        <f>IFERROR(VLOOKUP(A29,'INFO BASE'!$W$66:$AB$97,2,0),"")</f>
        <v/>
      </c>
      <c r="S29" s="237"/>
      <c r="T29" s="238"/>
      <c r="U29" s="229">
        <f t="shared" si="3"/>
        <v>0</v>
      </c>
      <c r="V29" s="232" t="str">
        <f>IFERROR(VLOOKUP(A29,'INFO BASE'!$Y$66:$AC$97,5,0),"")</f>
        <v/>
      </c>
      <c r="W29" s="233" t="str">
        <f>IFERROR(VLOOKUP(A29,'INFO BASE'!$Y$66:$AB$97,2,0),"")</f>
        <v/>
      </c>
      <c r="X29" s="237"/>
      <c r="Y29" s="238"/>
      <c r="Z29" s="229">
        <f t="shared" si="4"/>
        <v>0</v>
      </c>
      <c r="AA29" s="232" t="str">
        <f>IFERROR(VLOOKUP(A29,'INFO BASE'!$AA$66:$AC$97,3,0),"")</f>
        <v/>
      </c>
      <c r="AB29" s="233" t="str">
        <f>IFERROR(VLOOKUP(A29,'INFO BASE'!$AA$66:$AB$97,2,0),"")</f>
        <v/>
      </c>
      <c r="AC29" s="236"/>
      <c r="AD29" s="235"/>
      <c r="AE29" s="231">
        <f t="shared" si="5"/>
        <v>0</v>
      </c>
    </row>
    <row r="30" spans="1:31" x14ac:dyDescent="0.3">
      <c r="A30" s="205">
        <v>24</v>
      </c>
      <c r="B30" s="232" t="str">
        <f>IFERROR(VLOOKUP(A30,'INFO BASE'!$Q$66:$AC$97,13,0),"")</f>
        <v/>
      </c>
      <c r="C30" s="233" t="str">
        <f>IFERROR(VLOOKUP(A30,'INFO BASE'!$Q$66:$AB$97,2,0),"")</f>
        <v/>
      </c>
      <c r="D30" s="237"/>
      <c r="E30" s="238"/>
      <c r="F30" s="229">
        <f t="shared" si="0"/>
        <v>0</v>
      </c>
      <c r="G30" s="232" t="str">
        <f>IFERROR(VLOOKUP(A30,'INFO BASE'!$S$66:$AC$97,11,0),"")</f>
        <v/>
      </c>
      <c r="H30" s="233" t="str">
        <f>IFERROR(VLOOKUP(A30,'INFO BASE'!$S$66:$AB$97,2,0),"")</f>
        <v/>
      </c>
      <c r="I30" s="237"/>
      <c r="J30" s="238"/>
      <c r="K30" s="229">
        <f t="shared" si="1"/>
        <v>0</v>
      </c>
      <c r="L30" s="232" t="str">
        <f>IFERROR(VLOOKUP(A30,'INFO BASE'!$U$66:$AC$97,9,0),"")</f>
        <v/>
      </c>
      <c r="M30" s="233" t="str">
        <f>IFERROR(VLOOKUP(A30,'INFO BASE'!$U$66:$AB$97,2,0),"")</f>
        <v/>
      </c>
      <c r="N30" s="237"/>
      <c r="O30" s="238"/>
      <c r="P30" s="229">
        <f t="shared" si="2"/>
        <v>0</v>
      </c>
      <c r="Q30" s="232" t="str">
        <f>IFERROR(VLOOKUP(A30,'INFO BASE'!$W$66:$AC$97,7,0),"")</f>
        <v/>
      </c>
      <c r="R30" s="233" t="str">
        <f>IFERROR(VLOOKUP(A30,'INFO BASE'!$W$66:$AB$97,2,0),"")</f>
        <v/>
      </c>
      <c r="S30" s="237"/>
      <c r="T30" s="238"/>
      <c r="U30" s="229">
        <f t="shared" si="3"/>
        <v>0</v>
      </c>
      <c r="V30" s="232" t="str">
        <f>IFERROR(VLOOKUP(A30,'INFO BASE'!$Y$66:$AC$97,5,0),"")</f>
        <v/>
      </c>
      <c r="W30" s="233" t="str">
        <f>IFERROR(VLOOKUP(A30,'INFO BASE'!$Y$66:$AB$97,2,0),"")</f>
        <v/>
      </c>
      <c r="X30" s="237"/>
      <c r="Y30" s="238"/>
      <c r="Z30" s="229">
        <f t="shared" si="4"/>
        <v>0</v>
      </c>
      <c r="AA30" s="232" t="str">
        <f>IFERROR(VLOOKUP(A30,'INFO BASE'!$AA$66:$AC$97,3,0),"")</f>
        <v/>
      </c>
      <c r="AB30" s="233" t="str">
        <f>IFERROR(VLOOKUP(A30,'INFO BASE'!$AA$66:$AB$97,2,0),"")</f>
        <v/>
      </c>
      <c r="AC30" s="236"/>
      <c r="AD30" s="235"/>
      <c r="AE30" s="231">
        <f t="shared" si="5"/>
        <v>0</v>
      </c>
    </row>
    <row r="31" spans="1:31" x14ac:dyDescent="0.3">
      <c r="A31" s="205">
        <v>25</v>
      </c>
      <c r="B31" s="232" t="str">
        <f>IFERROR(VLOOKUP(A31,'INFO BASE'!$Q$66:$AC$97,13,0),"")</f>
        <v/>
      </c>
      <c r="C31" s="233" t="str">
        <f>IFERROR(VLOOKUP(A31,'INFO BASE'!$Q$66:$AB$97,2,0),"")</f>
        <v/>
      </c>
      <c r="D31" s="237"/>
      <c r="E31" s="238"/>
      <c r="F31" s="229">
        <f t="shared" si="0"/>
        <v>0</v>
      </c>
      <c r="G31" s="232" t="str">
        <f>IFERROR(VLOOKUP(A31,'INFO BASE'!$S$66:$AC$97,11,0),"")</f>
        <v/>
      </c>
      <c r="H31" s="233" t="str">
        <f>IFERROR(VLOOKUP(A31,'INFO BASE'!$S$66:$AB$97,2,0),"")</f>
        <v/>
      </c>
      <c r="I31" s="237"/>
      <c r="J31" s="238"/>
      <c r="K31" s="229">
        <f t="shared" si="1"/>
        <v>0</v>
      </c>
      <c r="L31" s="232" t="str">
        <f>IFERROR(VLOOKUP(A31,'INFO BASE'!$U$66:$AC$97,9,0),"")</f>
        <v/>
      </c>
      <c r="M31" s="233" t="str">
        <f>IFERROR(VLOOKUP(A31,'INFO BASE'!$U$66:$AB$97,2,0),"")</f>
        <v/>
      </c>
      <c r="N31" s="237"/>
      <c r="O31" s="238"/>
      <c r="P31" s="229">
        <f t="shared" si="2"/>
        <v>0</v>
      </c>
      <c r="Q31" s="232" t="str">
        <f>IFERROR(VLOOKUP(A31,'INFO BASE'!$W$66:$AC$97,7,0),"")</f>
        <v/>
      </c>
      <c r="R31" s="233" t="str">
        <f>IFERROR(VLOOKUP(A31,'INFO BASE'!$W$66:$AB$97,2,0),"")</f>
        <v/>
      </c>
      <c r="S31" s="237"/>
      <c r="T31" s="238"/>
      <c r="U31" s="229">
        <f t="shared" si="3"/>
        <v>0</v>
      </c>
      <c r="V31" s="232" t="str">
        <f>IFERROR(VLOOKUP(A31,'INFO BASE'!$Y$66:$AC$97,5,0),"")</f>
        <v/>
      </c>
      <c r="W31" s="233" t="str">
        <f>IFERROR(VLOOKUP(A31,'INFO BASE'!$Y$66:$AB$97,2,0),"")</f>
        <v/>
      </c>
      <c r="X31" s="237"/>
      <c r="Y31" s="238"/>
      <c r="Z31" s="229">
        <f t="shared" si="4"/>
        <v>0</v>
      </c>
      <c r="AA31" s="232" t="str">
        <f>IFERROR(VLOOKUP(A31,'INFO BASE'!$AA$66:$AC$97,3,0),"")</f>
        <v/>
      </c>
      <c r="AB31" s="233" t="str">
        <f>IFERROR(VLOOKUP(A31,'INFO BASE'!$AA$66:$AB$97,2,0),"")</f>
        <v/>
      </c>
      <c r="AC31" s="236"/>
      <c r="AD31" s="235"/>
      <c r="AE31" s="231">
        <f t="shared" si="5"/>
        <v>0</v>
      </c>
    </row>
    <row r="32" spans="1:31" x14ac:dyDescent="0.3">
      <c r="A32" s="205">
        <v>26</v>
      </c>
      <c r="B32" s="232" t="str">
        <f>IFERROR(VLOOKUP(A32,'INFO BASE'!$Q$66:$AC$97,13,0),"")</f>
        <v/>
      </c>
      <c r="C32" s="233" t="str">
        <f>IFERROR(VLOOKUP(A32,'INFO BASE'!$Q$66:$AB$97,2,0),"")</f>
        <v/>
      </c>
      <c r="D32" s="237"/>
      <c r="E32" s="238"/>
      <c r="F32" s="229">
        <f t="shared" si="0"/>
        <v>0</v>
      </c>
      <c r="G32" s="232" t="str">
        <f>IFERROR(VLOOKUP(A32,'INFO BASE'!$S$66:$AC$97,11,0),"")</f>
        <v/>
      </c>
      <c r="H32" s="233" t="str">
        <f>IFERROR(VLOOKUP(A32,'INFO BASE'!$S$66:$AB$97,2,0),"")</f>
        <v/>
      </c>
      <c r="I32" s="237"/>
      <c r="J32" s="238"/>
      <c r="K32" s="229">
        <f t="shared" si="1"/>
        <v>0</v>
      </c>
      <c r="L32" s="232" t="str">
        <f>IFERROR(VLOOKUP(A32,'INFO BASE'!$U$66:$AC$97,9,0),"")</f>
        <v/>
      </c>
      <c r="M32" s="233" t="str">
        <f>IFERROR(VLOOKUP(A32,'INFO BASE'!$U$66:$AB$97,2,0),"")</f>
        <v/>
      </c>
      <c r="N32" s="237"/>
      <c r="O32" s="238"/>
      <c r="P32" s="229">
        <f t="shared" si="2"/>
        <v>0</v>
      </c>
      <c r="Q32" s="232" t="str">
        <f>IFERROR(VLOOKUP(A32,'INFO BASE'!$W$66:$AC$97,7,0),"")</f>
        <v/>
      </c>
      <c r="R32" s="233" t="str">
        <f>IFERROR(VLOOKUP(A32,'INFO BASE'!$W$66:$AB$97,2,0),"")</f>
        <v/>
      </c>
      <c r="S32" s="237"/>
      <c r="T32" s="238"/>
      <c r="U32" s="229">
        <f t="shared" si="3"/>
        <v>0</v>
      </c>
      <c r="V32" s="232" t="str">
        <f>IFERROR(VLOOKUP(A32,'INFO BASE'!$Y$66:$AC$97,5,0),"")</f>
        <v/>
      </c>
      <c r="W32" s="233" t="str">
        <f>IFERROR(VLOOKUP(A32,'INFO BASE'!$Y$66:$AB$97,2,0),"")</f>
        <v/>
      </c>
      <c r="X32" s="237"/>
      <c r="Y32" s="238"/>
      <c r="Z32" s="229">
        <f t="shared" si="4"/>
        <v>0</v>
      </c>
      <c r="AA32" s="232" t="str">
        <f>IFERROR(VLOOKUP(A32,'INFO BASE'!$AA$66:$AC$97,3,0),"")</f>
        <v/>
      </c>
      <c r="AB32" s="233" t="str">
        <f>IFERROR(VLOOKUP(A32,'INFO BASE'!$AA$66:$AB$97,2,0),"")</f>
        <v/>
      </c>
      <c r="AC32" s="236"/>
      <c r="AD32" s="235"/>
      <c r="AE32" s="231">
        <f t="shared" si="5"/>
        <v>0</v>
      </c>
    </row>
    <row r="33" spans="1:31" x14ac:dyDescent="0.3">
      <c r="A33" s="205">
        <v>27</v>
      </c>
      <c r="B33" s="232" t="str">
        <f>IFERROR(VLOOKUP(A33,'INFO BASE'!$Q$66:$AC$97,13,0),"")</f>
        <v/>
      </c>
      <c r="C33" s="233" t="str">
        <f>IFERROR(VLOOKUP(A33,'INFO BASE'!$Q$66:$AB$97,2,0),"")</f>
        <v/>
      </c>
      <c r="D33" s="237"/>
      <c r="E33" s="238"/>
      <c r="F33" s="229">
        <f t="shared" si="0"/>
        <v>0</v>
      </c>
      <c r="G33" s="232" t="str">
        <f>IFERROR(VLOOKUP(A33,'INFO BASE'!$S$66:$AC$97,11,0),"")</f>
        <v/>
      </c>
      <c r="H33" s="233" t="str">
        <f>IFERROR(VLOOKUP(A33,'INFO BASE'!$S$66:$AB$97,2,0),"")</f>
        <v/>
      </c>
      <c r="I33" s="237"/>
      <c r="J33" s="238"/>
      <c r="K33" s="229">
        <f t="shared" si="1"/>
        <v>0</v>
      </c>
      <c r="L33" s="232" t="str">
        <f>IFERROR(VLOOKUP(A33,'INFO BASE'!$U$66:$AC$97,9,0),"")</f>
        <v/>
      </c>
      <c r="M33" s="233" t="str">
        <f>IFERROR(VLOOKUP(A33,'INFO BASE'!$U$66:$AB$97,2,0),"")</f>
        <v/>
      </c>
      <c r="N33" s="237"/>
      <c r="O33" s="238"/>
      <c r="P33" s="229">
        <f t="shared" si="2"/>
        <v>0</v>
      </c>
      <c r="Q33" s="232" t="str">
        <f>IFERROR(VLOOKUP(A33,'INFO BASE'!$W$66:$AC$97,7,0),"")</f>
        <v/>
      </c>
      <c r="R33" s="233" t="str">
        <f>IFERROR(VLOOKUP(A33,'INFO BASE'!$W$66:$AB$97,2,0),"")</f>
        <v/>
      </c>
      <c r="S33" s="237"/>
      <c r="T33" s="238"/>
      <c r="U33" s="229">
        <f t="shared" si="3"/>
        <v>0</v>
      </c>
      <c r="V33" s="232" t="str">
        <f>IFERROR(VLOOKUP(A33,'INFO BASE'!$Y$66:$AC$97,5,0),"")</f>
        <v/>
      </c>
      <c r="W33" s="233" t="str">
        <f>IFERROR(VLOOKUP(A33,'INFO BASE'!$Y$66:$AB$97,2,0),"")</f>
        <v/>
      </c>
      <c r="X33" s="237"/>
      <c r="Y33" s="238"/>
      <c r="Z33" s="229">
        <f t="shared" si="4"/>
        <v>0</v>
      </c>
      <c r="AA33" s="232" t="str">
        <f>IFERROR(VLOOKUP(A33,'INFO BASE'!$AA$66:$AC$97,3,0),"")</f>
        <v/>
      </c>
      <c r="AB33" s="233" t="str">
        <f>IFERROR(VLOOKUP(A33,'INFO BASE'!$AA$66:$AB$97,2,0),"")</f>
        <v/>
      </c>
      <c r="AC33" s="236"/>
      <c r="AD33" s="235"/>
      <c r="AE33" s="231">
        <f t="shared" si="5"/>
        <v>0</v>
      </c>
    </row>
    <row r="34" spans="1:31" x14ac:dyDescent="0.3">
      <c r="A34" s="205">
        <v>28</v>
      </c>
      <c r="B34" s="232" t="str">
        <f>IFERROR(VLOOKUP(A34,'INFO BASE'!$Q$66:$AC$97,13,0),"")</f>
        <v/>
      </c>
      <c r="C34" s="233" t="str">
        <f>IFERROR(VLOOKUP(A34,'INFO BASE'!$Q$66:$AB$97,2,0),"")</f>
        <v/>
      </c>
      <c r="D34" s="237"/>
      <c r="E34" s="238"/>
      <c r="F34" s="229">
        <f t="shared" si="0"/>
        <v>0</v>
      </c>
      <c r="G34" s="232" t="str">
        <f>IFERROR(VLOOKUP(A34,'INFO BASE'!$S$66:$AC$97,11,0),"")</f>
        <v/>
      </c>
      <c r="H34" s="233" t="str">
        <f>IFERROR(VLOOKUP(A34,'INFO BASE'!$S$66:$AB$97,2,0),"")</f>
        <v/>
      </c>
      <c r="I34" s="237"/>
      <c r="J34" s="238"/>
      <c r="K34" s="229">
        <f t="shared" si="1"/>
        <v>0</v>
      </c>
      <c r="L34" s="232" t="str">
        <f>IFERROR(VLOOKUP(A34,'INFO BASE'!$U$66:$AC$97,9,0),"")</f>
        <v/>
      </c>
      <c r="M34" s="233" t="str">
        <f>IFERROR(VLOOKUP(A34,'INFO BASE'!$U$66:$AB$97,2,0),"")</f>
        <v/>
      </c>
      <c r="N34" s="237"/>
      <c r="O34" s="238"/>
      <c r="P34" s="229">
        <f t="shared" si="2"/>
        <v>0</v>
      </c>
      <c r="Q34" s="232" t="str">
        <f>IFERROR(VLOOKUP(A34,'INFO BASE'!$W$66:$AC$97,7,0),"")</f>
        <v/>
      </c>
      <c r="R34" s="233" t="str">
        <f>IFERROR(VLOOKUP(A34,'INFO BASE'!$W$66:$AB$97,2,0),"")</f>
        <v/>
      </c>
      <c r="S34" s="237"/>
      <c r="T34" s="238"/>
      <c r="U34" s="229">
        <f t="shared" si="3"/>
        <v>0</v>
      </c>
      <c r="V34" s="232" t="str">
        <f>IFERROR(VLOOKUP(A34,'INFO BASE'!$Y$66:$AC$97,5,0),"")</f>
        <v/>
      </c>
      <c r="W34" s="233" t="str">
        <f>IFERROR(VLOOKUP(A34,'INFO BASE'!$Y$66:$AB$97,2,0),"")</f>
        <v/>
      </c>
      <c r="X34" s="237"/>
      <c r="Y34" s="238"/>
      <c r="Z34" s="229">
        <f t="shared" si="4"/>
        <v>0</v>
      </c>
      <c r="AA34" s="232" t="str">
        <f>IFERROR(VLOOKUP(A34,'INFO BASE'!$AA$66:$AC$97,3,0),"")</f>
        <v/>
      </c>
      <c r="AB34" s="233" t="str">
        <f>IFERROR(VLOOKUP(A34,'INFO BASE'!$AA$66:$AB$97,2,0),"")</f>
        <v/>
      </c>
      <c r="AC34" s="236"/>
      <c r="AD34" s="235"/>
      <c r="AE34" s="231">
        <f t="shared" si="5"/>
        <v>0</v>
      </c>
    </row>
    <row r="35" spans="1:31" x14ac:dyDescent="0.3">
      <c r="A35" s="205">
        <v>29</v>
      </c>
      <c r="B35" s="232" t="str">
        <f>IFERROR(VLOOKUP(A35,'INFO BASE'!$Q$66:$AC$97,13,0),"")</f>
        <v/>
      </c>
      <c r="C35" s="233" t="str">
        <f>IFERROR(VLOOKUP(A35,'INFO BASE'!$Q$66:$AB$97,2,0),"")</f>
        <v/>
      </c>
      <c r="D35" s="237"/>
      <c r="E35" s="238"/>
      <c r="F35" s="229">
        <f t="shared" si="0"/>
        <v>0</v>
      </c>
      <c r="G35" s="232" t="str">
        <f>IFERROR(VLOOKUP(A35,'INFO BASE'!$S$66:$AC$97,11,0),"")</f>
        <v/>
      </c>
      <c r="H35" s="233" t="str">
        <f>IFERROR(VLOOKUP(A35,'INFO BASE'!$S$66:$AB$97,2,0),"")</f>
        <v/>
      </c>
      <c r="I35" s="237"/>
      <c r="J35" s="238"/>
      <c r="K35" s="229">
        <f t="shared" si="1"/>
        <v>0</v>
      </c>
      <c r="L35" s="232" t="str">
        <f>IFERROR(VLOOKUP(A35,'INFO BASE'!$U$66:$AC$97,9,0),"")</f>
        <v/>
      </c>
      <c r="M35" s="233" t="str">
        <f>IFERROR(VLOOKUP(A35,'INFO BASE'!$U$66:$AB$97,2,0),"")</f>
        <v/>
      </c>
      <c r="N35" s="237"/>
      <c r="O35" s="238"/>
      <c r="P35" s="229">
        <f t="shared" si="2"/>
        <v>0</v>
      </c>
      <c r="Q35" s="232" t="str">
        <f>IFERROR(VLOOKUP(A35,'INFO BASE'!$W$66:$AC$97,7,0),"")</f>
        <v/>
      </c>
      <c r="R35" s="233" t="str">
        <f>IFERROR(VLOOKUP(A35,'INFO BASE'!$W$66:$AB$97,2,0),"")</f>
        <v/>
      </c>
      <c r="S35" s="237"/>
      <c r="T35" s="238"/>
      <c r="U35" s="229">
        <f t="shared" si="3"/>
        <v>0</v>
      </c>
      <c r="V35" s="232" t="str">
        <f>IFERROR(VLOOKUP(A35,'INFO BASE'!$Y$66:$AC$97,5,0),"")</f>
        <v/>
      </c>
      <c r="W35" s="233" t="str">
        <f>IFERROR(VLOOKUP(A35,'INFO BASE'!$Y$66:$AB$97,2,0),"")</f>
        <v/>
      </c>
      <c r="X35" s="237"/>
      <c r="Y35" s="238"/>
      <c r="Z35" s="229">
        <f t="shared" si="4"/>
        <v>0</v>
      </c>
      <c r="AA35" s="232" t="str">
        <f>IFERROR(VLOOKUP(A35,'INFO BASE'!$AA$66:$AC$97,3,0),"")</f>
        <v/>
      </c>
      <c r="AB35" s="233" t="str">
        <f>IFERROR(VLOOKUP(A35,'INFO BASE'!$AA$66:$AB$97,2,0),"")</f>
        <v/>
      </c>
      <c r="AC35" s="237"/>
      <c r="AD35" s="238"/>
      <c r="AE35" s="231">
        <f t="shared" si="5"/>
        <v>0</v>
      </c>
    </row>
    <row r="36" spans="1:31" x14ac:dyDescent="0.3">
      <c r="A36" s="205">
        <v>30</v>
      </c>
      <c r="B36" s="232" t="str">
        <f>IFERROR(VLOOKUP(A36,'INFO BASE'!$Q$66:$AC$97,13,0),"")</f>
        <v/>
      </c>
      <c r="C36" s="233" t="str">
        <f>IFERROR(VLOOKUP(A36,'INFO BASE'!$Q$66:$AB$97,2,0),"")</f>
        <v/>
      </c>
      <c r="D36" s="237"/>
      <c r="E36" s="238"/>
      <c r="F36" s="229">
        <f t="shared" si="0"/>
        <v>0</v>
      </c>
      <c r="G36" s="232" t="str">
        <f>IFERROR(VLOOKUP(A36,'INFO BASE'!$S$66:$AC$97,11,0),"")</f>
        <v/>
      </c>
      <c r="H36" s="233" t="str">
        <f>IFERROR(VLOOKUP(A36,'INFO BASE'!$S$66:$AB$97,2,0),"")</f>
        <v/>
      </c>
      <c r="I36" s="237"/>
      <c r="J36" s="238"/>
      <c r="K36" s="229">
        <f t="shared" si="1"/>
        <v>0</v>
      </c>
      <c r="L36" s="232" t="str">
        <f>IFERROR(VLOOKUP(A36,'INFO BASE'!$U$66:$AC$97,9,0),"")</f>
        <v/>
      </c>
      <c r="M36" s="233" t="str">
        <f>IFERROR(VLOOKUP(A36,'INFO BASE'!$U$66:$AB$97,2,0),"")</f>
        <v/>
      </c>
      <c r="N36" s="237"/>
      <c r="O36" s="238"/>
      <c r="P36" s="229">
        <f t="shared" si="2"/>
        <v>0</v>
      </c>
      <c r="Q36" s="232" t="str">
        <f>IFERROR(VLOOKUP(A36,'INFO BASE'!$W$66:$AC$97,7,0),"")</f>
        <v/>
      </c>
      <c r="R36" s="233" t="str">
        <f>IFERROR(VLOOKUP(A36,'INFO BASE'!$W$66:$AB$97,2,0),"")</f>
        <v/>
      </c>
      <c r="S36" s="237"/>
      <c r="T36" s="238"/>
      <c r="U36" s="229">
        <f t="shared" si="3"/>
        <v>0</v>
      </c>
      <c r="V36" s="232" t="str">
        <f>IFERROR(VLOOKUP(A36,'INFO BASE'!$Y$66:$AC$97,5,0),"")</f>
        <v/>
      </c>
      <c r="W36" s="233" t="str">
        <f>IFERROR(VLOOKUP(A36,'INFO BASE'!$Y$66:$AB$97,2,0),"")</f>
        <v/>
      </c>
      <c r="X36" s="237"/>
      <c r="Y36" s="238"/>
      <c r="Z36" s="229">
        <f t="shared" si="4"/>
        <v>0</v>
      </c>
      <c r="AA36" s="232" t="str">
        <f>IFERROR(VLOOKUP(A36,'INFO BASE'!$AA$66:$AC$97,3,0),"")</f>
        <v/>
      </c>
      <c r="AB36" s="233" t="str">
        <f>IFERROR(VLOOKUP(A36,'INFO BASE'!$AA$66:$AB$97,2,0),"")</f>
        <v/>
      </c>
      <c r="AC36" s="237"/>
      <c r="AD36" s="238"/>
      <c r="AE36" s="231">
        <f t="shared" si="5"/>
        <v>0</v>
      </c>
    </row>
    <row r="37" spans="1:31" x14ac:dyDescent="0.3">
      <c r="B37" s="232"/>
      <c r="C37" s="239"/>
      <c r="D37" s="237"/>
      <c r="E37" s="238"/>
      <c r="F37" s="229"/>
      <c r="G37" s="232"/>
      <c r="H37" s="239"/>
      <c r="I37" s="237"/>
      <c r="J37" s="238"/>
      <c r="K37" s="229"/>
      <c r="L37" s="232"/>
      <c r="M37" s="239"/>
      <c r="N37" s="237"/>
      <c r="O37" s="238"/>
      <c r="P37" s="229"/>
      <c r="Q37" s="232"/>
      <c r="R37" s="239"/>
      <c r="S37" s="237"/>
      <c r="T37" s="238"/>
      <c r="U37" s="229"/>
      <c r="V37" s="232"/>
      <c r="W37" s="239"/>
      <c r="X37" s="237"/>
      <c r="Y37" s="238"/>
      <c r="Z37" s="229"/>
      <c r="AA37" s="232"/>
      <c r="AB37" s="239"/>
      <c r="AC37" s="237"/>
      <c r="AD37" s="238"/>
      <c r="AE37" s="231"/>
    </row>
    <row r="38" spans="1:31" x14ac:dyDescent="0.3">
      <c r="B38" s="232"/>
      <c r="C38" s="239"/>
      <c r="D38" s="237"/>
      <c r="E38" s="238"/>
      <c r="F38" s="229"/>
      <c r="G38" s="232"/>
      <c r="H38" s="239"/>
      <c r="I38" s="237"/>
      <c r="J38" s="238"/>
      <c r="K38" s="229"/>
      <c r="L38" s="232"/>
      <c r="M38" s="239"/>
      <c r="N38" s="237"/>
      <c r="O38" s="238"/>
      <c r="P38" s="229"/>
      <c r="Q38" s="232"/>
      <c r="R38" s="239"/>
      <c r="S38" s="237"/>
      <c r="T38" s="238"/>
      <c r="U38" s="229"/>
      <c r="V38" s="232"/>
      <c r="W38" s="239"/>
      <c r="X38" s="237"/>
      <c r="Y38" s="238"/>
      <c r="Z38" s="229"/>
      <c r="AA38" s="232"/>
      <c r="AB38" s="239"/>
      <c r="AC38" s="237"/>
      <c r="AD38" s="238"/>
      <c r="AE38" s="231"/>
    </row>
    <row r="39" spans="1:31" x14ac:dyDescent="0.3">
      <c r="B39" s="232"/>
      <c r="C39" s="239"/>
      <c r="D39" s="237"/>
      <c r="E39" s="238"/>
      <c r="F39" s="229"/>
      <c r="G39" s="232"/>
      <c r="H39" s="239"/>
      <c r="I39" s="237"/>
      <c r="J39" s="238"/>
      <c r="K39" s="229"/>
      <c r="L39" s="232"/>
      <c r="M39" s="239"/>
      <c r="N39" s="237"/>
      <c r="O39" s="238"/>
      <c r="P39" s="229"/>
      <c r="Q39" s="232"/>
      <c r="R39" s="239"/>
      <c r="S39" s="237"/>
      <c r="T39" s="238"/>
      <c r="U39" s="229"/>
      <c r="V39" s="232"/>
      <c r="W39" s="239"/>
      <c r="X39" s="237"/>
      <c r="Y39" s="238"/>
      <c r="Z39" s="229"/>
      <c r="AA39" s="232"/>
      <c r="AB39" s="239"/>
      <c r="AC39" s="237"/>
      <c r="AD39" s="238"/>
      <c r="AE39" s="231"/>
    </row>
    <row r="40" spans="1:31" x14ac:dyDescent="0.3">
      <c r="B40" s="232"/>
      <c r="C40" s="239"/>
      <c r="D40" s="237"/>
      <c r="E40" s="238"/>
      <c r="F40" s="229"/>
      <c r="G40" s="232"/>
      <c r="H40" s="239"/>
      <c r="I40" s="237"/>
      <c r="J40" s="238"/>
      <c r="K40" s="229"/>
      <c r="L40" s="232"/>
      <c r="M40" s="239"/>
      <c r="N40" s="237"/>
      <c r="O40" s="238"/>
      <c r="P40" s="229"/>
      <c r="Q40" s="232"/>
      <c r="R40" s="239"/>
      <c r="S40" s="237"/>
      <c r="T40" s="238"/>
      <c r="U40" s="229"/>
      <c r="V40" s="232"/>
      <c r="W40" s="239"/>
      <c r="X40" s="237"/>
      <c r="Y40" s="238"/>
      <c r="Z40" s="229"/>
      <c r="AA40" s="232"/>
      <c r="AB40" s="239"/>
      <c r="AC40" s="237"/>
      <c r="AD40" s="238"/>
      <c r="AE40" s="231"/>
    </row>
    <row r="41" spans="1:31" x14ac:dyDescent="0.3">
      <c r="B41" s="232"/>
      <c r="C41" s="239"/>
      <c r="D41" s="237"/>
      <c r="E41" s="238"/>
      <c r="F41" s="229"/>
      <c r="G41" s="232"/>
      <c r="H41" s="239"/>
      <c r="I41" s="237"/>
      <c r="J41" s="238"/>
      <c r="K41" s="229"/>
      <c r="L41" s="232"/>
      <c r="M41" s="239"/>
      <c r="N41" s="237"/>
      <c r="O41" s="238"/>
      <c r="P41" s="229"/>
      <c r="Q41" s="232"/>
      <c r="R41" s="239"/>
      <c r="S41" s="237"/>
      <c r="T41" s="238"/>
      <c r="U41" s="229"/>
      <c r="V41" s="232"/>
      <c r="W41" s="239"/>
      <c r="X41" s="237"/>
      <c r="Y41" s="238"/>
      <c r="Z41" s="229"/>
      <c r="AA41" s="232"/>
      <c r="AB41" s="239"/>
      <c r="AC41" s="237"/>
      <c r="AD41" s="238"/>
      <c r="AE41" s="231"/>
    </row>
    <row r="42" spans="1:31" x14ac:dyDescent="0.3">
      <c r="B42" s="232"/>
      <c r="C42" s="239"/>
      <c r="D42" s="237"/>
      <c r="E42" s="238"/>
      <c r="F42" s="229"/>
      <c r="G42" s="232"/>
      <c r="H42" s="239"/>
      <c r="I42" s="237"/>
      <c r="J42" s="238"/>
      <c r="K42" s="229"/>
      <c r="L42" s="232"/>
      <c r="M42" s="239"/>
      <c r="N42" s="237"/>
      <c r="O42" s="238"/>
      <c r="P42" s="229"/>
      <c r="Q42" s="232"/>
      <c r="R42" s="239"/>
      <c r="S42" s="237"/>
      <c r="T42" s="238"/>
      <c r="U42" s="229"/>
      <c r="V42" s="232"/>
      <c r="W42" s="239"/>
      <c r="X42" s="237"/>
      <c r="Y42" s="238"/>
      <c r="Z42" s="229"/>
      <c r="AA42" s="232"/>
      <c r="AB42" s="239"/>
      <c r="AC42" s="237"/>
      <c r="AD42" s="238"/>
      <c r="AE42" s="231"/>
    </row>
    <row r="43" spans="1:31" x14ac:dyDescent="0.3">
      <c r="B43" s="232"/>
      <c r="C43" s="239"/>
      <c r="D43" s="237"/>
      <c r="E43" s="238"/>
      <c r="F43" s="229"/>
      <c r="G43" s="232"/>
      <c r="H43" s="239"/>
      <c r="I43" s="237"/>
      <c r="J43" s="238"/>
      <c r="K43" s="229"/>
      <c r="L43" s="232"/>
      <c r="M43" s="239"/>
      <c r="N43" s="237"/>
      <c r="O43" s="238"/>
      <c r="P43" s="229"/>
      <c r="Q43" s="232"/>
      <c r="R43" s="239"/>
      <c r="S43" s="237"/>
      <c r="T43" s="238"/>
      <c r="U43" s="229"/>
      <c r="V43" s="232"/>
      <c r="W43" s="239"/>
      <c r="X43" s="237"/>
      <c r="Y43" s="238"/>
      <c r="Z43" s="229"/>
      <c r="AA43" s="232"/>
      <c r="AB43" s="239"/>
      <c r="AC43" s="237"/>
      <c r="AD43" s="238"/>
      <c r="AE43" s="231"/>
    </row>
    <row r="44" spans="1:31" x14ac:dyDescent="0.3">
      <c r="B44" s="232"/>
      <c r="C44" s="239"/>
      <c r="D44" s="237"/>
      <c r="E44" s="238"/>
      <c r="F44" s="229"/>
      <c r="G44" s="232"/>
      <c r="H44" s="239"/>
      <c r="I44" s="237"/>
      <c r="J44" s="238"/>
      <c r="K44" s="229"/>
      <c r="L44" s="232"/>
      <c r="M44" s="239"/>
      <c r="N44" s="237"/>
      <c r="O44" s="238"/>
      <c r="P44" s="229"/>
      <c r="Q44" s="232"/>
      <c r="R44" s="239"/>
      <c r="S44" s="237"/>
      <c r="T44" s="238"/>
      <c r="U44" s="229"/>
      <c r="V44" s="232"/>
      <c r="W44" s="239"/>
      <c r="X44" s="237"/>
      <c r="Y44" s="238"/>
      <c r="Z44" s="229"/>
      <c r="AA44" s="232"/>
      <c r="AB44" s="239"/>
      <c r="AC44" s="237"/>
      <c r="AD44" s="238"/>
      <c r="AE44" s="231"/>
    </row>
    <row r="45" spans="1:31" x14ac:dyDescent="0.3">
      <c r="B45" s="232"/>
      <c r="C45" s="239"/>
      <c r="D45" s="237"/>
      <c r="E45" s="238"/>
      <c r="F45" s="229"/>
      <c r="G45" s="232"/>
      <c r="H45" s="239"/>
      <c r="I45" s="237"/>
      <c r="J45" s="238"/>
      <c r="K45" s="229"/>
      <c r="L45" s="232"/>
      <c r="M45" s="239"/>
      <c r="N45" s="237"/>
      <c r="O45" s="238"/>
      <c r="P45" s="229"/>
      <c r="Q45" s="232"/>
      <c r="R45" s="239"/>
      <c r="S45" s="237"/>
      <c r="T45" s="238"/>
      <c r="U45" s="229"/>
      <c r="V45" s="232"/>
      <c r="W45" s="239"/>
      <c r="X45" s="237"/>
      <c r="Y45" s="238"/>
      <c r="Z45" s="229"/>
      <c r="AA45" s="232"/>
      <c r="AB45" s="239"/>
      <c r="AC45" s="237"/>
      <c r="AD45" s="238"/>
      <c r="AE45" s="231"/>
    </row>
    <row r="46" spans="1:31" x14ac:dyDescent="0.3">
      <c r="B46" s="232"/>
      <c r="C46" s="239"/>
      <c r="D46" s="237"/>
      <c r="E46" s="238"/>
      <c r="F46" s="229"/>
      <c r="G46" s="232"/>
      <c r="H46" s="239"/>
      <c r="I46" s="237"/>
      <c r="J46" s="238"/>
      <c r="K46" s="229"/>
      <c r="L46" s="232"/>
      <c r="M46" s="239"/>
      <c r="N46" s="237"/>
      <c r="O46" s="238"/>
      <c r="P46" s="229"/>
      <c r="Q46" s="232"/>
      <c r="R46" s="239"/>
      <c r="S46" s="237"/>
      <c r="T46" s="238"/>
      <c r="U46" s="229"/>
      <c r="V46" s="232"/>
      <c r="W46" s="239"/>
      <c r="X46" s="237"/>
      <c r="Y46" s="238"/>
      <c r="Z46" s="229"/>
      <c r="AA46" s="232"/>
      <c r="AB46" s="239"/>
      <c r="AC46" s="237"/>
      <c r="AD46" s="238"/>
      <c r="AE46" s="231"/>
    </row>
    <row r="47" spans="1:31" x14ac:dyDescent="0.3">
      <c r="B47" s="240"/>
      <c r="C47" s="241"/>
      <c r="D47" s="242"/>
      <c r="E47" s="243"/>
      <c r="F47" s="231"/>
      <c r="G47" s="240"/>
      <c r="H47" s="241"/>
      <c r="I47" s="242"/>
      <c r="J47" s="243"/>
      <c r="K47" s="231"/>
      <c r="L47" s="240"/>
      <c r="M47" s="241"/>
      <c r="N47" s="242"/>
      <c r="O47" s="243"/>
      <c r="P47" s="231"/>
      <c r="Q47" s="240"/>
      <c r="R47" s="241"/>
      <c r="S47" s="242"/>
      <c r="T47" s="243"/>
      <c r="U47" s="231"/>
      <c r="V47" s="240"/>
      <c r="W47" s="241"/>
      <c r="X47" s="242"/>
      <c r="Y47" s="243"/>
      <c r="Z47" s="231"/>
      <c r="AA47" s="240"/>
      <c r="AB47" s="241"/>
      <c r="AC47" s="242"/>
      <c r="AD47" s="243"/>
      <c r="AE47" s="231"/>
    </row>
    <row r="48" spans="1:31" x14ac:dyDescent="0.3">
      <c r="B48" s="240"/>
      <c r="C48" s="241"/>
      <c r="D48" s="242"/>
      <c r="E48" s="243"/>
      <c r="F48" s="231"/>
      <c r="G48" s="240"/>
      <c r="H48" s="241"/>
      <c r="I48" s="242"/>
      <c r="J48" s="243"/>
      <c r="K48" s="231"/>
      <c r="L48" s="240"/>
      <c r="M48" s="241"/>
      <c r="N48" s="242"/>
      <c r="O48" s="243"/>
      <c r="P48" s="231"/>
      <c r="Q48" s="240"/>
      <c r="R48" s="241"/>
      <c r="S48" s="242"/>
      <c r="T48" s="243"/>
      <c r="U48" s="231"/>
      <c r="V48" s="240"/>
      <c r="W48" s="241"/>
      <c r="X48" s="242"/>
      <c r="Y48" s="243"/>
      <c r="Z48" s="231"/>
      <c r="AA48" s="240"/>
      <c r="AB48" s="241"/>
      <c r="AC48" s="242"/>
      <c r="AD48" s="243"/>
      <c r="AE48" s="231"/>
    </row>
    <row r="49" spans="2:31" x14ac:dyDescent="0.3">
      <c r="B49" s="240"/>
      <c r="C49" s="241"/>
      <c r="D49" s="242"/>
      <c r="E49" s="243"/>
      <c r="F49" s="231"/>
      <c r="G49" s="240"/>
      <c r="H49" s="241"/>
      <c r="I49" s="242"/>
      <c r="J49" s="243"/>
      <c r="K49" s="231"/>
      <c r="L49" s="240"/>
      <c r="M49" s="241"/>
      <c r="N49" s="242"/>
      <c r="O49" s="243"/>
      <c r="P49" s="231"/>
      <c r="Q49" s="240"/>
      <c r="R49" s="241"/>
      <c r="S49" s="242"/>
      <c r="T49" s="243"/>
      <c r="U49" s="231"/>
      <c r="V49" s="240"/>
      <c r="W49" s="241"/>
      <c r="X49" s="242"/>
      <c r="Y49" s="243"/>
      <c r="Z49" s="231"/>
      <c r="AA49" s="240"/>
      <c r="AB49" s="241"/>
      <c r="AC49" s="242"/>
      <c r="AD49" s="243"/>
      <c r="AE49" s="231"/>
    </row>
    <row r="50" spans="2:31" x14ac:dyDescent="0.3">
      <c r="B50" s="240"/>
      <c r="C50" s="241"/>
      <c r="D50" s="242"/>
      <c r="E50" s="243"/>
      <c r="F50" s="231"/>
      <c r="G50" s="240"/>
      <c r="H50" s="241"/>
      <c r="I50" s="242"/>
      <c r="J50" s="243"/>
      <c r="K50" s="231"/>
      <c r="L50" s="240"/>
      <c r="M50" s="241"/>
      <c r="N50" s="242"/>
      <c r="O50" s="243"/>
      <c r="P50" s="231"/>
      <c r="Q50" s="240"/>
      <c r="R50" s="241"/>
      <c r="S50" s="242"/>
      <c r="T50" s="243"/>
      <c r="U50" s="231"/>
      <c r="V50" s="240"/>
      <c r="W50" s="241"/>
      <c r="X50" s="242"/>
      <c r="Y50" s="243"/>
      <c r="Z50" s="231"/>
      <c r="AA50" s="240"/>
      <c r="AB50" s="241"/>
      <c r="AC50" s="242"/>
      <c r="AD50" s="243"/>
      <c r="AE50" s="231"/>
    </row>
    <row r="51" spans="2:31" x14ac:dyDescent="0.3">
      <c r="B51" s="240"/>
      <c r="C51" s="241"/>
      <c r="D51" s="242"/>
      <c r="E51" s="243"/>
      <c r="F51" s="231"/>
      <c r="G51" s="240"/>
      <c r="H51" s="241"/>
      <c r="I51" s="242"/>
      <c r="J51" s="243"/>
      <c r="K51" s="231"/>
      <c r="L51" s="240"/>
      <c r="M51" s="241"/>
      <c r="N51" s="242"/>
      <c r="O51" s="243"/>
      <c r="P51" s="231"/>
      <c r="Q51" s="240"/>
      <c r="R51" s="241"/>
      <c r="S51" s="242"/>
      <c r="T51" s="243"/>
      <c r="U51" s="231"/>
      <c r="V51" s="240"/>
      <c r="W51" s="241"/>
      <c r="X51" s="242"/>
      <c r="Y51" s="243"/>
      <c r="Z51" s="231"/>
      <c r="AA51" s="240"/>
      <c r="AB51" s="241"/>
      <c r="AC51" s="242"/>
      <c r="AD51" s="243"/>
      <c r="AE51" s="231"/>
    </row>
    <row r="52" spans="2:31" x14ac:dyDescent="0.3">
      <c r="B52" s="240"/>
      <c r="C52" s="241"/>
      <c r="D52" s="242"/>
      <c r="E52" s="243"/>
      <c r="F52" s="231"/>
      <c r="G52" s="240"/>
      <c r="H52" s="241"/>
      <c r="I52" s="242"/>
      <c r="J52" s="243"/>
      <c r="K52" s="231"/>
      <c r="L52" s="240"/>
      <c r="M52" s="241"/>
      <c r="N52" s="242"/>
      <c r="O52" s="243"/>
      <c r="P52" s="231"/>
      <c r="Q52" s="240"/>
      <c r="R52" s="241"/>
      <c r="S52" s="242"/>
      <c r="T52" s="243"/>
      <c r="U52" s="231"/>
      <c r="V52" s="240"/>
      <c r="W52" s="241"/>
      <c r="X52" s="242"/>
      <c r="Y52" s="243"/>
      <c r="Z52" s="231"/>
      <c r="AA52" s="240"/>
      <c r="AB52" s="241"/>
      <c r="AC52" s="242"/>
      <c r="AD52" s="243"/>
      <c r="AE52" s="231"/>
    </row>
    <row r="53" spans="2:31" x14ac:dyDescent="0.3">
      <c r="B53" s="240"/>
      <c r="C53" s="241"/>
      <c r="D53" s="242"/>
      <c r="E53" s="243"/>
      <c r="F53" s="231"/>
      <c r="G53" s="240"/>
      <c r="H53" s="241"/>
      <c r="I53" s="242"/>
      <c r="J53" s="243"/>
      <c r="K53" s="231"/>
      <c r="L53" s="240"/>
      <c r="M53" s="241"/>
      <c r="N53" s="242"/>
      <c r="O53" s="243"/>
      <c r="P53" s="231"/>
      <c r="Q53" s="240"/>
      <c r="R53" s="241"/>
      <c r="S53" s="242"/>
      <c r="T53" s="243"/>
      <c r="U53" s="231"/>
      <c r="V53" s="240"/>
      <c r="W53" s="241"/>
      <c r="X53" s="242"/>
      <c r="Y53" s="243"/>
      <c r="Z53" s="231"/>
      <c r="AA53" s="240"/>
      <c r="AB53" s="241"/>
      <c r="AC53" s="242"/>
      <c r="AD53" s="243"/>
      <c r="AE53" s="231"/>
    </row>
    <row r="54" spans="2:31" x14ac:dyDescent="0.3">
      <c r="B54" s="240"/>
      <c r="C54" s="241"/>
      <c r="D54" s="242"/>
      <c r="E54" s="243"/>
      <c r="F54" s="231"/>
      <c r="G54" s="240"/>
      <c r="H54" s="241"/>
      <c r="I54" s="242"/>
      <c r="J54" s="243"/>
      <c r="K54" s="231"/>
      <c r="L54" s="240"/>
      <c r="M54" s="241"/>
      <c r="N54" s="242"/>
      <c r="O54" s="243"/>
      <c r="P54" s="231"/>
      <c r="Q54" s="240"/>
      <c r="R54" s="241"/>
      <c r="S54" s="242"/>
      <c r="T54" s="243"/>
      <c r="U54" s="231"/>
      <c r="V54" s="240"/>
      <c r="W54" s="241"/>
      <c r="X54" s="242"/>
      <c r="Y54" s="243"/>
      <c r="Z54" s="231"/>
      <c r="AA54" s="240"/>
      <c r="AB54" s="241"/>
      <c r="AC54" s="242"/>
      <c r="AD54" s="243"/>
      <c r="AE54" s="231"/>
    </row>
    <row r="55" spans="2:31" x14ac:dyDescent="0.3">
      <c r="B55" s="240"/>
      <c r="C55" s="241"/>
      <c r="D55" s="242"/>
      <c r="E55" s="243"/>
      <c r="F55" s="231"/>
      <c r="G55" s="240"/>
      <c r="H55" s="241"/>
      <c r="I55" s="242"/>
      <c r="J55" s="243"/>
      <c r="K55" s="231"/>
      <c r="L55" s="240"/>
      <c r="M55" s="241"/>
      <c r="N55" s="242"/>
      <c r="O55" s="243"/>
      <c r="P55" s="231"/>
      <c r="Q55" s="240"/>
      <c r="R55" s="241"/>
      <c r="S55" s="242"/>
      <c r="T55" s="243"/>
      <c r="U55" s="231"/>
      <c r="V55" s="240"/>
      <c r="W55" s="241"/>
      <c r="X55" s="242"/>
      <c r="Y55" s="243"/>
      <c r="Z55" s="231"/>
      <c r="AA55" s="240"/>
      <c r="AB55" s="241"/>
      <c r="AC55" s="242"/>
      <c r="AD55" s="243"/>
      <c r="AE55" s="231"/>
    </row>
    <row r="56" spans="2:31" x14ac:dyDescent="0.3">
      <c r="B56" s="240"/>
      <c r="C56" s="241"/>
      <c r="D56" s="242"/>
      <c r="E56" s="243"/>
      <c r="F56" s="231"/>
      <c r="G56" s="240"/>
      <c r="H56" s="241"/>
      <c r="I56" s="242"/>
      <c r="J56" s="243"/>
      <c r="K56" s="231"/>
      <c r="L56" s="240"/>
      <c r="M56" s="241"/>
      <c r="N56" s="242"/>
      <c r="O56" s="243"/>
      <c r="P56" s="231"/>
      <c r="Q56" s="240"/>
      <c r="R56" s="241"/>
      <c r="S56" s="242"/>
      <c r="T56" s="243"/>
      <c r="U56" s="231"/>
      <c r="V56" s="240"/>
      <c r="W56" s="241"/>
      <c r="X56" s="242"/>
      <c r="Y56" s="243"/>
      <c r="Z56" s="231"/>
      <c r="AA56" s="240"/>
      <c r="AB56" s="241"/>
      <c r="AC56" s="242"/>
      <c r="AD56" s="243"/>
      <c r="AE56" s="231"/>
    </row>
    <row r="57" spans="2:31" x14ac:dyDescent="0.3">
      <c r="B57" s="240"/>
      <c r="C57" s="241"/>
      <c r="D57" s="242"/>
      <c r="E57" s="243"/>
      <c r="F57" s="231"/>
      <c r="G57" s="240"/>
      <c r="H57" s="241"/>
      <c r="I57" s="242"/>
      <c r="J57" s="243"/>
      <c r="K57" s="231"/>
      <c r="L57" s="240"/>
      <c r="M57" s="241"/>
      <c r="N57" s="242"/>
      <c r="O57" s="243"/>
      <c r="P57" s="231"/>
      <c r="Q57" s="240"/>
      <c r="R57" s="241"/>
      <c r="S57" s="242"/>
      <c r="T57" s="243"/>
      <c r="U57" s="231"/>
      <c r="V57" s="240"/>
      <c r="W57" s="241"/>
      <c r="X57" s="242"/>
      <c r="Y57" s="243"/>
      <c r="Z57" s="231"/>
      <c r="AA57" s="240"/>
      <c r="AB57" s="241"/>
      <c r="AC57" s="242"/>
      <c r="AD57" s="243"/>
      <c r="AE57" s="231"/>
    </row>
    <row r="58" spans="2:31" x14ac:dyDescent="0.3">
      <c r="B58" s="240"/>
      <c r="C58" s="241"/>
      <c r="D58" s="242"/>
      <c r="E58" s="243"/>
      <c r="F58" s="231"/>
      <c r="G58" s="240"/>
      <c r="H58" s="241"/>
      <c r="I58" s="242"/>
      <c r="J58" s="243"/>
      <c r="K58" s="231"/>
      <c r="L58" s="240"/>
      <c r="M58" s="241"/>
      <c r="N58" s="242"/>
      <c r="O58" s="243"/>
      <c r="P58" s="231"/>
      <c r="Q58" s="240"/>
      <c r="R58" s="241"/>
      <c r="S58" s="242"/>
      <c r="T58" s="243"/>
      <c r="U58" s="231"/>
      <c r="V58" s="240"/>
      <c r="W58" s="241"/>
      <c r="X58" s="242"/>
      <c r="Y58" s="243"/>
      <c r="Z58" s="231"/>
      <c r="AA58" s="240"/>
      <c r="AB58" s="241"/>
      <c r="AC58" s="242"/>
      <c r="AD58" s="243"/>
      <c r="AE58" s="231"/>
    </row>
    <row r="59" spans="2:31" x14ac:dyDescent="0.3">
      <c r="B59" s="240"/>
      <c r="C59" s="241"/>
      <c r="D59" s="242"/>
      <c r="E59" s="243"/>
      <c r="F59" s="231"/>
      <c r="G59" s="240"/>
      <c r="H59" s="241"/>
      <c r="I59" s="242"/>
      <c r="J59" s="243"/>
      <c r="K59" s="231"/>
      <c r="L59" s="240"/>
      <c r="M59" s="241"/>
      <c r="N59" s="242"/>
      <c r="O59" s="243"/>
      <c r="P59" s="231"/>
      <c r="Q59" s="240"/>
      <c r="R59" s="241"/>
      <c r="S59" s="242"/>
      <c r="T59" s="243"/>
      <c r="U59" s="231"/>
      <c r="V59" s="240"/>
      <c r="W59" s="241"/>
      <c r="X59" s="242"/>
      <c r="Y59" s="243"/>
      <c r="Z59" s="231"/>
      <c r="AA59" s="240"/>
      <c r="AB59" s="241"/>
      <c r="AC59" s="242"/>
      <c r="AD59" s="243"/>
      <c r="AE59" s="231"/>
    </row>
    <row r="60" spans="2:31" hidden="1" x14ac:dyDescent="0.3">
      <c r="B60" s="240"/>
      <c r="C60" s="241"/>
      <c r="D60" s="242"/>
      <c r="E60" s="243"/>
      <c r="F60" s="231"/>
      <c r="G60" s="240"/>
      <c r="H60" s="241"/>
      <c r="I60" s="242"/>
      <c r="J60" s="243"/>
      <c r="K60" s="231"/>
      <c r="L60" s="240"/>
      <c r="M60" s="241"/>
      <c r="N60" s="242"/>
      <c r="O60" s="243"/>
      <c r="P60" s="231"/>
      <c r="Q60" s="240"/>
      <c r="R60" s="241"/>
      <c r="S60" s="242"/>
      <c r="T60" s="243"/>
      <c r="U60" s="231"/>
      <c r="V60" s="240"/>
      <c r="W60" s="241"/>
      <c r="X60" s="242"/>
      <c r="Y60" s="243"/>
      <c r="Z60" s="231"/>
      <c r="AA60" s="240"/>
      <c r="AB60" s="241"/>
      <c r="AC60" s="242"/>
      <c r="AD60" s="243"/>
      <c r="AE60" s="231"/>
    </row>
    <row r="61" spans="2:31" hidden="1" x14ac:dyDescent="0.3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</row>
    <row r="62" spans="2:31" hidden="1" x14ac:dyDescent="0.3">
      <c r="B62" s="231"/>
      <c r="C62" s="231"/>
      <c r="D62" s="231"/>
      <c r="E62" s="231"/>
      <c r="F62" s="231"/>
      <c r="G62" s="231"/>
      <c r="H62" s="231"/>
      <c r="I62" s="231"/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</row>
    <row r="63" spans="2:31" hidden="1" x14ac:dyDescent="0.3">
      <c r="B63" s="231"/>
      <c r="C63" s="231"/>
      <c r="D63" s="231"/>
      <c r="E63" s="231"/>
      <c r="F63" s="231"/>
      <c r="G63" s="231"/>
      <c r="H63" s="231"/>
      <c r="I63" s="231"/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</row>
    <row r="64" spans="2:31" hidden="1" x14ac:dyDescent="0.3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</row>
    <row r="65" spans="2:31" hidden="1" x14ac:dyDescent="0.3">
      <c r="B65" s="231"/>
      <c r="C65" s="231"/>
      <c r="D65" s="231"/>
      <c r="E65" s="231"/>
      <c r="F65" s="231"/>
      <c r="G65" s="231"/>
      <c r="H65" s="231"/>
      <c r="I65" s="231"/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</row>
    <row r="66" spans="2:31" hidden="1" x14ac:dyDescent="0.3">
      <c r="B66" s="231"/>
      <c r="C66" s="231"/>
      <c r="D66" s="231"/>
      <c r="E66" s="231"/>
      <c r="F66" s="231"/>
      <c r="G66" s="231"/>
      <c r="H66" s="231"/>
      <c r="I66" s="231"/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</row>
    <row r="67" spans="2:31" hidden="1" x14ac:dyDescent="0.3"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</row>
    <row r="68" spans="2:31" hidden="1" x14ac:dyDescent="0.3">
      <c r="B68" s="231"/>
      <c r="C68" s="231"/>
      <c r="D68" s="231"/>
      <c r="E68" s="231"/>
      <c r="F68" s="231"/>
      <c r="G68" s="231"/>
      <c r="H68" s="231"/>
      <c r="I68" s="231"/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</row>
    <row r="69" spans="2:31" hidden="1" x14ac:dyDescent="0.3">
      <c r="B69" s="231"/>
      <c r="C69" s="231"/>
      <c r="D69" s="231"/>
      <c r="E69" s="231"/>
      <c r="F69" s="231"/>
      <c r="G69" s="231"/>
      <c r="H69" s="231"/>
      <c r="I69" s="231"/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</row>
    <row r="70" spans="2:31" hidden="1" x14ac:dyDescent="0.3">
      <c r="B70" s="231"/>
      <c r="C70" s="231"/>
      <c r="D70" s="231"/>
      <c r="E70" s="231"/>
      <c r="F70" s="231"/>
      <c r="G70" s="231"/>
      <c r="H70" s="231"/>
      <c r="I70" s="231"/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</row>
    <row r="71" spans="2:31" hidden="1" x14ac:dyDescent="0.3">
      <c r="B71" s="231"/>
      <c r="C71" s="231"/>
      <c r="D71" s="231"/>
      <c r="E71" s="231"/>
      <c r="F71" s="231"/>
      <c r="G71" s="231"/>
      <c r="H71" s="231"/>
      <c r="I71" s="231"/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</row>
    <row r="72" spans="2:31" hidden="1" x14ac:dyDescent="0.3">
      <c r="B72" s="231"/>
      <c r="C72" s="231"/>
      <c r="D72" s="231"/>
      <c r="E72" s="231"/>
      <c r="F72" s="231"/>
      <c r="G72" s="231"/>
      <c r="H72" s="231"/>
      <c r="I72" s="231"/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</row>
    <row r="73" spans="2:31" hidden="1" x14ac:dyDescent="0.3">
      <c r="B73" s="231"/>
      <c r="C73" s="231"/>
      <c r="D73" s="231"/>
      <c r="E73" s="231"/>
      <c r="F73" s="231"/>
      <c r="G73" s="231"/>
      <c r="H73" s="231"/>
      <c r="I73" s="231"/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</row>
    <row r="74" spans="2:31" hidden="1" x14ac:dyDescent="0.3">
      <c r="B74" s="231"/>
      <c r="C74" s="231"/>
      <c r="D74" s="231"/>
      <c r="E74" s="231"/>
      <c r="F74" s="231"/>
      <c r="G74" s="231"/>
      <c r="H74" s="231"/>
      <c r="I74" s="231"/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</row>
    <row r="75" spans="2:31" hidden="1" x14ac:dyDescent="0.3">
      <c r="B75" s="231"/>
      <c r="C75" s="231"/>
      <c r="D75" s="231"/>
      <c r="E75" s="231"/>
      <c r="F75" s="231"/>
      <c r="G75" s="231"/>
      <c r="H75" s="231"/>
      <c r="I75" s="231"/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  <c r="U75" s="231"/>
      <c r="V75" s="231"/>
      <c r="W75" s="231"/>
      <c r="X75" s="231"/>
      <c r="Y75" s="231"/>
      <c r="Z75" s="231"/>
      <c r="AA75" s="231"/>
      <c r="AB75" s="231"/>
      <c r="AC75" s="231"/>
      <c r="AD75" s="231"/>
      <c r="AE75" s="231"/>
    </row>
    <row r="76" spans="2:31" hidden="1" x14ac:dyDescent="0.3">
      <c r="B76" s="231"/>
      <c r="C76" s="231"/>
      <c r="D76" s="231"/>
      <c r="E76" s="231"/>
      <c r="F76" s="231"/>
      <c r="G76" s="231"/>
      <c r="H76" s="231"/>
      <c r="I76" s="231"/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  <c r="U76" s="231"/>
      <c r="V76" s="231"/>
      <c r="W76" s="231"/>
      <c r="X76" s="231"/>
      <c r="Y76" s="231"/>
      <c r="Z76" s="231"/>
      <c r="AA76" s="231"/>
      <c r="AB76" s="231"/>
      <c r="AC76" s="231"/>
      <c r="AD76" s="231"/>
      <c r="AE76" s="231"/>
    </row>
    <row r="77" spans="2:31" hidden="1" x14ac:dyDescent="0.3">
      <c r="B77" s="231"/>
      <c r="C77" s="231"/>
      <c r="D77" s="231"/>
      <c r="E77" s="231"/>
      <c r="F77" s="231"/>
      <c r="G77" s="231"/>
      <c r="H77" s="231"/>
      <c r="I77" s="231"/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  <c r="U77" s="231"/>
      <c r="V77" s="231"/>
      <c r="W77" s="231"/>
      <c r="X77" s="231"/>
      <c r="Y77" s="231"/>
      <c r="Z77" s="231"/>
      <c r="AA77" s="231"/>
      <c r="AB77" s="231"/>
      <c r="AC77" s="231"/>
      <c r="AD77" s="231"/>
      <c r="AE77" s="231"/>
    </row>
    <row r="78" spans="2:31" hidden="1" x14ac:dyDescent="0.3">
      <c r="B78" s="231"/>
      <c r="C78" s="231"/>
      <c r="D78" s="231"/>
      <c r="E78" s="231"/>
      <c r="F78" s="231"/>
      <c r="G78" s="231"/>
      <c r="H78" s="231"/>
      <c r="I78" s="231"/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  <c r="U78" s="231"/>
      <c r="V78" s="231"/>
      <c r="W78" s="231"/>
      <c r="X78" s="231"/>
      <c r="Y78" s="231"/>
      <c r="Z78" s="231"/>
      <c r="AA78" s="231"/>
      <c r="AB78" s="231"/>
      <c r="AC78" s="231"/>
      <c r="AD78" s="231"/>
      <c r="AE78" s="231"/>
    </row>
    <row r="79" spans="2:31" hidden="1" x14ac:dyDescent="0.3">
      <c r="B79" s="231"/>
      <c r="C79" s="231"/>
      <c r="D79" s="231"/>
      <c r="E79" s="231"/>
      <c r="F79" s="231"/>
      <c r="G79" s="231"/>
      <c r="H79" s="231"/>
      <c r="I79" s="231"/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  <c r="U79" s="231"/>
      <c r="V79" s="231"/>
      <c r="W79" s="231"/>
      <c r="X79" s="231"/>
      <c r="Y79" s="231"/>
      <c r="Z79" s="231"/>
      <c r="AA79" s="231"/>
      <c r="AB79" s="231"/>
      <c r="AC79" s="231"/>
      <c r="AD79" s="231"/>
      <c r="AE79" s="231"/>
    </row>
    <row r="80" spans="2:31" hidden="1" x14ac:dyDescent="0.3">
      <c r="B80" s="231"/>
      <c r="C80" s="231"/>
      <c r="D80" s="231"/>
      <c r="E80" s="231"/>
      <c r="F80" s="231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  <c r="U80" s="231"/>
      <c r="V80" s="231"/>
      <c r="W80" s="231"/>
      <c r="X80" s="231"/>
      <c r="Y80" s="231"/>
      <c r="Z80" s="231"/>
      <c r="AA80" s="231"/>
      <c r="AB80" s="231"/>
      <c r="AC80" s="231"/>
      <c r="AD80" s="231"/>
      <c r="AE80" s="231"/>
    </row>
    <row r="81" spans="2:31" hidden="1" x14ac:dyDescent="0.3">
      <c r="B81" s="231"/>
      <c r="C81" s="231"/>
      <c r="D81" s="231"/>
      <c r="E81" s="231"/>
      <c r="F81" s="231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  <c r="U81" s="231"/>
      <c r="V81" s="231"/>
      <c r="W81" s="231"/>
      <c r="X81" s="231"/>
      <c r="Y81" s="231"/>
      <c r="Z81" s="231"/>
      <c r="AA81" s="231"/>
      <c r="AB81" s="231"/>
      <c r="AC81" s="231"/>
      <c r="AD81" s="231"/>
      <c r="AE81" s="231"/>
    </row>
    <row r="82" spans="2:31" hidden="1" x14ac:dyDescent="0.3">
      <c r="B82" s="231"/>
      <c r="C82" s="231"/>
      <c r="D82" s="231"/>
      <c r="E82" s="231"/>
      <c r="F82" s="231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  <c r="U82" s="231"/>
      <c r="V82" s="231"/>
      <c r="W82" s="231"/>
      <c r="X82" s="231"/>
      <c r="Y82" s="231"/>
      <c r="Z82" s="231"/>
      <c r="AA82" s="231"/>
      <c r="AB82" s="231"/>
      <c r="AC82" s="231"/>
      <c r="AD82" s="231"/>
      <c r="AE82" s="231"/>
    </row>
    <row r="83" spans="2:31" hidden="1" x14ac:dyDescent="0.3">
      <c r="B83" s="231"/>
      <c r="C83" s="231"/>
      <c r="D83" s="231"/>
      <c r="E83" s="231"/>
      <c r="F83" s="231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  <c r="U83" s="231"/>
      <c r="V83" s="231"/>
      <c r="W83" s="231"/>
      <c r="X83" s="231"/>
      <c r="Y83" s="231"/>
      <c r="Z83" s="231"/>
      <c r="AA83" s="231"/>
      <c r="AB83" s="231"/>
      <c r="AC83" s="231"/>
      <c r="AD83" s="231"/>
      <c r="AE83" s="231"/>
    </row>
    <row r="84" spans="2:31" hidden="1" x14ac:dyDescent="0.3">
      <c r="B84" s="231"/>
      <c r="C84" s="231"/>
      <c r="D84" s="231"/>
      <c r="E84" s="231"/>
      <c r="F84" s="231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  <c r="U84" s="231"/>
      <c r="V84" s="231"/>
      <c r="W84" s="231"/>
      <c r="X84" s="231"/>
      <c r="Y84" s="231"/>
      <c r="Z84" s="231"/>
      <c r="AA84" s="231"/>
      <c r="AB84" s="231"/>
      <c r="AC84" s="231"/>
      <c r="AD84" s="231"/>
      <c r="AE84" s="231"/>
    </row>
    <row r="85" spans="2:31" hidden="1" x14ac:dyDescent="0.3">
      <c r="B85" s="231"/>
      <c r="C85" s="231"/>
      <c r="D85" s="231"/>
      <c r="E85" s="231"/>
      <c r="F85" s="23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  <c r="U85" s="231"/>
      <c r="V85" s="231"/>
      <c r="W85" s="231"/>
      <c r="X85" s="231"/>
      <c r="Y85" s="231"/>
      <c r="Z85" s="231"/>
      <c r="AA85" s="231"/>
      <c r="AB85" s="231"/>
      <c r="AC85" s="231"/>
      <c r="AD85" s="231"/>
      <c r="AE85" s="231"/>
    </row>
    <row r="86" spans="2:31" hidden="1" x14ac:dyDescent="0.3">
      <c r="B86" s="231"/>
      <c r="C86" s="231"/>
      <c r="D86" s="231"/>
      <c r="E86" s="231"/>
      <c r="F86" s="23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  <c r="U86" s="231"/>
      <c r="V86" s="231"/>
      <c r="W86" s="231"/>
      <c r="X86" s="231"/>
      <c r="Y86" s="231"/>
      <c r="Z86" s="231"/>
      <c r="AA86" s="231"/>
      <c r="AB86" s="231"/>
      <c r="AC86" s="231"/>
      <c r="AD86" s="231"/>
      <c r="AE86" s="231"/>
    </row>
    <row r="87" spans="2:31" hidden="1" x14ac:dyDescent="0.3">
      <c r="B87" s="231"/>
      <c r="C87" s="231"/>
      <c r="D87" s="231"/>
      <c r="E87" s="231"/>
      <c r="F87" s="23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  <c r="U87" s="231"/>
      <c r="V87" s="231"/>
      <c r="W87" s="231"/>
      <c r="X87" s="231"/>
      <c r="Y87" s="231"/>
      <c r="Z87" s="231"/>
      <c r="AA87" s="231"/>
      <c r="AB87" s="231"/>
      <c r="AC87" s="231"/>
      <c r="AD87" s="231"/>
      <c r="AE87" s="231"/>
    </row>
    <row r="88" spans="2:31" hidden="1" x14ac:dyDescent="0.3">
      <c r="B88" s="231"/>
      <c r="C88" s="231"/>
      <c r="D88" s="231"/>
      <c r="E88" s="231"/>
      <c r="F88" s="231"/>
      <c r="G88" s="231"/>
      <c r="H88" s="231"/>
      <c r="I88" s="231"/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/>
      <c r="AE88" s="231"/>
    </row>
    <row r="89" spans="2:31" hidden="1" x14ac:dyDescent="0.3">
      <c r="B89" s="231"/>
      <c r="C89" s="231"/>
      <c r="D89" s="231"/>
      <c r="E89" s="231"/>
      <c r="F89" s="231"/>
      <c r="G89" s="231"/>
      <c r="H89" s="231"/>
      <c r="I89" s="231"/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  <c r="U89" s="231"/>
      <c r="V89" s="231"/>
      <c r="W89" s="231"/>
      <c r="X89" s="231"/>
      <c r="Y89" s="231"/>
      <c r="Z89" s="231"/>
      <c r="AA89" s="231"/>
      <c r="AB89" s="231"/>
      <c r="AC89" s="231"/>
      <c r="AD89" s="231"/>
      <c r="AE89" s="231"/>
    </row>
    <row r="90" spans="2:31" hidden="1" x14ac:dyDescent="0.3">
      <c r="B90" s="231"/>
      <c r="C90" s="231"/>
      <c r="D90" s="231"/>
      <c r="E90" s="231"/>
      <c r="F90" s="231"/>
      <c r="G90" s="231"/>
      <c r="H90" s="231"/>
      <c r="I90" s="231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  <c r="Z90" s="231"/>
      <c r="AA90" s="231"/>
      <c r="AB90" s="231"/>
      <c r="AC90" s="231"/>
      <c r="AD90" s="231"/>
      <c r="AE90" s="231"/>
    </row>
    <row r="91" spans="2:31" hidden="1" x14ac:dyDescent="0.3">
      <c r="B91" s="231"/>
      <c r="C91" s="231"/>
      <c r="D91" s="231"/>
      <c r="E91" s="231"/>
      <c r="F91" s="231"/>
      <c r="G91" s="231"/>
      <c r="H91" s="231"/>
      <c r="I91" s="231"/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  <c r="U91" s="231"/>
      <c r="V91" s="231"/>
      <c r="W91" s="231"/>
      <c r="X91" s="231"/>
      <c r="Y91" s="231"/>
      <c r="Z91" s="231"/>
      <c r="AA91" s="231"/>
      <c r="AB91" s="231"/>
      <c r="AC91" s="231"/>
      <c r="AD91" s="231"/>
      <c r="AE91" s="231"/>
    </row>
    <row r="92" spans="2:31" hidden="1" x14ac:dyDescent="0.3">
      <c r="B92" s="231"/>
      <c r="C92" s="231"/>
      <c r="D92" s="231"/>
      <c r="E92" s="231"/>
      <c r="F92" s="231"/>
      <c r="G92" s="231"/>
      <c r="H92" s="231"/>
      <c r="I92" s="231"/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  <c r="Z92" s="231"/>
      <c r="AA92" s="231"/>
      <c r="AB92" s="231"/>
      <c r="AC92" s="231"/>
      <c r="AD92" s="231"/>
      <c r="AE92" s="231"/>
    </row>
    <row r="93" spans="2:31" hidden="1" x14ac:dyDescent="0.3">
      <c r="B93" s="231"/>
      <c r="C93" s="231"/>
      <c r="D93" s="231"/>
      <c r="E93" s="231"/>
      <c r="F93" s="231"/>
      <c r="G93" s="231"/>
      <c r="H93" s="231"/>
      <c r="I93" s="231"/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  <c r="U93" s="231"/>
      <c r="V93" s="231"/>
      <c r="W93" s="231"/>
      <c r="X93" s="231"/>
      <c r="Y93" s="231"/>
      <c r="Z93" s="231"/>
      <c r="AA93" s="231"/>
      <c r="AB93" s="231"/>
      <c r="AC93" s="231"/>
      <c r="AD93" s="231"/>
      <c r="AE93" s="231"/>
    </row>
    <row r="94" spans="2:31" hidden="1" x14ac:dyDescent="0.3"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  <c r="U94" s="231"/>
      <c r="V94" s="231"/>
      <c r="W94" s="231"/>
      <c r="X94" s="231"/>
      <c r="Y94" s="231"/>
      <c r="Z94" s="231"/>
      <c r="AA94" s="231"/>
      <c r="AB94" s="231"/>
      <c r="AC94" s="231"/>
      <c r="AD94" s="231"/>
      <c r="AE94" s="231"/>
    </row>
    <row r="95" spans="2:31" hidden="1" x14ac:dyDescent="0.3">
      <c r="B95" s="231"/>
      <c r="C95" s="231"/>
      <c r="D95" s="231"/>
      <c r="E95" s="231"/>
      <c r="F95" s="231"/>
      <c r="G95" s="231"/>
      <c r="H95" s="231"/>
      <c r="I95" s="231"/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  <c r="U95" s="231"/>
      <c r="V95" s="231"/>
      <c r="W95" s="231"/>
      <c r="X95" s="231"/>
      <c r="Y95" s="231"/>
      <c r="Z95" s="231"/>
      <c r="AA95" s="231"/>
      <c r="AB95" s="231"/>
      <c r="AC95" s="231"/>
      <c r="AD95" s="231"/>
      <c r="AE95" s="231"/>
    </row>
    <row r="96" spans="2:31" hidden="1" x14ac:dyDescent="0.3">
      <c r="B96" s="231"/>
      <c r="C96" s="231"/>
      <c r="D96" s="231"/>
      <c r="E96" s="231"/>
      <c r="F96" s="231"/>
      <c r="G96" s="231"/>
      <c r="H96" s="231"/>
      <c r="I96" s="231"/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  <c r="U96" s="231"/>
      <c r="V96" s="231"/>
      <c r="W96" s="231"/>
      <c r="X96" s="231"/>
      <c r="Y96" s="231"/>
      <c r="Z96" s="231"/>
      <c r="AA96" s="231"/>
      <c r="AB96" s="231"/>
      <c r="AC96" s="231"/>
      <c r="AD96" s="231"/>
      <c r="AE96" s="231"/>
    </row>
    <row r="97" spans="2:31" hidden="1" x14ac:dyDescent="0.3">
      <c r="B97" s="231"/>
      <c r="C97" s="231"/>
      <c r="D97" s="231"/>
      <c r="E97" s="231"/>
      <c r="F97" s="231"/>
      <c r="G97" s="231"/>
      <c r="H97" s="231"/>
      <c r="I97" s="231"/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  <c r="U97" s="231"/>
      <c r="V97" s="231"/>
      <c r="W97" s="231"/>
      <c r="X97" s="231"/>
      <c r="Y97" s="231"/>
      <c r="Z97" s="231"/>
      <c r="AA97" s="231"/>
      <c r="AB97" s="231"/>
      <c r="AC97" s="231"/>
      <c r="AD97" s="231"/>
      <c r="AE97" s="231"/>
    </row>
    <row r="98" spans="2:31" hidden="1" x14ac:dyDescent="0.3">
      <c r="B98" s="231"/>
      <c r="C98" s="231"/>
      <c r="D98" s="231"/>
      <c r="E98" s="231"/>
      <c r="F98" s="231"/>
      <c r="G98" s="231"/>
      <c r="H98" s="231"/>
      <c r="I98" s="231"/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  <c r="U98" s="231"/>
      <c r="V98" s="231"/>
      <c r="W98" s="231"/>
      <c r="X98" s="231"/>
      <c r="Y98" s="231"/>
      <c r="Z98" s="231"/>
      <c r="AA98" s="231"/>
      <c r="AB98" s="231"/>
      <c r="AC98" s="231"/>
      <c r="AD98" s="231"/>
      <c r="AE98" s="231"/>
    </row>
    <row r="99" spans="2:31" hidden="1" x14ac:dyDescent="0.3">
      <c r="B99" s="231"/>
      <c r="C99" s="231"/>
      <c r="D99" s="231"/>
      <c r="E99" s="231"/>
      <c r="F99" s="231"/>
      <c r="G99" s="231"/>
      <c r="H99" s="231"/>
      <c r="I99" s="231"/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  <c r="U99" s="231"/>
      <c r="V99" s="231"/>
      <c r="W99" s="231"/>
      <c r="X99" s="231"/>
      <c r="Y99" s="231"/>
      <c r="Z99" s="231"/>
      <c r="AA99" s="231"/>
      <c r="AB99" s="231"/>
      <c r="AC99" s="231"/>
      <c r="AD99" s="231"/>
      <c r="AE99" s="231"/>
    </row>
    <row r="100" spans="2:31" hidden="1" x14ac:dyDescent="0.3">
      <c r="B100" s="231"/>
      <c r="C100" s="231"/>
      <c r="D100" s="231"/>
      <c r="E100" s="231"/>
      <c r="F100" s="231"/>
      <c r="G100" s="231"/>
      <c r="H100" s="231"/>
      <c r="I100" s="231"/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</row>
    <row r="101" spans="2:31" hidden="1" x14ac:dyDescent="0.3">
      <c r="B101" s="231"/>
      <c r="C101" s="231"/>
      <c r="D101" s="231"/>
      <c r="E101" s="231"/>
      <c r="F101" s="231"/>
      <c r="G101" s="231"/>
      <c r="H101" s="231"/>
      <c r="I101" s="231"/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  <c r="U101" s="231"/>
      <c r="V101" s="231"/>
      <c r="W101" s="231"/>
      <c r="X101" s="231"/>
      <c r="Y101" s="231"/>
      <c r="Z101" s="231"/>
      <c r="AA101" s="231"/>
      <c r="AB101" s="231"/>
      <c r="AC101" s="231"/>
      <c r="AD101" s="231"/>
      <c r="AE101" s="231"/>
    </row>
    <row r="102" spans="2:31" hidden="1" x14ac:dyDescent="0.3">
      <c r="B102" s="231"/>
      <c r="C102" s="231"/>
      <c r="D102" s="231"/>
      <c r="E102" s="231"/>
      <c r="F102" s="231"/>
      <c r="G102" s="231"/>
      <c r="H102" s="231"/>
      <c r="I102" s="231"/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  <c r="U102" s="231"/>
      <c r="V102" s="231"/>
      <c r="W102" s="231"/>
      <c r="X102" s="231"/>
      <c r="Y102" s="231"/>
      <c r="Z102" s="231"/>
      <c r="AA102" s="231"/>
      <c r="AB102" s="231"/>
      <c r="AC102" s="231"/>
      <c r="AD102" s="231"/>
      <c r="AE102" s="231"/>
    </row>
    <row r="103" spans="2:31" hidden="1" x14ac:dyDescent="0.3">
      <c r="B103" s="231"/>
      <c r="C103" s="231"/>
      <c r="D103" s="231"/>
      <c r="E103" s="231"/>
      <c r="F103" s="231"/>
      <c r="G103" s="231"/>
      <c r="H103" s="231"/>
      <c r="I103" s="231"/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  <c r="U103" s="231"/>
      <c r="V103" s="231"/>
      <c r="W103" s="231"/>
      <c r="X103" s="231"/>
      <c r="Y103" s="231"/>
      <c r="Z103" s="231"/>
      <c r="AA103" s="231"/>
      <c r="AB103" s="231"/>
      <c r="AC103" s="231"/>
      <c r="AD103" s="231"/>
      <c r="AE103" s="231"/>
    </row>
    <row r="104" spans="2:31" hidden="1" x14ac:dyDescent="0.3">
      <c r="B104" s="231"/>
      <c r="C104" s="231"/>
      <c r="D104" s="231"/>
      <c r="E104" s="231"/>
      <c r="F104" s="231"/>
      <c r="G104" s="231"/>
      <c r="H104" s="231"/>
      <c r="I104" s="231"/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  <c r="U104" s="231"/>
      <c r="V104" s="231"/>
      <c r="W104" s="231"/>
      <c r="X104" s="231"/>
      <c r="Y104" s="231"/>
      <c r="Z104" s="231"/>
      <c r="AA104" s="231"/>
      <c r="AB104" s="231"/>
      <c r="AC104" s="231"/>
      <c r="AD104" s="231"/>
      <c r="AE104" s="231"/>
    </row>
    <row r="105" spans="2:31" hidden="1" x14ac:dyDescent="0.3">
      <c r="B105" s="231"/>
      <c r="C105" s="231"/>
      <c r="D105" s="231"/>
      <c r="E105" s="231"/>
      <c r="F105" s="231"/>
      <c r="G105" s="231"/>
      <c r="H105" s="231"/>
      <c r="I105" s="231"/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</row>
    <row r="106" spans="2:31" hidden="1" x14ac:dyDescent="0.3">
      <c r="B106" s="231"/>
      <c r="C106" s="231"/>
      <c r="D106" s="231"/>
      <c r="E106" s="231"/>
      <c r="F106" s="231"/>
      <c r="G106" s="231"/>
      <c r="H106" s="231"/>
      <c r="I106" s="231"/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</row>
    <row r="107" spans="2:31" hidden="1" x14ac:dyDescent="0.3">
      <c r="B107" s="231"/>
      <c r="C107" s="231"/>
      <c r="D107" s="231"/>
      <c r="E107" s="231"/>
      <c r="F107" s="231"/>
      <c r="G107" s="231"/>
      <c r="H107" s="231"/>
      <c r="I107" s="231"/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</row>
    <row r="108" spans="2:31" hidden="1" x14ac:dyDescent="0.3">
      <c r="B108" s="231"/>
      <c r="C108" s="231"/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</row>
    <row r="109" spans="2:31" hidden="1" x14ac:dyDescent="0.3">
      <c r="B109" s="231"/>
      <c r="C109" s="231"/>
      <c r="D109" s="231"/>
      <c r="E109" s="231"/>
      <c r="F109" s="231"/>
      <c r="G109" s="231"/>
      <c r="H109" s="231"/>
      <c r="I109" s="231"/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</row>
    <row r="110" spans="2:31" hidden="1" x14ac:dyDescent="0.3">
      <c r="B110" s="231"/>
      <c r="C110" s="231"/>
      <c r="D110" s="231"/>
      <c r="E110" s="231"/>
      <c r="F110" s="231"/>
      <c r="G110" s="231"/>
      <c r="H110" s="231"/>
      <c r="I110" s="231"/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  <c r="U110" s="231"/>
      <c r="V110" s="231"/>
      <c r="W110" s="231"/>
      <c r="X110" s="231"/>
      <c r="Y110" s="231"/>
      <c r="Z110" s="231"/>
      <c r="AA110" s="231"/>
      <c r="AB110" s="231"/>
      <c r="AC110" s="231"/>
      <c r="AD110" s="231"/>
      <c r="AE110" s="231"/>
    </row>
    <row r="111" spans="2:31" hidden="1" x14ac:dyDescent="0.3">
      <c r="B111" s="231"/>
      <c r="C111" s="231"/>
      <c r="D111" s="231"/>
      <c r="E111" s="231"/>
      <c r="F111" s="231"/>
      <c r="G111" s="231"/>
      <c r="H111" s="231"/>
      <c r="I111" s="231"/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  <c r="U111" s="231"/>
      <c r="V111" s="231"/>
      <c r="W111" s="231"/>
      <c r="X111" s="231"/>
      <c r="Y111" s="231"/>
      <c r="Z111" s="231"/>
      <c r="AA111" s="231"/>
      <c r="AB111" s="231"/>
      <c r="AC111" s="231"/>
      <c r="AD111" s="231"/>
      <c r="AE111" s="231"/>
    </row>
    <row r="112" spans="2:31" hidden="1" x14ac:dyDescent="0.3">
      <c r="B112" s="231"/>
      <c r="C112" s="231"/>
      <c r="D112" s="231"/>
      <c r="E112" s="231"/>
      <c r="F112" s="231"/>
      <c r="G112" s="231"/>
      <c r="H112" s="231"/>
      <c r="I112" s="231"/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  <c r="U112" s="231"/>
      <c r="V112" s="231"/>
      <c r="W112" s="231"/>
      <c r="X112" s="231"/>
      <c r="Y112" s="231"/>
      <c r="Z112" s="231"/>
      <c r="AA112" s="231"/>
      <c r="AB112" s="231"/>
      <c r="AC112" s="231"/>
      <c r="AD112" s="231"/>
      <c r="AE112" s="231"/>
    </row>
    <row r="113" spans="2:31" hidden="1" x14ac:dyDescent="0.3">
      <c r="B113" s="231"/>
      <c r="C113" s="231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</row>
    <row r="114" spans="2:31" hidden="1" x14ac:dyDescent="0.3">
      <c r="B114" s="231"/>
      <c r="C114" s="231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</row>
    <row r="115" spans="2:31" hidden="1" x14ac:dyDescent="0.3">
      <c r="B115" s="231"/>
      <c r="C115" s="231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</row>
    <row r="116" spans="2:31" hidden="1" x14ac:dyDescent="0.3">
      <c r="B116" s="231"/>
      <c r="C116" s="231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</row>
    <row r="117" spans="2:31" hidden="1" x14ac:dyDescent="0.3"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</row>
    <row r="118" spans="2:31" hidden="1" x14ac:dyDescent="0.3">
      <c r="B118" s="231"/>
      <c r="C118" s="231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</row>
    <row r="119" spans="2:31" hidden="1" x14ac:dyDescent="0.3">
      <c r="B119" s="231"/>
      <c r="C119" s="231"/>
      <c r="D119" s="231"/>
      <c r="E119" s="231"/>
      <c r="F119" s="231"/>
      <c r="G119" s="231"/>
      <c r="H119" s="231"/>
      <c r="I119" s="231"/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</row>
    <row r="120" spans="2:31" hidden="1" x14ac:dyDescent="0.3">
      <c r="B120" s="231"/>
      <c r="C120" s="231"/>
      <c r="D120" s="231"/>
      <c r="E120" s="231"/>
      <c r="F120" s="231"/>
      <c r="G120" s="231"/>
      <c r="H120" s="231"/>
      <c r="I120" s="231"/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  <c r="U120" s="231"/>
      <c r="V120" s="231"/>
      <c r="W120" s="231"/>
      <c r="X120" s="231"/>
      <c r="Y120" s="231"/>
      <c r="Z120" s="231"/>
      <c r="AA120" s="231"/>
      <c r="AB120" s="231"/>
      <c r="AC120" s="231"/>
      <c r="AD120" s="231"/>
      <c r="AE120" s="231"/>
    </row>
    <row r="121" spans="2:31" hidden="1" x14ac:dyDescent="0.3"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  <c r="U121" s="231"/>
      <c r="V121" s="231"/>
      <c r="W121" s="231"/>
      <c r="X121" s="231"/>
      <c r="Y121" s="231"/>
      <c r="Z121" s="231"/>
      <c r="AA121" s="231"/>
      <c r="AB121" s="231"/>
      <c r="AC121" s="231"/>
      <c r="AD121" s="231"/>
      <c r="AE121" s="231"/>
    </row>
    <row r="122" spans="2:31" hidden="1" x14ac:dyDescent="0.3">
      <c r="B122" s="231"/>
      <c r="C122" s="231"/>
      <c r="D122" s="231"/>
      <c r="E122" s="231"/>
      <c r="F122" s="231"/>
      <c r="G122" s="231"/>
      <c r="H122" s="231"/>
      <c r="I122" s="231"/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  <c r="U122" s="231"/>
      <c r="V122" s="231"/>
      <c r="W122" s="231"/>
      <c r="X122" s="231"/>
      <c r="Y122" s="231"/>
      <c r="Z122" s="231"/>
      <c r="AA122" s="231"/>
      <c r="AB122" s="231"/>
      <c r="AC122" s="231"/>
      <c r="AD122" s="231"/>
      <c r="AE122" s="231"/>
    </row>
    <row r="123" spans="2:31" hidden="1" x14ac:dyDescent="0.3">
      <c r="B123" s="231"/>
      <c r="C123" s="231"/>
      <c r="D123" s="231"/>
      <c r="E123" s="231"/>
      <c r="F123" s="231"/>
      <c r="G123" s="231"/>
      <c r="H123" s="231"/>
      <c r="I123" s="231"/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  <c r="U123" s="231"/>
      <c r="V123" s="231"/>
      <c r="W123" s="231"/>
      <c r="X123" s="231"/>
      <c r="Y123" s="231"/>
      <c r="Z123" s="231"/>
      <c r="AA123" s="231"/>
      <c r="AB123" s="231"/>
      <c r="AC123" s="231"/>
      <c r="AD123" s="231"/>
      <c r="AE123" s="231"/>
    </row>
    <row r="124" spans="2:31" hidden="1" x14ac:dyDescent="0.3">
      <c r="B124" s="231"/>
      <c r="C124" s="231"/>
      <c r="D124" s="231"/>
      <c r="E124" s="231"/>
      <c r="F124" s="231"/>
      <c r="G124" s="231"/>
      <c r="H124" s="231"/>
      <c r="I124" s="231"/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  <c r="U124" s="231"/>
      <c r="V124" s="231"/>
      <c r="W124" s="231"/>
      <c r="X124" s="231"/>
      <c r="Y124" s="231"/>
      <c r="Z124" s="231"/>
      <c r="AA124" s="231"/>
      <c r="AB124" s="231"/>
      <c r="AC124" s="231"/>
      <c r="AD124" s="231"/>
      <c r="AE124" s="231"/>
    </row>
    <row r="125" spans="2:31" hidden="1" x14ac:dyDescent="0.3">
      <c r="B125" s="231"/>
      <c r="C125" s="231"/>
      <c r="D125" s="231"/>
      <c r="E125" s="231"/>
      <c r="F125" s="231"/>
      <c r="G125" s="231"/>
      <c r="H125" s="231"/>
      <c r="I125" s="231"/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  <c r="U125" s="231"/>
      <c r="V125" s="231"/>
      <c r="W125" s="231"/>
      <c r="X125" s="231"/>
      <c r="Y125" s="231"/>
      <c r="Z125" s="231"/>
      <c r="AA125" s="231"/>
      <c r="AB125" s="231"/>
      <c r="AC125" s="231"/>
      <c r="AD125" s="231"/>
      <c r="AE125" s="231"/>
    </row>
    <row r="126" spans="2:31" hidden="1" x14ac:dyDescent="0.3">
      <c r="B126" s="231"/>
      <c r="C126" s="231"/>
      <c r="D126" s="231"/>
      <c r="E126" s="231"/>
      <c r="F126" s="231"/>
      <c r="G126" s="231"/>
      <c r="H126" s="231"/>
      <c r="I126" s="231"/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  <c r="U126" s="231"/>
      <c r="V126" s="231"/>
      <c r="W126" s="231"/>
      <c r="X126" s="231"/>
      <c r="Y126" s="231"/>
      <c r="Z126" s="231"/>
      <c r="AA126" s="231"/>
      <c r="AB126" s="231"/>
      <c r="AC126" s="231"/>
      <c r="AD126" s="231"/>
      <c r="AE126" s="231"/>
    </row>
    <row r="127" spans="2:31" hidden="1" x14ac:dyDescent="0.3">
      <c r="B127" s="231"/>
      <c r="C127" s="231"/>
      <c r="D127" s="231"/>
      <c r="E127" s="231"/>
      <c r="F127" s="231"/>
      <c r="G127" s="231"/>
      <c r="H127" s="231"/>
      <c r="I127" s="231"/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  <c r="U127" s="231"/>
      <c r="V127" s="231"/>
      <c r="W127" s="231"/>
      <c r="X127" s="231"/>
      <c r="Y127" s="231"/>
      <c r="Z127" s="231"/>
      <c r="AA127" s="231"/>
      <c r="AB127" s="231"/>
      <c r="AC127" s="231"/>
      <c r="AD127" s="231"/>
      <c r="AE127" s="231"/>
    </row>
    <row r="128" spans="2:31" hidden="1" x14ac:dyDescent="0.3">
      <c r="B128" s="231"/>
      <c r="C128" s="231"/>
      <c r="D128" s="231"/>
      <c r="E128" s="231"/>
      <c r="F128" s="231"/>
      <c r="G128" s="231"/>
      <c r="H128" s="231"/>
      <c r="I128" s="231"/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  <c r="U128" s="231"/>
      <c r="V128" s="231"/>
      <c r="W128" s="231"/>
      <c r="X128" s="231"/>
      <c r="Y128" s="231"/>
      <c r="Z128" s="231"/>
      <c r="AA128" s="231"/>
      <c r="AB128" s="231"/>
      <c r="AC128" s="231"/>
      <c r="AD128" s="231"/>
      <c r="AE128" s="231"/>
    </row>
    <row r="129" spans="2:31" hidden="1" x14ac:dyDescent="0.3">
      <c r="B129" s="231"/>
      <c r="C129" s="231"/>
      <c r="D129" s="231"/>
      <c r="E129" s="231"/>
      <c r="F129" s="231"/>
      <c r="G129" s="231"/>
      <c r="H129" s="231"/>
      <c r="I129" s="231"/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</row>
    <row r="130" spans="2:31" hidden="1" x14ac:dyDescent="0.3">
      <c r="B130" s="231"/>
      <c r="C130" s="231"/>
      <c r="D130" s="231"/>
      <c r="E130" s="231"/>
      <c r="F130" s="231"/>
      <c r="G130" s="231"/>
      <c r="H130" s="231"/>
      <c r="I130" s="231"/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  <c r="U130" s="231"/>
      <c r="V130" s="231"/>
      <c r="W130" s="231"/>
      <c r="X130" s="231"/>
      <c r="Y130" s="231"/>
      <c r="Z130" s="231"/>
      <c r="AA130" s="231"/>
      <c r="AB130" s="231"/>
      <c r="AC130" s="231"/>
      <c r="AD130" s="231"/>
      <c r="AE130" s="231"/>
    </row>
    <row r="131" spans="2:31" hidden="1" x14ac:dyDescent="0.3">
      <c r="B131" s="231"/>
      <c r="C131" s="231"/>
      <c r="D131" s="231"/>
      <c r="E131" s="231"/>
      <c r="F131" s="231"/>
      <c r="G131" s="231"/>
      <c r="H131" s="231"/>
      <c r="I131" s="231"/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  <c r="U131" s="231"/>
      <c r="V131" s="231"/>
      <c r="W131" s="231"/>
      <c r="X131" s="231"/>
      <c r="Y131" s="231"/>
      <c r="Z131" s="231"/>
      <c r="AA131" s="231"/>
      <c r="AB131" s="231"/>
      <c r="AC131" s="231"/>
      <c r="AD131" s="231"/>
      <c r="AE131" s="231"/>
    </row>
    <row r="132" spans="2:31" hidden="1" x14ac:dyDescent="0.3">
      <c r="B132" s="231"/>
      <c r="C132" s="231"/>
      <c r="D132" s="231"/>
      <c r="E132" s="231"/>
      <c r="F132" s="231"/>
      <c r="G132" s="231"/>
      <c r="H132" s="231"/>
      <c r="I132" s="231"/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  <c r="U132" s="231"/>
      <c r="V132" s="231"/>
      <c r="W132" s="231"/>
      <c r="X132" s="231"/>
      <c r="Y132" s="231"/>
      <c r="Z132" s="231"/>
      <c r="AA132" s="231"/>
      <c r="AB132" s="231"/>
      <c r="AC132" s="231"/>
      <c r="AD132" s="231"/>
      <c r="AE132" s="231"/>
    </row>
    <row r="133" spans="2:31" hidden="1" x14ac:dyDescent="0.3">
      <c r="B133" s="231"/>
      <c r="C133" s="231"/>
      <c r="D133" s="231"/>
      <c r="E133" s="231"/>
      <c r="F133" s="231"/>
      <c r="G133" s="231"/>
      <c r="H133" s="231"/>
      <c r="I133" s="231"/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  <c r="U133" s="231"/>
      <c r="V133" s="231"/>
      <c r="W133" s="231"/>
      <c r="X133" s="231"/>
      <c r="Y133" s="231"/>
      <c r="Z133" s="231"/>
      <c r="AA133" s="231"/>
      <c r="AB133" s="231"/>
      <c r="AC133" s="231"/>
      <c r="AD133" s="231"/>
      <c r="AE133" s="231"/>
    </row>
    <row r="134" spans="2:31" hidden="1" x14ac:dyDescent="0.3">
      <c r="B134" s="231"/>
      <c r="C134" s="231"/>
      <c r="D134" s="231"/>
      <c r="E134" s="231"/>
      <c r="F134" s="231"/>
      <c r="G134" s="231"/>
      <c r="H134" s="231"/>
      <c r="I134" s="231"/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  <c r="U134" s="231"/>
      <c r="V134" s="231"/>
      <c r="W134" s="231"/>
      <c r="X134" s="231"/>
      <c r="Y134" s="231"/>
      <c r="Z134" s="231"/>
      <c r="AA134" s="231"/>
      <c r="AB134" s="231"/>
      <c r="AC134" s="231"/>
      <c r="AD134" s="231"/>
      <c r="AE134" s="231"/>
    </row>
    <row r="135" spans="2:31" hidden="1" x14ac:dyDescent="0.3">
      <c r="B135" s="231"/>
      <c r="C135" s="231"/>
      <c r="D135" s="231"/>
      <c r="E135" s="231"/>
      <c r="F135" s="231"/>
      <c r="G135" s="231"/>
      <c r="H135" s="231"/>
      <c r="I135" s="231"/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  <c r="U135" s="231"/>
      <c r="V135" s="231"/>
      <c r="W135" s="231"/>
      <c r="X135" s="231"/>
      <c r="Y135" s="231"/>
      <c r="Z135" s="231"/>
      <c r="AA135" s="231"/>
      <c r="AB135" s="231"/>
      <c r="AC135" s="231"/>
      <c r="AD135" s="231"/>
      <c r="AE135" s="231"/>
    </row>
    <row r="136" spans="2:31" hidden="1" x14ac:dyDescent="0.3">
      <c r="B136" s="231"/>
      <c r="C136" s="231"/>
      <c r="D136" s="231"/>
      <c r="E136" s="231"/>
      <c r="F136" s="231"/>
      <c r="G136" s="231"/>
      <c r="H136" s="231"/>
      <c r="I136" s="231"/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  <c r="U136" s="231"/>
      <c r="V136" s="231"/>
      <c r="W136" s="231"/>
      <c r="X136" s="231"/>
      <c r="Y136" s="231"/>
      <c r="Z136" s="231"/>
      <c r="AA136" s="231"/>
      <c r="AB136" s="231"/>
      <c r="AC136" s="231"/>
      <c r="AD136" s="231"/>
      <c r="AE136" s="231"/>
    </row>
    <row r="137" spans="2:31" hidden="1" x14ac:dyDescent="0.3">
      <c r="B137" s="231"/>
      <c r="C137" s="231"/>
      <c r="D137" s="231"/>
      <c r="E137" s="231"/>
      <c r="F137" s="231"/>
      <c r="G137" s="231"/>
      <c r="H137" s="231"/>
      <c r="I137" s="231"/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  <c r="U137" s="231"/>
      <c r="V137" s="231"/>
      <c r="W137" s="231"/>
      <c r="X137" s="231"/>
      <c r="Y137" s="231"/>
      <c r="Z137" s="231"/>
      <c r="AA137" s="231"/>
      <c r="AB137" s="231"/>
      <c r="AC137" s="231"/>
      <c r="AD137" s="231"/>
      <c r="AE137" s="231"/>
    </row>
    <row r="138" spans="2:31" hidden="1" x14ac:dyDescent="0.3">
      <c r="B138" s="231"/>
      <c r="C138" s="231"/>
      <c r="D138" s="231"/>
      <c r="E138" s="231"/>
      <c r="F138" s="231"/>
      <c r="G138" s="231"/>
      <c r="H138" s="231"/>
      <c r="I138" s="231"/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  <c r="U138" s="231"/>
      <c r="V138" s="231"/>
      <c r="W138" s="231"/>
      <c r="X138" s="231"/>
      <c r="Y138" s="231"/>
      <c r="Z138" s="231"/>
      <c r="AA138" s="231"/>
      <c r="AB138" s="231"/>
      <c r="AC138" s="231"/>
      <c r="AD138" s="231"/>
      <c r="AE138" s="231"/>
    </row>
    <row r="139" spans="2:31" hidden="1" x14ac:dyDescent="0.3">
      <c r="B139" s="231"/>
      <c r="C139" s="231"/>
      <c r="D139" s="231"/>
      <c r="E139" s="231"/>
      <c r="F139" s="231"/>
      <c r="G139" s="231"/>
      <c r="H139" s="231"/>
      <c r="I139" s="231"/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  <c r="U139" s="231"/>
      <c r="V139" s="231"/>
      <c r="W139" s="231"/>
      <c r="X139" s="231"/>
      <c r="Y139" s="231"/>
      <c r="Z139" s="231"/>
      <c r="AA139" s="231"/>
      <c r="AB139" s="231"/>
      <c r="AC139" s="231"/>
      <c r="AD139" s="231"/>
      <c r="AE139" s="231"/>
    </row>
    <row r="140" spans="2:31" hidden="1" x14ac:dyDescent="0.3">
      <c r="B140" s="231"/>
      <c r="C140" s="231"/>
      <c r="D140" s="231"/>
      <c r="E140" s="231"/>
      <c r="F140" s="231"/>
      <c r="G140" s="231"/>
      <c r="H140" s="231"/>
      <c r="I140" s="231"/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  <c r="U140" s="231"/>
      <c r="V140" s="231"/>
      <c r="W140" s="231"/>
      <c r="X140" s="231"/>
      <c r="Y140" s="231"/>
      <c r="Z140" s="231"/>
      <c r="AA140" s="231"/>
      <c r="AB140" s="231"/>
      <c r="AC140" s="231"/>
      <c r="AD140" s="231"/>
      <c r="AE140" s="231"/>
    </row>
    <row r="141" spans="2:31" hidden="1" x14ac:dyDescent="0.3">
      <c r="B141" s="231"/>
      <c r="C141" s="231"/>
      <c r="D141" s="231"/>
      <c r="E141" s="231"/>
      <c r="F141" s="231"/>
      <c r="G141" s="231"/>
      <c r="H141" s="231"/>
      <c r="I141" s="231"/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  <c r="U141" s="231"/>
      <c r="V141" s="231"/>
      <c r="W141" s="231"/>
      <c r="X141" s="231"/>
      <c r="Y141" s="231"/>
      <c r="Z141" s="231"/>
      <c r="AA141" s="231"/>
      <c r="AB141" s="231"/>
      <c r="AC141" s="231"/>
      <c r="AD141" s="231"/>
      <c r="AE141" s="231"/>
    </row>
    <row r="142" spans="2:31" hidden="1" x14ac:dyDescent="0.3">
      <c r="B142" s="231"/>
      <c r="C142" s="231"/>
      <c r="D142" s="231"/>
      <c r="E142" s="231"/>
      <c r="F142" s="231"/>
      <c r="G142" s="231"/>
      <c r="H142" s="231"/>
      <c r="I142" s="231"/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  <c r="U142" s="231"/>
      <c r="V142" s="231"/>
      <c r="W142" s="231"/>
      <c r="X142" s="231"/>
      <c r="Y142" s="231"/>
      <c r="Z142" s="231"/>
      <c r="AA142" s="231"/>
      <c r="AB142" s="231"/>
      <c r="AC142" s="231"/>
      <c r="AD142" s="231"/>
      <c r="AE142" s="231"/>
    </row>
    <row r="143" spans="2:31" hidden="1" x14ac:dyDescent="0.3">
      <c r="B143" s="231"/>
      <c r="C143" s="231"/>
      <c r="D143" s="231"/>
      <c r="E143" s="231"/>
      <c r="F143" s="231"/>
      <c r="G143" s="231"/>
      <c r="H143" s="231"/>
      <c r="I143" s="231"/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  <c r="U143" s="231"/>
      <c r="V143" s="231"/>
      <c r="W143" s="231"/>
      <c r="X143" s="231"/>
      <c r="Y143" s="231"/>
      <c r="Z143" s="231"/>
      <c r="AA143" s="231"/>
      <c r="AB143" s="231"/>
      <c r="AC143" s="231"/>
      <c r="AD143" s="231"/>
      <c r="AE143" s="231"/>
    </row>
    <row r="144" spans="2:31" hidden="1" x14ac:dyDescent="0.3">
      <c r="B144" s="231"/>
      <c r="C144" s="231"/>
      <c r="D144" s="231"/>
      <c r="E144" s="231"/>
      <c r="F144" s="231"/>
      <c r="G144" s="231"/>
      <c r="H144" s="231"/>
      <c r="I144" s="231"/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  <c r="Z144" s="231"/>
      <c r="AA144" s="231"/>
      <c r="AB144" s="231"/>
      <c r="AC144" s="231"/>
      <c r="AD144" s="231"/>
      <c r="AE144" s="231"/>
    </row>
    <row r="145" spans="2:31" hidden="1" x14ac:dyDescent="0.3">
      <c r="B145" s="231"/>
      <c r="C145" s="231"/>
      <c r="D145" s="231"/>
      <c r="E145" s="231"/>
      <c r="F145" s="231"/>
      <c r="G145" s="231"/>
      <c r="H145" s="231"/>
      <c r="I145" s="231"/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31"/>
      <c r="AD145" s="231"/>
      <c r="AE145" s="231"/>
    </row>
    <row r="146" spans="2:31" hidden="1" x14ac:dyDescent="0.3">
      <c r="B146" s="231"/>
      <c r="C146" s="231"/>
      <c r="D146" s="231"/>
      <c r="E146" s="231"/>
      <c r="F146" s="231"/>
      <c r="G146" s="231"/>
      <c r="H146" s="231"/>
      <c r="I146" s="231"/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  <c r="U146" s="231"/>
      <c r="V146" s="231"/>
      <c r="W146" s="231"/>
      <c r="X146" s="231"/>
      <c r="Y146" s="231"/>
      <c r="Z146" s="231"/>
      <c r="AA146" s="231"/>
      <c r="AB146" s="231"/>
      <c r="AC146" s="231"/>
      <c r="AD146" s="231"/>
      <c r="AE146" s="231"/>
    </row>
    <row r="147" spans="2:31" hidden="1" x14ac:dyDescent="0.3">
      <c r="B147" s="231"/>
      <c r="C147" s="231"/>
      <c r="D147" s="231"/>
      <c r="E147" s="231"/>
      <c r="F147" s="231"/>
      <c r="G147" s="231"/>
      <c r="H147" s="231"/>
      <c r="I147" s="231"/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  <c r="U147" s="231"/>
      <c r="V147" s="231"/>
      <c r="W147" s="231"/>
      <c r="X147" s="231"/>
      <c r="Y147" s="231"/>
      <c r="Z147" s="231"/>
      <c r="AA147" s="231"/>
      <c r="AB147" s="231"/>
      <c r="AC147" s="231"/>
      <c r="AD147" s="231"/>
      <c r="AE147" s="231"/>
    </row>
    <row r="148" spans="2:31" hidden="1" x14ac:dyDescent="0.3"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31"/>
      <c r="AD148" s="231"/>
      <c r="AE148" s="231"/>
    </row>
    <row r="149" spans="2:31" hidden="1" x14ac:dyDescent="0.3">
      <c r="B149" s="231"/>
      <c r="C149" s="231"/>
      <c r="D149" s="231"/>
      <c r="E149" s="231"/>
      <c r="F149" s="231"/>
      <c r="G149" s="231"/>
      <c r="H149" s="231"/>
      <c r="I149" s="231"/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  <c r="U149" s="231"/>
      <c r="V149" s="231"/>
      <c r="W149" s="231"/>
      <c r="X149" s="231"/>
      <c r="Y149" s="231"/>
      <c r="Z149" s="231"/>
      <c r="AA149" s="231"/>
      <c r="AB149" s="231"/>
      <c r="AC149" s="231"/>
      <c r="AD149" s="231"/>
      <c r="AE149" s="231"/>
    </row>
    <row r="150" spans="2:31" hidden="1" x14ac:dyDescent="0.3">
      <c r="B150" s="231"/>
      <c r="C150" s="231"/>
      <c r="D150" s="231"/>
      <c r="E150" s="231"/>
      <c r="F150" s="231"/>
      <c r="G150" s="231"/>
      <c r="H150" s="231"/>
      <c r="I150" s="231"/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  <c r="U150" s="231"/>
      <c r="V150" s="231"/>
      <c r="W150" s="231"/>
      <c r="X150" s="231"/>
      <c r="Y150" s="231"/>
      <c r="Z150" s="231"/>
      <c r="AA150" s="231"/>
      <c r="AB150" s="231"/>
      <c r="AC150" s="231"/>
      <c r="AD150" s="231"/>
      <c r="AE150" s="231"/>
    </row>
    <row r="151" spans="2:31" hidden="1" x14ac:dyDescent="0.3">
      <c r="B151" s="231"/>
      <c r="C151" s="231"/>
      <c r="D151" s="231"/>
      <c r="E151" s="231"/>
      <c r="F151" s="231"/>
      <c r="G151" s="231"/>
      <c r="H151" s="231"/>
      <c r="I151" s="231"/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</row>
    <row r="152" spans="2:31" hidden="1" x14ac:dyDescent="0.3">
      <c r="B152" s="231"/>
      <c r="C152" s="231"/>
      <c r="D152" s="231"/>
      <c r="E152" s="231"/>
      <c r="F152" s="231"/>
      <c r="G152" s="231"/>
      <c r="H152" s="231"/>
      <c r="I152" s="231"/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31"/>
      <c r="AD152" s="231"/>
      <c r="AE152" s="231"/>
    </row>
    <row r="153" spans="2:31" hidden="1" x14ac:dyDescent="0.3">
      <c r="B153" s="231"/>
      <c r="C153" s="231"/>
      <c r="D153" s="231"/>
      <c r="E153" s="231"/>
      <c r="F153" s="231"/>
      <c r="G153" s="231"/>
      <c r="H153" s="231"/>
      <c r="I153" s="231"/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31"/>
      <c r="AD153" s="231"/>
      <c r="AE153" s="231"/>
    </row>
    <row r="154" spans="2:31" hidden="1" x14ac:dyDescent="0.3">
      <c r="B154" s="231"/>
      <c r="C154" s="231"/>
      <c r="D154" s="231"/>
      <c r="E154" s="231"/>
      <c r="F154" s="231"/>
      <c r="G154" s="231"/>
      <c r="H154" s="231"/>
      <c r="I154" s="231"/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</row>
    <row r="155" spans="2:31" hidden="1" x14ac:dyDescent="0.3">
      <c r="B155" s="231"/>
      <c r="C155" s="231"/>
      <c r="D155" s="231"/>
      <c r="E155" s="231"/>
      <c r="F155" s="231"/>
      <c r="G155" s="231"/>
      <c r="H155" s="231"/>
      <c r="I155" s="231"/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31"/>
      <c r="AD155" s="231"/>
      <c r="AE155" s="231"/>
    </row>
    <row r="156" spans="2:31" hidden="1" x14ac:dyDescent="0.3">
      <c r="B156" s="231"/>
      <c r="C156" s="231"/>
      <c r="D156" s="231"/>
      <c r="E156" s="231"/>
      <c r="F156" s="231"/>
      <c r="G156" s="231"/>
      <c r="H156" s="231"/>
      <c r="I156" s="231"/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31"/>
      <c r="AD156" s="231"/>
      <c r="AE156" s="231"/>
    </row>
    <row r="157" spans="2:31" hidden="1" x14ac:dyDescent="0.3">
      <c r="B157" s="231"/>
      <c r="C157" s="231"/>
      <c r="D157" s="231"/>
      <c r="E157" s="231"/>
      <c r="F157" s="231"/>
      <c r="G157" s="231"/>
      <c r="H157" s="231"/>
      <c r="I157" s="231"/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  <c r="U157" s="231"/>
      <c r="V157" s="231"/>
      <c r="W157" s="231"/>
      <c r="X157" s="231"/>
      <c r="Y157" s="231"/>
      <c r="Z157" s="231"/>
      <c r="AA157" s="231"/>
      <c r="AB157" s="231"/>
      <c r="AC157" s="231"/>
      <c r="AD157" s="231"/>
      <c r="AE157" s="231"/>
    </row>
    <row r="158" spans="2:31" hidden="1" x14ac:dyDescent="0.3">
      <c r="B158" s="231"/>
      <c r="C158" s="231"/>
      <c r="D158" s="231"/>
      <c r="E158" s="231"/>
      <c r="F158" s="231"/>
      <c r="G158" s="231"/>
      <c r="H158" s="231"/>
      <c r="I158" s="231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</row>
    <row r="159" spans="2:31" hidden="1" x14ac:dyDescent="0.3">
      <c r="B159" s="231"/>
      <c r="C159" s="231"/>
      <c r="D159" s="231"/>
      <c r="E159" s="231"/>
      <c r="F159" s="231"/>
      <c r="G159" s="231"/>
      <c r="H159" s="231"/>
      <c r="I159" s="231"/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  <c r="U159" s="231"/>
      <c r="V159" s="231"/>
      <c r="W159" s="231"/>
      <c r="X159" s="231"/>
      <c r="Y159" s="231"/>
      <c r="Z159" s="231"/>
      <c r="AA159" s="231"/>
      <c r="AB159" s="231"/>
      <c r="AC159" s="231"/>
      <c r="AD159" s="231"/>
      <c r="AE159" s="231"/>
    </row>
    <row r="160" spans="2:31" hidden="1" x14ac:dyDescent="0.3">
      <c r="B160" s="231"/>
      <c r="C160" s="231"/>
      <c r="D160" s="231"/>
      <c r="E160" s="231"/>
      <c r="F160" s="231"/>
      <c r="G160" s="231"/>
      <c r="H160" s="231"/>
      <c r="I160" s="231"/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  <c r="U160" s="231"/>
      <c r="V160" s="231"/>
      <c r="W160" s="231"/>
      <c r="X160" s="231"/>
      <c r="Y160" s="231"/>
      <c r="Z160" s="231"/>
      <c r="AA160" s="231"/>
      <c r="AB160" s="231"/>
      <c r="AC160" s="231"/>
      <c r="AD160" s="231"/>
      <c r="AE160" s="231"/>
    </row>
    <row r="161" spans="2:31" hidden="1" x14ac:dyDescent="0.3">
      <c r="B161" s="231"/>
      <c r="C161" s="231"/>
      <c r="D161" s="231"/>
      <c r="E161" s="231"/>
      <c r="F161" s="231"/>
      <c r="G161" s="231"/>
      <c r="H161" s="231"/>
      <c r="I161" s="231"/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  <c r="U161" s="231"/>
      <c r="V161" s="231"/>
      <c r="W161" s="231"/>
      <c r="X161" s="231"/>
      <c r="Y161" s="231"/>
      <c r="Z161" s="231"/>
      <c r="AA161" s="231"/>
      <c r="AB161" s="231"/>
      <c r="AC161" s="231"/>
      <c r="AD161" s="231"/>
      <c r="AE161" s="231"/>
    </row>
    <row r="162" spans="2:31" hidden="1" x14ac:dyDescent="0.3">
      <c r="B162" s="231"/>
      <c r="C162" s="231"/>
      <c r="D162" s="231"/>
      <c r="E162" s="231"/>
      <c r="F162" s="231"/>
      <c r="G162" s="231"/>
      <c r="H162" s="231"/>
      <c r="I162" s="231"/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  <c r="U162" s="231"/>
      <c r="V162" s="231"/>
      <c r="W162" s="231"/>
      <c r="X162" s="231"/>
      <c r="Y162" s="231"/>
      <c r="Z162" s="231"/>
      <c r="AA162" s="231"/>
      <c r="AB162" s="231"/>
      <c r="AC162" s="231"/>
      <c r="AD162" s="231"/>
      <c r="AE162" s="231"/>
    </row>
    <row r="163" spans="2:31" hidden="1" x14ac:dyDescent="0.3">
      <c r="B163" s="231"/>
      <c r="C163" s="231"/>
      <c r="D163" s="231"/>
      <c r="E163" s="231"/>
      <c r="F163" s="231"/>
      <c r="G163" s="231"/>
      <c r="H163" s="231"/>
      <c r="I163" s="231"/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  <c r="U163" s="231"/>
      <c r="V163" s="231"/>
      <c r="W163" s="231"/>
      <c r="X163" s="231"/>
      <c r="Y163" s="231"/>
      <c r="Z163" s="231"/>
      <c r="AA163" s="231"/>
      <c r="AB163" s="231"/>
      <c r="AC163" s="231"/>
      <c r="AD163" s="231"/>
      <c r="AE163" s="231"/>
    </row>
    <row r="164" spans="2:31" hidden="1" x14ac:dyDescent="0.3">
      <c r="B164" s="231"/>
      <c r="C164" s="231"/>
      <c r="D164" s="231"/>
      <c r="E164" s="231"/>
      <c r="F164" s="231"/>
      <c r="G164" s="231"/>
      <c r="H164" s="231"/>
      <c r="I164" s="231"/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  <c r="U164" s="231"/>
      <c r="V164" s="231"/>
      <c r="W164" s="231"/>
      <c r="X164" s="231"/>
      <c r="Y164" s="231"/>
      <c r="Z164" s="231"/>
      <c r="AA164" s="231"/>
      <c r="AB164" s="231"/>
      <c r="AC164" s="231"/>
      <c r="AD164" s="231"/>
      <c r="AE164" s="231"/>
    </row>
    <row r="165" spans="2:31" hidden="1" x14ac:dyDescent="0.3">
      <c r="B165" s="231"/>
      <c r="C165" s="231"/>
      <c r="D165" s="231"/>
      <c r="E165" s="231"/>
      <c r="F165" s="231"/>
      <c r="G165" s="231"/>
      <c r="H165" s="231"/>
      <c r="I165" s="231"/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  <c r="U165" s="231"/>
      <c r="V165" s="231"/>
      <c r="W165" s="231"/>
      <c r="X165" s="231"/>
      <c r="Y165" s="231"/>
      <c r="Z165" s="231"/>
      <c r="AA165" s="231"/>
      <c r="AB165" s="231"/>
      <c r="AC165" s="231"/>
      <c r="AD165" s="231"/>
      <c r="AE165" s="231"/>
    </row>
    <row r="166" spans="2:31" hidden="1" x14ac:dyDescent="0.3">
      <c r="B166" s="231"/>
      <c r="C166" s="231"/>
      <c r="D166" s="231"/>
      <c r="E166" s="231"/>
      <c r="F166" s="231"/>
      <c r="G166" s="231"/>
      <c r="H166" s="231"/>
      <c r="I166" s="231"/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  <c r="U166" s="231"/>
      <c r="V166" s="231"/>
      <c r="W166" s="231"/>
      <c r="X166" s="231"/>
      <c r="Y166" s="231"/>
      <c r="Z166" s="231"/>
      <c r="AA166" s="231"/>
      <c r="AB166" s="231"/>
      <c r="AC166" s="231"/>
      <c r="AD166" s="231"/>
      <c r="AE166" s="231"/>
    </row>
    <row r="167" spans="2:31" hidden="1" x14ac:dyDescent="0.3">
      <c r="B167" s="231"/>
      <c r="C167" s="231"/>
      <c r="D167" s="231"/>
      <c r="E167" s="231"/>
      <c r="F167" s="231"/>
      <c r="G167" s="231"/>
      <c r="H167" s="231"/>
      <c r="I167" s="231"/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  <c r="U167" s="231"/>
      <c r="V167" s="231"/>
      <c r="W167" s="231"/>
      <c r="X167" s="231"/>
      <c r="Y167" s="231"/>
      <c r="Z167" s="231"/>
      <c r="AA167" s="231"/>
      <c r="AB167" s="231"/>
      <c r="AC167" s="231"/>
      <c r="AD167" s="231"/>
      <c r="AE167" s="231"/>
    </row>
    <row r="168" spans="2:31" hidden="1" x14ac:dyDescent="0.3">
      <c r="B168" s="231"/>
      <c r="C168" s="231"/>
      <c r="D168" s="231"/>
      <c r="E168" s="231"/>
      <c r="F168" s="231"/>
      <c r="G168" s="231"/>
      <c r="H168" s="231"/>
      <c r="I168" s="231"/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  <c r="U168" s="231"/>
      <c r="V168" s="231"/>
      <c r="W168" s="231"/>
      <c r="X168" s="231"/>
      <c r="Y168" s="231"/>
      <c r="Z168" s="231"/>
      <c r="AA168" s="231"/>
      <c r="AB168" s="231"/>
      <c r="AC168" s="231"/>
      <c r="AD168" s="231"/>
      <c r="AE168" s="231"/>
    </row>
    <row r="169" spans="2:31" hidden="1" x14ac:dyDescent="0.3">
      <c r="B169" s="231"/>
      <c r="C169" s="231"/>
      <c r="D169" s="231"/>
      <c r="E169" s="231"/>
      <c r="F169" s="231"/>
      <c r="G169" s="231"/>
      <c r="H169" s="231"/>
      <c r="I169" s="231"/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  <c r="U169" s="231"/>
      <c r="V169" s="231"/>
      <c r="W169" s="231"/>
      <c r="X169" s="231"/>
      <c r="Y169" s="231"/>
      <c r="Z169" s="231"/>
      <c r="AA169" s="231"/>
      <c r="AB169" s="231"/>
      <c r="AC169" s="231"/>
      <c r="AD169" s="231"/>
      <c r="AE169" s="231"/>
    </row>
    <row r="170" spans="2:31" hidden="1" x14ac:dyDescent="0.3">
      <c r="B170" s="231"/>
      <c r="C170" s="231"/>
      <c r="D170" s="231"/>
      <c r="E170" s="231"/>
      <c r="F170" s="231"/>
      <c r="G170" s="231"/>
      <c r="H170" s="231"/>
      <c r="I170" s="231"/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  <c r="U170" s="231"/>
      <c r="V170" s="231"/>
      <c r="W170" s="231"/>
      <c r="X170" s="231"/>
      <c r="Y170" s="231"/>
      <c r="Z170" s="231"/>
      <c r="AA170" s="231"/>
      <c r="AB170" s="231"/>
      <c r="AC170" s="231"/>
      <c r="AD170" s="231"/>
      <c r="AE170" s="231"/>
    </row>
    <row r="171" spans="2:31" hidden="1" x14ac:dyDescent="0.3">
      <c r="B171" s="231"/>
      <c r="C171" s="231"/>
      <c r="D171" s="231"/>
      <c r="E171" s="231"/>
      <c r="F171" s="231"/>
      <c r="G171" s="231"/>
      <c r="H171" s="231"/>
      <c r="I171" s="231"/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  <c r="U171" s="231"/>
      <c r="V171" s="231"/>
      <c r="W171" s="231"/>
      <c r="X171" s="231"/>
      <c r="Y171" s="231"/>
      <c r="Z171" s="231"/>
      <c r="AA171" s="231"/>
      <c r="AB171" s="231"/>
      <c r="AC171" s="231"/>
      <c r="AD171" s="231"/>
      <c r="AE171" s="231"/>
    </row>
    <row r="172" spans="2:31" hidden="1" x14ac:dyDescent="0.3">
      <c r="B172" s="231"/>
      <c r="C172" s="231"/>
      <c r="D172" s="231"/>
      <c r="E172" s="231"/>
      <c r="F172" s="231"/>
      <c r="G172" s="231"/>
      <c r="H172" s="231"/>
      <c r="I172" s="231"/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  <c r="U172" s="231"/>
      <c r="V172" s="231"/>
      <c r="W172" s="231"/>
      <c r="X172" s="231"/>
      <c r="Y172" s="231"/>
      <c r="Z172" s="231"/>
      <c r="AA172" s="231"/>
      <c r="AB172" s="231"/>
      <c r="AC172" s="231"/>
      <c r="AD172" s="231"/>
      <c r="AE172" s="231"/>
    </row>
    <row r="173" spans="2:31" hidden="1" x14ac:dyDescent="0.3">
      <c r="B173" s="231"/>
      <c r="C173" s="231"/>
      <c r="D173" s="231"/>
      <c r="E173" s="231"/>
      <c r="F173" s="231"/>
      <c r="G173" s="231"/>
      <c r="H173" s="231"/>
      <c r="I173" s="231"/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  <c r="U173" s="231"/>
      <c r="V173" s="231"/>
      <c r="W173" s="231"/>
      <c r="X173" s="231"/>
      <c r="Y173" s="231"/>
      <c r="Z173" s="231"/>
      <c r="AA173" s="231"/>
      <c r="AB173" s="231"/>
      <c r="AC173" s="231"/>
      <c r="AD173" s="231"/>
      <c r="AE173" s="231"/>
    </row>
    <row r="174" spans="2:31" hidden="1" x14ac:dyDescent="0.3">
      <c r="B174" s="231"/>
      <c r="C174" s="231"/>
      <c r="D174" s="231"/>
      <c r="E174" s="231"/>
      <c r="F174" s="231"/>
      <c r="G174" s="231"/>
      <c r="H174" s="231"/>
      <c r="I174" s="231"/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</row>
    <row r="175" spans="2:31" hidden="1" x14ac:dyDescent="0.3"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  <c r="U175" s="231"/>
      <c r="V175" s="231"/>
      <c r="W175" s="231"/>
      <c r="X175" s="231"/>
      <c r="Y175" s="231"/>
      <c r="Z175" s="231"/>
      <c r="AA175" s="231"/>
      <c r="AB175" s="231"/>
      <c r="AC175" s="231"/>
      <c r="AD175" s="231"/>
      <c r="AE175" s="231"/>
    </row>
    <row r="176" spans="2:31" hidden="1" x14ac:dyDescent="0.3">
      <c r="B176" s="231"/>
      <c r="C176" s="231"/>
      <c r="D176" s="231"/>
      <c r="E176" s="231"/>
      <c r="F176" s="231"/>
      <c r="G176" s="231"/>
      <c r="H176" s="231"/>
      <c r="I176" s="231"/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  <c r="U176" s="231"/>
      <c r="V176" s="231"/>
      <c r="W176" s="231"/>
      <c r="X176" s="231"/>
      <c r="Y176" s="231"/>
      <c r="Z176" s="231"/>
      <c r="AA176" s="231"/>
      <c r="AB176" s="231"/>
      <c r="AC176" s="231"/>
      <c r="AD176" s="231"/>
      <c r="AE176" s="231"/>
    </row>
    <row r="177" spans="2:31" hidden="1" x14ac:dyDescent="0.3">
      <c r="B177" s="231"/>
      <c r="C177" s="231"/>
      <c r="D177" s="231"/>
      <c r="E177" s="231"/>
      <c r="F177" s="231"/>
      <c r="G177" s="231"/>
      <c r="H177" s="231"/>
      <c r="I177" s="231"/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  <c r="U177" s="231"/>
      <c r="V177" s="231"/>
      <c r="W177" s="231"/>
      <c r="X177" s="231"/>
      <c r="Y177" s="231"/>
      <c r="Z177" s="231"/>
      <c r="AA177" s="231"/>
      <c r="AB177" s="231"/>
      <c r="AC177" s="231"/>
      <c r="AD177" s="231"/>
      <c r="AE177" s="231"/>
    </row>
    <row r="178" spans="2:31" hidden="1" x14ac:dyDescent="0.3">
      <c r="B178" s="231"/>
      <c r="C178" s="231"/>
      <c r="D178" s="231"/>
      <c r="E178" s="231"/>
      <c r="F178" s="231"/>
      <c r="G178" s="231"/>
      <c r="H178" s="231"/>
      <c r="I178" s="231"/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  <c r="U178" s="231"/>
      <c r="V178" s="231"/>
      <c r="W178" s="231"/>
      <c r="X178" s="231"/>
      <c r="Y178" s="231"/>
      <c r="Z178" s="231"/>
      <c r="AA178" s="231"/>
      <c r="AB178" s="231"/>
      <c r="AC178" s="231"/>
      <c r="AD178" s="231"/>
      <c r="AE178" s="231"/>
    </row>
  </sheetData>
  <sheetProtection algorithmName="SHA-512" hashValue="K84+oG6NuGE8ZJ/IbdVDNMfy2cht04lhoL5s+zMxhr5vRGmCen3iJ19D71h1buOYDiX12Bh3URf/ROXGHecRDw==" saltValue="itKVVMslP0XgOEHU1qmilQ==" spinCount="100000" sheet="1" objects="1" scenarios="1" selectLockedCells="1"/>
  <mergeCells count="13">
    <mergeCell ref="L2:W3"/>
    <mergeCell ref="AA5:AD5"/>
    <mergeCell ref="B4:E4"/>
    <mergeCell ref="G4:J4"/>
    <mergeCell ref="L4:O4"/>
    <mergeCell ref="Q4:T4"/>
    <mergeCell ref="V4:Y4"/>
    <mergeCell ref="AA4:AD4"/>
    <mergeCell ref="B5:E5"/>
    <mergeCell ref="G5:J5"/>
    <mergeCell ref="L5:O5"/>
    <mergeCell ref="Q5:T5"/>
    <mergeCell ref="V5:Y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>
    <pageSetUpPr fitToPage="1"/>
  </sheetPr>
  <dimension ref="A1:Q39"/>
  <sheetViews>
    <sheetView showGridLines="0" zoomScale="85" zoomScaleNormal="85" zoomScalePageLayoutView="85" workbookViewId="0">
      <selection activeCell="D21" sqref="D21:G21"/>
    </sheetView>
  </sheetViews>
  <sheetFormatPr defaultColWidth="0" defaultRowHeight="14.4" zeroHeight="1" x14ac:dyDescent="0.3"/>
  <cols>
    <col min="1" max="1" width="9.21875" style="1" customWidth="1"/>
    <col min="2" max="2" width="5.21875" style="1" customWidth="1"/>
    <col min="3" max="3" width="14" style="1" bestFit="1" customWidth="1"/>
    <col min="4" max="9" width="9.77734375" style="1" customWidth="1"/>
    <col min="10" max="10" width="6.21875" style="1" customWidth="1"/>
    <col min="11" max="14" width="18.44140625" style="1" customWidth="1"/>
    <col min="15" max="15" width="12.77734375" style="1" customWidth="1"/>
    <col min="16" max="17" width="0" style="1" hidden="1" customWidth="1"/>
    <col min="18" max="16384" width="9.21875" style="1" hidden="1"/>
  </cols>
  <sheetData>
    <row r="1" spans="3:17" ht="78.75" customHeight="1" x14ac:dyDescent="0.3">
      <c r="Q1" s="1" t="str">
        <f>IF('INFO BASE'!C17="","",'INFO BASE'!C17)</f>
        <v>Estudo Autónomo</v>
      </c>
    </row>
    <row r="2" spans="3:17" ht="39.75" customHeight="1" x14ac:dyDescent="0.3">
      <c r="C2" s="349" t="str">
        <f>CONCATENATE("DASHBOARD DESVIOS ",UPPER('INFO BASE'!C6))</f>
        <v>DASHBOARD DESVIOS ANDRÉ FONSECA</v>
      </c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18"/>
      <c r="Q2" s="1" t="str">
        <f>IF('INFO BASE'!C18="","",'INFO BASE'!C18)</f>
        <v>Estudo em Grupo</v>
      </c>
    </row>
    <row r="3" spans="3:17" ht="8.25" customHeight="1" x14ac:dyDescent="0.3">
      <c r="Q3" s="1" t="str">
        <f>IF('INFO BASE'!C19="","",'INFO BASE'!C19)</f>
        <v>Trabalho de Grupo</v>
      </c>
    </row>
    <row r="4" spans="3:17" ht="28.5" customHeight="1" x14ac:dyDescent="0.3">
      <c r="C4" s="348" t="s">
        <v>43</v>
      </c>
      <c r="D4" s="348"/>
      <c r="E4" s="348"/>
      <c r="F4" s="348"/>
      <c r="G4" s="348"/>
      <c r="H4" s="348"/>
      <c r="I4" s="348"/>
      <c r="K4" s="348" t="s">
        <v>44</v>
      </c>
      <c r="L4" s="348"/>
      <c r="M4" s="348"/>
      <c r="N4" s="348"/>
      <c r="Q4" s="1" t="str">
        <f>IF('INFO BASE'!C20="","",'INFO BASE'!C20)</f>
        <v>Aulas Teóricas</v>
      </c>
    </row>
    <row r="5" spans="3:17" s="11" customFormat="1" ht="2.25" customHeight="1" x14ac:dyDescent="0.3">
      <c r="C5" s="19"/>
      <c r="D5" s="19"/>
      <c r="E5" s="19"/>
      <c r="F5" s="19"/>
      <c r="G5" s="19"/>
      <c r="H5" s="19"/>
      <c r="I5" s="19"/>
      <c r="K5" s="19"/>
      <c r="L5" s="19"/>
      <c r="M5" s="19"/>
      <c r="N5" s="19"/>
      <c r="Q5" s="1" t="str">
        <f>IF('INFO BASE'!C21="","",'INFO BASE'!C21)</f>
        <v>Aulas Práticas</v>
      </c>
    </row>
    <row r="6" spans="3:17" ht="28.5" customHeight="1" x14ac:dyDescent="0.3">
      <c r="C6" s="350" t="s">
        <v>40</v>
      </c>
      <c r="D6" s="351" t="s">
        <v>73</v>
      </c>
      <c r="E6" s="352"/>
      <c r="F6" s="351" t="s">
        <v>74</v>
      </c>
      <c r="G6" s="352"/>
      <c r="H6" s="351" t="s">
        <v>75</v>
      </c>
      <c r="I6" s="353"/>
      <c r="K6" s="20"/>
      <c r="L6" s="21" t="s">
        <v>77</v>
      </c>
      <c r="M6" s="21" t="s">
        <v>78</v>
      </c>
      <c r="N6" s="21" t="s">
        <v>76</v>
      </c>
      <c r="Q6" s="1" t="str">
        <f>IF('INFO BASE'!C22="","",'INFO BASE'!C22)</f>
        <v>Aulas Problemas</v>
      </c>
    </row>
    <row r="7" spans="3:17" ht="21.75" customHeight="1" x14ac:dyDescent="0.3">
      <c r="C7" s="350"/>
      <c r="D7" s="22" t="s">
        <v>37</v>
      </c>
      <c r="E7" s="23" t="s">
        <v>39</v>
      </c>
      <c r="F7" s="22" t="s">
        <v>37</v>
      </c>
      <c r="G7" s="23" t="s">
        <v>39</v>
      </c>
      <c r="H7" s="22" t="s">
        <v>37</v>
      </c>
      <c r="I7" s="24" t="s">
        <v>39</v>
      </c>
      <c r="K7" s="25" t="str">
        <f>'INFO BASE'!C17</f>
        <v>Estudo Autónomo</v>
      </c>
      <c r="L7" s="26">
        <f>VLOOKUP(K7,HORÁRIO!$BS:$BU,2,0)</f>
        <v>86.5</v>
      </c>
      <c r="M7" s="27">
        <f>VLOOKUP(K7,HORÁRIO!$BS:$BU,3,0)</f>
        <v>95.5</v>
      </c>
      <c r="N7" s="28">
        <f>M7-L7</f>
        <v>9</v>
      </c>
      <c r="Q7" s="1" t="str">
        <f>IF('INFO BASE'!C23="","",'INFO BASE'!C23)</f>
        <v>Laboratórios</v>
      </c>
    </row>
    <row r="8" spans="3:17" ht="21.75" customHeight="1" x14ac:dyDescent="0.3">
      <c r="C8" s="29" t="str">
        <f>IF('INFO BASE'!B32="","",'INFO BASE'!B32)</f>
        <v>FP</v>
      </c>
      <c r="D8" s="30">
        <f>HORÁRIO!BT18</f>
        <v>86.5</v>
      </c>
      <c r="E8" s="31">
        <f>HORÁRIO!BU18</f>
        <v>95.5</v>
      </c>
      <c r="F8" s="30">
        <f>HORÁRIO!BT32</f>
        <v>0</v>
      </c>
      <c r="G8" s="31">
        <f>HORÁRIO!BU32</f>
        <v>0</v>
      </c>
      <c r="H8" s="30">
        <f>HORÁRIO!BT25</f>
        <v>11</v>
      </c>
      <c r="I8" s="32">
        <f>HORÁRIO!BU25</f>
        <v>12</v>
      </c>
      <c r="K8" s="25" t="str">
        <f>'INFO BASE'!C18</f>
        <v>Estudo em Grupo</v>
      </c>
      <c r="L8" s="26">
        <f>VLOOKUP(K8,HORÁRIO!$BS:$BU,2,0)</f>
        <v>46.5</v>
      </c>
      <c r="M8" s="27">
        <f>VLOOKUP(K8,HORÁRIO!$BS:$BU,3,0)</f>
        <v>55.5</v>
      </c>
      <c r="N8" s="28">
        <f t="shared" ref="N8:N16" si="0">M8-L8</f>
        <v>9</v>
      </c>
      <c r="Q8" s="1" t="str">
        <f>IF('INFO BASE'!C24="","",'INFO BASE'!C24)</f>
        <v>Momento Avaliativo</v>
      </c>
    </row>
    <row r="9" spans="3:17" ht="21.75" customHeight="1" x14ac:dyDescent="0.3">
      <c r="C9" s="29" t="str">
        <f>'INFO BASE'!B33</f>
        <v>IEI</v>
      </c>
      <c r="D9" s="30">
        <f>HORÁRIO!BT19</f>
        <v>20</v>
      </c>
      <c r="E9" s="31">
        <f>HORÁRIO!BU19</f>
        <v>36.5</v>
      </c>
      <c r="F9" s="30">
        <f>HORÁRIO!BT33</f>
        <v>0</v>
      </c>
      <c r="G9" s="31">
        <f>HORÁRIO!BU33</f>
        <v>0</v>
      </c>
      <c r="H9" s="30">
        <f>HORÁRIO!BT26</f>
        <v>2.5</v>
      </c>
      <c r="I9" s="32">
        <f>HORÁRIO!BU26</f>
        <v>7</v>
      </c>
      <c r="K9" s="25" t="str">
        <f>'INFO BASE'!C19</f>
        <v>Trabalho de Grupo</v>
      </c>
      <c r="L9" s="26">
        <f>VLOOKUP(K9,HORÁRIO!$BS:$BU,2,0)</f>
        <v>0</v>
      </c>
      <c r="M9" s="27">
        <f>VLOOKUP(K9,HORÁRIO!$BS:$BU,3,0)</f>
        <v>0</v>
      </c>
      <c r="N9" s="28">
        <f t="shared" si="0"/>
        <v>0</v>
      </c>
      <c r="Q9" s="1" t="str">
        <f>IF('INFO BASE'!C25="","",'INFO BASE'!C25)</f>
        <v>Horário de Dúvidas</v>
      </c>
    </row>
    <row r="10" spans="3:17" ht="21.75" customHeight="1" x14ac:dyDescent="0.3">
      <c r="C10" s="29" t="str">
        <f>'INFO BASE'!B34</f>
        <v>IAC</v>
      </c>
      <c r="D10" s="30">
        <f>HORÁRIO!BT20</f>
        <v>28</v>
      </c>
      <c r="E10" s="31">
        <f>HORÁRIO!BU20</f>
        <v>22.5</v>
      </c>
      <c r="F10" s="30">
        <f>HORÁRIO!BT34</f>
        <v>0</v>
      </c>
      <c r="G10" s="31">
        <f>HORÁRIO!BU34</f>
        <v>0</v>
      </c>
      <c r="H10" s="30">
        <f>HORÁRIO!BT27</f>
        <v>6</v>
      </c>
      <c r="I10" s="32">
        <f>HORÁRIO!BU27</f>
        <v>10.5</v>
      </c>
      <c r="K10" s="25" t="str">
        <f>'INFO BASE'!C20</f>
        <v>Aulas Teóricas</v>
      </c>
      <c r="L10" s="26">
        <f>VLOOKUP(K10,HORÁRIO!$BS:$BU,2,0)</f>
        <v>120</v>
      </c>
      <c r="M10" s="27">
        <f>VLOOKUP(K10,HORÁRIO!$BS:$BU,3,0)</f>
        <v>120</v>
      </c>
      <c r="N10" s="28">
        <f t="shared" si="0"/>
        <v>0</v>
      </c>
      <c r="Q10" s="1" t="str">
        <f>IF('INFO BASE'!C26="","",'INFO BASE'!C26)</f>
        <v>Privado</v>
      </c>
    </row>
    <row r="11" spans="3:17" ht="21.75" customHeight="1" x14ac:dyDescent="0.3">
      <c r="C11" s="29" t="str">
        <f>'INFO BASE'!B35</f>
        <v>AL</v>
      </c>
      <c r="D11" s="30">
        <f>HORÁRIO!BT21</f>
        <v>24</v>
      </c>
      <c r="E11" s="31">
        <f>HORÁRIO!BU21</f>
        <v>25.5</v>
      </c>
      <c r="F11" s="30">
        <f>HORÁRIO!BT35</f>
        <v>0</v>
      </c>
      <c r="G11" s="31">
        <f>HORÁRIO!BU35</f>
        <v>0</v>
      </c>
      <c r="H11" s="30">
        <f>HORÁRIO!BT28</f>
        <v>16.5</v>
      </c>
      <c r="I11" s="32">
        <f>HORÁRIO!BU28</f>
        <v>17.5</v>
      </c>
      <c r="K11" s="25" t="str">
        <f>'INFO BASE'!C26</f>
        <v>Privado</v>
      </c>
      <c r="L11" s="26">
        <f>VLOOKUP(K11,HORÁRIO!$BS:$BU,2,0)</f>
        <v>384</v>
      </c>
      <c r="M11" s="27">
        <f>VLOOKUP(K11,HORÁRIO!$BS:$BU,3,0)</f>
        <v>369</v>
      </c>
      <c r="N11" s="28">
        <f t="shared" si="0"/>
        <v>-15</v>
      </c>
      <c r="Q11" s="1" t="str">
        <f>IF('INFO BASE'!C27="","",'INFO BASE'!C27)</f>
        <v>Deslocação</v>
      </c>
    </row>
    <row r="12" spans="3:17" ht="21.75" customHeight="1" x14ac:dyDescent="0.3">
      <c r="C12" s="29" t="str">
        <f>'INFO BASE'!B36</f>
        <v>CDI</v>
      </c>
      <c r="D12" s="30">
        <f>HORÁRIO!BT22</f>
        <v>9.5</v>
      </c>
      <c r="E12" s="31">
        <f>HORÁRIO!BU22</f>
        <v>7.5</v>
      </c>
      <c r="F12" s="30">
        <f>HORÁRIO!BT36</f>
        <v>0</v>
      </c>
      <c r="G12" s="31">
        <f>HORÁRIO!BU36</f>
        <v>0</v>
      </c>
      <c r="H12" s="30">
        <f>HORÁRIO!BT29</f>
        <v>10.5</v>
      </c>
      <c r="I12" s="32">
        <f>HORÁRIO!BU29</f>
        <v>8.5</v>
      </c>
      <c r="K12" s="25" t="str">
        <f>'INFO BASE'!C27</f>
        <v>Deslocação</v>
      </c>
      <c r="L12" s="26">
        <f>VLOOKUP(K12,HORÁRIO!$BS:$BU,2,0)</f>
        <v>116.5</v>
      </c>
      <c r="M12" s="27">
        <f>VLOOKUP(K12,HORÁRIO!$BS:$BU,3,0)</f>
        <v>115</v>
      </c>
      <c r="N12" s="28">
        <f t="shared" si="0"/>
        <v>-1.5</v>
      </c>
      <c r="Q12" s="1" t="str">
        <f>IF('INFO BASE'!C28="","",'INFO BASE'!C28)</f>
        <v>Refeição</v>
      </c>
    </row>
    <row r="13" spans="3:17" ht="21.75" customHeight="1" x14ac:dyDescent="0.3">
      <c r="C13" s="29">
        <f>'INFO BASE'!B37</f>
        <v>0</v>
      </c>
      <c r="D13" s="30">
        <f>HORÁRIO!BT23</f>
        <v>0</v>
      </c>
      <c r="E13" s="31">
        <f>HORÁRIO!BU23</f>
        <v>0</v>
      </c>
      <c r="F13" s="30">
        <f>HORÁRIO!BT37</f>
        <v>0</v>
      </c>
      <c r="G13" s="31">
        <f>HORÁRIO!BU37</f>
        <v>0</v>
      </c>
      <c r="H13" s="30">
        <f>HORÁRIO!BT30</f>
        <v>0</v>
      </c>
      <c r="I13" s="32">
        <f>HORÁRIO!BU30</f>
        <v>0</v>
      </c>
      <c r="K13" s="25" t="str">
        <f>'INFO BASE'!C28</f>
        <v>Refeição</v>
      </c>
      <c r="L13" s="60">
        <f>VLOOKUP(K13,HORÁRIO!$BS:$BU,2,0)</f>
        <v>126</v>
      </c>
      <c r="M13" s="60">
        <f>VLOOKUP(K13,HORÁRIO!$BS:$BU,3,0)</f>
        <v>124</v>
      </c>
      <c r="N13" s="28">
        <f>M13-L13</f>
        <v>-2</v>
      </c>
      <c r="Q13" s="1" t="str">
        <f>IF('INFO BASE'!C29="","",'INFO BASE'!C29)</f>
        <v>Sono</v>
      </c>
    </row>
    <row r="14" spans="3:17" ht="21.75" customHeight="1" x14ac:dyDescent="0.3">
      <c r="C14" s="4"/>
      <c r="D14" s="4"/>
      <c r="E14" s="4">
        <f>HORÁRIO!BU22</f>
        <v>7.5</v>
      </c>
      <c r="F14" s="4"/>
      <c r="G14" s="4">
        <f>HORÁRIO!BU38</f>
        <v>120</v>
      </c>
      <c r="H14" s="4"/>
      <c r="I14" s="4"/>
      <c r="K14" s="25" t="str">
        <f>'INFO BASE'!C29</f>
        <v>Sono</v>
      </c>
      <c r="L14" s="33">
        <f>VLOOKUP(K14,HORÁRIO!$BS:$BU,2,0)</f>
        <v>417</v>
      </c>
      <c r="M14" s="33">
        <f>VLOOKUP(K14,HORÁRIO!$BS:$BU,3,0)</f>
        <v>417.5</v>
      </c>
      <c r="N14" s="34">
        <f t="shared" si="0"/>
        <v>0.5</v>
      </c>
    </row>
    <row r="15" spans="3:17" ht="21.75" hidden="1" customHeight="1" x14ac:dyDescent="0.3">
      <c r="E15" s="1">
        <f>HORÁRIO!BU24</f>
        <v>55.5</v>
      </c>
      <c r="G15" s="1">
        <f>HORÁRIO!BU39</f>
        <v>24</v>
      </c>
      <c r="K15" s="35" t="str">
        <f>'INFO BASE'!C25</f>
        <v>Horário de Dúvidas</v>
      </c>
      <c r="L15" s="36">
        <f>VLOOKUP(K15,HORÁRIO!$BS:$BU,2,0)</f>
        <v>0</v>
      </c>
      <c r="M15" s="36">
        <f>VLOOKUP(K15,HORÁRIO!$BS:$BU,3,0)</f>
        <v>0</v>
      </c>
      <c r="N15" s="37">
        <f t="shared" si="0"/>
        <v>0</v>
      </c>
    </row>
    <row r="16" spans="3:17" ht="21.75" hidden="1" customHeight="1" x14ac:dyDescent="0.3">
      <c r="E16" s="1">
        <f>HORÁRIO!BU25</f>
        <v>12</v>
      </c>
      <c r="G16" s="1">
        <f>HORÁRIO!BU40</f>
        <v>24</v>
      </c>
      <c r="K16" s="35" t="e">
        <f>'INFO BASE'!#REF!</f>
        <v>#REF!</v>
      </c>
      <c r="L16" s="36" t="e">
        <f>VLOOKUP(K16,HORÁRIO!$BS:$BU,2,0)</f>
        <v>#REF!</v>
      </c>
      <c r="M16" s="36" t="e">
        <f>VLOOKUP(K16,HORÁRIO!$BS:$BU,3,0)</f>
        <v>#REF!</v>
      </c>
      <c r="N16" s="37" t="e">
        <f t="shared" si="0"/>
        <v>#REF!</v>
      </c>
    </row>
    <row r="17" spans="3:17" ht="15.75" customHeight="1" x14ac:dyDescent="0.3">
      <c r="K17" s="38"/>
      <c r="L17" s="39"/>
      <c r="M17" s="39"/>
      <c r="N17" s="40"/>
    </row>
    <row r="18" spans="3:17" ht="28.5" customHeight="1" x14ac:dyDescent="0.3">
      <c r="C18" s="348" t="s">
        <v>118</v>
      </c>
      <c r="D18" s="348"/>
      <c r="E18" s="348"/>
      <c r="F18" s="348"/>
      <c r="G18" s="348"/>
      <c r="H18" s="348"/>
      <c r="I18" s="348"/>
      <c r="K18" s="348" t="s">
        <v>45</v>
      </c>
      <c r="L18" s="348"/>
      <c r="M18" s="348"/>
      <c r="N18" s="348"/>
    </row>
    <row r="19" spans="3:17" s="9" customFormat="1" ht="6.75" customHeight="1" thickBot="1" x14ac:dyDescent="0.35">
      <c r="K19" s="19"/>
      <c r="L19" s="19"/>
      <c r="M19" s="19"/>
      <c r="N19" s="19"/>
      <c r="Q19" s="1"/>
    </row>
    <row r="20" spans="3:17" ht="24.75" hidden="1" customHeight="1" thickBot="1" x14ac:dyDescent="0.35">
      <c r="C20" s="19"/>
      <c r="D20" s="19"/>
      <c r="E20" s="19"/>
      <c r="F20" s="19"/>
      <c r="G20" s="19"/>
      <c r="H20" s="19"/>
      <c r="I20" s="19"/>
    </row>
    <row r="21" spans="3:17" ht="16.2" thickBot="1" x14ac:dyDescent="0.35">
      <c r="C21" s="125" t="s">
        <v>117</v>
      </c>
      <c r="D21" s="345" t="s">
        <v>86</v>
      </c>
      <c r="E21" s="346"/>
      <c r="F21" s="346"/>
      <c r="G21" s="347"/>
    </row>
    <row r="22" spans="3:17" x14ac:dyDescent="0.3"/>
    <row r="23" spans="3:17" x14ac:dyDescent="0.3"/>
    <row r="24" spans="3:17" x14ac:dyDescent="0.3"/>
    <row r="25" spans="3:17" x14ac:dyDescent="0.3"/>
    <row r="26" spans="3:17" x14ac:dyDescent="0.3">
      <c r="C26" s="4"/>
      <c r="D26" s="3"/>
      <c r="E26" s="4"/>
      <c r="F26" s="4"/>
      <c r="G26" s="4"/>
      <c r="H26" s="4"/>
      <c r="I26" s="4"/>
    </row>
    <row r="27" spans="3:17" x14ac:dyDescent="0.3">
      <c r="C27" s="4"/>
      <c r="D27" s="4"/>
      <c r="E27" s="4"/>
      <c r="F27" s="4"/>
      <c r="G27" s="4"/>
      <c r="H27" s="4"/>
      <c r="I27" s="4"/>
    </row>
    <row r="28" spans="3:17" x14ac:dyDescent="0.3"/>
    <row r="29" spans="3:17" x14ac:dyDescent="0.3"/>
    <row r="30" spans="3:17" x14ac:dyDescent="0.3">
      <c r="C30" s="3"/>
      <c r="D30" s="41"/>
      <c r="E30" s="42"/>
    </row>
    <row r="31" spans="3:17" x14ac:dyDescent="0.3">
      <c r="C31" s="1" t="s">
        <v>114</v>
      </c>
      <c r="D31" s="1">
        <f>VLOOKUP(D21,DASHBOARD!K6:M14,2,0)</f>
        <v>0</v>
      </c>
    </row>
    <row r="32" spans="3:17" x14ac:dyDescent="0.3">
      <c r="C32" s="1" t="s">
        <v>115</v>
      </c>
      <c r="D32" s="1">
        <f>VLOOKUP(D21,DASHBOARD!K6:M14,3,0)</f>
        <v>0</v>
      </c>
    </row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</sheetData>
  <sheetProtection algorithmName="SHA-512" hashValue="2TDrDVTu8gQibyBJ1DUJSxq4JOX1jEUCs3IQ2LOaHzrWMHaILl6dlPwb8gJ1eW6+k3zY5zJDlDaG+sAYWo9wiQ==" saltValue="GQ7aLjDvAAn0sJqC/5on2Q==" spinCount="100000" sheet="1" objects="1" scenarios="1" selectLockedCells="1"/>
  <mergeCells count="10">
    <mergeCell ref="D21:G21"/>
    <mergeCell ref="C18:I18"/>
    <mergeCell ref="K18:N18"/>
    <mergeCell ref="C2:N2"/>
    <mergeCell ref="C6:C7"/>
    <mergeCell ref="D6:E6"/>
    <mergeCell ref="H6:I6"/>
    <mergeCell ref="F6:G6"/>
    <mergeCell ref="C4:I4"/>
    <mergeCell ref="K4:N4"/>
  </mergeCells>
  <conditionalFormatting sqref="D8:I13">
    <cfRule type="expression" dxfId="0" priority="6102">
      <formula>SUM($D8:$I8)=SUM($D$31:$E$33)</formula>
    </cfRule>
  </conditionalFormatting>
  <dataValidations count="1">
    <dataValidation type="list" allowBlank="1" showInputMessage="1" showErrorMessage="1" sqref="D21:G21">
      <formula1>$Q$1:$Q$14</formula1>
    </dataValidation>
  </dataValidations>
  <printOptions horizontalCentered="1" verticalCentered="1"/>
  <pageMargins left="0.64" right="0.39370078740157483" top="0.39370078740157483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94C26A8-9379-4925-AC32-A6A3F8BCDDB2}">
            <x14:iconSet custom="1">
              <x14:cfvo type="percent">
                <xm:f>0</xm:f>
              </x14:cfvo>
              <x14:cfvo type="num" gte="0">
                <xm:f>-0.99</xm:f>
              </x14:cfvo>
              <x14:cfvo type="num" gte="0">
                <xm:f>0</xm:f>
              </x14:cfvo>
              <x14:cfIcon iconSet="3TrafficLights1" iconId="0"/>
              <x14:cfIcon iconSet="NoIcons" iconId="0"/>
              <x14:cfIcon iconSet="3TrafficLights1" iconId="2"/>
            </x14:iconSet>
          </x14:cfRule>
          <xm:sqref>N7:N12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'INFO BASE'!$C$17:$C$29</xm:f>
          </x14:formula1>
          <xm:sqref>D21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INFO BASE</vt:lpstr>
      <vt:lpstr>HORÁRIO</vt:lpstr>
      <vt:lpstr>AVALIAÇAO</vt:lpstr>
      <vt:lpstr>DASHBOARD</vt:lpstr>
      <vt:lpstr>categorias</vt:lpstr>
      <vt:lpstr>DASHBOARD!Print_Area</vt:lpstr>
      <vt:lpstr>HORÁRIO!Print_Area</vt:lpstr>
      <vt:lpstr>SEMANA1</vt:lpstr>
      <vt:lpstr>SEMANA10</vt:lpstr>
      <vt:lpstr>SEMANA11</vt:lpstr>
      <vt:lpstr>SEMANA12</vt:lpstr>
      <vt:lpstr>SEMANA13</vt:lpstr>
      <vt:lpstr>SEMANA14</vt:lpstr>
      <vt:lpstr>SEMANA15</vt:lpstr>
      <vt:lpstr>SEMANA16</vt:lpstr>
      <vt:lpstr>SEMANA2</vt:lpstr>
      <vt:lpstr>SEMANA3</vt:lpstr>
      <vt:lpstr>SEMANA4</vt:lpstr>
      <vt:lpstr>SEMANA5</vt:lpstr>
      <vt:lpstr>SEMANA6</vt:lpstr>
      <vt:lpstr>SEMANA7</vt:lpstr>
      <vt:lpstr>SEMANA8</vt:lpstr>
      <vt:lpstr>SEMANA9</vt:lpstr>
      <vt:lpstr>SIGLASCATEG</vt:lpstr>
      <vt:lpstr>SIGLASCATEGORIAS</vt:lpstr>
      <vt:lpstr>SIGLASDISCIPLINAS</vt:lpstr>
      <vt:lpstr>UC</vt:lpstr>
    </vt:vector>
  </TitlesOfParts>
  <Company>Instituto Superior Técnico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Sá</dc:creator>
  <cp:lastModifiedBy>Andre</cp:lastModifiedBy>
  <cp:lastPrinted>2015-11-09T14:51:12Z</cp:lastPrinted>
  <dcterms:created xsi:type="dcterms:W3CDTF">2014-07-08T13:58:19Z</dcterms:created>
  <dcterms:modified xsi:type="dcterms:W3CDTF">2015-11-11T22:44:00Z</dcterms:modified>
</cp:coreProperties>
</file>